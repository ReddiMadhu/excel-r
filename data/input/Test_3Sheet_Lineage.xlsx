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nal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Salary</t>
        </is>
      </c>
      <c r="F1" t="inlineStr">
        <is>
          <t>Bonus</t>
        </is>
      </c>
      <c r="G1" t="inlineStr">
        <is>
          <t>Years_of_Service</t>
        </is>
      </c>
    </row>
    <row r="2">
      <c r="A2" t="n">
        <v>1001</v>
      </c>
      <c r="B2" t="inlineStr">
        <is>
          <t>Alice Johnson</t>
        </is>
      </c>
      <c r="C2" t="inlineStr">
        <is>
          <t>Engineering</t>
        </is>
      </c>
      <c r="D2" t="inlineStr">
        <is>
          <t>North</t>
        </is>
      </c>
      <c r="E2" t="n">
        <v>95000</v>
      </c>
      <c r="F2" t="n">
        <v>12000</v>
      </c>
      <c r="G2" t="n">
        <v>5</v>
      </c>
    </row>
    <row r="3">
      <c r="A3" t="n">
        <v>1002</v>
      </c>
      <c r="B3" t="inlineStr">
        <is>
          <t>Bob Smith</t>
        </is>
      </c>
      <c r="C3" t="inlineStr">
        <is>
          <t>Engineering</t>
        </is>
      </c>
      <c r="D3" t="inlineStr">
        <is>
          <t>South</t>
        </is>
      </c>
      <c r="E3" t="n">
        <v>88000</v>
      </c>
      <c r="F3" t="n">
        <v>10000</v>
      </c>
      <c r="G3" t="n">
        <v>3</v>
      </c>
    </row>
    <row r="4">
      <c r="A4" t="n">
        <v>1003</v>
      </c>
      <c r="B4" t="inlineStr">
        <is>
          <t>Carol Davis</t>
        </is>
      </c>
      <c r="C4" t="inlineStr">
        <is>
          <t>Engineering</t>
        </is>
      </c>
      <c r="D4" t="inlineStr">
        <is>
          <t>North</t>
        </is>
      </c>
      <c r="E4" t="n">
        <v>102000</v>
      </c>
      <c r="F4" t="n">
        <v>15000</v>
      </c>
      <c r="G4" t="n">
        <v>7</v>
      </c>
    </row>
    <row r="5">
      <c r="A5" t="n">
        <v>1004</v>
      </c>
      <c r="B5" t="inlineStr">
        <is>
          <t>Dan Wilson</t>
        </is>
      </c>
      <c r="C5" t="inlineStr">
        <is>
          <t>Marketing</t>
        </is>
      </c>
      <c r="D5" t="inlineStr">
        <is>
          <t>East</t>
        </is>
      </c>
      <c r="E5" t="n">
        <v>72000</v>
      </c>
      <c r="F5" t="n">
        <v>8000</v>
      </c>
      <c r="G5" t="n">
        <v>4</v>
      </c>
    </row>
    <row r="6">
      <c r="A6" t="n">
        <v>1005</v>
      </c>
      <c r="B6" t="inlineStr">
        <is>
          <t>Eva Martinez</t>
        </is>
      </c>
      <c r="C6" t="inlineStr">
        <is>
          <t>Marketing</t>
        </is>
      </c>
      <c r="D6" t="inlineStr">
        <is>
          <t>West</t>
        </is>
      </c>
      <c r="E6" t="n">
        <v>68000</v>
      </c>
      <c r="F6" t="n">
        <v>7500</v>
      </c>
      <c r="G6" t="n">
        <v>2</v>
      </c>
    </row>
    <row r="7">
      <c r="A7" t="n">
        <v>1006</v>
      </c>
      <c r="B7" t="inlineStr">
        <is>
          <t>Frank Lee</t>
        </is>
      </c>
      <c r="C7" t="inlineStr">
        <is>
          <t>Marketing</t>
        </is>
      </c>
      <c r="D7" t="inlineStr">
        <is>
          <t>East</t>
        </is>
      </c>
      <c r="E7" t="n">
        <v>75000</v>
      </c>
      <c r="F7" t="n">
        <v>9000</v>
      </c>
      <c r="G7" t="n">
        <v>6</v>
      </c>
    </row>
    <row r="8">
      <c r="A8" t="n">
        <v>1007</v>
      </c>
      <c r="B8" t="inlineStr">
        <is>
          <t>Grace Kim</t>
        </is>
      </c>
      <c r="C8" t="inlineStr">
        <is>
          <t>Finance</t>
        </is>
      </c>
      <c r="D8" t="inlineStr">
        <is>
          <t>North</t>
        </is>
      </c>
      <c r="E8" t="n">
        <v>85000</v>
      </c>
      <c r="F8" t="n">
        <v>11000</v>
      </c>
      <c r="G8" t="n">
        <v>4</v>
      </c>
    </row>
    <row r="9">
      <c r="A9" t="n">
        <v>1008</v>
      </c>
      <c r="B9" t="inlineStr">
        <is>
          <t>Henry Park</t>
        </is>
      </c>
      <c r="C9" t="inlineStr">
        <is>
          <t>Finance</t>
        </is>
      </c>
      <c r="D9" t="inlineStr">
        <is>
          <t>South</t>
        </is>
      </c>
      <c r="E9" t="n">
        <v>92000</v>
      </c>
      <c r="F9" t="n">
        <v>13000</v>
      </c>
      <c r="G9" t="n">
        <v>8</v>
      </c>
    </row>
    <row r="10">
      <c r="A10" t="n">
        <v>1009</v>
      </c>
      <c r="B10" t="inlineStr">
        <is>
          <t>Iris Chen</t>
        </is>
      </c>
      <c r="C10" t="inlineStr">
        <is>
          <t>Finance</t>
        </is>
      </c>
      <c r="D10" t="inlineStr">
        <is>
          <t>West</t>
        </is>
      </c>
      <c r="E10" t="n">
        <v>78000</v>
      </c>
      <c r="F10" t="n">
        <v>9500</v>
      </c>
      <c r="G10" t="n">
        <v>3</v>
      </c>
    </row>
    <row r="11">
      <c r="A11" t="n">
        <v>1010</v>
      </c>
      <c r="B11" t="inlineStr">
        <is>
          <t>Jack Brown</t>
        </is>
      </c>
      <c r="C11" t="inlineStr">
        <is>
          <t>HR</t>
        </is>
      </c>
      <c r="D11" t="inlineStr">
        <is>
          <t>North</t>
        </is>
      </c>
      <c r="E11" t="n">
        <v>65000</v>
      </c>
      <c r="F11" t="n">
        <v>6000</v>
      </c>
      <c r="G11" t="n">
        <v>2</v>
      </c>
    </row>
    <row r="12">
      <c r="A12" t="n">
        <v>1011</v>
      </c>
      <c r="B12" t="inlineStr">
        <is>
          <t>Karen White</t>
        </is>
      </c>
      <c r="C12" t="inlineStr">
        <is>
          <t>HR</t>
        </is>
      </c>
      <c r="D12" t="inlineStr">
        <is>
          <t>East</t>
        </is>
      </c>
      <c r="E12" t="n">
        <v>62000</v>
      </c>
      <c r="F12" t="n">
        <v>5500</v>
      </c>
      <c r="G12" t="n">
        <v>1</v>
      </c>
    </row>
    <row r="13">
      <c r="A13" t="n">
        <v>1012</v>
      </c>
      <c r="B13" t="inlineStr">
        <is>
          <t>Leo Garcia</t>
        </is>
      </c>
      <c r="C13" t="inlineStr">
        <is>
          <t>HR</t>
        </is>
      </c>
      <c r="D13" t="inlineStr">
        <is>
          <t>South</t>
        </is>
      </c>
      <c r="E13" t="n">
        <v>67000</v>
      </c>
      <c r="F13" t="n">
        <v>7000</v>
      </c>
      <c r="G13" t="n">
        <v>5</v>
      </c>
    </row>
    <row r="14">
      <c r="A14" t="n">
        <v>1013</v>
      </c>
      <c r="B14" t="inlineStr">
        <is>
          <t>Mia Patel</t>
        </is>
      </c>
      <c r="C14" t="inlineStr">
        <is>
          <t>Engineering</t>
        </is>
      </c>
      <c r="D14" t="inlineStr">
        <is>
          <t>East</t>
        </is>
      </c>
      <c r="E14" t="n">
        <v>98000</v>
      </c>
      <c r="F14" t="n">
        <v>14000</v>
      </c>
      <c r="G14" t="n">
        <v>6</v>
      </c>
    </row>
    <row r="15">
      <c r="A15" t="n">
        <v>1014</v>
      </c>
      <c r="B15" t="inlineStr">
        <is>
          <t>Noah Taylor</t>
        </is>
      </c>
      <c r="C15" t="inlineStr">
        <is>
          <t>Marketing</t>
        </is>
      </c>
      <c r="D15" t="inlineStr">
        <is>
          <t>North</t>
        </is>
      </c>
      <c r="E15" t="n">
        <v>71000</v>
      </c>
      <c r="F15" t="n">
        <v>8500</v>
      </c>
      <c r="G15" t="n">
        <v>3</v>
      </c>
    </row>
    <row r="16">
      <c r="A16" t="n">
        <v>1015</v>
      </c>
      <c r="B16" t="inlineStr">
        <is>
          <t>Olivia Nguyen</t>
        </is>
      </c>
      <c r="C16" t="inlineStr">
        <is>
          <t>Finance</t>
        </is>
      </c>
      <c r="D16" t="inlineStr">
        <is>
          <t>East</t>
        </is>
      </c>
      <c r="E16" t="n">
        <v>89000</v>
      </c>
      <c r="F16" t="n">
        <v>12500</v>
      </c>
      <c r="G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Compensation Summary</t>
        </is>
      </c>
      <c r="H1" t="inlineStr">
        <is>
          <t>Region Compensation Summary</t>
        </is>
      </c>
    </row>
    <row r="2">
      <c r="A2" t="inlineStr">
        <is>
          <t>Department</t>
        </is>
      </c>
      <c r="B2" t="inlineStr">
        <is>
          <t>Total Salary</t>
        </is>
      </c>
      <c r="C2" t="inlineStr">
        <is>
          <t>Total Bonus</t>
        </is>
      </c>
      <c r="D2" t="inlineStr">
        <is>
          <t>Total Compensation</t>
        </is>
      </c>
      <c r="E2" t="inlineStr">
        <is>
          <t>Headcount</t>
        </is>
      </c>
      <c r="F2" t="inlineStr">
        <is>
          <t>Avg Salary</t>
        </is>
      </c>
      <c r="H2" t="inlineStr">
        <is>
          <t>Region</t>
        </is>
      </c>
      <c r="I2" t="inlineStr">
        <is>
          <t>Total Salary</t>
        </is>
      </c>
      <c r="J2" t="inlineStr">
        <is>
          <t>Total Bonus</t>
        </is>
      </c>
      <c r="K2" t="inlineStr">
        <is>
          <t>Headcount</t>
        </is>
      </c>
    </row>
    <row r="3">
      <c r="A3" t="inlineStr">
        <is>
          <t>Engineering</t>
        </is>
      </c>
      <c r="B3">
        <f>SUMIFS(SQL_data!E:E,SQL_data!C:C,Summary!$A3)</f>
        <v/>
      </c>
      <c r="C3">
        <f>SUMIFS(SQL_data!F:F,SQL_data!C:C,Summary!$A3)</f>
        <v/>
      </c>
      <c r="D3">
        <f>B3+C3</f>
        <v/>
      </c>
      <c r="E3">
        <f>COUNTIFS(SQL_data!C:C,Summary!$A3)</f>
        <v/>
      </c>
      <c r="F3">
        <f>B3/E3</f>
        <v/>
      </c>
      <c r="H3" t="inlineStr">
        <is>
          <t>North</t>
        </is>
      </c>
      <c r="I3">
        <f>SUMIFS(SQL_data!E:E,SQL_data!D:D,Summary!$H3)</f>
        <v/>
      </c>
      <c r="J3">
        <f>SUMIFS(SQL_data!F:F,SQL_data!D:D,Summary!$H3)</f>
        <v/>
      </c>
      <c r="K3">
        <f>COUNTIFS(SQL_data!D:D,Summary!$H3)</f>
        <v/>
      </c>
    </row>
    <row r="4">
      <c r="A4" t="inlineStr">
        <is>
          <t>Finance</t>
        </is>
      </c>
      <c r="B4">
        <f>SUMIFS(SQL_data!E:E,SQL_data!C:C,Summary!$A4)</f>
        <v/>
      </c>
      <c r="C4">
        <f>SUMIFS(SQL_data!F:F,SQL_data!C:C,Summary!$A4)</f>
        <v/>
      </c>
      <c r="D4">
        <f>B4+C4</f>
        <v/>
      </c>
      <c r="E4">
        <f>COUNTIFS(SQL_data!C:C,Summary!$A4)</f>
        <v/>
      </c>
      <c r="F4">
        <f>B4/E4</f>
        <v/>
      </c>
      <c r="H4" t="inlineStr">
        <is>
          <t>South</t>
        </is>
      </c>
      <c r="I4">
        <f>SUMIFS(SQL_data!E:E,SQL_data!D:D,Summary!$H4)</f>
        <v/>
      </c>
      <c r="J4">
        <f>SUMIFS(SQL_data!F:F,SQL_data!D:D,Summary!$H4)</f>
        <v/>
      </c>
      <c r="K4">
        <f>COUNTIFS(SQL_data!D:D,Summary!$H4)</f>
        <v/>
      </c>
    </row>
    <row r="5">
      <c r="A5" t="inlineStr">
        <is>
          <t>HR</t>
        </is>
      </c>
      <c r="B5">
        <f>SUMIFS(SQL_data!E:E,SQL_data!C:C,Summary!$A5)</f>
        <v/>
      </c>
      <c r="C5">
        <f>SUMIFS(SQL_data!F:F,SQL_data!C:C,Summary!$A5)</f>
        <v/>
      </c>
      <c r="D5">
        <f>B5+C5</f>
        <v/>
      </c>
      <c r="E5">
        <f>COUNTIFS(SQL_data!C:C,Summary!$A5)</f>
        <v/>
      </c>
      <c r="F5">
        <f>B5/E5</f>
        <v/>
      </c>
      <c r="H5" t="inlineStr">
        <is>
          <t>East</t>
        </is>
      </c>
      <c r="I5">
        <f>SUMIFS(SQL_data!E:E,SQL_data!D:D,Summary!$H5)</f>
        <v/>
      </c>
      <c r="J5">
        <f>SUMIFS(SQL_data!F:F,SQL_data!D:D,Summary!$H5)</f>
        <v/>
      </c>
      <c r="K5">
        <f>COUNTIFS(SQL_data!D:D,Summary!$H5)</f>
        <v/>
      </c>
    </row>
    <row r="6">
      <c r="A6" t="inlineStr">
        <is>
          <t>Marketing</t>
        </is>
      </c>
      <c r="B6">
        <f>SUMIFS(SQL_data!E:E,SQL_data!C:C,Summary!$A6)</f>
        <v/>
      </c>
      <c r="C6">
        <f>SUMIFS(SQL_data!F:F,SQL_data!C:C,Summary!$A6)</f>
        <v/>
      </c>
      <c r="D6">
        <f>B6+C6</f>
        <v/>
      </c>
      <c r="E6">
        <f>COUNTIFS(SQL_data!C:C,Summary!$A6)</f>
        <v/>
      </c>
      <c r="F6">
        <f>B6/E6</f>
        <v/>
      </c>
      <c r="H6" t="inlineStr">
        <is>
          <t>West</t>
        </is>
      </c>
      <c r="I6">
        <f>SUMIFS(SQL_data!E:E,SQL_data!D:D,Summary!$H6)</f>
        <v/>
      </c>
      <c r="J6">
        <f>SUMIFS(SQL_data!F:F,SQL_data!D:D,Summary!$H6)</f>
        <v/>
      </c>
      <c r="K6">
        <f>COUNTIFS(SQL_data!D:D,Summary!$H6)</f>
        <v/>
      </c>
    </row>
    <row r="7">
      <c r="A7" t="inlineStr">
        <is>
          <t>Total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  <c r="F7">
        <f>B7/E7</f>
        <v/>
      </c>
      <c r="H7" t="inlineStr">
        <is>
          <t>Total</t>
        </is>
      </c>
      <c r="I7">
        <f>SUM(I3:I6)</f>
        <v/>
      </c>
      <c r="J7">
        <f>SUM(J3:J6)</f>
        <v/>
      </c>
      <c r="K7">
        <f>SUM(K3:K6)</f>
        <v/>
      </c>
    </row>
    <row r="8">
      <c r="A8" t="inlineStr">
        <is>
          <t>Check</t>
        </is>
      </c>
      <c r="B8">
        <f>SUM(SQL_data!E:E)-B7</f>
        <v/>
      </c>
      <c r="C8">
        <f>SUM(SQL_data!F:F)-C7</f>
        <v/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H8" t="inlineStr">
        <is>
          <t>Check</t>
        </is>
      </c>
      <c r="I8">
        <f>SUM(SQL_data!E:E)-I7</f>
        <v/>
      </c>
      <c r="J8">
        <f>SUM(SQL_data!F:F)-J7</f>
        <v/>
      </c>
      <c r="K8">
        <f>SUM(SQL_data!K:K)-K7</f>
        <v/>
      </c>
    </row>
  </sheetData>
  <mergeCells count="2">
    <mergeCell ref="H1:K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Compensation Report</t>
        </is>
      </c>
    </row>
    <row r="2">
      <c r="A2" t="inlineStr">
        <is>
          <t>Department</t>
        </is>
      </c>
      <c r="B2" t="inlineStr">
        <is>
          <t>Total Compensation</t>
        </is>
      </c>
      <c r="C2" t="inlineStr">
        <is>
          <t>% of Grand Total</t>
        </is>
      </c>
      <c r="D2" t="inlineStr">
        <is>
          <t>Compensation per Head</t>
        </is>
      </c>
      <c r="E2" t="inlineStr">
        <is>
          <t>Rating</t>
        </is>
      </c>
    </row>
    <row r="3">
      <c r="A3" t="inlineStr">
        <is>
          <t>Engineering</t>
        </is>
      </c>
      <c r="B3">
        <f>Summary!D3</f>
        <v/>
      </c>
      <c r="C3">
        <f>Summary!D3/Summary!$D$7</f>
        <v/>
      </c>
      <c r="D3">
        <f>Summary!D3/Summary!E3</f>
        <v/>
      </c>
      <c r="E3">
        <f>IF(C3&gt;0.3,"High",IF(C3&gt;0.2,"Medium","Low"))</f>
        <v/>
      </c>
    </row>
    <row r="4">
      <c r="A4" t="inlineStr">
        <is>
          <t>Finance</t>
        </is>
      </c>
      <c r="B4">
        <f>Summary!D4</f>
        <v/>
      </c>
      <c r="C4">
        <f>Summary!D4/Summary!$D$7</f>
        <v/>
      </c>
      <c r="D4">
        <f>Summary!D4/Summary!E4</f>
        <v/>
      </c>
      <c r="E4">
        <f>IF(C4&gt;0.3,"High",IF(C4&gt;0.2,"Medium","Low"))</f>
        <v/>
      </c>
    </row>
    <row r="5">
      <c r="A5" t="inlineStr">
        <is>
          <t>HR</t>
        </is>
      </c>
      <c r="B5">
        <f>Summary!D5</f>
        <v/>
      </c>
      <c r="C5">
        <f>Summary!D5/Summary!$D$7</f>
        <v/>
      </c>
      <c r="D5">
        <f>Summary!D5/Summary!E5</f>
        <v/>
      </c>
      <c r="E5">
        <f>IF(C5&gt;0.3,"High",IF(C5&gt;0.2,"Medium","Low"))</f>
        <v/>
      </c>
    </row>
    <row r="6">
      <c r="A6" t="inlineStr">
        <is>
          <t>Marketing</t>
        </is>
      </c>
      <c r="B6">
        <f>Summary!D6</f>
        <v/>
      </c>
      <c r="C6">
        <f>Summary!D6/Summary!$D$7</f>
        <v/>
      </c>
      <c r="D6">
        <f>Summary!D6/Summary!E6</f>
        <v/>
      </c>
      <c r="E6">
        <f>IF(C6&gt;0.3,"High",IF(C6&gt;0.2,"Medium","Low"))</f>
        <v/>
      </c>
    </row>
    <row r="7">
      <c r="A7" t="inlineStr">
        <is>
          <t>Total</t>
        </is>
      </c>
      <c r="B7">
        <f>SUM(B3:B6)</f>
        <v/>
      </c>
      <c r="C7">
        <f>SUM(C3:C6)</f>
        <v/>
      </c>
      <c r="D7">
        <f>B7/SUM(Summary!E3:E6)</f>
        <v/>
      </c>
      <c r="E7" t="inlineStr">
        <is>
          <t>-</t>
        </is>
      </c>
    </row>
    <row r="8">
      <c r="A8" t="inlineStr">
        <is>
          <t>Check</t>
        </is>
      </c>
      <c r="B8">
        <f>Summary!D7-B7</f>
        <v/>
      </c>
      <c r="C8">
        <f>1-C7</f>
        <v/>
      </c>
      <c r="D8" t="inlineStr">
        <is>
          <t>-</t>
        </is>
      </c>
      <c r="E8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2026-06-18T13:20:55Z</dcterms:created>
  <dcterms:modified xmlns:dcterms="http://purl.org/dc/terms/" xmlns:xsi="http://www.w3.org/2001/XMLSchema-instance" xsi:type="dcterms:W3CDTF">2026-06-18T13:20:55Z</dcterms:modified>
</cp:coreProperties>
</file>