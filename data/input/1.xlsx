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inkle180413\Downloads\"/>
    </mc:Choice>
  </mc:AlternateContent>
  <xr:revisionPtr revIDLastSave="0" documentId="8_{E53A14C8-D74B-4B24-B7E4-16467E5DAEC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QL_data" sheetId="1" r:id="rId1"/>
    <sheet name="Summary" sheetId="2" r:id="rId2"/>
  </sheets>
  <definedNames>
    <definedName name="_xlnm._FilterDatabase" localSheetId="0" hidden="1">SQL_data!$A$1:$O$1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2" l="1"/>
  <c r="B43" i="2"/>
  <c r="B42" i="2"/>
  <c r="B38" i="2"/>
  <c r="B36" i="2"/>
  <c r="B35" i="2"/>
  <c r="F31" i="2"/>
  <c r="F29" i="2"/>
  <c r="F28" i="2"/>
  <c r="E31" i="2"/>
  <c r="F30" i="2"/>
  <c r="E30" i="2"/>
  <c r="E29" i="2"/>
  <c r="E28" i="2"/>
  <c r="D31" i="2"/>
  <c r="D29" i="2"/>
  <c r="D28" i="2"/>
  <c r="C29" i="2"/>
  <c r="C28" i="2"/>
  <c r="C30" i="2" s="1"/>
  <c r="C31" i="2" s="1"/>
  <c r="B31" i="2"/>
  <c r="B29" i="2"/>
  <c r="B28" i="2"/>
  <c r="E23" i="2"/>
  <c r="E21" i="2"/>
  <c r="E20" i="2"/>
  <c r="E22" i="2" s="1"/>
  <c r="D23" i="2"/>
  <c r="D22" i="2"/>
  <c r="D21" i="2"/>
  <c r="D20" i="2"/>
  <c r="C21" i="2"/>
  <c r="C20" i="2"/>
  <c r="C22" i="2" s="1"/>
  <c r="C23" i="2" s="1"/>
  <c r="B23" i="2"/>
  <c r="B21" i="2"/>
  <c r="B20" i="2"/>
  <c r="E14" i="2"/>
  <c r="E13" i="2"/>
  <c r="D14" i="2"/>
  <c r="C14" i="2"/>
  <c r="D13" i="2"/>
  <c r="D15" i="2" s="1"/>
  <c r="D16" i="2" s="1"/>
  <c r="C13" i="2"/>
  <c r="C15" i="2" s="1"/>
  <c r="C16" i="2" s="1"/>
  <c r="B14" i="2"/>
  <c r="B13" i="2"/>
  <c r="K7" i="2"/>
  <c r="K6" i="2"/>
  <c r="K8" i="2" s="1"/>
  <c r="K9" i="2" s="1"/>
  <c r="J7" i="2"/>
  <c r="J6" i="2"/>
  <c r="J8" i="2" s="1"/>
  <c r="J9" i="2" s="1"/>
  <c r="F7" i="2"/>
  <c r="F6" i="2"/>
  <c r="G7" i="2"/>
  <c r="G6" i="2"/>
  <c r="G8" i="2" s="1"/>
  <c r="G9" i="2" s="1"/>
  <c r="D7" i="2"/>
  <c r="D6" i="2"/>
  <c r="C7" i="2"/>
  <c r="C6" i="2"/>
  <c r="C8" i="2" s="1"/>
  <c r="C9" i="2" s="1"/>
  <c r="B7" i="2"/>
  <c r="E7" i="2" s="1"/>
  <c r="B6" i="2"/>
  <c r="E6" i="2" s="1"/>
  <c r="E8" i="2" s="1"/>
  <c r="B44" i="2" l="1"/>
  <c r="B37" i="2"/>
  <c r="D30" i="2"/>
  <c r="B30" i="2"/>
  <c r="B22" i="2"/>
  <c r="D8" i="2"/>
  <c r="D9" i="2" s="1"/>
  <c r="E15" i="2"/>
  <c r="E16" i="2" s="1"/>
  <c r="B15" i="2"/>
  <c r="B16" i="2" s="1"/>
  <c r="F8" i="2"/>
  <c r="F9" i="2" s="1"/>
  <c r="B8" i="2"/>
  <c r="B9" i="2" s="1"/>
  <c r="E9" i="2" s="1"/>
</calcChain>
</file>

<file path=xl/sharedStrings.xml><?xml version="1.0" encoding="utf-8"?>
<sst xmlns="http://schemas.openxmlformats.org/spreadsheetml/2006/main" count="24088" uniqueCount="6056">
  <si>
    <t>Accounting Date</t>
  </si>
  <si>
    <t>Product Subtype</t>
  </si>
  <si>
    <t>RBC C2 Product Category</t>
  </si>
  <si>
    <t>Statutory Reserves - Total - General Account</t>
  </si>
  <si>
    <t>Statutory Reserves - Total - Separate Account</t>
  </si>
  <si>
    <t>Reinsurance Statutory Reserve - Total</t>
  </si>
  <si>
    <t>Captive Statutory Reserve - Total</t>
  </si>
  <si>
    <t>Net Statutory Reserves - Total</t>
  </si>
  <si>
    <t>GAAP Reserve - Total</t>
  </si>
  <si>
    <t>Non-TAI Reinsurance GAAP Reserve - Total</t>
  </si>
  <si>
    <t>Face Amount - Base</t>
  </si>
  <si>
    <t>Face Amount - Addl Term Rider</t>
  </si>
  <si>
    <t>Face Amount - Ceded</t>
  </si>
  <si>
    <t>Cash Value - General Account</t>
  </si>
  <si>
    <t>Policy Number</t>
  </si>
  <si>
    <t>2025-12-31</t>
  </si>
  <si>
    <t>BOLI UL</t>
  </si>
  <si>
    <t>Non-Flexible</t>
  </si>
  <si>
    <t>P0</t>
  </si>
  <si>
    <t>P1</t>
  </si>
  <si>
    <t>COLI VUL</t>
  </si>
  <si>
    <t>Flexible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</si>
  <si>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</si>
  <si>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</si>
  <si>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</si>
  <si>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</si>
  <si>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</si>
  <si>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</si>
  <si>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</si>
  <si>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</si>
  <si>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</si>
  <si>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</si>
  <si>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</si>
  <si>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</si>
  <si>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</si>
  <si>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</si>
  <si>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</si>
  <si>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</si>
  <si>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</si>
  <si>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</si>
  <si>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</si>
  <si>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</si>
  <si>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</si>
  <si>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</si>
  <si>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</si>
  <si>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</si>
  <si>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</si>
  <si>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</si>
  <si>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</si>
  <si>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</si>
  <si>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</si>
  <si>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</si>
  <si>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</si>
  <si>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</si>
  <si>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</si>
  <si>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</si>
  <si>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</si>
  <si>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</si>
  <si>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</si>
  <si>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</si>
  <si>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</si>
  <si>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</si>
  <si>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</si>
  <si>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</si>
  <si>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</si>
  <si>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</si>
  <si>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</si>
  <si>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</si>
  <si>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</si>
  <si>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</si>
  <si>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</si>
  <si>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</si>
  <si>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</si>
  <si>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</si>
  <si>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</si>
  <si>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</si>
  <si>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</si>
  <si>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</si>
  <si>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</si>
  <si>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</si>
  <si>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</si>
  <si>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</si>
  <si>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</si>
  <si>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</si>
  <si>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</si>
  <si>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</si>
  <si>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</si>
  <si>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</si>
  <si>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</si>
  <si>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</si>
  <si>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</si>
  <si>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</si>
  <si>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</si>
  <si>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</si>
  <si>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</si>
  <si>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</si>
  <si>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</si>
  <si>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</si>
  <si>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</si>
  <si>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</si>
  <si>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</si>
  <si>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</si>
  <si>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</si>
  <si>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</si>
  <si>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</si>
  <si>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</si>
  <si>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</si>
  <si>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</si>
  <si>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</si>
  <si>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</si>
  <si>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</si>
  <si>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</si>
  <si>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</si>
  <si>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</si>
  <si>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</si>
  <si>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</si>
  <si>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</si>
  <si>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</si>
  <si>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</si>
  <si>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</si>
  <si>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</si>
  <si>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</si>
  <si>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</si>
  <si>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</si>
  <si>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</si>
  <si>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</si>
  <si>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</si>
  <si>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</si>
  <si>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</si>
  <si>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</si>
  <si>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</si>
  <si>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</si>
  <si>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</si>
  <si>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</si>
  <si>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</si>
  <si>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</si>
  <si>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</si>
  <si>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</si>
  <si>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</si>
  <si>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</si>
  <si>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</si>
  <si>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</si>
  <si>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</si>
  <si>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</si>
  <si>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</si>
  <si>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</si>
  <si>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</si>
  <si>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</si>
  <si>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</si>
  <si>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</si>
  <si>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</si>
  <si>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</si>
  <si>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</si>
  <si>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</si>
  <si>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</si>
  <si>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</si>
  <si>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</si>
  <si>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</si>
  <si>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</si>
  <si>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</si>
  <si>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</si>
  <si>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</si>
  <si>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</si>
  <si>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</si>
  <si>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</si>
  <si>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</si>
  <si>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</si>
  <si>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</si>
  <si>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</si>
  <si>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</si>
  <si>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</si>
  <si>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</si>
  <si>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</si>
  <si>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</si>
  <si>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</si>
  <si>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</si>
  <si>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</si>
  <si>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</si>
  <si>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</si>
  <si>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</si>
  <si>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</si>
  <si>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</si>
  <si>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</si>
  <si>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</si>
  <si>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</si>
  <si>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</si>
  <si>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</si>
  <si>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</si>
  <si>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</si>
  <si>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</si>
  <si>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</si>
  <si>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</si>
  <si>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</si>
  <si>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</si>
  <si>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</si>
  <si>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</si>
  <si>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</si>
  <si>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</si>
  <si>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</si>
  <si>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</si>
  <si>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</si>
  <si>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</si>
  <si>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</si>
  <si>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</si>
  <si>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</si>
  <si>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</si>
  <si>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</si>
  <si>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</si>
  <si>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</si>
  <si>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</si>
  <si>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</si>
  <si>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</si>
  <si>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</si>
  <si>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</si>
  <si>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</si>
  <si>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</si>
  <si>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</si>
  <si>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</si>
  <si>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</si>
  <si>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</si>
  <si>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</si>
  <si>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</si>
  <si>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</si>
  <si>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</si>
  <si>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</si>
  <si>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</si>
  <si>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</si>
  <si>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</si>
  <si>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</si>
  <si>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</si>
  <si>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</si>
  <si>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</si>
  <si>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</si>
  <si>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</si>
  <si>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</si>
  <si>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</si>
  <si>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</si>
  <si>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</si>
  <si>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</si>
  <si>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</si>
  <si>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</si>
  <si>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</si>
  <si>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</si>
  <si>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</si>
  <si>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</si>
  <si>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</si>
  <si>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</si>
  <si>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</si>
  <si>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</si>
  <si>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</si>
  <si>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</si>
  <si>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</si>
  <si>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</si>
  <si>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</si>
  <si>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</si>
  <si>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</si>
  <si>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</si>
  <si>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</si>
  <si>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</si>
  <si>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</si>
  <si>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</si>
  <si>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</si>
  <si>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</si>
  <si>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</si>
  <si>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</si>
  <si>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</si>
  <si>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</si>
  <si>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</si>
  <si>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</si>
  <si>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</si>
  <si>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</si>
  <si>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</si>
  <si>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</si>
  <si>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</si>
  <si>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</si>
  <si>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</si>
  <si>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</si>
  <si>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</si>
  <si>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</si>
  <si>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</si>
  <si>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</si>
  <si>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</si>
  <si>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</si>
  <si>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</si>
  <si>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</si>
  <si>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</si>
  <si>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</si>
  <si>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</si>
  <si>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</si>
  <si>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</si>
  <si>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</si>
  <si>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</si>
  <si>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</si>
  <si>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</si>
  <si>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</si>
  <si>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</si>
  <si>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</si>
  <si>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</si>
  <si>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</si>
  <si>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</si>
  <si>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</si>
  <si>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</si>
  <si>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</si>
  <si>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</si>
  <si>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</si>
  <si>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</si>
  <si>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</si>
  <si>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</si>
  <si>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</si>
  <si>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</si>
  <si>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</si>
  <si>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</si>
  <si>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</si>
  <si>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</si>
  <si>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</si>
  <si>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</si>
  <si>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</si>
  <si>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</si>
  <si>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</si>
  <si>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</si>
  <si>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</si>
  <si>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</si>
  <si>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</si>
  <si>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</si>
  <si>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</si>
  <si>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</si>
  <si>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</si>
  <si>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</si>
  <si>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</si>
  <si>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</si>
  <si>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</si>
  <si>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</si>
  <si>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</si>
  <si>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</si>
  <si>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</si>
  <si>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</si>
  <si>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</si>
  <si>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</si>
  <si>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</si>
  <si>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</si>
  <si>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</si>
  <si>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</si>
  <si>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</si>
  <si>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</si>
  <si>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</si>
  <si>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</si>
  <si>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</si>
  <si>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</si>
  <si>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</si>
  <si>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</si>
  <si>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</si>
  <si>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</si>
  <si>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</si>
  <si>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</si>
  <si>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</si>
  <si>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</si>
  <si>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</si>
  <si>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</si>
  <si>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</si>
  <si>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</si>
  <si>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</si>
  <si>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</si>
  <si>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</si>
  <si>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</si>
  <si>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</si>
  <si>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</si>
  <si>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</si>
  <si>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</si>
  <si>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</si>
  <si>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</si>
  <si>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</si>
  <si>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</si>
  <si>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</si>
  <si>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</si>
  <si>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</si>
  <si>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</si>
  <si>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</si>
  <si>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</si>
  <si>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</si>
  <si>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</si>
  <si>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</si>
  <si>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</si>
  <si>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</si>
  <si>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</si>
  <si>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</si>
  <si>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</si>
  <si>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</si>
  <si>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</si>
  <si>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</si>
  <si>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</si>
  <si>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</si>
  <si>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</si>
  <si>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</si>
  <si>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</si>
  <si>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</si>
  <si>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</si>
  <si>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</si>
  <si>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</si>
  <si>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</si>
  <si>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</si>
  <si>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</si>
  <si>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</si>
  <si>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</si>
  <si>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</si>
  <si>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</si>
  <si>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</si>
  <si>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</si>
  <si>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</si>
  <si>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</si>
  <si>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</si>
  <si>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</si>
  <si>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</si>
  <si>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</si>
  <si>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</si>
  <si>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</si>
  <si>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</si>
  <si>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</si>
  <si>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</si>
  <si>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</si>
  <si>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</si>
  <si>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</si>
  <si>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</si>
  <si>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</si>
  <si>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</si>
  <si>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</si>
  <si>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</si>
  <si>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</si>
  <si>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</si>
  <si>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</si>
  <si>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</si>
  <si>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</si>
  <si>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</si>
  <si>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</si>
  <si>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</si>
  <si>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</si>
  <si>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</si>
  <si>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</si>
  <si>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</si>
  <si>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</si>
  <si>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</si>
  <si>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</si>
  <si>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</si>
  <si>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</si>
  <si>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</si>
  <si>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</si>
  <si>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</si>
  <si>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</si>
  <si>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</si>
  <si>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</si>
  <si>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</si>
  <si>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</si>
  <si>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</si>
  <si>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</si>
  <si>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</si>
  <si>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</si>
  <si>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</si>
  <si>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</si>
  <si>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</si>
  <si>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</si>
  <si>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</si>
  <si>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</si>
  <si>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</si>
  <si>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</si>
  <si>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</si>
  <si>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</si>
  <si>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</si>
  <si>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</si>
  <si>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</si>
  <si>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</si>
  <si>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</si>
  <si>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</si>
  <si>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</si>
  <si>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</si>
  <si>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</si>
  <si>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</si>
  <si>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</si>
  <si>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</si>
  <si>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</si>
  <si>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</si>
  <si>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</si>
  <si>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</si>
  <si>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</si>
  <si>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</si>
  <si>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</si>
  <si>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</si>
  <si>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</si>
  <si>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</si>
  <si>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</si>
  <si>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</si>
  <si>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</si>
  <si>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</si>
  <si>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</si>
  <si>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</si>
  <si>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</si>
  <si>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</si>
  <si>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</si>
  <si>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</si>
  <si>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</si>
  <si>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</si>
  <si>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</si>
  <si>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</si>
  <si>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</si>
  <si>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</si>
  <si>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</si>
  <si>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</si>
  <si>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</si>
  <si>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</si>
  <si>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</si>
  <si>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</si>
  <si>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</si>
  <si>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</si>
  <si>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</si>
  <si>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</si>
  <si>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</si>
  <si>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</si>
  <si>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</si>
  <si>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</si>
  <si>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</si>
  <si>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</si>
  <si>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</si>
  <si>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</si>
  <si>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</si>
  <si>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</si>
  <si>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</si>
  <si>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</si>
  <si>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</si>
  <si>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</si>
  <si>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</si>
  <si>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</si>
  <si>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</si>
  <si>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</si>
  <si>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</si>
  <si>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</si>
  <si>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</si>
  <si>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</si>
  <si>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</si>
  <si>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</si>
  <si>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</si>
  <si>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</si>
  <si>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</si>
  <si>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</si>
  <si>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</si>
  <si>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</si>
  <si>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</si>
  <si>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</si>
  <si>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</si>
  <si>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</si>
  <si>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</si>
  <si>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</si>
  <si>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</si>
  <si>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</si>
  <si>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</si>
  <si>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</si>
  <si>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</si>
  <si>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</si>
  <si>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</si>
  <si>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</si>
  <si>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</si>
  <si>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</si>
  <si>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</si>
  <si>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</si>
  <si>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</si>
  <si>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</si>
  <si>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</si>
  <si>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</si>
  <si>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</si>
  <si>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</si>
  <si>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</si>
  <si>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</si>
  <si>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</si>
  <si>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</si>
  <si>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</si>
  <si>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</si>
  <si>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</si>
  <si>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</si>
  <si>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</si>
  <si>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</si>
  <si>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</si>
  <si>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</si>
  <si>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</si>
  <si>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</si>
  <si>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</si>
  <si>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</si>
  <si>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</si>
  <si>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</si>
  <si>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</si>
  <si>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</si>
  <si>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</si>
  <si>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</si>
  <si>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</si>
  <si>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</si>
  <si>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</si>
  <si>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</si>
  <si>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</si>
  <si>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</si>
  <si>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</si>
  <si>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</si>
  <si>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</si>
  <si>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</si>
  <si>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</si>
  <si>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</si>
  <si>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</si>
  <si>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</si>
  <si>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</si>
  <si>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</si>
  <si>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</si>
  <si>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</si>
  <si>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</si>
  <si>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</si>
  <si>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</si>
  <si>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</si>
  <si>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</si>
  <si>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</si>
  <si>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</si>
  <si>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</si>
  <si>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</si>
  <si>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</si>
  <si>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</si>
  <si>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</si>
  <si>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</si>
  <si>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</si>
  <si>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</si>
  <si>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</si>
  <si>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</si>
  <si>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</si>
  <si>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</si>
  <si>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</si>
  <si>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</si>
  <si>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</si>
  <si>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</si>
  <si>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</si>
  <si>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</si>
  <si>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</si>
  <si>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</si>
  <si>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</si>
  <si>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</si>
  <si>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</si>
  <si>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</si>
  <si>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</si>
  <si>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</si>
  <si>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</si>
  <si>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</si>
  <si>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</si>
  <si>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</si>
  <si>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</si>
  <si>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</si>
  <si>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</si>
  <si>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</si>
  <si>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</si>
  <si>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</si>
  <si>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</si>
  <si>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</si>
  <si>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</si>
  <si>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</si>
  <si>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</si>
  <si>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</si>
  <si>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</si>
  <si>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</si>
  <si>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</si>
  <si>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</si>
  <si>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</si>
  <si>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</si>
  <si>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</si>
  <si>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</si>
  <si>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</si>
  <si>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</si>
  <si>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</si>
  <si>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</si>
  <si>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</si>
  <si>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</si>
  <si>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</si>
  <si>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</si>
  <si>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</si>
  <si>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</si>
  <si>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</si>
  <si>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</si>
  <si>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</si>
  <si>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</si>
  <si>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</si>
  <si>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</si>
  <si>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</si>
  <si>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</si>
  <si>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</si>
  <si>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</si>
  <si>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</si>
  <si>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</si>
  <si>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</si>
  <si>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</si>
  <si>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</si>
  <si>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</si>
  <si>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</si>
  <si>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</si>
  <si>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</si>
  <si>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</si>
  <si>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</si>
  <si>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</si>
  <si>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</si>
  <si>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</si>
  <si>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</si>
  <si>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</si>
  <si>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</si>
  <si>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</si>
  <si>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</si>
  <si>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</si>
  <si>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</si>
  <si>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</si>
  <si>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</si>
  <si>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</si>
  <si>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</si>
  <si>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</si>
  <si>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</si>
  <si>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</si>
  <si>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</si>
  <si>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</si>
  <si>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</si>
  <si>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</si>
  <si>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</si>
  <si>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</si>
  <si>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</si>
  <si>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</si>
  <si>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</si>
  <si>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</si>
  <si>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</si>
  <si>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</si>
  <si>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</si>
  <si>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</si>
  <si>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</si>
  <si>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</si>
  <si>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</si>
  <si>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</si>
  <si>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</si>
  <si>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</si>
  <si>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</si>
  <si>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</si>
  <si>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</si>
  <si>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</si>
  <si>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</si>
  <si>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</si>
  <si>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</si>
  <si>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</si>
  <si>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</si>
  <si>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</si>
  <si>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</si>
  <si>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</si>
  <si>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</si>
  <si>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</si>
  <si>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</si>
  <si>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</si>
  <si>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</si>
  <si>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</si>
  <si>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</si>
  <si>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</si>
  <si>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</si>
  <si>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</si>
  <si>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</si>
  <si>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</si>
  <si>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</si>
  <si>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</si>
  <si>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</si>
  <si>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</si>
  <si>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</si>
  <si>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</si>
  <si>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</si>
  <si>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</si>
  <si>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</si>
  <si>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</si>
  <si>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</si>
  <si>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</si>
  <si>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</si>
  <si>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</si>
  <si>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</si>
  <si>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</si>
  <si>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</si>
  <si>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</si>
  <si>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</si>
  <si>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</si>
  <si>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</si>
  <si>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</si>
  <si>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</si>
  <si>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</si>
  <si>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</si>
  <si>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</si>
  <si>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</si>
  <si>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</si>
  <si>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</si>
  <si>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</si>
  <si>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</si>
  <si>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</si>
  <si>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</si>
  <si>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</si>
  <si>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</si>
  <si>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</si>
  <si>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</si>
  <si>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</si>
  <si>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</si>
  <si>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</si>
  <si>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</si>
  <si>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</si>
  <si>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</si>
  <si>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</si>
  <si>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</si>
  <si>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</si>
  <si>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</si>
  <si>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</si>
  <si>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</si>
  <si>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</si>
  <si>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</si>
  <si>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</si>
  <si>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</si>
  <si>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</si>
  <si>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</si>
  <si>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</si>
  <si>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</si>
  <si>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</si>
  <si>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</si>
  <si>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</si>
  <si>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</si>
  <si>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</si>
  <si>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</si>
  <si>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</si>
  <si>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</si>
  <si>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</si>
  <si>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</si>
  <si>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</si>
  <si>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</si>
  <si>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</si>
  <si>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</si>
  <si>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</si>
  <si>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</si>
  <si>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</si>
  <si>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</si>
  <si>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</si>
  <si>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</si>
  <si>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</si>
  <si>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</si>
  <si>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</si>
  <si>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</si>
  <si>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</si>
  <si>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</si>
  <si>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</si>
  <si>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</si>
  <si>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</si>
  <si>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</si>
  <si>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</si>
  <si>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</si>
  <si>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</si>
  <si>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</si>
  <si>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</si>
  <si>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</si>
  <si>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</si>
  <si>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</si>
  <si>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</si>
  <si>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</si>
  <si>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</si>
  <si>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</si>
  <si>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</si>
  <si>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</si>
  <si>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</si>
  <si>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</si>
  <si>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</si>
  <si>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</si>
  <si>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</si>
  <si>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</si>
  <si>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</si>
  <si>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</si>
  <si>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</si>
  <si>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</si>
  <si>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</si>
  <si>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</si>
  <si>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</si>
  <si>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</si>
  <si>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</si>
  <si>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</si>
  <si>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</si>
  <si>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</si>
  <si>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</si>
  <si>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</si>
  <si>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</si>
  <si>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</si>
  <si>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</si>
  <si>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</si>
  <si>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</si>
  <si>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</si>
  <si>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</si>
  <si>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</si>
  <si>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</si>
  <si>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</si>
  <si>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</si>
  <si>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</si>
  <si>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</si>
  <si>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</si>
  <si>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</si>
  <si>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</si>
  <si>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</si>
  <si>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</si>
  <si>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</si>
  <si>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</si>
  <si>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</si>
  <si>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</si>
  <si>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</si>
  <si>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</si>
  <si>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</si>
  <si>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</si>
  <si>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</si>
  <si>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</si>
  <si>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</si>
  <si>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</si>
  <si>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</si>
  <si>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</si>
  <si>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</si>
  <si>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</si>
  <si>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</si>
  <si>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</si>
  <si>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</si>
  <si>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</si>
  <si>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</si>
  <si>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</si>
  <si>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</si>
  <si>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</si>
  <si>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</si>
  <si>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</si>
  <si>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</si>
  <si>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</si>
  <si>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</si>
  <si>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</si>
  <si>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</si>
  <si>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</si>
  <si>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</si>
  <si>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</si>
  <si>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</si>
  <si>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</si>
  <si>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</si>
  <si>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</si>
  <si>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</si>
  <si>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</si>
  <si>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</si>
  <si>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</si>
  <si>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</si>
  <si>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</si>
  <si>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</si>
  <si>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</si>
  <si>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</si>
  <si>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</si>
  <si>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</si>
  <si>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</si>
  <si>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</si>
  <si>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</si>
  <si>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</si>
  <si>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</si>
  <si>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</si>
  <si>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</si>
  <si>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</si>
  <si>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</si>
  <si>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</si>
  <si>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</si>
  <si>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</si>
  <si>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</si>
  <si>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</si>
  <si>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</si>
  <si>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</si>
  <si>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</si>
  <si>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</si>
  <si>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</si>
  <si>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</si>
  <si>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</si>
  <si>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</si>
  <si>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</si>
  <si>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</si>
  <si>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</si>
  <si>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</si>
  <si>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</si>
  <si>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</si>
  <si>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</si>
  <si>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</si>
  <si>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</si>
  <si>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</si>
  <si>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</si>
  <si>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</si>
  <si>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</si>
  <si>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</si>
  <si>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</si>
  <si>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</si>
  <si>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</si>
  <si>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</si>
  <si>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</si>
  <si>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</si>
  <si>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</si>
  <si>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</si>
  <si>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</si>
  <si>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</si>
  <si>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</si>
  <si>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</si>
  <si>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</si>
  <si>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</si>
  <si>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</si>
  <si>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</si>
  <si>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</si>
  <si>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</si>
  <si>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</si>
  <si>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</si>
  <si>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</si>
  <si>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</si>
  <si>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</si>
  <si>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</si>
  <si>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</si>
  <si>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</si>
  <si>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</si>
  <si>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</si>
  <si>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</si>
  <si>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</si>
  <si>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</si>
  <si>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</si>
  <si>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</si>
  <si>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</si>
  <si>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</si>
  <si>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</si>
  <si>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</si>
  <si>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</si>
  <si>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</si>
  <si>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</si>
  <si>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</si>
  <si>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</si>
  <si>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</si>
  <si>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</si>
  <si>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</si>
  <si>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</si>
  <si>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</si>
  <si>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</si>
  <si>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</si>
  <si>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</si>
  <si>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</si>
  <si>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</si>
  <si>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</si>
  <si>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</si>
  <si>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</si>
  <si>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</si>
  <si>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</si>
  <si>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</si>
  <si>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</si>
  <si>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</si>
  <si>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</si>
  <si>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</si>
  <si>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</si>
  <si>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</si>
  <si>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</si>
  <si>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</si>
  <si>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</si>
  <si>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</si>
  <si>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</si>
  <si>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</si>
  <si>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</si>
  <si>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</si>
  <si>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</si>
  <si>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</si>
  <si>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</si>
  <si>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</si>
  <si>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</si>
  <si>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</si>
  <si>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</si>
  <si>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</si>
  <si>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</si>
  <si>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</si>
  <si>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</si>
  <si>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</si>
  <si>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</si>
  <si>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</si>
  <si>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</si>
  <si>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</si>
  <si>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</si>
  <si>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</si>
  <si>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</si>
  <si>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</si>
  <si>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</si>
  <si>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</si>
  <si>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</si>
  <si>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</si>
  <si>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</si>
  <si>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</si>
  <si>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</si>
  <si>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</si>
  <si>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</si>
  <si>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</si>
  <si>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</si>
  <si>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</si>
  <si>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</si>
  <si>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</si>
  <si>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</si>
  <si>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</si>
  <si>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</si>
  <si>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</si>
  <si>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</si>
  <si>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</si>
  <si>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</si>
  <si>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</si>
  <si>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</si>
  <si>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</si>
  <si>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</si>
  <si>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</si>
  <si>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</si>
  <si>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</si>
  <si>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</si>
  <si>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</si>
  <si>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</si>
  <si>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</si>
  <si>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</si>
  <si>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</si>
  <si>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</si>
  <si>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</si>
  <si>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</si>
  <si>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</si>
  <si>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</si>
  <si>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</si>
  <si>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</si>
  <si>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</si>
  <si>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</si>
  <si>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</si>
  <si>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</si>
  <si>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</si>
  <si>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</si>
  <si>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</si>
  <si>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</si>
  <si>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</si>
  <si>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</si>
  <si>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</si>
  <si>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</si>
  <si>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</si>
  <si>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</si>
  <si>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</si>
  <si>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</si>
  <si>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</si>
  <si>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</si>
  <si>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</si>
  <si>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</si>
  <si>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</si>
  <si>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</si>
  <si>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</si>
  <si>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</si>
  <si>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</si>
  <si>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</si>
  <si>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</si>
  <si>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</si>
  <si>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</si>
  <si>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</si>
  <si>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</si>
  <si>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</si>
  <si>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</si>
  <si>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</si>
  <si>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</si>
  <si>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</si>
  <si>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</si>
  <si>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</si>
  <si>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</si>
  <si>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</si>
  <si>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</si>
  <si>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</si>
  <si>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</si>
  <si>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</si>
  <si>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</si>
  <si>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</si>
  <si>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</si>
  <si>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</si>
  <si>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</si>
  <si>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</si>
  <si>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</si>
  <si>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</si>
  <si>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</si>
  <si>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</si>
  <si>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</si>
  <si>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</si>
  <si>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</si>
  <si>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</si>
  <si>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</si>
  <si>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</si>
  <si>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</si>
  <si>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</si>
  <si>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</si>
  <si>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</si>
  <si>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</si>
  <si>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</si>
  <si>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</si>
  <si>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</si>
  <si>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</si>
  <si>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</si>
  <si>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</si>
  <si>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</si>
  <si>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</si>
  <si>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</si>
  <si>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</si>
  <si>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</si>
  <si>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</si>
  <si>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</si>
  <si>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</si>
  <si>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</si>
  <si>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</si>
  <si>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</si>
  <si>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</si>
  <si>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</si>
  <si>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</si>
  <si>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</si>
  <si>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</si>
  <si>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</si>
  <si>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</si>
  <si>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</si>
  <si>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</si>
  <si>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</si>
  <si>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</si>
  <si>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</si>
  <si>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</si>
  <si>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</si>
  <si>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</si>
  <si>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</si>
  <si>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</si>
  <si>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</si>
  <si>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</si>
  <si>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</si>
  <si>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</si>
  <si>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</si>
  <si>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</si>
  <si>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</si>
  <si>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</si>
  <si>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</si>
  <si>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</si>
  <si>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</si>
  <si>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</si>
  <si>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</si>
  <si>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</si>
  <si>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</si>
  <si>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</si>
  <si>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</si>
  <si>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</si>
  <si>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</si>
  <si>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</si>
  <si>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</si>
  <si>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</si>
  <si>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</si>
  <si>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</si>
  <si>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</si>
  <si>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</si>
  <si>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</si>
  <si>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</si>
  <si>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</si>
  <si>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</si>
  <si>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</si>
  <si>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</si>
  <si>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</si>
  <si>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</si>
  <si>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</si>
  <si>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</si>
  <si>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</si>
  <si>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</si>
  <si>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</si>
  <si>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</si>
  <si>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</si>
  <si>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</si>
  <si>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</si>
  <si>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</si>
  <si>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</si>
  <si>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</si>
  <si>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</si>
  <si>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</si>
  <si>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</si>
  <si>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</si>
  <si>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</si>
  <si>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</si>
  <si>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</si>
  <si>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</si>
  <si>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</si>
  <si>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</si>
  <si>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</si>
  <si>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</si>
  <si>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</si>
  <si>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</si>
  <si>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</si>
  <si>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</si>
  <si>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</si>
  <si>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</si>
  <si>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</si>
  <si>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</si>
  <si>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</si>
  <si>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</si>
  <si>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</si>
  <si>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</si>
  <si>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</si>
  <si>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</si>
  <si>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</si>
  <si>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</si>
  <si>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</si>
  <si>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</si>
  <si>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</si>
  <si>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</si>
  <si>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</si>
  <si>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</si>
  <si>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</si>
  <si>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</si>
  <si>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</si>
  <si>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</si>
  <si>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</si>
  <si>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</si>
  <si>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</si>
  <si>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</si>
  <si>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</si>
  <si>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</si>
  <si>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</si>
  <si>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</si>
  <si>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</si>
  <si>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</si>
  <si>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</si>
  <si>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</si>
  <si>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</si>
  <si>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</si>
  <si>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</si>
  <si>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</si>
  <si>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</si>
  <si>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</si>
  <si>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</si>
  <si>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</si>
  <si>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</si>
  <si>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</si>
  <si>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</si>
  <si>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</si>
  <si>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</si>
  <si>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</si>
  <si>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</si>
  <si>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</si>
  <si>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</si>
  <si>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</si>
  <si>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</si>
  <si>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</si>
  <si>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</si>
  <si>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</si>
  <si>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</si>
  <si>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</si>
  <si>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</si>
  <si>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</si>
  <si>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</si>
  <si>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</si>
  <si>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</si>
  <si>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</si>
  <si>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</si>
  <si>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</si>
  <si>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</si>
  <si>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</si>
  <si>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</si>
  <si>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</si>
  <si>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</si>
  <si>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</si>
  <si>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</si>
  <si>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</si>
  <si>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</si>
  <si>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</si>
  <si>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</si>
  <si>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</si>
  <si>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</si>
  <si>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</si>
  <si>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</si>
  <si>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</si>
  <si>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</si>
  <si>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</si>
  <si>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</si>
  <si>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</si>
  <si>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</si>
  <si>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</si>
  <si>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</si>
  <si>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</si>
  <si>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</si>
  <si>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</si>
  <si>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</si>
  <si>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</si>
  <si>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</si>
  <si>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</si>
  <si>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</si>
  <si>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</si>
  <si>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</si>
  <si>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</si>
  <si>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</si>
  <si>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</si>
  <si>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</si>
  <si>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</si>
  <si>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</si>
  <si>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</si>
  <si>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</si>
  <si>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</si>
  <si>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</si>
  <si>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</si>
  <si>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</si>
  <si>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</si>
  <si>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</si>
  <si>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</si>
  <si>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</si>
  <si>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</si>
  <si>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</si>
  <si>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</si>
  <si>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</si>
  <si>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</si>
  <si>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</si>
  <si>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</si>
  <si>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</si>
  <si>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</si>
  <si>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</si>
  <si>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</si>
  <si>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</si>
  <si>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</si>
  <si>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</si>
  <si>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</si>
  <si>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</si>
  <si>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</si>
  <si>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</si>
  <si>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</si>
  <si>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</si>
  <si>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</si>
  <si>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</si>
  <si>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</si>
  <si>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</si>
  <si>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</si>
  <si>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</si>
  <si>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</si>
  <si>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</si>
  <si>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</si>
  <si>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</si>
  <si>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</si>
  <si>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</si>
  <si>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</si>
  <si>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</si>
  <si>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</si>
  <si>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</si>
  <si>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</si>
  <si>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</si>
  <si>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</si>
  <si>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</si>
  <si>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</si>
  <si>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</si>
  <si>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</si>
  <si>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</si>
  <si>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</si>
  <si>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</si>
  <si>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</si>
  <si>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</si>
  <si>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</si>
  <si>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</si>
  <si>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</si>
  <si>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</si>
  <si>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</si>
  <si>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</si>
  <si>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</si>
  <si>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</si>
  <si>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</si>
  <si>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</si>
  <si>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</si>
  <si>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</si>
  <si>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</si>
  <si>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</si>
  <si>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</si>
  <si>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</si>
  <si>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</si>
  <si>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</si>
  <si>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</si>
  <si>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</si>
  <si>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</si>
  <si>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</si>
  <si>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</si>
  <si>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</si>
  <si>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</si>
  <si>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</si>
  <si>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</si>
  <si>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</si>
  <si>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</si>
  <si>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</si>
  <si>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</si>
  <si>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</si>
  <si>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</si>
  <si>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</si>
  <si>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</si>
  <si>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</si>
  <si>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</si>
  <si>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</si>
  <si>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</si>
  <si>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</si>
  <si>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</si>
  <si>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</si>
  <si>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</si>
  <si>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</si>
  <si>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</si>
  <si>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</si>
  <si>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</si>
  <si>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</si>
  <si>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</si>
  <si>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</si>
  <si>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</si>
  <si>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</si>
  <si>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</si>
  <si>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</si>
  <si>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</si>
  <si>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</si>
  <si>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</si>
  <si>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</si>
  <si>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</si>
  <si>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</si>
  <si>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</si>
  <si>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</si>
  <si>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</si>
  <si>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</si>
  <si>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</si>
  <si>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</si>
  <si>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</si>
  <si>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</si>
  <si>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</si>
  <si>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</si>
  <si>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</si>
  <si>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</si>
  <si>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</si>
  <si>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</si>
  <si>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</si>
  <si>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</si>
  <si>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</si>
  <si>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</si>
  <si>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</si>
  <si>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</si>
  <si>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</si>
  <si>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</si>
  <si>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</si>
  <si>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</si>
  <si>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</si>
  <si>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</si>
  <si>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</si>
  <si>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</si>
  <si>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</si>
  <si>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</si>
  <si>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</si>
  <si>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</si>
  <si>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</si>
  <si>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</si>
  <si>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</si>
  <si>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</si>
  <si>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</si>
  <si>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</si>
  <si>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</si>
  <si>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</si>
  <si>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</si>
  <si>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</si>
  <si>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</si>
  <si>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</si>
  <si>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</si>
  <si>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</si>
  <si>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</si>
  <si>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</si>
  <si>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</si>
  <si>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</si>
  <si>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</si>
  <si>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</si>
  <si>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</si>
  <si>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</si>
  <si>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</si>
  <si>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</si>
  <si>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</si>
  <si>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</si>
  <si>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</si>
  <si>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</si>
  <si>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</si>
  <si>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</si>
  <si>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</si>
  <si>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</si>
  <si>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</si>
  <si>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</si>
  <si>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</si>
  <si>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</si>
  <si>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</si>
  <si>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</si>
  <si>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</si>
  <si>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</si>
  <si>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</si>
  <si>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</si>
  <si>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</si>
  <si>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</si>
  <si>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</si>
  <si>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</si>
  <si>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</si>
  <si>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</si>
  <si>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</si>
  <si>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</si>
  <si>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</si>
  <si>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</si>
  <si>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</si>
  <si>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</si>
  <si>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</si>
  <si>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</si>
  <si>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</si>
  <si>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</si>
  <si>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</si>
  <si>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</si>
  <si>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</si>
  <si>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</si>
  <si>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</si>
  <si>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</si>
  <si>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</si>
  <si>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</si>
  <si>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</si>
  <si>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</si>
  <si>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</si>
  <si>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</si>
  <si>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</si>
  <si>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</si>
  <si>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</si>
  <si>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</si>
  <si>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</si>
  <si>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</si>
  <si>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</si>
  <si>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</si>
  <si>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</si>
  <si>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</si>
  <si>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</si>
  <si>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</si>
  <si>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</si>
  <si>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</si>
  <si>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</si>
  <si>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</si>
  <si>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</si>
  <si>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</si>
  <si>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</si>
  <si>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</si>
  <si>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</si>
  <si>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</si>
  <si>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</si>
  <si>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</si>
  <si>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</si>
  <si>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</si>
  <si>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</si>
  <si>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</si>
  <si>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</si>
  <si>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</si>
  <si>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</si>
  <si>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</si>
  <si>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</si>
  <si>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</si>
  <si>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</si>
  <si>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</si>
  <si>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</si>
  <si>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</si>
  <si>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</si>
  <si>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</si>
  <si>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</si>
  <si>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</si>
  <si>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</si>
  <si>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</si>
  <si>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</si>
  <si>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</si>
  <si>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</si>
  <si>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</si>
  <si>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</si>
  <si>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</si>
  <si>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</si>
  <si>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</si>
  <si>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</si>
  <si>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</si>
  <si>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</si>
  <si>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</si>
  <si>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</si>
  <si>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</si>
  <si>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</si>
  <si>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</si>
  <si>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</si>
  <si>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</si>
  <si>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</si>
  <si>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</si>
  <si>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</si>
  <si>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</si>
  <si>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</si>
  <si>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</si>
  <si>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</si>
  <si>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</si>
  <si>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</si>
  <si>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</si>
  <si>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</si>
  <si>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</si>
  <si>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</si>
  <si>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</si>
  <si>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</si>
  <si>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</si>
  <si>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</si>
  <si>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</si>
  <si>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</si>
  <si>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</si>
  <si>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</si>
  <si>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</si>
  <si>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</si>
  <si>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</si>
  <si>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</si>
  <si>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</si>
  <si>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</si>
  <si>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</si>
  <si>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</si>
  <si>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</si>
  <si>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</si>
  <si>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</si>
  <si>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</si>
  <si>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</si>
  <si>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</si>
  <si>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</si>
  <si>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</si>
  <si>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</si>
  <si>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</si>
  <si>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</si>
  <si>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</si>
  <si>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</si>
  <si>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</si>
  <si>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</si>
  <si>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</si>
  <si>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</si>
  <si>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</si>
  <si>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</si>
  <si>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</si>
  <si>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</si>
  <si>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</si>
  <si>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</si>
  <si>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</si>
  <si>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</si>
  <si>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</si>
  <si>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</si>
  <si>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</si>
  <si>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</si>
  <si>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</si>
  <si>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</si>
  <si>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</si>
  <si>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</si>
  <si>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</si>
  <si>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</si>
  <si>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</si>
  <si>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</si>
  <si>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</si>
  <si>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</si>
  <si>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</si>
  <si>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</si>
  <si>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</si>
  <si>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</si>
  <si>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</si>
  <si>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</si>
  <si>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</si>
  <si>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</si>
  <si>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</si>
  <si>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</si>
  <si>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</si>
  <si>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</si>
  <si>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</si>
  <si>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</si>
  <si>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</si>
  <si>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</si>
  <si>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</si>
  <si>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</si>
  <si>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</si>
  <si>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</si>
  <si>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</si>
  <si>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</si>
  <si>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</si>
  <si>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</si>
  <si>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</si>
  <si>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</si>
  <si>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</si>
  <si>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</si>
  <si>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</si>
  <si>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</si>
  <si>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</si>
  <si>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</si>
  <si>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</si>
  <si>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</si>
  <si>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</si>
  <si>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</si>
  <si>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</si>
  <si>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</si>
  <si>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</si>
  <si>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</si>
  <si>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</si>
  <si>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</si>
  <si>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</si>
  <si>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</si>
  <si>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</si>
  <si>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</si>
  <si>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</si>
  <si>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</si>
  <si>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</si>
  <si>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</si>
  <si>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</si>
  <si>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</si>
  <si>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</si>
  <si>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</si>
  <si>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</si>
  <si>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</si>
  <si>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</si>
  <si>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</si>
  <si>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</si>
  <si>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</si>
  <si>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</si>
  <si>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</si>
  <si>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</si>
  <si>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</si>
  <si>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</si>
  <si>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</si>
  <si>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</si>
  <si>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</si>
  <si>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</si>
  <si>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</si>
  <si>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</si>
  <si>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</si>
  <si>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</si>
  <si>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</si>
  <si>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</si>
  <si>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</si>
  <si>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</si>
  <si>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</si>
  <si>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</si>
  <si>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</si>
  <si>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</si>
  <si>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</si>
  <si>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</si>
  <si>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</si>
  <si>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</si>
  <si>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</si>
  <si>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</si>
  <si>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</si>
  <si>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</si>
  <si>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</si>
  <si>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</si>
  <si>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</si>
  <si>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</si>
  <si>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</si>
  <si>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</si>
  <si>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</si>
  <si>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</si>
  <si>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</si>
  <si>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</si>
  <si>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</si>
  <si>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</si>
  <si>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</si>
  <si>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</si>
  <si>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</si>
  <si>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</si>
  <si>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</si>
  <si>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</si>
  <si>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</si>
  <si>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</si>
  <si>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</si>
  <si>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</si>
  <si>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</si>
  <si>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</si>
  <si>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</si>
  <si>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</si>
  <si>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</si>
  <si>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</si>
  <si>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</si>
  <si>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</si>
  <si>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</si>
  <si>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</si>
  <si>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</si>
  <si>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</si>
  <si>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</si>
  <si>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</si>
  <si>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</si>
  <si>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</si>
  <si>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</si>
  <si>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</si>
  <si>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</si>
  <si>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</si>
  <si>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</si>
  <si>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</si>
  <si>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</si>
  <si>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</si>
  <si>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</si>
  <si>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</si>
  <si>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</si>
  <si>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</si>
  <si>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</si>
  <si>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</si>
  <si>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</si>
  <si>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</si>
  <si>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</si>
  <si>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</si>
  <si>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</si>
  <si>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</si>
  <si>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</si>
  <si>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</si>
  <si>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</si>
  <si>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</si>
  <si>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</si>
  <si>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</si>
  <si>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</si>
  <si>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</si>
  <si>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</si>
  <si>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</si>
  <si>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</si>
  <si>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</si>
  <si>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</si>
  <si>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</si>
  <si>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</si>
  <si>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</si>
  <si>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</si>
  <si>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</si>
  <si>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</si>
  <si>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</si>
  <si>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</si>
  <si>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</si>
  <si>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</si>
  <si>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</si>
  <si>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</si>
  <si>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</si>
  <si>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</si>
  <si>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</si>
  <si>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</si>
  <si>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</si>
  <si>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</si>
  <si>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</si>
  <si>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</si>
  <si>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</si>
  <si>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</si>
  <si>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</si>
  <si>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</si>
  <si>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</si>
  <si>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</si>
  <si>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</si>
  <si>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</si>
  <si>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</si>
  <si>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</si>
  <si>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</si>
  <si>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</si>
  <si>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</si>
  <si>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</si>
  <si>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</si>
  <si>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</si>
  <si>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</si>
  <si>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</si>
  <si>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</si>
  <si>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</si>
  <si>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</si>
  <si>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</si>
  <si>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</si>
  <si>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</si>
  <si>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</si>
  <si>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</si>
  <si>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</si>
  <si>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</si>
  <si>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</si>
  <si>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</si>
  <si>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</si>
  <si>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</si>
  <si>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</si>
  <si>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</si>
  <si>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</si>
  <si>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</si>
  <si>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</si>
  <si>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</si>
  <si>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</si>
  <si>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</si>
  <si>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</si>
  <si>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</si>
  <si>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</si>
  <si>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</si>
  <si>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</si>
  <si>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</si>
  <si>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</si>
  <si>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</si>
  <si>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</si>
  <si>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</si>
  <si>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</si>
  <si>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</si>
  <si>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</si>
  <si>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</si>
  <si>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</si>
  <si>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</si>
  <si>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</si>
  <si>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</si>
  <si>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</si>
  <si>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</si>
  <si>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</si>
  <si>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</si>
  <si>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</si>
  <si>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</si>
  <si>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</si>
  <si>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</si>
  <si>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</si>
  <si>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</si>
  <si>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</si>
  <si>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</si>
  <si>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</si>
  <si>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</si>
  <si>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</si>
  <si>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</si>
  <si>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</si>
  <si>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</si>
  <si>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</si>
  <si>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</si>
  <si>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</si>
  <si>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</si>
  <si>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</si>
  <si>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</si>
  <si>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</si>
  <si>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</si>
  <si>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</si>
  <si>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</si>
  <si>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</si>
  <si>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</si>
  <si>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</si>
  <si>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</si>
  <si>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</si>
  <si>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</si>
  <si>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</si>
  <si>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</si>
  <si>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</si>
  <si>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</si>
  <si>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</si>
  <si>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</si>
  <si>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</si>
  <si>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</si>
  <si>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</si>
  <si>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</si>
  <si>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</si>
  <si>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</si>
  <si>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</si>
  <si>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</si>
  <si>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</si>
  <si>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</si>
  <si>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</si>
  <si>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</si>
  <si>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</si>
  <si>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</si>
  <si>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</si>
  <si>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</si>
  <si>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</si>
  <si>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</si>
  <si>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</si>
  <si>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</si>
  <si>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</si>
  <si>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</si>
  <si>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</si>
  <si>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</si>
  <si>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</si>
  <si>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</si>
  <si>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</si>
  <si>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</si>
  <si>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</si>
  <si>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</si>
  <si>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</si>
  <si>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</si>
  <si>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</si>
  <si>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</si>
  <si>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</si>
  <si>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</si>
  <si>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</si>
  <si>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</si>
  <si>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</si>
  <si>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</si>
  <si>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</si>
  <si>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</si>
  <si>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</si>
  <si>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</si>
  <si>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</si>
  <si>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</si>
  <si>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</si>
  <si>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</si>
  <si>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</si>
  <si>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</si>
  <si>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</si>
  <si>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</si>
  <si>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</si>
  <si>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</si>
  <si>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</si>
  <si>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</si>
  <si>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</si>
  <si>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</si>
  <si>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</si>
  <si>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</si>
  <si>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</si>
  <si>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</si>
  <si>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</si>
  <si>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</si>
  <si>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</si>
  <si>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</si>
  <si>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</si>
  <si>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</si>
  <si>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</si>
  <si>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</si>
  <si>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</si>
  <si>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</si>
  <si>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</si>
  <si>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</si>
  <si>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</si>
  <si>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</si>
  <si>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</si>
  <si>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</si>
  <si>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</si>
  <si>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</si>
  <si>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</si>
  <si>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</si>
  <si>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</si>
  <si>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</si>
  <si>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</si>
  <si>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</si>
  <si>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</si>
  <si>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</si>
  <si>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</si>
  <si>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</si>
  <si>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</si>
  <si>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</si>
  <si>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</si>
  <si>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</si>
  <si>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</si>
  <si>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</si>
  <si>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</si>
  <si>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</si>
  <si>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</si>
  <si>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</si>
  <si>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</si>
  <si>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</si>
  <si>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</si>
  <si>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</si>
  <si>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</si>
  <si>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</si>
  <si>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</si>
  <si>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</si>
  <si>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</si>
  <si>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</si>
  <si>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</si>
  <si>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</si>
  <si>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</si>
  <si>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</si>
  <si>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</si>
  <si>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</si>
  <si>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</si>
  <si>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</si>
  <si>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</si>
  <si>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</si>
  <si>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</si>
  <si>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</si>
  <si>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</si>
  <si>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</si>
  <si>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</si>
  <si>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</si>
  <si>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</si>
  <si>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</si>
  <si>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</si>
  <si>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</si>
  <si>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</si>
  <si>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</si>
  <si>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</si>
  <si>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</si>
  <si>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</si>
  <si>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</si>
  <si>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</si>
  <si>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</si>
  <si>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</si>
  <si>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</si>
  <si>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</si>
  <si>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</si>
  <si>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</si>
  <si>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</si>
  <si>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</si>
  <si>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</si>
  <si>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</si>
  <si>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</si>
  <si>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</si>
  <si>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</si>
  <si>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</si>
  <si>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</si>
  <si>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</si>
  <si>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</si>
  <si>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</si>
  <si>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</si>
  <si>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</si>
  <si>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</si>
  <si>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</si>
  <si>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</si>
  <si>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</si>
  <si>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</si>
  <si>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</si>
  <si>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</si>
  <si>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</si>
  <si>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</si>
  <si>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</si>
  <si>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</si>
  <si>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</si>
  <si>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</si>
  <si>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</si>
  <si>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</si>
  <si>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</si>
  <si>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</si>
  <si>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</si>
  <si>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</si>
  <si>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</si>
  <si>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</si>
  <si>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</si>
  <si>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</si>
  <si>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</si>
  <si>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</si>
  <si>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</si>
  <si>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</si>
  <si>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</si>
  <si>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</si>
  <si>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</si>
  <si>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</si>
  <si>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</si>
  <si>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</si>
  <si>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</si>
  <si>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</si>
  <si>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</si>
  <si>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</si>
  <si>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</si>
  <si>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</si>
  <si>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</si>
  <si>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</si>
  <si>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</si>
  <si>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</si>
  <si>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</si>
  <si>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</si>
  <si>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</si>
  <si>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</si>
  <si>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</si>
  <si>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</si>
  <si>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</si>
  <si>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</si>
  <si>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</si>
  <si>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</si>
  <si>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</si>
  <si>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</si>
  <si>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</si>
  <si>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</si>
  <si>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</si>
  <si>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</si>
  <si>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</si>
  <si>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</si>
  <si>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</si>
  <si>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</si>
  <si>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</si>
  <si>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</si>
  <si>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</si>
  <si>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</si>
  <si>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</si>
  <si>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</si>
  <si>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</si>
  <si>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</si>
  <si>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</si>
  <si>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</si>
  <si>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</si>
  <si>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</si>
  <si>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</si>
  <si>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</si>
  <si>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</si>
  <si>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</si>
  <si>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</si>
  <si>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</si>
  <si>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</si>
  <si>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</si>
  <si>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</si>
  <si>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</si>
  <si>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</si>
  <si>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</si>
  <si>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</si>
  <si>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</si>
  <si>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</si>
  <si>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</si>
  <si>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</si>
  <si>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</si>
  <si>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</si>
  <si>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</si>
  <si>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</si>
  <si>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</si>
  <si>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</si>
  <si>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</si>
  <si>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</si>
  <si>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</si>
  <si>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</si>
  <si>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</si>
  <si>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</si>
  <si>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</si>
  <si>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</si>
  <si>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</si>
  <si>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</si>
  <si>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</si>
  <si>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</si>
  <si>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</si>
  <si>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</si>
  <si>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</si>
  <si>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</si>
  <si>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</si>
  <si>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</si>
  <si>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</si>
  <si>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</si>
  <si>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</si>
  <si>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</si>
  <si>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</si>
  <si>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</si>
  <si>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</si>
  <si>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</si>
  <si>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</si>
  <si>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</si>
  <si>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</si>
  <si>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</si>
  <si>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</si>
  <si>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</si>
  <si>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</si>
  <si>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</si>
  <si>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</si>
  <si>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</si>
  <si>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</si>
  <si>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</si>
  <si>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</si>
  <si>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</si>
  <si>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</si>
  <si>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</si>
  <si>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</si>
  <si>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</si>
  <si>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</si>
  <si>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</si>
  <si>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</si>
  <si>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</si>
  <si>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</si>
  <si>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</si>
  <si>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</si>
  <si>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</si>
  <si>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</si>
  <si>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</si>
  <si>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</si>
  <si>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</si>
  <si>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</si>
  <si>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</si>
  <si>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</si>
  <si>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</si>
  <si>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</si>
  <si>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</si>
  <si>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</si>
  <si>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</si>
  <si>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</si>
  <si>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</si>
  <si>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</si>
  <si>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</si>
  <si>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</si>
  <si>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</si>
  <si>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</si>
  <si>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</si>
  <si>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</si>
  <si>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</si>
  <si>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</si>
  <si>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</si>
  <si>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</si>
  <si>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</si>
  <si>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</si>
  <si>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</si>
  <si>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</si>
  <si>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</si>
  <si>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</si>
  <si>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</si>
  <si>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</si>
  <si>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</si>
  <si>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</si>
  <si>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</si>
  <si>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</si>
  <si>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</si>
  <si>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</si>
  <si>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</si>
  <si>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</si>
  <si>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</si>
  <si>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</si>
  <si>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</si>
  <si>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</si>
  <si>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</si>
  <si>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</si>
  <si>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</si>
  <si>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</si>
  <si>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</si>
  <si>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</si>
  <si>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</si>
  <si>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</si>
  <si>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</si>
  <si>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</si>
  <si>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</si>
  <si>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</si>
  <si>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</si>
  <si>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</si>
  <si>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</si>
  <si>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</si>
  <si>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</si>
  <si>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</si>
  <si>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</si>
  <si>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</si>
  <si>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</si>
  <si>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</si>
  <si>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</si>
  <si>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</si>
  <si>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</si>
  <si>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</si>
  <si>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</si>
  <si>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</si>
  <si>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</si>
  <si>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</si>
  <si>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</si>
  <si>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</si>
  <si>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</si>
  <si>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</si>
  <si>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</si>
  <si>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</si>
  <si>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</si>
  <si>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</si>
  <si>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</si>
  <si>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</si>
  <si>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</si>
  <si>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</si>
  <si>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</si>
  <si>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</si>
  <si>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</si>
  <si>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</si>
  <si>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</si>
  <si>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</si>
  <si>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</si>
  <si>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</si>
  <si>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</si>
  <si>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</si>
  <si>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</si>
  <si>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</si>
  <si>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</si>
  <si>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</si>
  <si>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</si>
  <si>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</si>
  <si>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</si>
  <si>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</si>
  <si>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</si>
  <si>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</si>
  <si>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</si>
  <si>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</si>
  <si>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</si>
  <si>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</si>
  <si>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</si>
  <si>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</si>
  <si>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</si>
  <si>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</si>
  <si>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</si>
  <si>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</si>
  <si>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</si>
  <si>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</si>
  <si>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</si>
  <si>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</si>
  <si>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</si>
  <si>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</si>
  <si>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</si>
  <si>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</si>
  <si>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</si>
  <si>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</si>
  <si>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</si>
  <si>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</si>
  <si>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</si>
  <si>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</si>
  <si>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</si>
  <si>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</si>
  <si>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</si>
  <si>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</si>
  <si>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</si>
  <si>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</si>
  <si>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</si>
  <si>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</si>
  <si>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</si>
  <si>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</si>
  <si>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</si>
  <si>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</si>
  <si>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</si>
  <si>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</si>
  <si>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</si>
  <si>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</si>
  <si>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</si>
  <si>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</si>
  <si>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</si>
  <si>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</si>
  <si>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</si>
  <si>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</si>
  <si>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</si>
  <si>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</si>
  <si>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</si>
  <si>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</si>
  <si>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</si>
  <si>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</si>
  <si>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</si>
  <si>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</si>
  <si>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</si>
  <si>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</si>
  <si>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</si>
  <si>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</si>
  <si>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</si>
  <si>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</si>
  <si>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</si>
  <si>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</si>
  <si>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</si>
  <si>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</si>
  <si>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</si>
  <si>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</si>
  <si>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</si>
  <si>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</si>
  <si>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</si>
  <si>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</si>
  <si>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</si>
  <si>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</si>
  <si>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</si>
  <si>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</si>
  <si>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</si>
  <si>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</si>
  <si>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</si>
  <si>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</si>
  <si>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</si>
  <si>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</si>
  <si>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</si>
  <si>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</si>
  <si>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</si>
  <si>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</si>
  <si>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</si>
  <si>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</si>
  <si>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</si>
  <si>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</si>
  <si>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</si>
  <si>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</si>
  <si>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</si>
  <si>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</si>
  <si>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</si>
  <si>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</si>
  <si>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</si>
  <si>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</si>
  <si>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</si>
  <si>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</si>
  <si>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</si>
  <si>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</si>
  <si>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</si>
  <si>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</si>
  <si>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</si>
  <si>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</si>
  <si>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</si>
  <si>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</si>
  <si>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</si>
  <si>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</si>
  <si>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</si>
  <si>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</si>
  <si>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</si>
  <si>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</si>
  <si>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</si>
  <si>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</si>
  <si>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</si>
  <si>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</si>
  <si>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</si>
  <si>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</si>
  <si>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</si>
  <si>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</si>
  <si>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</si>
  <si>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</si>
  <si>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</si>
  <si>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</si>
  <si>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</si>
  <si>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</si>
  <si>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</si>
  <si>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</si>
  <si>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</si>
  <si>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</si>
  <si>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</si>
  <si>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</si>
  <si>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</si>
  <si>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</si>
  <si>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</si>
  <si>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</si>
  <si>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</si>
  <si>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</si>
  <si>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</si>
  <si>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</si>
  <si>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</si>
  <si>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</si>
  <si>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</si>
  <si>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</si>
  <si>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</si>
  <si>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</si>
  <si>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</si>
  <si>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</si>
  <si>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</si>
  <si>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</si>
  <si>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</si>
  <si>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</si>
  <si>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</si>
  <si>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</si>
  <si>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</si>
  <si>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</si>
  <si>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</si>
  <si>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</si>
  <si>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</si>
  <si>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</si>
  <si>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</si>
  <si>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</si>
  <si>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</si>
  <si>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</si>
  <si>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</si>
  <si>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</si>
  <si>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</si>
  <si>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</si>
  <si>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</si>
  <si>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</si>
  <si>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</si>
  <si>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</si>
  <si>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</si>
  <si>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</si>
  <si>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</si>
  <si>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</si>
  <si>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</si>
  <si>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</si>
  <si>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</si>
  <si>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</si>
  <si>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</si>
  <si>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</si>
  <si>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</si>
  <si>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</si>
  <si>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</si>
  <si>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</si>
  <si>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</si>
  <si>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P2588</t>
  </si>
  <si>
    <t>P2589</t>
  </si>
  <si>
    <t>P2590</t>
  </si>
  <si>
    <t>P2591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</si>
  <si>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</si>
  <si>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</si>
  <si>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</si>
  <si>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</si>
  <si>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</si>
  <si>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</si>
  <si>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</si>
  <si>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</si>
  <si>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</si>
  <si>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</si>
  <si>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</si>
  <si>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</si>
  <si>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</si>
  <si>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</si>
  <si>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</si>
  <si>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</si>
  <si>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</si>
  <si>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</si>
  <si>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</si>
  <si>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</si>
  <si>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</si>
  <si>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P2613</t>
  </si>
  <si>
    <t>P2614</t>
  </si>
  <si>
    <t>P2615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</si>
  <si>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</si>
  <si>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</si>
  <si>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</si>
  <si>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</si>
  <si>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</si>
  <si>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</si>
  <si>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</si>
  <si>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</si>
  <si>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</si>
  <si>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</si>
  <si>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</si>
  <si>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</si>
  <si>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</si>
  <si>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</si>
  <si>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</si>
  <si>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</si>
  <si>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</si>
  <si>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</si>
  <si>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</si>
  <si>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</si>
  <si>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</si>
  <si>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</si>
  <si>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</si>
  <si>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</si>
  <si>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</si>
  <si>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</si>
  <si>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</si>
  <si>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</si>
  <si>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</si>
  <si>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</si>
  <si>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</si>
  <si>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</si>
  <si>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</si>
  <si>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</si>
  <si>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</si>
  <si>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</si>
  <si>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</si>
  <si>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</si>
  <si>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</si>
  <si>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</si>
  <si>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</si>
  <si>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</si>
  <si>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</si>
  <si>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</si>
  <si>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</si>
  <si>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</si>
  <si>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</si>
  <si>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</si>
  <si>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</si>
  <si>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</si>
  <si>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</si>
  <si>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</si>
  <si>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</si>
  <si>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</si>
  <si>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</si>
  <si>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</si>
  <si>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</si>
  <si>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</si>
  <si>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</si>
  <si>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</si>
  <si>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P2676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</si>
  <si>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</si>
  <si>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</si>
  <si>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</si>
  <si>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</si>
  <si>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</si>
  <si>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</si>
  <si>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</si>
  <si>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</si>
  <si>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</si>
  <si>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</si>
  <si>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</si>
  <si>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</si>
  <si>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</si>
  <si>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</si>
  <si>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</si>
  <si>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</si>
  <si>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</si>
  <si>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</si>
  <si>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</si>
  <si>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</si>
  <si>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</si>
  <si>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</si>
  <si>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</si>
  <si>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</si>
  <si>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</si>
  <si>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</si>
  <si>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</si>
  <si>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</si>
  <si>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</si>
  <si>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</si>
  <si>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</si>
  <si>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</si>
  <si>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</si>
  <si>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</si>
  <si>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</si>
  <si>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</si>
  <si>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</si>
  <si>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</si>
  <si>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</si>
  <si>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</si>
  <si>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</si>
  <si>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</si>
  <si>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</si>
  <si>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</si>
  <si>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</si>
  <si>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</si>
  <si>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</si>
  <si>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</si>
  <si>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</si>
  <si>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</si>
  <si>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</si>
  <si>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</si>
  <si>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</si>
  <si>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</si>
  <si>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</si>
  <si>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</si>
  <si>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</si>
  <si>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</si>
  <si>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</si>
  <si>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</si>
  <si>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</si>
  <si>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P2738</t>
  </si>
  <si>
    <t>P2739</t>
  </si>
  <si>
    <t>P2740</t>
  </si>
  <si>
    <t>P2741</t>
  </si>
  <si>
    <t>P2742</t>
  </si>
  <si>
    <t>P2743</t>
  </si>
  <si>
    <t>P2744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</si>
  <si>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</si>
  <si>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</si>
  <si>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</si>
  <si>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</si>
  <si>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</si>
  <si>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</si>
  <si>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</si>
  <si>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</si>
  <si>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</si>
  <si>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</si>
  <si>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</si>
  <si>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</si>
  <si>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</si>
  <si>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</si>
  <si>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</si>
  <si>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</si>
  <si>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</si>
  <si>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</si>
  <si>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</si>
  <si>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</si>
  <si>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</si>
  <si>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</si>
  <si>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</si>
  <si>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</si>
  <si>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</si>
  <si>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</si>
  <si>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</si>
  <si>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</si>
  <si>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</si>
  <si>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</si>
  <si>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</si>
  <si>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</si>
  <si>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</si>
  <si>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</si>
  <si>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</si>
  <si>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</si>
  <si>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</si>
  <si>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</si>
  <si>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</si>
  <si>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</si>
  <si>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</si>
  <si>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</si>
  <si>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</si>
  <si>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</si>
  <si>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</si>
  <si>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</si>
  <si>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</si>
  <si>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</si>
  <si>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</si>
  <si>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</si>
  <si>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</si>
  <si>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</si>
  <si>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</si>
  <si>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</si>
  <si>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</si>
  <si>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</si>
  <si>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</si>
  <si>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</si>
  <si>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</si>
  <si>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</si>
  <si>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</si>
  <si>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</si>
  <si>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</si>
  <si>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</si>
  <si>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</si>
  <si>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</si>
  <si>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</si>
  <si>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</si>
  <si>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</si>
  <si>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</si>
  <si>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</si>
  <si>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</si>
  <si>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</si>
  <si>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</si>
  <si>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</si>
  <si>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</si>
  <si>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</si>
  <si>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</si>
  <si>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</si>
  <si>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</si>
  <si>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</si>
  <si>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</si>
  <si>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</si>
  <si>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</si>
  <si>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</si>
  <si>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</si>
  <si>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</si>
  <si>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</si>
  <si>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</si>
  <si>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</si>
  <si>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</si>
  <si>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</si>
  <si>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</si>
  <si>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</si>
  <si>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</si>
  <si>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</si>
  <si>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</si>
  <si>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</si>
  <si>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</si>
  <si>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</si>
  <si>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</si>
  <si>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</si>
  <si>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</si>
  <si>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</si>
  <si>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</si>
  <si>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</si>
  <si>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</si>
  <si>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</si>
  <si>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</si>
  <si>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</si>
  <si>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</si>
  <si>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</si>
  <si>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</si>
  <si>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</si>
  <si>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</si>
  <si>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</si>
  <si>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</si>
  <si>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</si>
  <si>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</si>
  <si>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</si>
  <si>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</si>
  <si>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</si>
  <si>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</si>
  <si>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</si>
  <si>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</si>
  <si>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</si>
  <si>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</si>
  <si>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</si>
  <si>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</si>
  <si>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</si>
  <si>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</si>
  <si>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</si>
  <si>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</si>
  <si>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</si>
  <si>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</si>
  <si>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</si>
  <si>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</si>
  <si>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</si>
  <si>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</si>
  <si>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</si>
  <si>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</si>
  <si>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</si>
  <si>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</si>
  <si>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</si>
  <si>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</si>
  <si>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</si>
  <si>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</si>
  <si>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</si>
  <si>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</si>
  <si>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</si>
  <si>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</si>
  <si>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</si>
  <si>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</si>
  <si>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P2898</t>
  </si>
  <si>
    <t>P2899</t>
  </si>
  <si>
    <t>P2900</t>
  </si>
  <si>
    <t>P2901</t>
  </si>
  <si>
    <t>P2902</t>
  </si>
  <si>
    <t>P2903</t>
  </si>
  <si>
    <t>P2904</t>
  </si>
  <si>
    <t>P2905</t>
  </si>
  <si>
    <t>P2906</t>
  </si>
  <si>
    <t>P2907</t>
  </si>
  <si>
    <t>P2908</t>
  </si>
  <si>
    <t>P2909</t>
  </si>
  <si>
    <t>P2910</t>
  </si>
  <si>
    <t>P2911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</si>
  <si>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</si>
  <si>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</si>
  <si>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</si>
  <si>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</si>
  <si>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</si>
  <si>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</si>
  <si>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</si>
  <si>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</si>
  <si>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</si>
  <si>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</si>
  <si>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</si>
  <si>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</si>
  <si>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</si>
  <si>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</si>
  <si>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</si>
  <si>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</si>
  <si>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</si>
  <si>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</si>
  <si>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</si>
  <si>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</si>
  <si>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</si>
  <si>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</si>
  <si>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</si>
  <si>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</si>
  <si>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</si>
  <si>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</si>
  <si>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</si>
  <si>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</si>
  <si>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</si>
  <si>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</si>
  <si>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P2942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</si>
  <si>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</si>
  <si>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</si>
  <si>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</si>
  <si>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</si>
  <si>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</si>
  <si>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</si>
  <si>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</si>
  <si>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</si>
  <si>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</si>
  <si>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</si>
  <si>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</si>
  <si>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</si>
  <si>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</si>
  <si>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</si>
  <si>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</si>
  <si>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</si>
  <si>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</si>
  <si>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</si>
  <si>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</si>
  <si>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P2962</t>
  </si>
  <si>
    <t>P2963</t>
  </si>
  <si>
    <t>P2964</t>
  </si>
  <si>
    <t>P2965</t>
  </si>
  <si>
    <t>P2966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</si>
  <si>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</si>
  <si>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</si>
  <si>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</si>
  <si>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</si>
  <si>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</si>
  <si>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</si>
  <si>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</si>
  <si>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</si>
  <si>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</si>
  <si>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</si>
  <si>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</si>
  <si>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</si>
  <si>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</si>
  <si>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</si>
  <si>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</si>
  <si>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</si>
  <si>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</si>
  <si>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</si>
  <si>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</si>
  <si>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</si>
  <si>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</si>
  <si>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</si>
  <si>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</si>
  <si>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</si>
  <si>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</si>
  <si>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</si>
  <si>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</si>
  <si>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</si>
  <si>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</si>
  <si>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</si>
  <si>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</si>
  <si>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</si>
  <si>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</si>
  <si>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</si>
  <si>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</si>
  <si>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</si>
  <si>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</si>
  <si>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</si>
  <si>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</si>
  <si>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</si>
  <si>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</si>
  <si>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</si>
  <si>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</si>
  <si>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</si>
  <si>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</si>
  <si>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</si>
  <si>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</si>
  <si>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</si>
  <si>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</si>
  <si>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</si>
  <si>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</si>
  <si>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</si>
  <si>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</si>
  <si>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</si>
  <si>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</si>
  <si>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</si>
  <si>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</si>
  <si>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</si>
  <si>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</si>
  <si>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</si>
  <si>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</si>
  <si>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</si>
  <si>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</si>
  <si>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</si>
  <si>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</si>
  <si>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</si>
  <si>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</si>
  <si>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</si>
  <si>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</si>
  <si>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</si>
  <si>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</si>
  <si>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</si>
  <si>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</si>
  <si>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</si>
  <si>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</si>
  <si>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</si>
  <si>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</si>
  <si>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</si>
  <si>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</si>
  <si>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</si>
  <si>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</si>
  <si>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</si>
  <si>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</si>
  <si>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</si>
  <si>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</si>
  <si>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</si>
  <si>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</si>
  <si>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</si>
  <si>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</si>
  <si>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</si>
  <si>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</si>
  <si>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</si>
  <si>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</si>
  <si>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</si>
  <si>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</si>
  <si>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</si>
  <si>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</si>
  <si>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</si>
  <si>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</si>
  <si>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</si>
  <si>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</si>
  <si>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</si>
  <si>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</si>
  <si>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</si>
  <si>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</si>
  <si>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P3072</t>
  </si>
  <si>
    <t>P3073</t>
  </si>
  <si>
    <t>P3074</t>
  </si>
  <si>
    <t>P3075</t>
  </si>
  <si>
    <t>P3076</t>
  </si>
  <si>
    <t>P3077</t>
  </si>
  <si>
    <t>P3078</t>
  </si>
  <si>
    <t>P3079</t>
  </si>
  <si>
    <t>P3080</t>
  </si>
  <si>
    <t>P3081</t>
  </si>
  <si>
    <t>P3082</t>
  </si>
  <si>
    <t>P3083</t>
  </si>
  <si>
    <t>P3084</t>
  </si>
  <si>
    <t>P3085</t>
  </si>
  <si>
    <t>P3086</t>
  </si>
  <si>
    <t>P3087</t>
  </si>
  <si>
    <t>P3088</t>
  </si>
  <si>
    <t>P3089</t>
  </si>
  <si>
    <t>P3090</t>
  </si>
  <si>
    <t>P3091</t>
  </si>
  <si>
    <t>P3092</t>
  </si>
  <si>
    <t>P3093</t>
  </si>
  <si>
    <t>P3094</t>
  </si>
  <si>
    <t>P3095</t>
  </si>
  <si>
    <t>P3096</t>
  </si>
  <si>
    <t>P3097</t>
  </si>
  <si>
    <t>P3098</t>
  </si>
  <si>
    <t>P3099</t>
  </si>
  <si>
    <t>P3100</t>
  </si>
  <si>
    <t>P3101</t>
  </si>
  <si>
    <t>P3102</t>
  </si>
  <si>
    <t>P3103</t>
  </si>
  <si>
    <t>P3104</t>
  </si>
  <si>
    <t>P3105</t>
  </si>
  <si>
    <t>P3106</t>
  </si>
  <si>
    <t>P3107</t>
  </si>
  <si>
    <t>P3108</t>
  </si>
  <si>
    <t>P3109</t>
  </si>
  <si>
    <t>P3110</t>
  </si>
  <si>
    <t>P3111</t>
  </si>
  <si>
    <t>P3112</t>
  </si>
  <si>
    <t>P3113</t>
  </si>
  <si>
    <t>P3114</t>
  </si>
  <si>
    <t>P3115</t>
  </si>
  <si>
    <t>P3116</t>
  </si>
  <si>
    <t>P3117</t>
  </si>
  <si>
    <t>P3118</t>
  </si>
  <si>
    <t>P3119</t>
  </si>
  <si>
    <t>P3120</t>
  </si>
  <si>
    <t>P3121</t>
  </si>
  <si>
    <t>P3122</t>
  </si>
  <si>
    <t>P3123</t>
  </si>
  <si>
    <t>P3124</t>
  </si>
  <si>
    <t>P3125</t>
  </si>
  <si>
    <t>P3126</t>
  </si>
  <si>
    <t>P3127</t>
  </si>
  <si>
    <t>P3128</t>
  </si>
  <si>
    <t>P3129</t>
  </si>
  <si>
    <t>P3130</t>
  </si>
  <si>
    <t>P3131</t>
  </si>
  <si>
    <t>P3132</t>
  </si>
  <si>
    <t>P3133</t>
  </si>
  <si>
    <t>P3134</t>
  </si>
  <si>
    <t>P3135</t>
  </si>
  <si>
    <t>P3136</t>
  </si>
  <si>
    <t>P3137</t>
  </si>
  <si>
    <t>P3138</t>
  </si>
  <si>
    <t>P3139</t>
  </si>
  <si>
    <t>P3140</t>
  </si>
  <si>
    <t>P3141</t>
  </si>
  <si>
    <t>P3142</t>
  </si>
  <si>
    <t>P3143</t>
  </si>
  <si>
    <t>P3144</t>
  </si>
  <si>
    <t>P3145</t>
  </si>
  <si>
    <t>P3146</t>
  </si>
  <si>
    <t>P3147</t>
  </si>
  <si>
    <t>P3148</t>
  </si>
  <si>
    <t>P3149</t>
  </si>
  <si>
    <t>P3150</t>
  </si>
  <si>
    <t>P3151</t>
  </si>
  <si>
    <t>P3152</t>
  </si>
  <si>
    <t>P3153</t>
  </si>
  <si>
    <t>P3154</t>
  </si>
  <si>
    <t>P3155</t>
  </si>
  <si>
    <t>P3156</t>
  </si>
  <si>
    <t>P3157</t>
  </si>
  <si>
    <t>P3158</t>
  </si>
  <si>
    <t>P3159</t>
  </si>
  <si>
    <t>P3160</t>
  </si>
  <si>
    <t>P3161</t>
  </si>
  <si>
    <t>P3162</t>
  </si>
  <si>
    <t>P3163</t>
  </si>
  <si>
    <t>P3164</t>
  </si>
  <si>
    <t>P3165</t>
  </si>
  <si>
    <t>P3166</t>
  </si>
  <si>
    <t>P3167</t>
  </si>
  <si>
    <t>P3168</t>
  </si>
  <si>
    <t>P3169</t>
  </si>
  <si>
    <t>P3170</t>
  </si>
  <si>
    <t>P3171</t>
  </si>
  <si>
    <t>P3172</t>
  </si>
  <si>
    <t>P3173</t>
  </si>
  <si>
    <t>P3174</t>
  </si>
  <si>
    <t>P3175</t>
  </si>
  <si>
    <t>P3176</t>
  </si>
  <si>
    <t>P3177</t>
  </si>
  <si>
    <t>P3178</t>
  </si>
  <si>
    <t>P3179</t>
  </si>
  <si>
    <t>P3180</t>
  </si>
  <si>
    <t>P3181</t>
  </si>
  <si>
    <t>P3182</t>
  </si>
  <si>
    <t>P3183</t>
  </si>
  <si>
    <t>P3184</t>
  </si>
  <si>
    <t>P3185</t>
  </si>
  <si>
    <t>P3186</t>
  </si>
  <si>
    <t>P3187</t>
  </si>
  <si>
    <t>P3188</t>
  </si>
  <si>
    <t>P3189</t>
  </si>
  <si>
    <t>P3190</t>
  </si>
  <si>
    <t>P3191</t>
  </si>
  <si>
    <t>P3192</t>
  </si>
  <si>
    <t>P3193</t>
  </si>
  <si>
    <t>P3194</t>
  </si>
  <si>
    <t>P3195</t>
  </si>
  <si>
    <t>P3196</t>
  </si>
  <si>
    <t>P3197</t>
  </si>
  <si>
    <t>P3198</t>
  </si>
  <si>
    <t>P3199</t>
  </si>
  <si>
    <t>P3200</t>
  </si>
  <si>
    <t>P3201</t>
  </si>
  <si>
    <t>P3202</t>
  </si>
  <si>
    <t>P3203</t>
  </si>
  <si>
    <t>P3204</t>
  </si>
  <si>
    <t>P3205</t>
  </si>
  <si>
    <t>P3206</t>
  </si>
  <si>
    <t>P3207</t>
  </si>
  <si>
    <t>P3208</t>
  </si>
  <si>
    <t>P3209</t>
  </si>
  <si>
    <t>P3210</t>
  </si>
  <si>
    <t>P3211</t>
  </si>
  <si>
    <t>P3212</t>
  </si>
  <si>
    <t>P3213</t>
  </si>
  <si>
    <t>P3214</t>
  </si>
  <si>
    <t>P3215</t>
  </si>
  <si>
    <t>P3216</t>
  </si>
  <si>
    <t>P3217</t>
  </si>
  <si>
    <t>P3218</t>
  </si>
  <si>
    <t>P3219</t>
  </si>
  <si>
    <t>P3220</t>
  </si>
  <si>
    <t>P3221</t>
  </si>
  <si>
    <t>P3222</t>
  </si>
  <si>
    <t>P3223</t>
  </si>
  <si>
    <t>P3224</t>
  </si>
  <si>
    <t>P3225</t>
  </si>
  <si>
    <t>P3226</t>
  </si>
  <si>
    <t>P3227</t>
  </si>
  <si>
    <t>P3228</t>
  </si>
  <si>
    <t>P3229</t>
  </si>
  <si>
    <t>P3230</t>
  </si>
  <si>
    <t>P3231</t>
  </si>
  <si>
    <t>P3232</t>
  </si>
  <si>
    <t>P3233</t>
  </si>
  <si>
    <t>P3234</t>
  </si>
  <si>
    <t>P3235</t>
  </si>
  <si>
    <t>P3236</t>
  </si>
  <si>
    <t>P3237</t>
  </si>
  <si>
    <t>P3238</t>
  </si>
  <si>
    <t>P3239</t>
  </si>
  <si>
    <t>P3240</t>
  </si>
  <si>
    <t>P3241</t>
  </si>
  <si>
    <t>P3242</t>
  </si>
  <si>
    <t>P3243</t>
  </si>
  <si>
    <t>P3244</t>
  </si>
  <si>
    <t>P3245</t>
  </si>
  <si>
    <t>P3246</t>
  </si>
  <si>
    <t>P3247</t>
  </si>
  <si>
    <t>P3248</t>
  </si>
  <si>
    <t>P3249</t>
  </si>
  <si>
    <t>P3250</t>
  </si>
  <si>
    <t>P3251</t>
  </si>
  <si>
    <t>P3252</t>
  </si>
  <si>
    <t>P3253</t>
  </si>
  <si>
    <t>P3254</t>
  </si>
  <si>
    <t>P3255</t>
  </si>
  <si>
    <t>P3256</t>
  </si>
  <si>
    <t>P3257</t>
  </si>
  <si>
    <t>P3258</t>
  </si>
  <si>
    <t>P3259</t>
  </si>
  <si>
    <t>P3260</t>
  </si>
  <si>
    <t>P3261</t>
  </si>
  <si>
    <t>P3262</t>
  </si>
  <si>
    <t>P3263</t>
  </si>
  <si>
    <t>P3264</t>
  </si>
  <si>
    <t>P3265</t>
  </si>
  <si>
    <t>P3266</t>
  </si>
  <si>
    <t>P3267</t>
  </si>
  <si>
    <t>P3268</t>
  </si>
  <si>
    <t>P3269</t>
  </si>
  <si>
    <t>P3270</t>
  </si>
  <si>
    <t>P3271</t>
  </si>
  <si>
    <t>P3272</t>
  </si>
  <si>
    <t>P3273</t>
  </si>
  <si>
    <t>P3274</t>
  </si>
  <si>
    <t>P3275</t>
  </si>
  <si>
    <t>P3276</t>
  </si>
  <si>
    <t>P3277</t>
  </si>
  <si>
    <t>P3278</t>
  </si>
  <si>
    <t>P3279</t>
  </si>
  <si>
    <t>P3280</t>
  </si>
  <si>
    <t>P3281</t>
  </si>
  <si>
    <t>P3282</t>
  </si>
  <si>
    <t>P3283</t>
  </si>
  <si>
    <t>P3284</t>
  </si>
  <si>
    <t>P3285</t>
  </si>
  <si>
    <t>P3286</t>
  </si>
  <si>
    <t>P3287</t>
  </si>
  <si>
    <t>P3288</t>
  </si>
  <si>
    <t>P3289</t>
  </si>
  <si>
    <t>P3290</t>
  </si>
  <si>
    <t>P3291</t>
  </si>
  <si>
    <t>P3292</t>
  </si>
  <si>
    <t>P3293</t>
  </si>
  <si>
    <t>P3294</t>
  </si>
  <si>
    <t>P3295</t>
  </si>
  <si>
    <t>P3296</t>
  </si>
  <si>
    <t>P3297</t>
  </si>
  <si>
    <t>P3298</t>
  </si>
  <si>
    <t>P3299</t>
  </si>
  <si>
    <t>P3300</t>
  </si>
  <si>
    <t>P3301</t>
  </si>
  <si>
    <t>P3302</t>
  </si>
  <si>
    <t>P3303</t>
  </si>
  <si>
    <t>P3304</t>
  </si>
  <si>
    <t>P3305</t>
  </si>
  <si>
    <t>P3306</t>
  </si>
  <si>
    <t>P3307</t>
  </si>
  <si>
    <t>P3308</t>
  </si>
  <si>
    <t>P3309</t>
  </si>
  <si>
    <t>P3310</t>
  </si>
  <si>
    <t>P3311</t>
  </si>
  <si>
    <t>P3312</t>
  </si>
  <si>
    <t>P3313</t>
  </si>
  <si>
    <t>P3314</t>
  </si>
  <si>
    <t>P3315</t>
  </si>
  <si>
    <t>P3316</t>
  </si>
  <si>
    <t>P3317</t>
  </si>
  <si>
    <t>P3318</t>
  </si>
  <si>
    <t>P3319</t>
  </si>
  <si>
    <t>P3320</t>
  </si>
  <si>
    <t>P3321</t>
  </si>
  <si>
    <t>P3322</t>
  </si>
  <si>
    <t>P3323</t>
  </si>
  <si>
    <t>P3324</t>
  </si>
  <si>
    <t>P3325</t>
  </si>
  <si>
    <t>P3326</t>
  </si>
  <si>
    <t>P3327</t>
  </si>
  <si>
    <t>P3328</t>
  </si>
  <si>
    <t>P3329</t>
  </si>
  <si>
    <t>P3330</t>
  </si>
  <si>
    <t>P3331</t>
  </si>
  <si>
    <t>P3332</t>
  </si>
  <si>
    <t>P3333</t>
  </si>
  <si>
    <t>P3334</t>
  </si>
  <si>
    <t>P3335</t>
  </si>
  <si>
    <t>P3336</t>
  </si>
  <si>
    <t>P3337</t>
  </si>
  <si>
    <t>P3338</t>
  </si>
  <si>
    <t>P3339</t>
  </si>
  <si>
    <t>P3340</t>
  </si>
  <si>
    <t>P3341</t>
  </si>
  <si>
    <t>P3342</t>
  </si>
  <si>
    <t>P3343</t>
  </si>
  <si>
    <t>P3344</t>
  </si>
  <si>
    <t>P3345</t>
  </si>
  <si>
    <t>P3346</t>
  </si>
  <si>
    <t>P3347</t>
  </si>
  <si>
    <t>P3348</t>
  </si>
  <si>
    <t>P3349</t>
  </si>
  <si>
    <t>P3350</t>
  </si>
  <si>
    <t>P3351</t>
  </si>
  <si>
    <t>P3352</t>
  </si>
  <si>
    <t>P3353</t>
  </si>
  <si>
    <t>P3354</t>
  </si>
  <si>
    <t>P3355</t>
  </si>
  <si>
    <t>P3356</t>
  </si>
  <si>
    <t>P3357</t>
  </si>
  <si>
    <t>P3358</t>
  </si>
  <si>
    <t>P3359</t>
  </si>
  <si>
    <t>P3360</t>
  </si>
  <si>
    <t>P3361</t>
  </si>
  <si>
    <t>P3362</t>
  </si>
  <si>
    <t>P3363</t>
  </si>
  <si>
    <t>P3364</t>
  </si>
  <si>
    <t>P3365</t>
  </si>
  <si>
    <t>P3366</t>
  </si>
  <si>
    <t>P3367</t>
  </si>
  <si>
    <t>P3368</t>
  </si>
  <si>
    <t>P3369</t>
  </si>
  <si>
    <t>P3370</t>
  </si>
  <si>
    <t>P3371</t>
  </si>
  <si>
    <t>P3372</t>
  </si>
  <si>
    <t>P3373</t>
  </si>
  <si>
    <t>P3374</t>
  </si>
  <si>
    <t>P3375</t>
  </si>
  <si>
    <t>P3376</t>
  </si>
  <si>
    <t>P3377</t>
  </si>
  <si>
    <t>P3378</t>
  </si>
  <si>
    <t>P3379</t>
  </si>
  <si>
    <t>P3380</t>
  </si>
  <si>
    <t>P3381</t>
  </si>
  <si>
    <t>P3382</t>
  </si>
  <si>
    <t>P3383</t>
  </si>
  <si>
    <t>P3384</t>
  </si>
  <si>
    <t>P3385</t>
  </si>
  <si>
    <t>P3386</t>
  </si>
  <si>
    <t>P3387</t>
  </si>
  <si>
    <t>P3388</t>
  </si>
  <si>
    <t>P3389</t>
  </si>
  <si>
    <t>P3390</t>
  </si>
  <si>
    <t>P3391</t>
  </si>
  <si>
    <t>P3392</t>
  </si>
  <si>
    <t>P3393</t>
  </si>
  <si>
    <t>P3394</t>
  </si>
  <si>
    <t>P3395</t>
  </si>
  <si>
    <t>P3396</t>
  </si>
  <si>
    <t>P3397</t>
  </si>
  <si>
    <t>P3398</t>
  </si>
  <si>
    <t>P3399</t>
  </si>
  <si>
    <t>P3400</t>
  </si>
  <si>
    <t>P3401</t>
  </si>
  <si>
    <t>P3402</t>
  </si>
  <si>
    <t>P3403</t>
  </si>
  <si>
    <t>P3404</t>
  </si>
  <si>
    <t>P3405</t>
  </si>
  <si>
    <t>P3406</t>
  </si>
  <si>
    <t>P3407</t>
  </si>
  <si>
    <t>P3408</t>
  </si>
  <si>
    <t>P3409</t>
  </si>
  <si>
    <t>P3410</t>
  </si>
  <si>
    <t>P3411</t>
  </si>
  <si>
    <t>P3412</t>
  </si>
  <si>
    <t>P3413</t>
  </si>
  <si>
    <t>P3414</t>
  </si>
  <si>
    <t>P3415</t>
  </si>
  <si>
    <t>P3416</t>
  </si>
  <si>
    <t>P3417</t>
  </si>
  <si>
    <t>P3418</t>
  </si>
  <si>
    <t>P3419</t>
  </si>
  <si>
    <t>P3420</t>
  </si>
  <si>
    <t>P3421</t>
  </si>
  <si>
    <t>P3422</t>
  </si>
  <si>
    <t>P3423</t>
  </si>
  <si>
    <t>P3424</t>
  </si>
  <si>
    <t>P3425</t>
  </si>
  <si>
    <t>P3426</t>
  </si>
  <si>
    <t>P3427</t>
  </si>
  <si>
    <t>P3428</t>
  </si>
  <si>
    <t>P3429</t>
  </si>
  <si>
    <t>P3430</t>
  </si>
  <si>
    <t>P3431</t>
  </si>
  <si>
    <t>P3432</t>
  </si>
  <si>
    <t>P3433</t>
  </si>
  <si>
    <t>P3434</t>
  </si>
  <si>
    <t>P3435</t>
  </si>
  <si>
    <t>P3436</t>
  </si>
  <si>
    <t>P3437</t>
  </si>
  <si>
    <t>P3438</t>
  </si>
  <si>
    <t>P3439</t>
  </si>
  <si>
    <t>P3440</t>
  </si>
  <si>
    <t>P3441</t>
  </si>
  <si>
    <t>P3442</t>
  </si>
  <si>
    <t>P3443</t>
  </si>
  <si>
    <t>P3444</t>
  </si>
  <si>
    <t>P3445</t>
  </si>
  <si>
    <t>P3446</t>
  </si>
  <si>
    <t>P3447</t>
  </si>
  <si>
    <t>P3448</t>
  </si>
  <si>
    <t>P3449</t>
  </si>
  <si>
    <t>P3450</t>
  </si>
  <si>
    <t>P3451</t>
  </si>
  <si>
    <t>P3452</t>
  </si>
  <si>
    <t>P3453</t>
  </si>
  <si>
    <t>P3454</t>
  </si>
  <si>
    <t>P3455</t>
  </si>
  <si>
    <t>P3456</t>
  </si>
  <si>
    <t>P3457</t>
  </si>
  <si>
    <t>P3458</t>
  </si>
  <si>
    <t>P3459</t>
  </si>
  <si>
    <t>P3460</t>
  </si>
  <si>
    <t>P3461</t>
  </si>
  <si>
    <t>P3462</t>
  </si>
  <si>
    <t>P3463</t>
  </si>
  <si>
    <t>P3464</t>
  </si>
  <si>
    <t>P3465</t>
  </si>
  <si>
    <t>P3466</t>
  </si>
  <si>
    <t>P3467</t>
  </si>
  <si>
    <t>P3468</t>
  </si>
  <si>
    <t>P3469</t>
  </si>
  <si>
    <t>P3470</t>
  </si>
  <si>
    <t>P3471</t>
  </si>
  <si>
    <t>P3472</t>
  </si>
  <si>
    <t>P3473</t>
  </si>
  <si>
    <t>P3474</t>
  </si>
  <si>
    <t>P3475</t>
  </si>
  <si>
    <t>P3476</t>
  </si>
  <si>
    <t>P3477</t>
  </si>
  <si>
    <t>P3478</t>
  </si>
  <si>
    <t>P3479</t>
  </si>
  <si>
    <t>P3480</t>
  </si>
  <si>
    <t>P3481</t>
  </si>
  <si>
    <t>P3482</t>
  </si>
  <si>
    <t>P3483</t>
  </si>
  <si>
    <t>P3484</t>
  </si>
  <si>
    <t>P3485</t>
  </si>
  <si>
    <t>P3486</t>
  </si>
  <si>
    <t>P3487</t>
  </si>
  <si>
    <t>P3488</t>
  </si>
  <si>
    <t>P3489</t>
  </si>
  <si>
    <t>P3490</t>
  </si>
  <si>
    <t>P3491</t>
  </si>
  <si>
    <t>P3492</t>
  </si>
  <si>
    <t>P3493</t>
  </si>
  <si>
    <t>P3494</t>
  </si>
  <si>
    <t>P3495</t>
  </si>
  <si>
    <t>P3496</t>
  </si>
  <si>
    <t>P3497</t>
  </si>
  <si>
    <t>P3498</t>
  </si>
  <si>
    <t>P3499</t>
  </si>
  <si>
    <t>P3500</t>
  </si>
  <si>
    <t>P3501</t>
  </si>
  <si>
    <t>P3502</t>
  </si>
  <si>
    <t>P3503</t>
  </si>
  <si>
    <t>P3504</t>
  </si>
  <si>
    <t>P3505</t>
  </si>
  <si>
    <t>P3506</t>
  </si>
  <si>
    <t>P3507</t>
  </si>
  <si>
    <t>P3508</t>
  </si>
  <si>
    <t>P3509</t>
  </si>
  <si>
    <t>P3510</t>
  </si>
  <si>
    <t>P3511</t>
  </si>
  <si>
    <t>P3512</t>
  </si>
  <si>
    <t>P3513</t>
  </si>
  <si>
    <t>P3514</t>
  </si>
  <si>
    <t>P3515</t>
  </si>
  <si>
    <t>P3516</t>
  </si>
  <si>
    <t>P3517</t>
  </si>
  <si>
    <t>P3518</t>
  </si>
  <si>
    <t>P3519</t>
  </si>
  <si>
    <t>P3520</t>
  </si>
  <si>
    <t>P3521</t>
  </si>
  <si>
    <t>P3522</t>
  </si>
  <si>
    <t>P3523</t>
  </si>
  <si>
    <t>P3524</t>
  </si>
  <si>
    <t>P3525</t>
  </si>
  <si>
    <t>P3526</t>
  </si>
  <si>
    <t>P3527</t>
  </si>
  <si>
    <t>P3528</t>
  </si>
  <si>
    <t>P3529</t>
  </si>
  <si>
    <t>P3530</t>
  </si>
  <si>
    <t>P3531</t>
  </si>
  <si>
    <t>P3532</t>
  </si>
  <si>
    <t>P3533</t>
  </si>
  <si>
    <t>P3534</t>
  </si>
  <si>
    <t>P3535</t>
  </si>
  <si>
    <t>P3536</t>
  </si>
  <si>
    <t>P3537</t>
  </si>
  <si>
    <t>P3538</t>
  </si>
  <si>
    <t>P3539</t>
  </si>
  <si>
    <t>P3540</t>
  </si>
  <si>
    <t>P3541</t>
  </si>
  <si>
    <t>P3542</t>
  </si>
  <si>
    <t>P3543</t>
  </si>
  <si>
    <t>P3544</t>
  </si>
  <si>
    <t>P3545</t>
  </si>
  <si>
    <t>P3546</t>
  </si>
  <si>
    <t>P3547</t>
  </si>
  <si>
    <t>P3548</t>
  </si>
  <si>
    <t>P3549</t>
  </si>
  <si>
    <t>P3550</t>
  </si>
  <si>
    <t>P3551</t>
  </si>
  <si>
    <t>P3552</t>
  </si>
  <si>
    <t>P3553</t>
  </si>
  <si>
    <t>P3554</t>
  </si>
  <si>
    <t>P3555</t>
  </si>
  <si>
    <t>P3556</t>
  </si>
  <si>
    <t>P3557</t>
  </si>
  <si>
    <t>P3558</t>
  </si>
  <si>
    <t>P3559</t>
  </si>
  <si>
    <t>P3560</t>
  </si>
  <si>
    <t>P3561</t>
  </si>
  <si>
    <t>P3562</t>
  </si>
  <si>
    <t>P3563</t>
  </si>
  <si>
    <t>P3564</t>
  </si>
  <si>
    <t>P3565</t>
  </si>
  <si>
    <t>P3566</t>
  </si>
  <si>
    <t>P3567</t>
  </si>
  <si>
    <t>P3568</t>
  </si>
  <si>
    <t>P3569</t>
  </si>
  <si>
    <t>P3570</t>
  </si>
  <si>
    <t>P3571</t>
  </si>
  <si>
    <t>P3572</t>
  </si>
  <si>
    <t>P3573</t>
  </si>
  <si>
    <t>P3574</t>
  </si>
  <si>
    <t>P3575</t>
  </si>
  <si>
    <t>P3576</t>
  </si>
  <si>
    <t>P3577</t>
  </si>
  <si>
    <t>P3578</t>
  </si>
  <si>
    <t>P3579</t>
  </si>
  <si>
    <t>P3580</t>
  </si>
  <si>
    <t>P3581</t>
  </si>
  <si>
    <t>P3582</t>
  </si>
  <si>
    <t>P3583</t>
  </si>
  <si>
    <t>P3584</t>
  </si>
  <si>
    <t>P3585</t>
  </si>
  <si>
    <t>P3586</t>
  </si>
  <si>
    <t>P3587</t>
  </si>
  <si>
    <t>P3588</t>
  </si>
  <si>
    <t>P3589</t>
  </si>
  <si>
    <t>P3590</t>
  </si>
  <si>
    <t>P3591</t>
  </si>
  <si>
    <t>P3592</t>
  </si>
  <si>
    <t>P3593</t>
  </si>
  <si>
    <t>P3594</t>
  </si>
  <si>
    <t>P3595</t>
  </si>
  <si>
    <t>P3596</t>
  </si>
  <si>
    <t>P3597</t>
  </si>
  <si>
    <t>P3598</t>
  </si>
  <si>
    <t>P3599</t>
  </si>
  <si>
    <t>P3600</t>
  </si>
  <si>
    <t>P3601</t>
  </si>
  <si>
    <t>P3602</t>
  </si>
  <si>
    <t>P3603</t>
  </si>
  <si>
    <t>P3604</t>
  </si>
  <si>
    <t>P3605</t>
  </si>
  <si>
    <t>P3606</t>
  </si>
  <si>
    <t>P3607</t>
  </si>
  <si>
    <t>P3608</t>
  </si>
  <si>
    <t>P3609</t>
  </si>
  <si>
    <t>P3610</t>
  </si>
  <si>
    <t>P3611</t>
  </si>
  <si>
    <t>P3612</t>
  </si>
  <si>
    <t>P3613</t>
  </si>
  <si>
    <t>P3614</t>
  </si>
  <si>
    <t>P3615</t>
  </si>
  <si>
    <t>P3616</t>
  </si>
  <si>
    <t>P3617</t>
  </si>
  <si>
    <t>P3618</t>
  </si>
  <si>
    <t>P3619</t>
  </si>
  <si>
    <t>P3620</t>
  </si>
  <si>
    <t>P3621</t>
  </si>
  <si>
    <t>P3622</t>
  </si>
  <si>
    <t>P3623</t>
  </si>
  <si>
    <t>P3624</t>
  </si>
  <si>
    <t>P3625</t>
  </si>
  <si>
    <t>P3626</t>
  </si>
  <si>
    <t>P3627</t>
  </si>
  <si>
    <t>P3628</t>
  </si>
  <si>
    <t>P3629</t>
  </si>
  <si>
    <t>P3630</t>
  </si>
  <si>
    <t>P3631</t>
  </si>
  <si>
    <t>P3632</t>
  </si>
  <si>
    <t>P3633</t>
  </si>
  <si>
    <t>P3634</t>
  </si>
  <si>
    <t>P3635</t>
  </si>
  <si>
    <t>P3636</t>
  </si>
  <si>
    <t>P3637</t>
  </si>
  <si>
    <t>P3638</t>
  </si>
  <si>
    <t>P3639</t>
  </si>
  <si>
    <t>P3640</t>
  </si>
  <si>
    <t>P3641</t>
  </si>
  <si>
    <t>P3642</t>
  </si>
  <si>
    <t>P3643</t>
  </si>
  <si>
    <t>P3644</t>
  </si>
  <si>
    <t>P3645</t>
  </si>
  <si>
    <t>P3646</t>
  </si>
  <si>
    <t>P3647</t>
  </si>
  <si>
    <t>P3648</t>
  </si>
  <si>
    <t>P3649</t>
  </si>
  <si>
    <t>P3650</t>
  </si>
  <si>
    <t>P3651</t>
  </si>
  <si>
    <t>P3652</t>
  </si>
  <si>
    <t>P3653</t>
  </si>
  <si>
    <t>P3654</t>
  </si>
  <si>
    <t>P3655</t>
  </si>
  <si>
    <t>P3656</t>
  </si>
  <si>
    <t>P3657</t>
  </si>
  <si>
    <t>P3658</t>
  </si>
  <si>
    <t>P3659</t>
  </si>
  <si>
    <t>P3660</t>
  </si>
  <si>
    <t>P3661</t>
  </si>
  <si>
    <t>P3662</t>
  </si>
  <si>
    <t>P3663</t>
  </si>
  <si>
    <t>P3664</t>
  </si>
  <si>
    <t>P3665</t>
  </si>
  <si>
    <t>P3666</t>
  </si>
  <si>
    <t>P3667</t>
  </si>
  <si>
    <t>P3668</t>
  </si>
  <si>
    <t>P3669</t>
  </si>
  <si>
    <t>P3670</t>
  </si>
  <si>
    <t>P3671</t>
  </si>
  <si>
    <t>P3672</t>
  </si>
  <si>
    <t>P3673</t>
  </si>
  <si>
    <t>P3674</t>
  </si>
  <si>
    <t>P3675</t>
  </si>
  <si>
    <t>P3676</t>
  </si>
  <si>
    <t>P3677</t>
  </si>
  <si>
    <t>P3678</t>
  </si>
  <si>
    <t>P3679</t>
  </si>
  <si>
    <t>P3680</t>
  </si>
  <si>
    <t>P3681</t>
  </si>
  <si>
    <t>P3682</t>
  </si>
  <si>
    <t>P3683</t>
  </si>
  <si>
    <t>P3684</t>
  </si>
  <si>
    <t>P3685</t>
  </si>
  <si>
    <t>P3686</t>
  </si>
  <si>
    <t>P3687</t>
  </si>
  <si>
    <t>P3688</t>
  </si>
  <si>
    <t>P3689</t>
  </si>
  <si>
    <t>P3690</t>
  </si>
  <si>
    <t>P3691</t>
  </si>
  <si>
    <t>P3692</t>
  </si>
  <si>
    <t>P3693</t>
  </si>
  <si>
    <t>P3694</t>
  </si>
  <si>
    <t>P3695</t>
  </si>
  <si>
    <t>P3696</t>
  </si>
  <si>
    <t>P3697</t>
  </si>
  <si>
    <t>P3698</t>
  </si>
  <si>
    <t>P3699</t>
  </si>
  <si>
    <t>P3700</t>
  </si>
  <si>
    <t>P3701</t>
  </si>
  <si>
    <t>P3702</t>
  </si>
  <si>
    <t>P3703</t>
  </si>
  <si>
    <t>P3704</t>
  </si>
  <si>
    <t>P3705</t>
  </si>
  <si>
    <t>P3706</t>
  </si>
  <si>
    <t>P3707</t>
  </si>
  <si>
    <t>P3708</t>
  </si>
  <si>
    <t>P3709</t>
  </si>
  <si>
    <t>P3710</t>
  </si>
  <si>
    <t>P3711</t>
  </si>
  <si>
    <t>P3712</t>
  </si>
  <si>
    <t>P3713</t>
  </si>
  <si>
    <t>P3714</t>
  </si>
  <si>
    <t>P3715</t>
  </si>
  <si>
    <t>P3716</t>
  </si>
  <si>
    <t>P3717</t>
  </si>
  <si>
    <t>P3718</t>
  </si>
  <si>
    <t>P3719</t>
  </si>
  <si>
    <t>P3720</t>
  </si>
  <si>
    <t>P3721</t>
  </si>
  <si>
    <t>P3722</t>
  </si>
  <si>
    <t>P3723</t>
  </si>
  <si>
    <t>P3724</t>
  </si>
  <si>
    <t>P3725</t>
  </si>
  <si>
    <t>P3726</t>
  </si>
  <si>
    <t>P3727</t>
  </si>
  <si>
    <t>P3728</t>
  </si>
  <si>
    <t>P3729</t>
  </si>
  <si>
    <t>P3730</t>
  </si>
  <si>
    <t>P3731</t>
  </si>
  <si>
    <t>P3732</t>
  </si>
  <si>
    <t>P3733</t>
  </si>
  <si>
    <t>P3734</t>
  </si>
  <si>
    <t>P3735</t>
  </si>
  <si>
    <t>P3736</t>
  </si>
  <si>
    <t>P3737</t>
  </si>
  <si>
    <t>P3738</t>
  </si>
  <si>
    <t>P3739</t>
  </si>
  <si>
    <t>P3740</t>
  </si>
  <si>
    <t>P3741</t>
  </si>
  <si>
    <t>P3742</t>
  </si>
  <si>
    <t>P3743</t>
  </si>
  <si>
    <t>P3744</t>
  </si>
  <si>
    <t>P3745</t>
  </si>
  <si>
    <t>P3746</t>
  </si>
  <si>
    <t>P3747</t>
  </si>
  <si>
    <t>P3748</t>
  </si>
  <si>
    <t>P3749</t>
  </si>
  <si>
    <t>P3750</t>
  </si>
  <si>
    <t>P3751</t>
  </si>
  <si>
    <t>P3752</t>
  </si>
  <si>
    <t>P3753</t>
  </si>
  <si>
    <t>P3754</t>
  </si>
  <si>
    <t>P3755</t>
  </si>
  <si>
    <t>P3756</t>
  </si>
  <si>
    <t>P3757</t>
  </si>
  <si>
    <t>P3758</t>
  </si>
  <si>
    <t>P3759</t>
  </si>
  <si>
    <t>P3760</t>
  </si>
  <si>
    <t>P3761</t>
  </si>
  <si>
    <t>P3762</t>
  </si>
  <si>
    <t>P3763</t>
  </si>
  <si>
    <t>P3764</t>
  </si>
  <si>
    <t>P3765</t>
  </si>
  <si>
    <t>P3766</t>
  </si>
  <si>
    <t>P3767</t>
  </si>
  <si>
    <t>P3768</t>
  </si>
  <si>
    <t>P3769</t>
  </si>
  <si>
    <t>P3770</t>
  </si>
  <si>
    <t>P3771</t>
  </si>
  <si>
    <t>P3772</t>
  </si>
  <si>
    <t>P3773</t>
  </si>
  <si>
    <t>P3774</t>
  </si>
  <si>
    <t>P3775</t>
  </si>
  <si>
    <t>P3776</t>
  </si>
  <si>
    <t>P3777</t>
  </si>
  <si>
    <t>P3778</t>
  </si>
  <si>
    <t>P3779</t>
  </si>
  <si>
    <t>P3780</t>
  </si>
  <si>
    <t>P3781</t>
  </si>
  <si>
    <t>P3782</t>
  </si>
  <si>
    <t>P3783</t>
  </si>
  <si>
    <t>P3784</t>
  </si>
  <si>
    <t>P3785</t>
  </si>
  <si>
    <t>P3786</t>
  </si>
  <si>
    <t>P3787</t>
  </si>
  <si>
    <t>P3788</t>
  </si>
  <si>
    <t>P3789</t>
  </si>
  <si>
    <t>P3790</t>
  </si>
  <si>
    <t>P3791</t>
  </si>
  <si>
    <t>P3792</t>
  </si>
  <si>
    <t>P3793</t>
  </si>
  <si>
    <t>P3794</t>
  </si>
  <si>
    <t>P3795</t>
  </si>
  <si>
    <t>P3796</t>
  </si>
  <si>
    <t>P3797</t>
  </si>
  <si>
    <t>P3798</t>
  </si>
  <si>
    <t>P3799</t>
  </si>
  <si>
    <t>P3800</t>
  </si>
  <si>
    <t>P3801</t>
  </si>
  <si>
    <t>P3802</t>
  </si>
  <si>
    <t>P3803</t>
  </si>
  <si>
    <t>P3804</t>
  </si>
  <si>
    <t>P3805</t>
  </si>
  <si>
    <t>P3806</t>
  </si>
  <si>
    <t>P3807</t>
  </si>
  <si>
    <t>P3808</t>
  </si>
  <si>
    <t>P3809</t>
  </si>
  <si>
    <t>P3810</t>
  </si>
  <si>
    <t>P3811</t>
  </si>
  <si>
    <t>P3812</t>
  </si>
  <si>
    <t>P3813</t>
  </si>
  <si>
    <t>P3814</t>
  </si>
  <si>
    <t>P3815</t>
  </si>
  <si>
    <t>P3816</t>
  </si>
  <si>
    <t>P3817</t>
  </si>
  <si>
    <t>P3818</t>
  </si>
  <si>
    <t>P3819</t>
  </si>
  <si>
    <t>P3820</t>
  </si>
  <si>
    <t>P3821</t>
  </si>
  <si>
    <t>P3822</t>
  </si>
  <si>
    <t>P3823</t>
  </si>
  <si>
    <t>P3824</t>
  </si>
  <si>
    <t>P3825</t>
  </si>
  <si>
    <t>P3826</t>
  </si>
  <si>
    <t>P3827</t>
  </si>
  <si>
    <t>P3828</t>
  </si>
  <si>
    <t>P3829</t>
  </si>
  <si>
    <t>P3830</t>
  </si>
  <si>
    <t>P3831</t>
  </si>
  <si>
    <t>P3832</t>
  </si>
  <si>
    <t>P3833</t>
  </si>
  <si>
    <t>P3834</t>
  </si>
  <si>
    <t>P3835</t>
  </si>
  <si>
    <t>P3836</t>
  </si>
  <si>
    <t>P3837</t>
  </si>
  <si>
    <t>P3838</t>
  </si>
  <si>
    <t>P3839</t>
  </si>
  <si>
    <t>P3840</t>
  </si>
  <si>
    <t>P3841</t>
  </si>
  <si>
    <t>P3842</t>
  </si>
  <si>
    <t>P3843</t>
  </si>
  <si>
    <t>P3844</t>
  </si>
  <si>
    <t>P3845</t>
  </si>
  <si>
    <t>P3846</t>
  </si>
  <si>
    <t>P3847</t>
  </si>
  <si>
    <t>P3848</t>
  </si>
  <si>
    <t>P3849</t>
  </si>
  <si>
    <t>P3850</t>
  </si>
  <si>
    <t>P3851</t>
  </si>
  <si>
    <t>P3852</t>
  </si>
  <si>
    <t>P3853</t>
  </si>
  <si>
    <t>P3854</t>
  </si>
  <si>
    <t>P3855</t>
  </si>
  <si>
    <t>P3856</t>
  </si>
  <si>
    <t>P3857</t>
  </si>
  <si>
    <t>P3858</t>
  </si>
  <si>
    <t>P3859</t>
  </si>
  <si>
    <t>P3860</t>
  </si>
  <si>
    <t>P3861</t>
  </si>
  <si>
    <t>P3862</t>
  </si>
  <si>
    <t>P3863</t>
  </si>
  <si>
    <t>P3864</t>
  </si>
  <si>
    <t>P3865</t>
  </si>
  <si>
    <t>P3866</t>
  </si>
  <si>
    <t>P3867</t>
  </si>
  <si>
    <t>P3868</t>
  </si>
  <si>
    <t>P3869</t>
  </si>
  <si>
    <t>P3870</t>
  </si>
  <si>
    <t>P3871</t>
  </si>
  <si>
    <t>P3872</t>
  </si>
  <si>
    <t>P3873</t>
  </si>
  <si>
    <t>P3874</t>
  </si>
  <si>
    <t>P3875</t>
  </si>
  <si>
    <t>P3876</t>
  </si>
  <si>
    <t>P3877</t>
  </si>
  <si>
    <t>P3878</t>
  </si>
  <si>
    <t>P3879</t>
  </si>
  <si>
    <t>P3880</t>
  </si>
  <si>
    <t>P3881</t>
  </si>
  <si>
    <t>P3882</t>
  </si>
  <si>
    <t>P3883</t>
  </si>
  <si>
    <t>P3884</t>
  </si>
  <si>
    <t>P3885</t>
  </si>
  <si>
    <t>P3886</t>
  </si>
  <si>
    <t>P3887</t>
  </si>
  <si>
    <t>P3888</t>
  </si>
  <si>
    <t>P3889</t>
  </si>
  <si>
    <t>P3890</t>
  </si>
  <si>
    <t>P3891</t>
  </si>
  <si>
    <t>P3892</t>
  </si>
  <si>
    <t>P3893</t>
  </si>
  <si>
    <t>P3894</t>
  </si>
  <si>
    <t>P3895</t>
  </si>
  <si>
    <t>P3896</t>
  </si>
  <si>
    <t>P3897</t>
  </si>
  <si>
    <t>P3898</t>
  </si>
  <si>
    <t>P3899</t>
  </si>
  <si>
    <t>P3900</t>
  </si>
  <si>
    <t>P3901</t>
  </si>
  <si>
    <t>P3902</t>
  </si>
  <si>
    <t>P3903</t>
  </si>
  <si>
    <t>P3904</t>
  </si>
  <si>
    <t>P3905</t>
  </si>
  <si>
    <t>P3906</t>
  </si>
  <si>
    <t>P3907</t>
  </si>
  <si>
    <t>P3908</t>
  </si>
  <si>
    <t>P3909</t>
  </si>
  <si>
    <t>P3910</t>
  </si>
  <si>
    <t>P3911</t>
  </si>
  <si>
    <t>P3912</t>
  </si>
  <si>
    <t>P3913</t>
  </si>
  <si>
    <t>P3914</t>
  </si>
  <si>
    <t>P3915</t>
  </si>
  <si>
    <t>P3916</t>
  </si>
  <si>
    <t>P3917</t>
  </si>
  <si>
    <t>P3918</t>
  </si>
  <si>
    <t>P3919</t>
  </si>
  <si>
    <t>P3920</t>
  </si>
  <si>
    <t>P3921</t>
  </si>
  <si>
    <t>P3922</t>
  </si>
  <si>
    <t>P3923</t>
  </si>
  <si>
    <t>P3924</t>
  </si>
  <si>
    <t>P3925</t>
  </si>
  <si>
    <t>P3926</t>
  </si>
  <si>
    <t>P3927</t>
  </si>
  <si>
    <t>P3928</t>
  </si>
  <si>
    <t>P3929</t>
  </si>
  <si>
    <t>P3930</t>
  </si>
  <si>
    <t>P3931</t>
  </si>
  <si>
    <t>P3932</t>
  </si>
  <si>
    <t>P3933</t>
  </si>
  <si>
    <t>P3934</t>
  </si>
  <si>
    <t>P3935</t>
  </si>
  <si>
    <t>P3936</t>
  </si>
  <si>
    <t>P3937</t>
  </si>
  <si>
    <t>P3938</t>
  </si>
  <si>
    <t>P3939</t>
  </si>
  <si>
    <t>P3940</t>
  </si>
  <si>
    <t>P3941</t>
  </si>
  <si>
    <t>P3942</t>
  </si>
  <si>
    <t>P3943</t>
  </si>
  <si>
    <t>P3944</t>
  </si>
  <si>
    <t>P3945</t>
  </si>
  <si>
    <t>P3946</t>
  </si>
  <si>
    <t>P3947</t>
  </si>
  <si>
    <t>P3948</t>
  </si>
  <si>
    <t>P3949</t>
  </si>
  <si>
    <t>P3950</t>
  </si>
  <si>
    <t>P3951</t>
  </si>
  <si>
    <t>P3952</t>
  </si>
  <si>
    <t>P3953</t>
  </si>
  <si>
    <t>P3954</t>
  </si>
  <si>
    <t>P3955</t>
  </si>
  <si>
    <t>P3956</t>
  </si>
  <si>
    <t>P3957</t>
  </si>
  <si>
    <t>P3958</t>
  </si>
  <si>
    <t>P3959</t>
  </si>
  <si>
    <t>P3960</t>
  </si>
  <si>
    <t>P3961</t>
  </si>
  <si>
    <t>P3962</t>
  </si>
  <si>
    <t>P3963</t>
  </si>
  <si>
    <t>P3964</t>
  </si>
  <si>
    <t>P3965</t>
  </si>
  <si>
    <t>P3966</t>
  </si>
  <si>
    <t>P3967</t>
  </si>
  <si>
    <t>P3968</t>
  </si>
  <si>
    <t>P3969</t>
  </si>
  <si>
    <t>P3970</t>
  </si>
  <si>
    <t>P3971</t>
  </si>
  <si>
    <t>P3972</t>
  </si>
  <si>
    <t>P3973</t>
  </si>
  <si>
    <t>P3974</t>
  </si>
  <si>
    <t>P3975</t>
  </si>
  <si>
    <t>P3976</t>
  </si>
  <si>
    <t>P3977</t>
  </si>
  <si>
    <t>P3978</t>
  </si>
  <si>
    <t>P3979</t>
  </si>
  <si>
    <t>P3980</t>
  </si>
  <si>
    <t>P3981</t>
  </si>
  <si>
    <t>P3982</t>
  </si>
  <si>
    <t>P3983</t>
  </si>
  <si>
    <t>P3984</t>
  </si>
  <si>
    <t>P3985</t>
  </si>
  <si>
    <t>P3986</t>
  </si>
  <si>
    <t>P3987</t>
  </si>
  <si>
    <t>P3988</t>
  </si>
  <si>
    <t>P3989</t>
  </si>
  <si>
    <t>P3990</t>
  </si>
  <si>
    <t>P3991</t>
  </si>
  <si>
    <t>P3992</t>
  </si>
  <si>
    <t>P3993</t>
  </si>
  <si>
    <t>P3994</t>
  </si>
  <si>
    <t>P3995</t>
  </si>
  <si>
    <t>P3996</t>
  </si>
  <si>
    <t>P3997</t>
  </si>
  <si>
    <t>P3998</t>
  </si>
  <si>
    <t>P3999</t>
  </si>
  <si>
    <t>P4000</t>
  </si>
  <si>
    <t>P4001</t>
  </si>
  <si>
    <t>P4002</t>
  </si>
  <si>
    <t>P4003</t>
  </si>
  <si>
    <t>P4004</t>
  </si>
  <si>
    <t>P4005</t>
  </si>
  <si>
    <t>P4006</t>
  </si>
  <si>
    <t>P4007</t>
  </si>
  <si>
    <t>P4008</t>
  </si>
  <si>
    <t>P4009</t>
  </si>
  <si>
    <t>P4010</t>
  </si>
  <si>
    <t>P4011</t>
  </si>
  <si>
    <t>P4012</t>
  </si>
  <si>
    <t>P4013</t>
  </si>
  <si>
    <t>P4014</t>
  </si>
  <si>
    <t>P4015</t>
  </si>
  <si>
    <t>P4016</t>
  </si>
  <si>
    <t>P4017</t>
  </si>
  <si>
    <t>P4018</t>
  </si>
  <si>
    <t>P4019</t>
  </si>
  <si>
    <t>P4020</t>
  </si>
  <si>
    <t>P4021</t>
  </si>
  <si>
    <t>P4022</t>
  </si>
  <si>
    <t>P4023</t>
  </si>
  <si>
    <t>P4024</t>
  </si>
  <si>
    <t>P4025</t>
  </si>
  <si>
    <t>P4026</t>
  </si>
  <si>
    <t>P4027</t>
  </si>
  <si>
    <t>P4028</t>
  </si>
  <si>
    <t>P4029</t>
  </si>
  <si>
    <t>P4030</t>
  </si>
  <si>
    <t>P4031</t>
  </si>
  <si>
    <t>P4032</t>
  </si>
  <si>
    <t>P4033</t>
  </si>
  <si>
    <t>P4034</t>
  </si>
  <si>
    <t>P4035</t>
  </si>
  <si>
    <t>P4036</t>
  </si>
  <si>
    <t>P4037</t>
  </si>
  <si>
    <t>P4038</t>
  </si>
  <si>
    <t>P4039</t>
  </si>
  <si>
    <t>P4040</t>
  </si>
  <si>
    <t>P4041</t>
  </si>
  <si>
    <t>P4042</t>
  </si>
  <si>
    <t>P4043</t>
  </si>
  <si>
    <t>P4044</t>
  </si>
  <si>
    <t>P4045</t>
  </si>
  <si>
    <t>P4046</t>
  </si>
  <si>
    <t>P4047</t>
  </si>
  <si>
    <t>P4048</t>
  </si>
  <si>
    <t>P4049</t>
  </si>
  <si>
    <t>P4050</t>
  </si>
  <si>
    <t>P4051</t>
  </si>
  <si>
    <t>P4052</t>
  </si>
  <si>
    <t>P4053</t>
  </si>
  <si>
    <t>P4054</t>
  </si>
  <si>
    <t>P4055</t>
  </si>
  <si>
    <t>P4056</t>
  </si>
  <si>
    <t>P4057</t>
  </si>
  <si>
    <t>P4058</t>
  </si>
  <si>
    <t>P4059</t>
  </si>
  <si>
    <t>P4060</t>
  </si>
  <si>
    <t>P4061</t>
  </si>
  <si>
    <t>P4062</t>
  </si>
  <si>
    <t>P4063</t>
  </si>
  <si>
    <t>P4064</t>
  </si>
  <si>
    <t>P4065</t>
  </si>
  <si>
    <t>P4066</t>
  </si>
  <si>
    <t>P4067</t>
  </si>
  <si>
    <t>P4068</t>
  </si>
  <si>
    <t>P4069</t>
  </si>
  <si>
    <t>P4070</t>
  </si>
  <si>
    <t>P4071</t>
  </si>
  <si>
    <t>P4072</t>
  </si>
  <si>
    <t>P4073</t>
  </si>
  <si>
    <t>P4074</t>
  </si>
  <si>
    <t>P4075</t>
  </si>
  <si>
    <t>P4076</t>
  </si>
  <si>
    <t>P4077</t>
  </si>
  <si>
    <t>P4078</t>
  </si>
  <si>
    <t>P4079</t>
  </si>
  <si>
    <t>P4080</t>
  </si>
  <si>
    <t>P4081</t>
  </si>
  <si>
    <t>P4082</t>
  </si>
  <si>
    <t>P4083</t>
  </si>
  <si>
    <t>P4084</t>
  </si>
  <si>
    <t>P4085</t>
  </si>
  <si>
    <t>P4086</t>
  </si>
  <si>
    <t>P4087</t>
  </si>
  <si>
    <t>P4088</t>
  </si>
  <si>
    <t>P4089</t>
  </si>
  <si>
    <t>P4090</t>
  </si>
  <si>
    <t>P4091</t>
  </si>
  <si>
    <t>P4092</t>
  </si>
  <si>
    <t>P4093</t>
  </si>
  <si>
    <t>P4094</t>
  </si>
  <si>
    <t>P4095</t>
  </si>
  <si>
    <t>P4096</t>
  </si>
  <si>
    <t>P4097</t>
  </si>
  <si>
    <t>P4098</t>
  </si>
  <si>
    <t>P4099</t>
  </si>
  <si>
    <t>P4100</t>
  </si>
  <si>
    <t>P4101</t>
  </si>
  <si>
    <t>P4102</t>
  </si>
  <si>
    <t>P4103</t>
  </si>
  <si>
    <t>P4104</t>
  </si>
  <si>
    <t>P4105</t>
  </si>
  <si>
    <t>P4106</t>
  </si>
  <si>
    <t>P4107</t>
  </si>
  <si>
    <t>P4108</t>
  </si>
  <si>
    <t>P4109</t>
  </si>
  <si>
    <t>P4110</t>
  </si>
  <si>
    <t>P4111</t>
  </si>
  <si>
    <t>P4112</t>
  </si>
  <si>
    <t>P4113</t>
  </si>
  <si>
    <t>P4114</t>
  </si>
  <si>
    <t>P4115</t>
  </si>
  <si>
    <t>P4116</t>
  </si>
  <si>
    <t>P4117</t>
  </si>
  <si>
    <t>P4118</t>
  </si>
  <si>
    <t>P4119</t>
  </si>
  <si>
    <t>P4120</t>
  </si>
  <si>
    <t>P4121</t>
  </si>
  <si>
    <t>P4122</t>
  </si>
  <si>
    <t>P4123</t>
  </si>
  <si>
    <t>P4124</t>
  </si>
  <si>
    <t>P4125</t>
  </si>
  <si>
    <t>P4126</t>
  </si>
  <si>
    <t>P4127</t>
  </si>
  <si>
    <t>P4128</t>
  </si>
  <si>
    <t>P4129</t>
  </si>
  <si>
    <t>P4130</t>
  </si>
  <si>
    <t>P4131</t>
  </si>
  <si>
    <t>P4132</t>
  </si>
  <si>
    <t>P4133</t>
  </si>
  <si>
    <t>P4134</t>
  </si>
  <si>
    <t>P4135</t>
  </si>
  <si>
    <t>P4136</t>
  </si>
  <si>
    <t>P4137</t>
  </si>
  <si>
    <t>P4138</t>
  </si>
  <si>
    <t>P4139</t>
  </si>
  <si>
    <t>P4140</t>
  </si>
  <si>
    <t>P4141</t>
  </si>
  <si>
    <t>P4142</t>
  </si>
  <si>
    <t>P4143</t>
  </si>
  <si>
    <t>P4144</t>
  </si>
  <si>
    <t>P4145</t>
  </si>
  <si>
    <t>P4146</t>
  </si>
  <si>
    <t>P4147</t>
  </si>
  <si>
    <t>P4148</t>
  </si>
  <si>
    <t>P4149</t>
  </si>
  <si>
    <t>P4150</t>
  </si>
  <si>
    <t>P4151</t>
  </si>
  <si>
    <t>P4152</t>
  </si>
  <si>
    <t>P4153</t>
  </si>
  <si>
    <t>P4154</t>
  </si>
  <si>
    <t>P4155</t>
  </si>
  <si>
    <t>P4156</t>
  </si>
  <si>
    <t>P4157</t>
  </si>
  <si>
    <t>P4158</t>
  </si>
  <si>
    <t>P4159</t>
  </si>
  <si>
    <t>P4160</t>
  </si>
  <si>
    <t>P4161</t>
  </si>
  <si>
    <t>P4162</t>
  </si>
  <si>
    <t>P4163</t>
  </si>
  <si>
    <t>P4164</t>
  </si>
  <si>
    <t>P4165</t>
  </si>
  <si>
    <t>P4166</t>
  </si>
  <si>
    <t>P4167</t>
  </si>
  <si>
    <t>P4168</t>
  </si>
  <si>
    <t>P4169</t>
  </si>
  <si>
    <t>P4170</t>
  </si>
  <si>
    <t>P4171</t>
  </si>
  <si>
    <t>P4172</t>
  </si>
  <si>
    <t>P4173</t>
  </si>
  <si>
    <t>P4174</t>
  </si>
  <si>
    <t>P4175</t>
  </si>
  <si>
    <t>P4176</t>
  </si>
  <si>
    <t>P4177</t>
  </si>
  <si>
    <t>P4178</t>
  </si>
  <si>
    <t>P4179</t>
  </si>
  <si>
    <t>P4180</t>
  </si>
  <si>
    <t>P4181</t>
  </si>
  <si>
    <t>P4182</t>
  </si>
  <si>
    <t>P4183</t>
  </si>
  <si>
    <t>P4184</t>
  </si>
  <si>
    <t>P4185</t>
  </si>
  <si>
    <t>P4186</t>
  </si>
  <si>
    <t>P4187</t>
  </si>
  <si>
    <t>P4188</t>
  </si>
  <si>
    <t>P4189</t>
  </si>
  <si>
    <t>P4190</t>
  </si>
  <si>
    <t>P4191</t>
  </si>
  <si>
    <t>P4192</t>
  </si>
  <si>
    <t>P4193</t>
  </si>
  <si>
    <t>P4194</t>
  </si>
  <si>
    <t>P4195</t>
  </si>
  <si>
    <t>P4196</t>
  </si>
  <si>
    <t>P4197</t>
  </si>
  <si>
    <t>P4198</t>
  </si>
  <si>
    <t>P4199</t>
  </si>
  <si>
    <t>P4200</t>
  </si>
  <si>
    <t>P4201</t>
  </si>
  <si>
    <t>P4202</t>
  </si>
  <si>
    <t>P4203</t>
  </si>
  <si>
    <t>P4204</t>
  </si>
  <si>
    <t>P4205</t>
  </si>
  <si>
    <t>P4206</t>
  </si>
  <si>
    <t>P4207</t>
  </si>
  <si>
    <t>P4208</t>
  </si>
  <si>
    <t>P4209</t>
  </si>
  <si>
    <t>P4210</t>
  </si>
  <si>
    <t>P4211</t>
  </si>
  <si>
    <t>P4212</t>
  </si>
  <si>
    <t>P4213</t>
  </si>
  <si>
    <t>P4214</t>
  </si>
  <si>
    <t>P4215</t>
  </si>
  <si>
    <t>P4216</t>
  </si>
  <si>
    <t>P4217</t>
  </si>
  <si>
    <t>P4218</t>
  </si>
  <si>
    <t>P4219</t>
  </si>
  <si>
    <t>P4220</t>
  </si>
  <si>
    <t>P4221</t>
  </si>
  <si>
    <t>P4222</t>
  </si>
  <si>
    <t>P4223</t>
  </si>
  <si>
    <t>P4224</t>
  </si>
  <si>
    <t>P4225</t>
  </si>
  <si>
    <t>P4226</t>
  </si>
  <si>
    <t>P4227</t>
  </si>
  <si>
    <t>P4228</t>
  </si>
  <si>
    <t>P4229</t>
  </si>
  <si>
    <t>P4230</t>
  </si>
  <si>
    <t>P4231</t>
  </si>
  <si>
    <t>P4232</t>
  </si>
  <si>
    <t>P4233</t>
  </si>
  <si>
    <t>P4234</t>
  </si>
  <si>
    <t>P4235</t>
  </si>
  <si>
    <t>P4236</t>
  </si>
  <si>
    <t>P4237</t>
  </si>
  <si>
    <t>P4238</t>
  </si>
  <si>
    <t>P4239</t>
  </si>
  <si>
    <t>P4240</t>
  </si>
  <si>
    <t>P4241</t>
  </si>
  <si>
    <t>P4242</t>
  </si>
  <si>
    <t>P4243</t>
  </si>
  <si>
    <t>P4244</t>
  </si>
  <si>
    <t>P4245</t>
  </si>
  <si>
    <t>P4246</t>
  </si>
  <si>
    <t>P4247</t>
  </si>
  <si>
    <t>P4248</t>
  </si>
  <si>
    <t>P4249</t>
  </si>
  <si>
    <t>P4250</t>
  </si>
  <si>
    <t>P4251</t>
  </si>
  <si>
    <t>P4252</t>
  </si>
  <si>
    <t>P4253</t>
  </si>
  <si>
    <t>P4254</t>
  </si>
  <si>
    <t>P4255</t>
  </si>
  <si>
    <t>P4256</t>
  </si>
  <si>
    <t>P4257</t>
  </si>
  <si>
    <t>P4258</t>
  </si>
  <si>
    <t>P4259</t>
  </si>
  <si>
    <t>P4260</t>
  </si>
  <si>
    <t>P4261</t>
  </si>
  <si>
    <t>P4262</t>
  </si>
  <si>
    <t>P4263</t>
  </si>
  <si>
    <t>P4264</t>
  </si>
  <si>
    <t>P4265</t>
  </si>
  <si>
    <t>P4266</t>
  </si>
  <si>
    <t>P4267</t>
  </si>
  <si>
    <t>P4268</t>
  </si>
  <si>
    <t>P4269</t>
  </si>
  <si>
    <t>P4270</t>
  </si>
  <si>
    <t>P4271</t>
  </si>
  <si>
    <t>P4272</t>
  </si>
  <si>
    <t>P4273</t>
  </si>
  <si>
    <t>P4274</t>
  </si>
  <si>
    <t>P4275</t>
  </si>
  <si>
    <t>P4276</t>
  </si>
  <si>
    <t>P4277</t>
  </si>
  <si>
    <t>P4278</t>
  </si>
  <si>
    <t>P4279</t>
  </si>
  <si>
    <t>P4280</t>
  </si>
  <si>
    <t>P4281</t>
  </si>
  <si>
    <t>P4282</t>
  </si>
  <si>
    <t>P4283</t>
  </si>
  <si>
    <t>P4284</t>
  </si>
  <si>
    <t>P4285</t>
  </si>
  <si>
    <t>P4286</t>
  </si>
  <si>
    <t>P4287</t>
  </si>
  <si>
    <t>P4288</t>
  </si>
  <si>
    <t>P4289</t>
  </si>
  <si>
    <t>P4290</t>
  </si>
  <si>
    <t>P4291</t>
  </si>
  <si>
    <t>P4292</t>
  </si>
  <si>
    <t>P4293</t>
  </si>
  <si>
    <t>P4294</t>
  </si>
  <si>
    <t>P4295</t>
  </si>
  <si>
    <t>P4296</t>
  </si>
  <si>
    <t>P4297</t>
  </si>
  <si>
    <t>P4298</t>
  </si>
  <si>
    <t>P4299</t>
  </si>
  <si>
    <t>P4300</t>
  </si>
  <si>
    <t>P4301</t>
  </si>
  <si>
    <t>P4302</t>
  </si>
  <si>
    <t>P4303</t>
  </si>
  <si>
    <t>P4304</t>
  </si>
  <si>
    <t>P4305</t>
  </si>
  <si>
    <t>P4306</t>
  </si>
  <si>
    <t>P4307</t>
  </si>
  <si>
    <t>P4308</t>
  </si>
  <si>
    <t>P4309</t>
  </si>
  <si>
    <t>P4310</t>
  </si>
  <si>
    <t>P4311</t>
  </si>
  <si>
    <t>P4312</t>
  </si>
  <si>
    <t>P4313</t>
  </si>
  <si>
    <t>P4314</t>
  </si>
  <si>
    <t>P4315</t>
  </si>
  <si>
    <t>P4316</t>
  </si>
  <si>
    <t>P4317</t>
  </si>
  <si>
    <t>P4318</t>
  </si>
  <si>
    <t>P4319</t>
  </si>
  <si>
    <t>P4320</t>
  </si>
  <si>
    <t>P4321</t>
  </si>
  <si>
    <t>P4322</t>
  </si>
  <si>
    <t>P4323</t>
  </si>
  <si>
    <t>P4324</t>
  </si>
  <si>
    <t>P4325</t>
  </si>
  <si>
    <t>P4326</t>
  </si>
  <si>
    <t>P4327</t>
  </si>
  <si>
    <t>P4328</t>
  </si>
  <si>
    <t>P4329</t>
  </si>
  <si>
    <t>P4330</t>
  </si>
  <si>
    <t>P4331</t>
  </si>
  <si>
    <t>P4332</t>
  </si>
  <si>
    <t>P4333</t>
  </si>
  <si>
    <t>P4334</t>
  </si>
  <si>
    <t>P4335</t>
  </si>
  <si>
    <t>P4336</t>
  </si>
  <si>
    <t>P4337</t>
  </si>
  <si>
    <t>P4338</t>
  </si>
  <si>
    <t>P4339</t>
  </si>
  <si>
    <t>P4340</t>
  </si>
  <si>
    <t>P4341</t>
  </si>
  <si>
    <t>P4342</t>
  </si>
  <si>
    <t>P4343</t>
  </si>
  <si>
    <t>P4344</t>
  </si>
  <si>
    <t>P4345</t>
  </si>
  <si>
    <t>P4346</t>
  </si>
  <si>
    <t>P4347</t>
  </si>
  <si>
    <t>P4348</t>
  </si>
  <si>
    <t>P4349</t>
  </si>
  <si>
    <t>P4350</t>
  </si>
  <si>
    <t>P4351</t>
  </si>
  <si>
    <t>P4352</t>
  </si>
  <si>
    <t>P4353</t>
  </si>
  <si>
    <t>P4354</t>
  </si>
  <si>
    <t>P4355</t>
  </si>
  <si>
    <t>P4356</t>
  </si>
  <si>
    <t>P4357</t>
  </si>
  <si>
    <t>P4358</t>
  </si>
  <si>
    <t>P4359</t>
  </si>
  <si>
    <t>P4360</t>
  </si>
  <si>
    <t>P4361</t>
  </si>
  <si>
    <t>P4362</t>
  </si>
  <si>
    <t>P4363</t>
  </si>
  <si>
    <t>P4364</t>
  </si>
  <si>
    <t>P4365</t>
  </si>
  <si>
    <t>P4366</t>
  </si>
  <si>
    <t>P4367</t>
  </si>
  <si>
    <t>P4368</t>
  </si>
  <si>
    <t>P4369</t>
  </si>
  <si>
    <t>P4370</t>
  </si>
  <si>
    <t>P4371</t>
  </si>
  <si>
    <t>P4372</t>
  </si>
  <si>
    <t>P4373</t>
  </si>
  <si>
    <t>P4374</t>
  </si>
  <si>
    <t>P4375</t>
  </si>
  <si>
    <t>P4376</t>
  </si>
  <si>
    <t>P4377</t>
  </si>
  <si>
    <t>P4378</t>
  </si>
  <si>
    <t>P4379</t>
  </si>
  <si>
    <t>P4380</t>
  </si>
  <si>
    <t>P4381</t>
  </si>
  <si>
    <t>P4382</t>
  </si>
  <si>
    <t>P4383</t>
  </si>
  <si>
    <t>P4384</t>
  </si>
  <si>
    <t>P4385</t>
  </si>
  <si>
    <t>P4386</t>
  </si>
  <si>
    <t>P4387</t>
  </si>
  <si>
    <t>P4388</t>
  </si>
  <si>
    <t>P4389</t>
  </si>
  <si>
    <t>P4390</t>
  </si>
  <si>
    <t>P4391</t>
  </si>
  <si>
    <t>P4392</t>
  </si>
  <si>
    <t>P4393</t>
  </si>
  <si>
    <t>P4394</t>
  </si>
  <si>
    <t>P4395</t>
  </si>
  <si>
    <t>P4396</t>
  </si>
  <si>
    <t>P4397</t>
  </si>
  <si>
    <t>P4398</t>
  </si>
  <si>
    <t>P4399</t>
  </si>
  <si>
    <t>P4400</t>
  </si>
  <si>
    <t>P4401</t>
  </si>
  <si>
    <t>P4402</t>
  </si>
  <si>
    <t>P4403</t>
  </si>
  <si>
    <t>P4404</t>
  </si>
  <si>
    <t>P4405</t>
  </si>
  <si>
    <t>P4406</t>
  </si>
  <si>
    <t>P4407</t>
  </si>
  <si>
    <t>P4408</t>
  </si>
  <si>
    <t>P4409</t>
  </si>
  <si>
    <t>P4410</t>
  </si>
  <si>
    <t>P4411</t>
  </si>
  <si>
    <t>P4412</t>
  </si>
  <si>
    <t>P4413</t>
  </si>
  <si>
    <t>P4414</t>
  </si>
  <si>
    <t>P4415</t>
  </si>
  <si>
    <t>P4416</t>
  </si>
  <si>
    <t>P4417</t>
  </si>
  <si>
    <t>P4418</t>
  </si>
  <si>
    <t>P4419</t>
  </si>
  <si>
    <t>P4420</t>
  </si>
  <si>
    <t>P4421</t>
  </si>
  <si>
    <t>P4422</t>
  </si>
  <si>
    <t>P4423</t>
  </si>
  <si>
    <t>P4424</t>
  </si>
  <si>
    <t>P4425</t>
  </si>
  <si>
    <t>P4426</t>
  </si>
  <si>
    <t>P4427</t>
  </si>
  <si>
    <t>P4428</t>
  </si>
  <si>
    <t>P4429</t>
  </si>
  <si>
    <t>P4430</t>
  </si>
  <si>
    <t>P4431</t>
  </si>
  <si>
    <t>P4432</t>
  </si>
  <si>
    <t>P4433</t>
  </si>
  <si>
    <t>P4434</t>
  </si>
  <si>
    <t>P4435</t>
  </si>
  <si>
    <t>P4436</t>
  </si>
  <si>
    <t>P4437</t>
  </si>
  <si>
    <t>P4438</t>
  </si>
  <si>
    <t>P4439</t>
  </si>
  <si>
    <t>P4440</t>
  </si>
  <si>
    <t>P4441</t>
  </si>
  <si>
    <t>P4442</t>
  </si>
  <si>
    <t>P4443</t>
  </si>
  <si>
    <t>P4444</t>
  </si>
  <si>
    <t>P4445</t>
  </si>
  <si>
    <t>P4446</t>
  </si>
  <si>
    <t>P4447</t>
  </si>
  <si>
    <t>P4448</t>
  </si>
  <si>
    <t>P4449</t>
  </si>
  <si>
    <t>P4450</t>
  </si>
  <si>
    <t>P4451</t>
  </si>
  <si>
    <t>P4452</t>
  </si>
  <si>
    <t>P4453</t>
  </si>
  <si>
    <t>P4454</t>
  </si>
  <si>
    <t>P4455</t>
  </si>
  <si>
    <t>P4456</t>
  </si>
  <si>
    <t>P4457</t>
  </si>
  <si>
    <t>P4458</t>
  </si>
  <si>
    <t>P4459</t>
  </si>
  <si>
    <t>P4460</t>
  </si>
  <si>
    <t>P4461</t>
  </si>
  <si>
    <t>P4462</t>
  </si>
  <si>
    <t>P4463</t>
  </si>
  <si>
    <t>P4464</t>
  </si>
  <si>
    <t>P4465</t>
  </si>
  <si>
    <t>P4466</t>
  </si>
  <si>
    <t>P4467</t>
  </si>
  <si>
    <t>P4468</t>
  </si>
  <si>
    <t>P4469</t>
  </si>
  <si>
    <t>P4470</t>
  </si>
  <si>
    <t>P4471</t>
  </si>
  <si>
    <t>P4472</t>
  </si>
  <si>
    <t>P4473</t>
  </si>
  <si>
    <t>P4474</t>
  </si>
  <si>
    <t>P4475</t>
  </si>
  <si>
    <t>P4476</t>
  </si>
  <si>
    <t>P4477</t>
  </si>
  <si>
    <t>P4478</t>
  </si>
  <si>
    <t>P4479</t>
  </si>
  <si>
    <t>P4480</t>
  </si>
  <si>
    <t>P4481</t>
  </si>
  <si>
    <t>P4482</t>
  </si>
  <si>
    <t>P4483</t>
  </si>
  <si>
    <t>P4484</t>
  </si>
  <si>
    <t>P4485</t>
  </si>
  <si>
    <t>P4486</t>
  </si>
  <si>
    <t>P4487</t>
  </si>
  <si>
    <t>P4488</t>
  </si>
  <si>
    <t>P4489</t>
  </si>
  <si>
    <t>P4490</t>
  </si>
  <si>
    <t>P4491</t>
  </si>
  <si>
    <t>P4492</t>
  </si>
  <si>
    <t>P4493</t>
  </si>
  <si>
    <t>P4494</t>
  </si>
  <si>
    <t>P4495</t>
  </si>
  <si>
    <t>P4496</t>
  </si>
  <si>
    <t>P4497</t>
  </si>
  <si>
    <t>P4498</t>
  </si>
  <si>
    <t>P4499</t>
  </si>
  <si>
    <t>P4500</t>
  </si>
  <si>
    <t>P4501</t>
  </si>
  <si>
    <t>P4502</t>
  </si>
  <si>
    <t>P4503</t>
  </si>
  <si>
    <t>P4504</t>
  </si>
  <si>
    <t>P4505</t>
  </si>
  <si>
    <t>P4506</t>
  </si>
  <si>
    <t>P4507</t>
  </si>
  <si>
    <t>P4508</t>
  </si>
  <si>
    <t>P4509</t>
  </si>
  <si>
    <t>P4510</t>
  </si>
  <si>
    <t>P4511</t>
  </si>
  <si>
    <t>P4512</t>
  </si>
  <si>
    <t>P4513</t>
  </si>
  <si>
    <t>P4514</t>
  </si>
  <si>
    <t>P4515</t>
  </si>
  <si>
    <t>P4516</t>
  </si>
  <si>
    <t>P4517</t>
  </si>
  <si>
    <t>P4518</t>
  </si>
  <si>
    <t>P4519</t>
  </si>
  <si>
    <t>P4520</t>
  </si>
  <si>
    <t>P4521</t>
  </si>
  <si>
    <t>P4522</t>
  </si>
  <si>
    <t>P4523</t>
  </si>
  <si>
    <t>P4524</t>
  </si>
  <si>
    <t>P4525</t>
  </si>
  <si>
    <t>P4526</t>
  </si>
  <si>
    <t>P4527</t>
  </si>
  <si>
    <t>P4528</t>
  </si>
  <si>
    <t>P4529</t>
  </si>
  <si>
    <t>P4530</t>
  </si>
  <si>
    <t>P4531</t>
  </si>
  <si>
    <t>P4532</t>
  </si>
  <si>
    <t>P4533</t>
  </si>
  <si>
    <t>P4534</t>
  </si>
  <si>
    <t>P4535</t>
  </si>
  <si>
    <t>P4536</t>
  </si>
  <si>
    <t>P4537</t>
  </si>
  <si>
    <t>P4538</t>
  </si>
  <si>
    <t>P4539</t>
  </si>
  <si>
    <t>P4540</t>
  </si>
  <si>
    <t>P4541</t>
  </si>
  <si>
    <t>P4542</t>
  </si>
  <si>
    <t>P4543</t>
  </si>
  <si>
    <t>P4544</t>
  </si>
  <si>
    <t>P4545</t>
  </si>
  <si>
    <t>P4546</t>
  </si>
  <si>
    <t>P4547</t>
  </si>
  <si>
    <t>P4548</t>
  </si>
  <si>
    <t>P4549</t>
  </si>
  <si>
    <t>P4550</t>
  </si>
  <si>
    <t>P4551</t>
  </si>
  <si>
    <t>P4552</t>
  </si>
  <si>
    <t>P4553</t>
  </si>
  <si>
    <t>P4554</t>
  </si>
  <si>
    <t>P4555</t>
  </si>
  <si>
    <t>P4556</t>
  </si>
  <si>
    <t>P4557</t>
  </si>
  <si>
    <t>P4558</t>
  </si>
  <si>
    <t>P4559</t>
  </si>
  <si>
    <t>P4560</t>
  </si>
  <si>
    <t>P4561</t>
  </si>
  <si>
    <t>P4562</t>
  </si>
  <si>
    <t>P4563</t>
  </si>
  <si>
    <t>P4564</t>
  </si>
  <si>
    <t>P4565</t>
  </si>
  <si>
    <t>P4566</t>
  </si>
  <si>
    <t>P4567</t>
  </si>
  <si>
    <t>P4568</t>
  </si>
  <si>
    <t>P4569</t>
  </si>
  <si>
    <t>P4570</t>
  </si>
  <si>
    <t>P4571</t>
  </si>
  <si>
    <t>P4572</t>
  </si>
  <si>
    <t>P4573</t>
  </si>
  <si>
    <t>P4574</t>
  </si>
  <si>
    <t>P4575</t>
  </si>
  <si>
    <t>P4576</t>
  </si>
  <si>
    <t>P4577</t>
  </si>
  <si>
    <t>P4578</t>
  </si>
  <si>
    <t>P4579</t>
  </si>
  <si>
    <t>P4580</t>
  </si>
  <si>
    <t>P4581</t>
  </si>
  <si>
    <t>P4582</t>
  </si>
  <si>
    <t>P4583</t>
  </si>
  <si>
    <t>P4584</t>
  </si>
  <si>
    <t>P4585</t>
  </si>
  <si>
    <t>P4586</t>
  </si>
  <si>
    <t>P4587</t>
  </si>
  <si>
    <t>P4588</t>
  </si>
  <si>
    <t>P4589</t>
  </si>
  <si>
    <t>P4590</t>
  </si>
  <si>
    <t>P4591</t>
  </si>
  <si>
    <t>P4592</t>
  </si>
  <si>
    <t>P4593</t>
  </si>
  <si>
    <t>P4594</t>
  </si>
  <si>
    <t>P4595</t>
  </si>
  <si>
    <t>P4596</t>
  </si>
  <si>
    <t>P4597</t>
  </si>
  <si>
    <t>P4598</t>
  </si>
  <si>
    <t>P4599</t>
  </si>
  <si>
    <t>P4600</t>
  </si>
  <si>
    <t>P4601</t>
  </si>
  <si>
    <t>P4602</t>
  </si>
  <si>
    <t>P4603</t>
  </si>
  <si>
    <t>P4604</t>
  </si>
  <si>
    <t>P4605</t>
  </si>
  <si>
    <t>P4606</t>
  </si>
  <si>
    <t>P4607</t>
  </si>
  <si>
    <t>P4608</t>
  </si>
  <si>
    <t>P4609</t>
  </si>
  <si>
    <t>P4610</t>
  </si>
  <si>
    <t>P4611</t>
  </si>
  <si>
    <t>P4612</t>
  </si>
  <si>
    <t>P4613</t>
  </si>
  <si>
    <t>P4614</t>
  </si>
  <si>
    <t>P4615</t>
  </si>
  <si>
    <t>P4616</t>
  </si>
  <si>
    <t>P4617</t>
  </si>
  <si>
    <t>P4618</t>
  </si>
  <si>
    <t>P4619</t>
  </si>
  <si>
    <t>P4620</t>
  </si>
  <si>
    <t>P4621</t>
  </si>
  <si>
    <t>P4622</t>
  </si>
  <si>
    <t>P4623</t>
  </si>
  <si>
    <t>P4624</t>
  </si>
  <si>
    <t>P4625</t>
  </si>
  <si>
    <t>P4626</t>
  </si>
  <si>
    <t>P4627</t>
  </si>
  <si>
    <t>P4628</t>
  </si>
  <si>
    <t>P4629</t>
  </si>
  <si>
    <t>P4630</t>
  </si>
  <si>
    <t>P4631</t>
  </si>
  <si>
    <t>P4632</t>
  </si>
  <si>
    <t>P4633</t>
  </si>
  <si>
    <t>P4634</t>
  </si>
  <si>
    <t>P4635</t>
  </si>
  <si>
    <t>P4636</t>
  </si>
  <si>
    <t>P4637</t>
  </si>
  <si>
    <t>P4638</t>
  </si>
  <si>
    <t>P4639</t>
  </si>
  <si>
    <t>P4640</t>
  </si>
  <si>
    <t>P4641</t>
  </si>
  <si>
    <t>P4642</t>
  </si>
  <si>
    <t>P4643</t>
  </si>
  <si>
    <t>P4644</t>
  </si>
  <si>
    <t>P4645</t>
  </si>
  <si>
    <t>P4646</t>
  </si>
  <si>
    <t>P4647</t>
  </si>
  <si>
    <t>P4648</t>
  </si>
  <si>
    <t>P4649</t>
  </si>
  <si>
    <t>P4650</t>
  </si>
  <si>
    <t>P4651</t>
  </si>
  <si>
    <t>P4652</t>
  </si>
  <si>
    <t>P4653</t>
  </si>
  <si>
    <t>P4654</t>
  </si>
  <si>
    <t>P4655</t>
  </si>
  <si>
    <t>P4656</t>
  </si>
  <si>
    <t>P4657</t>
  </si>
  <si>
    <t>P4658</t>
  </si>
  <si>
    <t>P4659</t>
  </si>
  <si>
    <t>P4660</t>
  </si>
  <si>
    <t>P4661</t>
  </si>
  <si>
    <t>P4662</t>
  </si>
  <si>
    <t>P4663</t>
  </si>
  <si>
    <t>P4664</t>
  </si>
  <si>
    <t>P4665</t>
  </si>
  <si>
    <t>P4666</t>
  </si>
  <si>
    <t>P4667</t>
  </si>
  <si>
    <t>P4668</t>
  </si>
  <si>
    <t>P4669</t>
  </si>
  <si>
    <t>P4670</t>
  </si>
  <si>
    <t>P4671</t>
  </si>
  <si>
    <t>P4672</t>
  </si>
  <si>
    <t>P4673</t>
  </si>
  <si>
    <t>P4674</t>
  </si>
  <si>
    <t>P4675</t>
  </si>
  <si>
    <t>P4676</t>
  </si>
  <si>
    <t>P4677</t>
  </si>
  <si>
    <t>P4678</t>
  </si>
  <si>
    <t>P4679</t>
  </si>
  <si>
    <t>P4680</t>
  </si>
  <si>
    <t>P4681</t>
  </si>
  <si>
    <t>P4682</t>
  </si>
  <si>
    <t>P4683</t>
  </si>
  <si>
    <t>P4684</t>
  </si>
  <si>
    <t>P4685</t>
  </si>
  <si>
    <t>P4686</t>
  </si>
  <si>
    <t>P4687</t>
  </si>
  <si>
    <t>P4688</t>
  </si>
  <si>
    <t>P4689</t>
  </si>
  <si>
    <t>P4690</t>
  </si>
  <si>
    <t>P4691</t>
  </si>
  <si>
    <t>P4692</t>
  </si>
  <si>
    <t>P4693</t>
  </si>
  <si>
    <t>P4694</t>
  </si>
  <si>
    <t>P4695</t>
  </si>
  <si>
    <t>P4696</t>
  </si>
  <si>
    <t>P4697</t>
  </si>
  <si>
    <t>P4698</t>
  </si>
  <si>
    <t>P4699</t>
  </si>
  <si>
    <t>P4700</t>
  </si>
  <si>
    <t>P4701</t>
  </si>
  <si>
    <t>P4702</t>
  </si>
  <si>
    <t>P4703</t>
  </si>
  <si>
    <t>P4704</t>
  </si>
  <si>
    <t>P4705</t>
  </si>
  <si>
    <t>P4706</t>
  </si>
  <si>
    <t>P4707</t>
  </si>
  <si>
    <t>P4708</t>
  </si>
  <si>
    <t>P4709</t>
  </si>
  <si>
    <t>P4710</t>
  </si>
  <si>
    <t>P4711</t>
  </si>
  <si>
    <t>P4712</t>
  </si>
  <si>
    <t>P4713</t>
  </si>
  <si>
    <t>P4714</t>
  </si>
  <si>
    <t>P4715</t>
  </si>
  <si>
    <t>P4716</t>
  </si>
  <si>
    <t>P4717</t>
  </si>
  <si>
    <t>P4718</t>
  </si>
  <si>
    <t>P4719</t>
  </si>
  <si>
    <t>P4720</t>
  </si>
  <si>
    <t>P4721</t>
  </si>
  <si>
    <t>P4722</t>
  </si>
  <si>
    <t>P4723</t>
  </si>
  <si>
    <t>P4724</t>
  </si>
  <si>
    <t>P4725</t>
  </si>
  <si>
    <t>P4726</t>
  </si>
  <si>
    <t>P4727</t>
  </si>
  <si>
    <t>P4728</t>
  </si>
  <si>
    <t>P4729</t>
  </si>
  <si>
    <t>P4730</t>
  </si>
  <si>
    <t>P4731</t>
  </si>
  <si>
    <t>P4732</t>
  </si>
  <si>
    <t>P4733</t>
  </si>
  <si>
    <t>P4734</t>
  </si>
  <si>
    <t>P4735</t>
  </si>
  <si>
    <t>P4736</t>
  </si>
  <si>
    <t>P4737</t>
  </si>
  <si>
    <t>P4738</t>
  </si>
  <si>
    <t>P4739</t>
  </si>
  <si>
    <t>P4740</t>
  </si>
  <si>
    <t>P4741</t>
  </si>
  <si>
    <t>P4742</t>
  </si>
  <si>
    <t>P4743</t>
  </si>
  <si>
    <t>P4744</t>
  </si>
  <si>
    <t>P4745</t>
  </si>
  <si>
    <t>P4746</t>
  </si>
  <si>
    <t>P4747</t>
  </si>
  <si>
    <t>P4748</t>
  </si>
  <si>
    <t>P4749</t>
  </si>
  <si>
    <t>P4750</t>
  </si>
  <si>
    <t>P4751</t>
  </si>
  <si>
    <t>P4752</t>
  </si>
  <si>
    <t>P4753</t>
  </si>
  <si>
    <t>P4754</t>
  </si>
  <si>
    <t>P4755</t>
  </si>
  <si>
    <t>P4756</t>
  </si>
  <si>
    <t>P4757</t>
  </si>
  <si>
    <t>P4758</t>
  </si>
  <si>
    <t>P4759</t>
  </si>
  <si>
    <t>P4760</t>
  </si>
  <si>
    <t>P4761</t>
  </si>
  <si>
    <t>P4762</t>
  </si>
  <si>
    <t>P4763</t>
  </si>
  <si>
    <t>P4764</t>
  </si>
  <si>
    <t>P4765</t>
  </si>
  <si>
    <t>P4766</t>
  </si>
  <si>
    <t>P4767</t>
  </si>
  <si>
    <t>P4768</t>
  </si>
  <si>
    <t>P4769</t>
  </si>
  <si>
    <t>P4770</t>
  </si>
  <si>
    <t>P4771</t>
  </si>
  <si>
    <t>P4772</t>
  </si>
  <si>
    <t>P4773</t>
  </si>
  <si>
    <t>P4774</t>
  </si>
  <si>
    <t>P4775</t>
  </si>
  <si>
    <t>P4776</t>
  </si>
  <si>
    <t>P4777</t>
  </si>
  <si>
    <t>P4778</t>
  </si>
  <si>
    <t>P4779</t>
  </si>
  <si>
    <t>P4780</t>
  </si>
  <si>
    <t>P4781</t>
  </si>
  <si>
    <t>P4782</t>
  </si>
  <si>
    <t>P4783</t>
  </si>
  <si>
    <t>P4784</t>
  </si>
  <si>
    <t>P4785</t>
  </si>
  <si>
    <t>P4786</t>
  </si>
  <si>
    <t>P4787</t>
  </si>
  <si>
    <t>P4788</t>
  </si>
  <si>
    <t>P4789</t>
  </si>
  <si>
    <t>P4790</t>
  </si>
  <si>
    <t>P4791</t>
  </si>
  <si>
    <t>P4792</t>
  </si>
  <si>
    <t>P4793</t>
  </si>
  <si>
    <t>P4794</t>
  </si>
  <si>
    <t>P4795</t>
  </si>
  <si>
    <t>P4796</t>
  </si>
  <si>
    <t>P4797</t>
  </si>
  <si>
    <t>P4798</t>
  </si>
  <si>
    <t>P4799</t>
  </si>
  <si>
    <t>P4800</t>
  </si>
  <si>
    <t>P4801</t>
  </si>
  <si>
    <t>P4802</t>
  </si>
  <si>
    <t>P4803</t>
  </si>
  <si>
    <t>P4804</t>
  </si>
  <si>
    <t>P4805</t>
  </si>
  <si>
    <t>P4806</t>
  </si>
  <si>
    <t>P4807</t>
  </si>
  <si>
    <t>P4808</t>
  </si>
  <si>
    <t>P4809</t>
  </si>
  <si>
    <t>P4810</t>
  </si>
  <si>
    <t>P4811</t>
  </si>
  <si>
    <t>P4812</t>
  </si>
  <si>
    <t>P4813</t>
  </si>
  <si>
    <t>P4814</t>
  </si>
  <si>
    <t>P4815</t>
  </si>
  <si>
    <t>P4816</t>
  </si>
  <si>
    <t>P4817</t>
  </si>
  <si>
    <t>P4818</t>
  </si>
  <si>
    <t>P4819</t>
  </si>
  <si>
    <t>P4820</t>
  </si>
  <si>
    <t>P4821</t>
  </si>
  <si>
    <t>P4822</t>
  </si>
  <si>
    <t>P4823</t>
  </si>
  <si>
    <t>P4824</t>
  </si>
  <si>
    <t>P4825</t>
  </si>
  <si>
    <t>P4826</t>
  </si>
  <si>
    <t>P4827</t>
  </si>
  <si>
    <t>P4828</t>
  </si>
  <si>
    <t>P4829</t>
  </si>
  <si>
    <t>P4830</t>
  </si>
  <si>
    <t>P4831</t>
  </si>
  <si>
    <t>P4832</t>
  </si>
  <si>
    <t>P4833</t>
  </si>
  <si>
    <t>P4834</t>
  </si>
  <si>
    <t>P4835</t>
  </si>
  <si>
    <t>P4836</t>
  </si>
  <si>
    <t>P4837</t>
  </si>
  <si>
    <t>P4838</t>
  </si>
  <si>
    <t>P4839</t>
  </si>
  <si>
    <t>P4840</t>
  </si>
  <si>
    <t>P4841</t>
  </si>
  <si>
    <t>P4842</t>
  </si>
  <si>
    <t>P4843</t>
  </si>
  <si>
    <t>P4844</t>
  </si>
  <si>
    <t>P4845</t>
  </si>
  <si>
    <t>P4846</t>
  </si>
  <si>
    <t>P4847</t>
  </si>
  <si>
    <t>P4848</t>
  </si>
  <si>
    <t>P4849</t>
  </si>
  <si>
    <t>P4850</t>
  </si>
  <si>
    <t>P4851</t>
  </si>
  <si>
    <t>P4852</t>
  </si>
  <si>
    <t>P4853</t>
  </si>
  <si>
    <t>P4854</t>
  </si>
  <si>
    <t>P4855</t>
  </si>
  <si>
    <t>P4856</t>
  </si>
  <si>
    <t>P4857</t>
  </si>
  <si>
    <t>P4858</t>
  </si>
  <si>
    <t>P4859</t>
  </si>
  <si>
    <t>P4860</t>
  </si>
  <si>
    <t>P4861</t>
  </si>
  <si>
    <t>P4862</t>
  </si>
  <si>
    <t>P4863</t>
  </si>
  <si>
    <t>P4864</t>
  </si>
  <si>
    <t>P4865</t>
  </si>
  <si>
    <t>P4866</t>
  </si>
  <si>
    <t>P4867</t>
  </si>
  <si>
    <t>P4868</t>
  </si>
  <si>
    <t>P4869</t>
  </si>
  <si>
    <t>P4870</t>
  </si>
  <si>
    <t>P4871</t>
  </si>
  <si>
    <t>P4872</t>
  </si>
  <si>
    <t>P4873</t>
  </si>
  <si>
    <t>P4874</t>
  </si>
  <si>
    <t>P4875</t>
  </si>
  <si>
    <t>P4876</t>
  </si>
  <si>
    <t>P4877</t>
  </si>
  <si>
    <t>P4878</t>
  </si>
  <si>
    <t>P4879</t>
  </si>
  <si>
    <t>P4880</t>
  </si>
  <si>
    <t>P4881</t>
  </si>
  <si>
    <t>P4882</t>
  </si>
  <si>
    <t>P4883</t>
  </si>
  <si>
    <t>P4884</t>
  </si>
  <si>
    <t>P4885</t>
  </si>
  <si>
    <t>P4886</t>
  </si>
  <si>
    <t>P4887</t>
  </si>
  <si>
    <t>P4888</t>
  </si>
  <si>
    <t>P4889</t>
  </si>
  <si>
    <t>P4890</t>
  </si>
  <si>
    <t>P4891</t>
  </si>
  <si>
    <t>P4892</t>
  </si>
  <si>
    <t>P4893</t>
  </si>
  <si>
    <t>P4894</t>
  </si>
  <si>
    <t>P4895</t>
  </si>
  <si>
    <t>P4896</t>
  </si>
  <si>
    <t>P4897</t>
  </si>
  <si>
    <t>P4898</t>
  </si>
  <si>
    <t>P4899</t>
  </si>
  <si>
    <t>P4900</t>
  </si>
  <si>
    <t>P4901</t>
  </si>
  <si>
    <t>P4902</t>
  </si>
  <si>
    <t>P4903</t>
  </si>
  <si>
    <t>P4904</t>
  </si>
  <si>
    <t>P4905</t>
  </si>
  <si>
    <t>P4906</t>
  </si>
  <si>
    <t>P4907</t>
  </si>
  <si>
    <t>P4908</t>
  </si>
  <si>
    <t>P4909</t>
  </si>
  <si>
    <t>P4910</t>
  </si>
  <si>
    <t>P4911</t>
  </si>
  <si>
    <t>P4912</t>
  </si>
  <si>
    <t>P4913</t>
  </si>
  <si>
    <t>P4914</t>
  </si>
  <si>
    <t>P4915</t>
  </si>
  <si>
    <t>P4916</t>
  </si>
  <si>
    <t>P4917</t>
  </si>
  <si>
    <t>P4918</t>
  </si>
  <si>
    <t>P4919</t>
  </si>
  <si>
    <t>P4920</t>
  </si>
  <si>
    <t>P4921</t>
  </si>
  <si>
    <t>P4922</t>
  </si>
  <si>
    <t>P4923</t>
  </si>
  <si>
    <t>P4924</t>
  </si>
  <si>
    <t>P4925</t>
  </si>
  <si>
    <t>P4926</t>
  </si>
  <si>
    <t>P4927</t>
  </si>
  <si>
    <t>P4928</t>
  </si>
  <si>
    <t>P4929</t>
  </si>
  <si>
    <t>P4930</t>
  </si>
  <si>
    <t>P4931</t>
  </si>
  <si>
    <t>P4932</t>
  </si>
  <si>
    <t>P4933</t>
  </si>
  <si>
    <t>P4934</t>
  </si>
  <si>
    <t>P4935</t>
  </si>
  <si>
    <t>P4936</t>
  </si>
  <si>
    <t>P4937</t>
  </si>
  <si>
    <t>P4938</t>
  </si>
  <si>
    <t>P4939</t>
  </si>
  <si>
    <t>P4940</t>
  </si>
  <si>
    <t>P4941</t>
  </si>
  <si>
    <t>P4942</t>
  </si>
  <si>
    <t>P4943</t>
  </si>
  <si>
    <t>P4944</t>
  </si>
  <si>
    <t>P4945</t>
  </si>
  <si>
    <t>P4946</t>
  </si>
  <si>
    <t>P4947</t>
  </si>
  <si>
    <t>P4948</t>
  </si>
  <si>
    <t>P4949</t>
  </si>
  <si>
    <t>P4950</t>
  </si>
  <si>
    <t>P4951</t>
  </si>
  <si>
    <t>P4952</t>
  </si>
  <si>
    <t>P4953</t>
  </si>
  <si>
    <t>P4954</t>
  </si>
  <si>
    <t>P4955</t>
  </si>
  <si>
    <t>P4956</t>
  </si>
  <si>
    <t>P4957</t>
  </si>
  <si>
    <t>P4958</t>
  </si>
  <si>
    <t>P4959</t>
  </si>
  <si>
    <t>P4960</t>
  </si>
  <si>
    <t>P4961</t>
  </si>
  <si>
    <t>P4962</t>
  </si>
  <si>
    <t>P4963</t>
  </si>
  <si>
    <t>P4964</t>
  </si>
  <si>
    <t>P4965</t>
  </si>
  <si>
    <t>P4966</t>
  </si>
  <si>
    <t>P4967</t>
  </si>
  <si>
    <t>P4968</t>
  </si>
  <si>
    <t>P4969</t>
  </si>
  <si>
    <t>P4970</t>
  </si>
  <si>
    <t>P4971</t>
  </si>
  <si>
    <t>P4972</t>
  </si>
  <si>
    <t>P4973</t>
  </si>
  <si>
    <t>P4974</t>
  </si>
  <si>
    <t>P4975</t>
  </si>
  <si>
    <t>P4976</t>
  </si>
  <si>
    <t>P4977</t>
  </si>
  <si>
    <t>P4978</t>
  </si>
  <si>
    <t>P4979</t>
  </si>
  <si>
    <t>P4980</t>
  </si>
  <si>
    <t>P4981</t>
  </si>
  <si>
    <t>P4982</t>
  </si>
  <si>
    <t>P4983</t>
  </si>
  <si>
    <t>P4984</t>
  </si>
  <si>
    <t>P4985</t>
  </si>
  <si>
    <t>P4986</t>
  </si>
  <si>
    <t>P4987</t>
  </si>
  <si>
    <t>P4988</t>
  </si>
  <si>
    <t>P4989</t>
  </si>
  <si>
    <t>P4990</t>
  </si>
  <si>
    <t>P4991</t>
  </si>
  <si>
    <t>P4992</t>
  </si>
  <si>
    <t>P4993</t>
  </si>
  <si>
    <t>P4994</t>
  </si>
  <si>
    <t>P4995</t>
  </si>
  <si>
    <t>P4996</t>
  </si>
  <si>
    <t>P4997</t>
  </si>
  <si>
    <t>P4998</t>
  </si>
  <si>
    <t>P4999</t>
  </si>
  <si>
    <t>P5000</t>
  </si>
  <si>
    <t>P5001</t>
  </si>
  <si>
    <t>P5002</t>
  </si>
  <si>
    <t>P5003</t>
  </si>
  <si>
    <t>P5004</t>
  </si>
  <si>
    <t>P5005</t>
  </si>
  <si>
    <t>P5006</t>
  </si>
  <si>
    <t>P5007</t>
  </si>
  <si>
    <t>P5008</t>
  </si>
  <si>
    <t>P5009</t>
  </si>
  <si>
    <t>P5010</t>
  </si>
  <si>
    <t>P5011</t>
  </si>
  <si>
    <t>P5012</t>
  </si>
  <si>
    <t>P5013</t>
  </si>
  <si>
    <t>P5014</t>
  </si>
  <si>
    <t>P5015</t>
  </si>
  <si>
    <t>P5016</t>
  </si>
  <si>
    <t>P5017</t>
  </si>
  <si>
    <t>P5018</t>
  </si>
  <si>
    <t>P5019</t>
  </si>
  <si>
    <t>P5020</t>
  </si>
  <si>
    <t>P5021</t>
  </si>
  <si>
    <t>P5022</t>
  </si>
  <si>
    <t>P5023</t>
  </si>
  <si>
    <t>P5024</t>
  </si>
  <si>
    <t>P5025</t>
  </si>
  <si>
    <t>P5026</t>
  </si>
  <si>
    <t>P5027</t>
  </si>
  <si>
    <t>P5028</t>
  </si>
  <si>
    <t>P5029</t>
  </si>
  <si>
    <t>P5030</t>
  </si>
  <si>
    <t>P5031</t>
  </si>
  <si>
    <t>P5032</t>
  </si>
  <si>
    <t>P5033</t>
  </si>
  <si>
    <t>P5034</t>
  </si>
  <si>
    <t>P5035</t>
  </si>
  <si>
    <t>P5036</t>
  </si>
  <si>
    <t>P5037</t>
  </si>
  <si>
    <t>P5038</t>
  </si>
  <si>
    <t>P5039</t>
  </si>
  <si>
    <t>P5040</t>
  </si>
  <si>
    <t>P5041</t>
  </si>
  <si>
    <t>P5042</t>
  </si>
  <si>
    <t>P5043</t>
  </si>
  <si>
    <t>P5044</t>
  </si>
  <si>
    <t>P5045</t>
  </si>
  <si>
    <t>P5046</t>
  </si>
  <si>
    <t>P5047</t>
  </si>
  <si>
    <t>P5048</t>
  </si>
  <si>
    <t>P5049</t>
  </si>
  <si>
    <t>P5050</t>
  </si>
  <si>
    <t>P5051</t>
  </si>
  <si>
    <t>P5052</t>
  </si>
  <si>
    <t>P5053</t>
  </si>
  <si>
    <t>P5054</t>
  </si>
  <si>
    <t>P5055</t>
  </si>
  <si>
    <t>P5056</t>
  </si>
  <si>
    <t>P5057</t>
  </si>
  <si>
    <t>P5058</t>
  </si>
  <si>
    <t>P5059</t>
  </si>
  <si>
    <t>P5060</t>
  </si>
  <si>
    <t>P5061</t>
  </si>
  <si>
    <t>P5062</t>
  </si>
  <si>
    <t>P5063</t>
  </si>
  <si>
    <t>P5064</t>
  </si>
  <si>
    <t>P5065</t>
  </si>
  <si>
    <t>P5066</t>
  </si>
  <si>
    <t>P5067</t>
  </si>
  <si>
    <t>P5068</t>
  </si>
  <si>
    <t>P5069</t>
  </si>
  <si>
    <t>P5070</t>
  </si>
  <si>
    <t>P5071</t>
  </si>
  <si>
    <t>P5072</t>
  </si>
  <si>
    <t>P5073</t>
  </si>
  <si>
    <t>P5074</t>
  </si>
  <si>
    <t>P5075</t>
  </si>
  <si>
    <t>P5076</t>
  </si>
  <si>
    <t>P5077</t>
  </si>
  <si>
    <t>P5078</t>
  </si>
  <si>
    <t>P5079</t>
  </si>
  <si>
    <t>P5080</t>
  </si>
  <si>
    <t>P5081</t>
  </si>
  <si>
    <t>P5082</t>
  </si>
  <si>
    <t>P5083</t>
  </si>
  <si>
    <t>P5084</t>
  </si>
  <si>
    <t>P5085</t>
  </si>
  <si>
    <t>P5086</t>
  </si>
  <si>
    <t>P5087</t>
  </si>
  <si>
    <t>P5088</t>
  </si>
  <si>
    <t>P5089</t>
  </si>
  <si>
    <t>P5090</t>
  </si>
  <si>
    <t>P5091</t>
  </si>
  <si>
    <t>P5092</t>
  </si>
  <si>
    <t>P5093</t>
  </si>
  <si>
    <t>P5094</t>
  </si>
  <si>
    <t>P5095</t>
  </si>
  <si>
    <t>P5096</t>
  </si>
  <si>
    <t>P5097</t>
  </si>
  <si>
    <t>P5098</t>
  </si>
  <si>
    <t>P5099</t>
  </si>
  <si>
    <t>P5100</t>
  </si>
  <si>
    <t>P5101</t>
  </si>
  <si>
    <t>P5102</t>
  </si>
  <si>
    <t>P5103</t>
  </si>
  <si>
    <t>P5104</t>
  </si>
  <si>
    <t>P5105</t>
  </si>
  <si>
    <t>P5106</t>
  </si>
  <si>
    <t>P5107</t>
  </si>
  <si>
    <t>P5108</t>
  </si>
  <si>
    <t>P5109</t>
  </si>
  <si>
    <t>P5110</t>
  </si>
  <si>
    <t>P5111</t>
  </si>
  <si>
    <t>P5112</t>
  </si>
  <si>
    <t>P5113</t>
  </si>
  <si>
    <t>P5114</t>
  </si>
  <si>
    <t>P5115</t>
  </si>
  <si>
    <t>P5116</t>
  </si>
  <si>
    <t>P5117</t>
  </si>
  <si>
    <t>P5118</t>
  </si>
  <si>
    <t>P5119</t>
  </si>
  <si>
    <t>P5120</t>
  </si>
  <si>
    <t>P5121</t>
  </si>
  <si>
    <t>P5122</t>
  </si>
  <si>
    <t>P5123</t>
  </si>
  <si>
    <t>P5124</t>
  </si>
  <si>
    <t>P5125</t>
  </si>
  <si>
    <t>P5126</t>
  </si>
  <si>
    <t>P5127</t>
  </si>
  <si>
    <t>P5128</t>
  </si>
  <si>
    <t>P5129</t>
  </si>
  <si>
    <t>P5130</t>
  </si>
  <si>
    <t>P5131</t>
  </si>
  <si>
    <t>P5132</t>
  </si>
  <si>
    <t>P5133</t>
  </si>
  <si>
    <t>P5134</t>
  </si>
  <si>
    <t>P5135</t>
  </si>
  <si>
    <t>P5136</t>
  </si>
  <si>
    <t>P5137</t>
  </si>
  <si>
    <t>P5138</t>
  </si>
  <si>
    <t>P5139</t>
  </si>
  <si>
    <t>P5140</t>
  </si>
  <si>
    <t>P5141</t>
  </si>
  <si>
    <t>P5142</t>
  </si>
  <si>
    <t>P5143</t>
  </si>
  <si>
    <t>P5144</t>
  </si>
  <si>
    <t>P5145</t>
  </si>
  <si>
    <t>P5146</t>
  </si>
  <si>
    <t>P5147</t>
  </si>
  <si>
    <t>P5148</t>
  </si>
  <si>
    <t>P5149</t>
  </si>
  <si>
    <t>P5150</t>
  </si>
  <si>
    <t>P5151</t>
  </si>
  <si>
    <t>P5152</t>
  </si>
  <si>
    <t>P5153</t>
  </si>
  <si>
    <t>P5154</t>
  </si>
  <si>
    <t>P5155</t>
  </si>
  <si>
    <t>P5156</t>
  </si>
  <si>
    <t>P5157</t>
  </si>
  <si>
    <t>P5158</t>
  </si>
  <si>
    <t>P5159</t>
  </si>
  <si>
    <t>P5160</t>
  </si>
  <si>
    <t>P5161</t>
  </si>
  <si>
    <t>P5162</t>
  </si>
  <si>
    <t>P5163</t>
  </si>
  <si>
    <t>P5164</t>
  </si>
  <si>
    <t>P5165</t>
  </si>
  <si>
    <t>P5166</t>
  </si>
  <si>
    <t>P5167</t>
  </si>
  <si>
    <t>P5168</t>
  </si>
  <si>
    <t>P5169</t>
  </si>
  <si>
    <t>P5170</t>
  </si>
  <si>
    <t>P5171</t>
  </si>
  <si>
    <t>P5172</t>
  </si>
  <si>
    <t>P5173</t>
  </si>
  <si>
    <t>P5174</t>
  </si>
  <si>
    <t>P5175</t>
  </si>
  <si>
    <t>P5176</t>
  </si>
  <si>
    <t>P5177</t>
  </si>
  <si>
    <t>P5178</t>
  </si>
  <si>
    <t>P5179</t>
  </si>
  <si>
    <t>P5180</t>
  </si>
  <si>
    <t>P5181</t>
  </si>
  <si>
    <t>P5182</t>
  </si>
  <si>
    <t>P5183</t>
  </si>
  <si>
    <t>P5184</t>
  </si>
  <si>
    <t>P5185</t>
  </si>
  <si>
    <t>P5186</t>
  </si>
  <si>
    <t>P5187</t>
  </si>
  <si>
    <t>P5188</t>
  </si>
  <si>
    <t>P5189</t>
  </si>
  <si>
    <t>P5190</t>
  </si>
  <si>
    <t>P5191</t>
  </si>
  <si>
    <t>P5192</t>
  </si>
  <si>
    <t>P5193</t>
  </si>
  <si>
    <t>P5194</t>
  </si>
  <si>
    <t>P5195</t>
  </si>
  <si>
    <t>P5196</t>
  </si>
  <si>
    <t>P5197</t>
  </si>
  <si>
    <t>P5198</t>
  </si>
  <si>
    <t>P5199</t>
  </si>
  <si>
    <t>P5200</t>
  </si>
  <si>
    <t>P5201</t>
  </si>
  <si>
    <t>P5202</t>
  </si>
  <si>
    <t>P5203</t>
  </si>
  <si>
    <t>P5204</t>
  </si>
  <si>
    <t>P5205</t>
  </si>
  <si>
    <t>P5206</t>
  </si>
  <si>
    <t>P5207</t>
  </si>
  <si>
    <t>P5208</t>
  </si>
  <si>
    <t>P5209</t>
  </si>
  <si>
    <t>P5210</t>
  </si>
  <si>
    <t>P5211</t>
  </si>
  <si>
    <t>P5212</t>
  </si>
  <si>
    <t>P5213</t>
  </si>
  <si>
    <t>P5214</t>
  </si>
  <si>
    <t>P5215</t>
  </si>
  <si>
    <t>P5216</t>
  </si>
  <si>
    <t>P5217</t>
  </si>
  <si>
    <t>P5218</t>
  </si>
  <si>
    <t>P5219</t>
  </si>
  <si>
    <t>P5220</t>
  </si>
  <si>
    <t>P5221</t>
  </si>
  <si>
    <t>P5222</t>
  </si>
  <si>
    <t>P5223</t>
  </si>
  <si>
    <t>P5224</t>
  </si>
  <si>
    <t>P5225</t>
  </si>
  <si>
    <t>P5226</t>
  </si>
  <si>
    <t>P5227</t>
  </si>
  <si>
    <t>P5228</t>
  </si>
  <si>
    <t>P5229</t>
  </si>
  <si>
    <t>P5230</t>
  </si>
  <si>
    <t>P5231</t>
  </si>
  <si>
    <t>P5232</t>
  </si>
  <si>
    <t>P5233</t>
  </si>
  <si>
    <t>P5234</t>
  </si>
  <si>
    <t>P5235</t>
  </si>
  <si>
    <t>P5236</t>
  </si>
  <si>
    <t>P5237</t>
  </si>
  <si>
    <t>P5238</t>
  </si>
  <si>
    <t>P5239</t>
  </si>
  <si>
    <t>P5240</t>
  </si>
  <si>
    <t>P5241</t>
  </si>
  <si>
    <t>P5242</t>
  </si>
  <si>
    <t>P5243</t>
  </si>
  <si>
    <t>P5244</t>
  </si>
  <si>
    <t>P5245</t>
  </si>
  <si>
    <t>P5246</t>
  </si>
  <si>
    <t>P5247</t>
  </si>
  <si>
    <t>P5248</t>
  </si>
  <si>
    <t>P5249</t>
  </si>
  <si>
    <t>P5250</t>
  </si>
  <si>
    <t>P5251</t>
  </si>
  <si>
    <t>P5252</t>
  </si>
  <si>
    <t>P5253</t>
  </si>
  <si>
    <t>P5254</t>
  </si>
  <si>
    <t>P5255</t>
  </si>
  <si>
    <t>P5256</t>
  </si>
  <si>
    <t>P5257</t>
  </si>
  <si>
    <t>P5258</t>
  </si>
  <si>
    <t>P5259</t>
  </si>
  <si>
    <t>P5260</t>
  </si>
  <si>
    <t>P5261</t>
  </si>
  <si>
    <t>P5262</t>
  </si>
  <si>
    <t>P5263</t>
  </si>
  <si>
    <t>P5264</t>
  </si>
  <si>
    <t>P5265</t>
  </si>
  <si>
    <t>P5266</t>
  </si>
  <si>
    <t>P5267</t>
  </si>
  <si>
    <t>P5268</t>
  </si>
  <si>
    <t>P5269</t>
  </si>
  <si>
    <t>P5270</t>
  </si>
  <si>
    <t>P5271</t>
  </si>
  <si>
    <t>P5272</t>
  </si>
  <si>
    <t>P5273</t>
  </si>
  <si>
    <t>P5274</t>
  </si>
  <si>
    <t>P5275</t>
  </si>
  <si>
    <t>P5276</t>
  </si>
  <si>
    <t>P5277</t>
  </si>
  <si>
    <t>P5278</t>
  </si>
  <si>
    <t>P5279</t>
  </si>
  <si>
    <t>P5280</t>
  </si>
  <si>
    <t>P5281</t>
  </si>
  <si>
    <t>P5282</t>
  </si>
  <si>
    <t>P5283</t>
  </si>
  <si>
    <t>P5284</t>
  </si>
  <si>
    <t>P5285</t>
  </si>
  <si>
    <t>P5286</t>
  </si>
  <si>
    <t>P5287</t>
  </si>
  <si>
    <t>P5288</t>
  </si>
  <si>
    <t>P5289</t>
  </si>
  <si>
    <t>P5290</t>
  </si>
  <si>
    <t>P5291</t>
  </si>
  <si>
    <t>P5292</t>
  </si>
  <si>
    <t>P5293</t>
  </si>
  <si>
    <t>P5294</t>
  </si>
  <si>
    <t>P5295</t>
  </si>
  <si>
    <t>P5296</t>
  </si>
  <si>
    <t>P5297</t>
  </si>
  <si>
    <t>P5298</t>
  </si>
  <si>
    <t>P5299</t>
  </si>
  <si>
    <t>P5300</t>
  </si>
  <si>
    <t>P5301</t>
  </si>
  <si>
    <t>P5302</t>
  </si>
  <si>
    <t>P5303</t>
  </si>
  <si>
    <t>P5304</t>
  </si>
  <si>
    <t>P5305</t>
  </si>
  <si>
    <t>P5306</t>
  </si>
  <si>
    <t>P5307</t>
  </si>
  <si>
    <t>P5308</t>
  </si>
  <si>
    <t>P5309</t>
  </si>
  <si>
    <t>P5310</t>
  </si>
  <si>
    <t>P5311</t>
  </si>
  <si>
    <t>P5312</t>
  </si>
  <si>
    <t>P5313</t>
  </si>
  <si>
    <t>P5314</t>
  </si>
  <si>
    <t>P5315</t>
  </si>
  <si>
    <t>P5316</t>
  </si>
  <si>
    <t>P5317</t>
  </si>
  <si>
    <t>P5318</t>
  </si>
  <si>
    <t>P5319</t>
  </si>
  <si>
    <t>P5320</t>
  </si>
  <si>
    <t>P5321</t>
  </si>
  <si>
    <t>P5322</t>
  </si>
  <si>
    <t>P5323</t>
  </si>
  <si>
    <t>P5324</t>
  </si>
  <si>
    <t>P5325</t>
  </si>
  <si>
    <t>P5326</t>
  </si>
  <si>
    <t>P5327</t>
  </si>
  <si>
    <t>P5328</t>
  </si>
  <si>
    <t>P5329</t>
  </si>
  <si>
    <t>P5330</t>
  </si>
  <si>
    <t>P5331</t>
  </si>
  <si>
    <t>P5332</t>
  </si>
  <si>
    <t>P5333</t>
  </si>
  <si>
    <t>P5334</t>
  </si>
  <si>
    <t>P5335</t>
  </si>
  <si>
    <t>P5336</t>
  </si>
  <si>
    <t>P5337</t>
  </si>
  <si>
    <t>P5338</t>
  </si>
  <si>
    <t>P5339</t>
  </si>
  <si>
    <t>P5340</t>
  </si>
  <si>
    <t>P5341</t>
  </si>
  <si>
    <t>P5342</t>
  </si>
  <si>
    <t>P5343</t>
  </si>
  <si>
    <t>P5344</t>
  </si>
  <si>
    <t>P5345</t>
  </si>
  <si>
    <t>P5346</t>
  </si>
  <si>
    <t>P5347</t>
  </si>
  <si>
    <t>P5348</t>
  </si>
  <si>
    <t>P5349</t>
  </si>
  <si>
    <t>P5350</t>
  </si>
  <si>
    <t>P5351</t>
  </si>
  <si>
    <t>P5352</t>
  </si>
  <si>
    <t>P5353</t>
  </si>
  <si>
    <t>P5354</t>
  </si>
  <si>
    <t>P5355</t>
  </si>
  <si>
    <t>P5356</t>
  </si>
  <si>
    <t>P5357</t>
  </si>
  <si>
    <t>P5358</t>
  </si>
  <si>
    <t>P5359</t>
  </si>
  <si>
    <t>P5360</t>
  </si>
  <si>
    <t>P5361</t>
  </si>
  <si>
    <t>P5362</t>
  </si>
  <si>
    <t>P5363</t>
  </si>
  <si>
    <t>P5364</t>
  </si>
  <si>
    <t>P5365</t>
  </si>
  <si>
    <t>P5366</t>
  </si>
  <si>
    <t>P5367</t>
  </si>
  <si>
    <t>P5368</t>
  </si>
  <si>
    <t>P5369</t>
  </si>
  <si>
    <t>P5370</t>
  </si>
  <si>
    <t>P5371</t>
  </si>
  <si>
    <t>P5372</t>
  </si>
  <si>
    <t>P5373</t>
  </si>
  <si>
    <t>P5374</t>
  </si>
  <si>
    <t>P5375</t>
  </si>
  <si>
    <t>P5376</t>
  </si>
  <si>
    <t>P5377</t>
  </si>
  <si>
    <t>P5378</t>
  </si>
  <si>
    <t>P5379</t>
  </si>
  <si>
    <t>P5380</t>
  </si>
  <si>
    <t>P5381</t>
  </si>
  <si>
    <t>P5382</t>
  </si>
  <si>
    <t>P5383</t>
  </si>
  <si>
    <t>P5384</t>
  </si>
  <si>
    <t>P5385</t>
  </si>
  <si>
    <t>P5386</t>
  </si>
  <si>
    <t>P5387</t>
  </si>
  <si>
    <t>P5388</t>
  </si>
  <si>
    <t>P5389</t>
  </si>
  <si>
    <t>P5390</t>
  </si>
  <si>
    <t>P5391</t>
  </si>
  <si>
    <t>P5392</t>
  </si>
  <si>
    <t>P5393</t>
  </si>
  <si>
    <t>P5394</t>
  </si>
  <si>
    <t>P5395</t>
  </si>
  <si>
    <t>P5396</t>
  </si>
  <si>
    <t>P5397</t>
  </si>
  <si>
    <t>P5398</t>
  </si>
  <si>
    <t>P5399</t>
  </si>
  <si>
    <t>P5400</t>
  </si>
  <si>
    <t>P5401</t>
  </si>
  <si>
    <t>P5402</t>
  </si>
  <si>
    <t>P5403</t>
  </si>
  <si>
    <t>P5404</t>
  </si>
  <si>
    <t>P5405</t>
  </si>
  <si>
    <t>P5406</t>
  </si>
  <si>
    <t>P5407</t>
  </si>
  <si>
    <t>P5408</t>
  </si>
  <si>
    <t>P5409</t>
  </si>
  <si>
    <t>P5410</t>
  </si>
  <si>
    <t>P5411</t>
  </si>
  <si>
    <t>P5412</t>
  </si>
  <si>
    <t>P5413</t>
  </si>
  <si>
    <t>P5414</t>
  </si>
  <si>
    <t>P5415</t>
  </si>
  <si>
    <t>P5416</t>
  </si>
  <si>
    <t>P5417</t>
  </si>
  <si>
    <t>P5418</t>
  </si>
  <si>
    <t>P5419</t>
  </si>
  <si>
    <t>P5420</t>
  </si>
  <si>
    <t>P5421</t>
  </si>
  <si>
    <t>P5422</t>
  </si>
  <si>
    <t>P5423</t>
  </si>
  <si>
    <t>P5424</t>
  </si>
  <si>
    <t>P5425</t>
  </si>
  <si>
    <t>P5426</t>
  </si>
  <si>
    <t>P5427</t>
  </si>
  <si>
    <t>P5428</t>
  </si>
  <si>
    <t>P5429</t>
  </si>
  <si>
    <t>P5430</t>
  </si>
  <si>
    <t>P5431</t>
  </si>
  <si>
    <t>P5432</t>
  </si>
  <si>
    <t>P5433</t>
  </si>
  <si>
    <t>P5434</t>
  </si>
  <si>
    <t>P5435</t>
  </si>
  <si>
    <t>P5436</t>
  </si>
  <si>
    <t>P5437</t>
  </si>
  <si>
    <t>P5438</t>
  </si>
  <si>
    <t>P5439</t>
  </si>
  <si>
    <t>P5440</t>
  </si>
  <si>
    <t>P5441</t>
  </si>
  <si>
    <t>P5442</t>
  </si>
  <si>
    <t>P5443</t>
  </si>
  <si>
    <t>P5444</t>
  </si>
  <si>
    <t>P5445</t>
  </si>
  <si>
    <t>P5446</t>
  </si>
  <si>
    <t>P5447</t>
  </si>
  <si>
    <t>P5448</t>
  </si>
  <si>
    <t>P5449</t>
  </si>
  <si>
    <t>P5450</t>
  </si>
  <si>
    <t>P5451</t>
  </si>
  <si>
    <t>P5452</t>
  </si>
  <si>
    <t>P5453</t>
  </si>
  <si>
    <t>P5454</t>
  </si>
  <si>
    <t>P5455</t>
  </si>
  <si>
    <t>P5456</t>
  </si>
  <si>
    <t>P5457</t>
  </si>
  <si>
    <t>P5458</t>
  </si>
  <si>
    <t>P5459</t>
  </si>
  <si>
    <t>P5460</t>
  </si>
  <si>
    <t>P5461</t>
  </si>
  <si>
    <t>P5462</t>
  </si>
  <si>
    <t>P5463</t>
  </si>
  <si>
    <t>P5464</t>
  </si>
  <si>
    <t>P5465</t>
  </si>
  <si>
    <t>P5466</t>
  </si>
  <si>
    <t>P5467</t>
  </si>
  <si>
    <t>P5468</t>
  </si>
  <si>
    <t>P5469</t>
  </si>
  <si>
    <t>P5470</t>
  </si>
  <si>
    <t>P5471</t>
  </si>
  <si>
    <t>P5472</t>
  </si>
  <si>
    <t>P5473</t>
  </si>
  <si>
    <t>P5474</t>
  </si>
  <si>
    <t>P5475</t>
  </si>
  <si>
    <t>P5476</t>
  </si>
  <si>
    <t>P5477</t>
  </si>
  <si>
    <t>P5478</t>
  </si>
  <si>
    <t>P5479</t>
  </si>
  <si>
    <t>P5480</t>
  </si>
  <si>
    <t>P5481</t>
  </si>
  <si>
    <t>P5482</t>
  </si>
  <si>
    <t>P5483</t>
  </si>
  <si>
    <t>P5484</t>
  </si>
  <si>
    <t>P5485</t>
  </si>
  <si>
    <t>P5486</t>
  </si>
  <si>
    <t>P5487</t>
  </si>
  <si>
    <t>P5488</t>
  </si>
  <si>
    <t>P5489</t>
  </si>
  <si>
    <t>P5490</t>
  </si>
  <si>
    <t>P5491</t>
  </si>
  <si>
    <t>P5492</t>
  </si>
  <si>
    <t>P5493</t>
  </si>
  <si>
    <t>P5494</t>
  </si>
  <si>
    <t>P5495</t>
  </si>
  <si>
    <t>P5496</t>
  </si>
  <si>
    <t>P5497</t>
  </si>
  <si>
    <t>P5498</t>
  </si>
  <si>
    <t>P5499</t>
  </si>
  <si>
    <t>P5500</t>
  </si>
  <si>
    <t>P5501</t>
  </si>
  <si>
    <t>P5502</t>
  </si>
  <si>
    <t>P5503</t>
  </si>
  <si>
    <t>P5504</t>
  </si>
  <si>
    <t>P5505</t>
  </si>
  <si>
    <t>P5506</t>
  </si>
  <si>
    <t>P5507</t>
  </si>
  <si>
    <t>P5508</t>
  </si>
  <si>
    <t>P5509</t>
  </si>
  <si>
    <t>P5510</t>
  </si>
  <si>
    <t>P5511</t>
  </si>
  <si>
    <t>P5512</t>
  </si>
  <si>
    <t>P5513</t>
  </si>
  <si>
    <t>P5514</t>
  </si>
  <si>
    <t>P5515</t>
  </si>
  <si>
    <t>P5516</t>
  </si>
  <si>
    <t>P5517</t>
  </si>
  <si>
    <t>P5518</t>
  </si>
  <si>
    <t>P5519</t>
  </si>
  <si>
    <t>P5520</t>
  </si>
  <si>
    <t>P5521</t>
  </si>
  <si>
    <t>P5522</t>
  </si>
  <si>
    <t>P5523</t>
  </si>
  <si>
    <t>P5524</t>
  </si>
  <si>
    <t>P5525</t>
  </si>
  <si>
    <t>P5526</t>
  </si>
  <si>
    <t>P5527</t>
  </si>
  <si>
    <t>P5528</t>
  </si>
  <si>
    <t>P5529</t>
  </si>
  <si>
    <t>P5530</t>
  </si>
  <si>
    <t>P5531</t>
  </si>
  <si>
    <t>P5532</t>
  </si>
  <si>
    <t>P5533</t>
  </si>
  <si>
    <t>P5534</t>
  </si>
  <si>
    <t>P5535</t>
  </si>
  <si>
    <t>P5536</t>
  </si>
  <si>
    <t>P5537</t>
  </si>
  <si>
    <t>P5538</t>
  </si>
  <si>
    <t>P5539</t>
  </si>
  <si>
    <t>P5540</t>
  </si>
  <si>
    <t>P5541</t>
  </si>
  <si>
    <t>P5542</t>
  </si>
  <si>
    <t>P5543</t>
  </si>
  <si>
    <t>P5544</t>
  </si>
  <si>
    <t>P5545</t>
  </si>
  <si>
    <t>P5546</t>
  </si>
  <si>
    <t>P5547</t>
  </si>
  <si>
    <t>P5548</t>
  </si>
  <si>
    <t>P5549</t>
  </si>
  <si>
    <t>P5550</t>
  </si>
  <si>
    <t>P5551</t>
  </si>
  <si>
    <t>P5552</t>
  </si>
  <si>
    <t>P5553</t>
  </si>
  <si>
    <t>P5554</t>
  </si>
  <si>
    <t>P5555</t>
  </si>
  <si>
    <t>P5556</t>
  </si>
  <si>
    <t>P5557</t>
  </si>
  <si>
    <t>P5558</t>
  </si>
  <si>
    <t>P5559</t>
  </si>
  <si>
    <t>P5560</t>
  </si>
  <si>
    <t>P5561</t>
  </si>
  <si>
    <t>P5562</t>
  </si>
  <si>
    <t>P5563</t>
  </si>
  <si>
    <t>P5564</t>
  </si>
  <si>
    <t>P5565</t>
  </si>
  <si>
    <t>P5566</t>
  </si>
  <si>
    <t>P5567</t>
  </si>
  <si>
    <t>P5568</t>
  </si>
  <si>
    <t>P5569</t>
  </si>
  <si>
    <t>P5570</t>
  </si>
  <si>
    <t>P5571</t>
  </si>
  <si>
    <t>P5572</t>
  </si>
  <si>
    <t>P5573</t>
  </si>
  <si>
    <t>P5574</t>
  </si>
  <si>
    <t>P5575</t>
  </si>
  <si>
    <t>P5576</t>
  </si>
  <si>
    <t>P5577</t>
  </si>
  <si>
    <t>P5578</t>
  </si>
  <si>
    <t>P5579</t>
  </si>
  <si>
    <t>P5580</t>
  </si>
  <si>
    <t>P5581</t>
  </si>
  <si>
    <t>P5582</t>
  </si>
  <si>
    <t>P5583</t>
  </si>
  <si>
    <t>P5584</t>
  </si>
  <si>
    <t>P5585</t>
  </si>
  <si>
    <t>P5586</t>
  </si>
  <si>
    <t>P5587</t>
  </si>
  <si>
    <t>P5588</t>
  </si>
  <si>
    <t>P5589</t>
  </si>
  <si>
    <t>P5590</t>
  </si>
  <si>
    <t>P5591</t>
  </si>
  <si>
    <t>P5592</t>
  </si>
  <si>
    <t>P5593</t>
  </si>
  <si>
    <t>P5594</t>
  </si>
  <si>
    <t>P5595</t>
  </si>
  <si>
    <t>P5596</t>
  </si>
  <si>
    <t>P5597</t>
  </si>
  <si>
    <t>P5598</t>
  </si>
  <si>
    <t>P5599</t>
  </si>
  <si>
    <t>P5600</t>
  </si>
  <si>
    <t>P5601</t>
  </si>
  <si>
    <t>P5602</t>
  </si>
  <si>
    <t>P5603</t>
  </si>
  <si>
    <t>P5604</t>
  </si>
  <si>
    <t>P5605</t>
  </si>
  <si>
    <t>P5606</t>
  </si>
  <si>
    <t>P5607</t>
  </si>
  <si>
    <t>P5608</t>
  </si>
  <si>
    <t>P5609</t>
  </si>
  <si>
    <t>P5610</t>
  </si>
  <si>
    <t>P5611</t>
  </si>
  <si>
    <t>P5612</t>
  </si>
  <si>
    <t>P5613</t>
  </si>
  <si>
    <t>P5614</t>
  </si>
  <si>
    <t>P5615</t>
  </si>
  <si>
    <t>P5616</t>
  </si>
  <si>
    <t>P5617</t>
  </si>
  <si>
    <t>P5618</t>
  </si>
  <si>
    <t>P5619</t>
  </si>
  <si>
    <t>P5620</t>
  </si>
  <si>
    <t>P5621</t>
  </si>
  <si>
    <t>P5622</t>
  </si>
  <si>
    <t>P5623</t>
  </si>
  <si>
    <t>P5624</t>
  </si>
  <si>
    <t>P5625</t>
  </si>
  <si>
    <t>P5626</t>
  </si>
  <si>
    <t>P5627</t>
  </si>
  <si>
    <t>P5628</t>
  </si>
  <si>
    <t>P5629</t>
  </si>
  <si>
    <t>P5630</t>
  </si>
  <si>
    <t>P5631</t>
  </si>
  <si>
    <t>P5632</t>
  </si>
  <si>
    <t>P5633</t>
  </si>
  <si>
    <t>P5634</t>
  </si>
  <si>
    <t>P5635</t>
  </si>
  <si>
    <t>P5636</t>
  </si>
  <si>
    <t>P5637</t>
  </si>
  <si>
    <t>P5638</t>
  </si>
  <si>
    <t>P5639</t>
  </si>
  <si>
    <t>P5640</t>
  </si>
  <si>
    <t>P5641</t>
  </si>
  <si>
    <t>P5642</t>
  </si>
  <si>
    <t>P5643</t>
  </si>
  <si>
    <t>P5644</t>
  </si>
  <si>
    <t>P5645</t>
  </si>
  <si>
    <t>P5646</t>
  </si>
  <si>
    <t>P5647</t>
  </si>
  <si>
    <t>P5648</t>
  </si>
  <si>
    <t>P5649</t>
  </si>
  <si>
    <t>P5650</t>
  </si>
  <si>
    <t>P5651</t>
  </si>
  <si>
    <t>P5652</t>
  </si>
  <si>
    <t>P5653</t>
  </si>
  <si>
    <t>P5654</t>
  </si>
  <si>
    <t>P5655</t>
  </si>
  <si>
    <t>P5656</t>
  </si>
  <si>
    <t>P5657</t>
  </si>
  <si>
    <t>P5658</t>
  </si>
  <si>
    <t>P5659</t>
  </si>
  <si>
    <t>P5660</t>
  </si>
  <si>
    <t>P5661</t>
  </si>
  <si>
    <t>P5662</t>
  </si>
  <si>
    <t>P5663</t>
  </si>
  <si>
    <t>P5664</t>
  </si>
  <si>
    <t>P5665</t>
  </si>
  <si>
    <t>P5666</t>
  </si>
  <si>
    <t>P5667</t>
  </si>
  <si>
    <t>P5668</t>
  </si>
  <si>
    <t>P5669</t>
  </si>
  <si>
    <t>P5670</t>
  </si>
  <si>
    <t>P5671</t>
  </si>
  <si>
    <t>P5672</t>
  </si>
  <si>
    <t>P5673</t>
  </si>
  <si>
    <t>P5674</t>
  </si>
  <si>
    <t>P5675</t>
  </si>
  <si>
    <t>P5676</t>
  </si>
  <si>
    <t>P5677</t>
  </si>
  <si>
    <t>P5678</t>
  </si>
  <si>
    <t>P5679</t>
  </si>
  <si>
    <t>P5680</t>
  </si>
  <si>
    <t>P5681</t>
  </si>
  <si>
    <t>P5682</t>
  </si>
  <si>
    <t>P5683</t>
  </si>
  <si>
    <t>P5684</t>
  </si>
  <si>
    <t>P5685</t>
  </si>
  <si>
    <t>P5686</t>
  </si>
  <si>
    <t>P5687</t>
  </si>
  <si>
    <t>P5688</t>
  </si>
  <si>
    <t>P5689</t>
  </si>
  <si>
    <t>P5690</t>
  </si>
  <si>
    <t>P5691</t>
  </si>
  <si>
    <t>P5692</t>
  </si>
  <si>
    <t>P5693</t>
  </si>
  <si>
    <t>P5694</t>
  </si>
  <si>
    <t>P5695</t>
  </si>
  <si>
    <t>P5696</t>
  </si>
  <si>
    <t>P5697</t>
  </si>
  <si>
    <t>P5698</t>
  </si>
  <si>
    <t>P5699</t>
  </si>
  <si>
    <t>P5700</t>
  </si>
  <si>
    <t>P5701</t>
  </si>
  <si>
    <t>P5702</t>
  </si>
  <si>
    <t>P5703</t>
  </si>
  <si>
    <t>P5704</t>
  </si>
  <si>
    <t>P5705</t>
  </si>
  <si>
    <t>P5706</t>
  </si>
  <si>
    <t>P5707</t>
  </si>
  <si>
    <t>P5708</t>
  </si>
  <si>
    <t>P5709</t>
  </si>
  <si>
    <t>P5710</t>
  </si>
  <si>
    <t>P5711</t>
  </si>
  <si>
    <t>P5712</t>
  </si>
  <si>
    <t>P5713</t>
  </si>
  <si>
    <t>P5714</t>
  </si>
  <si>
    <t>P5715</t>
  </si>
  <si>
    <t>P5716</t>
  </si>
  <si>
    <t>P5717</t>
  </si>
  <si>
    <t>P5718</t>
  </si>
  <si>
    <t>P5719</t>
  </si>
  <si>
    <t>P5720</t>
  </si>
  <si>
    <t>P5721</t>
  </si>
  <si>
    <t>P5722</t>
  </si>
  <si>
    <t>P5723</t>
  </si>
  <si>
    <t>P5724</t>
  </si>
  <si>
    <t>P5725</t>
  </si>
  <si>
    <t>P5726</t>
  </si>
  <si>
    <t>P5727</t>
  </si>
  <si>
    <t>P5728</t>
  </si>
  <si>
    <t>P5729</t>
  </si>
  <si>
    <t>P5730</t>
  </si>
  <si>
    <t>P5731</t>
  </si>
  <si>
    <t>P5732</t>
  </si>
  <si>
    <t>P5733</t>
  </si>
  <si>
    <t>P5734</t>
  </si>
  <si>
    <t>P5735</t>
  </si>
  <si>
    <t>P5736</t>
  </si>
  <si>
    <t>P5737</t>
  </si>
  <si>
    <t>P5738</t>
  </si>
  <si>
    <t>P5739</t>
  </si>
  <si>
    <t>P5740</t>
  </si>
  <si>
    <t>P5741</t>
  </si>
  <si>
    <t>P5742</t>
  </si>
  <si>
    <t>P5743</t>
  </si>
  <si>
    <t>P5744</t>
  </si>
  <si>
    <t>P5745</t>
  </si>
  <si>
    <t>P5746</t>
  </si>
  <si>
    <t>P5747</t>
  </si>
  <si>
    <t>P5748</t>
  </si>
  <si>
    <t>P5749</t>
  </si>
  <si>
    <t>P5750</t>
  </si>
  <si>
    <t>P5751</t>
  </si>
  <si>
    <t>P5752</t>
  </si>
  <si>
    <t>P5753</t>
  </si>
  <si>
    <t>P5754</t>
  </si>
  <si>
    <t>P5755</t>
  </si>
  <si>
    <t>P5756</t>
  </si>
  <si>
    <t>P5757</t>
  </si>
  <si>
    <t>P5758</t>
  </si>
  <si>
    <t>P5759</t>
  </si>
  <si>
    <t>P5760</t>
  </si>
  <si>
    <t>P5761</t>
  </si>
  <si>
    <t>P5762</t>
  </si>
  <si>
    <t>P5763</t>
  </si>
  <si>
    <t>P5764</t>
  </si>
  <si>
    <t>P5765</t>
  </si>
  <si>
    <t>P5766</t>
  </si>
  <si>
    <t>P5767</t>
  </si>
  <si>
    <t>P5768</t>
  </si>
  <si>
    <t>P5769</t>
  </si>
  <si>
    <t>P5770</t>
  </si>
  <si>
    <t>P5771</t>
  </si>
  <si>
    <t>P5772</t>
  </si>
  <si>
    <t>P5773</t>
  </si>
  <si>
    <t>P5774</t>
  </si>
  <si>
    <t>P5775</t>
  </si>
  <si>
    <t>P5776</t>
  </si>
  <si>
    <t>P5777</t>
  </si>
  <si>
    <t>P5778</t>
  </si>
  <si>
    <t>P5779</t>
  </si>
  <si>
    <t>P5780</t>
  </si>
  <si>
    <t>P5781</t>
  </si>
  <si>
    <t>P5782</t>
  </si>
  <si>
    <t>P5783</t>
  </si>
  <si>
    <t>P5784</t>
  </si>
  <si>
    <t>P5785</t>
  </si>
  <si>
    <t>P5786</t>
  </si>
  <si>
    <t>P5787</t>
  </si>
  <si>
    <t>P5788</t>
  </si>
  <si>
    <t>P5789</t>
  </si>
  <si>
    <t>P5790</t>
  </si>
  <si>
    <t>P5791</t>
  </si>
  <si>
    <t>P5792</t>
  </si>
  <si>
    <t>P5793</t>
  </si>
  <si>
    <t>P5794</t>
  </si>
  <si>
    <t>P5795</t>
  </si>
  <si>
    <t>P5796</t>
  </si>
  <si>
    <t>P5797</t>
  </si>
  <si>
    <t>P5798</t>
  </si>
  <si>
    <t>P5799</t>
  </si>
  <si>
    <t>P5800</t>
  </si>
  <si>
    <t>P5801</t>
  </si>
  <si>
    <t>P5802</t>
  </si>
  <si>
    <t>P5803</t>
  </si>
  <si>
    <t>P5804</t>
  </si>
  <si>
    <t>P5805</t>
  </si>
  <si>
    <t>P5806</t>
  </si>
  <si>
    <t>P5807</t>
  </si>
  <si>
    <t>P5808</t>
  </si>
  <si>
    <t>P5809</t>
  </si>
  <si>
    <t>P5810</t>
  </si>
  <si>
    <t>P5811</t>
  </si>
  <si>
    <t>P5812</t>
  </si>
  <si>
    <t>P5813</t>
  </si>
  <si>
    <t>P5814</t>
  </si>
  <si>
    <t>P5815</t>
  </si>
  <si>
    <t>P5816</t>
  </si>
  <si>
    <t>P5817</t>
  </si>
  <si>
    <t>P5818</t>
  </si>
  <si>
    <t>P5819</t>
  </si>
  <si>
    <t>P5820</t>
  </si>
  <si>
    <t>P5821</t>
  </si>
  <si>
    <t>P5822</t>
  </si>
  <si>
    <t>P5823</t>
  </si>
  <si>
    <t>P5824</t>
  </si>
  <si>
    <t>P5825</t>
  </si>
  <si>
    <t>P5826</t>
  </si>
  <si>
    <t>P5827</t>
  </si>
  <si>
    <t>P5828</t>
  </si>
  <si>
    <t>P5829</t>
  </si>
  <si>
    <t>P5830</t>
  </si>
  <si>
    <t>P5831</t>
  </si>
  <si>
    <t>P5832</t>
  </si>
  <si>
    <t>P5833</t>
  </si>
  <si>
    <t>P5834</t>
  </si>
  <si>
    <t>P5835</t>
  </si>
  <si>
    <t>P5836</t>
  </si>
  <si>
    <t>P5837</t>
  </si>
  <si>
    <t>P5838</t>
  </si>
  <si>
    <t>P5839</t>
  </si>
  <si>
    <t>P5840</t>
  </si>
  <si>
    <t>P5841</t>
  </si>
  <si>
    <t>P5842</t>
  </si>
  <si>
    <t>P5843</t>
  </si>
  <si>
    <t>P5844</t>
  </si>
  <si>
    <t>P5845</t>
  </si>
  <si>
    <t>P5846</t>
  </si>
  <si>
    <t>P5847</t>
  </si>
  <si>
    <t>P5848</t>
  </si>
  <si>
    <t>P5849</t>
  </si>
  <si>
    <t>P5850</t>
  </si>
  <si>
    <t>P5851</t>
  </si>
  <si>
    <t>P5852</t>
  </si>
  <si>
    <t>P5853</t>
  </si>
  <si>
    <t>P5854</t>
  </si>
  <si>
    <t>P5855</t>
  </si>
  <si>
    <t>P5856</t>
  </si>
  <si>
    <t>P5857</t>
  </si>
  <si>
    <t>P5858</t>
  </si>
  <si>
    <t>P5859</t>
  </si>
  <si>
    <t>P5860</t>
  </si>
  <si>
    <t>P5861</t>
  </si>
  <si>
    <t>P5862</t>
  </si>
  <si>
    <t>P5863</t>
  </si>
  <si>
    <t>P5864</t>
  </si>
  <si>
    <t>P5865</t>
  </si>
  <si>
    <t>P5866</t>
  </si>
  <si>
    <t>P5867</t>
  </si>
  <si>
    <t>P5868</t>
  </si>
  <si>
    <t>P5869</t>
  </si>
  <si>
    <t>P5870</t>
  </si>
  <si>
    <t>P5871</t>
  </si>
  <si>
    <t>P5872</t>
  </si>
  <si>
    <t>P5873</t>
  </si>
  <si>
    <t>P5874</t>
  </si>
  <si>
    <t>P5875</t>
  </si>
  <si>
    <t>P5876</t>
  </si>
  <si>
    <t>P5877</t>
  </si>
  <si>
    <t>P5878</t>
  </si>
  <si>
    <t>P5879</t>
  </si>
  <si>
    <t>P5880</t>
  </si>
  <si>
    <t>P5881</t>
  </si>
  <si>
    <t>P5882</t>
  </si>
  <si>
    <t>P5883</t>
  </si>
  <si>
    <t>P5884</t>
  </si>
  <si>
    <t>P5885</t>
  </si>
  <si>
    <t>P5886</t>
  </si>
  <si>
    <t>P5887</t>
  </si>
  <si>
    <t>P5888</t>
  </si>
  <si>
    <t>P5889</t>
  </si>
  <si>
    <t>P5890</t>
  </si>
  <si>
    <t>P5891</t>
  </si>
  <si>
    <t>P5892</t>
  </si>
  <si>
    <t>P5893</t>
  </si>
  <si>
    <t>P5894</t>
  </si>
  <si>
    <t>P5895</t>
  </si>
  <si>
    <t>P5896</t>
  </si>
  <si>
    <t>P5897</t>
  </si>
  <si>
    <t>P5898</t>
  </si>
  <si>
    <t>P5899</t>
  </si>
  <si>
    <t>P5900</t>
  </si>
  <si>
    <t>P5901</t>
  </si>
  <si>
    <t>P5902</t>
  </si>
  <si>
    <t>P5903</t>
  </si>
  <si>
    <t>P5904</t>
  </si>
  <si>
    <t>P5905</t>
  </si>
  <si>
    <t>P5906</t>
  </si>
  <si>
    <t>P5907</t>
  </si>
  <si>
    <t>P5908</t>
  </si>
  <si>
    <t>P5909</t>
  </si>
  <si>
    <t>P5910</t>
  </si>
  <si>
    <t>P5911</t>
  </si>
  <si>
    <t>P5912</t>
  </si>
  <si>
    <t>P5913</t>
  </si>
  <si>
    <t>P5914</t>
  </si>
  <si>
    <t>P5915</t>
  </si>
  <si>
    <t>P5916</t>
  </si>
  <si>
    <t>P5917</t>
  </si>
  <si>
    <t>P5918</t>
  </si>
  <si>
    <t>P5919</t>
  </si>
  <si>
    <t>P5920</t>
  </si>
  <si>
    <t>P5921</t>
  </si>
  <si>
    <t>P5922</t>
  </si>
  <si>
    <t>P5923</t>
  </si>
  <si>
    <t>P5924</t>
  </si>
  <si>
    <t>P5925</t>
  </si>
  <si>
    <t>P5926</t>
  </si>
  <si>
    <t>P5927</t>
  </si>
  <si>
    <t>P5928</t>
  </si>
  <si>
    <t>P5929</t>
  </si>
  <si>
    <t>P5930</t>
  </si>
  <si>
    <t>P5931</t>
  </si>
  <si>
    <t>P5932</t>
  </si>
  <si>
    <t>P5933</t>
  </si>
  <si>
    <t>P5934</t>
  </si>
  <si>
    <t>P5935</t>
  </si>
  <si>
    <t>P5936</t>
  </si>
  <si>
    <t>P5937</t>
  </si>
  <si>
    <t>P5938</t>
  </si>
  <si>
    <t>P5939</t>
  </si>
  <si>
    <t>P5940</t>
  </si>
  <si>
    <t>P5941</t>
  </si>
  <si>
    <t>P5942</t>
  </si>
  <si>
    <t>P5943</t>
  </si>
  <si>
    <t>P5944</t>
  </si>
  <si>
    <t>P5945</t>
  </si>
  <si>
    <t>P5946</t>
  </si>
  <si>
    <t>P5947</t>
  </si>
  <si>
    <t>P5948</t>
  </si>
  <si>
    <t>P5949</t>
  </si>
  <si>
    <t>P5950</t>
  </si>
  <si>
    <t>P5951</t>
  </si>
  <si>
    <t>P5952</t>
  </si>
  <si>
    <t>P5953</t>
  </si>
  <si>
    <t>P5954</t>
  </si>
  <si>
    <t>P5955</t>
  </si>
  <si>
    <t>P5956</t>
  </si>
  <si>
    <t>P5957</t>
  </si>
  <si>
    <t>P5958</t>
  </si>
  <si>
    <t>P5959</t>
  </si>
  <si>
    <t>P5960</t>
  </si>
  <si>
    <t>P5961</t>
  </si>
  <si>
    <t>P5962</t>
  </si>
  <si>
    <t>P5963</t>
  </si>
  <si>
    <t>P5964</t>
  </si>
  <si>
    <t>P5965</t>
  </si>
  <si>
    <t>P5966</t>
  </si>
  <si>
    <t>P5967</t>
  </si>
  <si>
    <t>P5968</t>
  </si>
  <si>
    <t>P5969</t>
  </si>
  <si>
    <t>P5970</t>
  </si>
  <si>
    <t>P5971</t>
  </si>
  <si>
    <t>P5972</t>
  </si>
  <si>
    <t>P5973</t>
  </si>
  <si>
    <t>P5974</t>
  </si>
  <si>
    <t>P5975</t>
  </si>
  <si>
    <t>P5976</t>
  </si>
  <si>
    <t>P5977</t>
  </si>
  <si>
    <t>P5978</t>
  </si>
  <si>
    <t>P5979</t>
  </si>
  <si>
    <t>P5980</t>
  </si>
  <si>
    <t>P5981</t>
  </si>
  <si>
    <t>P5982</t>
  </si>
  <si>
    <t>P5983</t>
  </si>
  <si>
    <t>P5984</t>
  </si>
  <si>
    <t>P5985</t>
  </si>
  <si>
    <t>P5986</t>
  </si>
  <si>
    <t>P5987</t>
  </si>
  <si>
    <t>P5988</t>
  </si>
  <si>
    <t>P5989</t>
  </si>
  <si>
    <t>P5990</t>
  </si>
  <si>
    <t>P5991</t>
  </si>
  <si>
    <t>P5992</t>
  </si>
  <si>
    <t>P5993</t>
  </si>
  <si>
    <t>P5994</t>
  </si>
  <si>
    <t>P5995</t>
  </si>
  <si>
    <t>P5996</t>
  </si>
  <si>
    <t>P5997</t>
  </si>
  <si>
    <t>P5998</t>
  </si>
  <si>
    <t>P5999</t>
  </si>
  <si>
    <t>LNBAR 2024 EB Summary</t>
  </si>
  <si>
    <t>STAT Reserve</t>
  </si>
  <si>
    <t>LNBAR 2024 EB Total STAT Reserve</t>
  </si>
  <si>
    <t>LFG Gross GA STAT Reserve</t>
  </si>
  <si>
    <t>LFG Gross SA STAT Reserve</t>
  </si>
  <si>
    <t>3rd Party STAT Component</t>
  </si>
  <si>
    <t>LFG Net 3rd Party Total STAT Reserve</t>
  </si>
  <si>
    <t>LFG Net Total STAT Reserve</t>
  </si>
  <si>
    <t>Total</t>
  </si>
  <si>
    <t>Check</t>
  </si>
  <si>
    <t>Product</t>
  </si>
  <si>
    <t>Face Amount</t>
  </si>
  <si>
    <t>Cash Value</t>
  </si>
  <si>
    <t>Count</t>
  </si>
  <si>
    <t>Policy Count</t>
  </si>
  <si>
    <t>Tax Reserves</t>
  </si>
  <si>
    <t>LFG Net GA Tax Reserve</t>
  </si>
  <si>
    <t>LFG Net SA Tax Reserve</t>
  </si>
  <si>
    <t>LFG Total Net Tax Reserve</t>
  </si>
  <si>
    <t>LNBAR 2024 EB Tax Reserve</t>
  </si>
  <si>
    <t>Net Tax Reserves - Total 2018 - General Account</t>
  </si>
  <si>
    <t>Net Tax Reserves - Total 2018 - Separate Account</t>
  </si>
  <si>
    <t>Net Tax Reserves - Total 2018</t>
  </si>
  <si>
    <t>Captive Tax - Reserve - Total 2018</t>
  </si>
  <si>
    <t>GAAP Ben Reserves</t>
  </si>
  <si>
    <t>LFG Gross Total GAAP Ben Reserve</t>
  </si>
  <si>
    <t>Non-TAI 3rd Party GAAP Component</t>
  </si>
  <si>
    <t>LFG Net of Non-TAI GAAP Ben Reserve</t>
  </si>
  <si>
    <t>LNBAR 2024 EB GAAP Ben Reserve</t>
  </si>
  <si>
    <t>Non-TAI Reinsurance GAAP - Reserve - Total</t>
  </si>
  <si>
    <t>LFG Gross Face - Base</t>
  </si>
  <si>
    <t>LFG Gross Face Amount - Addnl Term Rider</t>
  </si>
  <si>
    <t>3rd Party Face Base &amp; Riders</t>
  </si>
  <si>
    <t>LFG Net Face</t>
  </si>
  <si>
    <t>LNBAR 2024 EB Face</t>
  </si>
  <si>
    <t>Policy GA Cash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</si>
</sst>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0" fillId="3" borderId="0" xfId="0" applyFill="1"/>
    <xf numFmtId="165" fontId="0" fillId="0" borderId="0" xfId="1" applyNumberFormat="1" applyFont="1"/>
    <xf numFmtId="165" fontId="0" fillId="2" borderId="0" xfId="1" applyNumberFormat="1" applyFont="1" applyFill="1"/>
    <xf numFmtId="165" fontId="0" fillId="3" borderId="0" xfId="1" applyNumberFormat="1" applyFont="1" applyFill="1"/>
    <xf numFmtId="0" fontId="0" fillId="0" borderId="0" xfId="0" applyAlignment="1">
      <alignment horizontal="center"/>
    </xf>
    <xf numFmtId="0" fontId="0" fillId="0" borderId="0" xfId="0"/>
    <xf numFmtId="0" fontId="0" fillId="0" borderId="0" xfId="0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01"/>
  <sheetViews>
    <sheetView workbookViewId="0">
      <selection activeCell="N1" sqref="N1"/>
    </sheetView>
  </sheetViews>
  <sheetFormatPr defaultRowHeight="14.5" x14ac:dyDescent="0.35"/>
  <cols>
    <col min="1" max="1" width="14.453125" bestFit="1" customWidth="1"/>
    <col min="2" max="2" width="14.54296875" bestFit="1" customWidth="1"/>
    <col min="3" max="3" width="21.6328125" bestFit="1" customWidth="1"/>
    <col min="4" max="4" width="37.90625" bestFit="1" customWidth="1"/>
    <col min="5" max="5" width="38.7265625" bestFit="1" customWidth="1"/>
    <col min="6" max="6" width="32.26953125" bestFit="1" customWidth="1"/>
    <col min="7" max="7" width="28.1796875" bestFit="1" customWidth="1"/>
    <col min="8" max="8" width="25.7265625" bestFit="1" customWidth="1"/>
    <col min="9" max="9" width="18.36328125" bestFit="1" customWidth="1"/>
    <col min="10" max="10" width="36.6328125" bestFit="1" customWidth="1"/>
    <col min="11" max="11" width="17.36328125" bestFit="1" customWidth="1"/>
    <col min="12" max="12" width="27.08984375" bestFit="1" customWidth="1"/>
    <col min="13" max="13" width="18.7265625" bestFit="1" customWidth="1"/>
    <col min="14" max="14" width="25.54296875" bestFit="1" customWidth="1"/>
    <col min="15" max="15" width="12.906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9" t="s">
        <v>6040</v>
      </c>
      <c r="Q1" s="9" t="s">
        <v>6041</v>
      </c>
      <c r="R1" s="9" t="s">
        <v>6042</v>
      </c>
      <c r="S1" s="9" t="s">
        <v>6043</v>
      </c>
      <c r="T1" s="10" t="s">
        <v>8</v>
      </c>
      <c r="U1" s="10" t="s">
        <v>6049</v>
      </c>
    </row>
    <row r="2" spans="1:21" x14ac:dyDescent="0.35">
      <c r="A2" t="s">
        <v>15</v>
      </c>
      <c r="B2" t="s">
        <v>16</v>
      </c>
      <c r="C2" t="s">
        <v>17</v>
      </c>
      <c r="D2">
        <v>235948</v>
      </c>
      <c r="E2">
        <v>45172</v>
      </c>
      <c r="F2">
        <v>28617</v>
      </c>
      <c r="G2">
        <v>-227376</v>
      </c>
      <c r="H2">
        <v>82361</v>
      </c>
      <c r="I2">
        <v>85292</v>
      </c>
      <c r="J2">
        <v>2065</v>
      </c>
      <c r="K2">
        <v>487736</v>
      </c>
      <c r="L2">
        <v>118906</v>
      </c>
      <c r="M2">
        <v>-176147</v>
      </c>
      <c r="N2">
        <v>109484</v>
      </c>
      <c r="O2" t="s">
        <v>18</v>
      </c>
      <c r="P2" s="9">
        <v>206560</v>
      </c>
      <c r="Q2" s="9">
        <v>21084</v>
      </c>
      <c r="R2" s="9">
        <v>227644</v>
      </c>
      <c r="S2" s="9">
        <v>-130836</v>
      </c>
      <c r="T2" s="10">
        <v>84986</v>
      </c>
      <c r="U2" s="10">
        <v>1844</v>
      </c>
    </row>
    <row r="3" spans="1:21" x14ac:dyDescent="0.35">
      <c r="A3" t="s">
        <v>15</v>
      </c>
      <c r="B3" t="s">
        <v>16</v>
      </c>
      <c r="C3" t="s">
        <v>17</v>
      </c>
      <c r="D3">
        <v>255694</v>
      </c>
      <c r="E3">
        <v>21829</v>
      </c>
      <c r="F3">
        <v>27223</v>
      </c>
      <c r="G3">
        <v>-220537</v>
      </c>
      <c r="H3">
        <v>84209</v>
      </c>
      <c r="I3">
        <v>78515</v>
      </c>
      <c r="J3">
        <v>1143</v>
      </c>
      <c r="K3">
        <v>809746</v>
      </c>
      <c r="L3">
        <v>234105</v>
      </c>
      <c r="M3">
        <v>-258385</v>
      </c>
      <c r="N3">
        <v>105097</v>
      </c>
      <c r="O3" t="s">
        <v>19</v>
      </c>
      <c r="P3" s="9">
        <v>195287</v>
      </c>
      <c r="Q3" s="9">
        <v>23538</v>
      </c>
      <c r="R3" s="9">
        <v>218825</v>
      </c>
      <c r="S3" s="9">
        <v>-122413</v>
      </c>
      <c r="T3" s="10">
        <v>76447</v>
      </c>
      <c r="U3" s="10">
        <v>1485</v>
      </c>
    </row>
    <row r="4" spans="1:21" x14ac:dyDescent="0.35">
      <c r="A4" t="s">
        <v>15</v>
      </c>
      <c r="B4" t="s">
        <v>20</v>
      </c>
      <c r="C4" t="s">
        <v>21</v>
      </c>
      <c r="D4">
        <v>228887</v>
      </c>
      <c r="E4">
        <v>43114</v>
      </c>
      <c r="F4">
        <v>29690</v>
      </c>
      <c r="G4">
        <v>-183280</v>
      </c>
      <c r="H4">
        <v>118411</v>
      </c>
      <c r="I4">
        <v>123373</v>
      </c>
      <c r="J4">
        <v>1789</v>
      </c>
      <c r="K4">
        <v>597952</v>
      </c>
      <c r="L4">
        <v>200665</v>
      </c>
      <c r="M4">
        <v>-114629</v>
      </c>
      <c r="N4">
        <v>133266</v>
      </c>
      <c r="O4" t="s">
        <v>22</v>
      </c>
      <c r="P4" s="9">
        <v>233744</v>
      </c>
      <c r="Q4" s="9">
        <v>13743</v>
      </c>
      <c r="R4" s="9">
        <v>247487</v>
      </c>
      <c r="S4" s="9">
        <v>-144008</v>
      </c>
      <c r="T4" s="10">
        <v>92982</v>
      </c>
      <c r="U4" s="10">
        <v>1341</v>
      </c>
    </row>
    <row r="5" spans="1:21" x14ac:dyDescent="0.35">
      <c r="A5" t="s">
        <v>15</v>
      </c>
      <c r="B5" t="s">
        <v>16</v>
      </c>
      <c r="C5" t="s">
        <v>17</v>
      </c>
      <c r="D5">
        <v>258734</v>
      </c>
      <c r="E5">
        <v>23534</v>
      </c>
      <c r="F5">
        <v>62973</v>
      </c>
      <c r="G5">
        <v>-219712</v>
      </c>
      <c r="H5">
        <v>125529</v>
      </c>
      <c r="I5">
        <v>115527</v>
      </c>
      <c r="J5">
        <v>2410</v>
      </c>
      <c r="K5">
        <v>835671</v>
      </c>
      <c r="L5">
        <v>364298</v>
      </c>
      <c r="M5">
        <v>-184575</v>
      </c>
      <c r="N5">
        <v>160141</v>
      </c>
      <c r="O5" t="s">
        <v>23</v>
      </c>
      <c r="P5" s="9">
        <v>287670</v>
      </c>
      <c r="Q5" s="9">
        <v>53319</v>
      </c>
      <c r="R5" s="9">
        <v>340989</v>
      </c>
      <c r="S5" s="9">
        <v>-186827</v>
      </c>
      <c r="T5" s="10">
        <v>132134</v>
      </c>
      <c r="U5" s="10">
        <v>3260</v>
      </c>
    </row>
    <row r="6" spans="1:21" x14ac:dyDescent="0.35">
      <c r="A6" t="s">
        <v>15</v>
      </c>
      <c r="B6" t="s">
        <v>20</v>
      </c>
      <c r="C6" t="s">
        <v>21</v>
      </c>
      <c r="D6">
        <v>235320</v>
      </c>
      <c r="E6">
        <v>39135</v>
      </c>
      <c r="F6">
        <v>43060</v>
      </c>
      <c r="G6">
        <v>-206955</v>
      </c>
      <c r="H6">
        <v>110560</v>
      </c>
      <c r="I6">
        <v>109938</v>
      </c>
      <c r="J6">
        <v>1769</v>
      </c>
      <c r="K6">
        <v>741200</v>
      </c>
      <c r="L6">
        <v>170781</v>
      </c>
      <c r="M6">
        <v>-113180</v>
      </c>
      <c r="N6">
        <v>186214</v>
      </c>
      <c r="O6" t="s">
        <v>24</v>
      </c>
      <c r="P6" s="9">
        <v>301705</v>
      </c>
      <c r="Q6" s="9">
        <v>41630</v>
      </c>
      <c r="R6" s="9">
        <v>343335</v>
      </c>
      <c r="S6" s="9">
        <v>-196590</v>
      </c>
      <c r="T6" s="10">
        <v>117741</v>
      </c>
      <c r="U6" s="10">
        <v>2017</v>
      </c>
    </row>
    <row r="7" spans="1:21" x14ac:dyDescent="0.35">
      <c r="A7" t="s">
        <v>15</v>
      </c>
      <c r="B7" t="s">
        <v>20</v>
      </c>
      <c r="C7" t="s">
        <v>21</v>
      </c>
      <c r="D7">
        <v>174043</v>
      </c>
      <c r="E7">
        <v>18207</v>
      </c>
      <c r="F7">
        <v>18827</v>
      </c>
      <c r="G7">
        <v>-149682</v>
      </c>
      <c r="H7">
        <v>61395</v>
      </c>
      <c r="I7">
        <v>59378</v>
      </c>
      <c r="J7">
        <v>1510</v>
      </c>
      <c r="K7">
        <v>480270</v>
      </c>
      <c r="L7">
        <v>185951</v>
      </c>
      <c r="M7">
        <v>-116503</v>
      </c>
      <c r="N7">
        <v>122531</v>
      </c>
      <c r="O7" t="s">
        <v>25</v>
      </c>
      <c r="P7" s="9">
        <v>181889</v>
      </c>
      <c r="Q7" s="9">
        <v>21415</v>
      </c>
      <c r="R7" s="9">
        <v>203304</v>
      </c>
      <c r="S7" s="9">
        <v>-50992</v>
      </c>
      <c r="T7" s="10">
        <v>93176</v>
      </c>
      <c r="U7" s="10">
        <v>2680</v>
      </c>
    </row>
    <row r="8" spans="1:21" x14ac:dyDescent="0.35">
      <c r="A8" t="s">
        <v>15</v>
      </c>
      <c r="B8" t="s">
        <v>16</v>
      </c>
      <c r="C8" t="s">
        <v>21</v>
      </c>
      <c r="D8">
        <v>166025</v>
      </c>
      <c r="E8">
        <v>22546</v>
      </c>
      <c r="F8">
        <v>18706</v>
      </c>
      <c r="G8">
        <v>-165146</v>
      </c>
      <c r="H8">
        <v>42131</v>
      </c>
      <c r="I8">
        <v>43483</v>
      </c>
      <c r="J8">
        <v>731</v>
      </c>
      <c r="K8">
        <v>636070</v>
      </c>
      <c r="L8">
        <v>165849</v>
      </c>
      <c r="M8">
        <v>-72721</v>
      </c>
      <c r="N8">
        <v>138974</v>
      </c>
      <c r="O8" t="s">
        <v>26</v>
      </c>
      <c r="P8" s="9">
        <v>267186</v>
      </c>
      <c r="Q8" s="9">
        <v>36695</v>
      </c>
      <c r="R8" s="9">
        <v>303881</v>
      </c>
      <c r="S8" s="9">
        <v>-131403</v>
      </c>
      <c r="T8" s="10">
        <v>138852</v>
      </c>
      <c r="U8" s="10">
        <v>2240</v>
      </c>
    </row>
    <row r="9" spans="1:21" x14ac:dyDescent="0.35">
      <c r="A9" t="s">
        <v>15</v>
      </c>
      <c r="B9" t="s">
        <v>20</v>
      </c>
      <c r="C9" t="s">
        <v>17</v>
      </c>
      <c r="D9">
        <v>195554</v>
      </c>
      <c r="E9">
        <v>25990</v>
      </c>
      <c r="F9">
        <v>34825</v>
      </c>
      <c r="G9">
        <v>-189946</v>
      </c>
      <c r="H9">
        <v>66423</v>
      </c>
      <c r="I9">
        <v>64737</v>
      </c>
      <c r="J9">
        <v>1160</v>
      </c>
      <c r="K9">
        <v>479804</v>
      </c>
      <c r="L9">
        <v>186126</v>
      </c>
      <c r="M9">
        <v>-115562</v>
      </c>
      <c r="N9">
        <v>70938</v>
      </c>
      <c r="O9" t="s">
        <v>27</v>
      </c>
      <c r="P9" s="9">
        <v>265654</v>
      </c>
      <c r="Q9" s="9">
        <v>31098</v>
      </c>
      <c r="R9" s="9">
        <v>296752</v>
      </c>
      <c r="S9" s="9">
        <v>-170087</v>
      </c>
      <c r="T9" s="10">
        <v>128286</v>
      </c>
      <c r="U9" s="10">
        <v>2489</v>
      </c>
    </row>
    <row r="10" spans="1:21" x14ac:dyDescent="0.35">
      <c r="A10" t="s">
        <v>15</v>
      </c>
      <c r="B10" t="s">
        <v>16</v>
      </c>
      <c r="C10" t="s">
        <v>21</v>
      </c>
      <c r="D10">
        <v>232760</v>
      </c>
      <c r="E10">
        <v>14441</v>
      </c>
      <c r="F10">
        <v>50764</v>
      </c>
      <c r="G10">
        <v>-194279</v>
      </c>
      <c r="H10">
        <v>103686</v>
      </c>
      <c r="I10">
        <v>99263</v>
      </c>
      <c r="J10">
        <v>1378</v>
      </c>
      <c r="K10">
        <v>744477</v>
      </c>
      <c r="L10">
        <v>361232</v>
      </c>
      <c r="M10">
        <v>-192483</v>
      </c>
      <c r="N10">
        <v>109403</v>
      </c>
      <c r="O10" t="s">
        <v>28</v>
      </c>
      <c r="P10" s="9">
        <v>205207</v>
      </c>
      <c r="Q10" s="9">
        <v>24770</v>
      </c>
      <c r="R10" s="9">
        <v>229977</v>
      </c>
      <c r="S10" s="9">
        <v>-61082</v>
      </c>
      <c r="T10" s="10">
        <v>109371</v>
      </c>
      <c r="U10" s="10">
        <v>2513</v>
      </c>
    </row>
    <row r="11" spans="1:21" x14ac:dyDescent="0.35">
      <c r="A11" t="s">
        <v>15</v>
      </c>
      <c r="B11" t="s">
        <v>16</v>
      </c>
      <c r="C11" t="s">
        <v>21</v>
      </c>
      <c r="D11">
        <v>178839</v>
      </c>
      <c r="E11">
        <v>12764</v>
      </c>
      <c r="F11">
        <v>19019</v>
      </c>
      <c r="G11">
        <v>-145745</v>
      </c>
      <c r="H11">
        <v>64877</v>
      </c>
      <c r="I11">
        <v>58872</v>
      </c>
      <c r="J11">
        <v>1510</v>
      </c>
      <c r="K11">
        <v>660447</v>
      </c>
      <c r="L11">
        <v>296446</v>
      </c>
      <c r="M11">
        <v>-159709</v>
      </c>
      <c r="N11">
        <v>149768</v>
      </c>
      <c r="O11" t="s">
        <v>29</v>
      </c>
      <c r="P11" s="9">
        <v>278708</v>
      </c>
      <c r="Q11" s="9">
        <v>42781</v>
      </c>
      <c r="R11" s="9">
        <v>321489</v>
      </c>
      <c r="S11" s="9">
        <v>-110942</v>
      </c>
      <c r="T11" s="10">
        <v>91239</v>
      </c>
      <c r="U11" s="10">
        <v>1620</v>
      </c>
    </row>
    <row r="12" spans="1:21" x14ac:dyDescent="0.35">
      <c r="A12" t="s">
        <v>15</v>
      </c>
      <c r="B12" t="s">
        <v>16</v>
      </c>
      <c r="C12" t="s">
        <v>21</v>
      </c>
      <c r="D12">
        <v>253635</v>
      </c>
      <c r="E12">
        <v>49607</v>
      </c>
      <c r="F12">
        <v>30102</v>
      </c>
      <c r="G12">
        <v>-248225</v>
      </c>
      <c r="H12">
        <v>85119</v>
      </c>
      <c r="I12">
        <v>82072</v>
      </c>
      <c r="J12">
        <v>1994</v>
      </c>
      <c r="K12">
        <v>823551</v>
      </c>
      <c r="L12">
        <v>266232</v>
      </c>
      <c r="M12">
        <v>-97140</v>
      </c>
      <c r="N12">
        <v>118532</v>
      </c>
      <c r="O12" t="s">
        <v>30</v>
      </c>
      <c r="P12" s="9">
        <v>276485</v>
      </c>
      <c r="Q12" s="9">
        <v>26948</v>
      </c>
      <c r="R12" s="9">
        <v>303433</v>
      </c>
      <c r="S12" s="9">
        <v>-90447</v>
      </c>
      <c r="T12" s="10">
        <v>120754</v>
      </c>
      <c r="U12" s="10">
        <v>2994</v>
      </c>
    </row>
    <row r="13" spans="1:21" x14ac:dyDescent="0.35">
      <c r="A13" t="s">
        <v>15</v>
      </c>
      <c r="B13" t="s">
        <v>16</v>
      </c>
      <c r="C13" t="s">
        <v>21</v>
      </c>
      <c r="D13">
        <v>201292</v>
      </c>
      <c r="E13">
        <v>38867</v>
      </c>
      <c r="F13">
        <v>26857</v>
      </c>
      <c r="G13">
        <v>-180591</v>
      </c>
      <c r="H13">
        <v>86425</v>
      </c>
      <c r="I13">
        <v>87707</v>
      </c>
      <c r="J13">
        <v>1360</v>
      </c>
      <c r="K13">
        <v>594202</v>
      </c>
      <c r="L13">
        <v>261895</v>
      </c>
      <c r="M13">
        <v>-186561</v>
      </c>
      <c r="N13">
        <v>115511</v>
      </c>
      <c r="O13" t="s">
        <v>31</v>
      </c>
      <c r="P13" s="9">
        <v>263015</v>
      </c>
      <c r="Q13" s="9">
        <v>35043</v>
      </c>
      <c r="R13" s="9">
        <v>298058</v>
      </c>
      <c r="S13" s="9">
        <v>-156224</v>
      </c>
      <c r="T13" s="10">
        <v>81360</v>
      </c>
      <c r="U13" s="10">
        <v>2039</v>
      </c>
    </row>
    <row r="14" spans="1:21" x14ac:dyDescent="0.35">
      <c r="A14" t="s">
        <v>15</v>
      </c>
      <c r="B14" t="s">
        <v>16</v>
      </c>
      <c r="C14" t="s">
        <v>17</v>
      </c>
      <c r="D14">
        <v>235222</v>
      </c>
      <c r="E14">
        <v>42933</v>
      </c>
      <c r="F14">
        <v>43469</v>
      </c>
      <c r="G14">
        <v>-219513</v>
      </c>
      <c r="H14">
        <v>102111</v>
      </c>
      <c r="I14">
        <v>93947</v>
      </c>
      <c r="J14">
        <v>1647</v>
      </c>
      <c r="K14">
        <v>615315</v>
      </c>
      <c r="L14">
        <v>81374</v>
      </c>
      <c r="M14">
        <v>-76735</v>
      </c>
      <c r="N14">
        <v>196438</v>
      </c>
      <c r="O14" t="s">
        <v>32</v>
      </c>
      <c r="P14" s="9">
        <v>169664</v>
      </c>
      <c r="Q14" s="9">
        <v>17194</v>
      </c>
      <c r="R14" s="9">
        <v>186858</v>
      </c>
      <c r="S14" s="9">
        <v>-69372</v>
      </c>
      <c r="T14" s="10">
        <v>63948</v>
      </c>
      <c r="U14" s="10">
        <v>1212</v>
      </c>
    </row>
    <row r="15" spans="1:21" x14ac:dyDescent="0.35">
      <c r="A15" t="s">
        <v>15</v>
      </c>
      <c r="B15" t="s">
        <v>20</v>
      </c>
      <c r="C15" t="s">
        <v>21</v>
      </c>
      <c r="D15">
        <v>296610</v>
      </c>
      <c r="E15">
        <v>43528</v>
      </c>
      <c r="F15">
        <v>49402</v>
      </c>
      <c r="G15">
        <v>-252746</v>
      </c>
      <c r="H15">
        <v>136794</v>
      </c>
      <c r="I15">
        <v>124197</v>
      </c>
      <c r="J15">
        <v>1475</v>
      </c>
      <c r="K15">
        <v>606699</v>
      </c>
      <c r="L15">
        <v>266836</v>
      </c>
      <c r="M15">
        <v>-181022</v>
      </c>
      <c r="N15">
        <v>126943</v>
      </c>
      <c r="O15" t="s">
        <v>33</v>
      </c>
      <c r="P15" s="9">
        <v>184930</v>
      </c>
      <c r="Q15" s="9">
        <v>21467</v>
      </c>
      <c r="R15" s="9">
        <v>206397</v>
      </c>
      <c r="S15" s="9">
        <v>-58301</v>
      </c>
      <c r="T15" s="10">
        <v>58840</v>
      </c>
      <c r="U15" s="10">
        <v>1269</v>
      </c>
    </row>
    <row r="16" spans="1:21" x14ac:dyDescent="0.35">
      <c r="A16" t="s">
        <v>15</v>
      </c>
      <c r="B16" t="s">
        <v>16</v>
      </c>
      <c r="C16" t="s">
        <v>21</v>
      </c>
      <c r="D16">
        <v>176056</v>
      </c>
      <c r="E16">
        <v>18663</v>
      </c>
      <c r="F16">
        <v>30705</v>
      </c>
      <c r="G16">
        <v>-141092</v>
      </c>
      <c r="H16">
        <v>84332</v>
      </c>
      <c r="I16">
        <v>87643</v>
      </c>
      <c r="J16">
        <v>2234</v>
      </c>
      <c r="K16">
        <v>633466</v>
      </c>
      <c r="L16">
        <v>71289</v>
      </c>
      <c r="M16">
        <v>-166340</v>
      </c>
      <c r="N16">
        <v>56141</v>
      </c>
      <c r="O16" t="s">
        <v>34</v>
      </c>
      <c r="P16" s="9">
        <v>183168</v>
      </c>
      <c r="Q16" s="9">
        <v>21715</v>
      </c>
      <c r="R16" s="9">
        <v>204883</v>
      </c>
      <c r="S16" s="9">
        <v>-114758</v>
      </c>
      <c r="T16" s="10">
        <v>73139</v>
      </c>
      <c r="U16" s="10">
        <v>1482</v>
      </c>
    </row>
    <row r="17" spans="1:21" x14ac:dyDescent="0.35">
      <c r="A17" t="s">
        <v>15</v>
      </c>
      <c r="B17" t="s">
        <v>20</v>
      </c>
      <c r="C17" t="s">
        <v>21</v>
      </c>
      <c r="D17">
        <v>225191</v>
      </c>
      <c r="E17">
        <v>36149</v>
      </c>
      <c r="F17">
        <v>42543</v>
      </c>
      <c r="G17">
        <v>-183906</v>
      </c>
      <c r="H17">
        <v>119977</v>
      </c>
      <c r="I17">
        <v>109748</v>
      </c>
      <c r="J17">
        <v>2525</v>
      </c>
      <c r="K17">
        <v>590350</v>
      </c>
      <c r="L17">
        <v>226134</v>
      </c>
      <c r="M17">
        <v>-222684</v>
      </c>
      <c r="N17">
        <v>77321</v>
      </c>
      <c r="O17" t="s">
        <v>35</v>
      </c>
      <c r="P17" s="9">
        <v>306122</v>
      </c>
      <c r="Q17" s="9">
        <v>31919</v>
      </c>
      <c r="R17" s="9">
        <v>338041</v>
      </c>
      <c r="S17" s="9">
        <v>-163179</v>
      </c>
      <c r="T17" s="10">
        <v>108876</v>
      </c>
      <c r="U17" s="10">
        <v>2292</v>
      </c>
    </row>
    <row r="18" spans="1:21" x14ac:dyDescent="0.35">
      <c r="A18" t="s">
        <v>15</v>
      </c>
      <c r="B18" t="s">
        <v>16</v>
      </c>
      <c r="C18" t="s">
        <v>21</v>
      </c>
      <c r="D18">
        <v>262606</v>
      </c>
      <c r="E18">
        <v>43817</v>
      </c>
      <c r="F18">
        <v>59791</v>
      </c>
      <c r="G18">
        <v>-231993</v>
      </c>
      <c r="H18">
        <v>134221</v>
      </c>
      <c r="I18">
        <v>128222</v>
      </c>
      <c r="J18">
        <v>1430</v>
      </c>
      <c r="K18">
        <v>680026</v>
      </c>
      <c r="L18">
        <v>238859</v>
      </c>
      <c r="M18">
        <v>-175740</v>
      </c>
      <c r="N18">
        <v>195232</v>
      </c>
      <c r="O18" t="s">
        <v>36</v>
      </c>
      <c r="P18" s="9">
        <v>231539</v>
      </c>
      <c r="Q18" s="9">
        <v>33573</v>
      </c>
      <c r="R18" s="9">
        <v>265112</v>
      </c>
      <c r="S18" s="9">
        <v>-94928</v>
      </c>
      <c r="T18" s="10">
        <v>87449</v>
      </c>
      <c r="U18" s="10">
        <v>1562</v>
      </c>
    </row>
    <row r="19" spans="1:21" x14ac:dyDescent="0.35">
      <c r="A19" t="s">
        <v>15</v>
      </c>
      <c r="B19" t="s">
        <v>16</v>
      </c>
      <c r="C19" t="s">
        <v>17</v>
      </c>
      <c r="D19">
        <v>207217</v>
      </c>
      <c r="E19">
        <v>19571</v>
      </c>
      <c r="F19">
        <v>51749</v>
      </c>
      <c r="G19">
        <v>-174352</v>
      </c>
      <c r="H19">
        <v>104185</v>
      </c>
      <c r="I19">
        <v>105171</v>
      </c>
      <c r="J19">
        <v>2571</v>
      </c>
      <c r="K19">
        <v>613286</v>
      </c>
      <c r="L19">
        <v>163082</v>
      </c>
      <c r="M19">
        <v>-194763</v>
      </c>
      <c r="N19">
        <v>99622</v>
      </c>
      <c r="O19" t="s">
        <v>37</v>
      </c>
      <c r="P19" s="9">
        <v>168027</v>
      </c>
      <c r="Q19" s="9">
        <v>20891</v>
      </c>
      <c r="R19" s="9">
        <v>188918</v>
      </c>
      <c r="S19" s="9">
        <v>-105440</v>
      </c>
      <c r="T19" s="10">
        <v>91932</v>
      </c>
      <c r="U19" s="10">
        <v>1899</v>
      </c>
    </row>
    <row r="20" spans="1:21" x14ac:dyDescent="0.35">
      <c r="A20" t="s">
        <v>15</v>
      </c>
      <c r="B20" t="s">
        <v>16</v>
      </c>
      <c r="C20" t="s">
        <v>21</v>
      </c>
      <c r="D20">
        <v>195926</v>
      </c>
      <c r="E20">
        <v>24739</v>
      </c>
      <c r="F20">
        <v>35899</v>
      </c>
      <c r="G20">
        <v>-166978</v>
      </c>
      <c r="H20">
        <v>89586</v>
      </c>
      <c r="I20">
        <v>90212</v>
      </c>
      <c r="J20">
        <v>2400</v>
      </c>
      <c r="K20">
        <v>684695</v>
      </c>
      <c r="L20">
        <v>247453</v>
      </c>
      <c r="M20">
        <v>-207241</v>
      </c>
      <c r="N20">
        <v>153259</v>
      </c>
      <c r="O20" t="s">
        <v>38</v>
      </c>
      <c r="P20" s="9">
        <v>199389</v>
      </c>
      <c r="Q20" s="9">
        <v>9972</v>
      </c>
      <c r="R20" s="9">
        <v>209361</v>
      </c>
      <c r="S20" s="9">
        <v>-102551</v>
      </c>
      <c r="T20" s="10">
        <v>86894</v>
      </c>
      <c r="U20" s="10">
        <v>2584</v>
      </c>
    </row>
    <row r="21" spans="1:21" x14ac:dyDescent="0.35">
      <c r="A21" t="s">
        <v>15</v>
      </c>
      <c r="B21" t="s">
        <v>16</v>
      </c>
      <c r="C21" t="s">
        <v>21</v>
      </c>
      <c r="D21">
        <v>216666</v>
      </c>
      <c r="E21">
        <v>38336</v>
      </c>
      <c r="F21">
        <v>34492</v>
      </c>
      <c r="G21">
        <v>-182980</v>
      </c>
      <c r="H21">
        <v>106514</v>
      </c>
      <c r="I21">
        <v>99977</v>
      </c>
      <c r="J21">
        <v>1936</v>
      </c>
      <c r="K21">
        <v>468851</v>
      </c>
      <c r="L21">
        <v>183711</v>
      </c>
      <c r="M21">
        <v>-137988</v>
      </c>
      <c r="N21">
        <v>152245</v>
      </c>
      <c r="O21" t="s">
        <v>39</v>
      </c>
      <c r="P21" s="9">
        <v>181109</v>
      </c>
      <c r="Q21" s="9">
        <v>23541</v>
      </c>
      <c r="R21" s="9">
        <v>204650</v>
      </c>
      <c r="S21" s="9">
        <v>-50162</v>
      </c>
      <c r="T21" s="10">
        <v>82415</v>
      </c>
      <c r="U21" s="10">
        <v>2316</v>
      </c>
    </row>
    <row r="22" spans="1:21" x14ac:dyDescent="0.35">
      <c r="A22" t="s">
        <v>15</v>
      </c>
      <c r="B22" t="s">
        <v>16</v>
      </c>
      <c r="C22" t="s">
        <v>21</v>
      </c>
      <c r="D22">
        <v>286290</v>
      </c>
      <c r="E22">
        <v>24626</v>
      </c>
      <c r="F22">
        <v>29594</v>
      </c>
      <c r="G22">
        <v>-236874</v>
      </c>
      <c r="H22">
        <v>103636</v>
      </c>
      <c r="I22">
        <v>108505</v>
      </c>
      <c r="J22">
        <v>2406</v>
      </c>
      <c r="K22">
        <v>814529</v>
      </c>
      <c r="L22">
        <v>156069</v>
      </c>
      <c r="M22">
        <v>-247875</v>
      </c>
      <c r="N22">
        <v>134808</v>
      </c>
      <c r="O22" t="s">
        <v>40</v>
      </c>
      <c r="P22" s="9">
        <v>285271</v>
      </c>
      <c r="Q22" s="9">
        <v>28792</v>
      </c>
      <c r="R22" s="9">
        <v>314063</v>
      </c>
      <c r="S22" s="9">
        <v>-133572</v>
      </c>
      <c r="T22" s="10">
        <v>87986</v>
      </c>
      <c r="U22" s="10">
        <v>2424</v>
      </c>
    </row>
    <row r="23" spans="1:21" x14ac:dyDescent="0.35">
      <c r="A23" t="s">
        <v>15</v>
      </c>
      <c r="B23" t="s">
        <v>20</v>
      </c>
      <c r="C23" t="s">
        <v>21</v>
      </c>
      <c r="D23">
        <v>221910</v>
      </c>
      <c r="E23">
        <v>18574</v>
      </c>
      <c r="F23">
        <v>34088</v>
      </c>
      <c r="G23">
        <v>-214584</v>
      </c>
      <c r="H23">
        <v>59988</v>
      </c>
      <c r="I23">
        <v>60339</v>
      </c>
      <c r="J23">
        <v>1006</v>
      </c>
      <c r="K23">
        <v>550877</v>
      </c>
      <c r="L23">
        <v>58825</v>
      </c>
      <c r="M23">
        <v>-183416</v>
      </c>
      <c r="N23">
        <v>126837</v>
      </c>
      <c r="O23" t="s">
        <v>41</v>
      </c>
      <c r="P23" s="9">
        <v>200865</v>
      </c>
      <c r="Q23" s="9">
        <v>34743</v>
      </c>
      <c r="R23" s="9">
        <v>235608</v>
      </c>
      <c r="S23" s="9">
        <v>-62669</v>
      </c>
      <c r="T23" s="10">
        <v>94230</v>
      </c>
      <c r="U23" s="10">
        <v>1853</v>
      </c>
    </row>
    <row r="24" spans="1:21" x14ac:dyDescent="0.35">
      <c r="A24" t="s">
        <v>15</v>
      </c>
      <c r="B24" t="s">
        <v>16</v>
      </c>
      <c r="C24" t="s">
        <v>21</v>
      </c>
      <c r="D24">
        <v>227284</v>
      </c>
      <c r="E24">
        <v>22339</v>
      </c>
      <c r="F24">
        <v>36732</v>
      </c>
      <c r="G24">
        <v>-193501</v>
      </c>
      <c r="H24">
        <v>92854</v>
      </c>
      <c r="I24">
        <v>89521</v>
      </c>
      <c r="J24">
        <v>2132</v>
      </c>
      <c r="K24">
        <v>488483</v>
      </c>
      <c r="L24">
        <v>105948</v>
      </c>
      <c r="M24">
        <v>-141898</v>
      </c>
      <c r="N24">
        <v>82601</v>
      </c>
      <c r="O24" t="s">
        <v>42</v>
      </c>
      <c r="P24" s="9">
        <v>302607</v>
      </c>
      <c r="Q24" s="9">
        <v>28551</v>
      </c>
      <c r="R24" s="9">
        <v>331158</v>
      </c>
      <c r="S24" s="9">
        <v>-142036</v>
      </c>
      <c r="T24" s="10">
        <v>90648</v>
      </c>
      <c r="U24" s="10">
        <v>2613</v>
      </c>
    </row>
    <row r="25" spans="1:21" x14ac:dyDescent="0.35">
      <c r="A25" t="s">
        <v>15</v>
      </c>
      <c r="B25" t="s">
        <v>16</v>
      </c>
      <c r="C25" t="s">
        <v>21</v>
      </c>
      <c r="D25">
        <v>296201</v>
      </c>
      <c r="E25">
        <v>16153</v>
      </c>
      <c r="F25">
        <v>72234</v>
      </c>
      <c r="G25">
        <v>-276782</v>
      </c>
      <c r="H25">
        <v>107806</v>
      </c>
      <c r="I25">
        <v>104936</v>
      </c>
      <c r="J25">
        <v>1957</v>
      </c>
      <c r="K25">
        <v>1174052</v>
      </c>
      <c r="L25">
        <v>188498</v>
      </c>
      <c r="M25">
        <v>-208636</v>
      </c>
      <c r="N25">
        <v>93782</v>
      </c>
      <c r="O25" t="s">
        <v>43</v>
      </c>
      <c r="P25" s="9">
        <v>289552</v>
      </c>
      <c r="Q25" s="9">
        <v>24918</v>
      </c>
      <c r="R25" s="9">
        <v>314470</v>
      </c>
      <c r="S25" s="9">
        <v>-180368</v>
      </c>
      <c r="T25" s="10">
        <v>115705</v>
      </c>
      <c r="U25" s="10">
        <v>1388</v>
      </c>
    </row>
    <row r="26" spans="1:21" x14ac:dyDescent="0.35">
      <c r="A26" t="s">
        <v>15</v>
      </c>
      <c r="B26" t="s">
        <v>20</v>
      </c>
      <c r="C26" t="s">
        <v>21</v>
      </c>
      <c r="D26">
        <v>240601</v>
      </c>
      <c r="E26">
        <v>42150</v>
      </c>
      <c r="F26">
        <v>41301</v>
      </c>
      <c r="G26">
        <v>-228630</v>
      </c>
      <c r="H26">
        <v>95422</v>
      </c>
      <c r="I26">
        <v>93479</v>
      </c>
      <c r="J26">
        <v>2473</v>
      </c>
      <c r="K26">
        <v>881312</v>
      </c>
      <c r="L26">
        <v>281058</v>
      </c>
      <c r="M26">
        <v>-214930</v>
      </c>
      <c r="N26">
        <v>197736</v>
      </c>
      <c r="O26" t="s">
        <v>44</v>
      </c>
      <c r="P26" s="9">
        <v>261859</v>
      </c>
      <c r="Q26" s="9">
        <v>49970</v>
      </c>
      <c r="R26" s="9">
        <v>311829</v>
      </c>
      <c r="S26" s="9">
        <v>-178628</v>
      </c>
      <c r="T26" s="10">
        <v>97640</v>
      </c>
      <c r="U26" s="10">
        <v>1468</v>
      </c>
    </row>
    <row r="27" spans="1:21" x14ac:dyDescent="0.35">
      <c r="A27" t="s">
        <v>15</v>
      </c>
      <c r="B27" t="s">
        <v>16</v>
      </c>
      <c r="C27" t="s">
        <v>21</v>
      </c>
      <c r="D27">
        <v>238056</v>
      </c>
      <c r="E27">
        <v>21547</v>
      </c>
      <c r="F27">
        <v>37976</v>
      </c>
      <c r="G27">
        <v>-199536</v>
      </c>
      <c r="H27">
        <v>98043</v>
      </c>
      <c r="I27">
        <v>101017</v>
      </c>
      <c r="J27">
        <v>1953</v>
      </c>
      <c r="K27">
        <v>559459</v>
      </c>
      <c r="L27">
        <v>97618</v>
      </c>
      <c r="M27">
        <v>-73943</v>
      </c>
      <c r="N27">
        <v>104131</v>
      </c>
      <c r="O27" t="s">
        <v>45</v>
      </c>
      <c r="P27" s="9">
        <v>184990</v>
      </c>
      <c r="Q27" s="9">
        <v>30771</v>
      </c>
      <c r="R27" s="9">
        <v>215761</v>
      </c>
      <c r="S27" s="9">
        <v>-62122</v>
      </c>
      <c r="T27" s="10">
        <v>90675</v>
      </c>
      <c r="U27" s="10">
        <v>1711</v>
      </c>
    </row>
    <row r="28" spans="1:21" x14ac:dyDescent="0.35">
      <c r="A28" t="s">
        <v>15</v>
      </c>
      <c r="B28" t="s">
        <v>16</v>
      </c>
      <c r="C28" t="s">
        <v>21</v>
      </c>
      <c r="D28">
        <v>226672</v>
      </c>
      <c r="E28">
        <v>41078</v>
      </c>
      <c r="F28">
        <v>24113</v>
      </c>
      <c r="G28">
        <v>-210410</v>
      </c>
      <c r="H28">
        <v>81453</v>
      </c>
      <c r="I28">
        <v>84788</v>
      </c>
      <c r="J28">
        <v>962</v>
      </c>
      <c r="K28">
        <v>589120</v>
      </c>
      <c r="L28">
        <v>69095</v>
      </c>
      <c r="M28">
        <v>-166591</v>
      </c>
      <c r="N28">
        <v>130308</v>
      </c>
      <c r="O28" t="s">
        <v>46</v>
      </c>
      <c r="P28" s="9">
        <v>301706</v>
      </c>
      <c r="Q28" s="9">
        <v>15285</v>
      </c>
      <c r="R28" s="9">
        <v>316991</v>
      </c>
      <c r="S28" s="9">
        <v>-124242</v>
      </c>
      <c r="T28" s="10">
        <v>98922</v>
      </c>
      <c r="U28" s="10">
        <v>2251</v>
      </c>
    </row>
    <row r="29" spans="1:21" x14ac:dyDescent="0.35">
      <c r="A29" t="s">
        <v>15</v>
      </c>
      <c r="B29" t="s">
        <v>20</v>
      </c>
      <c r="C29" t="s">
        <v>21</v>
      </c>
      <c r="D29">
        <v>165264</v>
      </c>
      <c r="E29">
        <v>28460</v>
      </c>
      <c r="F29">
        <v>28245</v>
      </c>
      <c r="G29">
        <v>-155267</v>
      </c>
      <c r="H29">
        <v>66702</v>
      </c>
      <c r="I29">
        <v>67485</v>
      </c>
      <c r="J29">
        <v>1462</v>
      </c>
      <c r="K29">
        <v>443438</v>
      </c>
      <c r="L29">
        <v>197374</v>
      </c>
      <c r="M29">
        <v>-128079</v>
      </c>
      <c r="N29">
        <v>85494</v>
      </c>
      <c r="O29" t="s">
        <v>47</v>
      </c>
      <c r="P29" s="9">
        <v>224092</v>
      </c>
      <c r="Q29" s="9">
        <v>36646</v>
      </c>
      <c r="R29" s="9">
        <v>260738</v>
      </c>
      <c r="S29" s="9">
        <v>-71284</v>
      </c>
      <c r="T29" s="10">
        <v>89553</v>
      </c>
      <c r="U29" s="10">
        <v>2529</v>
      </c>
    </row>
    <row r="30" spans="1:21" x14ac:dyDescent="0.35">
      <c r="A30" t="s">
        <v>15</v>
      </c>
      <c r="B30" t="s">
        <v>20</v>
      </c>
      <c r="C30" t="s">
        <v>17</v>
      </c>
      <c r="D30">
        <v>275405</v>
      </c>
      <c r="E30">
        <v>48105</v>
      </c>
      <c r="F30">
        <v>34103</v>
      </c>
      <c r="G30">
        <v>-221786</v>
      </c>
      <c r="H30">
        <v>135827</v>
      </c>
      <c r="I30">
        <v>137615</v>
      </c>
      <c r="J30">
        <v>3435</v>
      </c>
      <c r="K30">
        <v>1043488</v>
      </c>
      <c r="L30">
        <v>433211</v>
      </c>
      <c r="M30">
        <v>-312934</v>
      </c>
      <c r="N30">
        <v>160132</v>
      </c>
      <c r="O30" t="s">
        <v>48</v>
      </c>
      <c r="P30" s="9">
        <v>182698</v>
      </c>
      <c r="Q30" s="9">
        <v>18044</v>
      </c>
      <c r="R30" s="9">
        <v>200742</v>
      </c>
      <c r="S30" s="9">
        <v>-60826</v>
      </c>
      <c r="T30" s="10">
        <v>60855</v>
      </c>
      <c r="U30" s="10">
        <v>1078</v>
      </c>
    </row>
    <row r="31" spans="1:21" x14ac:dyDescent="0.35">
      <c r="A31" t="s">
        <v>15</v>
      </c>
      <c r="B31" t="s">
        <v>16</v>
      </c>
      <c r="C31" t="s">
        <v>21</v>
      </c>
      <c r="D31">
        <v>225892</v>
      </c>
      <c r="E31">
        <v>21330</v>
      </c>
      <c r="F31">
        <v>40762</v>
      </c>
      <c r="G31">
        <v>-181183</v>
      </c>
      <c r="H31">
        <v>106801</v>
      </c>
      <c r="I31">
        <v>106220</v>
      </c>
      <c r="J31">
        <v>3107</v>
      </c>
      <c r="K31">
        <v>605051</v>
      </c>
      <c r="L31">
        <v>241693</v>
      </c>
      <c r="M31">
        <v>-123390</v>
      </c>
      <c r="N31">
        <v>76462</v>
      </c>
      <c r="O31" t="s">
        <v>49</v>
      </c>
      <c r="P31" s="9">
        <v>283277</v>
      </c>
      <c r="Q31" s="9">
        <v>19745</v>
      </c>
      <c r="R31" s="9">
        <v>303022</v>
      </c>
      <c r="S31" s="9">
        <v>-69727</v>
      </c>
      <c r="T31" s="10">
        <v>80051</v>
      </c>
      <c r="U31" s="10">
        <v>2115</v>
      </c>
    </row>
    <row r="32" spans="1:21" x14ac:dyDescent="0.35">
      <c r="A32" t="s">
        <v>15</v>
      </c>
      <c r="B32" t="s">
        <v>16</v>
      </c>
      <c r="C32" t="s">
        <v>21</v>
      </c>
      <c r="D32">
        <v>192430</v>
      </c>
      <c r="E32">
        <v>37158</v>
      </c>
      <c r="F32">
        <v>33131</v>
      </c>
      <c r="G32">
        <v>-159765</v>
      </c>
      <c r="H32">
        <v>102954</v>
      </c>
      <c r="I32">
        <v>95036</v>
      </c>
      <c r="J32">
        <v>1993</v>
      </c>
      <c r="K32">
        <v>707055</v>
      </c>
      <c r="L32">
        <v>160174</v>
      </c>
      <c r="M32">
        <v>-151116</v>
      </c>
      <c r="N32">
        <v>155387</v>
      </c>
      <c r="O32" t="s">
        <v>50</v>
      </c>
      <c r="P32" s="9">
        <v>230026</v>
      </c>
      <c r="Q32" s="9">
        <v>22114</v>
      </c>
      <c r="R32" s="9">
        <v>252140</v>
      </c>
      <c r="S32" s="9">
        <v>-139028</v>
      </c>
      <c r="T32" s="10">
        <v>74204</v>
      </c>
      <c r="U32" s="10">
        <v>1736</v>
      </c>
    </row>
    <row r="33" spans="1:21" x14ac:dyDescent="0.35">
      <c r="A33" t="s">
        <v>15</v>
      </c>
      <c r="B33" t="s">
        <v>16</v>
      </c>
      <c r="C33" t="s">
        <v>21</v>
      </c>
      <c r="D33">
        <v>247152</v>
      </c>
      <c r="E33">
        <v>37472</v>
      </c>
      <c r="F33">
        <v>58490</v>
      </c>
      <c r="G33">
        <v>-229775</v>
      </c>
      <c r="H33">
        <v>113339</v>
      </c>
      <c r="I33">
        <v>107487</v>
      </c>
      <c r="J33">
        <v>2717</v>
      </c>
      <c r="K33">
        <v>573024</v>
      </c>
      <c r="L33">
        <v>203545</v>
      </c>
      <c r="M33">
        <v>-157911</v>
      </c>
      <c r="N33">
        <v>199724</v>
      </c>
      <c r="O33" t="s">
        <v>51</v>
      </c>
      <c r="P33" s="9">
        <v>283664</v>
      </c>
      <c r="Q33" s="9">
        <v>39155</v>
      </c>
      <c r="R33" s="9">
        <v>322819</v>
      </c>
      <c r="S33" s="9">
        <v>-108668</v>
      </c>
      <c r="T33" s="10">
        <v>140807</v>
      </c>
      <c r="U33" s="10">
        <v>4037</v>
      </c>
    </row>
    <row r="34" spans="1:21" x14ac:dyDescent="0.35">
      <c r="A34" t="s">
        <v>15</v>
      </c>
      <c r="B34" t="s">
        <v>20</v>
      </c>
      <c r="C34" t="s">
        <v>21</v>
      </c>
      <c r="D34">
        <v>294303</v>
      </c>
      <c r="E34">
        <v>32778</v>
      </c>
      <c r="F34">
        <v>40354</v>
      </c>
      <c r="G34">
        <v>-267156</v>
      </c>
      <c r="H34">
        <v>100279</v>
      </c>
      <c r="I34">
        <v>92678</v>
      </c>
      <c r="J34">
        <v>1943</v>
      </c>
      <c r="K34">
        <v>745958</v>
      </c>
      <c r="L34">
        <v>343836</v>
      </c>
      <c r="M34">
        <v>-117055</v>
      </c>
      <c r="N34">
        <v>263291</v>
      </c>
      <c r="O34" t="s">
        <v>52</v>
      </c>
      <c r="P34" s="9">
        <v>177461</v>
      </c>
      <c r="Q34" s="9">
        <v>36843</v>
      </c>
      <c r="R34" s="9">
        <v>214304</v>
      </c>
      <c r="S34" s="9">
        <v>-50797</v>
      </c>
      <c r="T34" s="10">
        <v>72456</v>
      </c>
      <c r="U34" s="10">
        <v>829</v>
      </c>
    </row>
    <row r="35" spans="1:21" x14ac:dyDescent="0.35">
      <c r="A35" t="s">
        <v>15</v>
      </c>
      <c r="B35" t="s">
        <v>20</v>
      </c>
      <c r="C35" t="s">
        <v>17</v>
      </c>
      <c r="D35">
        <v>159461</v>
      </c>
      <c r="E35">
        <v>28401</v>
      </c>
      <c r="F35">
        <v>23387</v>
      </c>
      <c r="G35">
        <v>-151086</v>
      </c>
      <c r="H35">
        <v>60163</v>
      </c>
      <c r="I35">
        <v>55820</v>
      </c>
      <c r="J35">
        <v>1350</v>
      </c>
      <c r="K35">
        <v>560261</v>
      </c>
      <c r="L35">
        <v>160188</v>
      </c>
      <c r="M35">
        <v>-197614</v>
      </c>
      <c r="N35">
        <v>124525</v>
      </c>
      <c r="O35" t="s">
        <v>53</v>
      </c>
      <c r="P35" s="9">
        <v>254742</v>
      </c>
      <c r="Q35" s="9">
        <v>18593</v>
      </c>
      <c r="R35" s="9">
        <v>273335</v>
      </c>
      <c r="S35" s="9">
        <v>-69213</v>
      </c>
      <c r="T35" s="10">
        <v>92141</v>
      </c>
      <c r="U35" s="10">
        <v>1963</v>
      </c>
    </row>
    <row r="36" spans="1:21" x14ac:dyDescent="0.35">
      <c r="A36" t="s">
        <v>15</v>
      </c>
      <c r="B36" t="s">
        <v>16</v>
      </c>
      <c r="C36" t="s">
        <v>21</v>
      </c>
      <c r="D36">
        <v>161620</v>
      </c>
      <c r="E36">
        <v>18549</v>
      </c>
      <c r="F36">
        <v>25813</v>
      </c>
      <c r="G36">
        <v>-156357</v>
      </c>
      <c r="H36">
        <v>49625</v>
      </c>
      <c r="I36">
        <v>51207</v>
      </c>
      <c r="J36">
        <v>1218</v>
      </c>
      <c r="K36">
        <v>349307</v>
      </c>
      <c r="L36">
        <v>78522</v>
      </c>
      <c r="M36">
        <v>-80639</v>
      </c>
      <c r="N36">
        <v>77968</v>
      </c>
      <c r="O36" t="s">
        <v>54</v>
      </c>
      <c r="P36" s="9">
        <v>235489</v>
      </c>
      <c r="Q36" s="9">
        <v>47866</v>
      </c>
      <c r="R36" s="9">
        <v>283355</v>
      </c>
      <c r="S36" s="9">
        <v>-161875</v>
      </c>
      <c r="T36" s="10">
        <v>114156</v>
      </c>
      <c r="U36" s="10">
        <v>1148</v>
      </c>
    </row>
    <row r="37" spans="1:21" x14ac:dyDescent="0.35">
      <c r="A37" t="s">
        <v>15</v>
      </c>
      <c r="B37" t="s">
        <v>20</v>
      </c>
      <c r="C37" t="s">
        <v>21</v>
      </c>
      <c r="D37">
        <v>274888</v>
      </c>
      <c r="E37">
        <v>50678</v>
      </c>
      <c r="F37">
        <v>31194</v>
      </c>
      <c r="G37">
        <v>-237315</v>
      </c>
      <c r="H37">
        <v>119445</v>
      </c>
      <c r="I37">
        <v>115101</v>
      </c>
      <c r="J37">
        <v>1232</v>
      </c>
      <c r="K37">
        <v>929205</v>
      </c>
      <c r="L37">
        <v>390876</v>
      </c>
      <c r="M37">
        <v>-114381</v>
      </c>
      <c r="N37">
        <v>89671</v>
      </c>
      <c r="O37" t="s">
        <v>55</v>
      </c>
      <c r="P37" s="9">
        <v>213186</v>
      </c>
      <c r="Q37" s="9">
        <v>37578</v>
      </c>
      <c r="R37" s="9">
        <v>250764</v>
      </c>
      <c r="S37" s="9">
        <v>-78356</v>
      </c>
      <c r="T37" s="10">
        <v>117721</v>
      </c>
      <c r="U37" s="10">
        <v>1825</v>
      </c>
    </row>
    <row r="38" spans="1:21" x14ac:dyDescent="0.35">
      <c r="A38" t="s">
        <v>15</v>
      </c>
      <c r="B38" t="s">
        <v>20</v>
      </c>
      <c r="C38" t="s">
        <v>17</v>
      </c>
      <c r="D38">
        <v>224341</v>
      </c>
      <c r="E38">
        <v>42831</v>
      </c>
      <c r="F38">
        <v>23309</v>
      </c>
      <c r="G38">
        <v>-216333</v>
      </c>
      <c r="H38">
        <v>74148</v>
      </c>
      <c r="I38">
        <v>67198</v>
      </c>
      <c r="J38">
        <v>1331</v>
      </c>
      <c r="K38">
        <v>555392</v>
      </c>
      <c r="L38">
        <v>112175</v>
      </c>
      <c r="M38">
        <v>-92971</v>
      </c>
      <c r="N38">
        <v>192172</v>
      </c>
      <c r="O38" t="s">
        <v>56</v>
      </c>
      <c r="P38" s="9">
        <v>273633</v>
      </c>
      <c r="Q38" s="9">
        <v>40189</v>
      </c>
      <c r="R38" s="9">
        <v>313822</v>
      </c>
      <c r="S38" s="9">
        <v>-156644</v>
      </c>
      <c r="T38" s="10">
        <v>106168</v>
      </c>
      <c r="U38" s="10">
        <v>1779</v>
      </c>
    </row>
    <row r="39" spans="1:21" x14ac:dyDescent="0.35">
      <c r="A39" t="s">
        <v>15</v>
      </c>
      <c r="B39" t="s">
        <v>16</v>
      </c>
      <c r="C39" t="s">
        <v>17</v>
      </c>
      <c r="D39">
        <v>150167</v>
      </c>
      <c r="E39">
        <v>17532</v>
      </c>
      <c r="F39">
        <v>22215</v>
      </c>
      <c r="G39">
        <v>-125529</v>
      </c>
      <c r="H39">
        <v>64385</v>
      </c>
      <c r="I39">
        <v>59779</v>
      </c>
      <c r="J39">
        <v>1207</v>
      </c>
      <c r="K39">
        <v>304539</v>
      </c>
      <c r="L39">
        <v>85879</v>
      </c>
      <c r="M39">
        <v>-89446</v>
      </c>
      <c r="N39">
        <v>76536</v>
      </c>
      <c r="O39" t="s">
        <v>57</v>
      </c>
      <c r="P39" s="9">
        <v>212774</v>
      </c>
      <c r="Q39" s="9">
        <v>13442</v>
      </c>
      <c r="R39" s="9">
        <v>226216</v>
      </c>
      <c r="S39" s="9">
        <v>-120716</v>
      </c>
      <c r="T39" s="10">
        <v>71436</v>
      </c>
      <c r="U39" s="10">
        <v>815</v>
      </c>
    </row>
    <row r="40" spans="1:21" x14ac:dyDescent="0.35">
      <c r="A40" t="s">
        <v>15</v>
      </c>
      <c r="B40" t="s">
        <v>20</v>
      </c>
      <c r="C40" t="s">
        <v>17</v>
      </c>
      <c r="D40">
        <v>257388</v>
      </c>
      <c r="E40">
        <v>21160</v>
      </c>
      <c r="F40">
        <v>36209</v>
      </c>
      <c r="G40">
        <v>-248248</v>
      </c>
      <c r="H40">
        <v>66509</v>
      </c>
      <c r="I40">
        <v>61385</v>
      </c>
      <c r="J40">
        <v>1676</v>
      </c>
      <c r="K40">
        <v>985559</v>
      </c>
      <c r="L40">
        <v>253593</v>
      </c>
      <c r="M40">
        <v>-337579</v>
      </c>
      <c r="N40">
        <v>223296</v>
      </c>
      <c r="O40" t="s">
        <v>58</v>
      </c>
      <c r="P40" s="9">
        <v>209804</v>
      </c>
      <c r="Q40" s="9">
        <v>14479</v>
      </c>
      <c r="R40" s="9">
        <v>224283</v>
      </c>
      <c r="S40" s="9">
        <v>-46579</v>
      </c>
      <c r="T40" s="10">
        <v>79576</v>
      </c>
      <c r="U40" s="10">
        <v>1329</v>
      </c>
    </row>
    <row r="41" spans="1:21" x14ac:dyDescent="0.35">
      <c r="A41" t="s">
        <v>15</v>
      </c>
      <c r="B41" t="s">
        <v>16</v>
      </c>
      <c r="C41" t="s">
        <v>21</v>
      </c>
      <c r="D41">
        <v>156243</v>
      </c>
      <c r="E41">
        <v>9779</v>
      </c>
      <c r="F41">
        <v>35908</v>
      </c>
      <c r="G41">
        <v>-130994</v>
      </c>
      <c r="H41">
        <v>70936</v>
      </c>
      <c r="I41">
        <v>66494</v>
      </c>
      <c r="J41">
        <v>1492</v>
      </c>
      <c r="K41">
        <v>611471</v>
      </c>
      <c r="L41">
        <v>285674</v>
      </c>
      <c r="M41">
        <v>-170377</v>
      </c>
      <c r="N41">
        <v>57528</v>
      </c>
      <c r="O41" t="s">
        <v>59</v>
      </c>
      <c r="P41" s="9">
        <v>209571</v>
      </c>
      <c r="Q41" s="9">
        <v>26069</v>
      </c>
      <c r="R41" s="9">
        <v>235640</v>
      </c>
      <c r="S41" s="9">
        <v>-91467</v>
      </c>
      <c r="T41" s="10">
        <v>73880</v>
      </c>
      <c r="U41" s="10">
        <v>1998</v>
      </c>
    </row>
    <row r="42" spans="1:21" x14ac:dyDescent="0.35">
      <c r="A42" t="s">
        <v>15</v>
      </c>
      <c r="B42" t="s">
        <v>20</v>
      </c>
      <c r="C42" t="s">
        <v>21</v>
      </c>
      <c r="D42">
        <v>297430</v>
      </c>
      <c r="E42">
        <v>47378</v>
      </c>
      <c r="F42">
        <v>57838</v>
      </c>
      <c r="G42">
        <v>-274356</v>
      </c>
      <c r="H42">
        <v>128290</v>
      </c>
      <c r="I42">
        <v>117313</v>
      </c>
      <c r="J42">
        <v>1649</v>
      </c>
      <c r="K42">
        <v>1140970</v>
      </c>
      <c r="L42">
        <v>356498</v>
      </c>
      <c r="M42">
        <v>-115790</v>
      </c>
      <c r="N42">
        <v>93555</v>
      </c>
      <c r="O42" t="s">
        <v>60</v>
      </c>
      <c r="P42" s="9">
        <v>179040</v>
      </c>
      <c r="Q42" s="9">
        <v>33326</v>
      </c>
      <c r="R42" s="9">
        <v>212366</v>
      </c>
      <c r="S42" s="9">
        <v>-60844</v>
      </c>
      <c r="T42" s="10">
        <v>80659</v>
      </c>
      <c r="U42" s="10">
        <v>1634</v>
      </c>
    </row>
    <row r="43" spans="1:21" x14ac:dyDescent="0.35">
      <c r="A43" t="s">
        <v>15</v>
      </c>
      <c r="B43" t="s">
        <v>20</v>
      </c>
      <c r="C43" t="s">
        <v>21</v>
      </c>
      <c r="D43">
        <v>214691</v>
      </c>
      <c r="E43">
        <v>21219</v>
      </c>
      <c r="F43">
        <v>36492</v>
      </c>
      <c r="G43">
        <v>-178984</v>
      </c>
      <c r="H43">
        <v>93418</v>
      </c>
      <c r="I43">
        <v>88845</v>
      </c>
      <c r="J43">
        <v>1887</v>
      </c>
      <c r="K43">
        <v>469146</v>
      </c>
      <c r="L43">
        <v>89708</v>
      </c>
      <c r="M43">
        <v>-170565</v>
      </c>
      <c r="N43">
        <v>68852</v>
      </c>
      <c r="O43" t="s">
        <v>61</v>
      </c>
      <c r="P43" s="9">
        <v>308131</v>
      </c>
      <c r="Q43" s="9">
        <v>46125</v>
      </c>
      <c r="R43" s="9">
        <v>354256</v>
      </c>
      <c r="S43" s="9">
        <v>-116050</v>
      </c>
      <c r="T43" s="10">
        <v>106154</v>
      </c>
      <c r="U43" s="10">
        <v>3137</v>
      </c>
    </row>
    <row r="44" spans="1:21" x14ac:dyDescent="0.35">
      <c r="A44" t="s">
        <v>15</v>
      </c>
      <c r="B44" t="s">
        <v>20</v>
      </c>
      <c r="C44" t="s">
        <v>21</v>
      </c>
      <c r="D44">
        <v>215033</v>
      </c>
      <c r="E44">
        <v>11291</v>
      </c>
      <c r="F44">
        <v>51637</v>
      </c>
      <c r="G44">
        <v>-208674</v>
      </c>
      <c r="H44">
        <v>69287</v>
      </c>
      <c r="I44">
        <v>65759</v>
      </c>
      <c r="J44">
        <v>1068</v>
      </c>
      <c r="K44">
        <v>809767</v>
      </c>
      <c r="L44">
        <v>229797</v>
      </c>
      <c r="M44">
        <v>-200494</v>
      </c>
      <c r="N44">
        <v>140812</v>
      </c>
      <c r="O44" t="s">
        <v>62</v>
      </c>
      <c r="P44" s="9">
        <v>171454</v>
      </c>
      <c r="Q44" s="9">
        <v>37719</v>
      </c>
      <c r="R44" s="9">
        <v>209173</v>
      </c>
      <c r="S44" s="9">
        <v>-97135</v>
      </c>
      <c r="T44" s="10">
        <v>70154</v>
      </c>
      <c r="U44" s="10">
        <v>1224</v>
      </c>
    </row>
    <row r="45" spans="1:21" x14ac:dyDescent="0.35">
      <c r="A45" t="s">
        <v>15</v>
      </c>
      <c r="B45" t="s">
        <v>16</v>
      </c>
      <c r="C45" t="s">
        <v>21</v>
      </c>
      <c r="D45">
        <v>262123</v>
      </c>
      <c r="E45">
        <v>40125</v>
      </c>
      <c r="F45">
        <v>30392</v>
      </c>
      <c r="G45">
        <v>-244342</v>
      </c>
      <c r="H45">
        <v>88298</v>
      </c>
      <c r="I45">
        <v>84069</v>
      </c>
      <c r="J45">
        <v>1873</v>
      </c>
      <c r="K45">
        <v>570554</v>
      </c>
      <c r="L45">
        <v>118459</v>
      </c>
      <c r="M45">
        <v>-90378</v>
      </c>
      <c r="N45">
        <v>233562</v>
      </c>
      <c r="O45" t="s">
        <v>63</v>
      </c>
      <c r="P45" s="9">
        <v>221993</v>
      </c>
      <c r="Q45" s="9">
        <v>14892</v>
      </c>
      <c r="R45" s="9">
        <v>236885</v>
      </c>
      <c r="S45" s="9">
        <v>-69510</v>
      </c>
      <c r="T45" s="10">
        <v>46072</v>
      </c>
      <c r="U45" s="10">
        <v>474</v>
      </c>
    </row>
    <row r="46" spans="1:21" x14ac:dyDescent="0.35">
      <c r="A46" t="s">
        <v>15</v>
      </c>
      <c r="B46" t="s">
        <v>16</v>
      </c>
      <c r="C46" t="s">
        <v>17</v>
      </c>
      <c r="D46">
        <v>198442</v>
      </c>
      <c r="E46">
        <v>37152</v>
      </c>
      <c r="F46">
        <v>31062</v>
      </c>
      <c r="G46">
        <v>-184171</v>
      </c>
      <c r="H46">
        <v>82485</v>
      </c>
      <c r="I46">
        <v>84361</v>
      </c>
      <c r="J46">
        <v>1199</v>
      </c>
      <c r="K46">
        <v>576624</v>
      </c>
      <c r="L46">
        <v>218539</v>
      </c>
      <c r="M46">
        <v>-104450</v>
      </c>
      <c r="N46">
        <v>124133</v>
      </c>
      <c r="O46" t="s">
        <v>64</v>
      </c>
      <c r="P46" s="9">
        <v>209422</v>
      </c>
      <c r="Q46" s="9">
        <v>26668</v>
      </c>
      <c r="R46" s="9">
        <v>236090</v>
      </c>
      <c r="S46" s="9">
        <v>-131900</v>
      </c>
      <c r="T46" s="10">
        <v>74759</v>
      </c>
      <c r="U46" s="10">
        <v>2063</v>
      </c>
    </row>
    <row r="47" spans="1:21" x14ac:dyDescent="0.35">
      <c r="A47" t="s">
        <v>15</v>
      </c>
      <c r="B47" t="s">
        <v>20</v>
      </c>
      <c r="C47" t="s">
        <v>17</v>
      </c>
      <c r="D47">
        <v>198372</v>
      </c>
      <c r="E47">
        <v>25374</v>
      </c>
      <c r="F47">
        <v>42527</v>
      </c>
      <c r="G47">
        <v>-165613</v>
      </c>
      <c r="H47">
        <v>100660</v>
      </c>
      <c r="I47">
        <v>93502</v>
      </c>
      <c r="J47">
        <v>1504</v>
      </c>
      <c r="K47">
        <v>424736</v>
      </c>
      <c r="L47">
        <v>91388</v>
      </c>
      <c r="M47">
        <v>-81680</v>
      </c>
      <c r="N47">
        <v>177727</v>
      </c>
      <c r="O47" t="s">
        <v>65</v>
      </c>
      <c r="P47" s="9">
        <v>254861</v>
      </c>
      <c r="Q47" s="9">
        <v>32504</v>
      </c>
      <c r="R47" s="9">
        <v>287365</v>
      </c>
      <c r="S47" s="9">
        <v>-151760</v>
      </c>
      <c r="T47" s="10">
        <v>102685</v>
      </c>
      <c r="U47" s="10">
        <v>2333</v>
      </c>
    </row>
    <row r="48" spans="1:21" x14ac:dyDescent="0.35">
      <c r="A48" t="s">
        <v>15</v>
      </c>
      <c r="B48" t="s">
        <v>16</v>
      </c>
      <c r="C48" t="s">
        <v>17</v>
      </c>
      <c r="D48">
        <v>161857</v>
      </c>
      <c r="E48">
        <v>25750</v>
      </c>
      <c r="F48">
        <v>28489</v>
      </c>
      <c r="G48">
        <v>-158123</v>
      </c>
      <c r="H48">
        <v>57973</v>
      </c>
      <c r="I48">
        <v>57371</v>
      </c>
      <c r="J48">
        <v>758</v>
      </c>
      <c r="K48">
        <v>578612</v>
      </c>
      <c r="L48">
        <v>137856</v>
      </c>
      <c r="M48">
        <v>-217630</v>
      </c>
      <c r="N48">
        <v>141120</v>
      </c>
      <c r="O48" t="s">
        <v>66</v>
      </c>
      <c r="P48" s="9">
        <v>290573</v>
      </c>
      <c r="Q48" s="9">
        <v>59155</v>
      </c>
      <c r="R48" s="9">
        <v>349728</v>
      </c>
      <c r="S48" s="9">
        <v>-157358</v>
      </c>
      <c r="T48" s="10">
        <v>155266</v>
      </c>
      <c r="U48" s="10">
        <v>2640</v>
      </c>
    </row>
    <row r="49" spans="1:21" x14ac:dyDescent="0.35">
      <c r="A49" t="s">
        <v>15</v>
      </c>
      <c r="B49" t="s">
        <v>20</v>
      </c>
      <c r="C49" t="s">
        <v>21</v>
      </c>
      <c r="D49">
        <v>212022</v>
      </c>
      <c r="E49">
        <v>36097</v>
      </c>
      <c r="F49">
        <v>49248</v>
      </c>
      <c r="G49">
        <v>-207116</v>
      </c>
      <c r="H49">
        <v>90251</v>
      </c>
      <c r="I49">
        <v>88572</v>
      </c>
      <c r="J49">
        <v>2422</v>
      </c>
      <c r="K49">
        <v>499576</v>
      </c>
      <c r="L49">
        <v>130088</v>
      </c>
      <c r="M49">
        <v>-126840</v>
      </c>
      <c r="N49">
        <v>94365</v>
      </c>
      <c r="O49" t="s">
        <v>67</v>
      </c>
      <c r="P49" s="9">
        <v>183402</v>
      </c>
      <c r="Q49" s="9">
        <v>23102</v>
      </c>
      <c r="R49" s="9">
        <v>206504</v>
      </c>
      <c r="S49" s="9">
        <v>-102362</v>
      </c>
      <c r="T49" s="10">
        <v>65126</v>
      </c>
      <c r="U49" s="10">
        <v>1892</v>
      </c>
    </row>
    <row r="50" spans="1:21" x14ac:dyDescent="0.35">
      <c r="A50" t="s">
        <v>15</v>
      </c>
      <c r="B50" t="s">
        <v>20</v>
      </c>
      <c r="C50" t="s">
        <v>17</v>
      </c>
      <c r="D50">
        <v>178676</v>
      </c>
      <c r="E50">
        <v>14038</v>
      </c>
      <c r="F50">
        <v>32714</v>
      </c>
      <c r="G50">
        <v>-176214</v>
      </c>
      <c r="H50">
        <v>49214</v>
      </c>
      <c r="I50">
        <v>46790</v>
      </c>
      <c r="J50">
        <v>807</v>
      </c>
      <c r="K50">
        <v>524465</v>
      </c>
      <c r="L50">
        <v>135994</v>
      </c>
      <c r="M50">
        <v>-53522</v>
      </c>
      <c r="N50">
        <v>113371</v>
      </c>
      <c r="O50" t="s">
        <v>68</v>
      </c>
      <c r="P50" s="9">
        <v>203472</v>
      </c>
      <c r="Q50" s="9">
        <v>18850</v>
      </c>
      <c r="R50" s="9">
        <v>222322</v>
      </c>
      <c r="S50" s="9">
        <v>-83257</v>
      </c>
      <c r="T50" s="10">
        <v>46950</v>
      </c>
      <c r="U50" s="10">
        <v>1385</v>
      </c>
    </row>
    <row r="51" spans="1:21" x14ac:dyDescent="0.35">
      <c r="A51" t="s">
        <v>15</v>
      </c>
      <c r="B51" t="s">
        <v>16</v>
      </c>
      <c r="C51" t="s">
        <v>21</v>
      </c>
      <c r="D51">
        <v>222858</v>
      </c>
      <c r="E51">
        <v>36072</v>
      </c>
      <c r="F51">
        <v>47574</v>
      </c>
      <c r="G51">
        <v>-178963</v>
      </c>
      <c r="H51">
        <v>127541</v>
      </c>
      <c r="I51">
        <v>116017</v>
      </c>
      <c r="J51">
        <v>3006</v>
      </c>
      <c r="K51">
        <v>784007</v>
      </c>
      <c r="L51">
        <v>179488</v>
      </c>
      <c r="M51">
        <v>-154391</v>
      </c>
      <c r="N51">
        <v>84096</v>
      </c>
      <c r="O51" t="s">
        <v>69</v>
      </c>
      <c r="P51" s="9">
        <v>167477</v>
      </c>
      <c r="Q51" s="9">
        <v>33411</v>
      </c>
      <c r="R51" s="9">
        <v>200888</v>
      </c>
      <c r="S51" s="9">
        <v>-43705</v>
      </c>
      <c r="T51" s="10">
        <v>82788</v>
      </c>
      <c r="U51" s="10">
        <v>2452</v>
      </c>
    </row>
    <row r="52" spans="1:21" x14ac:dyDescent="0.35">
      <c r="A52" t="s">
        <v>15</v>
      </c>
      <c r="B52" t="s">
        <v>20</v>
      </c>
      <c r="C52" t="s">
        <v>21</v>
      </c>
      <c r="D52">
        <v>216294</v>
      </c>
      <c r="E52">
        <v>37951</v>
      </c>
      <c r="F52">
        <v>46101</v>
      </c>
      <c r="G52">
        <v>-174883</v>
      </c>
      <c r="H52">
        <v>125463</v>
      </c>
      <c r="I52">
        <v>114717</v>
      </c>
      <c r="J52">
        <v>1816</v>
      </c>
      <c r="K52">
        <v>492097</v>
      </c>
      <c r="L52">
        <v>81410</v>
      </c>
      <c r="M52">
        <v>-194422</v>
      </c>
      <c r="N52">
        <v>76514</v>
      </c>
      <c r="O52" t="s">
        <v>70</v>
      </c>
      <c r="P52" s="9">
        <v>148320</v>
      </c>
      <c r="Q52" s="9">
        <v>23455</v>
      </c>
      <c r="R52" s="9">
        <v>171775</v>
      </c>
      <c r="S52" s="9">
        <v>-40873</v>
      </c>
      <c r="T52" s="10">
        <v>76673</v>
      </c>
      <c r="U52" s="10">
        <v>1945</v>
      </c>
    </row>
    <row r="53" spans="1:21" x14ac:dyDescent="0.35">
      <c r="A53" t="s">
        <v>15</v>
      </c>
      <c r="B53" t="s">
        <v>20</v>
      </c>
      <c r="C53" t="s">
        <v>21</v>
      </c>
      <c r="D53">
        <v>245147</v>
      </c>
      <c r="E53">
        <v>30795</v>
      </c>
      <c r="F53">
        <v>41336</v>
      </c>
      <c r="G53">
        <v>-211539</v>
      </c>
      <c r="H53">
        <v>105739</v>
      </c>
      <c r="I53">
        <v>105482</v>
      </c>
      <c r="J53">
        <v>2830</v>
      </c>
      <c r="K53">
        <v>967522</v>
      </c>
      <c r="L53">
        <v>321320</v>
      </c>
      <c r="M53">
        <v>-107348</v>
      </c>
      <c r="N53">
        <v>152723</v>
      </c>
      <c r="O53" t="s">
        <v>71</v>
      </c>
      <c r="P53" s="9">
        <v>261138</v>
      </c>
      <c r="Q53" s="9">
        <v>24096</v>
      </c>
      <c r="R53" s="9">
        <v>285234</v>
      </c>
      <c r="S53" s="9">
        <v>-66674</v>
      </c>
      <c r="T53" s="10">
        <v>92052</v>
      </c>
      <c r="U53" s="10">
        <v>1094</v>
      </c>
    </row>
    <row r="54" spans="1:21" x14ac:dyDescent="0.35">
      <c r="A54" t="s">
        <v>15</v>
      </c>
      <c r="B54" t="s">
        <v>20</v>
      </c>
      <c r="C54" t="s">
        <v>21</v>
      </c>
      <c r="D54">
        <v>280531</v>
      </c>
      <c r="E54">
        <v>43417</v>
      </c>
      <c r="F54">
        <v>69543</v>
      </c>
      <c r="G54">
        <v>-277877</v>
      </c>
      <c r="H54">
        <v>115614</v>
      </c>
      <c r="I54">
        <v>115400</v>
      </c>
      <c r="J54">
        <v>1763</v>
      </c>
      <c r="K54">
        <v>716448</v>
      </c>
      <c r="L54">
        <v>199677</v>
      </c>
      <c r="M54">
        <v>-93476</v>
      </c>
      <c r="N54">
        <v>95532</v>
      </c>
      <c r="O54" t="s">
        <v>72</v>
      </c>
      <c r="P54" s="9">
        <v>264990</v>
      </c>
      <c r="Q54" s="9">
        <v>39451</v>
      </c>
      <c r="R54" s="9">
        <v>304441</v>
      </c>
      <c r="S54" s="9">
        <v>-165946</v>
      </c>
      <c r="T54" s="10">
        <v>110958</v>
      </c>
      <c r="U54" s="10">
        <v>3207</v>
      </c>
    </row>
    <row r="55" spans="1:21" x14ac:dyDescent="0.35">
      <c r="A55" t="s">
        <v>15</v>
      </c>
      <c r="B55" t="s">
        <v>16</v>
      </c>
      <c r="C55" t="s">
        <v>17</v>
      </c>
      <c r="D55">
        <v>270742</v>
      </c>
      <c r="E55">
        <v>47304</v>
      </c>
      <c r="F55">
        <v>59370</v>
      </c>
      <c r="G55">
        <v>-230302</v>
      </c>
      <c r="H55">
        <v>147114</v>
      </c>
      <c r="I55">
        <v>147216</v>
      </c>
      <c r="J55">
        <v>3121</v>
      </c>
      <c r="K55">
        <v>1041733</v>
      </c>
      <c r="L55">
        <v>472684</v>
      </c>
      <c r="M55">
        <v>-130967</v>
      </c>
      <c r="N55">
        <v>140843</v>
      </c>
      <c r="O55" t="s">
        <v>73</v>
      </c>
      <c r="P55" s="9">
        <v>206183</v>
      </c>
      <c r="Q55" s="9">
        <v>20347</v>
      </c>
      <c r="R55" s="9">
        <v>226530</v>
      </c>
      <c r="S55" s="9">
        <v>-91488</v>
      </c>
      <c r="T55" s="10">
        <v>102048</v>
      </c>
      <c r="U55" s="10">
        <v>3026</v>
      </c>
    </row>
    <row r="56" spans="1:21" x14ac:dyDescent="0.35">
      <c r="A56" t="s">
        <v>15</v>
      </c>
      <c r="B56" t="s">
        <v>16</v>
      </c>
      <c r="C56" t="s">
        <v>17</v>
      </c>
      <c r="D56">
        <v>229120</v>
      </c>
      <c r="E56">
        <v>17610</v>
      </c>
      <c r="F56">
        <v>49815</v>
      </c>
      <c r="G56">
        <v>-192400</v>
      </c>
      <c r="H56">
        <v>104145</v>
      </c>
      <c r="I56">
        <v>98506</v>
      </c>
      <c r="J56">
        <v>1367</v>
      </c>
      <c r="K56">
        <v>529581</v>
      </c>
      <c r="L56">
        <v>252959</v>
      </c>
      <c r="M56">
        <v>-146301</v>
      </c>
      <c r="N56">
        <v>136378</v>
      </c>
      <c r="O56" t="s">
        <v>74</v>
      </c>
      <c r="P56" s="9">
        <v>183943</v>
      </c>
      <c r="Q56" s="9">
        <v>11857</v>
      </c>
      <c r="R56" s="9">
        <v>195800</v>
      </c>
      <c r="S56" s="9">
        <v>-51230</v>
      </c>
      <c r="T56" s="10">
        <v>56817</v>
      </c>
      <c r="U56" s="10">
        <v>845</v>
      </c>
    </row>
    <row r="57" spans="1:21" x14ac:dyDescent="0.35">
      <c r="A57" t="s">
        <v>15</v>
      </c>
      <c r="B57" t="s">
        <v>20</v>
      </c>
      <c r="C57" t="s">
        <v>17</v>
      </c>
      <c r="D57">
        <v>251090</v>
      </c>
      <c r="E57">
        <v>42614</v>
      </c>
      <c r="F57">
        <v>31755</v>
      </c>
      <c r="G57">
        <v>-233304</v>
      </c>
      <c r="H57">
        <v>92155</v>
      </c>
      <c r="I57">
        <v>96632</v>
      </c>
      <c r="J57">
        <v>1786</v>
      </c>
      <c r="K57">
        <v>957905</v>
      </c>
      <c r="L57">
        <v>314323</v>
      </c>
      <c r="M57">
        <v>-362563</v>
      </c>
      <c r="N57">
        <v>180430</v>
      </c>
      <c r="O57" t="s">
        <v>75</v>
      </c>
      <c r="P57" s="9">
        <v>172624</v>
      </c>
      <c r="Q57" s="9">
        <v>24513</v>
      </c>
      <c r="R57" s="9">
        <v>197137</v>
      </c>
      <c r="S57" s="9">
        <v>-59129</v>
      </c>
      <c r="T57" s="10">
        <v>52541</v>
      </c>
      <c r="U57" s="10">
        <v>690</v>
      </c>
    </row>
    <row r="58" spans="1:21" x14ac:dyDescent="0.35">
      <c r="A58" t="s">
        <v>15</v>
      </c>
      <c r="B58" t="s">
        <v>20</v>
      </c>
      <c r="C58" t="s">
        <v>21</v>
      </c>
      <c r="D58">
        <v>174087</v>
      </c>
      <c r="E58">
        <v>14776</v>
      </c>
      <c r="F58">
        <v>33564</v>
      </c>
      <c r="G58">
        <v>-156150</v>
      </c>
      <c r="H58">
        <v>66277</v>
      </c>
      <c r="I58">
        <v>59715</v>
      </c>
      <c r="J58">
        <v>1345</v>
      </c>
      <c r="K58">
        <v>449624</v>
      </c>
      <c r="L58">
        <v>58094</v>
      </c>
      <c r="M58">
        <v>-170025</v>
      </c>
      <c r="N58">
        <v>80127</v>
      </c>
      <c r="O58" t="s">
        <v>76</v>
      </c>
      <c r="P58" s="9">
        <v>136192</v>
      </c>
      <c r="Q58" s="9">
        <v>22637</v>
      </c>
      <c r="R58" s="9">
        <v>158829</v>
      </c>
      <c r="S58" s="9">
        <v>-69783</v>
      </c>
      <c r="T58" s="10">
        <v>74413</v>
      </c>
      <c r="U58" s="10">
        <v>1710</v>
      </c>
    </row>
    <row r="59" spans="1:21" x14ac:dyDescent="0.35">
      <c r="A59" t="s">
        <v>15</v>
      </c>
      <c r="B59" t="s">
        <v>20</v>
      </c>
      <c r="C59" t="s">
        <v>17</v>
      </c>
      <c r="D59">
        <v>204575</v>
      </c>
      <c r="E59">
        <v>18558</v>
      </c>
      <c r="F59">
        <v>46179</v>
      </c>
      <c r="G59">
        <v>-194331</v>
      </c>
      <c r="H59">
        <v>74981</v>
      </c>
      <c r="I59">
        <v>69359</v>
      </c>
      <c r="J59">
        <v>1481</v>
      </c>
      <c r="K59">
        <v>526253</v>
      </c>
      <c r="L59">
        <v>53585</v>
      </c>
      <c r="M59">
        <v>-120452</v>
      </c>
      <c r="N59">
        <v>164681</v>
      </c>
      <c r="O59" t="s">
        <v>77</v>
      </c>
      <c r="P59" s="9">
        <v>215755</v>
      </c>
      <c r="Q59" s="9">
        <v>36932</v>
      </c>
      <c r="R59" s="9">
        <v>252687</v>
      </c>
      <c r="S59" s="9">
        <v>-94968</v>
      </c>
      <c r="T59" s="10">
        <v>105317</v>
      </c>
      <c r="U59" s="10">
        <v>2900</v>
      </c>
    </row>
    <row r="60" spans="1:21" x14ac:dyDescent="0.35">
      <c r="A60" t="s">
        <v>15</v>
      </c>
      <c r="B60" t="s">
        <v>16</v>
      </c>
      <c r="C60" t="s">
        <v>17</v>
      </c>
      <c r="D60">
        <v>244739</v>
      </c>
      <c r="E60">
        <v>19386</v>
      </c>
      <c r="F60">
        <v>52569</v>
      </c>
      <c r="G60">
        <v>-205478</v>
      </c>
      <c r="H60">
        <v>111216</v>
      </c>
      <c r="I60">
        <v>102184</v>
      </c>
      <c r="J60">
        <v>2689</v>
      </c>
      <c r="K60">
        <v>742258</v>
      </c>
      <c r="L60">
        <v>355090</v>
      </c>
      <c r="M60">
        <v>-168317</v>
      </c>
      <c r="N60">
        <v>163064</v>
      </c>
      <c r="O60" t="s">
        <v>78</v>
      </c>
      <c r="P60" s="9">
        <v>184313</v>
      </c>
      <c r="Q60" s="9">
        <v>21143</v>
      </c>
      <c r="R60" s="9">
        <v>205456</v>
      </c>
      <c r="S60" s="9">
        <v>-55672</v>
      </c>
      <c r="T60" s="10">
        <v>79388</v>
      </c>
      <c r="U60" s="10">
        <v>1824</v>
      </c>
    </row>
    <row r="61" spans="1:21" x14ac:dyDescent="0.35">
      <c r="A61" t="s">
        <v>15</v>
      </c>
      <c r="B61" t="s">
        <v>20</v>
      </c>
      <c r="C61" t="s">
        <v>21</v>
      </c>
      <c r="D61">
        <v>283344</v>
      </c>
      <c r="E61">
        <v>21777</v>
      </c>
      <c r="F61">
        <v>64769</v>
      </c>
      <c r="G61">
        <v>-246567</v>
      </c>
      <c r="H61">
        <v>123323</v>
      </c>
      <c r="I61">
        <v>121132</v>
      </c>
      <c r="J61">
        <v>3211</v>
      </c>
      <c r="K61">
        <v>650693</v>
      </c>
      <c r="L61">
        <v>243280</v>
      </c>
      <c r="M61">
        <v>-128735</v>
      </c>
      <c r="N61">
        <v>89733</v>
      </c>
      <c r="O61" t="s">
        <v>79</v>
      </c>
      <c r="P61" s="9">
        <v>287558</v>
      </c>
      <c r="Q61" s="9">
        <v>34556</v>
      </c>
      <c r="R61" s="9">
        <v>322114</v>
      </c>
      <c r="S61" s="9">
        <v>-115579</v>
      </c>
      <c r="T61" s="10">
        <v>80557</v>
      </c>
      <c r="U61" s="10">
        <v>820</v>
      </c>
    </row>
    <row r="62" spans="1:21" x14ac:dyDescent="0.35">
      <c r="A62" t="s">
        <v>15</v>
      </c>
      <c r="B62" t="s">
        <v>16</v>
      </c>
      <c r="C62" t="s">
        <v>21</v>
      </c>
      <c r="D62">
        <v>174382</v>
      </c>
      <c r="E62">
        <v>14542</v>
      </c>
      <c r="F62">
        <v>30170</v>
      </c>
      <c r="G62">
        <v>-158965</v>
      </c>
      <c r="H62">
        <v>60129</v>
      </c>
      <c r="I62">
        <v>58063</v>
      </c>
      <c r="J62">
        <v>878</v>
      </c>
      <c r="K62">
        <v>650429</v>
      </c>
      <c r="L62">
        <v>226741</v>
      </c>
      <c r="M62">
        <v>-86373</v>
      </c>
      <c r="N62">
        <v>81367</v>
      </c>
      <c r="O62" t="s">
        <v>80</v>
      </c>
      <c r="P62" s="9">
        <v>188393</v>
      </c>
      <c r="Q62" s="9">
        <v>40305</v>
      </c>
      <c r="R62" s="9">
        <v>228698</v>
      </c>
      <c r="S62" s="9">
        <v>-100865</v>
      </c>
      <c r="T62" s="10">
        <v>80095</v>
      </c>
      <c r="U62" s="10">
        <v>2121</v>
      </c>
    </row>
    <row r="63" spans="1:21" x14ac:dyDescent="0.35">
      <c r="A63" t="s">
        <v>15</v>
      </c>
      <c r="B63" t="s">
        <v>16</v>
      </c>
      <c r="C63" t="s">
        <v>21</v>
      </c>
      <c r="D63">
        <v>258256</v>
      </c>
      <c r="E63">
        <v>41881</v>
      </c>
      <c r="F63">
        <v>33637</v>
      </c>
      <c r="G63">
        <v>-214852</v>
      </c>
      <c r="H63">
        <v>118922</v>
      </c>
      <c r="I63">
        <v>115793</v>
      </c>
      <c r="J63">
        <v>2947</v>
      </c>
      <c r="K63">
        <v>817495</v>
      </c>
      <c r="L63">
        <v>107110</v>
      </c>
      <c r="M63">
        <v>-260958</v>
      </c>
      <c r="N63">
        <v>192256</v>
      </c>
      <c r="O63" t="s">
        <v>81</v>
      </c>
      <c r="P63" s="9">
        <v>172463</v>
      </c>
      <c r="Q63" s="9">
        <v>32015</v>
      </c>
      <c r="R63" s="9">
        <v>204478</v>
      </c>
      <c r="S63" s="9">
        <v>-62675</v>
      </c>
      <c r="T63" s="10">
        <v>72729</v>
      </c>
      <c r="U63" s="10">
        <v>1916</v>
      </c>
    </row>
    <row r="64" spans="1:21" x14ac:dyDescent="0.35">
      <c r="A64" t="s">
        <v>15</v>
      </c>
      <c r="B64" t="s">
        <v>20</v>
      </c>
      <c r="C64" t="s">
        <v>21</v>
      </c>
      <c r="D64">
        <v>282905</v>
      </c>
      <c r="E64">
        <v>17902</v>
      </c>
      <c r="F64">
        <v>60109</v>
      </c>
      <c r="G64">
        <v>-257438</v>
      </c>
      <c r="H64">
        <v>103478</v>
      </c>
      <c r="I64">
        <v>95843</v>
      </c>
      <c r="J64">
        <v>1453</v>
      </c>
      <c r="K64">
        <v>936407</v>
      </c>
      <c r="L64">
        <v>283097</v>
      </c>
      <c r="M64">
        <v>-295276</v>
      </c>
      <c r="N64">
        <v>195053</v>
      </c>
      <c r="O64" t="s">
        <v>82</v>
      </c>
      <c r="P64" s="9">
        <v>159441</v>
      </c>
      <c r="Q64" s="9">
        <v>18072</v>
      </c>
      <c r="R64" s="9">
        <v>177513</v>
      </c>
      <c r="S64" s="9">
        <v>-52762</v>
      </c>
      <c r="T64" s="10">
        <v>66126</v>
      </c>
      <c r="U64" s="10">
        <v>709</v>
      </c>
    </row>
    <row r="65" spans="1:21" x14ac:dyDescent="0.35">
      <c r="A65" t="s">
        <v>15</v>
      </c>
      <c r="B65" t="s">
        <v>20</v>
      </c>
      <c r="C65" t="s">
        <v>21</v>
      </c>
      <c r="D65">
        <v>151097</v>
      </c>
      <c r="E65">
        <v>29604</v>
      </c>
      <c r="F65">
        <v>32974</v>
      </c>
      <c r="G65">
        <v>-141109</v>
      </c>
      <c r="H65">
        <v>72566</v>
      </c>
      <c r="I65">
        <v>66701</v>
      </c>
      <c r="J65">
        <v>818</v>
      </c>
      <c r="K65">
        <v>598023</v>
      </c>
      <c r="L65">
        <v>243678</v>
      </c>
      <c r="M65">
        <v>-95721</v>
      </c>
      <c r="N65">
        <v>114373</v>
      </c>
      <c r="O65" t="s">
        <v>83</v>
      </c>
      <c r="P65" s="9">
        <v>247950</v>
      </c>
      <c r="Q65" s="9">
        <v>25410</v>
      </c>
      <c r="R65" s="9">
        <v>273360</v>
      </c>
      <c r="S65" s="9">
        <v>-128872</v>
      </c>
      <c r="T65" s="10">
        <v>113958</v>
      </c>
      <c r="U65" s="10">
        <v>2023</v>
      </c>
    </row>
    <row r="66" spans="1:21" x14ac:dyDescent="0.35">
      <c r="A66" t="s">
        <v>15</v>
      </c>
      <c r="B66" t="s">
        <v>16</v>
      </c>
      <c r="C66" t="s">
        <v>21</v>
      </c>
      <c r="D66">
        <v>266620</v>
      </c>
      <c r="E66">
        <v>25364</v>
      </c>
      <c r="F66">
        <v>38212</v>
      </c>
      <c r="G66">
        <v>-217088</v>
      </c>
      <c r="H66">
        <v>113108</v>
      </c>
      <c r="I66">
        <v>109290</v>
      </c>
      <c r="J66">
        <v>2284</v>
      </c>
      <c r="K66">
        <v>758219</v>
      </c>
      <c r="L66">
        <v>100184</v>
      </c>
      <c r="M66">
        <v>-171307</v>
      </c>
      <c r="N66">
        <v>173811</v>
      </c>
      <c r="O66" t="s">
        <v>84</v>
      </c>
      <c r="P66" s="9">
        <v>308793</v>
      </c>
      <c r="Q66" s="9">
        <v>62483</v>
      </c>
      <c r="R66" s="9">
        <v>371276</v>
      </c>
      <c r="S66" s="9">
        <v>-181037</v>
      </c>
      <c r="T66" s="10">
        <v>142668</v>
      </c>
      <c r="U66" s="10">
        <v>1781</v>
      </c>
    </row>
    <row r="67" spans="1:21" x14ac:dyDescent="0.35">
      <c r="A67" t="s">
        <v>15</v>
      </c>
      <c r="B67" t="s">
        <v>16</v>
      </c>
      <c r="C67" t="s">
        <v>17</v>
      </c>
      <c r="D67">
        <v>222629</v>
      </c>
      <c r="E67">
        <v>37279</v>
      </c>
      <c r="F67">
        <v>29133</v>
      </c>
      <c r="G67">
        <v>-212028</v>
      </c>
      <c r="H67">
        <v>77013</v>
      </c>
      <c r="I67">
        <v>77877</v>
      </c>
      <c r="J67">
        <v>1180</v>
      </c>
      <c r="K67">
        <v>471669</v>
      </c>
      <c r="L67">
        <v>108255</v>
      </c>
      <c r="M67">
        <v>-158094</v>
      </c>
      <c r="N67">
        <v>80763</v>
      </c>
      <c r="O67" t="s">
        <v>85</v>
      </c>
      <c r="P67" s="9">
        <v>250313</v>
      </c>
      <c r="Q67" s="9">
        <v>38485</v>
      </c>
      <c r="R67" s="9">
        <v>288798</v>
      </c>
      <c r="S67" s="9">
        <v>-97993</v>
      </c>
      <c r="T67" s="10">
        <v>88045</v>
      </c>
      <c r="U67" s="10">
        <v>1196</v>
      </c>
    </row>
    <row r="68" spans="1:21" x14ac:dyDescent="0.35">
      <c r="A68" t="s">
        <v>15</v>
      </c>
      <c r="B68" t="s">
        <v>20</v>
      </c>
      <c r="C68" t="s">
        <v>17</v>
      </c>
      <c r="D68">
        <v>190853</v>
      </c>
      <c r="E68">
        <v>26746</v>
      </c>
      <c r="F68">
        <v>33486</v>
      </c>
      <c r="G68">
        <v>-182024</v>
      </c>
      <c r="H68">
        <v>69061</v>
      </c>
      <c r="I68">
        <v>65228</v>
      </c>
      <c r="J68">
        <v>1079</v>
      </c>
      <c r="K68">
        <v>461382</v>
      </c>
      <c r="L68">
        <v>200489</v>
      </c>
      <c r="M68">
        <v>-105028</v>
      </c>
      <c r="N68">
        <v>111998</v>
      </c>
      <c r="O68" t="s">
        <v>86</v>
      </c>
      <c r="P68" s="9">
        <v>306705</v>
      </c>
      <c r="Q68" s="9">
        <v>16195</v>
      </c>
      <c r="R68" s="9">
        <v>322900</v>
      </c>
      <c r="S68" s="9">
        <v>-117784</v>
      </c>
      <c r="T68" s="10">
        <v>79115</v>
      </c>
      <c r="U68" s="10">
        <v>1348</v>
      </c>
    </row>
    <row r="69" spans="1:21" x14ac:dyDescent="0.35">
      <c r="A69" t="s">
        <v>15</v>
      </c>
      <c r="B69" t="s">
        <v>16</v>
      </c>
      <c r="C69" t="s">
        <v>21</v>
      </c>
      <c r="D69">
        <v>161633</v>
      </c>
      <c r="E69">
        <v>8569</v>
      </c>
      <c r="F69">
        <v>17457</v>
      </c>
      <c r="G69">
        <v>-154596</v>
      </c>
      <c r="H69">
        <v>33063</v>
      </c>
      <c r="I69">
        <v>34254</v>
      </c>
      <c r="J69">
        <v>867</v>
      </c>
      <c r="K69">
        <v>452222</v>
      </c>
      <c r="L69">
        <v>94669</v>
      </c>
      <c r="M69">
        <v>-65773</v>
      </c>
      <c r="N69">
        <v>65260</v>
      </c>
      <c r="O69" t="s">
        <v>87</v>
      </c>
      <c r="P69" s="9">
        <v>300034</v>
      </c>
      <c r="Q69" s="9">
        <v>42303</v>
      </c>
      <c r="R69" s="9">
        <v>342337</v>
      </c>
      <c r="S69" s="9">
        <v>-81432</v>
      </c>
      <c r="T69" s="10">
        <v>130910</v>
      </c>
      <c r="U69" s="10">
        <v>3560</v>
      </c>
    </row>
    <row r="70" spans="1:21" x14ac:dyDescent="0.35">
      <c r="A70" t="s">
        <v>15</v>
      </c>
      <c r="B70" t="s">
        <v>16</v>
      </c>
      <c r="C70" t="s">
        <v>17</v>
      </c>
      <c r="D70">
        <v>229582</v>
      </c>
      <c r="E70">
        <v>21056</v>
      </c>
      <c r="F70">
        <v>36285</v>
      </c>
      <c r="G70">
        <v>-201047</v>
      </c>
      <c r="H70">
        <v>85876</v>
      </c>
      <c r="I70">
        <v>87472</v>
      </c>
      <c r="J70">
        <v>1504</v>
      </c>
      <c r="K70">
        <v>745845</v>
      </c>
      <c r="L70">
        <v>335576</v>
      </c>
      <c r="M70">
        <v>-131528</v>
      </c>
      <c r="N70">
        <v>140284</v>
      </c>
      <c r="O70" t="s">
        <v>88</v>
      </c>
      <c r="P70" s="9">
        <v>201857</v>
      </c>
      <c r="Q70" s="9">
        <v>26624</v>
      </c>
      <c r="R70" s="9">
        <v>228481</v>
      </c>
      <c r="S70" s="9">
        <v>-66815</v>
      </c>
      <c r="T70" s="10">
        <v>104347</v>
      </c>
      <c r="U70" s="10">
        <v>2179</v>
      </c>
    </row>
    <row r="71" spans="1:21" x14ac:dyDescent="0.35">
      <c r="A71" t="s">
        <v>15</v>
      </c>
      <c r="B71" t="s">
        <v>16</v>
      </c>
      <c r="C71" t="s">
        <v>17</v>
      </c>
      <c r="D71">
        <v>198083</v>
      </c>
      <c r="E71">
        <v>39058</v>
      </c>
      <c r="F71">
        <v>26113</v>
      </c>
      <c r="G71">
        <v>-167286</v>
      </c>
      <c r="H71">
        <v>95968</v>
      </c>
      <c r="I71">
        <v>99493</v>
      </c>
      <c r="J71">
        <v>2037</v>
      </c>
      <c r="K71">
        <v>518006</v>
      </c>
      <c r="L71">
        <v>147641</v>
      </c>
      <c r="M71">
        <v>-162831</v>
      </c>
      <c r="N71">
        <v>102296</v>
      </c>
      <c r="O71" t="s">
        <v>89</v>
      </c>
      <c r="P71" s="9">
        <v>291135</v>
      </c>
      <c r="Q71" s="9">
        <v>20630</v>
      </c>
      <c r="R71" s="9">
        <v>311765</v>
      </c>
      <c r="S71" s="9">
        <v>-179689</v>
      </c>
      <c r="T71" s="10">
        <v>80703</v>
      </c>
      <c r="U71" s="10">
        <v>1261</v>
      </c>
    </row>
    <row r="72" spans="1:21" x14ac:dyDescent="0.35">
      <c r="A72" t="s">
        <v>15</v>
      </c>
      <c r="B72" t="s">
        <v>16</v>
      </c>
      <c r="C72" t="s">
        <v>17</v>
      </c>
      <c r="D72">
        <v>291720</v>
      </c>
      <c r="E72">
        <v>24882</v>
      </c>
      <c r="F72">
        <v>43504</v>
      </c>
      <c r="G72">
        <v>-267754</v>
      </c>
      <c r="H72">
        <v>92352</v>
      </c>
      <c r="I72">
        <v>87216</v>
      </c>
      <c r="J72">
        <v>1066</v>
      </c>
      <c r="K72">
        <v>1085048</v>
      </c>
      <c r="L72">
        <v>260457</v>
      </c>
      <c r="M72">
        <v>-359524</v>
      </c>
      <c r="N72">
        <v>151426</v>
      </c>
      <c r="O72" t="s">
        <v>90</v>
      </c>
      <c r="P72" s="9">
        <v>270417</v>
      </c>
      <c r="Q72" s="9">
        <v>41877</v>
      </c>
      <c r="R72" s="9">
        <v>312294</v>
      </c>
      <c r="S72" s="9">
        <v>-151186</v>
      </c>
      <c r="T72" s="10">
        <v>110696</v>
      </c>
      <c r="U72" s="10">
        <v>1994</v>
      </c>
    </row>
    <row r="73" spans="1:21" x14ac:dyDescent="0.35">
      <c r="A73" t="s">
        <v>15</v>
      </c>
      <c r="B73" t="s">
        <v>16</v>
      </c>
      <c r="C73" t="s">
        <v>21</v>
      </c>
      <c r="D73">
        <v>162890</v>
      </c>
      <c r="E73">
        <v>14355</v>
      </c>
      <c r="F73">
        <v>39525</v>
      </c>
      <c r="G73">
        <v>-135121</v>
      </c>
      <c r="H73">
        <v>81649</v>
      </c>
      <c r="I73">
        <v>77812</v>
      </c>
      <c r="J73">
        <v>839</v>
      </c>
      <c r="K73">
        <v>602646</v>
      </c>
      <c r="L73">
        <v>147862</v>
      </c>
      <c r="M73">
        <v>-98832</v>
      </c>
      <c r="N73">
        <v>126985</v>
      </c>
      <c r="O73" t="s">
        <v>91</v>
      </c>
      <c r="P73" s="9">
        <v>280617</v>
      </c>
      <c r="Q73" s="9">
        <v>17753</v>
      </c>
      <c r="R73" s="9">
        <v>298370</v>
      </c>
      <c r="S73" s="9">
        <v>-64820</v>
      </c>
      <c r="T73" s="10">
        <v>94964</v>
      </c>
      <c r="U73" s="10">
        <v>2114</v>
      </c>
    </row>
    <row r="74" spans="1:21" x14ac:dyDescent="0.35">
      <c r="A74" t="s">
        <v>15</v>
      </c>
      <c r="B74" t="s">
        <v>20</v>
      </c>
      <c r="C74" t="s">
        <v>21</v>
      </c>
      <c r="D74">
        <v>214807</v>
      </c>
      <c r="E74">
        <v>21447</v>
      </c>
      <c r="F74">
        <v>46441</v>
      </c>
      <c r="G74">
        <v>-184251</v>
      </c>
      <c r="H74">
        <v>98444</v>
      </c>
      <c r="I74">
        <v>98868</v>
      </c>
      <c r="J74">
        <v>1929</v>
      </c>
      <c r="K74">
        <v>796615</v>
      </c>
      <c r="L74">
        <v>115718</v>
      </c>
      <c r="M74">
        <v>-273958</v>
      </c>
      <c r="N74">
        <v>121407</v>
      </c>
      <c r="O74" t="s">
        <v>92</v>
      </c>
      <c r="P74" s="9">
        <v>187962</v>
      </c>
      <c r="Q74" s="9">
        <v>22913</v>
      </c>
      <c r="R74" s="9">
        <v>210875</v>
      </c>
      <c r="S74" s="9">
        <v>-110072</v>
      </c>
      <c r="T74" s="10">
        <v>95415</v>
      </c>
      <c r="U74" s="10">
        <v>1937</v>
      </c>
    </row>
    <row r="75" spans="1:21" x14ac:dyDescent="0.35">
      <c r="A75" t="s">
        <v>15</v>
      </c>
      <c r="B75" t="s">
        <v>16</v>
      </c>
      <c r="C75" t="s">
        <v>17</v>
      </c>
      <c r="D75">
        <v>168980</v>
      </c>
      <c r="E75">
        <v>28644</v>
      </c>
      <c r="F75">
        <v>22263</v>
      </c>
      <c r="G75">
        <v>-152183</v>
      </c>
      <c r="H75">
        <v>67704</v>
      </c>
      <c r="I75">
        <v>66802</v>
      </c>
      <c r="J75">
        <v>788</v>
      </c>
      <c r="K75">
        <v>612996</v>
      </c>
      <c r="L75">
        <v>293497</v>
      </c>
      <c r="M75">
        <v>-202247</v>
      </c>
      <c r="N75">
        <v>136001</v>
      </c>
      <c r="O75" t="s">
        <v>93</v>
      </c>
      <c r="P75" s="9">
        <v>235384</v>
      </c>
      <c r="Q75" s="9">
        <v>27756</v>
      </c>
      <c r="R75" s="9">
        <v>263140</v>
      </c>
      <c r="S75" s="9">
        <v>-109959</v>
      </c>
      <c r="T75" s="10">
        <v>91096</v>
      </c>
      <c r="U75" s="10">
        <v>2349</v>
      </c>
    </row>
    <row r="76" spans="1:21" x14ac:dyDescent="0.35">
      <c r="A76" t="s">
        <v>15</v>
      </c>
      <c r="B76" t="s">
        <v>16</v>
      </c>
      <c r="C76" t="s">
        <v>21</v>
      </c>
      <c r="D76">
        <v>194308</v>
      </c>
      <c r="E76">
        <v>20290</v>
      </c>
      <c r="F76">
        <v>31152</v>
      </c>
      <c r="G76">
        <v>-157211</v>
      </c>
      <c r="H76">
        <v>88539</v>
      </c>
      <c r="I76">
        <v>87018</v>
      </c>
      <c r="J76">
        <v>1327</v>
      </c>
      <c r="K76">
        <v>516726</v>
      </c>
      <c r="L76">
        <v>101198</v>
      </c>
      <c r="M76">
        <v>-61074</v>
      </c>
      <c r="N76">
        <v>59271</v>
      </c>
      <c r="O76" t="s">
        <v>94</v>
      </c>
      <c r="P76" s="9">
        <v>239713</v>
      </c>
      <c r="Q76" s="9">
        <v>38212</v>
      </c>
      <c r="R76" s="9">
        <v>277925</v>
      </c>
      <c r="S76" s="9">
        <v>-111494</v>
      </c>
      <c r="T76" s="10">
        <v>88205</v>
      </c>
      <c r="U76" s="10">
        <v>1064</v>
      </c>
    </row>
    <row r="77" spans="1:21" x14ac:dyDescent="0.35">
      <c r="A77" t="s">
        <v>15</v>
      </c>
      <c r="B77" t="s">
        <v>20</v>
      </c>
      <c r="C77" t="s">
        <v>21</v>
      </c>
      <c r="D77">
        <v>173332</v>
      </c>
      <c r="E77">
        <v>24721</v>
      </c>
      <c r="F77">
        <v>30564</v>
      </c>
      <c r="G77">
        <v>-172946</v>
      </c>
      <c r="H77">
        <v>55671</v>
      </c>
      <c r="I77">
        <v>50351</v>
      </c>
      <c r="J77">
        <v>768</v>
      </c>
      <c r="K77">
        <v>485933</v>
      </c>
      <c r="L77">
        <v>216904</v>
      </c>
      <c r="M77">
        <v>-150450</v>
      </c>
      <c r="N77">
        <v>84287</v>
      </c>
      <c r="O77" t="s">
        <v>95</v>
      </c>
      <c r="P77" s="9">
        <v>185323</v>
      </c>
      <c r="Q77" s="9">
        <v>16263</v>
      </c>
      <c r="R77" s="9">
        <v>201586</v>
      </c>
      <c r="S77" s="9">
        <v>-92031</v>
      </c>
      <c r="T77" s="10">
        <v>42750</v>
      </c>
      <c r="U77" s="10">
        <v>1009</v>
      </c>
    </row>
    <row r="78" spans="1:21" x14ac:dyDescent="0.35">
      <c r="A78" t="s">
        <v>15</v>
      </c>
      <c r="B78" t="s">
        <v>20</v>
      </c>
      <c r="C78" t="s">
        <v>21</v>
      </c>
      <c r="D78">
        <v>155707</v>
      </c>
      <c r="E78">
        <v>25282</v>
      </c>
      <c r="F78">
        <v>25638</v>
      </c>
      <c r="G78">
        <v>-148281</v>
      </c>
      <c r="H78">
        <v>58346</v>
      </c>
      <c r="I78">
        <v>54630</v>
      </c>
      <c r="J78">
        <v>589</v>
      </c>
      <c r="K78">
        <v>432407</v>
      </c>
      <c r="L78">
        <v>117486</v>
      </c>
      <c r="M78">
        <v>-103799</v>
      </c>
      <c r="N78">
        <v>47015</v>
      </c>
      <c r="O78" t="s">
        <v>96</v>
      </c>
      <c r="P78" s="9">
        <v>201618</v>
      </c>
      <c r="Q78" s="9">
        <v>34705</v>
      </c>
      <c r="R78" s="9">
        <v>236323</v>
      </c>
      <c r="S78" s="9">
        <v>-87882</v>
      </c>
      <c r="T78" s="10">
        <v>90343</v>
      </c>
      <c r="U78" s="10">
        <v>2045</v>
      </c>
    </row>
    <row r="79" spans="1:21" x14ac:dyDescent="0.35">
      <c r="A79" t="s">
        <v>15</v>
      </c>
      <c r="B79" t="s">
        <v>16</v>
      </c>
      <c r="C79" t="s">
        <v>21</v>
      </c>
      <c r="D79">
        <v>288865</v>
      </c>
      <c r="E79">
        <v>27712</v>
      </c>
      <c r="F79">
        <v>38664</v>
      </c>
      <c r="G79">
        <v>-252027</v>
      </c>
      <c r="H79">
        <v>103214</v>
      </c>
      <c r="I79">
        <v>99227</v>
      </c>
      <c r="J79">
        <v>2269</v>
      </c>
      <c r="K79">
        <v>696014</v>
      </c>
      <c r="L79">
        <v>300051</v>
      </c>
      <c r="M79">
        <v>-72213</v>
      </c>
      <c r="N79">
        <v>202028</v>
      </c>
      <c r="O79" t="s">
        <v>97</v>
      </c>
      <c r="P79" s="9">
        <v>239373</v>
      </c>
      <c r="Q79" s="9">
        <v>22652</v>
      </c>
      <c r="R79" s="9">
        <v>262025</v>
      </c>
      <c r="S79" s="9">
        <v>-69967</v>
      </c>
      <c r="T79" s="10">
        <v>84864</v>
      </c>
      <c r="U79" s="10">
        <v>2334</v>
      </c>
    </row>
    <row r="80" spans="1:21" x14ac:dyDescent="0.35">
      <c r="A80" t="s">
        <v>15</v>
      </c>
      <c r="B80" t="s">
        <v>16</v>
      </c>
      <c r="C80" t="s">
        <v>21</v>
      </c>
      <c r="D80">
        <v>259132</v>
      </c>
      <c r="E80">
        <v>39570</v>
      </c>
      <c r="F80">
        <v>48752</v>
      </c>
      <c r="G80">
        <v>-248127</v>
      </c>
      <c r="H80">
        <v>99327</v>
      </c>
      <c r="I80">
        <v>91390</v>
      </c>
      <c r="J80">
        <v>1071</v>
      </c>
      <c r="K80">
        <v>955326</v>
      </c>
      <c r="L80">
        <v>244459</v>
      </c>
      <c r="M80">
        <v>-96356</v>
      </c>
      <c r="N80">
        <v>141227</v>
      </c>
      <c r="O80" t="s">
        <v>98</v>
      </c>
      <c r="P80" s="9">
        <v>237709</v>
      </c>
      <c r="Q80" s="9">
        <v>14822</v>
      </c>
      <c r="R80" s="9">
        <v>252531</v>
      </c>
      <c r="S80" s="9">
        <v>-145548</v>
      </c>
      <c r="T80" s="10">
        <v>73542</v>
      </c>
      <c r="U80" s="10">
        <v>1883</v>
      </c>
    </row>
    <row r="81" spans="1:21" x14ac:dyDescent="0.35">
      <c r="A81" t="s">
        <v>15</v>
      </c>
      <c r="B81" t="s">
        <v>16</v>
      </c>
      <c r="C81" t="s">
        <v>21</v>
      </c>
      <c r="D81">
        <v>222032</v>
      </c>
      <c r="E81">
        <v>32132</v>
      </c>
      <c r="F81">
        <v>46099</v>
      </c>
      <c r="G81">
        <v>-207018</v>
      </c>
      <c r="H81">
        <v>93245</v>
      </c>
      <c r="I81">
        <v>96893</v>
      </c>
      <c r="J81">
        <v>2534</v>
      </c>
      <c r="K81">
        <v>807849</v>
      </c>
      <c r="L81">
        <v>264202</v>
      </c>
      <c r="M81">
        <v>-180426</v>
      </c>
      <c r="N81">
        <v>75021</v>
      </c>
      <c r="O81" t="s">
        <v>99</v>
      </c>
      <c r="P81" s="9">
        <v>261920</v>
      </c>
      <c r="Q81" s="9">
        <v>30417</v>
      </c>
      <c r="R81" s="9">
        <v>292337</v>
      </c>
      <c r="S81" s="9">
        <v>-125766</v>
      </c>
      <c r="T81" s="10">
        <v>113421</v>
      </c>
      <c r="U81" s="10">
        <v>2883</v>
      </c>
    </row>
    <row r="82" spans="1:21" x14ac:dyDescent="0.35">
      <c r="A82" t="s">
        <v>15</v>
      </c>
      <c r="B82" t="s">
        <v>16</v>
      </c>
      <c r="C82" t="s">
        <v>21</v>
      </c>
      <c r="D82">
        <v>254865</v>
      </c>
      <c r="E82">
        <v>33712</v>
      </c>
      <c r="F82">
        <v>63352</v>
      </c>
      <c r="G82">
        <v>-225515</v>
      </c>
      <c r="H82">
        <v>126414</v>
      </c>
      <c r="I82">
        <v>128246</v>
      </c>
      <c r="J82">
        <v>1757</v>
      </c>
      <c r="K82">
        <v>843250</v>
      </c>
      <c r="L82">
        <v>315951</v>
      </c>
      <c r="M82">
        <v>-189715</v>
      </c>
      <c r="N82">
        <v>176702</v>
      </c>
      <c r="O82" t="s">
        <v>100</v>
      </c>
      <c r="P82" s="9">
        <v>185842</v>
      </c>
      <c r="Q82" s="9">
        <v>17389</v>
      </c>
      <c r="R82" s="9">
        <v>203231</v>
      </c>
      <c r="S82" s="9">
        <v>-62232</v>
      </c>
      <c r="T82" s="10">
        <v>66018</v>
      </c>
      <c r="U82" s="10">
        <v>1211</v>
      </c>
    </row>
    <row r="83" spans="1:21" x14ac:dyDescent="0.35">
      <c r="A83" t="s">
        <v>15</v>
      </c>
      <c r="B83" t="s">
        <v>16</v>
      </c>
      <c r="C83" t="s">
        <v>21</v>
      </c>
      <c r="D83">
        <v>189673</v>
      </c>
      <c r="E83">
        <v>10311</v>
      </c>
      <c r="F83">
        <v>21791</v>
      </c>
      <c r="G83">
        <v>-188913</v>
      </c>
      <c r="H83">
        <v>32862</v>
      </c>
      <c r="I83">
        <v>34263</v>
      </c>
      <c r="J83">
        <v>527</v>
      </c>
      <c r="K83">
        <v>711306</v>
      </c>
      <c r="L83">
        <v>328134</v>
      </c>
      <c r="M83">
        <v>-244186</v>
      </c>
      <c r="N83">
        <v>113380</v>
      </c>
      <c r="O83" t="s">
        <v>101</v>
      </c>
      <c r="P83" s="9">
        <v>226413</v>
      </c>
      <c r="Q83" s="9">
        <v>26774</v>
      </c>
      <c r="R83" s="9">
        <v>253187</v>
      </c>
      <c r="S83" s="9">
        <v>-151296</v>
      </c>
      <c r="T83" s="10">
        <v>71408</v>
      </c>
      <c r="U83" s="10">
        <v>1769</v>
      </c>
    </row>
    <row r="84" spans="1:21" x14ac:dyDescent="0.35">
      <c r="A84" t="s">
        <v>15</v>
      </c>
      <c r="B84" t="s">
        <v>20</v>
      </c>
      <c r="C84" t="s">
        <v>21</v>
      </c>
      <c r="D84">
        <v>221692</v>
      </c>
      <c r="E84">
        <v>27367</v>
      </c>
      <c r="F84">
        <v>22877</v>
      </c>
      <c r="G84">
        <v>-178661</v>
      </c>
      <c r="H84">
        <v>93275</v>
      </c>
      <c r="I84">
        <v>90664</v>
      </c>
      <c r="J84">
        <v>1472</v>
      </c>
      <c r="K84">
        <v>869796</v>
      </c>
      <c r="L84">
        <v>220321</v>
      </c>
      <c r="M84">
        <v>-247721</v>
      </c>
      <c r="N84">
        <v>151619</v>
      </c>
      <c r="O84" t="s">
        <v>102</v>
      </c>
      <c r="P84" s="9">
        <v>189260</v>
      </c>
      <c r="Q84" s="9">
        <v>30682</v>
      </c>
      <c r="R84" s="9">
        <v>219942</v>
      </c>
      <c r="S84" s="9">
        <v>-78997</v>
      </c>
      <c r="T84" s="10">
        <v>75024</v>
      </c>
      <c r="U84" s="10">
        <v>1243</v>
      </c>
    </row>
    <row r="85" spans="1:21" x14ac:dyDescent="0.35">
      <c r="A85" t="s">
        <v>15</v>
      </c>
      <c r="B85" t="s">
        <v>16</v>
      </c>
      <c r="C85" t="s">
        <v>21</v>
      </c>
      <c r="D85">
        <v>248412</v>
      </c>
      <c r="E85">
        <v>34604</v>
      </c>
      <c r="F85">
        <v>29930</v>
      </c>
      <c r="G85">
        <v>-211072</v>
      </c>
      <c r="H85">
        <v>101874</v>
      </c>
      <c r="I85">
        <v>93660</v>
      </c>
      <c r="J85">
        <v>2655</v>
      </c>
      <c r="K85">
        <v>661529</v>
      </c>
      <c r="L85">
        <v>235538</v>
      </c>
      <c r="M85">
        <v>-236022</v>
      </c>
      <c r="N85">
        <v>75228</v>
      </c>
      <c r="O85" t="s">
        <v>103</v>
      </c>
      <c r="P85" s="9">
        <v>227178</v>
      </c>
      <c r="Q85" s="9">
        <v>46058</v>
      </c>
      <c r="R85" s="9">
        <v>273236</v>
      </c>
      <c r="S85" s="9">
        <v>-121851</v>
      </c>
      <c r="T85" s="10">
        <v>84981</v>
      </c>
      <c r="U85" s="10">
        <v>2027</v>
      </c>
    </row>
    <row r="86" spans="1:21" x14ac:dyDescent="0.35">
      <c r="A86" t="s">
        <v>15</v>
      </c>
      <c r="B86" t="s">
        <v>16</v>
      </c>
      <c r="C86" t="s">
        <v>21</v>
      </c>
      <c r="D86">
        <v>150097</v>
      </c>
      <c r="E86">
        <v>20679</v>
      </c>
      <c r="F86">
        <v>33668</v>
      </c>
      <c r="G86">
        <v>-129769</v>
      </c>
      <c r="H86">
        <v>74675</v>
      </c>
      <c r="I86">
        <v>67559</v>
      </c>
      <c r="J86">
        <v>835</v>
      </c>
      <c r="K86">
        <v>571015</v>
      </c>
      <c r="L86">
        <v>180262</v>
      </c>
      <c r="M86">
        <v>-60253</v>
      </c>
      <c r="N86">
        <v>118923</v>
      </c>
      <c r="O86" t="s">
        <v>104</v>
      </c>
      <c r="P86" s="9">
        <v>263426</v>
      </c>
      <c r="Q86" s="9">
        <v>21707</v>
      </c>
      <c r="R86" s="9">
        <v>285133</v>
      </c>
      <c r="S86" s="9">
        <v>-137314</v>
      </c>
      <c r="T86" s="10">
        <v>93302</v>
      </c>
      <c r="U86" s="10">
        <v>1611</v>
      </c>
    </row>
    <row r="87" spans="1:21" x14ac:dyDescent="0.35">
      <c r="A87" t="s">
        <v>15</v>
      </c>
      <c r="B87" t="s">
        <v>16</v>
      </c>
      <c r="C87" t="s">
        <v>17</v>
      </c>
      <c r="D87">
        <v>229990</v>
      </c>
      <c r="E87">
        <v>39397</v>
      </c>
      <c r="F87">
        <v>39142</v>
      </c>
      <c r="G87">
        <v>-214963</v>
      </c>
      <c r="H87">
        <v>93566</v>
      </c>
      <c r="I87">
        <v>89086</v>
      </c>
      <c r="J87">
        <v>1603</v>
      </c>
      <c r="K87">
        <v>911066</v>
      </c>
      <c r="L87">
        <v>214706</v>
      </c>
      <c r="M87">
        <v>-276798</v>
      </c>
      <c r="N87">
        <v>168022</v>
      </c>
      <c r="O87" t="s">
        <v>105</v>
      </c>
      <c r="P87" s="9">
        <v>260216</v>
      </c>
      <c r="Q87" s="9">
        <v>34839</v>
      </c>
      <c r="R87" s="9">
        <v>295055</v>
      </c>
      <c r="S87" s="9">
        <v>-126065</v>
      </c>
      <c r="T87" s="10">
        <v>90125</v>
      </c>
      <c r="U87" s="10">
        <v>2132</v>
      </c>
    </row>
    <row r="88" spans="1:21" x14ac:dyDescent="0.35">
      <c r="A88" t="s">
        <v>15</v>
      </c>
      <c r="B88" t="s">
        <v>20</v>
      </c>
      <c r="C88" t="s">
        <v>21</v>
      </c>
      <c r="D88">
        <v>289903</v>
      </c>
      <c r="E88">
        <v>24023</v>
      </c>
      <c r="F88">
        <v>60535</v>
      </c>
      <c r="G88">
        <v>-263519</v>
      </c>
      <c r="H88">
        <v>110942</v>
      </c>
      <c r="I88">
        <v>108451</v>
      </c>
      <c r="J88">
        <v>2742</v>
      </c>
      <c r="K88">
        <v>675079</v>
      </c>
      <c r="L88">
        <v>199598</v>
      </c>
      <c r="M88">
        <v>-225768</v>
      </c>
      <c r="N88">
        <v>171442</v>
      </c>
      <c r="O88" t="s">
        <v>106</v>
      </c>
      <c r="P88" s="9">
        <v>193595</v>
      </c>
      <c r="Q88" s="9">
        <v>26878</v>
      </c>
      <c r="R88" s="9">
        <v>220473</v>
      </c>
      <c r="S88" s="9">
        <v>-70140</v>
      </c>
      <c r="T88" s="10">
        <v>72253</v>
      </c>
      <c r="U88" s="10">
        <v>1460</v>
      </c>
    </row>
    <row r="89" spans="1:21" x14ac:dyDescent="0.35">
      <c r="A89" t="s">
        <v>15</v>
      </c>
      <c r="B89" t="s">
        <v>16</v>
      </c>
      <c r="C89" t="s">
        <v>21</v>
      </c>
      <c r="D89">
        <v>204015</v>
      </c>
      <c r="E89">
        <v>19685</v>
      </c>
      <c r="F89">
        <v>28066</v>
      </c>
      <c r="G89">
        <v>-194925</v>
      </c>
      <c r="H89">
        <v>56841</v>
      </c>
      <c r="I89">
        <v>55377</v>
      </c>
      <c r="J89">
        <v>1026</v>
      </c>
      <c r="K89">
        <v>414921</v>
      </c>
      <c r="L89">
        <v>190819</v>
      </c>
      <c r="M89">
        <v>-123687</v>
      </c>
      <c r="N89">
        <v>147301</v>
      </c>
      <c r="O89" t="s">
        <v>107</v>
      </c>
      <c r="P89" s="9">
        <v>261990</v>
      </c>
      <c r="Q89" s="9">
        <v>42021</v>
      </c>
      <c r="R89" s="9">
        <v>304011</v>
      </c>
      <c r="S89" s="9">
        <v>-171047</v>
      </c>
      <c r="T89" s="10">
        <v>79899</v>
      </c>
      <c r="U89" s="10">
        <v>1383</v>
      </c>
    </row>
    <row r="90" spans="1:21" x14ac:dyDescent="0.35">
      <c r="A90" t="s">
        <v>15</v>
      </c>
      <c r="B90" t="s">
        <v>20</v>
      </c>
      <c r="C90" t="s">
        <v>21</v>
      </c>
      <c r="D90">
        <v>168974</v>
      </c>
      <c r="E90">
        <v>11370</v>
      </c>
      <c r="F90">
        <v>41278</v>
      </c>
      <c r="G90">
        <v>-135333</v>
      </c>
      <c r="H90">
        <v>86289</v>
      </c>
      <c r="I90">
        <v>88445</v>
      </c>
      <c r="J90">
        <v>1172</v>
      </c>
      <c r="K90">
        <v>622757</v>
      </c>
      <c r="L90">
        <v>138951</v>
      </c>
      <c r="M90">
        <v>-225064</v>
      </c>
      <c r="N90">
        <v>101537</v>
      </c>
      <c r="O90" t="s">
        <v>108</v>
      </c>
      <c r="P90" s="9">
        <v>145321</v>
      </c>
      <c r="Q90" s="9">
        <v>10780</v>
      </c>
      <c r="R90" s="9">
        <v>156101</v>
      </c>
      <c r="S90" s="9">
        <v>-85103</v>
      </c>
      <c r="T90" s="10">
        <v>61008</v>
      </c>
      <c r="U90" s="10">
        <v>1468</v>
      </c>
    </row>
    <row r="91" spans="1:21" x14ac:dyDescent="0.35">
      <c r="A91" t="s">
        <v>15</v>
      </c>
      <c r="B91" t="s">
        <v>16</v>
      </c>
      <c r="C91" t="s">
        <v>21</v>
      </c>
      <c r="D91">
        <v>210946</v>
      </c>
      <c r="E91">
        <v>35009</v>
      </c>
      <c r="F91">
        <v>36093</v>
      </c>
      <c r="G91">
        <v>-180677</v>
      </c>
      <c r="H91">
        <v>101371</v>
      </c>
      <c r="I91">
        <v>102286</v>
      </c>
      <c r="J91">
        <v>2180</v>
      </c>
      <c r="K91">
        <v>514578</v>
      </c>
      <c r="L91">
        <v>95703</v>
      </c>
      <c r="M91">
        <v>-94182</v>
      </c>
      <c r="N91">
        <v>82516</v>
      </c>
      <c r="O91" t="s">
        <v>109</v>
      </c>
      <c r="P91" s="9">
        <v>165641</v>
      </c>
      <c r="Q91" s="9">
        <v>36745</v>
      </c>
      <c r="R91" s="9">
        <v>202386</v>
      </c>
      <c r="S91" s="9">
        <v>-93408</v>
      </c>
      <c r="T91" s="10">
        <v>66888</v>
      </c>
      <c r="U91" s="10">
        <v>1254</v>
      </c>
    </row>
    <row r="92" spans="1:21" x14ac:dyDescent="0.35">
      <c r="A92" t="s">
        <v>15</v>
      </c>
      <c r="B92" t="s">
        <v>16</v>
      </c>
      <c r="C92" t="s">
        <v>21</v>
      </c>
      <c r="D92">
        <v>223457</v>
      </c>
      <c r="E92">
        <v>35301</v>
      </c>
      <c r="F92">
        <v>24442</v>
      </c>
      <c r="G92">
        <v>-196149</v>
      </c>
      <c r="H92">
        <v>87051</v>
      </c>
      <c r="I92">
        <v>79907</v>
      </c>
      <c r="J92">
        <v>1876</v>
      </c>
      <c r="K92">
        <v>655915</v>
      </c>
      <c r="L92">
        <v>223129</v>
      </c>
      <c r="M92">
        <v>-124212</v>
      </c>
      <c r="N92">
        <v>177584</v>
      </c>
      <c r="O92" t="s">
        <v>110</v>
      </c>
      <c r="P92" s="9">
        <v>278930</v>
      </c>
      <c r="Q92" s="9">
        <v>37412</v>
      </c>
      <c r="R92" s="9">
        <v>316342</v>
      </c>
      <c r="S92" s="9">
        <v>-106344</v>
      </c>
      <c r="T92" s="10">
        <v>100072</v>
      </c>
      <c r="U92" s="10">
        <v>1213</v>
      </c>
    </row>
    <row r="93" spans="1:21" x14ac:dyDescent="0.35">
      <c r="A93" t="s">
        <v>15</v>
      </c>
      <c r="B93" t="s">
        <v>20</v>
      </c>
      <c r="C93" t="s">
        <v>21</v>
      </c>
      <c r="D93">
        <v>176689</v>
      </c>
      <c r="E93">
        <v>22452</v>
      </c>
      <c r="F93">
        <v>40097</v>
      </c>
      <c r="G93">
        <v>-165912</v>
      </c>
      <c r="H93">
        <v>73326</v>
      </c>
      <c r="I93">
        <v>71062</v>
      </c>
      <c r="J93">
        <v>1718</v>
      </c>
      <c r="K93">
        <v>683434</v>
      </c>
      <c r="L93">
        <v>99337</v>
      </c>
      <c r="M93">
        <v>-242483</v>
      </c>
      <c r="N93">
        <v>133354</v>
      </c>
      <c r="O93" t="s">
        <v>111</v>
      </c>
      <c r="P93" s="9">
        <v>205494</v>
      </c>
      <c r="Q93" s="9">
        <v>21595</v>
      </c>
      <c r="R93" s="9">
        <v>227089</v>
      </c>
      <c r="S93" s="9">
        <v>-81896</v>
      </c>
      <c r="T93" s="10">
        <v>69150</v>
      </c>
      <c r="U93" s="10">
        <v>1572</v>
      </c>
    </row>
    <row r="94" spans="1:21" x14ac:dyDescent="0.35">
      <c r="A94" t="s">
        <v>15</v>
      </c>
      <c r="B94" t="s">
        <v>16</v>
      </c>
      <c r="C94" t="s">
        <v>17</v>
      </c>
      <c r="D94">
        <v>157448</v>
      </c>
      <c r="E94">
        <v>23430</v>
      </c>
      <c r="F94">
        <v>21336</v>
      </c>
      <c r="G94">
        <v>-140143</v>
      </c>
      <c r="H94">
        <v>62071</v>
      </c>
      <c r="I94">
        <v>63934</v>
      </c>
      <c r="J94">
        <v>1282</v>
      </c>
      <c r="K94">
        <v>334148</v>
      </c>
      <c r="L94">
        <v>113517</v>
      </c>
      <c r="M94">
        <v>-97354</v>
      </c>
      <c r="N94">
        <v>56092</v>
      </c>
      <c r="O94" t="s">
        <v>112</v>
      </c>
      <c r="P94" s="9">
        <v>292890</v>
      </c>
      <c r="Q94" s="9">
        <v>23603</v>
      </c>
      <c r="R94" s="9">
        <v>316493</v>
      </c>
      <c r="S94" s="9">
        <v>-131500</v>
      </c>
      <c r="T94" s="10">
        <v>66056</v>
      </c>
      <c r="U94" s="10">
        <v>1678</v>
      </c>
    </row>
    <row r="95" spans="1:21" x14ac:dyDescent="0.35">
      <c r="A95" t="s">
        <v>15</v>
      </c>
      <c r="B95" t="s">
        <v>20</v>
      </c>
      <c r="C95" t="s">
        <v>21</v>
      </c>
      <c r="D95">
        <v>261638</v>
      </c>
      <c r="E95">
        <v>20231</v>
      </c>
      <c r="F95">
        <v>36283</v>
      </c>
      <c r="G95">
        <v>-213542</v>
      </c>
      <c r="H95">
        <v>104610</v>
      </c>
      <c r="I95">
        <v>105365</v>
      </c>
      <c r="J95">
        <v>1355</v>
      </c>
      <c r="K95">
        <v>792965</v>
      </c>
      <c r="L95">
        <v>130280</v>
      </c>
      <c r="M95">
        <v>-212671</v>
      </c>
      <c r="N95">
        <v>84924</v>
      </c>
      <c r="O95" t="s">
        <v>113</v>
      </c>
      <c r="P95" s="9">
        <v>181308</v>
      </c>
      <c r="Q95" s="9">
        <v>31549</v>
      </c>
      <c r="R95" s="9">
        <v>212857</v>
      </c>
      <c r="S95" s="9">
        <v>-78186</v>
      </c>
      <c r="T95" s="10">
        <v>86806</v>
      </c>
      <c r="U95" s="10">
        <v>1911</v>
      </c>
    </row>
    <row r="96" spans="1:21" x14ac:dyDescent="0.35">
      <c r="A96" t="s">
        <v>15</v>
      </c>
      <c r="B96" t="s">
        <v>20</v>
      </c>
      <c r="C96" t="s">
        <v>17</v>
      </c>
      <c r="D96">
        <v>247299</v>
      </c>
      <c r="E96">
        <v>48420</v>
      </c>
      <c r="F96">
        <v>31422</v>
      </c>
      <c r="G96">
        <v>-218011</v>
      </c>
      <c r="H96">
        <v>109130</v>
      </c>
      <c r="I96">
        <v>100998</v>
      </c>
      <c r="J96">
        <v>2902</v>
      </c>
      <c r="K96">
        <v>873040</v>
      </c>
      <c r="L96">
        <v>148212</v>
      </c>
      <c r="M96">
        <v>-189077</v>
      </c>
      <c r="N96">
        <v>147548</v>
      </c>
      <c r="O96" t="s">
        <v>114</v>
      </c>
      <c r="P96" s="9">
        <v>245755</v>
      </c>
      <c r="Q96" s="9">
        <v>30040</v>
      </c>
      <c r="R96" s="9">
        <v>275795</v>
      </c>
      <c r="S96" s="9">
        <v>-73707</v>
      </c>
      <c r="T96" s="10">
        <v>87572</v>
      </c>
      <c r="U96" s="10">
        <v>1067</v>
      </c>
    </row>
    <row r="97" spans="1:21" x14ac:dyDescent="0.35">
      <c r="A97" t="s">
        <v>15</v>
      </c>
      <c r="B97" t="s">
        <v>16</v>
      </c>
      <c r="C97" t="s">
        <v>17</v>
      </c>
      <c r="D97">
        <v>177073</v>
      </c>
      <c r="E97">
        <v>31728</v>
      </c>
      <c r="F97">
        <v>31065</v>
      </c>
      <c r="G97">
        <v>-157854</v>
      </c>
      <c r="H97">
        <v>82012</v>
      </c>
      <c r="I97">
        <v>74935</v>
      </c>
      <c r="J97">
        <v>1768</v>
      </c>
      <c r="K97">
        <v>583894</v>
      </c>
      <c r="L97">
        <v>207579</v>
      </c>
      <c r="M97">
        <v>-115651</v>
      </c>
      <c r="N97">
        <v>61979</v>
      </c>
      <c r="O97" t="s">
        <v>115</v>
      </c>
      <c r="P97" s="9">
        <v>290213</v>
      </c>
      <c r="Q97" s="9">
        <v>26561</v>
      </c>
      <c r="R97" s="9">
        <v>316774</v>
      </c>
      <c r="S97" s="9">
        <v>-70552</v>
      </c>
      <c r="T97" s="10">
        <v>91840</v>
      </c>
      <c r="U97" s="10">
        <v>973</v>
      </c>
    </row>
    <row r="98" spans="1:21" x14ac:dyDescent="0.35">
      <c r="A98" t="s">
        <v>15</v>
      </c>
      <c r="B98" t="s">
        <v>16</v>
      </c>
      <c r="C98" t="s">
        <v>21</v>
      </c>
      <c r="D98">
        <v>171434</v>
      </c>
      <c r="E98">
        <v>9422</v>
      </c>
      <c r="F98">
        <v>37068</v>
      </c>
      <c r="G98">
        <v>-141936</v>
      </c>
      <c r="H98">
        <v>75988</v>
      </c>
      <c r="I98">
        <v>77080</v>
      </c>
      <c r="J98">
        <v>1957</v>
      </c>
      <c r="K98">
        <v>525039</v>
      </c>
      <c r="L98">
        <v>177935</v>
      </c>
      <c r="M98">
        <v>-185047</v>
      </c>
      <c r="N98">
        <v>153284</v>
      </c>
      <c r="O98" t="s">
        <v>116</v>
      </c>
      <c r="P98" s="9">
        <v>220439</v>
      </c>
      <c r="Q98" s="9">
        <v>27295</v>
      </c>
      <c r="R98" s="9">
        <v>247734</v>
      </c>
      <c r="S98" s="9">
        <v>-95396</v>
      </c>
      <c r="T98" s="10">
        <v>75790</v>
      </c>
      <c r="U98" s="10">
        <v>1767</v>
      </c>
    </row>
    <row r="99" spans="1:21" x14ac:dyDescent="0.35">
      <c r="A99" t="s">
        <v>15</v>
      </c>
      <c r="B99" t="s">
        <v>16</v>
      </c>
      <c r="C99" t="s">
        <v>21</v>
      </c>
      <c r="D99">
        <v>251388</v>
      </c>
      <c r="E99">
        <v>45834</v>
      </c>
      <c r="F99">
        <v>25853</v>
      </c>
      <c r="G99">
        <v>-247525</v>
      </c>
      <c r="H99">
        <v>75550</v>
      </c>
      <c r="I99">
        <v>72184</v>
      </c>
      <c r="J99">
        <v>917</v>
      </c>
      <c r="K99">
        <v>777395</v>
      </c>
      <c r="L99">
        <v>376768</v>
      </c>
      <c r="M99">
        <v>-223108</v>
      </c>
      <c r="N99">
        <v>201139</v>
      </c>
      <c r="O99" t="s">
        <v>117</v>
      </c>
      <c r="P99" s="9">
        <v>263436</v>
      </c>
      <c r="Q99" s="9">
        <v>15163</v>
      </c>
      <c r="R99" s="9">
        <v>278599</v>
      </c>
      <c r="S99" s="9">
        <v>-159931</v>
      </c>
      <c r="T99" s="10">
        <v>46141</v>
      </c>
      <c r="U99" s="10">
        <v>884</v>
      </c>
    </row>
    <row r="100" spans="1:21" x14ac:dyDescent="0.35">
      <c r="A100" t="s">
        <v>15</v>
      </c>
      <c r="B100" t="s">
        <v>20</v>
      </c>
      <c r="C100" t="s">
        <v>21</v>
      </c>
      <c r="D100">
        <v>250008</v>
      </c>
      <c r="E100">
        <v>40161</v>
      </c>
      <c r="F100">
        <v>40418</v>
      </c>
      <c r="G100">
        <v>-243822</v>
      </c>
      <c r="H100">
        <v>86765</v>
      </c>
      <c r="I100">
        <v>88551</v>
      </c>
      <c r="J100">
        <v>2397</v>
      </c>
      <c r="K100">
        <v>849023</v>
      </c>
      <c r="L100">
        <v>416293</v>
      </c>
      <c r="M100">
        <v>-202705</v>
      </c>
      <c r="N100">
        <v>96832</v>
      </c>
      <c r="O100" t="s">
        <v>118</v>
      </c>
      <c r="P100" s="9">
        <v>223842</v>
      </c>
      <c r="Q100" s="9">
        <v>46098</v>
      </c>
      <c r="R100" s="9">
        <v>269940</v>
      </c>
      <c r="S100" s="9">
        <v>-70623</v>
      </c>
      <c r="T100" s="10">
        <v>120885</v>
      </c>
      <c r="U100" s="10">
        <v>1707</v>
      </c>
    </row>
    <row r="101" spans="1:21" x14ac:dyDescent="0.35">
      <c r="A101" t="s">
        <v>15</v>
      </c>
      <c r="B101" t="s">
        <v>20</v>
      </c>
      <c r="C101" t="s">
        <v>21</v>
      </c>
      <c r="D101">
        <v>283220</v>
      </c>
      <c r="E101">
        <v>48436</v>
      </c>
      <c r="F101">
        <v>47253</v>
      </c>
      <c r="G101">
        <v>-245775</v>
      </c>
      <c r="H101">
        <v>133134</v>
      </c>
      <c r="I101">
        <v>122997</v>
      </c>
      <c r="J101">
        <v>2142</v>
      </c>
      <c r="K101">
        <v>1099778</v>
      </c>
      <c r="L101">
        <v>161400</v>
      </c>
      <c r="M101">
        <v>-306836</v>
      </c>
      <c r="N101">
        <v>244764</v>
      </c>
      <c r="O101" t="s">
        <v>119</v>
      </c>
      <c r="P101" s="9">
        <v>206670</v>
      </c>
      <c r="Q101" s="9">
        <v>13224</v>
      </c>
      <c r="R101" s="9">
        <v>219894</v>
      </c>
      <c r="S101" s="9">
        <v>-109793</v>
      </c>
      <c r="T101" s="10">
        <v>74340</v>
      </c>
      <c r="U101" s="10">
        <v>1487</v>
      </c>
    </row>
    <row r="102" spans="1:21" x14ac:dyDescent="0.35">
      <c r="A102" t="s">
        <v>15</v>
      </c>
      <c r="B102" t="s">
        <v>16</v>
      </c>
      <c r="C102" t="s">
        <v>21</v>
      </c>
      <c r="D102">
        <v>292076</v>
      </c>
      <c r="E102">
        <v>45576</v>
      </c>
      <c r="F102">
        <v>36026</v>
      </c>
      <c r="G102">
        <v>-249554</v>
      </c>
      <c r="H102">
        <v>124124</v>
      </c>
      <c r="I102">
        <v>120836</v>
      </c>
      <c r="J102">
        <v>3410</v>
      </c>
      <c r="K102">
        <v>690230</v>
      </c>
      <c r="L102">
        <v>115849</v>
      </c>
      <c r="M102">
        <v>-74381</v>
      </c>
      <c r="N102">
        <v>237095</v>
      </c>
      <c r="O102" t="s">
        <v>120</v>
      </c>
      <c r="P102" s="9">
        <v>232407</v>
      </c>
      <c r="Q102" s="9">
        <v>36361</v>
      </c>
      <c r="R102" s="9">
        <v>268768</v>
      </c>
      <c r="S102" s="9">
        <v>-120400</v>
      </c>
      <c r="T102" s="10">
        <v>91398</v>
      </c>
      <c r="U102" s="10">
        <v>1559</v>
      </c>
    </row>
    <row r="103" spans="1:21" x14ac:dyDescent="0.35">
      <c r="A103" t="s">
        <v>15</v>
      </c>
      <c r="B103" t="s">
        <v>16</v>
      </c>
      <c r="C103" t="s">
        <v>17</v>
      </c>
      <c r="D103">
        <v>262361</v>
      </c>
      <c r="E103">
        <v>49210</v>
      </c>
      <c r="F103">
        <v>44566</v>
      </c>
      <c r="G103">
        <v>-217738</v>
      </c>
      <c r="H103">
        <v>138399</v>
      </c>
      <c r="I103">
        <v>130717</v>
      </c>
      <c r="J103">
        <v>2228</v>
      </c>
      <c r="K103">
        <v>715198</v>
      </c>
      <c r="L103">
        <v>192343</v>
      </c>
      <c r="M103">
        <v>-157327</v>
      </c>
      <c r="N103">
        <v>106544</v>
      </c>
      <c r="O103" t="s">
        <v>121</v>
      </c>
      <c r="P103" s="9">
        <v>248209</v>
      </c>
      <c r="Q103" s="9">
        <v>48350</v>
      </c>
      <c r="R103" s="9">
        <v>296559</v>
      </c>
      <c r="S103" s="9">
        <v>-145918</v>
      </c>
      <c r="T103" s="10">
        <v>158961</v>
      </c>
      <c r="U103" s="10">
        <v>4337</v>
      </c>
    </row>
    <row r="104" spans="1:21" x14ac:dyDescent="0.35">
      <c r="A104" t="s">
        <v>15</v>
      </c>
      <c r="B104" t="s">
        <v>16</v>
      </c>
      <c r="C104" t="s">
        <v>21</v>
      </c>
      <c r="D104">
        <v>286184</v>
      </c>
      <c r="E104">
        <v>20151</v>
      </c>
      <c r="F104">
        <v>53243</v>
      </c>
      <c r="G104">
        <v>-254128</v>
      </c>
      <c r="H104">
        <v>105450</v>
      </c>
      <c r="I104">
        <v>106119</v>
      </c>
      <c r="J104">
        <v>1215</v>
      </c>
      <c r="K104">
        <v>727547</v>
      </c>
      <c r="L104">
        <v>229182</v>
      </c>
      <c r="M104">
        <v>-153041</v>
      </c>
      <c r="N104">
        <v>166952</v>
      </c>
      <c r="O104" t="s">
        <v>122</v>
      </c>
      <c r="P104" s="9">
        <v>223040</v>
      </c>
      <c r="Q104" s="9">
        <v>26582</v>
      </c>
      <c r="R104" s="9">
        <v>249622</v>
      </c>
      <c r="S104" s="9">
        <v>-82153</v>
      </c>
      <c r="T104" s="10">
        <v>70288</v>
      </c>
      <c r="U104" s="10">
        <v>1176</v>
      </c>
    </row>
    <row r="105" spans="1:21" x14ac:dyDescent="0.35">
      <c r="A105" t="s">
        <v>15</v>
      </c>
      <c r="B105" t="s">
        <v>20</v>
      </c>
      <c r="C105" t="s">
        <v>17</v>
      </c>
      <c r="D105">
        <v>202021</v>
      </c>
      <c r="E105">
        <v>33997</v>
      </c>
      <c r="F105">
        <v>41462</v>
      </c>
      <c r="G105">
        <v>-175370</v>
      </c>
      <c r="H105">
        <v>102110</v>
      </c>
      <c r="I105">
        <v>93088</v>
      </c>
      <c r="J105">
        <v>1379</v>
      </c>
      <c r="K105">
        <v>662081</v>
      </c>
      <c r="L105">
        <v>94015</v>
      </c>
      <c r="M105">
        <v>-225257</v>
      </c>
      <c r="N105">
        <v>108182</v>
      </c>
      <c r="O105" t="s">
        <v>123</v>
      </c>
      <c r="P105" s="9">
        <v>222400</v>
      </c>
      <c r="Q105" s="9">
        <v>31178</v>
      </c>
      <c r="R105" s="9">
        <v>253578</v>
      </c>
      <c r="S105" s="9">
        <v>-91921</v>
      </c>
      <c r="T105" s="10">
        <v>98878</v>
      </c>
      <c r="U105" s="10">
        <v>1736</v>
      </c>
    </row>
    <row r="106" spans="1:21" x14ac:dyDescent="0.35">
      <c r="A106" t="s">
        <v>15</v>
      </c>
      <c r="B106" t="s">
        <v>16</v>
      </c>
      <c r="C106" t="s">
        <v>17</v>
      </c>
      <c r="D106">
        <v>283495</v>
      </c>
      <c r="E106">
        <v>43409</v>
      </c>
      <c r="F106">
        <v>36146</v>
      </c>
      <c r="G106">
        <v>-231649</v>
      </c>
      <c r="H106">
        <v>131401</v>
      </c>
      <c r="I106">
        <v>125658</v>
      </c>
      <c r="J106">
        <v>3369</v>
      </c>
      <c r="K106">
        <v>1070288</v>
      </c>
      <c r="L106">
        <v>346430</v>
      </c>
      <c r="M106">
        <v>-124583</v>
      </c>
      <c r="N106">
        <v>157747</v>
      </c>
      <c r="O106" t="s">
        <v>124</v>
      </c>
      <c r="P106" s="9">
        <v>184163</v>
      </c>
      <c r="Q106" s="9">
        <v>40186</v>
      </c>
      <c r="R106" s="9">
        <v>224349</v>
      </c>
      <c r="S106" s="9">
        <v>-58324</v>
      </c>
      <c r="T106" s="10">
        <v>70004</v>
      </c>
      <c r="U106" s="10">
        <v>798</v>
      </c>
    </row>
    <row r="107" spans="1:21" x14ac:dyDescent="0.35">
      <c r="A107" t="s">
        <v>15</v>
      </c>
      <c r="B107" t="s">
        <v>16</v>
      </c>
      <c r="C107" t="s">
        <v>21</v>
      </c>
      <c r="D107">
        <v>232141</v>
      </c>
      <c r="E107">
        <v>21783</v>
      </c>
      <c r="F107">
        <v>27723</v>
      </c>
      <c r="G107">
        <v>-203661</v>
      </c>
      <c r="H107">
        <v>77986</v>
      </c>
      <c r="I107">
        <v>74609</v>
      </c>
      <c r="J107">
        <v>1244</v>
      </c>
      <c r="K107">
        <v>802081</v>
      </c>
      <c r="L107">
        <v>215453</v>
      </c>
      <c r="M107">
        <v>-192611</v>
      </c>
      <c r="N107">
        <v>118441</v>
      </c>
      <c r="O107" t="s">
        <v>125</v>
      </c>
      <c r="P107" s="9">
        <v>274110</v>
      </c>
      <c r="Q107" s="9">
        <v>39294</v>
      </c>
      <c r="R107" s="9">
        <v>313404</v>
      </c>
      <c r="S107" s="9">
        <v>-129776</v>
      </c>
      <c r="T107" s="10">
        <v>108355</v>
      </c>
      <c r="U107" s="10">
        <v>1289</v>
      </c>
    </row>
    <row r="108" spans="1:21" x14ac:dyDescent="0.35">
      <c r="A108" t="s">
        <v>15</v>
      </c>
      <c r="B108" t="s">
        <v>20</v>
      </c>
      <c r="C108" t="s">
        <v>21</v>
      </c>
      <c r="D108">
        <v>245008</v>
      </c>
      <c r="E108">
        <v>32123</v>
      </c>
      <c r="F108">
        <v>32810</v>
      </c>
      <c r="G108">
        <v>-224904</v>
      </c>
      <c r="H108">
        <v>85037</v>
      </c>
      <c r="I108">
        <v>83931</v>
      </c>
      <c r="J108">
        <v>1776</v>
      </c>
      <c r="K108">
        <v>611726</v>
      </c>
      <c r="L108">
        <v>190089</v>
      </c>
      <c r="M108">
        <v>-167903</v>
      </c>
      <c r="N108">
        <v>118918</v>
      </c>
      <c r="O108" t="s">
        <v>126</v>
      </c>
      <c r="P108" s="9">
        <v>213603</v>
      </c>
      <c r="Q108" s="9">
        <v>18342</v>
      </c>
      <c r="R108" s="9">
        <v>231945</v>
      </c>
      <c r="S108" s="9">
        <v>-123666</v>
      </c>
      <c r="T108" s="10">
        <v>59825</v>
      </c>
      <c r="U108" s="10">
        <v>870</v>
      </c>
    </row>
    <row r="109" spans="1:21" x14ac:dyDescent="0.35">
      <c r="A109" t="s">
        <v>15</v>
      </c>
      <c r="B109" t="s">
        <v>16</v>
      </c>
      <c r="C109" t="s">
        <v>21</v>
      </c>
      <c r="D109">
        <v>192685</v>
      </c>
      <c r="E109">
        <v>12492</v>
      </c>
      <c r="F109">
        <v>19558</v>
      </c>
      <c r="G109">
        <v>-185754</v>
      </c>
      <c r="H109">
        <v>38981</v>
      </c>
      <c r="I109">
        <v>38252</v>
      </c>
      <c r="J109">
        <v>1104</v>
      </c>
      <c r="K109">
        <v>593849</v>
      </c>
      <c r="L109">
        <v>90088</v>
      </c>
      <c r="M109">
        <v>-82269</v>
      </c>
      <c r="N109">
        <v>101946</v>
      </c>
      <c r="O109" t="s">
        <v>127</v>
      </c>
      <c r="P109" s="9">
        <v>161689</v>
      </c>
      <c r="Q109" s="9">
        <v>13767</v>
      </c>
      <c r="R109" s="9">
        <v>175456</v>
      </c>
      <c r="S109" s="9">
        <v>-103369</v>
      </c>
      <c r="T109" s="10">
        <v>57307</v>
      </c>
      <c r="U109" s="10">
        <v>967</v>
      </c>
    </row>
    <row r="110" spans="1:21" x14ac:dyDescent="0.35">
      <c r="A110" t="s">
        <v>15</v>
      </c>
      <c r="B110" t="s">
        <v>16</v>
      </c>
      <c r="C110" t="s">
        <v>21</v>
      </c>
      <c r="D110">
        <v>295007</v>
      </c>
      <c r="E110">
        <v>46002</v>
      </c>
      <c r="F110">
        <v>68042</v>
      </c>
      <c r="G110">
        <v>-272511</v>
      </c>
      <c r="H110">
        <v>136540</v>
      </c>
      <c r="I110">
        <v>134592</v>
      </c>
      <c r="J110">
        <v>2980</v>
      </c>
      <c r="K110">
        <v>700806</v>
      </c>
      <c r="L110">
        <v>124734</v>
      </c>
      <c r="M110">
        <v>-179051</v>
      </c>
      <c r="N110">
        <v>228762</v>
      </c>
      <c r="O110" t="s">
        <v>128</v>
      </c>
      <c r="P110" s="9">
        <v>311258</v>
      </c>
      <c r="Q110" s="9">
        <v>33257</v>
      </c>
      <c r="R110" s="9">
        <v>344515</v>
      </c>
      <c r="S110" s="9">
        <v>-174488</v>
      </c>
      <c r="T110" s="10">
        <v>127228</v>
      </c>
      <c r="U110" s="10">
        <v>1906</v>
      </c>
    </row>
    <row r="111" spans="1:21" x14ac:dyDescent="0.35">
      <c r="A111" t="s">
        <v>15</v>
      </c>
      <c r="B111" t="s">
        <v>16</v>
      </c>
      <c r="C111" t="s">
        <v>21</v>
      </c>
      <c r="D111">
        <v>175599</v>
      </c>
      <c r="E111">
        <v>21699</v>
      </c>
      <c r="F111">
        <v>43186</v>
      </c>
      <c r="G111">
        <v>-172823</v>
      </c>
      <c r="H111">
        <v>67661</v>
      </c>
      <c r="I111">
        <v>67440</v>
      </c>
      <c r="J111">
        <v>869</v>
      </c>
      <c r="K111">
        <v>437119</v>
      </c>
      <c r="L111">
        <v>159550</v>
      </c>
      <c r="M111">
        <v>-156835</v>
      </c>
      <c r="N111">
        <v>70070</v>
      </c>
      <c r="O111" t="s">
        <v>129</v>
      </c>
      <c r="P111" s="9">
        <v>308740</v>
      </c>
      <c r="Q111" s="9">
        <v>31572</v>
      </c>
      <c r="R111" s="9">
        <v>340312</v>
      </c>
      <c r="S111" s="9">
        <v>-85276</v>
      </c>
      <c r="T111" s="10">
        <v>140507</v>
      </c>
      <c r="U111" s="10">
        <v>1685</v>
      </c>
    </row>
    <row r="112" spans="1:21" x14ac:dyDescent="0.35">
      <c r="A112" t="s">
        <v>15</v>
      </c>
      <c r="B112" t="s">
        <v>20</v>
      </c>
      <c r="C112" t="s">
        <v>17</v>
      </c>
      <c r="D112">
        <v>229732</v>
      </c>
      <c r="E112">
        <v>12134</v>
      </c>
      <c r="F112">
        <v>35873</v>
      </c>
      <c r="G112">
        <v>-192170</v>
      </c>
      <c r="H112">
        <v>85569</v>
      </c>
      <c r="I112">
        <v>80568</v>
      </c>
      <c r="J112">
        <v>1144</v>
      </c>
      <c r="K112">
        <v>618438</v>
      </c>
      <c r="L112">
        <v>280839</v>
      </c>
      <c r="M112">
        <v>-134659</v>
      </c>
      <c r="N112">
        <v>205526</v>
      </c>
      <c r="O112" t="s">
        <v>130</v>
      </c>
      <c r="P112" s="9">
        <v>316529</v>
      </c>
      <c r="Q112" s="9">
        <v>51498</v>
      </c>
      <c r="R112" s="9">
        <v>368027</v>
      </c>
      <c r="S112" s="9">
        <v>-220262</v>
      </c>
      <c r="T112" s="10">
        <v>94728</v>
      </c>
      <c r="U112" s="10">
        <v>2656</v>
      </c>
    </row>
    <row r="113" spans="1:21" x14ac:dyDescent="0.35">
      <c r="A113" t="s">
        <v>15</v>
      </c>
      <c r="B113" t="s">
        <v>16</v>
      </c>
      <c r="C113" t="s">
        <v>21</v>
      </c>
      <c r="D113">
        <v>185480</v>
      </c>
      <c r="E113">
        <v>9626</v>
      </c>
      <c r="F113">
        <v>35326</v>
      </c>
      <c r="G113">
        <v>-178326</v>
      </c>
      <c r="H113">
        <v>52106</v>
      </c>
      <c r="I113">
        <v>54236</v>
      </c>
      <c r="J113">
        <v>1555</v>
      </c>
      <c r="K113">
        <v>385599</v>
      </c>
      <c r="L113">
        <v>156318</v>
      </c>
      <c r="M113">
        <v>-69261</v>
      </c>
      <c r="N113">
        <v>107740</v>
      </c>
      <c r="O113" t="s">
        <v>131</v>
      </c>
      <c r="P113" s="9">
        <v>203219</v>
      </c>
      <c r="Q113" s="9">
        <v>34285</v>
      </c>
      <c r="R113" s="9">
        <v>237504</v>
      </c>
      <c r="S113" s="9">
        <v>-50177</v>
      </c>
      <c r="T113" s="10">
        <v>85185</v>
      </c>
      <c r="U113" s="10">
        <v>2218</v>
      </c>
    </row>
    <row r="114" spans="1:21" x14ac:dyDescent="0.35">
      <c r="A114" t="s">
        <v>15</v>
      </c>
      <c r="B114" t="s">
        <v>16</v>
      </c>
      <c r="C114" t="s">
        <v>17</v>
      </c>
      <c r="D114">
        <v>282569</v>
      </c>
      <c r="E114">
        <v>36031</v>
      </c>
      <c r="F114">
        <v>37907</v>
      </c>
      <c r="G114">
        <v>-272289</v>
      </c>
      <c r="H114">
        <v>84218</v>
      </c>
      <c r="I114">
        <v>81948</v>
      </c>
      <c r="J114">
        <v>1182</v>
      </c>
      <c r="K114">
        <v>703700</v>
      </c>
      <c r="L114">
        <v>113028</v>
      </c>
      <c r="M114">
        <v>-81197</v>
      </c>
      <c r="N114">
        <v>254202</v>
      </c>
      <c r="O114" t="s">
        <v>132</v>
      </c>
      <c r="P114" s="9">
        <v>196298</v>
      </c>
      <c r="Q114" s="9">
        <v>14219</v>
      </c>
      <c r="R114" s="9">
        <v>210517</v>
      </c>
      <c r="S114" s="9">
        <v>-98072</v>
      </c>
      <c r="T114" s="10">
        <v>67109</v>
      </c>
      <c r="U114" s="10">
        <v>756</v>
      </c>
    </row>
    <row r="115" spans="1:21" x14ac:dyDescent="0.35">
      <c r="A115" t="s">
        <v>15</v>
      </c>
      <c r="B115" t="s">
        <v>20</v>
      </c>
      <c r="C115" t="s">
        <v>21</v>
      </c>
      <c r="D115">
        <v>224427</v>
      </c>
      <c r="E115">
        <v>18690</v>
      </c>
      <c r="F115">
        <v>47309</v>
      </c>
      <c r="G115">
        <v>-182740</v>
      </c>
      <c r="H115">
        <v>107686</v>
      </c>
      <c r="I115">
        <v>108982</v>
      </c>
      <c r="J115">
        <v>2509</v>
      </c>
      <c r="K115">
        <v>884030</v>
      </c>
      <c r="L115">
        <v>234444</v>
      </c>
      <c r="M115">
        <v>-164320</v>
      </c>
      <c r="N115">
        <v>111377</v>
      </c>
      <c r="O115" t="s">
        <v>133</v>
      </c>
      <c r="P115" s="9">
        <v>211988</v>
      </c>
      <c r="Q115" s="9">
        <v>23076</v>
      </c>
      <c r="R115" s="9">
        <v>235064</v>
      </c>
      <c r="S115" s="9">
        <v>-47973</v>
      </c>
      <c r="T115" s="10">
        <v>68561</v>
      </c>
      <c r="U115" s="10">
        <v>1867</v>
      </c>
    </row>
    <row r="116" spans="1:21" x14ac:dyDescent="0.35">
      <c r="A116" t="s">
        <v>15</v>
      </c>
      <c r="B116" t="s">
        <v>20</v>
      </c>
      <c r="C116" t="s">
        <v>21</v>
      </c>
      <c r="D116">
        <v>158561</v>
      </c>
      <c r="E116">
        <v>21980</v>
      </c>
      <c r="F116">
        <v>38558</v>
      </c>
      <c r="G116">
        <v>-156806</v>
      </c>
      <c r="H116">
        <v>62293</v>
      </c>
      <c r="I116">
        <v>61921</v>
      </c>
      <c r="J116">
        <v>907</v>
      </c>
      <c r="K116">
        <v>495723</v>
      </c>
      <c r="L116">
        <v>189806</v>
      </c>
      <c r="M116">
        <v>-198176</v>
      </c>
      <c r="N116">
        <v>76288</v>
      </c>
      <c r="O116" t="s">
        <v>134</v>
      </c>
      <c r="P116" s="9">
        <v>234882</v>
      </c>
      <c r="Q116" s="9">
        <v>21171</v>
      </c>
      <c r="R116" s="9">
        <v>256053</v>
      </c>
      <c r="S116" s="9">
        <v>-132584</v>
      </c>
      <c r="T116" s="10">
        <v>66980</v>
      </c>
      <c r="U116" s="10">
        <v>1091</v>
      </c>
    </row>
    <row r="117" spans="1:21" x14ac:dyDescent="0.35">
      <c r="A117" t="s">
        <v>15</v>
      </c>
      <c r="B117" t="s">
        <v>20</v>
      </c>
      <c r="C117" t="s">
        <v>21</v>
      </c>
      <c r="D117">
        <v>197209</v>
      </c>
      <c r="E117">
        <v>33653</v>
      </c>
      <c r="F117">
        <v>42744</v>
      </c>
      <c r="G117">
        <v>-167941</v>
      </c>
      <c r="H117">
        <v>105665</v>
      </c>
      <c r="I117">
        <v>106138</v>
      </c>
      <c r="J117">
        <v>2034</v>
      </c>
      <c r="K117">
        <v>553524</v>
      </c>
      <c r="L117">
        <v>66721</v>
      </c>
      <c r="M117">
        <v>-167900</v>
      </c>
      <c r="N117">
        <v>93257</v>
      </c>
      <c r="O117" t="s">
        <v>135</v>
      </c>
      <c r="P117" s="9">
        <v>182879</v>
      </c>
      <c r="Q117" s="9">
        <v>20941</v>
      </c>
      <c r="R117" s="9">
        <v>203820</v>
      </c>
      <c r="S117" s="9">
        <v>-117035</v>
      </c>
      <c r="T117" s="10">
        <v>70791</v>
      </c>
      <c r="U117" s="10">
        <v>1074</v>
      </c>
    </row>
    <row r="118" spans="1:21" x14ac:dyDescent="0.35">
      <c r="A118" t="s">
        <v>15</v>
      </c>
      <c r="B118" t="s">
        <v>20</v>
      </c>
      <c r="C118" t="s">
        <v>17</v>
      </c>
      <c r="D118">
        <v>237940</v>
      </c>
      <c r="E118">
        <v>26248</v>
      </c>
      <c r="F118">
        <v>51967</v>
      </c>
      <c r="G118">
        <v>-198209</v>
      </c>
      <c r="H118">
        <v>117946</v>
      </c>
      <c r="I118">
        <v>117406</v>
      </c>
      <c r="J118">
        <v>1931</v>
      </c>
      <c r="K118">
        <v>779756</v>
      </c>
      <c r="L118">
        <v>295853</v>
      </c>
      <c r="M118">
        <v>-170136</v>
      </c>
      <c r="N118">
        <v>113281</v>
      </c>
      <c r="O118" t="s">
        <v>136</v>
      </c>
      <c r="P118" s="9">
        <v>215627</v>
      </c>
      <c r="Q118" s="9">
        <v>12984</v>
      </c>
      <c r="R118" s="9">
        <v>228611</v>
      </c>
      <c r="S118" s="9">
        <v>-111564</v>
      </c>
      <c r="T118" s="10">
        <v>66126</v>
      </c>
      <c r="U118" s="10">
        <v>961</v>
      </c>
    </row>
    <row r="119" spans="1:21" x14ac:dyDescent="0.35">
      <c r="A119" t="s">
        <v>15</v>
      </c>
      <c r="B119" t="s">
        <v>20</v>
      </c>
      <c r="C119" t="s">
        <v>21</v>
      </c>
      <c r="D119">
        <v>255911</v>
      </c>
      <c r="E119">
        <v>30876</v>
      </c>
      <c r="F119">
        <v>48750</v>
      </c>
      <c r="G119">
        <v>-247507</v>
      </c>
      <c r="H119">
        <v>88030</v>
      </c>
      <c r="I119">
        <v>81824</v>
      </c>
      <c r="J119">
        <v>1098</v>
      </c>
      <c r="K119">
        <v>957703</v>
      </c>
      <c r="L119">
        <v>205316</v>
      </c>
      <c r="M119">
        <v>-274656</v>
      </c>
      <c r="N119">
        <v>117060</v>
      </c>
      <c r="O119" t="s">
        <v>137</v>
      </c>
      <c r="P119" s="9">
        <v>268960</v>
      </c>
      <c r="Q119" s="9">
        <v>41572</v>
      </c>
      <c r="R119" s="9">
        <v>310532</v>
      </c>
      <c r="S119" s="9">
        <v>-94808</v>
      </c>
      <c r="T119" s="10">
        <v>105946</v>
      </c>
      <c r="U119" s="10">
        <v>2920</v>
      </c>
    </row>
    <row r="120" spans="1:21" x14ac:dyDescent="0.35">
      <c r="A120" t="s">
        <v>15</v>
      </c>
      <c r="B120" t="s">
        <v>20</v>
      </c>
      <c r="C120" t="s">
        <v>21</v>
      </c>
      <c r="D120">
        <v>176502</v>
      </c>
      <c r="E120">
        <v>23130</v>
      </c>
      <c r="F120">
        <v>19694</v>
      </c>
      <c r="G120">
        <v>-174252</v>
      </c>
      <c r="H120">
        <v>45074</v>
      </c>
      <c r="I120">
        <v>45702</v>
      </c>
      <c r="J120">
        <v>671</v>
      </c>
      <c r="K120">
        <v>583053</v>
      </c>
      <c r="L120">
        <v>235385</v>
      </c>
      <c r="M120">
        <v>-224127</v>
      </c>
      <c r="N120">
        <v>63476</v>
      </c>
      <c r="O120" t="s">
        <v>138</v>
      </c>
      <c r="P120" s="9">
        <v>269038</v>
      </c>
      <c r="Q120" s="9">
        <v>52491</v>
      </c>
      <c r="R120" s="9">
        <v>321529</v>
      </c>
      <c r="S120" s="9">
        <v>-112367</v>
      </c>
      <c r="T120" s="10">
        <v>129474</v>
      </c>
      <c r="U120" s="10">
        <v>2717</v>
      </c>
    </row>
    <row r="121" spans="1:21" x14ac:dyDescent="0.35">
      <c r="A121" t="s">
        <v>15</v>
      </c>
      <c r="B121" t="s">
        <v>20</v>
      </c>
      <c r="C121" t="s">
        <v>21</v>
      </c>
      <c r="D121">
        <v>205035</v>
      </c>
      <c r="E121">
        <v>25956</v>
      </c>
      <c r="F121">
        <v>23553</v>
      </c>
      <c r="G121">
        <v>-177244</v>
      </c>
      <c r="H121">
        <v>77300</v>
      </c>
      <c r="I121">
        <v>78741</v>
      </c>
      <c r="J121">
        <v>1863</v>
      </c>
      <c r="K121">
        <v>723791</v>
      </c>
      <c r="L121">
        <v>135099</v>
      </c>
      <c r="M121">
        <v>-231882</v>
      </c>
      <c r="N121">
        <v>135054</v>
      </c>
      <c r="O121" t="s">
        <v>139</v>
      </c>
      <c r="P121" s="9">
        <v>303846</v>
      </c>
      <c r="Q121" s="9">
        <v>20747</v>
      </c>
      <c r="R121" s="9">
        <v>324593</v>
      </c>
      <c r="S121" s="9">
        <v>-91801</v>
      </c>
      <c r="T121" s="10">
        <v>122223</v>
      </c>
      <c r="U121" s="10">
        <v>3454</v>
      </c>
    </row>
    <row r="122" spans="1:21" x14ac:dyDescent="0.35">
      <c r="A122" t="s">
        <v>15</v>
      </c>
      <c r="B122" t="s">
        <v>16</v>
      </c>
      <c r="C122" t="s">
        <v>21</v>
      </c>
      <c r="D122">
        <v>263758</v>
      </c>
      <c r="E122">
        <v>32957</v>
      </c>
      <c r="F122">
        <v>47417</v>
      </c>
      <c r="G122">
        <v>-259509</v>
      </c>
      <c r="H122">
        <v>84623</v>
      </c>
      <c r="I122">
        <v>87128</v>
      </c>
      <c r="J122">
        <v>1531</v>
      </c>
      <c r="K122">
        <v>1009425</v>
      </c>
      <c r="L122">
        <v>145554</v>
      </c>
      <c r="M122">
        <v>-196950</v>
      </c>
      <c r="N122">
        <v>174341</v>
      </c>
      <c r="O122" t="s">
        <v>140</v>
      </c>
      <c r="P122" s="9">
        <v>279354</v>
      </c>
      <c r="Q122" s="9">
        <v>50024</v>
      </c>
      <c r="R122" s="9">
        <v>329378</v>
      </c>
      <c r="S122" s="9">
        <v>-97153</v>
      </c>
      <c r="T122" s="10">
        <v>85009</v>
      </c>
      <c r="U122" s="10">
        <v>2522</v>
      </c>
    </row>
    <row r="123" spans="1:21" x14ac:dyDescent="0.35">
      <c r="A123" t="s">
        <v>15</v>
      </c>
      <c r="B123" t="s">
        <v>16</v>
      </c>
      <c r="C123" t="s">
        <v>17</v>
      </c>
      <c r="D123">
        <v>218403</v>
      </c>
      <c r="E123">
        <v>29823</v>
      </c>
      <c r="F123">
        <v>53111</v>
      </c>
      <c r="G123">
        <v>-214979</v>
      </c>
      <c r="H123">
        <v>86358</v>
      </c>
      <c r="I123">
        <v>78054</v>
      </c>
      <c r="J123">
        <v>1318</v>
      </c>
      <c r="K123">
        <v>658185</v>
      </c>
      <c r="L123">
        <v>224639</v>
      </c>
      <c r="M123">
        <v>-232515</v>
      </c>
      <c r="N123">
        <v>89711</v>
      </c>
      <c r="O123" t="s">
        <v>141</v>
      </c>
      <c r="P123" s="9">
        <v>280710</v>
      </c>
      <c r="Q123" s="9">
        <v>29182</v>
      </c>
      <c r="R123" s="9">
        <v>309892</v>
      </c>
      <c r="S123" s="9">
        <v>-158932</v>
      </c>
      <c r="T123" s="10">
        <v>101165</v>
      </c>
      <c r="U123" s="10">
        <v>1373</v>
      </c>
    </row>
    <row r="124" spans="1:21" x14ac:dyDescent="0.35">
      <c r="A124" t="s">
        <v>15</v>
      </c>
      <c r="B124" t="s">
        <v>20</v>
      </c>
      <c r="C124" t="s">
        <v>21</v>
      </c>
      <c r="D124">
        <v>197726</v>
      </c>
      <c r="E124">
        <v>30387</v>
      </c>
      <c r="F124">
        <v>39241</v>
      </c>
      <c r="G124">
        <v>-159170</v>
      </c>
      <c r="H124">
        <v>108184</v>
      </c>
      <c r="I124">
        <v>109510</v>
      </c>
      <c r="J124">
        <v>2317</v>
      </c>
      <c r="K124">
        <v>768192</v>
      </c>
      <c r="L124">
        <v>297286</v>
      </c>
      <c r="M124">
        <v>-200787</v>
      </c>
      <c r="N124">
        <v>122189</v>
      </c>
      <c r="O124" t="s">
        <v>142</v>
      </c>
      <c r="P124" s="9">
        <v>253350</v>
      </c>
      <c r="Q124" s="9">
        <v>25803</v>
      </c>
      <c r="R124" s="9">
        <v>279153</v>
      </c>
      <c r="S124" s="9">
        <v>-55992</v>
      </c>
      <c r="T124" s="10">
        <v>60184</v>
      </c>
      <c r="U124" s="10">
        <v>1217</v>
      </c>
    </row>
    <row r="125" spans="1:21" x14ac:dyDescent="0.35">
      <c r="A125" t="s">
        <v>15</v>
      </c>
      <c r="B125" t="s">
        <v>20</v>
      </c>
      <c r="C125" t="s">
        <v>21</v>
      </c>
      <c r="D125">
        <v>183599</v>
      </c>
      <c r="E125">
        <v>28301</v>
      </c>
      <c r="F125">
        <v>20720</v>
      </c>
      <c r="G125">
        <v>-173358</v>
      </c>
      <c r="H125">
        <v>59262</v>
      </c>
      <c r="I125">
        <v>53405</v>
      </c>
      <c r="J125">
        <v>880</v>
      </c>
      <c r="K125">
        <v>558376</v>
      </c>
      <c r="L125">
        <v>230472</v>
      </c>
      <c r="M125">
        <v>-189459</v>
      </c>
      <c r="N125">
        <v>85096</v>
      </c>
      <c r="O125" t="s">
        <v>143</v>
      </c>
      <c r="P125" s="9">
        <v>286768</v>
      </c>
      <c r="Q125" s="9">
        <v>20469</v>
      </c>
      <c r="R125" s="9">
        <v>307237</v>
      </c>
      <c r="S125" s="9">
        <v>-66567</v>
      </c>
      <c r="T125" s="10">
        <v>102526</v>
      </c>
      <c r="U125" s="10">
        <v>2118</v>
      </c>
    </row>
    <row r="126" spans="1:21" x14ac:dyDescent="0.35">
      <c r="A126" t="s">
        <v>15</v>
      </c>
      <c r="B126" t="s">
        <v>20</v>
      </c>
      <c r="C126" t="s">
        <v>21</v>
      </c>
      <c r="D126">
        <v>171438</v>
      </c>
      <c r="E126">
        <v>16991</v>
      </c>
      <c r="F126">
        <v>31455</v>
      </c>
      <c r="G126">
        <v>-168784</v>
      </c>
      <c r="H126">
        <v>51100</v>
      </c>
      <c r="I126">
        <v>47848</v>
      </c>
      <c r="J126">
        <v>483</v>
      </c>
      <c r="K126">
        <v>586414</v>
      </c>
      <c r="L126">
        <v>251885</v>
      </c>
      <c r="M126">
        <v>-70871</v>
      </c>
      <c r="N126">
        <v>152552</v>
      </c>
      <c r="O126" t="s">
        <v>144</v>
      </c>
      <c r="P126" s="9">
        <v>204846</v>
      </c>
      <c r="Q126" s="9">
        <v>17257</v>
      </c>
      <c r="R126" s="9">
        <v>222103</v>
      </c>
      <c r="S126" s="9">
        <v>-44654</v>
      </c>
      <c r="T126" s="10">
        <v>71692</v>
      </c>
      <c r="U126" s="10">
        <v>866</v>
      </c>
    </row>
    <row r="127" spans="1:21" x14ac:dyDescent="0.35">
      <c r="A127" t="s">
        <v>15</v>
      </c>
      <c r="B127" t="s">
        <v>16</v>
      </c>
      <c r="C127" t="s">
        <v>21</v>
      </c>
      <c r="D127">
        <v>299816</v>
      </c>
      <c r="E127">
        <v>33151</v>
      </c>
      <c r="F127">
        <v>64068</v>
      </c>
      <c r="G127">
        <v>-242877</v>
      </c>
      <c r="H127">
        <v>154158</v>
      </c>
      <c r="I127">
        <v>153107</v>
      </c>
      <c r="J127">
        <v>3766</v>
      </c>
      <c r="K127">
        <v>946365</v>
      </c>
      <c r="L127">
        <v>123222</v>
      </c>
      <c r="M127">
        <v>-172773</v>
      </c>
      <c r="N127">
        <v>251660</v>
      </c>
      <c r="O127" t="s">
        <v>145</v>
      </c>
      <c r="P127" s="9">
        <v>227215</v>
      </c>
      <c r="Q127" s="9">
        <v>26232</v>
      </c>
      <c r="R127" s="9">
        <v>253447</v>
      </c>
      <c r="S127" s="9">
        <v>-140776</v>
      </c>
      <c r="T127" s="10">
        <v>109317</v>
      </c>
      <c r="U127" s="10">
        <v>3092</v>
      </c>
    </row>
    <row r="128" spans="1:21" x14ac:dyDescent="0.35">
      <c r="A128" t="s">
        <v>15</v>
      </c>
      <c r="B128" t="s">
        <v>16</v>
      </c>
      <c r="C128" t="s">
        <v>21</v>
      </c>
      <c r="D128">
        <v>248053</v>
      </c>
      <c r="E128">
        <v>41360</v>
      </c>
      <c r="F128">
        <v>27362</v>
      </c>
      <c r="G128">
        <v>-200349</v>
      </c>
      <c r="H128">
        <v>116426</v>
      </c>
      <c r="I128">
        <v>107441</v>
      </c>
      <c r="J128">
        <v>1126</v>
      </c>
      <c r="K128">
        <v>566704</v>
      </c>
      <c r="L128">
        <v>198974</v>
      </c>
      <c r="M128">
        <v>-160396</v>
      </c>
      <c r="N128">
        <v>214591</v>
      </c>
      <c r="O128" t="s">
        <v>146</v>
      </c>
      <c r="P128" s="9">
        <v>299416</v>
      </c>
      <c r="Q128" s="9">
        <v>15974</v>
      </c>
      <c r="R128" s="9">
        <v>315390</v>
      </c>
      <c r="S128" s="9">
        <v>-130977</v>
      </c>
      <c r="T128" s="10">
        <v>84029</v>
      </c>
      <c r="U128" s="10">
        <v>1056</v>
      </c>
    </row>
    <row r="129" spans="1:21" x14ac:dyDescent="0.35">
      <c r="A129" t="s">
        <v>15</v>
      </c>
      <c r="B129" t="s">
        <v>20</v>
      </c>
      <c r="C129" t="s">
        <v>17</v>
      </c>
      <c r="D129">
        <v>247736</v>
      </c>
      <c r="E129">
        <v>16461</v>
      </c>
      <c r="F129">
        <v>44453</v>
      </c>
      <c r="G129">
        <v>-242179</v>
      </c>
      <c r="H129">
        <v>66471</v>
      </c>
      <c r="I129">
        <v>64166</v>
      </c>
      <c r="J129">
        <v>859</v>
      </c>
      <c r="K129">
        <v>931941</v>
      </c>
      <c r="L129">
        <v>105097</v>
      </c>
      <c r="M129">
        <v>-268471</v>
      </c>
      <c r="N129">
        <v>161814</v>
      </c>
      <c r="O129" t="s">
        <v>147</v>
      </c>
      <c r="P129" s="9">
        <v>215296</v>
      </c>
      <c r="Q129" s="9">
        <v>23363</v>
      </c>
      <c r="R129" s="9">
        <v>238659</v>
      </c>
      <c r="S129" s="9">
        <v>-140139</v>
      </c>
      <c r="T129" s="10">
        <v>81585</v>
      </c>
      <c r="U129" s="10">
        <v>1732</v>
      </c>
    </row>
    <row r="130" spans="1:21" x14ac:dyDescent="0.35">
      <c r="A130" t="s">
        <v>15</v>
      </c>
      <c r="B130" t="s">
        <v>16</v>
      </c>
      <c r="C130" t="s">
        <v>17</v>
      </c>
      <c r="D130">
        <v>199466</v>
      </c>
      <c r="E130">
        <v>11374</v>
      </c>
      <c r="F130">
        <v>34647</v>
      </c>
      <c r="G130">
        <v>-189784</v>
      </c>
      <c r="H130">
        <v>55703</v>
      </c>
      <c r="I130">
        <v>54797</v>
      </c>
      <c r="J130">
        <v>1070</v>
      </c>
      <c r="K130">
        <v>701763</v>
      </c>
      <c r="L130">
        <v>233980</v>
      </c>
      <c r="M130">
        <v>-206371</v>
      </c>
      <c r="N130">
        <v>78116</v>
      </c>
      <c r="O130" t="s">
        <v>148</v>
      </c>
      <c r="P130" s="9">
        <v>276336</v>
      </c>
      <c r="Q130" s="9">
        <v>26010</v>
      </c>
      <c r="R130" s="9">
        <v>302346</v>
      </c>
      <c r="S130" s="9">
        <v>-105548</v>
      </c>
      <c r="T130" s="10">
        <v>133379</v>
      </c>
      <c r="U130" s="10">
        <v>2233</v>
      </c>
    </row>
    <row r="131" spans="1:21" x14ac:dyDescent="0.35">
      <c r="A131" t="s">
        <v>15</v>
      </c>
      <c r="B131" t="s">
        <v>16</v>
      </c>
      <c r="C131" t="s">
        <v>21</v>
      </c>
      <c r="D131">
        <v>195444</v>
      </c>
      <c r="E131">
        <v>10000</v>
      </c>
      <c r="F131">
        <v>22825</v>
      </c>
      <c r="G131">
        <v>-188310</v>
      </c>
      <c r="H131">
        <v>39959</v>
      </c>
      <c r="I131">
        <v>39890</v>
      </c>
      <c r="J131">
        <v>494</v>
      </c>
      <c r="K131">
        <v>592884</v>
      </c>
      <c r="L131">
        <v>137871</v>
      </c>
      <c r="M131">
        <v>-214119</v>
      </c>
      <c r="N131">
        <v>145810</v>
      </c>
      <c r="O131" t="s">
        <v>149</v>
      </c>
      <c r="P131" s="9">
        <v>299875</v>
      </c>
      <c r="Q131" s="9">
        <v>15065</v>
      </c>
      <c r="R131" s="9">
        <v>314940</v>
      </c>
      <c r="S131" s="9">
        <v>-73518</v>
      </c>
      <c r="T131" s="10">
        <v>69103</v>
      </c>
      <c r="U131" s="10">
        <v>922</v>
      </c>
    </row>
    <row r="132" spans="1:21" x14ac:dyDescent="0.35">
      <c r="A132" t="s">
        <v>15</v>
      </c>
      <c r="B132" t="s">
        <v>16</v>
      </c>
      <c r="C132" t="s">
        <v>21</v>
      </c>
      <c r="D132">
        <v>238262</v>
      </c>
      <c r="E132">
        <v>21228</v>
      </c>
      <c r="F132">
        <v>42127</v>
      </c>
      <c r="G132">
        <v>-204383</v>
      </c>
      <c r="H132">
        <v>97234</v>
      </c>
      <c r="I132">
        <v>92289</v>
      </c>
      <c r="J132">
        <v>1642</v>
      </c>
      <c r="K132">
        <v>694319</v>
      </c>
      <c r="L132">
        <v>176476</v>
      </c>
      <c r="M132">
        <v>-70076</v>
      </c>
      <c r="N132">
        <v>145935</v>
      </c>
      <c r="O132" t="s">
        <v>150</v>
      </c>
      <c r="P132" s="9">
        <v>237917</v>
      </c>
      <c r="Q132" s="9">
        <v>28530</v>
      </c>
      <c r="R132" s="9">
        <v>266447</v>
      </c>
      <c r="S132" s="9">
        <v>-107898</v>
      </c>
      <c r="T132" s="10">
        <v>97478</v>
      </c>
      <c r="U132" s="10">
        <v>2346</v>
      </c>
    </row>
    <row r="133" spans="1:21" x14ac:dyDescent="0.35">
      <c r="A133" t="s">
        <v>15</v>
      </c>
      <c r="B133" t="s">
        <v>20</v>
      </c>
      <c r="C133" t="s">
        <v>21</v>
      </c>
      <c r="D133">
        <v>194976</v>
      </c>
      <c r="E133">
        <v>35751</v>
      </c>
      <c r="F133">
        <v>25985</v>
      </c>
      <c r="G133">
        <v>-166956</v>
      </c>
      <c r="H133">
        <v>89756</v>
      </c>
      <c r="I133">
        <v>83446</v>
      </c>
      <c r="J133">
        <v>1546</v>
      </c>
      <c r="K133">
        <v>510614</v>
      </c>
      <c r="L133">
        <v>68545</v>
      </c>
      <c r="M133">
        <v>-67426</v>
      </c>
      <c r="N133">
        <v>76383</v>
      </c>
      <c r="O133" t="s">
        <v>151</v>
      </c>
      <c r="P133" s="9">
        <v>160860</v>
      </c>
      <c r="Q133" s="9">
        <v>13272</v>
      </c>
      <c r="R133" s="9">
        <v>174132</v>
      </c>
      <c r="S133" s="9">
        <v>-104253</v>
      </c>
      <c r="T133" s="10">
        <v>82639</v>
      </c>
      <c r="U133" s="10">
        <v>1194</v>
      </c>
    </row>
    <row r="134" spans="1:21" x14ac:dyDescent="0.35">
      <c r="A134" t="s">
        <v>15</v>
      </c>
      <c r="B134" t="s">
        <v>20</v>
      </c>
      <c r="C134" t="s">
        <v>21</v>
      </c>
      <c r="D134">
        <v>294009</v>
      </c>
      <c r="E134">
        <v>52811</v>
      </c>
      <c r="F134">
        <v>65731</v>
      </c>
      <c r="G134">
        <v>-236577</v>
      </c>
      <c r="H134">
        <v>175974</v>
      </c>
      <c r="I134">
        <v>165166</v>
      </c>
      <c r="J134">
        <v>4845</v>
      </c>
      <c r="K134">
        <v>820038</v>
      </c>
      <c r="L134">
        <v>350485</v>
      </c>
      <c r="M134">
        <v>-195370</v>
      </c>
      <c r="N134">
        <v>145395</v>
      </c>
      <c r="O134" t="s">
        <v>152</v>
      </c>
      <c r="P134" s="9">
        <v>215520</v>
      </c>
      <c r="Q134" s="9">
        <v>12807</v>
      </c>
      <c r="R134" s="9">
        <v>228327</v>
      </c>
      <c r="S134" s="9">
        <v>-64072</v>
      </c>
      <c r="T134" s="10">
        <v>82393</v>
      </c>
      <c r="U134" s="10">
        <v>1931</v>
      </c>
    </row>
    <row r="135" spans="1:21" x14ac:dyDescent="0.35">
      <c r="A135" t="s">
        <v>15</v>
      </c>
      <c r="B135" t="s">
        <v>20</v>
      </c>
      <c r="C135" t="s">
        <v>21</v>
      </c>
      <c r="D135">
        <v>173309</v>
      </c>
      <c r="E135">
        <v>30598</v>
      </c>
      <c r="F135">
        <v>25122</v>
      </c>
      <c r="G135">
        <v>-172359</v>
      </c>
      <c r="H135">
        <v>56670</v>
      </c>
      <c r="I135">
        <v>57294</v>
      </c>
      <c r="J135">
        <v>1198</v>
      </c>
      <c r="K135">
        <v>689314</v>
      </c>
      <c r="L135">
        <v>128875</v>
      </c>
      <c r="M135">
        <v>-146867</v>
      </c>
      <c r="N135">
        <v>133208</v>
      </c>
      <c r="O135" t="s">
        <v>153</v>
      </c>
      <c r="P135" s="9">
        <v>214716</v>
      </c>
      <c r="Q135" s="9">
        <v>16898</v>
      </c>
      <c r="R135" s="9">
        <v>231614</v>
      </c>
      <c r="S135" s="9">
        <v>-86033</v>
      </c>
      <c r="T135" s="10">
        <v>59842</v>
      </c>
      <c r="U135" s="10">
        <v>614</v>
      </c>
    </row>
    <row r="136" spans="1:21" x14ac:dyDescent="0.35">
      <c r="A136" t="s">
        <v>15</v>
      </c>
      <c r="B136" t="s">
        <v>16</v>
      </c>
      <c r="C136" t="s">
        <v>21</v>
      </c>
      <c r="D136">
        <v>299522</v>
      </c>
      <c r="E136">
        <v>21565</v>
      </c>
      <c r="F136">
        <v>47521</v>
      </c>
      <c r="G136">
        <v>-294391</v>
      </c>
      <c r="H136">
        <v>74217</v>
      </c>
      <c r="I136">
        <v>71117</v>
      </c>
      <c r="J136">
        <v>1293</v>
      </c>
      <c r="K136">
        <v>1001936</v>
      </c>
      <c r="L136">
        <v>264168</v>
      </c>
      <c r="M136">
        <v>-188338</v>
      </c>
      <c r="N136">
        <v>168777</v>
      </c>
      <c r="O136" t="s">
        <v>154</v>
      </c>
      <c r="P136" s="9">
        <v>189103</v>
      </c>
      <c r="Q136" s="9">
        <v>20671</v>
      </c>
      <c r="R136" s="9">
        <v>209774</v>
      </c>
      <c r="S136" s="9">
        <v>-43843</v>
      </c>
      <c r="T136" s="10">
        <v>90133</v>
      </c>
      <c r="U136" s="10">
        <v>2579</v>
      </c>
    </row>
    <row r="137" spans="1:21" x14ac:dyDescent="0.35">
      <c r="A137" t="s">
        <v>15</v>
      </c>
      <c r="B137" t="s">
        <v>20</v>
      </c>
      <c r="C137" t="s">
        <v>17</v>
      </c>
      <c r="D137">
        <v>158802</v>
      </c>
      <c r="E137">
        <v>12239</v>
      </c>
      <c r="F137">
        <v>33408</v>
      </c>
      <c r="G137">
        <v>-147594</v>
      </c>
      <c r="H137">
        <v>56855</v>
      </c>
      <c r="I137">
        <v>55251</v>
      </c>
      <c r="J137">
        <v>1443</v>
      </c>
      <c r="K137">
        <v>634726</v>
      </c>
      <c r="L137">
        <v>126294</v>
      </c>
      <c r="M137">
        <v>-179767</v>
      </c>
      <c r="N137">
        <v>87413</v>
      </c>
      <c r="O137" t="s">
        <v>155</v>
      </c>
      <c r="P137" s="9">
        <v>270297</v>
      </c>
      <c r="Q137" s="9">
        <v>45666</v>
      </c>
      <c r="R137" s="9">
        <v>315963</v>
      </c>
      <c r="S137" s="9">
        <v>-152033</v>
      </c>
      <c r="T137" s="10">
        <v>91438</v>
      </c>
      <c r="U137" s="10">
        <v>2009</v>
      </c>
    </row>
    <row r="138" spans="1:21" x14ac:dyDescent="0.35">
      <c r="A138" t="s">
        <v>15</v>
      </c>
      <c r="B138" t="s">
        <v>20</v>
      </c>
      <c r="C138" t="s">
        <v>21</v>
      </c>
      <c r="D138">
        <v>213457</v>
      </c>
      <c r="E138">
        <v>11210</v>
      </c>
      <c r="F138">
        <v>46537</v>
      </c>
      <c r="G138">
        <v>-196827</v>
      </c>
      <c r="H138">
        <v>74377</v>
      </c>
      <c r="I138">
        <v>68670</v>
      </c>
      <c r="J138">
        <v>1930</v>
      </c>
      <c r="K138">
        <v>476196</v>
      </c>
      <c r="L138">
        <v>216491</v>
      </c>
      <c r="M138">
        <v>-97370</v>
      </c>
      <c r="N138">
        <v>155676</v>
      </c>
      <c r="O138" t="s">
        <v>156</v>
      </c>
      <c r="P138" s="9">
        <v>291059</v>
      </c>
      <c r="Q138" s="9">
        <v>36093</v>
      </c>
      <c r="R138" s="9">
        <v>327152</v>
      </c>
      <c r="S138" s="9">
        <v>-76905</v>
      </c>
      <c r="T138" s="10">
        <v>142661</v>
      </c>
      <c r="U138" s="10">
        <v>1967</v>
      </c>
    </row>
    <row r="139" spans="1:21" x14ac:dyDescent="0.35">
      <c r="A139" t="s">
        <v>15</v>
      </c>
      <c r="B139" t="s">
        <v>20</v>
      </c>
      <c r="C139" t="s">
        <v>21</v>
      </c>
      <c r="D139">
        <v>203459</v>
      </c>
      <c r="E139">
        <v>38279</v>
      </c>
      <c r="F139">
        <v>45095</v>
      </c>
      <c r="G139">
        <v>-187416</v>
      </c>
      <c r="H139">
        <v>99417</v>
      </c>
      <c r="I139">
        <v>100828</v>
      </c>
      <c r="J139">
        <v>2103</v>
      </c>
      <c r="K139">
        <v>435434</v>
      </c>
      <c r="L139">
        <v>126549</v>
      </c>
      <c r="M139">
        <v>-132359</v>
      </c>
      <c r="N139">
        <v>152955</v>
      </c>
      <c r="O139" t="s">
        <v>157</v>
      </c>
      <c r="P139" s="9">
        <v>287078</v>
      </c>
      <c r="Q139" s="9">
        <v>33414</v>
      </c>
      <c r="R139" s="9">
        <v>320492</v>
      </c>
      <c r="S139" s="9">
        <v>-66750</v>
      </c>
      <c r="T139" s="10">
        <v>116114</v>
      </c>
      <c r="U139" s="10">
        <v>2768</v>
      </c>
    </row>
    <row r="140" spans="1:21" x14ac:dyDescent="0.35">
      <c r="A140" t="s">
        <v>15</v>
      </c>
      <c r="B140" t="s">
        <v>16</v>
      </c>
      <c r="C140" t="s">
        <v>21</v>
      </c>
      <c r="D140">
        <v>167986</v>
      </c>
      <c r="E140">
        <v>25051</v>
      </c>
      <c r="F140">
        <v>34321</v>
      </c>
      <c r="G140">
        <v>-141306</v>
      </c>
      <c r="H140">
        <v>86052</v>
      </c>
      <c r="I140">
        <v>88688</v>
      </c>
      <c r="J140">
        <v>1322</v>
      </c>
      <c r="K140">
        <v>614038</v>
      </c>
      <c r="L140">
        <v>102064</v>
      </c>
      <c r="M140">
        <v>-81961</v>
      </c>
      <c r="N140">
        <v>111914</v>
      </c>
      <c r="O140" t="s">
        <v>158</v>
      </c>
      <c r="P140" s="9">
        <v>269791</v>
      </c>
      <c r="Q140" s="9">
        <v>27497</v>
      </c>
      <c r="R140" s="9">
        <v>297288</v>
      </c>
      <c r="S140" s="9">
        <v>-93113</v>
      </c>
      <c r="T140" s="10">
        <v>57721</v>
      </c>
      <c r="U140" s="10">
        <v>753</v>
      </c>
    </row>
    <row r="141" spans="1:21" x14ac:dyDescent="0.35">
      <c r="A141" t="s">
        <v>15</v>
      </c>
      <c r="B141" t="s">
        <v>20</v>
      </c>
      <c r="C141" t="s">
        <v>21</v>
      </c>
      <c r="D141">
        <v>244893</v>
      </c>
      <c r="E141">
        <v>19865</v>
      </c>
      <c r="F141">
        <v>59330</v>
      </c>
      <c r="G141">
        <v>-221333</v>
      </c>
      <c r="H141">
        <v>102755</v>
      </c>
      <c r="I141">
        <v>95054</v>
      </c>
      <c r="J141">
        <v>1410</v>
      </c>
      <c r="K141">
        <v>779236</v>
      </c>
      <c r="L141">
        <v>122630</v>
      </c>
      <c r="M141">
        <v>-125688</v>
      </c>
      <c r="N141">
        <v>119320</v>
      </c>
      <c r="O141" t="s">
        <v>159</v>
      </c>
      <c r="P141" s="9">
        <v>199482</v>
      </c>
      <c r="Q141" s="9">
        <v>28741</v>
      </c>
      <c r="R141" s="9">
        <v>228223</v>
      </c>
      <c r="S141" s="9">
        <v>-91246</v>
      </c>
      <c r="T141" s="10">
        <v>87066</v>
      </c>
      <c r="U141" s="10">
        <v>1271</v>
      </c>
    </row>
    <row r="142" spans="1:21" x14ac:dyDescent="0.35">
      <c r="A142" t="s">
        <v>15</v>
      </c>
      <c r="B142" t="s">
        <v>20</v>
      </c>
      <c r="C142" t="s">
        <v>21</v>
      </c>
      <c r="D142">
        <v>151027</v>
      </c>
      <c r="E142">
        <v>25485</v>
      </c>
      <c r="F142">
        <v>34208</v>
      </c>
      <c r="G142">
        <v>-122741</v>
      </c>
      <c r="H142">
        <v>87979</v>
      </c>
      <c r="I142">
        <v>85448</v>
      </c>
      <c r="J142">
        <v>1688</v>
      </c>
      <c r="K142">
        <v>507838</v>
      </c>
      <c r="L142">
        <v>206470</v>
      </c>
      <c r="M142">
        <v>-72423</v>
      </c>
      <c r="N142">
        <v>84280</v>
      </c>
      <c r="O142" t="s">
        <v>160</v>
      </c>
      <c r="P142" s="9">
        <v>247795</v>
      </c>
      <c r="Q142" s="9">
        <v>35150</v>
      </c>
      <c r="R142" s="9">
        <v>282945</v>
      </c>
      <c r="S142" s="9">
        <v>-137107</v>
      </c>
      <c r="T142" s="10">
        <v>109448</v>
      </c>
      <c r="U142" s="10">
        <v>3158</v>
      </c>
    </row>
    <row r="143" spans="1:21" x14ac:dyDescent="0.35">
      <c r="A143" t="s">
        <v>15</v>
      </c>
      <c r="B143" t="s">
        <v>16</v>
      </c>
      <c r="C143" t="s">
        <v>21</v>
      </c>
      <c r="D143">
        <v>293324</v>
      </c>
      <c r="E143">
        <v>41516</v>
      </c>
      <c r="F143">
        <v>68418</v>
      </c>
      <c r="G143">
        <v>-267201</v>
      </c>
      <c r="H143">
        <v>136057</v>
      </c>
      <c r="I143">
        <v>136138</v>
      </c>
      <c r="J143">
        <v>3696</v>
      </c>
      <c r="K143">
        <v>864307</v>
      </c>
      <c r="L143">
        <v>276322</v>
      </c>
      <c r="M143">
        <v>-151918</v>
      </c>
      <c r="N143">
        <v>240488</v>
      </c>
      <c r="O143" t="s">
        <v>161</v>
      </c>
      <c r="P143" s="9">
        <v>301392</v>
      </c>
      <c r="Q143" s="9">
        <v>32165</v>
      </c>
      <c r="R143" s="9">
        <v>333557</v>
      </c>
      <c r="S143" s="9">
        <v>-158397</v>
      </c>
      <c r="T143" s="10">
        <v>123727</v>
      </c>
      <c r="U143" s="10">
        <v>2737</v>
      </c>
    </row>
    <row r="144" spans="1:21" x14ac:dyDescent="0.35">
      <c r="A144" t="s">
        <v>15</v>
      </c>
      <c r="B144" t="s">
        <v>16</v>
      </c>
      <c r="C144" t="s">
        <v>17</v>
      </c>
      <c r="D144">
        <v>246347</v>
      </c>
      <c r="E144">
        <v>21076</v>
      </c>
      <c r="F144">
        <v>54375</v>
      </c>
      <c r="G144">
        <v>-226622</v>
      </c>
      <c r="H144">
        <v>95176</v>
      </c>
      <c r="I144">
        <v>96980</v>
      </c>
      <c r="J144">
        <v>1898</v>
      </c>
      <c r="K144">
        <v>655861</v>
      </c>
      <c r="L144">
        <v>278086</v>
      </c>
      <c r="M144">
        <v>-85360</v>
      </c>
      <c r="N144">
        <v>170054</v>
      </c>
      <c r="O144" t="s">
        <v>162</v>
      </c>
      <c r="P144" s="9">
        <v>308017</v>
      </c>
      <c r="Q144" s="9">
        <v>45434</v>
      </c>
      <c r="R144" s="9">
        <v>353451</v>
      </c>
      <c r="S144" s="9">
        <v>-80529</v>
      </c>
      <c r="T144" s="10">
        <v>126321</v>
      </c>
      <c r="U144" s="10">
        <v>2604</v>
      </c>
    </row>
    <row r="145" spans="1:21" x14ac:dyDescent="0.35">
      <c r="A145" t="s">
        <v>15</v>
      </c>
      <c r="B145" t="s">
        <v>16</v>
      </c>
      <c r="C145" t="s">
        <v>17</v>
      </c>
      <c r="D145">
        <v>210815</v>
      </c>
      <c r="E145">
        <v>22552</v>
      </c>
      <c r="F145">
        <v>25060</v>
      </c>
      <c r="G145">
        <v>-172705</v>
      </c>
      <c r="H145">
        <v>85722</v>
      </c>
      <c r="I145">
        <v>89230</v>
      </c>
      <c r="J145">
        <v>901</v>
      </c>
      <c r="K145">
        <v>825423</v>
      </c>
      <c r="L145">
        <v>183970</v>
      </c>
      <c r="M145">
        <v>-87056</v>
      </c>
      <c r="N145">
        <v>112192</v>
      </c>
      <c r="O145" t="s">
        <v>163</v>
      </c>
      <c r="P145" s="9">
        <v>286954</v>
      </c>
      <c r="Q145" s="9">
        <v>56758</v>
      </c>
      <c r="R145" s="9">
        <v>343712</v>
      </c>
      <c r="S145" s="9">
        <v>-173387</v>
      </c>
      <c r="T145" s="10">
        <v>141959</v>
      </c>
      <c r="U145" s="10">
        <v>2152</v>
      </c>
    </row>
    <row r="146" spans="1:21" x14ac:dyDescent="0.35">
      <c r="A146" t="s">
        <v>15</v>
      </c>
      <c r="B146" t="s">
        <v>20</v>
      </c>
      <c r="C146" t="s">
        <v>21</v>
      </c>
      <c r="D146">
        <v>173154</v>
      </c>
      <c r="E146">
        <v>33956</v>
      </c>
      <c r="F146">
        <v>29801</v>
      </c>
      <c r="G146">
        <v>-141180</v>
      </c>
      <c r="H146">
        <v>95731</v>
      </c>
      <c r="I146">
        <v>89410</v>
      </c>
      <c r="J146">
        <v>2030</v>
      </c>
      <c r="K146">
        <v>512914</v>
      </c>
      <c r="L146">
        <v>189793</v>
      </c>
      <c r="M146">
        <v>-133868</v>
      </c>
      <c r="N146">
        <v>124878</v>
      </c>
      <c r="O146" t="s">
        <v>164</v>
      </c>
      <c r="P146" s="9">
        <v>255782</v>
      </c>
      <c r="Q146" s="9">
        <v>40382</v>
      </c>
      <c r="R146" s="9">
        <v>296164</v>
      </c>
      <c r="S146" s="9">
        <v>-153131</v>
      </c>
      <c r="T146" s="10">
        <v>118277</v>
      </c>
      <c r="U146" s="10">
        <v>2244</v>
      </c>
    </row>
    <row r="147" spans="1:21" x14ac:dyDescent="0.35">
      <c r="A147" t="s">
        <v>15</v>
      </c>
      <c r="B147" t="s">
        <v>20</v>
      </c>
      <c r="C147" t="s">
        <v>21</v>
      </c>
      <c r="D147">
        <v>250019</v>
      </c>
      <c r="E147">
        <v>25738</v>
      </c>
      <c r="F147">
        <v>41592</v>
      </c>
      <c r="G147">
        <v>-209688</v>
      </c>
      <c r="H147">
        <v>107661</v>
      </c>
      <c r="I147">
        <v>105032</v>
      </c>
      <c r="J147">
        <v>2827</v>
      </c>
      <c r="K147">
        <v>940635</v>
      </c>
      <c r="L147">
        <v>377876</v>
      </c>
      <c r="M147">
        <v>-209680</v>
      </c>
      <c r="N147">
        <v>123605</v>
      </c>
      <c r="O147" t="s">
        <v>165</v>
      </c>
      <c r="P147" s="9">
        <v>290624</v>
      </c>
      <c r="Q147" s="9">
        <v>27403</v>
      </c>
      <c r="R147" s="9">
        <v>318027</v>
      </c>
      <c r="S147" s="9">
        <v>-86707</v>
      </c>
      <c r="T147" s="10">
        <v>131453</v>
      </c>
      <c r="U147" s="10">
        <v>1787</v>
      </c>
    </row>
    <row r="148" spans="1:21" x14ac:dyDescent="0.35">
      <c r="A148" t="s">
        <v>15</v>
      </c>
      <c r="B148" t="s">
        <v>16</v>
      </c>
      <c r="C148" t="s">
        <v>21</v>
      </c>
      <c r="D148">
        <v>166325</v>
      </c>
      <c r="E148">
        <v>15113</v>
      </c>
      <c r="F148">
        <v>40381</v>
      </c>
      <c r="G148">
        <v>-146469</v>
      </c>
      <c r="H148">
        <v>75350</v>
      </c>
      <c r="I148">
        <v>68106</v>
      </c>
      <c r="J148">
        <v>801</v>
      </c>
      <c r="K148">
        <v>405090</v>
      </c>
      <c r="L148">
        <v>197381</v>
      </c>
      <c r="M148">
        <v>-148585</v>
      </c>
      <c r="N148">
        <v>106541</v>
      </c>
      <c r="O148" t="s">
        <v>166</v>
      </c>
      <c r="P148" s="9">
        <v>255729</v>
      </c>
      <c r="Q148" s="9">
        <v>20222</v>
      </c>
      <c r="R148" s="9">
        <v>275951</v>
      </c>
      <c r="S148" s="9">
        <v>-82396</v>
      </c>
      <c r="T148" s="10">
        <v>119842</v>
      </c>
      <c r="U148" s="10">
        <v>2537</v>
      </c>
    </row>
    <row r="149" spans="1:21" x14ac:dyDescent="0.35">
      <c r="A149" t="s">
        <v>15</v>
      </c>
      <c r="B149" t="s">
        <v>16</v>
      </c>
      <c r="C149" t="s">
        <v>21</v>
      </c>
      <c r="D149">
        <v>193176</v>
      </c>
      <c r="E149">
        <v>20884</v>
      </c>
      <c r="F149">
        <v>47571</v>
      </c>
      <c r="G149">
        <v>-156095</v>
      </c>
      <c r="H149">
        <v>105536</v>
      </c>
      <c r="I149">
        <v>107860</v>
      </c>
      <c r="J149">
        <v>2282</v>
      </c>
      <c r="K149">
        <v>737738</v>
      </c>
      <c r="L149">
        <v>107804</v>
      </c>
      <c r="M149">
        <v>-121349</v>
      </c>
      <c r="N149">
        <v>148000</v>
      </c>
      <c r="O149" t="s">
        <v>167</v>
      </c>
      <c r="P149" s="9">
        <v>176381</v>
      </c>
      <c r="Q149" s="9">
        <v>32320</v>
      </c>
      <c r="R149" s="9">
        <v>208701</v>
      </c>
      <c r="S149" s="9">
        <v>-115974</v>
      </c>
      <c r="T149" s="10">
        <v>101721</v>
      </c>
      <c r="U149" s="10">
        <v>2349</v>
      </c>
    </row>
    <row r="150" spans="1:21" x14ac:dyDescent="0.35">
      <c r="A150" t="s">
        <v>15</v>
      </c>
      <c r="B150" t="s">
        <v>20</v>
      </c>
      <c r="C150" t="s">
        <v>21</v>
      </c>
      <c r="D150">
        <v>244668</v>
      </c>
      <c r="E150">
        <v>41154</v>
      </c>
      <c r="F150">
        <v>47887</v>
      </c>
      <c r="G150">
        <v>-227520</v>
      </c>
      <c r="H150">
        <v>106189</v>
      </c>
      <c r="I150">
        <v>103418</v>
      </c>
      <c r="J150">
        <v>2147</v>
      </c>
      <c r="K150">
        <v>629680</v>
      </c>
      <c r="L150">
        <v>110239</v>
      </c>
      <c r="M150">
        <v>-234184</v>
      </c>
      <c r="N150">
        <v>187406</v>
      </c>
      <c r="O150" t="s">
        <v>168</v>
      </c>
      <c r="P150" s="9">
        <v>252215</v>
      </c>
      <c r="Q150" s="9">
        <v>32620</v>
      </c>
      <c r="R150" s="9">
        <v>284835</v>
      </c>
      <c r="S150" s="9">
        <v>-98350</v>
      </c>
      <c r="T150" s="10">
        <v>114643</v>
      </c>
      <c r="U150" s="10">
        <v>1993</v>
      </c>
    </row>
    <row r="151" spans="1:21" x14ac:dyDescent="0.35">
      <c r="A151" t="s">
        <v>15</v>
      </c>
      <c r="B151" t="s">
        <v>20</v>
      </c>
      <c r="C151" t="s">
        <v>17</v>
      </c>
      <c r="D151">
        <v>270728</v>
      </c>
      <c r="E151">
        <v>47591</v>
      </c>
      <c r="F151">
        <v>27755</v>
      </c>
      <c r="G151">
        <v>-225897</v>
      </c>
      <c r="H151">
        <v>120177</v>
      </c>
      <c r="I151">
        <v>117115</v>
      </c>
      <c r="J151">
        <v>2231</v>
      </c>
      <c r="K151">
        <v>958454</v>
      </c>
      <c r="L151">
        <v>309118</v>
      </c>
      <c r="M151">
        <v>-311585</v>
      </c>
      <c r="N151">
        <v>81801</v>
      </c>
      <c r="O151" t="s">
        <v>169</v>
      </c>
      <c r="P151" s="9">
        <v>238482</v>
      </c>
      <c r="Q151" s="9">
        <v>44788</v>
      </c>
      <c r="R151" s="9">
        <v>283270</v>
      </c>
      <c r="S151" s="9">
        <v>-142477</v>
      </c>
      <c r="T151" s="10">
        <v>90128</v>
      </c>
      <c r="U151" s="10">
        <v>1747</v>
      </c>
    </row>
    <row r="152" spans="1:21" x14ac:dyDescent="0.35">
      <c r="A152" t="s">
        <v>15</v>
      </c>
      <c r="B152" t="s">
        <v>16</v>
      </c>
      <c r="C152" t="s">
        <v>17</v>
      </c>
      <c r="D152">
        <v>180747</v>
      </c>
      <c r="E152">
        <v>32758</v>
      </c>
      <c r="F152">
        <v>18634</v>
      </c>
      <c r="G152">
        <v>-152629</v>
      </c>
      <c r="H152">
        <v>79510</v>
      </c>
      <c r="I152">
        <v>78556</v>
      </c>
      <c r="J152">
        <v>829</v>
      </c>
      <c r="K152">
        <v>493927</v>
      </c>
      <c r="L152">
        <v>200843</v>
      </c>
      <c r="M152">
        <v>-156538</v>
      </c>
      <c r="N152">
        <v>105196</v>
      </c>
      <c r="O152" t="s">
        <v>170</v>
      </c>
      <c r="P152" s="9">
        <v>158488</v>
      </c>
      <c r="Q152" s="9">
        <v>31105</v>
      </c>
      <c r="R152" s="9">
        <v>189593</v>
      </c>
      <c r="S152" s="9">
        <v>-57538</v>
      </c>
      <c r="T152" s="10">
        <v>69350</v>
      </c>
      <c r="U152" s="10">
        <v>903</v>
      </c>
    </row>
    <row r="153" spans="1:21" x14ac:dyDescent="0.35">
      <c r="A153" t="s">
        <v>15</v>
      </c>
      <c r="B153" t="s">
        <v>20</v>
      </c>
      <c r="C153" t="s">
        <v>21</v>
      </c>
      <c r="D153">
        <v>160737</v>
      </c>
      <c r="E153">
        <v>28075</v>
      </c>
      <c r="F153">
        <v>25710</v>
      </c>
      <c r="G153">
        <v>-150740</v>
      </c>
      <c r="H153">
        <v>63782</v>
      </c>
      <c r="I153">
        <v>64143</v>
      </c>
      <c r="J153">
        <v>1595</v>
      </c>
      <c r="K153">
        <v>626156</v>
      </c>
      <c r="L153">
        <v>283717</v>
      </c>
      <c r="M153">
        <v>-198588</v>
      </c>
      <c r="N153">
        <v>130762</v>
      </c>
      <c r="O153" t="s">
        <v>171</v>
      </c>
      <c r="P153" s="9">
        <v>146718</v>
      </c>
      <c r="Q153" s="9">
        <v>20897</v>
      </c>
      <c r="R153" s="9">
        <v>167615</v>
      </c>
      <c r="S153" s="9">
        <v>-75090</v>
      </c>
      <c r="T153" s="10">
        <v>69871</v>
      </c>
      <c r="U153" s="10">
        <v>1624</v>
      </c>
    </row>
    <row r="154" spans="1:21" x14ac:dyDescent="0.35">
      <c r="A154" t="s">
        <v>15</v>
      </c>
      <c r="B154" t="s">
        <v>16</v>
      </c>
      <c r="C154" t="s">
        <v>21</v>
      </c>
      <c r="D154">
        <v>174773</v>
      </c>
      <c r="E154">
        <v>26096</v>
      </c>
      <c r="F154">
        <v>31641</v>
      </c>
      <c r="G154">
        <v>-165574</v>
      </c>
      <c r="H154">
        <v>66936</v>
      </c>
      <c r="I154">
        <v>63275</v>
      </c>
      <c r="J154">
        <v>935</v>
      </c>
      <c r="K154">
        <v>489798</v>
      </c>
      <c r="L154">
        <v>123220</v>
      </c>
      <c r="M154">
        <v>-174663</v>
      </c>
      <c r="N154">
        <v>114574</v>
      </c>
      <c r="O154" t="s">
        <v>172</v>
      </c>
      <c r="P154" s="9">
        <v>240976</v>
      </c>
      <c r="Q154" s="9">
        <v>22157</v>
      </c>
      <c r="R154" s="9">
        <v>263133</v>
      </c>
      <c r="S154" s="9">
        <v>-54533</v>
      </c>
      <c r="T154" s="10">
        <v>73464</v>
      </c>
      <c r="U154" s="10">
        <v>1783</v>
      </c>
    </row>
    <row r="155" spans="1:21" x14ac:dyDescent="0.35">
      <c r="A155" t="s">
        <v>15</v>
      </c>
      <c r="B155" t="s">
        <v>16</v>
      </c>
      <c r="C155" t="s">
        <v>21</v>
      </c>
      <c r="D155">
        <v>285807</v>
      </c>
      <c r="E155">
        <v>48126</v>
      </c>
      <c r="F155">
        <v>53499</v>
      </c>
      <c r="G155">
        <v>-251201</v>
      </c>
      <c r="H155">
        <v>136231</v>
      </c>
      <c r="I155">
        <v>132537</v>
      </c>
      <c r="J155">
        <v>2088</v>
      </c>
      <c r="K155">
        <v>764152</v>
      </c>
      <c r="L155">
        <v>232021</v>
      </c>
      <c r="M155">
        <v>-289244</v>
      </c>
      <c r="N155">
        <v>239304</v>
      </c>
      <c r="O155" t="s">
        <v>173</v>
      </c>
      <c r="P155" s="9">
        <v>198732</v>
      </c>
      <c r="Q155" s="9">
        <v>28532</v>
      </c>
      <c r="R155" s="9">
        <v>227264</v>
      </c>
      <c r="S155" s="9">
        <v>-133515</v>
      </c>
      <c r="T155" s="10">
        <v>67424</v>
      </c>
      <c r="U155" s="10">
        <v>1754</v>
      </c>
    </row>
    <row r="156" spans="1:21" x14ac:dyDescent="0.35">
      <c r="A156" t="s">
        <v>15</v>
      </c>
      <c r="B156" t="s">
        <v>16</v>
      </c>
      <c r="C156" t="s">
        <v>21</v>
      </c>
      <c r="D156">
        <v>239541</v>
      </c>
      <c r="E156">
        <v>21888</v>
      </c>
      <c r="F156">
        <v>42771</v>
      </c>
      <c r="G156">
        <v>-238721</v>
      </c>
      <c r="H156">
        <v>65479</v>
      </c>
      <c r="I156">
        <v>66081</v>
      </c>
      <c r="J156">
        <v>854</v>
      </c>
      <c r="K156">
        <v>760073</v>
      </c>
      <c r="L156">
        <v>183845</v>
      </c>
      <c r="M156">
        <v>-149625</v>
      </c>
      <c r="N156">
        <v>127709</v>
      </c>
      <c r="O156" t="s">
        <v>174</v>
      </c>
      <c r="P156" s="9">
        <v>236222</v>
      </c>
      <c r="Q156" s="9">
        <v>25572</v>
      </c>
      <c r="R156" s="9">
        <v>261794</v>
      </c>
      <c r="S156" s="9">
        <v>-64466</v>
      </c>
      <c r="T156" s="10">
        <v>54002</v>
      </c>
      <c r="U156" s="10">
        <v>1386</v>
      </c>
    </row>
    <row r="157" spans="1:21" x14ac:dyDescent="0.35">
      <c r="A157" t="s">
        <v>15</v>
      </c>
      <c r="B157" t="s">
        <v>16</v>
      </c>
      <c r="C157" t="s">
        <v>21</v>
      </c>
      <c r="D157">
        <v>237378</v>
      </c>
      <c r="E157">
        <v>18633</v>
      </c>
      <c r="F157">
        <v>33884</v>
      </c>
      <c r="G157">
        <v>-200071</v>
      </c>
      <c r="H157">
        <v>89824</v>
      </c>
      <c r="I157">
        <v>90749</v>
      </c>
      <c r="J157">
        <v>1262</v>
      </c>
      <c r="K157">
        <v>786058</v>
      </c>
      <c r="L157">
        <v>258012</v>
      </c>
      <c r="M157">
        <v>-159386</v>
      </c>
      <c r="N157">
        <v>117328</v>
      </c>
      <c r="O157" t="s">
        <v>175</v>
      </c>
      <c r="P157" s="9">
        <v>191278</v>
      </c>
      <c r="Q157" s="9">
        <v>29325</v>
      </c>
      <c r="R157" s="9">
        <v>220603</v>
      </c>
      <c r="S157" s="9">
        <v>-46342</v>
      </c>
      <c r="T157" s="10">
        <v>68186</v>
      </c>
      <c r="U157" s="10">
        <v>1853</v>
      </c>
    </row>
    <row r="158" spans="1:21" x14ac:dyDescent="0.35">
      <c r="A158" t="s">
        <v>15</v>
      </c>
      <c r="B158" t="s">
        <v>16</v>
      </c>
      <c r="C158" t="s">
        <v>17</v>
      </c>
      <c r="D158">
        <v>280353</v>
      </c>
      <c r="E158">
        <v>52759</v>
      </c>
      <c r="F158">
        <v>65837</v>
      </c>
      <c r="G158">
        <v>-229980</v>
      </c>
      <c r="H158">
        <v>168969</v>
      </c>
      <c r="I158">
        <v>166149</v>
      </c>
      <c r="J158">
        <v>4061</v>
      </c>
      <c r="K158">
        <v>883596</v>
      </c>
      <c r="L158">
        <v>387535</v>
      </c>
      <c r="M158">
        <v>-225611</v>
      </c>
      <c r="N158">
        <v>110052</v>
      </c>
      <c r="O158" t="s">
        <v>176</v>
      </c>
      <c r="P158" s="9">
        <v>231494</v>
      </c>
      <c r="Q158" s="9">
        <v>24306</v>
      </c>
      <c r="R158" s="9">
        <v>255800</v>
      </c>
      <c r="S158" s="9">
        <v>-79657</v>
      </c>
      <c r="T158" s="10">
        <v>52948</v>
      </c>
      <c r="U158" s="10">
        <v>556</v>
      </c>
    </row>
    <row r="159" spans="1:21" x14ac:dyDescent="0.35">
      <c r="A159" t="s">
        <v>15</v>
      </c>
      <c r="B159" t="s">
        <v>20</v>
      </c>
      <c r="C159" t="s">
        <v>21</v>
      </c>
      <c r="D159">
        <v>244044</v>
      </c>
      <c r="E159">
        <v>47037</v>
      </c>
      <c r="F159">
        <v>31392</v>
      </c>
      <c r="G159">
        <v>-206740</v>
      </c>
      <c r="H159">
        <v>115733</v>
      </c>
      <c r="I159">
        <v>108962</v>
      </c>
      <c r="J159">
        <v>1733</v>
      </c>
      <c r="K159">
        <v>600422</v>
      </c>
      <c r="L159">
        <v>161432</v>
      </c>
      <c r="M159">
        <v>-178090</v>
      </c>
      <c r="N159">
        <v>184023</v>
      </c>
      <c r="O159" t="s">
        <v>177</v>
      </c>
      <c r="P159" s="9">
        <v>146085</v>
      </c>
      <c r="Q159" s="9">
        <v>27910</v>
      </c>
      <c r="R159" s="9">
        <v>173995</v>
      </c>
      <c r="S159" s="9">
        <v>-43039</v>
      </c>
      <c r="T159" s="10">
        <v>65325</v>
      </c>
      <c r="U159" s="10">
        <v>1585</v>
      </c>
    </row>
    <row r="160" spans="1:21" x14ac:dyDescent="0.35">
      <c r="A160" t="s">
        <v>15</v>
      </c>
      <c r="B160" t="s">
        <v>16</v>
      </c>
      <c r="C160" t="s">
        <v>21</v>
      </c>
      <c r="D160">
        <v>175559</v>
      </c>
      <c r="E160">
        <v>27178</v>
      </c>
      <c r="F160">
        <v>23956</v>
      </c>
      <c r="G160">
        <v>-154397</v>
      </c>
      <c r="H160">
        <v>72296</v>
      </c>
      <c r="I160">
        <v>69755</v>
      </c>
      <c r="J160">
        <v>876</v>
      </c>
      <c r="K160">
        <v>445218</v>
      </c>
      <c r="L160">
        <v>207271</v>
      </c>
      <c r="M160">
        <v>-174288</v>
      </c>
      <c r="N160">
        <v>125261</v>
      </c>
      <c r="O160" t="s">
        <v>178</v>
      </c>
      <c r="P160" s="9">
        <v>188560</v>
      </c>
      <c r="Q160" s="9">
        <v>19654</v>
      </c>
      <c r="R160" s="9">
        <v>208214</v>
      </c>
      <c r="S160" s="9">
        <v>-75498</v>
      </c>
      <c r="T160" s="10">
        <v>65575</v>
      </c>
      <c r="U160" s="10">
        <v>995</v>
      </c>
    </row>
    <row r="161" spans="1:21" x14ac:dyDescent="0.35">
      <c r="A161" t="s">
        <v>15</v>
      </c>
      <c r="B161" t="s">
        <v>16</v>
      </c>
      <c r="C161" t="s">
        <v>17</v>
      </c>
      <c r="D161">
        <v>234597</v>
      </c>
      <c r="E161">
        <v>17693</v>
      </c>
      <c r="F161">
        <v>53882</v>
      </c>
      <c r="G161">
        <v>-205353</v>
      </c>
      <c r="H161">
        <v>100819</v>
      </c>
      <c r="I161">
        <v>104968</v>
      </c>
      <c r="J161">
        <v>3016</v>
      </c>
      <c r="K161">
        <v>842429</v>
      </c>
      <c r="L161">
        <v>95898</v>
      </c>
      <c r="M161">
        <v>-250675</v>
      </c>
      <c r="N161">
        <v>148173</v>
      </c>
      <c r="O161" t="s">
        <v>179</v>
      </c>
      <c r="P161" s="9">
        <v>248400</v>
      </c>
      <c r="Q161" s="9">
        <v>41447</v>
      </c>
      <c r="R161" s="9">
        <v>289847</v>
      </c>
      <c r="S161" s="9">
        <v>-110134</v>
      </c>
      <c r="T161" s="10">
        <v>95998</v>
      </c>
      <c r="U161" s="10">
        <v>1307</v>
      </c>
    </row>
    <row r="162" spans="1:21" x14ac:dyDescent="0.35">
      <c r="A162" t="s">
        <v>15</v>
      </c>
      <c r="B162" t="s">
        <v>16</v>
      </c>
      <c r="C162" t="s">
        <v>21</v>
      </c>
      <c r="D162">
        <v>286721</v>
      </c>
      <c r="E162">
        <v>46102</v>
      </c>
      <c r="F162">
        <v>34506</v>
      </c>
      <c r="G162">
        <v>-239633</v>
      </c>
      <c r="H162">
        <v>127696</v>
      </c>
      <c r="I162">
        <v>130469</v>
      </c>
      <c r="J162">
        <v>3196</v>
      </c>
      <c r="K162">
        <v>958595</v>
      </c>
      <c r="L162">
        <v>306181</v>
      </c>
      <c r="M162">
        <v>-259979</v>
      </c>
      <c r="N162">
        <v>207985</v>
      </c>
      <c r="O162" t="s">
        <v>180</v>
      </c>
      <c r="P162" s="9">
        <v>223447</v>
      </c>
      <c r="Q162" s="9">
        <v>37298</v>
      </c>
      <c r="R162" s="9">
        <v>260745</v>
      </c>
      <c r="S162" s="9">
        <v>-152264</v>
      </c>
      <c r="T162" s="10">
        <v>107231</v>
      </c>
      <c r="U162" s="10">
        <v>3135</v>
      </c>
    </row>
    <row r="163" spans="1:21" x14ac:dyDescent="0.35">
      <c r="A163" t="s">
        <v>15</v>
      </c>
      <c r="B163" t="s">
        <v>16</v>
      </c>
      <c r="C163" t="s">
        <v>21</v>
      </c>
      <c r="D163">
        <v>241956</v>
      </c>
      <c r="E163">
        <v>39946</v>
      </c>
      <c r="F163">
        <v>60281</v>
      </c>
      <c r="G163">
        <v>-213287</v>
      </c>
      <c r="H163">
        <v>128896</v>
      </c>
      <c r="I163">
        <v>125265</v>
      </c>
      <c r="J163">
        <v>1985</v>
      </c>
      <c r="K163">
        <v>720333</v>
      </c>
      <c r="L163">
        <v>199762</v>
      </c>
      <c r="M163">
        <v>-75243</v>
      </c>
      <c r="N163">
        <v>107898</v>
      </c>
      <c r="O163" t="s">
        <v>181</v>
      </c>
      <c r="P163" s="9">
        <v>277344</v>
      </c>
      <c r="Q163" s="9">
        <v>39043</v>
      </c>
      <c r="R163" s="9">
        <v>316387</v>
      </c>
      <c r="S163" s="9">
        <v>-123637</v>
      </c>
      <c r="T163" s="10">
        <v>143098</v>
      </c>
      <c r="U163" s="10">
        <v>3678</v>
      </c>
    </row>
    <row r="164" spans="1:21" x14ac:dyDescent="0.35">
      <c r="A164" t="s">
        <v>15</v>
      </c>
      <c r="B164" t="s">
        <v>16</v>
      </c>
      <c r="C164" t="s">
        <v>21</v>
      </c>
      <c r="D164">
        <v>259544</v>
      </c>
      <c r="E164">
        <v>31893</v>
      </c>
      <c r="F164">
        <v>63909</v>
      </c>
      <c r="G164">
        <v>-218375</v>
      </c>
      <c r="H164">
        <v>136971</v>
      </c>
      <c r="I164">
        <v>128324</v>
      </c>
      <c r="J164">
        <v>1300</v>
      </c>
      <c r="K164">
        <v>841360</v>
      </c>
      <c r="L164">
        <v>404063</v>
      </c>
      <c r="M164">
        <v>-189320</v>
      </c>
      <c r="N164">
        <v>109220</v>
      </c>
      <c r="O164" t="s">
        <v>182</v>
      </c>
      <c r="P164" s="9">
        <v>287376</v>
      </c>
      <c r="Q164" s="9">
        <v>45023</v>
      </c>
      <c r="R164" s="9">
        <v>332399</v>
      </c>
      <c r="S164" s="9">
        <v>-110767</v>
      </c>
      <c r="T164" s="10">
        <v>103243</v>
      </c>
      <c r="U164" s="10">
        <v>2845</v>
      </c>
    </row>
    <row r="165" spans="1:21" x14ac:dyDescent="0.35">
      <c r="A165" t="s">
        <v>15</v>
      </c>
      <c r="B165" t="s">
        <v>20</v>
      </c>
      <c r="C165" t="s">
        <v>21</v>
      </c>
      <c r="D165">
        <v>164440</v>
      </c>
      <c r="E165">
        <v>13557</v>
      </c>
      <c r="F165">
        <v>30174</v>
      </c>
      <c r="G165">
        <v>-146411</v>
      </c>
      <c r="H165">
        <v>61760</v>
      </c>
      <c r="I165">
        <v>60250</v>
      </c>
      <c r="J165">
        <v>967</v>
      </c>
      <c r="K165">
        <v>584962</v>
      </c>
      <c r="L165">
        <v>187485</v>
      </c>
      <c r="M165">
        <v>-224377</v>
      </c>
      <c r="N165">
        <v>107974</v>
      </c>
      <c r="O165" t="s">
        <v>183</v>
      </c>
      <c r="P165" s="9">
        <v>203304</v>
      </c>
      <c r="Q165" s="9">
        <v>38255</v>
      </c>
      <c r="R165" s="9">
        <v>241559</v>
      </c>
      <c r="S165" s="9">
        <v>-112938</v>
      </c>
      <c r="T165" s="10">
        <v>82072</v>
      </c>
      <c r="U165" s="10">
        <v>2333</v>
      </c>
    </row>
    <row r="166" spans="1:21" x14ac:dyDescent="0.35">
      <c r="A166" t="s">
        <v>15</v>
      </c>
      <c r="B166" t="s">
        <v>16</v>
      </c>
      <c r="C166" t="s">
        <v>17</v>
      </c>
      <c r="D166">
        <v>205062</v>
      </c>
      <c r="E166">
        <v>10890</v>
      </c>
      <c r="F166">
        <v>24409</v>
      </c>
      <c r="G166">
        <v>-203945</v>
      </c>
      <c r="H166">
        <v>36416</v>
      </c>
      <c r="I166">
        <v>35289</v>
      </c>
      <c r="J166">
        <v>1038</v>
      </c>
      <c r="K166">
        <v>652476</v>
      </c>
      <c r="L166">
        <v>82058</v>
      </c>
      <c r="M166">
        <v>-225188</v>
      </c>
      <c r="N166">
        <v>159100</v>
      </c>
      <c r="O166" t="s">
        <v>184</v>
      </c>
      <c r="P166" s="9">
        <v>197747</v>
      </c>
      <c r="Q166" s="9">
        <v>9665</v>
      </c>
      <c r="R166" s="9">
        <v>207412</v>
      </c>
      <c r="S166" s="9">
        <v>-85542</v>
      </c>
      <c r="T166" s="10">
        <v>61297</v>
      </c>
      <c r="U166" s="10">
        <v>1617</v>
      </c>
    </row>
    <row r="167" spans="1:21" x14ac:dyDescent="0.35">
      <c r="A167" t="s">
        <v>15</v>
      </c>
      <c r="B167" t="s">
        <v>16</v>
      </c>
      <c r="C167" t="s">
        <v>17</v>
      </c>
      <c r="D167">
        <v>251081</v>
      </c>
      <c r="E167">
        <v>32757</v>
      </c>
      <c r="F167">
        <v>54812</v>
      </c>
      <c r="G167">
        <v>-216341</v>
      </c>
      <c r="H167">
        <v>122309</v>
      </c>
      <c r="I167">
        <v>111153</v>
      </c>
      <c r="J167">
        <v>2097</v>
      </c>
      <c r="K167">
        <v>956594</v>
      </c>
      <c r="L167">
        <v>240221</v>
      </c>
      <c r="M167">
        <v>-361711</v>
      </c>
      <c r="N167">
        <v>195137</v>
      </c>
      <c r="O167" t="s">
        <v>185</v>
      </c>
      <c r="P167" s="9">
        <v>244565</v>
      </c>
      <c r="Q167" s="9">
        <v>23018</v>
      </c>
      <c r="R167" s="9">
        <v>267583</v>
      </c>
      <c r="S167" s="9">
        <v>-62294</v>
      </c>
      <c r="T167" s="10">
        <v>92841</v>
      </c>
      <c r="U167" s="10">
        <v>1620</v>
      </c>
    </row>
    <row r="168" spans="1:21" x14ac:dyDescent="0.35">
      <c r="A168" t="s">
        <v>15</v>
      </c>
      <c r="B168" t="s">
        <v>16</v>
      </c>
      <c r="C168" t="s">
        <v>21</v>
      </c>
      <c r="D168">
        <v>292895</v>
      </c>
      <c r="E168">
        <v>15590</v>
      </c>
      <c r="F168">
        <v>60484</v>
      </c>
      <c r="G168">
        <v>-275802</v>
      </c>
      <c r="H168">
        <v>93167</v>
      </c>
      <c r="I168">
        <v>83865</v>
      </c>
      <c r="J168">
        <v>1034</v>
      </c>
      <c r="K168">
        <v>882057</v>
      </c>
      <c r="L168">
        <v>316059</v>
      </c>
      <c r="M168">
        <v>-264696</v>
      </c>
      <c r="N168">
        <v>185442</v>
      </c>
      <c r="O168" t="s">
        <v>186</v>
      </c>
      <c r="P168" s="9">
        <v>220138</v>
      </c>
      <c r="Q168" s="9">
        <v>31389</v>
      </c>
      <c r="R168" s="9">
        <v>251527</v>
      </c>
      <c r="S168" s="9">
        <v>-66553</v>
      </c>
      <c r="T168" s="10">
        <v>115550</v>
      </c>
      <c r="U168" s="10">
        <v>3242</v>
      </c>
    </row>
    <row r="169" spans="1:21" x14ac:dyDescent="0.35">
      <c r="A169" t="s">
        <v>15</v>
      </c>
      <c r="B169" t="s">
        <v>20</v>
      </c>
      <c r="C169" t="s">
        <v>21</v>
      </c>
      <c r="D169">
        <v>155115</v>
      </c>
      <c r="E169">
        <v>15950</v>
      </c>
      <c r="F169">
        <v>25717</v>
      </c>
      <c r="G169">
        <v>-149702</v>
      </c>
      <c r="H169">
        <v>47080</v>
      </c>
      <c r="I169">
        <v>45479</v>
      </c>
      <c r="J169">
        <v>1328</v>
      </c>
      <c r="K169">
        <v>547717</v>
      </c>
      <c r="L169">
        <v>138112</v>
      </c>
      <c r="M169">
        <v>-90501</v>
      </c>
      <c r="N169">
        <v>135866</v>
      </c>
      <c r="O169" t="s">
        <v>187</v>
      </c>
      <c r="P169" s="9">
        <v>289825</v>
      </c>
      <c r="Q169" s="9">
        <v>17218</v>
      </c>
      <c r="R169" s="9">
        <v>307043</v>
      </c>
      <c r="S169" s="9">
        <v>-62909</v>
      </c>
      <c r="T169" s="10">
        <v>108305</v>
      </c>
      <c r="U169" s="10">
        <v>1973</v>
      </c>
    </row>
    <row r="170" spans="1:21" x14ac:dyDescent="0.35">
      <c r="A170" t="s">
        <v>15</v>
      </c>
      <c r="B170" t="s">
        <v>20</v>
      </c>
      <c r="C170" t="s">
        <v>21</v>
      </c>
      <c r="D170">
        <v>169027</v>
      </c>
      <c r="E170">
        <v>9667</v>
      </c>
      <c r="F170">
        <v>25556</v>
      </c>
      <c r="G170">
        <v>-150406</v>
      </c>
      <c r="H170">
        <v>53844</v>
      </c>
      <c r="I170">
        <v>49388</v>
      </c>
      <c r="J170">
        <v>1457</v>
      </c>
      <c r="K170">
        <v>360290</v>
      </c>
      <c r="L170">
        <v>149232</v>
      </c>
      <c r="M170">
        <v>-48735</v>
      </c>
      <c r="N170">
        <v>106447</v>
      </c>
      <c r="O170" t="s">
        <v>188</v>
      </c>
      <c r="P170" s="9">
        <v>222910</v>
      </c>
      <c r="Q170" s="9">
        <v>35426</v>
      </c>
      <c r="R170" s="9">
        <v>258336</v>
      </c>
      <c r="S170" s="9">
        <v>-126493</v>
      </c>
      <c r="T170" s="10">
        <v>71906</v>
      </c>
      <c r="U170" s="10">
        <v>2026</v>
      </c>
    </row>
    <row r="171" spans="1:21" x14ac:dyDescent="0.35">
      <c r="A171" t="s">
        <v>15</v>
      </c>
      <c r="B171" t="s">
        <v>16</v>
      </c>
      <c r="C171" t="s">
        <v>17</v>
      </c>
      <c r="D171">
        <v>227727</v>
      </c>
      <c r="E171">
        <v>39444</v>
      </c>
      <c r="F171">
        <v>33433</v>
      </c>
      <c r="G171">
        <v>-222135</v>
      </c>
      <c r="H171">
        <v>78469</v>
      </c>
      <c r="I171">
        <v>71367</v>
      </c>
      <c r="J171">
        <v>815</v>
      </c>
      <c r="K171">
        <v>807939</v>
      </c>
      <c r="L171">
        <v>108411</v>
      </c>
      <c r="M171">
        <v>-149687</v>
      </c>
      <c r="N171">
        <v>187025</v>
      </c>
      <c r="O171" t="s">
        <v>189</v>
      </c>
      <c r="P171" s="9">
        <v>187110</v>
      </c>
      <c r="Q171" s="9">
        <v>33492</v>
      </c>
      <c r="R171" s="9">
        <v>220602</v>
      </c>
      <c r="S171" s="9">
        <v>-110098</v>
      </c>
      <c r="T171" s="10">
        <v>66869</v>
      </c>
      <c r="U171" s="10">
        <v>731</v>
      </c>
    </row>
    <row r="172" spans="1:21" x14ac:dyDescent="0.35">
      <c r="A172" t="s">
        <v>15</v>
      </c>
      <c r="B172" t="s">
        <v>20</v>
      </c>
      <c r="C172" t="s">
        <v>21</v>
      </c>
      <c r="D172">
        <v>278027</v>
      </c>
      <c r="E172">
        <v>34446</v>
      </c>
      <c r="F172">
        <v>43878</v>
      </c>
      <c r="G172">
        <v>-257004</v>
      </c>
      <c r="H172">
        <v>99347</v>
      </c>
      <c r="I172">
        <v>92733</v>
      </c>
      <c r="J172">
        <v>2197</v>
      </c>
      <c r="K172">
        <v>791309</v>
      </c>
      <c r="L172">
        <v>365064</v>
      </c>
      <c r="M172">
        <v>-218479</v>
      </c>
      <c r="N172">
        <v>89132</v>
      </c>
      <c r="O172" t="s">
        <v>190</v>
      </c>
      <c r="P172" s="9">
        <v>265108</v>
      </c>
      <c r="Q172" s="9">
        <v>24258</v>
      </c>
      <c r="R172" s="9">
        <v>289366</v>
      </c>
      <c r="S172" s="9">
        <v>-107718</v>
      </c>
      <c r="T172" s="10">
        <v>75684</v>
      </c>
      <c r="U172" s="10">
        <v>1336</v>
      </c>
    </row>
    <row r="173" spans="1:21" x14ac:dyDescent="0.35">
      <c r="A173" t="s">
        <v>15</v>
      </c>
      <c r="B173" t="s">
        <v>20</v>
      </c>
      <c r="C173" t="s">
        <v>17</v>
      </c>
      <c r="D173">
        <v>260250</v>
      </c>
      <c r="E173">
        <v>29254</v>
      </c>
      <c r="F173">
        <v>53725</v>
      </c>
      <c r="G173">
        <v>-223224</v>
      </c>
      <c r="H173">
        <v>120005</v>
      </c>
      <c r="I173">
        <v>124129</v>
      </c>
      <c r="J173">
        <v>3373</v>
      </c>
      <c r="K173">
        <v>1009509</v>
      </c>
      <c r="L173">
        <v>180441</v>
      </c>
      <c r="M173">
        <v>-259314</v>
      </c>
      <c r="N173">
        <v>79532</v>
      </c>
      <c r="O173" t="s">
        <v>191</v>
      </c>
      <c r="P173" s="9">
        <v>253730</v>
      </c>
      <c r="Q173" s="9">
        <v>35737</v>
      </c>
      <c r="R173" s="9">
        <v>289467</v>
      </c>
      <c r="S173" s="9">
        <v>-116208</v>
      </c>
      <c r="T173" s="10">
        <v>126518</v>
      </c>
      <c r="U173" s="10">
        <v>3159</v>
      </c>
    </row>
    <row r="174" spans="1:21" x14ac:dyDescent="0.35">
      <c r="A174" t="s">
        <v>15</v>
      </c>
      <c r="B174" t="s">
        <v>16</v>
      </c>
      <c r="C174" t="s">
        <v>21</v>
      </c>
      <c r="D174">
        <v>284465</v>
      </c>
      <c r="E174">
        <v>47659</v>
      </c>
      <c r="F174">
        <v>41771</v>
      </c>
      <c r="G174">
        <v>-284239</v>
      </c>
      <c r="H174">
        <v>89656</v>
      </c>
      <c r="I174">
        <v>80766</v>
      </c>
      <c r="J174">
        <v>941</v>
      </c>
      <c r="K174">
        <v>1007934</v>
      </c>
      <c r="L174">
        <v>439609</v>
      </c>
      <c r="M174">
        <v>-225282</v>
      </c>
      <c r="N174">
        <v>184607</v>
      </c>
      <c r="O174" t="s">
        <v>192</v>
      </c>
      <c r="P174" s="9">
        <v>237902</v>
      </c>
      <c r="Q174" s="9">
        <v>27322</v>
      </c>
      <c r="R174" s="9">
        <v>265224</v>
      </c>
      <c r="S174" s="9">
        <v>-109569</v>
      </c>
      <c r="T174" s="10">
        <v>89449</v>
      </c>
      <c r="U174" s="10">
        <v>1457</v>
      </c>
    </row>
    <row r="175" spans="1:21" x14ac:dyDescent="0.35">
      <c r="A175" t="s">
        <v>15</v>
      </c>
      <c r="B175" t="s">
        <v>16</v>
      </c>
      <c r="C175" t="s">
        <v>21</v>
      </c>
      <c r="D175">
        <v>188117</v>
      </c>
      <c r="E175">
        <v>29490</v>
      </c>
      <c r="F175">
        <v>34725</v>
      </c>
      <c r="G175">
        <v>-175519</v>
      </c>
      <c r="H175">
        <v>76813</v>
      </c>
      <c r="I175">
        <v>79374</v>
      </c>
      <c r="J175">
        <v>1986</v>
      </c>
      <c r="K175">
        <v>409840</v>
      </c>
      <c r="L175">
        <v>127454</v>
      </c>
      <c r="M175">
        <v>-110407</v>
      </c>
      <c r="N175">
        <v>164013</v>
      </c>
      <c r="O175" t="s">
        <v>193</v>
      </c>
      <c r="P175" s="9">
        <v>264756</v>
      </c>
      <c r="Q175" s="9">
        <v>16941</v>
      </c>
      <c r="R175" s="9">
        <v>281697</v>
      </c>
      <c r="S175" s="9">
        <v>-98138</v>
      </c>
      <c r="T175" s="10">
        <v>99425</v>
      </c>
      <c r="U175" s="10">
        <v>2488</v>
      </c>
    </row>
    <row r="176" spans="1:21" x14ac:dyDescent="0.35">
      <c r="A176" t="s">
        <v>15</v>
      </c>
      <c r="B176" t="s">
        <v>20</v>
      </c>
      <c r="C176" t="s">
        <v>21</v>
      </c>
      <c r="D176">
        <v>293518</v>
      </c>
      <c r="E176">
        <v>25205</v>
      </c>
      <c r="F176">
        <v>53342</v>
      </c>
      <c r="G176">
        <v>-292548</v>
      </c>
      <c r="H176">
        <v>79517</v>
      </c>
      <c r="I176">
        <v>77021</v>
      </c>
      <c r="J176">
        <v>1085</v>
      </c>
      <c r="K176">
        <v>996399</v>
      </c>
      <c r="L176">
        <v>273449</v>
      </c>
      <c r="M176">
        <v>-189937</v>
      </c>
      <c r="N176">
        <v>176736</v>
      </c>
      <c r="O176" t="s">
        <v>194</v>
      </c>
      <c r="P176" s="9">
        <v>267595</v>
      </c>
      <c r="Q176" s="9">
        <v>14573</v>
      </c>
      <c r="R176" s="9">
        <v>282168</v>
      </c>
      <c r="S176" s="9">
        <v>-134428</v>
      </c>
      <c r="T176" s="10">
        <v>94501</v>
      </c>
      <c r="U176" s="10">
        <v>1862</v>
      </c>
    </row>
    <row r="177" spans="1:21" x14ac:dyDescent="0.35">
      <c r="A177" t="s">
        <v>15</v>
      </c>
      <c r="B177" t="s">
        <v>20</v>
      </c>
      <c r="C177" t="s">
        <v>21</v>
      </c>
      <c r="D177">
        <v>196065</v>
      </c>
      <c r="E177">
        <v>29710</v>
      </c>
      <c r="F177">
        <v>40117</v>
      </c>
      <c r="G177">
        <v>-176447</v>
      </c>
      <c r="H177">
        <v>89445</v>
      </c>
      <c r="I177">
        <v>91459</v>
      </c>
      <c r="J177">
        <v>2323</v>
      </c>
      <c r="K177">
        <v>572279</v>
      </c>
      <c r="L177">
        <v>109148</v>
      </c>
      <c r="M177">
        <v>-167739</v>
      </c>
      <c r="N177">
        <v>128494</v>
      </c>
      <c r="O177" t="s">
        <v>195</v>
      </c>
      <c r="P177" s="9">
        <v>236805</v>
      </c>
      <c r="Q177" s="9">
        <v>46042</v>
      </c>
      <c r="R177" s="9">
        <v>282847</v>
      </c>
      <c r="S177" s="9">
        <v>-125665</v>
      </c>
      <c r="T177" s="10">
        <v>92498</v>
      </c>
      <c r="U177" s="10">
        <v>1282</v>
      </c>
    </row>
    <row r="178" spans="1:21" x14ac:dyDescent="0.35">
      <c r="A178" t="s">
        <v>15</v>
      </c>
      <c r="B178" t="s">
        <v>16</v>
      </c>
      <c r="C178" t="s">
        <v>21</v>
      </c>
      <c r="D178">
        <v>275003</v>
      </c>
      <c r="E178">
        <v>20086</v>
      </c>
      <c r="F178">
        <v>52344</v>
      </c>
      <c r="G178">
        <v>-229838</v>
      </c>
      <c r="H178">
        <v>117595</v>
      </c>
      <c r="I178">
        <v>113204</v>
      </c>
      <c r="J178">
        <v>2357</v>
      </c>
      <c r="K178">
        <v>716327</v>
      </c>
      <c r="L178">
        <v>301841</v>
      </c>
      <c r="M178">
        <v>-107523</v>
      </c>
      <c r="N178">
        <v>179577</v>
      </c>
      <c r="O178" t="s">
        <v>196</v>
      </c>
      <c r="P178" s="9">
        <v>215171</v>
      </c>
      <c r="Q178" s="9">
        <v>28768</v>
      </c>
      <c r="R178" s="9">
        <v>243939</v>
      </c>
      <c r="S178" s="9">
        <v>-98651</v>
      </c>
      <c r="T178" s="10">
        <v>102803</v>
      </c>
      <c r="U178" s="10">
        <v>1144</v>
      </c>
    </row>
    <row r="179" spans="1:21" x14ac:dyDescent="0.35">
      <c r="A179" t="s">
        <v>15</v>
      </c>
      <c r="B179" t="s">
        <v>20</v>
      </c>
      <c r="C179" t="s">
        <v>21</v>
      </c>
      <c r="D179">
        <v>283503</v>
      </c>
      <c r="E179">
        <v>25880</v>
      </c>
      <c r="F179">
        <v>32234</v>
      </c>
      <c r="G179">
        <v>-233555</v>
      </c>
      <c r="H179">
        <v>108062</v>
      </c>
      <c r="I179">
        <v>104649</v>
      </c>
      <c r="J179">
        <v>1426</v>
      </c>
      <c r="K179">
        <v>673754</v>
      </c>
      <c r="L179">
        <v>208739</v>
      </c>
      <c r="M179">
        <v>-267875</v>
      </c>
      <c r="N179">
        <v>95325</v>
      </c>
      <c r="O179" t="s">
        <v>197</v>
      </c>
      <c r="P179" s="9">
        <v>190622</v>
      </c>
      <c r="Q179" s="9">
        <v>18402</v>
      </c>
      <c r="R179" s="9">
        <v>209024</v>
      </c>
      <c r="S179" s="9">
        <v>-85527</v>
      </c>
      <c r="T179" s="10">
        <v>74578</v>
      </c>
      <c r="U179" s="10">
        <v>1146</v>
      </c>
    </row>
    <row r="180" spans="1:21" x14ac:dyDescent="0.35">
      <c r="A180" t="s">
        <v>15</v>
      </c>
      <c r="B180" t="s">
        <v>20</v>
      </c>
      <c r="C180" t="s">
        <v>21</v>
      </c>
      <c r="D180">
        <v>260263</v>
      </c>
      <c r="E180">
        <v>22360</v>
      </c>
      <c r="F180">
        <v>50647</v>
      </c>
      <c r="G180">
        <v>-221128</v>
      </c>
      <c r="H180">
        <v>112142</v>
      </c>
      <c r="I180">
        <v>106323</v>
      </c>
      <c r="J180">
        <v>3088</v>
      </c>
      <c r="K180">
        <v>527518</v>
      </c>
      <c r="L180">
        <v>252788</v>
      </c>
      <c r="M180">
        <v>-105632</v>
      </c>
      <c r="N180">
        <v>101512</v>
      </c>
      <c r="O180" t="s">
        <v>198</v>
      </c>
      <c r="P180" s="9">
        <v>275853</v>
      </c>
      <c r="Q180" s="9">
        <v>42913</v>
      </c>
      <c r="R180" s="9">
        <v>318766</v>
      </c>
      <c r="S180" s="9">
        <v>-170819</v>
      </c>
      <c r="T180" s="10">
        <v>141287</v>
      </c>
      <c r="U180" s="10">
        <v>3091</v>
      </c>
    </row>
    <row r="181" spans="1:21" x14ac:dyDescent="0.35">
      <c r="A181" t="s">
        <v>15</v>
      </c>
      <c r="B181" t="s">
        <v>20</v>
      </c>
      <c r="C181" t="s">
        <v>21</v>
      </c>
      <c r="D181">
        <v>286512</v>
      </c>
      <c r="E181">
        <v>40922</v>
      </c>
      <c r="F181">
        <v>50639</v>
      </c>
      <c r="G181">
        <v>-285630</v>
      </c>
      <c r="H181">
        <v>92443</v>
      </c>
      <c r="I181">
        <v>95002</v>
      </c>
      <c r="J181">
        <v>2384</v>
      </c>
      <c r="K181">
        <v>698356</v>
      </c>
      <c r="L181">
        <v>223995</v>
      </c>
      <c r="M181">
        <v>-201468</v>
      </c>
      <c r="N181">
        <v>198088</v>
      </c>
      <c r="O181" t="s">
        <v>199</v>
      </c>
      <c r="P181" s="9">
        <v>277833</v>
      </c>
      <c r="Q181" s="9">
        <v>22005</v>
      </c>
      <c r="R181" s="9">
        <v>299838</v>
      </c>
      <c r="S181" s="9">
        <v>-120767</v>
      </c>
      <c r="T181" s="10">
        <v>90882</v>
      </c>
      <c r="U181" s="10">
        <v>1520</v>
      </c>
    </row>
    <row r="182" spans="1:21" x14ac:dyDescent="0.35">
      <c r="A182" t="s">
        <v>15</v>
      </c>
      <c r="B182" t="s">
        <v>20</v>
      </c>
      <c r="C182" t="s">
        <v>17</v>
      </c>
      <c r="D182">
        <v>284717</v>
      </c>
      <c r="E182">
        <v>55427</v>
      </c>
      <c r="F182">
        <v>39672</v>
      </c>
      <c r="G182">
        <v>-238792</v>
      </c>
      <c r="H182">
        <v>141024</v>
      </c>
      <c r="I182">
        <v>141725</v>
      </c>
      <c r="J182">
        <v>3088</v>
      </c>
      <c r="K182">
        <v>886328</v>
      </c>
      <c r="L182">
        <v>259049</v>
      </c>
      <c r="M182">
        <v>-172597</v>
      </c>
      <c r="N182">
        <v>96053</v>
      </c>
      <c r="O182" t="s">
        <v>200</v>
      </c>
      <c r="P182" s="9">
        <v>228407</v>
      </c>
      <c r="Q182" s="9">
        <v>36023</v>
      </c>
      <c r="R182" s="9">
        <v>264430</v>
      </c>
      <c r="S182" s="9">
        <v>-83091</v>
      </c>
      <c r="T182" s="10">
        <v>81316</v>
      </c>
      <c r="U182" s="10">
        <v>1919</v>
      </c>
    </row>
    <row r="183" spans="1:21" x14ac:dyDescent="0.35">
      <c r="A183" t="s">
        <v>15</v>
      </c>
      <c r="B183" t="s">
        <v>16</v>
      </c>
      <c r="C183" t="s">
        <v>17</v>
      </c>
      <c r="D183">
        <v>150540</v>
      </c>
      <c r="E183">
        <v>15635</v>
      </c>
      <c r="F183">
        <v>20521</v>
      </c>
      <c r="G183">
        <v>-122148</v>
      </c>
      <c r="H183">
        <v>64548</v>
      </c>
      <c r="I183">
        <v>59507</v>
      </c>
      <c r="J183">
        <v>794</v>
      </c>
      <c r="K183">
        <v>476422</v>
      </c>
      <c r="L183">
        <v>214642</v>
      </c>
      <c r="M183">
        <v>-60146</v>
      </c>
      <c r="N183">
        <v>90712</v>
      </c>
      <c r="O183" t="s">
        <v>201</v>
      </c>
      <c r="P183" s="9">
        <v>203623</v>
      </c>
      <c r="Q183" s="9">
        <v>15897</v>
      </c>
      <c r="R183" s="9">
        <v>219520</v>
      </c>
      <c r="S183" s="9">
        <v>-88247</v>
      </c>
      <c r="T183" s="10">
        <v>54451</v>
      </c>
      <c r="U183" s="10">
        <v>1494</v>
      </c>
    </row>
    <row r="184" spans="1:21" x14ac:dyDescent="0.35">
      <c r="A184" t="s">
        <v>15</v>
      </c>
      <c r="B184" t="s">
        <v>20</v>
      </c>
      <c r="C184" t="s">
        <v>21</v>
      </c>
      <c r="D184">
        <v>270196</v>
      </c>
      <c r="E184">
        <v>46413</v>
      </c>
      <c r="F184">
        <v>39492</v>
      </c>
      <c r="G184">
        <v>-222820</v>
      </c>
      <c r="H184">
        <v>133281</v>
      </c>
      <c r="I184">
        <v>121173</v>
      </c>
      <c r="J184">
        <v>2124</v>
      </c>
      <c r="K184">
        <v>759388</v>
      </c>
      <c r="L184">
        <v>289786</v>
      </c>
      <c r="M184">
        <v>-105140</v>
      </c>
      <c r="N184">
        <v>89859</v>
      </c>
      <c r="O184" t="s">
        <v>202</v>
      </c>
      <c r="P184" s="9">
        <v>323130</v>
      </c>
      <c r="Q184" s="9">
        <v>38490</v>
      </c>
      <c r="R184" s="9">
        <v>361620</v>
      </c>
      <c r="S184" s="9">
        <v>-184595</v>
      </c>
      <c r="T184" s="10">
        <v>114084</v>
      </c>
      <c r="U184" s="10">
        <v>2975</v>
      </c>
    </row>
    <row r="185" spans="1:21" x14ac:dyDescent="0.35">
      <c r="A185" t="s">
        <v>15</v>
      </c>
      <c r="B185" t="s">
        <v>20</v>
      </c>
      <c r="C185" t="s">
        <v>21</v>
      </c>
      <c r="D185">
        <v>278568</v>
      </c>
      <c r="E185">
        <v>37926</v>
      </c>
      <c r="F185">
        <v>40971</v>
      </c>
      <c r="G185">
        <v>-258665</v>
      </c>
      <c r="H185">
        <v>98800</v>
      </c>
      <c r="I185">
        <v>93667</v>
      </c>
      <c r="J185">
        <v>2676</v>
      </c>
      <c r="K185">
        <v>559793</v>
      </c>
      <c r="L185">
        <v>90377</v>
      </c>
      <c r="M185">
        <v>-91552</v>
      </c>
      <c r="N185">
        <v>220054</v>
      </c>
      <c r="O185" t="s">
        <v>203</v>
      </c>
      <c r="P185" s="9">
        <v>218545</v>
      </c>
      <c r="Q185" s="9">
        <v>40050</v>
      </c>
      <c r="R185" s="9">
        <v>258595</v>
      </c>
      <c r="S185" s="9">
        <v>-88661</v>
      </c>
      <c r="T185" s="10">
        <v>86643</v>
      </c>
      <c r="U185" s="10">
        <v>1550</v>
      </c>
    </row>
    <row r="186" spans="1:21" x14ac:dyDescent="0.35">
      <c r="A186" t="s">
        <v>15</v>
      </c>
      <c r="B186" t="s">
        <v>20</v>
      </c>
      <c r="C186" t="s">
        <v>21</v>
      </c>
      <c r="D186">
        <v>180833</v>
      </c>
      <c r="E186">
        <v>34994</v>
      </c>
      <c r="F186">
        <v>44371</v>
      </c>
      <c r="G186">
        <v>-158529</v>
      </c>
      <c r="H186">
        <v>101669</v>
      </c>
      <c r="I186">
        <v>100253</v>
      </c>
      <c r="J186">
        <v>1322</v>
      </c>
      <c r="K186">
        <v>527271</v>
      </c>
      <c r="L186">
        <v>257245</v>
      </c>
      <c r="M186">
        <v>-162622</v>
      </c>
      <c r="N186">
        <v>88377</v>
      </c>
      <c r="O186" t="s">
        <v>204</v>
      </c>
      <c r="P186" s="9">
        <v>286591</v>
      </c>
      <c r="Q186" s="9">
        <v>15184</v>
      </c>
      <c r="R186" s="9">
        <v>301775</v>
      </c>
      <c r="S186" s="9">
        <v>-175444</v>
      </c>
      <c r="T186" s="10">
        <v>64448</v>
      </c>
      <c r="U186" s="10">
        <v>1077</v>
      </c>
    </row>
    <row r="187" spans="1:21" x14ac:dyDescent="0.35">
      <c r="A187" t="s">
        <v>15</v>
      </c>
      <c r="B187" t="s">
        <v>20</v>
      </c>
      <c r="C187" t="s">
        <v>21</v>
      </c>
      <c r="D187">
        <v>217228</v>
      </c>
      <c r="E187">
        <v>40655</v>
      </c>
      <c r="F187">
        <v>33627</v>
      </c>
      <c r="G187">
        <v>-197496</v>
      </c>
      <c r="H187">
        <v>94014</v>
      </c>
      <c r="I187">
        <v>91990</v>
      </c>
      <c r="J187">
        <v>2271</v>
      </c>
      <c r="K187">
        <v>462034</v>
      </c>
      <c r="L187">
        <v>150240</v>
      </c>
      <c r="M187">
        <v>-121294</v>
      </c>
      <c r="N187">
        <v>105666</v>
      </c>
      <c r="O187" t="s">
        <v>205</v>
      </c>
      <c r="P187" s="9">
        <v>170921</v>
      </c>
      <c r="Q187" s="9">
        <v>23132</v>
      </c>
      <c r="R187" s="9">
        <v>194053</v>
      </c>
      <c r="S187" s="9">
        <v>-55810</v>
      </c>
      <c r="T187" s="10">
        <v>59424</v>
      </c>
      <c r="U187" s="10">
        <v>1436</v>
      </c>
    </row>
    <row r="188" spans="1:21" x14ac:dyDescent="0.35">
      <c r="A188" t="s">
        <v>15</v>
      </c>
      <c r="B188" t="s">
        <v>20</v>
      </c>
      <c r="C188" t="s">
        <v>21</v>
      </c>
      <c r="D188">
        <v>186345</v>
      </c>
      <c r="E188">
        <v>32794</v>
      </c>
      <c r="F188">
        <v>19786</v>
      </c>
      <c r="G188">
        <v>-178867</v>
      </c>
      <c r="H188">
        <v>60058</v>
      </c>
      <c r="I188">
        <v>60184</v>
      </c>
      <c r="J188">
        <v>1527</v>
      </c>
      <c r="K188">
        <v>441195</v>
      </c>
      <c r="L188">
        <v>92508</v>
      </c>
      <c r="M188">
        <v>-56210</v>
      </c>
      <c r="N188">
        <v>97930</v>
      </c>
      <c r="O188" t="s">
        <v>206</v>
      </c>
      <c r="P188" s="9">
        <v>159472</v>
      </c>
      <c r="Q188" s="9">
        <v>10873</v>
      </c>
      <c r="R188" s="9">
        <v>170345</v>
      </c>
      <c r="S188" s="9">
        <v>-98218</v>
      </c>
      <c r="T188" s="10">
        <v>54965</v>
      </c>
      <c r="U188" s="10">
        <v>1035</v>
      </c>
    </row>
    <row r="189" spans="1:21" x14ac:dyDescent="0.35">
      <c r="A189" t="s">
        <v>15</v>
      </c>
      <c r="B189" t="s">
        <v>20</v>
      </c>
      <c r="C189" t="s">
        <v>21</v>
      </c>
      <c r="D189">
        <v>280684</v>
      </c>
      <c r="E189">
        <v>40561</v>
      </c>
      <c r="F189">
        <v>45280</v>
      </c>
      <c r="G189">
        <v>-247438</v>
      </c>
      <c r="H189">
        <v>119087</v>
      </c>
      <c r="I189">
        <v>112558</v>
      </c>
      <c r="J189">
        <v>2560</v>
      </c>
      <c r="K189">
        <v>970366</v>
      </c>
      <c r="L189">
        <v>270934</v>
      </c>
      <c r="M189">
        <v>-284369</v>
      </c>
      <c r="N189">
        <v>146197</v>
      </c>
      <c r="O189" t="s">
        <v>207</v>
      </c>
      <c r="P189" s="9">
        <v>273603</v>
      </c>
      <c r="Q189" s="9">
        <v>36506</v>
      </c>
      <c r="R189" s="9">
        <v>310109</v>
      </c>
      <c r="S189" s="9">
        <v>-124933</v>
      </c>
      <c r="T189" s="10">
        <v>103586</v>
      </c>
      <c r="U189" s="10">
        <v>2476</v>
      </c>
    </row>
    <row r="190" spans="1:21" x14ac:dyDescent="0.35">
      <c r="A190" t="s">
        <v>15</v>
      </c>
      <c r="B190" t="s">
        <v>16</v>
      </c>
      <c r="C190" t="s">
        <v>17</v>
      </c>
      <c r="D190">
        <v>207219</v>
      </c>
      <c r="E190">
        <v>23845</v>
      </c>
      <c r="F190">
        <v>44493</v>
      </c>
      <c r="G190">
        <v>-191402</v>
      </c>
      <c r="H190">
        <v>84155</v>
      </c>
      <c r="I190">
        <v>83367</v>
      </c>
      <c r="J190">
        <v>2168</v>
      </c>
      <c r="K190">
        <v>523936</v>
      </c>
      <c r="L190">
        <v>56891</v>
      </c>
      <c r="M190">
        <v>-206452</v>
      </c>
      <c r="N190">
        <v>162306</v>
      </c>
      <c r="O190" t="s">
        <v>208</v>
      </c>
      <c r="P190" s="9">
        <v>157154</v>
      </c>
      <c r="Q190" s="9">
        <v>21361</v>
      </c>
      <c r="R190" s="9">
        <v>178515</v>
      </c>
      <c r="S190" s="9">
        <v>-46253</v>
      </c>
      <c r="T190" s="10">
        <v>44800</v>
      </c>
      <c r="U190" s="10">
        <v>1040</v>
      </c>
    </row>
    <row r="191" spans="1:21" x14ac:dyDescent="0.35">
      <c r="A191" t="s">
        <v>15</v>
      </c>
      <c r="B191" t="s">
        <v>20</v>
      </c>
      <c r="C191" t="s">
        <v>17</v>
      </c>
      <c r="D191">
        <v>270874</v>
      </c>
      <c r="E191">
        <v>18348</v>
      </c>
      <c r="F191">
        <v>36790</v>
      </c>
      <c r="G191">
        <v>-237085</v>
      </c>
      <c r="H191">
        <v>88927</v>
      </c>
      <c r="I191">
        <v>81182</v>
      </c>
      <c r="J191">
        <v>1787</v>
      </c>
      <c r="K191">
        <v>611964</v>
      </c>
      <c r="L191">
        <v>205955</v>
      </c>
      <c r="M191">
        <v>-158538</v>
      </c>
      <c r="N191">
        <v>177922</v>
      </c>
      <c r="O191" t="s">
        <v>209</v>
      </c>
      <c r="P191" s="9">
        <v>263924</v>
      </c>
      <c r="Q191" s="9">
        <v>13488</v>
      </c>
      <c r="R191" s="9">
        <v>277412</v>
      </c>
      <c r="S191" s="9">
        <v>-56854</v>
      </c>
      <c r="T191" s="10">
        <v>59417</v>
      </c>
      <c r="U191" s="10">
        <v>1461</v>
      </c>
    </row>
    <row r="192" spans="1:21" x14ac:dyDescent="0.35">
      <c r="A192" t="s">
        <v>15</v>
      </c>
      <c r="B192" t="s">
        <v>16</v>
      </c>
      <c r="C192" t="s">
        <v>21</v>
      </c>
      <c r="D192">
        <v>226175</v>
      </c>
      <c r="E192">
        <v>34852</v>
      </c>
      <c r="F192">
        <v>31631</v>
      </c>
      <c r="G192">
        <v>-226130</v>
      </c>
      <c r="H192">
        <v>66528</v>
      </c>
      <c r="I192">
        <v>61486</v>
      </c>
      <c r="J192">
        <v>881</v>
      </c>
      <c r="K192">
        <v>805466</v>
      </c>
      <c r="L192">
        <v>158452</v>
      </c>
      <c r="M192">
        <v>-321637</v>
      </c>
      <c r="N192">
        <v>72970</v>
      </c>
      <c r="O192" t="s">
        <v>210</v>
      </c>
      <c r="P192" s="9">
        <v>160765</v>
      </c>
      <c r="Q192" s="9">
        <v>14079</v>
      </c>
      <c r="R192" s="9">
        <v>174844</v>
      </c>
      <c r="S192" s="9">
        <v>-71251</v>
      </c>
      <c r="T192" s="10">
        <v>41023</v>
      </c>
      <c r="U192" s="10">
        <v>837</v>
      </c>
    </row>
    <row r="193" spans="1:21" x14ac:dyDescent="0.35">
      <c r="A193" t="s">
        <v>15</v>
      </c>
      <c r="B193" t="s">
        <v>16</v>
      </c>
      <c r="C193" t="s">
        <v>21</v>
      </c>
      <c r="D193">
        <v>238228</v>
      </c>
      <c r="E193">
        <v>43028</v>
      </c>
      <c r="F193">
        <v>38306</v>
      </c>
      <c r="G193">
        <v>-233156</v>
      </c>
      <c r="H193">
        <v>86406</v>
      </c>
      <c r="I193">
        <v>78006</v>
      </c>
      <c r="J193">
        <v>2090</v>
      </c>
      <c r="K193">
        <v>862570</v>
      </c>
      <c r="L193">
        <v>120060</v>
      </c>
      <c r="M193">
        <v>-105569</v>
      </c>
      <c r="N193">
        <v>131410</v>
      </c>
      <c r="O193" t="s">
        <v>211</v>
      </c>
      <c r="P193" s="9">
        <v>215695</v>
      </c>
      <c r="Q193" s="9">
        <v>35480</v>
      </c>
      <c r="R193" s="9">
        <v>251175</v>
      </c>
      <c r="S193" s="9">
        <v>-81101</v>
      </c>
      <c r="T193" s="10">
        <v>81821</v>
      </c>
      <c r="U193" s="10">
        <v>2357</v>
      </c>
    </row>
    <row r="194" spans="1:21" x14ac:dyDescent="0.35">
      <c r="A194" t="s">
        <v>15</v>
      </c>
      <c r="B194" t="s">
        <v>16</v>
      </c>
      <c r="C194" t="s">
        <v>21</v>
      </c>
      <c r="D194">
        <v>245340</v>
      </c>
      <c r="E194">
        <v>31669</v>
      </c>
      <c r="F194">
        <v>45459</v>
      </c>
      <c r="G194">
        <v>-205976</v>
      </c>
      <c r="H194">
        <v>116492</v>
      </c>
      <c r="I194">
        <v>112279</v>
      </c>
      <c r="J194">
        <v>1488</v>
      </c>
      <c r="K194">
        <v>806834</v>
      </c>
      <c r="L194">
        <v>279502</v>
      </c>
      <c r="M194">
        <v>-187980</v>
      </c>
      <c r="N194">
        <v>124342</v>
      </c>
      <c r="O194" t="s">
        <v>212</v>
      </c>
      <c r="P194" s="9">
        <v>229476</v>
      </c>
      <c r="Q194" s="9">
        <v>29817</v>
      </c>
      <c r="R194" s="9">
        <v>259293</v>
      </c>
      <c r="S194" s="9">
        <v>-73158</v>
      </c>
      <c r="T194" s="10">
        <v>59301</v>
      </c>
      <c r="U194" s="10">
        <v>689</v>
      </c>
    </row>
    <row r="195" spans="1:21" x14ac:dyDescent="0.35">
      <c r="A195" t="s">
        <v>15</v>
      </c>
      <c r="B195" t="s">
        <v>20</v>
      </c>
      <c r="C195" t="s">
        <v>17</v>
      </c>
      <c r="D195">
        <v>171771</v>
      </c>
      <c r="E195">
        <v>14990</v>
      </c>
      <c r="F195">
        <v>30756</v>
      </c>
      <c r="G195">
        <v>-141062</v>
      </c>
      <c r="H195">
        <v>76455</v>
      </c>
      <c r="I195">
        <v>74985</v>
      </c>
      <c r="J195">
        <v>965</v>
      </c>
      <c r="K195">
        <v>421221</v>
      </c>
      <c r="L195">
        <v>85192</v>
      </c>
      <c r="M195">
        <v>-150334</v>
      </c>
      <c r="N195">
        <v>57198</v>
      </c>
      <c r="O195" t="s">
        <v>213</v>
      </c>
      <c r="P195" s="9">
        <v>273087</v>
      </c>
      <c r="Q195" s="9">
        <v>25487</v>
      </c>
      <c r="R195" s="9">
        <v>298574</v>
      </c>
      <c r="S195" s="9">
        <v>-141866</v>
      </c>
      <c r="T195" s="10">
        <v>120303</v>
      </c>
      <c r="U195" s="10">
        <v>2736</v>
      </c>
    </row>
    <row r="196" spans="1:21" x14ac:dyDescent="0.35">
      <c r="A196" t="s">
        <v>15</v>
      </c>
      <c r="B196" t="s">
        <v>16</v>
      </c>
      <c r="C196" t="s">
        <v>21</v>
      </c>
      <c r="D196">
        <v>294818</v>
      </c>
      <c r="E196">
        <v>49881</v>
      </c>
      <c r="F196">
        <v>54591</v>
      </c>
      <c r="G196">
        <v>-250326</v>
      </c>
      <c r="H196">
        <v>148964</v>
      </c>
      <c r="I196">
        <v>136583</v>
      </c>
      <c r="J196">
        <v>3312</v>
      </c>
      <c r="K196">
        <v>807261</v>
      </c>
      <c r="L196">
        <v>207100</v>
      </c>
      <c r="M196">
        <v>-105794</v>
      </c>
      <c r="N196">
        <v>225019</v>
      </c>
      <c r="O196" t="s">
        <v>214</v>
      </c>
      <c r="P196" s="9">
        <v>275754</v>
      </c>
      <c r="Q196" s="9">
        <v>46773</v>
      </c>
      <c r="R196" s="9">
        <v>322527</v>
      </c>
      <c r="S196" s="9">
        <v>-157741</v>
      </c>
      <c r="T196" s="10">
        <v>136112</v>
      </c>
      <c r="U196" s="10">
        <v>2387</v>
      </c>
    </row>
    <row r="197" spans="1:21" x14ac:dyDescent="0.35">
      <c r="A197" t="s">
        <v>15</v>
      </c>
      <c r="B197" t="s">
        <v>16</v>
      </c>
      <c r="C197" t="s">
        <v>21</v>
      </c>
      <c r="D197">
        <v>218327</v>
      </c>
      <c r="E197">
        <v>19260</v>
      </c>
      <c r="F197">
        <v>39284</v>
      </c>
      <c r="G197">
        <v>-203619</v>
      </c>
      <c r="H197">
        <v>73252</v>
      </c>
      <c r="I197">
        <v>66568</v>
      </c>
      <c r="J197">
        <v>999</v>
      </c>
      <c r="K197">
        <v>694793</v>
      </c>
      <c r="L197">
        <v>192993</v>
      </c>
      <c r="M197">
        <v>-77841</v>
      </c>
      <c r="N197">
        <v>189104</v>
      </c>
      <c r="O197" t="s">
        <v>215</v>
      </c>
      <c r="P197" s="9">
        <v>210515</v>
      </c>
      <c r="Q197" s="9">
        <v>37305</v>
      </c>
      <c r="R197" s="9">
        <v>247820</v>
      </c>
      <c r="S197" s="9">
        <v>-82759</v>
      </c>
      <c r="T197" s="10">
        <v>67300</v>
      </c>
      <c r="U197" s="10">
        <v>1602</v>
      </c>
    </row>
    <row r="198" spans="1:21" x14ac:dyDescent="0.35">
      <c r="A198" t="s">
        <v>15</v>
      </c>
      <c r="B198" t="s">
        <v>16</v>
      </c>
      <c r="C198" t="s">
        <v>21</v>
      </c>
      <c r="D198">
        <v>163391</v>
      </c>
      <c r="E198">
        <v>28905</v>
      </c>
      <c r="F198">
        <v>34405</v>
      </c>
      <c r="G198">
        <v>-161037</v>
      </c>
      <c r="H198">
        <v>65664</v>
      </c>
      <c r="I198">
        <v>67446</v>
      </c>
      <c r="J198">
        <v>1689</v>
      </c>
      <c r="K198">
        <v>508994</v>
      </c>
      <c r="L198">
        <v>175168</v>
      </c>
      <c r="M198">
        <v>-115881</v>
      </c>
      <c r="N198">
        <v>141486</v>
      </c>
      <c r="O198" t="s">
        <v>216</v>
      </c>
      <c r="P198" s="9">
        <v>174655</v>
      </c>
      <c r="Q198" s="9">
        <v>12475</v>
      </c>
      <c r="R198" s="9">
        <v>187130</v>
      </c>
      <c r="S198" s="9">
        <v>-107989</v>
      </c>
      <c r="T198" s="10">
        <v>41596</v>
      </c>
      <c r="U198" s="10">
        <v>441</v>
      </c>
    </row>
    <row r="199" spans="1:21" x14ac:dyDescent="0.35">
      <c r="A199" t="s">
        <v>15</v>
      </c>
      <c r="B199" t="s">
        <v>20</v>
      </c>
      <c r="C199" t="s">
        <v>21</v>
      </c>
      <c r="D199">
        <v>166809</v>
      </c>
      <c r="E199">
        <v>13765</v>
      </c>
      <c r="F199">
        <v>32512</v>
      </c>
      <c r="G199">
        <v>-162568</v>
      </c>
      <c r="H199">
        <v>50518</v>
      </c>
      <c r="I199">
        <v>51416</v>
      </c>
      <c r="J199">
        <v>1312</v>
      </c>
      <c r="K199">
        <v>561448</v>
      </c>
      <c r="L199">
        <v>193871</v>
      </c>
      <c r="M199">
        <v>-57856</v>
      </c>
      <c r="N199">
        <v>148181</v>
      </c>
      <c r="O199" t="s">
        <v>217</v>
      </c>
      <c r="P199" s="9">
        <v>286409</v>
      </c>
      <c r="Q199" s="9">
        <v>20697</v>
      </c>
      <c r="R199" s="9">
        <v>307106</v>
      </c>
      <c r="S199" s="9">
        <v>-94540</v>
      </c>
      <c r="T199" s="10">
        <v>87267</v>
      </c>
      <c r="U199" s="10">
        <v>1449</v>
      </c>
    </row>
    <row r="200" spans="1:21" x14ac:dyDescent="0.35">
      <c r="A200" t="s">
        <v>15</v>
      </c>
      <c r="B200" t="s">
        <v>20</v>
      </c>
      <c r="C200" t="s">
        <v>21</v>
      </c>
      <c r="D200">
        <v>262772</v>
      </c>
      <c r="E200">
        <v>19671</v>
      </c>
      <c r="F200">
        <v>33818</v>
      </c>
      <c r="G200">
        <v>-237947</v>
      </c>
      <c r="H200">
        <v>78314</v>
      </c>
      <c r="I200">
        <v>79884</v>
      </c>
      <c r="J200">
        <v>928</v>
      </c>
      <c r="K200">
        <v>784036</v>
      </c>
      <c r="L200">
        <v>174083</v>
      </c>
      <c r="M200">
        <v>-146514</v>
      </c>
      <c r="N200">
        <v>213255</v>
      </c>
      <c r="O200" t="s">
        <v>218</v>
      </c>
      <c r="P200" s="9">
        <v>290940</v>
      </c>
      <c r="Q200" s="9">
        <v>22479</v>
      </c>
      <c r="R200" s="9">
        <v>313419</v>
      </c>
      <c r="S200" s="9">
        <v>-138796</v>
      </c>
      <c r="T200" s="10">
        <v>108541</v>
      </c>
      <c r="U200" s="10">
        <v>1507</v>
      </c>
    </row>
    <row r="201" spans="1:21" x14ac:dyDescent="0.35">
      <c r="A201" t="s">
        <v>15</v>
      </c>
      <c r="B201" t="s">
        <v>20</v>
      </c>
      <c r="C201" t="s">
        <v>21</v>
      </c>
      <c r="D201">
        <v>172206</v>
      </c>
      <c r="E201">
        <v>19389</v>
      </c>
      <c r="F201">
        <v>31408</v>
      </c>
      <c r="G201">
        <v>-168922</v>
      </c>
      <c r="H201">
        <v>54081</v>
      </c>
      <c r="I201">
        <v>51379</v>
      </c>
      <c r="J201">
        <v>1223</v>
      </c>
      <c r="K201">
        <v>364149</v>
      </c>
      <c r="L201">
        <v>128580</v>
      </c>
      <c r="M201">
        <v>-114592</v>
      </c>
      <c r="N201">
        <v>58214</v>
      </c>
      <c r="O201" t="s">
        <v>219</v>
      </c>
      <c r="P201" s="9">
        <v>171349</v>
      </c>
      <c r="Q201" s="9">
        <v>9079</v>
      </c>
      <c r="R201" s="9">
        <v>180428</v>
      </c>
      <c r="S201" s="9">
        <v>-87675</v>
      </c>
      <c r="T201" s="10">
        <v>52108</v>
      </c>
      <c r="U201" s="10">
        <v>1294</v>
      </c>
    </row>
    <row r="202" spans="1:21" x14ac:dyDescent="0.35">
      <c r="A202" t="s">
        <v>15</v>
      </c>
      <c r="B202" t="s">
        <v>16</v>
      </c>
      <c r="C202" t="s">
        <v>21</v>
      </c>
      <c r="D202">
        <v>209405</v>
      </c>
      <c r="E202">
        <v>11915</v>
      </c>
      <c r="F202">
        <v>26865</v>
      </c>
      <c r="G202">
        <v>-177900</v>
      </c>
      <c r="H202">
        <v>70285</v>
      </c>
      <c r="I202">
        <v>73713</v>
      </c>
      <c r="J202">
        <v>1716</v>
      </c>
      <c r="K202">
        <v>574480</v>
      </c>
      <c r="L202">
        <v>120681</v>
      </c>
      <c r="M202">
        <v>-70317</v>
      </c>
      <c r="N202">
        <v>110130</v>
      </c>
      <c r="O202" t="s">
        <v>220</v>
      </c>
      <c r="P202" s="9">
        <v>160248</v>
      </c>
      <c r="Q202" s="9">
        <v>32184</v>
      </c>
      <c r="R202" s="9">
        <v>192432</v>
      </c>
      <c r="S202" s="9">
        <v>-94768</v>
      </c>
      <c r="T202" s="10">
        <v>68207</v>
      </c>
      <c r="U202" s="10">
        <v>1908</v>
      </c>
    </row>
    <row r="203" spans="1:21" x14ac:dyDescent="0.35">
      <c r="A203" t="s">
        <v>15</v>
      </c>
      <c r="B203" t="s">
        <v>16</v>
      </c>
      <c r="C203" t="s">
        <v>21</v>
      </c>
      <c r="D203">
        <v>170911</v>
      </c>
      <c r="E203">
        <v>11250</v>
      </c>
      <c r="F203">
        <v>40249</v>
      </c>
      <c r="G203">
        <v>-163783</v>
      </c>
      <c r="H203">
        <v>58627</v>
      </c>
      <c r="I203">
        <v>60468</v>
      </c>
      <c r="J203">
        <v>771</v>
      </c>
      <c r="K203">
        <v>663294</v>
      </c>
      <c r="L203">
        <v>152136</v>
      </c>
      <c r="M203">
        <v>-230647</v>
      </c>
      <c r="N203">
        <v>137617</v>
      </c>
      <c r="O203" t="s">
        <v>221</v>
      </c>
      <c r="P203" s="9">
        <v>192350</v>
      </c>
      <c r="Q203" s="9">
        <v>31321</v>
      </c>
      <c r="R203" s="9">
        <v>223671</v>
      </c>
      <c r="S203" s="9">
        <v>-55463</v>
      </c>
      <c r="T203" s="10">
        <v>80616</v>
      </c>
      <c r="U203" s="10">
        <v>830</v>
      </c>
    </row>
    <row r="204" spans="1:21" x14ac:dyDescent="0.35">
      <c r="A204" t="s">
        <v>15</v>
      </c>
      <c r="B204" t="s">
        <v>16</v>
      </c>
      <c r="C204" t="s">
        <v>21</v>
      </c>
      <c r="D204">
        <v>215098</v>
      </c>
      <c r="E204">
        <v>16393</v>
      </c>
      <c r="F204">
        <v>25857</v>
      </c>
      <c r="G204">
        <v>-207467</v>
      </c>
      <c r="H204">
        <v>49881</v>
      </c>
      <c r="I204">
        <v>48234</v>
      </c>
      <c r="J204">
        <v>1186</v>
      </c>
      <c r="K204">
        <v>564233</v>
      </c>
      <c r="L204">
        <v>74992</v>
      </c>
      <c r="M204">
        <v>-109065</v>
      </c>
      <c r="N204">
        <v>172861</v>
      </c>
      <c r="O204" t="s">
        <v>222</v>
      </c>
      <c r="P204" s="9">
        <v>164805</v>
      </c>
      <c r="Q204" s="9">
        <v>33511</v>
      </c>
      <c r="R204" s="9">
        <v>198316</v>
      </c>
      <c r="S204" s="9">
        <v>-67626</v>
      </c>
      <c r="T204" s="10">
        <v>83104</v>
      </c>
      <c r="U204" s="10">
        <v>2274</v>
      </c>
    </row>
    <row r="205" spans="1:21" x14ac:dyDescent="0.35">
      <c r="A205" t="s">
        <v>15</v>
      </c>
      <c r="B205" t="s">
        <v>16</v>
      </c>
      <c r="C205" t="s">
        <v>21</v>
      </c>
      <c r="D205">
        <v>281322</v>
      </c>
      <c r="E205">
        <v>28326</v>
      </c>
      <c r="F205">
        <v>33438</v>
      </c>
      <c r="G205">
        <v>-249799</v>
      </c>
      <c r="H205">
        <v>93287</v>
      </c>
      <c r="I205">
        <v>97707</v>
      </c>
      <c r="J205">
        <v>1164</v>
      </c>
      <c r="K205">
        <v>948228</v>
      </c>
      <c r="L205">
        <v>243913</v>
      </c>
      <c r="M205">
        <v>-228104</v>
      </c>
      <c r="N205">
        <v>196285</v>
      </c>
      <c r="O205" t="s">
        <v>223</v>
      </c>
      <c r="P205" s="9">
        <v>160552</v>
      </c>
      <c r="Q205" s="9">
        <v>11798</v>
      </c>
      <c r="R205" s="9">
        <v>172350</v>
      </c>
      <c r="S205" s="9">
        <v>-98671</v>
      </c>
      <c r="T205" s="10">
        <v>51090</v>
      </c>
      <c r="U205" s="10">
        <v>659</v>
      </c>
    </row>
    <row r="206" spans="1:21" x14ac:dyDescent="0.35">
      <c r="A206" t="s">
        <v>15</v>
      </c>
      <c r="B206" t="s">
        <v>16</v>
      </c>
      <c r="C206" t="s">
        <v>21</v>
      </c>
      <c r="D206">
        <v>264761</v>
      </c>
      <c r="E206">
        <v>49969</v>
      </c>
      <c r="F206">
        <v>51394</v>
      </c>
      <c r="G206">
        <v>-243597</v>
      </c>
      <c r="H206">
        <v>122527</v>
      </c>
      <c r="I206">
        <v>110633</v>
      </c>
      <c r="J206">
        <v>2072</v>
      </c>
      <c r="K206">
        <v>698973</v>
      </c>
      <c r="L206">
        <v>197731</v>
      </c>
      <c r="M206">
        <v>-129953</v>
      </c>
      <c r="N206">
        <v>232998</v>
      </c>
      <c r="O206" t="s">
        <v>224</v>
      </c>
      <c r="P206" s="9">
        <v>201497</v>
      </c>
      <c r="Q206" s="9">
        <v>16180</v>
      </c>
      <c r="R206" s="9">
        <v>217677</v>
      </c>
      <c r="S206" s="9">
        <v>-84715</v>
      </c>
      <c r="T206" s="10">
        <v>70699</v>
      </c>
      <c r="U206" s="10">
        <v>1408</v>
      </c>
    </row>
    <row r="207" spans="1:21" x14ac:dyDescent="0.35">
      <c r="A207" t="s">
        <v>15</v>
      </c>
      <c r="B207" t="s">
        <v>20</v>
      </c>
      <c r="C207" t="s">
        <v>17</v>
      </c>
      <c r="D207">
        <v>150349</v>
      </c>
      <c r="E207">
        <v>20138</v>
      </c>
      <c r="F207">
        <v>27747</v>
      </c>
      <c r="G207">
        <v>-145033</v>
      </c>
      <c r="H207">
        <v>53201</v>
      </c>
      <c r="I207">
        <v>51718</v>
      </c>
      <c r="J207">
        <v>1155</v>
      </c>
      <c r="K207">
        <v>404102</v>
      </c>
      <c r="L207">
        <v>132989</v>
      </c>
      <c r="M207">
        <v>-90199</v>
      </c>
      <c r="N207">
        <v>58411</v>
      </c>
      <c r="O207" t="s">
        <v>225</v>
      </c>
      <c r="P207" s="9">
        <v>217422</v>
      </c>
      <c r="Q207" s="9">
        <v>23120</v>
      </c>
      <c r="R207" s="9">
        <v>240542</v>
      </c>
      <c r="S207" s="9">
        <v>-134258</v>
      </c>
      <c r="T207" s="10">
        <v>69019</v>
      </c>
      <c r="U207" s="10">
        <v>1280</v>
      </c>
    </row>
    <row r="208" spans="1:21" x14ac:dyDescent="0.35">
      <c r="A208" t="s">
        <v>15</v>
      </c>
      <c r="B208" t="s">
        <v>16</v>
      </c>
      <c r="C208" t="s">
        <v>17</v>
      </c>
      <c r="D208">
        <v>219024</v>
      </c>
      <c r="E208">
        <v>17321</v>
      </c>
      <c r="F208">
        <v>45266</v>
      </c>
      <c r="G208">
        <v>-184830</v>
      </c>
      <c r="H208">
        <v>96781</v>
      </c>
      <c r="I208">
        <v>89829</v>
      </c>
      <c r="J208">
        <v>1190</v>
      </c>
      <c r="K208">
        <v>456178</v>
      </c>
      <c r="L208">
        <v>146518</v>
      </c>
      <c r="M208">
        <v>-163389</v>
      </c>
      <c r="N208">
        <v>136510</v>
      </c>
      <c r="O208" t="s">
        <v>226</v>
      </c>
      <c r="P208" s="9">
        <v>265079</v>
      </c>
      <c r="Q208" s="9">
        <v>31089</v>
      </c>
      <c r="R208" s="9">
        <v>296168</v>
      </c>
      <c r="S208" s="9">
        <v>-68891</v>
      </c>
      <c r="T208" s="10">
        <v>121722</v>
      </c>
      <c r="U208" s="10">
        <v>1282</v>
      </c>
    </row>
    <row r="209" spans="1:21" x14ac:dyDescent="0.35">
      <c r="A209" t="s">
        <v>15</v>
      </c>
      <c r="B209" t="s">
        <v>16</v>
      </c>
      <c r="C209" t="s">
        <v>17</v>
      </c>
      <c r="D209">
        <v>208362</v>
      </c>
      <c r="E209">
        <v>18577</v>
      </c>
      <c r="F209">
        <v>50106</v>
      </c>
      <c r="G209">
        <v>-198673</v>
      </c>
      <c r="H209">
        <v>78372</v>
      </c>
      <c r="I209">
        <v>73623</v>
      </c>
      <c r="J209">
        <v>1276</v>
      </c>
      <c r="K209">
        <v>826876</v>
      </c>
      <c r="L209">
        <v>193679</v>
      </c>
      <c r="M209">
        <v>-155747</v>
      </c>
      <c r="N209">
        <v>170206</v>
      </c>
      <c r="O209" t="s">
        <v>227</v>
      </c>
      <c r="P209" s="9">
        <v>190895</v>
      </c>
      <c r="Q209" s="9">
        <v>19368</v>
      </c>
      <c r="R209" s="9">
        <v>210263</v>
      </c>
      <c r="S209" s="9">
        <v>-54340</v>
      </c>
      <c r="T209" s="10">
        <v>65243</v>
      </c>
      <c r="U209" s="10">
        <v>1026</v>
      </c>
    </row>
    <row r="210" spans="1:21" x14ac:dyDescent="0.35">
      <c r="A210" t="s">
        <v>15</v>
      </c>
      <c r="B210" t="s">
        <v>16</v>
      </c>
      <c r="C210" t="s">
        <v>21</v>
      </c>
      <c r="D210">
        <v>238180</v>
      </c>
      <c r="E210">
        <v>27576</v>
      </c>
      <c r="F210">
        <v>45557</v>
      </c>
      <c r="G210">
        <v>-230950</v>
      </c>
      <c r="H210">
        <v>80363</v>
      </c>
      <c r="I210">
        <v>79583</v>
      </c>
      <c r="J210">
        <v>1392</v>
      </c>
      <c r="K210">
        <v>684851</v>
      </c>
      <c r="L210">
        <v>234678</v>
      </c>
      <c r="M210">
        <v>-175489</v>
      </c>
      <c r="N210">
        <v>102444</v>
      </c>
      <c r="O210" t="s">
        <v>228</v>
      </c>
      <c r="P210" s="9">
        <v>215682</v>
      </c>
      <c r="Q210" s="9">
        <v>30627</v>
      </c>
      <c r="R210" s="9">
        <v>246309</v>
      </c>
      <c r="S210" s="9">
        <v>-128867</v>
      </c>
      <c r="T210" s="10">
        <v>77935</v>
      </c>
      <c r="U210" s="10">
        <v>1572</v>
      </c>
    </row>
    <row r="211" spans="1:21" x14ac:dyDescent="0.35">
      <c r="A211" t="s">
        <v>15</v>
      </c>
      <c r="B211" t="s">
        <v>20</v>
      </c>
      <c r="C211" t="s">
        <v>17</v>
      </c>
      <c r="D211">
        <v>219881</v>
      </c>
      <c r="E211">
        <v>37958</v>
      </c>
      <c r="F211">
        <v>22102</v>
      </c>
      <c r="G211">
        <v>-190983</v>
      </c>
      <c r="H211">
        <v>88958</v>
      </c>
      <c r="I211">
        <v>89503</v>
      </c>
      <c r="J211">
        <v>1843</v>
      </c>
      <c r="K211">
        <v>497191</v>
      </c>
      <c r="L211">
        <v>61746</v>
      </c>
      <c r="M211">
        <v>-76391</v>
      </c>
      <c r="N211">
        <v>125083</v>
      </c>
      <c r="O211" t="s">
        <v>229</v>
      </c>
      <c r="P211" s="9">
        <v>171390</v>
      </c>
      <c r="Q211" s="9">
        <v>18085</v>
      </c>
      <c r="R211" s="9">
        <v>189475</v>
      </c>
      <c r="S211" s="9">
        <v>-52658</v>
      </c>
      <c r="T211" s="10">
        <v>53379</v>
      </c>
      <c r="U211" s="10">
        <v>923</v>
      </c>
    </row>
    <row r="212" spans="1:21" x14ac:dyDescent="0.35">
      <c r="A212" t="s">
        <v>15</v>
      </c>
      <c r="B212" t="s">
        <v>16</v>
      </c>
      <c r="C212" t="s">
        <v>17</v>
      </c>
      <c r="D212">
        <v>255946</v>
      </c>
      <c r="E212">
        <v>36644</v>
      </c>
      <c r="F212">
        <v>61867</v>
      </c>
      <c r="G212">
        <v>-246144</v>
      </c>
      <c r="H212">
        <v>108313</v>
      </c>
      <c r="I212">
        <v>106711</v>
      </c>
      <c r="J212">
        <v>3053</v>
      </c>
      <c r="K212">
        <v>730176</v>
      </c>
      <c r="L212">
        <v>290889</v>
      </c>
      <c r="M212">
        <v>-187351</v>
      </c>
      <c r="N212">
        <v>206192</v>
      </c>
      <c r="O212" t="s">
        <v>230</v>
      </c>
      <c r="P212" s="9">
        <v>274454</v>
      </c>
      <c r="Q212" s="9">
        <v>22401</v>
      </c>
      <c r="R212" s="9">
        <v>296855</v>
      </c>
      <c r="S212" s="9">
        <v>-169299</v>
      </c>
      <c r="T212" s="10">
        <v>100314</v>
      </c>
      <c r="U212" s="10">
        <v>2491</v>
      </c>
    </row>
    <row r="213" spans="1:21" x14ac:dyDescent="0.35">
      <c r="A213" t="s">
        <v>15</v>
      </c>
      <c r="B213" t="s">
        <v>20</v>
      </c>
      <c r="C213" t="s">
        <v>21</v>
      </c>
      <c r="D213">
        <v>190567</v>
      </c>
      <c r="E213">
        <v>21584</v>
      </c>
      <c r="F213">
        <v>31881</v>
      </c>
      <c r="G213">
        <v>-178688</v>
      </c>
      <c r="H213">
        <v>65344</v>
      </c>
      <c r="I213">
        <v>62469</v>
      </c>
      <c r="J213">
        <v>1329</v>
      </c>
      <c r="K213">
        <v>489148</v>
      </c>
      <c r="L213">
        <v>227653</v>
      </c>
      <c r="M213">
        <v>-98363</v>
      </c>
      <c r="N213">
        <v>161898</v>
      </c>
      <c r="O213" t="s">
        <v>231</v>
      </c>
      <c r="P213" s="9">
        <v>181783</v>
      </c>
      <c r="Q213" s="9">
        <v>20742</v>
      </c>
      <c r="R213" s="9">
        <v>202525</v>
      </c>
      <c r="S213" s="9">
        <v>-49797</v>
      </c>
      <c r="T213" s="10">
        <v>69998</v>
      </c>
      <c r="U213" s="10">
        <v>1757</v>
      </c>
    </row>
    <row r="214" spans="1:21" x14ac:dyDescent="0.35">
      <c r="A214" t="s">
        <v>15</v>
      </c>
      <c r="B214" t="s">
        <v>20</v>
      </c>
      <c r="C214" t="s">
        <v>21</v>
      </c>
      <c r="D214">
        <v>227375</v>
      </c>
      <c r="E214">
        <v>28315</v>
      </c>
      <c r="F214">
        <v>52316</v>
      </c>
      <c r="G214">
        <v>-207783</v>
      </c>
      <c r="H214">
        <v>100223</v>
      </c>
      <c r="I214">
        <v>92366</v>
      </c>
      <c r="J214">
        <v>1105</v>
      </c>
      <c r="K214">
        <v>525035</v>
      </c>
      <c r="L214">
        <v>234492</v>
      </c>
      <c r="M214">
        <v>-53634</v>
      </c>
      <c r="N214">
        <v>175022</v>
      </c>
      <c r="O214" t="s">
        <v>232</v>
      </c>
      <c r="P214" s="9">
        <v>174029</v>
      </c>
      <c r="Q214" s="9">
        <v>9507</v>
      </c>
      <c r="R214" s="9">
        <v>183536</v>
      </c>
      <c r="S214" s="9">
        <v>-57757</v>
      </c>
      <c r="T214" s="10">
        <v>82725</v>
      </c>
      <c r="U214" s="10">
        <v>1351</v>
      </c>
    </row>
    <row r="215" spans="1:21" x14ac:dyDescent="0.35">
      <c r="A215" t="s">
        <v>15</v>
      </c>
      <c r="B215" t="s">
        <v>16</v>
      </c>
      <c r="C215" t="s">
        <v>17</v>
      </c>
      <c r="D215">
        <v>161918</v>
      </c>
      <c r="E215">
        <v>24662</v>
      </c>
      <c r="F215">
        <v>19370</v>
      </c>
      <c r="G215">
        <v>-147894</v>
      </c>
      <c r="H215">
        <v>58056</v>
      </c>
      <c r="I215">
        <v>59927</v>
      </c>
      <c r="J215">
        <v>1066</v>
      </c>
      <c r="K215">
        <v>398697</v>
      </c>
      <c r="L215">
        <v>123875</v>
      </c>
      <c r="M215">
        <v>-121931</v>
      </c>
      <c r="N215">
        <v>59766</v>
      </c>
      <c r="O215" t="s">
        <v>233</v>
      </c>
      <c r="P215" s="9">
        <v>148540</v>
      </c>
      <c r="Q215" s="9">
        <v>10285</v>
      </c>
      <c r="R215" s="9">
        <v>158825</v>
      </c>
      <c r="S215" s="9">
        <v>-86341</v>
      </c>
      <c r="T215" s="10">
        <v>54202</v>
      </c>
      <c r="U215" s="10">
        <v>785</v>
      </c>
    </row>
    <row r="216" spans="1:21" x14ac:dyDescent="0.35">
      <c r="A216" t="s">
        <v>15</v>
      </c>
      <c r="B216" t="s">
        <v>16</v>
      </c>
      <c r="C216" t="s">
        <v>21</v>
      </c>
      <c r="D216">
        <v>290470</v>
      </c>
      <c r="E216">
        <v>22568</v>
      </c>
      <c r="F216">
        <v>41164</v>
      </c>
      <c r="G216">
        <v>-250091</v>
      </c>
      <c r="H216">
        <v>104111</v>
      </c>
      <c r="I216">
        <v>103473</v>
      </c>
      <c r="J216">
        <v>1674</v>
      </c>
      <c r="K216">
        <v>581438</v>
      </c>
      <c r="L216">
        <v>60552</v>
      </c>
      <c r="M216">
        <v>-62710</v>
      </c>
      <c r="N216">
        <v>97285</v>
      </c>
      <c r="O216" t="s">
        <v>234</v>
      </c>
      <c r="P216" s="9">
        <v>223255</v>
      </c>
      <c r="Q216" s="9">
        <v>24341</v>
      </c>
      <c r="R216" s="9">
        <v>247596</v>
      </c>
      <c r="S216" s="9">
        <v>-78290</v>
      </c>
      <c r="T216" s="10">
        <v>76444</v>
      </c>
      <c r="U216" s="10">
        <v>1691</v>
      </c>
    </row>
    <row r="217" spans="1:21" x14ac:dyDescent="0.35">
      <c r="A217" t="s">
        <v>15</v>
      </c>
      <c r="B217" t="s">
        <v>16</v>
      </c>
      <c r="C217" t="s">
        <v>17</v>
      </c>
      <c r="D217">
        <v>154966</v>
      </c>
      <c r="E217">
        <v>27642</v>
      </c>
      <c r="F217">
        <v>16031</v>
      </c>
      <c r="G217">
        <v>-150526</v>
      </c>
      <c r="H217">
        <v>48113</v>
      </c>
      <c r="I217">
        <v>47923</v>
      </c>
      <c r="J217">
        <v>1261</v>
      </c>
      <c r="K217">
        <v>528322</v>
      </c>
      <c r="L217">
        <v>234972</v>
      </c>
      <c r="M217">
        <v>-178074</v>
      </c>
      <c r="N217">
        <v>55784</v>
      </c>
      <c r="O217" t="s">
        <v>235</v>
      </c>
      <c r="P217" s="9">
        <v>210750</v>
      </c>
      <c r="Q217" s="9">
        <v>41048</v>
      </c>
      <c r="R217" s="9">
        <v>251798</v>
      </c>
      <c r="S217" s="9">
        <v>-82259</v>
      </c>
      <c r="T217" s="10">
        <v>100619</v>
      </c>
      <c r="U217" s="10">
        <v>1970</v>
      </c>
    </row>
    <row r="218" spans="1:21" x14ac:dyDescent="0.35">
      <c r="A218" t="s">
        <v>15</v>
      </c>
      <c r="B218" t="s">
        <v>20</v>
      </c>
      <c r="C218" t="s">
        <v>21</v>
      </c>
      <c r="D218">
        <v>208129</v>
      </c>
      <c r="E218">
        <v>15926</v>
      </c>
      <c r="F218">
        <v>32071</v>
      </c>
      <c r="G218">
        <v>-189057</v>
      </c>
      <c r="H218">
        <v>67069</v>
      </c>
      <c r="I218">
        <v>63087</v>
      </c>
      <c r="J218">
        <v>1160</v>
      </c>
      <c r="K218">
        <v>523308</v>
      </c>
      <c r="L218">
        <v>248482</v>
      </c>
      <c r="M218">
        <v>-88799</v>
      </c>
      <c r="N218">
        <v>106494</v>
      </c>
      <c r="O218" t="s">
        <v>236</v>
      </c>
      <c r="P218" s="9">
        <v>258551</v>
      </c>
      <c r="Q218" s="9">
        <v>30852</v>
      </c>
      <c r="R218" s="9">
        <v>289403</v>
      </c>
      <c r="S218" s="9">
        <v>-160261</v>
      </c>
      <c r="T218" s="10">
        <v>98275</v>
      </c>
      <c r="U218" s="10">
        <v>2782</v>
      </c>
    </row>
    <row r="219" spans="1:21" x14ac:dyDescent="0.35">
      <c r="A219" t="s">
        <v>15</v>
      </c>
      <c r="B219" t="s">
        <v>16</v>
      </c>
      <c r="C219" t="s">
        <v>17</v>
      </c>
      <c r="D219">
        <v>163278</v>
      </c>
      <c r="E219">
        <v>12891</v>
      </c>
      <c r="F219">
        <v>28784</v>
      </c>
      <c r="G219">
        <v>-136652</v>
      </c>
      <c r="H219">
        <v>68301</v>
      </c>
      <c r="I219">
        <v>65156</v>
      </c>
      <c r="J219">
        <v>783</v>
      </c>
      <c r="K219">
        <v>370209</v>
      </c>
      <c r="L219">
        <v>84018</v>
      </c>
      <c r="M219">
        <v>-90179</v>
      </c>
      <c r="N219">
        <v>61856</v>
      </c>
      <c r="O219" t="s">
        <v>237</v>
      </c>
      <c r="P219" s="9">
        <v>195559</v>
      </c>
      <c r="Q219" s="9">
        <v>30299</v>
      </c>
      <c r="R219" s="9">
        <v>225858</v>
      </c>
      <c r="S219" s="9">
        <v>-93315</v>
      </c>
      <c r="T219" s="10">
        <v>93018</v>
      </c>
      <c r="U219" s="10">
        <v>955</v>
      </c>
    </row>
    <row r="220" spans="1:21" x14ac:dyDescent="0.35">
      <c r="A220" t="s">
        <v>15</v>
      </c>
      <c r="B220" t="s">
        <v>20</v>
      </c>
      <c r="C220" t="s">
        <v>17</v>
      </c>
      <c r="D220">
        <v>291328</v>
      </c>
      <c r="E220">
        <v>26663</v>
      </c>
      <c r="F220">
        <v>51033</v>
      </c>
      <c r="G220">
        <v>-281097</v>
      </c>
      <c r="H220">
        <v>87927</v>
      </c>
      <c r="I220">
        <v>80904</v>
      </c>
      <c r="J220">
        <v>1123</v>
      </c>
      <c r="K220">
        <v>810725</v>
      </c>
      <c r="L220">
        <v>236504</v>
      </c>
      <c r="M220">
        <v>-309022</v>
      </c>
      <c r="N220">
        <v>115409</v>
      </c>
      <c r="O220" t="s">
        <v>238</v>
      </c>
      <c r="P220" s="9">
        <v>210058</v>
      </c>
      <c r="Q220" s="9">
        <v>41487</v>
      </c>
      <c r="R220" s="9">
        <v>251545</v>
      </c>
      <c r="S220" s="9">
        <v>-67656</v>
      </c>
      <c r="T220" s="10">
        <v>100991</v>
      </c>
      <c r="U220" s="10">
        <v>1457</v>
      </c>
    </row>
    <row r="221" spans="1:21" x14ac:dyDescent="0.35">
      <c r="A221" t="s">
        <v>15</v>
      </c>
      <c r="B221" t="s">
        <v>16</v>
      </c>
      <c r="C221" t="s">
        <v>21</v>
      </c>
      <c r="D221">
        <v>266326</v>
      </c>
      <c r="E221">
        <v>27004</v>
      </c>
      <c r="F221">
        <v>46183</v>
      </c>
      <c r="G221">
        <v>-257471</v>
      </c>
      <c r="H221">
        <v>82042</v>
      </c>
      <c r="I221">
        <v>74797</v>
      </c>
      <c r="J221">
        <v>2166</v>
      </c>
      <c r="K221">
        <v>711234</v>
      </c>
      <c r="L221">
        <v>128868</v>
      </c>
      <c r="M221">
        <v>-248443</v>
      </c>
      <c r="N221">
        <v>234457</v>
      </c>
      <c r="O221" t="s">
        <v>239</v>
      </c>
      <c r="P221" s="9">
        <v>160082</v>
      </c>
      <c r="Q221" s="9">
        <v>18787</v>
      </c>
      <c r="R221" s="9">
        <v>178869</v>
      </c>
      <c r="S221" s="9">
        <v>-70551</v>
      </c>
      <c r="T221" s="10">
        <v>44000</v>
      </c>
      <c r="U221" s="10">
        <v>472</v>
      </c>
    </row>
    <row r="222" spans="1:21" x14ac:dyDescent="0.35">
      <c r="A222" t="s">
        <v>15</v>
      </c>
      <c r="B222" t="s">
        <v>20</v>
      </c>
      <c r="C222" t="s">
        <v>17</v>
      </c>
      <c r="D222">
        <v>179319</v>
      </c>
      <c r="E222">
        <v>26394</v>
      </c>
      <c r="F222">
        <v>34010</v>
      </c>
      <c r="G222">
        <v>-170499</v>
      </c>
      <c r="H222">
        <v>69224</v>
      </c>
      <c r="I222">
        <v>62810</v>
      </c>
      <c r="J222">
        <v>1287</v>
      </c>
      <c r="K222">
        <v>469425</v>
      </c>
      <c r="L222">
        <v>158587</v>
      </c>
      <c r="M222">
        <v>-57038</v>
      </c>
      <c r="N222">
        <v>69821</v>
      </c>
      <c r="O222" t="s">
        <v>240</v>
      </c>
      <c r="P222" s="9">
        <v>161161</v>
      </c>
      <c r="Q222" s="9">
        <v>9761</v>
      </c>
      <c r="R222" s="9">
        <v>170922</v>
      </c>
      <c r="S222" s="9">
        <v>-46123</v>
      </c>
      <c r="T222" s="10">
        <v>49742</v>
      </c>
      <c r="U222" s="10">
        <v>1471</v>
      </c>
    </row>
    <row r="223" spans="1:21" x14ac:dyDescent="0.35">
      <c r="A223" t="s">
        <v>15</v>
      </c>
      <c r="B223" t="s">
        <v>16</v>
      </c>
      <c r="C223" t="s">
        <v>21</v>
      </c>
      <c r="D223">
        <v>190920</v>
      </c>
      <c r="E223">
        <v>14875</v>
      </c>
      <c r="F223">
        <v>30205</v>
      </c>
      <c r="G223">
        <v>-163865</v>
      </c>
      <c r="H223">
        <v>72135</v>
      </c>
      <c r="I223">
        <v>70606</v>
      </c>
      <c r="J223">
        <v>1086</v>
      </c>
      <c r="K223">
        <v>448956</v>
      </c>
      <c r="L223">
        <v>154296</v>
      </c>
      <c r="M223">
        <v>-166901</v>
      </c>
      <c r="N223">
        <v>110189</v>
      </c>
      <c r="O223" t="s">
        <v>241</v>
      </c>
      <c r="P223" s="9">
        <v>215306</v>
      </c>
      <c r="Q223" s="9">
        <v>16347</v>
      </c>
      <c r="R223" s="9">
        <v>231653</v>
      </c>
      <c r="S223" s="9">
        <v>-137695</v>
      </c>
      <c r="T223" s="10">
        <v>68564</v>
      </c>
      <c r="U223" s="10">
        <v>1763</v>
      </c>
    </row>
    <row r="224" spans="1:21" x14ac:dyDescent="0.35">
      <c r="A224" t="s">
        <v>15</v>
      </c>
      <c r="B224" t="s">
        <v>16</v>
      </c>
      <c r="C224" t="s">
        <v>21</v>
      </c>
      <c r="D224">
        <v>271033</v>
      </c>
      <c r="E224">
        <v>47588</v>
      </c>
      <c r="F224">
        <v>67179</v>
      </c>
      <c r="G224">
        <v>-240700</v>
      </c>
      <c r="H224">
        <v>145100</v>
      </c>
      <c r="I224">
        <v>139049</v>
      </c>
      <c r="J224">
        <v>3322</v>
      </c>
      <c r="K224">
        <v>641092</v>
      </c>
      <c r="L224">
        <v>258081</v>
      </c>
      <c r="M224">
        <v>-137798</v>
      </c>
      <c r="N224">
        <v>111541</v>
      </c>
      <c r="O224" t="s">
        <v>242</v>
      </c>
      <c r="P224" s="9">
        <v>265246</v>
      </c>
      <c r="Q224" s="9">
        <v>21110</v>
      </c>
      <c r="R224" s="9">
        <v>286356</v>
      </c>
      <c r="S224" s="9">
        <v>-84434</v>
      </c>
      <c r="T224" s="10">
        <v>98471</v>
      </c>
      <c r="U224" s="10">
        <v>1712</v>
      </c>
    </row>
    <row r="225" spans="1:21" x14ac:dyDescent="0.35">
      <c r="A225" t="s">
        <v>15</v>
      </c>
      <c r="B225" t="s">
        <v>16</v>
      </c>
      <c r="C225" t="s">
        <v>17</v>
      </c>
      <c r="D225">
        <v>196023</v>
      </c>
      <c r="E225">
        <v>19785</v>
      </c>
      <c r="F225">
        <v>37467</v>
      </c>
      <c r="G225">
        <v>-181128</v>
      </c>
      <c r="H225">
        <v>72147</v>
      </c>
      <c r="I225">
        <v>68301</v>
      </c>
      <c r="J225">
        <v>1206</v>
      </c>
      <c r="K225">
        <v>511847</v>
      </c>
      <c r="L225">
        <v>237515</v>
      </c>
      <c r="M225">
        <v>-157654</v>
      </c>
      <c r="N225">
        <v>138734</v>
      </c>
      <c r="O225" t="s">
        <v>243</v>
      </c>
      <c r="P225" s="9">
        <v>241352</v>
      </c>
      <c r="Q225" s="9">
        <v>33549</v>
      </c>
      <c r="R225" s="9">
        <v>274901</v>
      </c>
      <c r="S225" s="9">
        <v>-113867</v>
      </c>
      <c r="T225" s="10">
        <v>115875</v>
      </c>
      <c r="U225" s="10">
        <v>3113</v>
      </c>
    </row>
    <row r="226" spans="1:21" x14ac:dyDescent="0.35">
      <c r="A226" t="s">
        <v>15</v>
      </c>
      <c r="B226" t="s">
        <v>16</v>
      </c>
      <c r="C226" t="s">
        <v>21</v>
      </c>
      <c r="D226">
        <v>271132</v>
      </c>
      <c r="E226">
        <v>24330</v>
      </c>
      <c r="F226">
        <v>53486</v>
      </c>
      <c r="G226">
        <v>-263211</v>
      </c>
      <c r="H226">
        <v>85737</v>
      </c>
      <c r="I226">
        <v>80480</v>
      </c>
      <c r="J226">
        <v>1930</v>
      </c>
      <c r="K226">
        <v>1076557</v>
      </c>
      <c r="L226">
        <v>372790</v>
      </c>
      <c r="M226">
        <v>-212758</v>
      </c>
      <c r="N226">
        <v>160679</v>
      </c>
      <c r="O226" t="s">
        <v>244</v>
      </c>
      <c r="P226" s="9">
        <v>266065</v>
      </c>
      <c r="Q226" s="9">
        <v>35931</v>
      </c>
      <c r="R226" s="9">
        <v>301996</v>
      </c>
      <c r="S226" s="9">
        <v>-140971</v>
      </c>
      <c r="T226" s="10">
        <v>103969</v>
      </c>
      <c r="U226" s="10">
        <v>1067</v>
      </c>
    </row>
    <row r="227" spans="1:21" x14ac:dyDescent="0.35">
      <c r="A227" t="s">
        <v>15</v>
      </c>
      <c r="B227" t="s">
        <v>20</v>
      </c>
      <c r="C227" t="s">
        <v>21</v>
      </c>
      <c r="D227">
        <v>261224</v>
      </c>
      <c r="E227">
        <v>51083</v>
      </c>
      <c r="F227">
        <v>55241</v>
      </c>
      <c r="G227">
        <v>-226314</v>
      </c>
      <c r="H227">
        <v>141234</v>
      </c>
      <c r="I227">
        <v>145882</v>
      </c>
      <c r="J227">
        <v>1732</v>
      </c>
      <c r="K227">
        <v>843120</v>
      </c>
      <c r="L227">
        <v>268706</v>
      </c>
      <c r="M227">
        <v>-315457</v>
      </c>
      <c r="N227">
        <v>197558</v>
      </c>
      <c r="O227" t="s">
        <v>245</v>
      </c>
      <c r="P227" s="9">
        <v>239443</v>
      </c>
      <c r="Q227" s="9">
        <v>32157</v>
      </c>
      <c r="R227" s="9">
        <v>271600</v>
      </c>
      <c r="S227" s="9">
        <v>-145397</v>
      </c>
      <c r="T227" s="10">
        <v>84081</v>
      </c>
      <c r="U227" s="10">
        <v>1337</v>
      </c>
    </row>
    <row r="228" spans="1:21" x14ac:dyDescent="0.35">
      <c r="A228" t="s">
        <v>15</v>
      </c>
      <c r="B228" t="s">
        <v>16</v>
      </c>
      <c r="C228" t="s">
        <v>17</v>
      </c>
      <c r="D228">
        <v>154162</v>
      </c>
      <c r="E228">
        <v>15843</v>
      </c>
      <c r="F228">
        <v>31408</v>
      </c>
      <c r="G228">
        <v>-145807</v>
      </c>
      <c r="H228">
        <v>55606</v>
      </c>
      <c r="I228">
        <v>54580</v>
      </c>
      <c r="J228">
        <v>1403</v>
      </c>
      <c r="K228">
        <v>562832</v>
      </c>
      <c r="L228">
        <v>248116</v>
      </c>
      <c r="M228">
        <v>-170846</v>
      </c>
      <c r="N228">
        <v>73479</v>
      </c>
      <c r="O228" t="s">
        <v>246</v>
      </c>
      <c r="P228" s="9">
        <v>166972</v>
      </c>
      <c r="Q228" s="9">
        <v>27529</v>
      </c>
      <c r="R228" s="9">
        <v>194501</v>
      </c>
      <c r="S228" s="9">
        <v>-55891</v>
      </c>
      <c r="T228" s="10">
        <v>92770</v>
      </c>
      <c r="U228" s="10">
        <v>2453</v>
      </c>
    </row>
    <row r="229" spans="1:21" x14ac:dyDescent="0.35">
      <c r="A229" t="s">
        <v>15</v>
      </c>
      <c r="B229" t="s">
        <v>20</v>
      </c>
      <c r="C229" t="s">
        <v>21</v>
      </c>
      <c r="D229">
        <v>181466</v>
      </c>
      <c r="E229">
        <v>11395</v>
      </c>
      <c r="F229">
        <v>38093</v>
      </c>
      <c r="G229">
        <v>-164503</v>
      </c>
      <c r="H229">
        <v>66451</v>
      </c>
      <c r="I229">
        <v>63896</v>
      </c>
      <c r="J229">
        <v>1074</v>
      </c>
      <c r="K229">
        <v>628123</v>
      </c>
      <c r="L229">
        <v>143346</v>
      </c>
      <c r="M229">
        <v>-110699</v>
      </c>
      <c r="N229">
        <v>57057</v>
      </c>
      <c r="O229" t="s">
        <v>247</v>
      </c>
      <c r="P229" s="9">
        <v>278231</v>
      </c>
      <c r="Q229" s="9">
        <v>57282</v>
      </c>
      <c r="R229" s="9">
        <v>335513</v>
      </c>
      <c r="S229" s="9">
        <v>-171190</v>
      </c>
      <c r="T229" s="10">
        <v>138170</v>
      </c>
      <c r="U229" s="10">
        <v>2195</v>
      </c>
    </row>
    <row r="230" spans="1:21" x14ac:dyDescent="0.35">
      <c r="A230" t="s">
        <v>15</v>
      </c>
      <c r="B230" t="s">
        <v>16</v>
      </c>
      <c r="C230" t="s">
        <v>17</v>
      </c>
      <c r="D230">
        <v>246307</v>
      </c>
      <c r="E230">
        <v>13592</v>
      </c>
      <c r="F230">
        <v>61118</v>
      </c>
      <c r="G230">
        <v>-198257</v>
      </c>
      <c r="H230">
        <v>122760</v>
      </c>
      <c r="I230">
        <v>125482</v>
      </c>
      <c r="J230">
        <v>1958</v>
      </c>
      <c r="K230">
        <v>612027</v>
      </c>
      <c r="L230">
        <v>154414</v>
      </c>
      <c r="M230">
        <v>-104780</v>
      </c>
      <c r="N230">
        <v>101583</v>
      </c>
      <c r="O230" t="s">
        <v>248</v>
      </c>
      <c r="P230" s="9">
        <v>222268</v>
      </c>
      <c r="Q230" s="9">
        <v>12438</v>
      </c>
      <c r="R230" s="9">
        <v>234706</v>
      </c>
      <c r="S230" s="9">
        <v>-115945</v>
      </c>
      <c r="T230" s="10">
        <v>99366</v>
      </c>
      <c r="U230" s="10">
        <v>2601</v>
      </c>
    </row>
    <row r="231" spans="1:21" x14ac:dyDescent="0.35">
      <c r="A231" t="s">
        <v>15</v>
      </c>
      <c r="B231" t="s">
        <v>16</v>
      </c>
      <c r="C231" t="s">
        <v>21</v>
      </c>
      <c r="D231">
        <v>179802</v>
      </c>
      <c r="E231">
        <v>11160</v>
      </c>
      <c r="F231">
        <v>19715</v>
      </c>
      <c r="G231">
        <v>-168610</v>
      </c>
      <c r="H231">
        <v>42067</v>
      </c>
      <c r="I231">
        <v>42826</v>
      </c>
      <c r="J231">
        <v>454</v>
      </c>
      <c r="K231">
        <v>592156</v>
      </c>
      <c r="L231">
        <v>143790</v>
      </c>
      <c r="M231">
        <v>-65072</v>
      </c>
      <c r="N231">
        <v>88403</v>
      </c>
      <c r="O231" t="s">
        <v>249</v>
      </c>
      <c r="P231" s="9">
        <v>267143</v>
      </c>
      <c r="Q231" s="9">
        <v>40657</v>
      </c>
      <c r="R231" s="9">
        <v>307800</v>
      </c>
      <c r="S231" s="9">
        <v>-130440</v>
      </c>
      <c r="T231" s="10">
        <v>112606</v>
      </c>
      <c r="U231" s="10">
        <v>3355</v>
      </c>
    </row>
    <row r="232" spans="1:21" x14ac:dyDescent="0.35">
      <c r="A232" t="s">
        <v>15</v>
      </c>
      <c r="B232" t="s">
        <v>20</v>
      </c>
      <c r="C232" t="s">
        <v>17</v>
      </c>
      <c r="D232">
        <v>264477</v>
      </c>
      <c r="E232">
        <v>49348</v>
      </c>
      <c r="F232">
        <v>47952</v>
      </c>
      <c r="G232">
        <v>-240639</v>
      </c>
      <c r="H232">
        <v>121138</v>
      </c>
      <c r="I232">
        <v>109642</v>
      </c>
      <c r="J232">
        <v>2781</v>
      </c>
      <c r="K232">
        <v>762977</v>
      </c>
      <c r="L232">
        <v>183625</v>
      </c>
      <c r="M232">
        <v>-200607</v>
      </c>
      <c r="N232">
        <v>128238</v>
      </c>
      <c r="O232" t="s">
        <v>250</v>
      </c>
      <c r="P232" s="9">
        <v>259422</v>
      </c>
      <c r="Q232" s="9">
        <v>38894</v>
      </c>
      <c r="R232" s="9">
        <v>298316</v>
      </c>
      <c r="S232" s="9">
        <v>-116532</v>
      </c>
      <c r="T232" s="10">
        <v>115721</v>
      </c>
      <c r="U232" s="10">
        <v>3340</v>
      </c>
    </row>
    <row r="233" spans="1:21" x14ac:dyDescent="0.35">
      <c r="A233" t="s">
        <v>15</v>
      </c>
      <c r="B233" t="s">
        <v>20</v>
      </c>
      <c r="C233" t="s">
        <v>21</v>
      </c>
      <c r="D233">
        <v>286589</v>
      </c>
      <c r="E233">
        <v>34761</v>
      </c>
      <c r="F233">
        <v>62964</v>
      </c>
      <c r="G233">
        <v>-250472</v>
      </c>
      <c r="H233">
        <v>133842</v>
      </c>
      <c r="I233">
        <v>137651</v>
      </c>
      <c r="J233">
        <v>2070</v>
      </c>
      <c r="K233">
        <v>875640</v>
      </c>
      <c r="L233">
        <v>299573</v>
      </c>
      <c r="M233">
        <v>-197182</v>
      </c>
      <c r="N233">
        <v>178065</v>
      </c>
      <c r="O233" t="s">
        <v>251</v>
      </c>
      <c r="P233" s="9">
        <v>269048</v>
      </c>
      <c r="Q233" s="9">
        <v>17770</v>
      </c>
      <c r="R233" s="9">
        <v>286818</v>
      </c>
      <c r="S233" s="9">
        <v>-74522</v>
      </c>
      <c r="T233" s="10">
        <v>84380</v>
      </c>
      <c r="U233" s="10">
        <v>1483</v>
      </c>
    </row>
    <row r="234" spans="1:21" x14ac:dyDescent="0.35">
      <c r="A234" t="s">
        <v>15</v>
      </c>
      <c r="B234" t="s">
        <v>16</v>
      </c>
      <c r="C234" t="s">
        <v>21</v>
      </c>
      <c r="D234">
        <v>243034</v>
      </c>
      <c r="E234">
        <v>20159</v>
      </c>
      <c r="F234">
        <v>35924</v>
      </c>
      <c r="G234">
        <v>-212849</v>
      </c>
      <c r="H234">
        <v>86268</v>
      </c>
      <c r="I234">
        <v>83007</v>
      </c>
      <c r="J234">
        <v>1024</v>
      </c>
      <c r="K234">
        <v>846965</v>
      </c>
      <c r="L234">
        <v>301022</v>
      </c>
      <c r="M234">
        <v>-250647</v>
      </c>
      <c r="N234">
        <v>107734</v>
      </c>
      <c r="O234" t="s">
        <v>252</v>
      </c>
      <c r="P234" s="9">
        <v>194063</v>
      </c>
      <c r="Q234" s="9">
        <v>11999</v>
      </c>
      <c r="R234" s="9">
        <v>206062</v>
      </c>
      <c r="S234" s="9">
        <v>-64459</v>
      </c>
      <c r="T234" s="10">
        <v>47061</v>
      </c>
      <c r="U234" s="10">
        <v>1123</v>
      </c>
    </row>
    <row r="235" spans="1:21" x14ac:dyDescent="0.35">
      <c r="A235" t="s">
        <v>15</v>
      </c>
      <c r="B235" t="s">
        <v>16</v>
      </c>
      <c r="C235" t="s">
        <v>21</v>
      </c>
      <c r="D235">
        <v>182396</v>
      </c>
      <c r="E235">
        <v>35646</v>
      </c>
      <c r="F235">
        <v>36122</v>
      </c>
      <c r="G235">
        <v>-163210</v>
      </c>
      <c r="H235">
        <v>90954</v>
      </c>
      <c r="I235">
        <v>87347</v>
      </c>
      <c r="J235">
        <v>975</v>
      </c>
      <c r="K235">
        <v>589154</v>
      </c>
      <c r="L235">
        <v>213291</v>
      </c>
      <c r="M235">
        <v>-218026</v>
      </c>
      <c r="N235">
        <v>132960</v>
      </c>
      <c r="O235" t="s">
        <v>253</v>
      </c>
      <c r="P235" s="9">
        <v>200249</v>
      </c>
      <c r="Q235" s="9">
        <v>21725</v>
      </c>
      <c r="R235" s="9">
        <v>221974</v>
      </c>
      <c r="S235" s="9">
        <v>-96642</v>
      </c>
      <c r="T235" s="10">
        <v>72916</v>
      </c>
      <c r="U235" s="10">
        <v>918</v>
      </c>
    </row>
    <row r="236" spans="1:21" x14ac:dyDescent="0.35">
      <c r="A236" t="s">
        <v>15</v>
      </c>
      <c r="B236" t="s">
        <v>16</v>
      </c>
      <c r="C236" t="s">
        <v>21</v>
      </c>
      <c r="D236">
        <v>232331</v>
      </c>
      <c r="E236">
        <v>37709</v>
      </c>
      <c r="F236">
        <v>49092</v>
      </c>
      <c r="G236">
        <v>-222044</v>
      </c>
      <c r="H236">
        <v>97088</v>
      </c>
      <c r="I236">
        <v>93513</v>
      </c>
      <c r="J236">
        <v>2574</v>
      </c>
      <c r="K236">
        <v>583209</v>
      </c>
      <c r="L236">
        <v>174422</v>
      </c>
      <c r="M236">
        <v>-214062</v>
      </c>
      <c r="N236">
        <v>76971</v>
      </c>
      <c r="O236" t="s">
        <v>254</v>
      </c>
      <c r="P236" s="9">
        <v>159093</v>
      </c>
      <c r="Q236" s="9">
        <v>9201</v>
      </c>
      <c r="R236" s="9">
        <v>168294</v>
      </c>
      <c r="S236" s="9">
        <v>-53612</v>
      </c>
      <c r="T236" s="10">
        <v>54638</v>
      </c>
      <c r="U236" s="10">
        <v>1538</v>
      </c>
    </row>
    <row r="237" spans="1:21" x14ac:dyDescent="0.35">
      <c r="A237" t="s">
        <v>15</v>
      </c>
      <c r="B237" t="s">
        <v>16</v>
      </c>
      <c r="C237" t="s">
        <v>21</v>
      </c>
      <c r="D237">
        <v>232246</v>
      </c>
      <c r="E237">
        <v>27526</v>
      </c>
      <c r="F237">
        <v>28494</v>
      </c>
      <c r="G237">
        <v>-228059</v>
      </c>
      <c r="H237">
        <v>60207</v>
      </c>
      <c r="I237">
        <v>56329</v>
      </c>
      <c r="J237">
        <v>1409</v>
      </c>
      <c r="K237">
        <v>551793</v>
      </c>
      <c r="L237">
        <v>234870</v>
      </c>
      <c r="M237">
        <v>-117597</v>
      </c>
      <c r="N237">
        <v>70817</v>
      </c>
      <c r="O237" t="s">
        <v>255</v>
      </c>
      <c r="P237" s="9">
        <v>283026</v>
      </c>
      <c r="Q237" s="9">
        <v>20825</v>
      </c>
      <c r="R237" s="9">
        <v>303851</v>
      </c>
      <c r="S237" s="9">
        <v>-115608</v>
      </c>
      <c r="T237" s="10">
        <v>111272</v>
      </c>
      <c r="U237" s="10">
        <v>1441</v>
      </c>
    </row>
    <row r="238" spans="1:21" x14ac:dyDescent="0.35">
      <c r="A238" t="s">
        <v>15</v>
      </c>
      <c r="B238" t="s">
        <v>16</v>
      </c>
      <c r="C238" t="s">
        <v>17</v>
      </c>
      <c r="D238">
        <v>259117</v>
      </c>
      <c r="E238">
        <v>49012</v>
      </c>
      <c r="F238">
        <v>37810</v>
      </c>
      <c r="G238">
        <v>-245477</v>
      </c>
      <c r="H238">
        <v>100462</v>
      </c>
      <c r="I238">
        <v>96416</v>
      </c>
      <c r="J238">
        <v>2344</v>
      </c>
      <c r="K238">
        <v>982014</v>
      </c>
      <c r="L238">
        <v>366499</v>
      </c>
      <c r="M238">
        <v>-379052</v>
      </c>
      <c r="N238">
        <v>156354</v>
      </c>
      <c r="O238" t="s">
        <v>256</v>
      </c>
      <c r="P238" s="9">
        <v>210854</v>
      </c>
      <c r="Q238" s="9">
        <v>12430</v>
      </c>
      <c r="R238" s="9">
        <v>223284</v>
      </c>
      <c r="S238" s="9">
        <v>-69592</v>
      </c>
      <c r="T238" s="10">
        <v>79215</v>
      </c>
      <c r="U238" s="10">
        <v>1395</v>
      </c>
    </row>
    <row r="239" spans="1:21" x14ac:dyDescent="0.35">
      <c r="A239" t="s">
        <v>15</v>
      </c>
      <c r="B239" t="s">
        <v>16</v>
      </c>
      <c r="C239" t="s">
        <v>21</v>
      </c>
      <c r="D239">
        <v>250187</v>
      </c>
      <c r="E239">
        <v>25599</v>
      </c>
      <c r="F239">
        <v>35400</v>
      </c>
      <c r="G239">
        <v>-216228</v>
      </c>
      <c r="H239">
        <v>94958</v>
      </c>
      <c r="I239">
        <v>94702</v>
      </c>
      <c r="J239">
        <v>1310</v>
      </c>
      <c r="K239">
        <v>603878</v>
      </c>
      <c r="L239">
        <v>253020</v>
      </c>
      <c r="M239">
        <v>-161653</v>
      </c>
      <c r="N239">
        <v>151022</v>
      </c>
      <c r="O239" t="s">
        <v>257</v>
      </c>
      <c r="P239" s="9">
        <v>178096</v>
      </c>
      <c r="Q239" s="9">
        <v>12228</v>
      </c>
      <c r="R239" s="9">
        <v>190324</v>
      </c>
      <c r="S239" s="9">
        <v>-63181</v>
      </c>
      <c r="T239" s="10">
        <v>67317</v>
      </c>
      <c r="U239" s="10">
        <v>801</v>
      </c>
    </row>
    <row r="240" spans="1:21" x14ac:dyDescent="0.35">
      <c r="A240" t="s">
        <v>15</v>
      </c>
      <c r="B240" t="s">
        <v>20</v>
      </c>
      <c r="C240" t="s">
        <v>21</v>
      </c>
      <c r="D240">
        <v>206874</v>
      </c>
      <c r="E240">
        <v>18810</v>
      </c>
      <c r="F240">
        <v>51130</v>
      </c>
      <c r="G240">
        <v>-168003</v>
      </c>
      <c r="H240">
        <v>108811</v>
      </c>
      <c r="I240">
        <v>108371</v>
      </c>
      <c r="J240">
        <v>2491</v>
      </c>
      <c r="K240">
        <v>558315</v>
      </c>
      <c r="L240">
        <v>67795</v>
      </c>
      <c r="M240">
        <v>-210927</v>
      </c>
      <c r="N240">
        <v>184153</v>
      </c>
      <c r="O240" t="s">
        <v>258</v>
      </c>
      <c r="P240" s="9">
        <v>186384</v>
      </c>
      <c r="Q240" s="9">
        <v>14526</v>
      </c>
      <c r="R240" s="9">
        <v>200910</v>
      </c>
      <c r="S240" s="9">
        <v>-51318</v>
      </c>
      <c r="T240" s="10">
        <v>55763</v>
      </c>
      <c r="U240" s="10">
        <v>1323</v>
      </c>
    </row>
    <row r="241" spans="1:21" x14ac:dyDescent="0.35">
      <c r="A241" t="s">
        <v>15</v>
      </c>
      <c r="B241" t="s">
        <v>16</v>
      </c>
      <c r="C241" t="s">
        <v>21</v>
      </c>
      <c r="D241">
        <v>212455</v>
      </c>
      <c r="E241">
        <v>38878</v>
      </c>
      <c r="F241">
        <v>27210</v>
      </c>
      <c r="G241">
        <v>-210179</v>
      </c>
      <c r="H241">
        <v>68364</v>
      </c>
      <c r="I241">
        <v>62556</v>
      </c>
      <c r="J241">
        <v>1098</v>
      </c>
      <c r="K241">
        <v>498809</v>
      </c>
      <c r="L241">
        <v>93996</v>
      </c>
      <c r="M241">
        <v>-162111</v>
      </c>
      <c r="N241">
        <v>86729</v>
      </c>
      <c r="O241" t="s">
        <v>259</v>
      </c>
      <c r="P241" s="9">
        <v>321469</v>
      </c>
      <c r="Q241" s="9">
        <v>20444</v>
      </c>
      <c r="R241" s="9">
        <v>341913</v>
      </c>
      <c r="S241" s="9">
        <v>-149570</v>
      </c>
      <c r="T241" s="10">
        <v>136359</v>
      </c>
      <c r="U241" s="10">
        <v>3672</v>
      </c>
    </row>
    <row r="242" spans="1:21" x14ac:dyDescent="0.35">
      <c r="A242" t="s">
        <v>15</v>
      </c>
      <c r="B242" t="s">
        <v>16</v>
      </c>
      <c r="C242" t="s">
        <v>21</v>
      </c>
      <c r="D242">
        <v>203089</v>
      </c>
      <c r="E242">
        <v>38958</v>
      </c>
      <c r="F242">
        <v>49485</v>
      </c>
      <c r="G242">
        <v>-171773</v>
      </c>
      <c r="H242">
        <v>119759</v>
      </c>
      <c r="I242">
        <v>123209</v>
      </c>
      <c r="J242">
        <v>3693</v>
      </c>
      <c r="K242">
        <v>526676</v>
      </c>
      <c r="L242">
        <v>131742</v>
      </c>
      <c r="M242">
        <v>-86953</v>
      </c>
      <c r="N242">
        <v>62204</v>
      </c>
      <c r="O242" t="s">
        <v>260</v>
      </c>
      <c r="P242" s="9">
        <v>287837</v>
      </c>
      <c r="Q242" s="9">
        <v>37899</v>
      </c>
      <c r="R242" s="9">
        <v>325736</v>
      </c>
      <c r="S242" s="9">
        <v>-137206</v>
      </c>
      <c r="T242" s="10">
        <v>134604</v>
      </c>
      <c r="U242" s="10">
        <v>1672</v>
      </c>
    </row>
    <row r="243" spans="1:21" x14ac:dyDescent="0.35">
      <c r="A243" t="s">
        <v>15</v>
      </c>
      <c r="B243" t="s">
        <v>16</v>
      </c>
      <c r="C243" t="s">
        <v>21</v>
      </c>
      <c r="D243">
        <v>266273</v>
      </c>
      <c r="E243">
        <v>24943</v>
      </c>
      <c r="F243">
        <v>61135</v>
      </c>
      <c r="G243">
        <v>-226849</v>
      </c>
      <c r="H243">
        <v>125502</v>
      </c>
      <c r="I243">
        <v>124411</v>
      </c>
      <c r="J243">
        <v>2917</v>
      </c>
      <c r="K243">
        <v>855243</v>
      </c>
      <c r="L243">
        <v>248529</v>
      </c>
      <c r="M243">
        <v>-142518</v>
      </c>
      <c r="N243">
        <v>174496</v>
      </c>
      <c r="O243" t="s">
        <v>261</v>
      </c>
      <c r="P243" s="9">
        <v>172199</v>
      </c>
      <c r="Q243" s="9">
        <v>20141</v>
      </c>
      <c r="R243" s="9">
        <v>192340</v>
      </c>
      <c r="S243" s="9">
        <v>-65361</v>
      </c>
      <c r="T243" s="10">
        <v>51135</v>
      </c>
      <c r="U243" s="10">
        <v>1075</v>
      </c>
    </row>
    <row r="244" spans="1:21" x14ac:dyDescent="0.35">
      <c r="A244" t="s">
        <v>15</v>
      </c>
      <c r="B244" t="s">
        <v>16</v>
      </c>
      <c r="C244" t="s">
        <v>21</v>
      </c>
      <c r="D244">
        <v>161794</v>
      </c>
      <c r="E244">
        <v>17907</v>
      </c>
      <c r="F244">
        <v>28609</v>
      </c>
      <c r="G244">
        <v>-137915</v>
      </c>
      <c r="H244">
        <v>70395</v>
      </c>
      <c r="I244">
        <v>73838</v>
      </c>
      <c r="J244">
        <v>1180</v>
      </c>
      <c r="K244">
        <v>471945</v>
      </c>
      <c r="L244">
        <v>219563</v>
      </c>
      <c r="M244">
        <v>-163411</v>
      </c>
      <c r="N244">
        <v>69088</v>
      </c>
      <c r="O244" t="s">
        <v>262</v>
      </c>
      <c r="P244" s="9">
        <v>221771</v>
      </c>
      <c r="Q244" s="9">
        <v>31303</v>
      </c>
      <c r="R244" s="9">
        <v>253074</v>
      </c>
      <c r="S244" s="9">
        <v>-111879</v>
      </c>
      <c r="T244" s="10">
        <v>94858</v>
      </c>
      <c r="U244" s="10">
        <v>2735</v>
      </c>
    </row>
    <row r="245" spans="1:21" x14ac:dyDescent="0.35">
      <c r="A245" t="s">
        <v>15</v>
      </c>
      <c r="B245" t="s">
        <v>16</v>
      </c>
      <c r="C245" t="s">
        <v>21</v>
      </c>
      <c r="D245">
        <v>291326</v>
      </c>
      <c r="E245">
        <v>30239</v>
      </c>
      <c r="F245">
        <v>51179</v>
      </c>
      <c r="G245">
        <v>-255971</v>
      </c>
      <c r="H245">
        <v>116773</v>
      </c>
      <c r="I245">
        <v>105689</v>
      </c>
      <c r="J245">
        <v>1679</v>
      </c>
      <c r="K245">
        <v>602526</v>
      </c>
      <c r="L245">
        <v>111385</v>
      </c>
      <c r="M245">
        <v>-97906</v>
      </c>
      <c r="N245">
        <v>225450</v>
      </c>
      <c r="O245" t="s">
        <v>263</v>
      </c>
      <c r="P245" s="9">
        <v>221936</v>
      </c>
      <c r="Q245" s="9">
        <v>10042</v>
      </c>
      <c r="R245" s="9">
        <v>231978</v>
      </c>
      <c r="S245" s="9">
        <v>-112480</v>
      </c>
      <c r="T245" s="10">
        <v>78584</v>
      </c>
      <c r="U245" s="10">
        <v>2092</v>
      </c>
    </row>
    <row r="246" spans="1:21" x14ac:dyDescent="0.35">
      <c r="A246" t="s">
        <v>15</v>
      </c>
      <c r="B246" t="s">
        <v>16</v>
      </c>
      <c r="C246" t="s">
        <v>21</v>
      </c>
      <c r="D246">
        <v>155237</v>
      </c>
      <c r="E246">
        <v>27522</v>
      </c>
      <c r="F246">
        <v>37477</v>
      </c>
      <c r="G246">
        <v>-155230</v>
      </c>
      <c r="H246">
        <v>65006</v>
      </c>
      <c r="I246">
        <v>66063</v>
      </c>
      <c r="J246">
        <v>1575</v>
      </c>
      <c r="K246">
        <v>411711</v>
      </c>
      <c r="L246">
        <v>158846</v>
      </c>
      <c r="M246">
        <v>-46020</v>
      </c>
      <c r="N246">
        <v>59629</v>
      </c>
      <c r="O246" t="s">
        <v>264</v>
      </c>
      <c r="P246" s="9">
        <v>137196</v>
      </c>
      <c r="Q246" s="9">
        <v>19518</v>
      </c>
      <c r="R246" s="9">
        <v>156714</v>
      </c>
      <c r="S246" s="9">
        <v>-40500</v>
      </c>
      <c r="T246" s="10">
        <v>71911</v>
      </c>
      <c r="U246" s="10">
        <v>1634</v>
      </c>
    </row>
    <row r="247" spans="1:21" x14ac:dyDescent="0.35">
      <c r="A247" t="s">
        <v>15</v>
      </c>
      <c r="B247" t="s">
        <v>16</v>
      </c>
      <c r="C247" t="s">
        <v>21</v>
      </c>
      <c r="D247">
        <v>287574</v>
      </c>
      <c r="E247">
        <v>16888</v>
      </c>
      <c r="F247">
        <v>50048</v>
      </c>
      <c r="G247">
        <v>-267806</v>
      </c>
      <c r="H247">
        <v>86704</v>
      </c>
      <c r="I247">
        <v>82571</v>
      </c>
      <c r="J247">
        <v>2452</v>
      </c>
      <c r="K247">
        <v>952498</v>
      </c>
      <c r="L247">
        <v>168501</v>
      </c>
      <c r="M247">
        <v>-248818</v>
      </c>
      <c r="N247">
        <v>130978</v>
      </c>
      <c r="O247" t="s">
        <v>265</v>
      </c>
      <c r="P247" s="9">
        <v>266583</v>
      </c>
      <c r="Q247" s="9">
        <v>55047</v>
      </c>
      <c r="R247" s="9">
        <v>321630</v>
      </c>
      <c r="S247" s="9">
        <v>-185822</v>
      </c>
      <c r="T247" s="10">
        <v>135045</v>
      </c>
      <c r="U247" s="10">
        <v>2271</v>
      </c>
    </row>
    <row r="248" spans="1:21" x14ac:dyDescent="0.35">
      <c r="A248" t="s">
        <v>15</v>
      </c>
      <c r="B248" t="s">
        <v>16</v>
      </c>
      <c r="C248" t="s">
        <v>21</v>
      </c>
      <c r="D248">
        <v>179688</v>
      </c>
      <c r="E248">
        <v>29832</v>
      </c>
      <c r="F248">
        <v>34081</v>
      </c>
      <c r="G248">
        <v>-154923</v>
      </c>
      <c r="H248">
        <v>88678</v>
      </c>
      <c r="I248">
        <v>80945</v>
      </c>
      <c r="J248">
        <v>2362</v>
      </c>
      <c r="K248">
        <v>688042</v>
      </c>
      <c r="L248">
        <v>339972</v>
      </c>
      <c r="M248">
        <v>-260512</v>
      </c>
      <c r="N248">
        <v>131550</v>
      </c>
      <c r="O248" t="s">
        <v>266</v>
      </c>
      <c r="P248" s="9">
        <v>166618</v>
      </c>
      <c r="Q248" s="9">
        <v>11081</v>
      </c>
      <c r="R248" s="9">
        <v>177699</v>
      </c>
      <c r="S248" s="9">
        <v>-82354</v>
      </c>
      <c r="T248" s="10">
        <v>59814</v>
      </c>
      <c r="U248" s="10">
        <v>804</v>
      </c>
    </row>
    <row r="249" spans="1:21" x14ac:dyDescent="0.35">
      <c r="A249" t="s">
        <v>15</v>
      </c>
      <c r="B249" t="s">
        <v>16</v>
      </c>
      <c r="C249" t="s">
        <v>17</v>
      </c>
      <c r="D249">
        <v>295296</v>
      </c>
      <c r="E249">
        <v>19100</v>
      </c>
      <c r="F249">
        <v>32641</v>
      </c>
      <c r="G249">
        <v>-236716</v>
      </c>
      <c r="H249">
        <v>110321</v>
      </c>
      <c r="I249">
        <v>114953</v>
      </c>
      <c r="J249">
        <v>1369</v>
      </c>
      <c r="K249">
        <v>691686</v>
      </c>
      <c r="L249">
        <v>235546</v>
      </c>
      <c r="M249">
        <v>-168157</v>
      </c>
      <c r="N249">
        <v>200281</v>
      </c>
      <c r="O249" t="s">
        <v>267</v>
      </c>
      <c r="P249" s="9">
        <v>290892</v>
      </c>
      <c r="Q249" s="9">
        <v>29634</v>
      </c>
      <c r="R249" s="9">
        <v>320526</v>
      </c>
      <c r="S249" s="9">
        <v>-189702</v>
      </c>
      <c r="T249" s="10">
        <v>90767</v>
      </c>
      <c r="U249" s="10">
        <v>2002</v>
      </c>
    </row>
    <row r="250" spans="1:21" x14ac:dyDescent="0.35">
      <c r="A250" t="s">
        <v>15</v>
      </c>
      <c r="B250" t="s">
        <v>16</v>
      </c>
      <c r="C250" t="s">
        <v>21</v>
      </c>
      <c r="D250">
        <v>174957</v>
      </c>
      <c r="E250">
        <v>24782</v>
      </c>
      <c r="F250">
        <v>30533</v>
      </c>
      <c r="G250">
        <v>-146834</v>
      </c>
      <c r="H250">
        <v>83438</v>
      </c>
      <c r="I250">
        <v>79654</v>
      </c>
      <c r="J250">
        <v>2372</v>
      </c>
      <c r="K250">
        <v>660473</v>
      </c>
      <c r="L250">
        <v>260394</v>
      </c>
      <c r="M250">
        <v>-259245</v>
      </c>
      <c r="N250">
        <v>109115</v>
      </c>
      <c r="O250" t="s">
        <v>268</v>
      </c>
      <c r="P250" s="9">
        <v>225475</v>
      </c>
      <c r="Q250" s="9">
        <v>44822</v>
      </c>
      <c r="R250" s="9">
        <v>270297</v>
      </c>
      <c r="S250" s="9">
        <v>-96186</v>
      </c>
      <c r="T250" s="10">
        <v>105664</v>
      </c>
      <c r="U250" s="10">
        <v>1783</v>
      </c>
    </row>
    <row r="251" spans="1:21" x14ac:dyDescent="0.35">
      <c r="A251" t="s">
        <v>15</v>
      </c>
      <c r="B251" t="s">
        <v>16</v>
      </c>
      <c r="C251" t="s">
        <v>21</v>
      </c>
      <c r="D251">
        <v>251628</v>
      </c>
      <c r="E251">
        <v>17820</v>
      </c>
      <c r="F251">
        <v>35293</v>
      </c>
      <c r="G251">
        <v>-228332</v>
      </c>
      <c r="H251">
        <v>76409</v>
      </c>
      <c r="I251">
        <v>77460</v>
      </c>
      <c r="J251">
        <v>1921</v>
      </c>
      <c r="K251">
        <v>918923</v>
      </c>
      <c r="L251">
        <v>429345</v>
      </c>
      <c r="M251">
        <v>-298822</v>
      </c>
      <c r="N251">
        <v>98878</v>
      </c>
      <c r="O251" t="s">
        <v>269</v>
      </c>
      <c r="P251" s="9">
        <v>278470</v>
      </c>
      <c r="Q251" s="9">
        <v>33052</v>
      </c>
      <c r="R251" s="9">
        <v>311522</v>
      </c>
      <c r="S251" s="9">
        <v>-172433</v>
      </c>
      <c r="T251" s="10">
        <v>88333</v>
      </c>
      <c r="U251" s="10">
        <v>1073</v>
      </c>
    </row>
    <row r="252" spans="1:21" x14ac:dyDescent="0.35">
      <c r="A252" t="s">
        <v>15</v>
      </c>
      <c r="B252" t="s">
        <v>16</v>
      </c>
      <c r="C252" t="s">
        <v>21</v>
      </c>
      <c r="D252">
        <v>194567</v>
      </c>
      <c r="E252">
        <v>17504</v>
      </c>
      <c r="F252">
        <v>30320</v>
      </c>
      <c r="G252">
        <v>-155987</v>
      </c>
      <c r="H252">
        <v>86404</v>
      </c>
      <c r="I252">
        <v>81385</v>
      </c>
      <c r="J252">
        <v>855</v>
      </c>
      <c r="K252">
        <v>635602</v>
      </c>
      <c r="L252">
        <v>206240</v>
      </c>
      <c r="M252">
        <v>-70051</v>
      </c>
      <c r="N252">
        <v>139112</v>
      </c>
      <c r="O252" t="s">
        <v>270</v>
      </c>
      <c r="P252" s="9">
        <v>181531</v>
      </c>
      <c r="Q252" s="9">
        <v>35420</v>
      </c>
      <c r="R252" s="9">
        <v>216951</v>
      </c>
      <c r="S252" s="9">
        <v>-81297</v>
      </c>
      <c r="T252" s="10">
        <v>109643</v>
      </c>
      <c r="U252" s="10">
        <v>2985</v>
      </c>
    </row>
    <row r="253" spans="1:21" x14ac:dyDescent="0.35">
      <c r="A253" t="s">
        <v>15</v>
      </c>
      <c r="B253" t="s">
        <v>20</v>
      </c>
      <c r="C253" t="s">
        <v>21</v>
      </c>
      <c r="D253">
        <v>236040</v>
      </c>
      <c r="E253">
        <v>47080</v>
      </c>
      <c r="F253">
        <v>28460</v>
      </c>
      <c r="G253">
        <v>-218974</v>
      </c>
      <c r="H253">
        <v>92606</v>
      </c>
      <c r="I253">
        <v>87410</v>
      </c>
      <c r="J253">
        <v>2335</v>
      </c>
      <c r="K253">
        <v>867679</v>
      </c>
      <c r="L253">
        <v>202957</v>
      </c>
      <c r="M253">
        <v>-261725</v>
      </c>
      <c r="N253">
        <v>177435</v>
      </c>
      <c r="O253" t="s">
        <v>271</v>
      </c>
      <c r="P253" s="9">
        <v>209489</v>
      </c>
      <c r="Q253" s="9">
        <v>38457</v>
      </c>
      <c r="R253" s="9">
        <v>247946</v>
      </c>
      <c r="S253" s="9">
        <v>-145899</v>
      </c>
      <c r="T253" s="10">
        <v>111900</v>
      </c>
      <c r="U253" s="10">
        <v>3108</v>
      </c>
    </row>
    <row r="254" spans="1:21" x14ac:dyDescent="0.35">
      <c r="A254" t="s">
        <v>15</v>
      </c>
      <c r="B254" t="s">
        <v>16</v>
      </c>
      <c r="C254" t="s">
        <v>21</v>
      </c>
      <c r="D254">
        <v>259727</v>
      </c>
      <c r="E254">
        <v>40667</v>
      </c>
      <c r="F254">
        <v>59947</v>
      </c>
      <c r="G254">
        <v>-236707</v>
      </c>
      <c r="H254">
        <v>123634</v>
      </c>
      <c r="I254">
        <v>111371</v>
      </c>
      <c r="J254">
        <v>1130</v>
      </c>
      <c r="K254">
        <v>750066</v>
      </c>
      <c r="L254">
        <v>228340</v>
      </c>
      <c r="M254">
        <v>-288636</v>
      </c>
      <c r="N254">
        <v>164542</v>
      </c>
      <c r="O254" t="s">
        <v>272</v>
      </c>
      <c r="P254" s="9">
        <v>310289</v>
      </c>
      <c r="Q254" s="9">
        <v>28962</v>
      </c>
      <c r="R254" s="9">
        <v>339251</v>
      </c>
      <c r="S254" s="9">
        <v>-85059</v>
      </c>
      <c r="T254" s="10">
        <v>117362</v>
      </c>
      <c r="U254" s="10">
        <v>2440</v>
      </c>
    </row>
    <row r="255" spans="1:21" x14ac:dyDescent="0.35">
      <c r="A255" t="s">
        <v>15</v>
      </c>
      <c r="B255" t="s">
        <v>16</v>
      </c>
      <c r="C255" t="s">
        <v>17</v>
      </c>
      <c r="D255">
        <v>180485</v>
      </c>
      <c r="E255">
        <v>24548</v>
      </c>
      <c r="F255">
        <v>37709</v>
      </c>
      <c r="G255">
        <v>-147709</v>
      </c>
      <c r="H255">
        <v>95033</v>
      </c>
      <c r="I255">
        <v>97967</v>
      </c>
      <c r="J255">
        <v>2891</v>
      </c>
      <c r="K255">
        <v>481546</v>
      </c>
      <c r="L255">
        <v>216722</v>
      </c>
      <c r="M255">
        <v>-155138</v>
      </c>
      <c r="N255">
        <v>134348</v>
      </c>
      <c r="O255" t="s">
        <v>273</v>
      </c>
      <c r="P255" s="9">
        <v>210847</v>
      </c>
      <c r="Q255" s="9">
        <v>33426</v>
      </c>
      <c r="R255" s="9">
        <v>244273</v>
      </c>
      <c r="S255" s="9">
        <v>-125884</v>
      </c>
      <c r="T255" s="10">
        <v>113368</v>
      </c>
      <c r="U255" s="10">
        <v>2527</v>
      </c>
    </row>
    <row r="256" spans="1:21" x14ac:dyDescent="0.35">
      <c r="A256" t="s">
        <v>15</v>
      </c>
      <c r="B256" t="s">
        <v>16</v>
      </c>
      <c r="C256" t="s">
        <v>21</v>
      </c>
      <c r="D256">
        <v>158129</v>
      </c>
      <c r="E256">
        <v>19171</v>
      </c>
      <c r="F256">
        <v>21300</v>
      </c>
      <c r="G256">
        <v>-135913</v>
      </c>
      <c r="H256">
        <v>62687</v>
      </c>
      <c r="I256">
        <v>59915</v>
      </c>
      <c r="J256">
        <v>1274</v>
      </c>
      <c r="K256">
        <v>324292</v>
      </c>
      <c r="L256">
        <v>156984</v>
      </c>
      <c r="M256">
        <v>-114420</v>
      </c>
      <c r="N256">
        <v>103197</v>
      </c>
      <c r="O256" t="s">
        <v>274</v>
      </c>
      <c r="P256" s="9">
        <v>215698</v>
      </c>
      <c r="Q256" s="9">
        <v>15432</v>
      </c>
      <c r="R256" s="9">
        <v>231130</v>
      </c>
      <c r="S256" s="9">
        <v>-126479</v>
      </c>
      <c r="T256" s="10">
        <v>60366</v>
      </c>
      <c r="U256" s="10">
        <v>1081</v>
      </c>
    </row>
    <row r="257" spans="1:21" x14ac:dyDescent="0.35">
      <c r="A257" t="s">
        <v>15</v>
      </c>
      <c r="B257" t="s">
        <v>16</v>
      </c>
      <c r="C257" t="s">
        <v>17</v>
      </c>
      <c r="D257">
        <v>267210</v>
      </c>
      <c r="E257">
        <v>39779</v>
      </c>
      <c r="F257">
        <v>49561</v>
      </c>
      <c r="G257">
        <v>-240564</v>
      </c>
      <c r="H257">
        <v>115986</v>
      </c>
      <c r="I257">
        <v>114397</v>
      </c>
      <c r="J257">
        <v>1263</v>
      </c>
      <c r="K257">
        <v>897896</v>
      </c>
      <c r="L257">
        <v>357845</v>
      </c>
      <c r="M257">
        <v>-313366</v>
      </c>
      <c r="N257">
        <v>134827</v>
      </c>
      <c r="O257" t="s">
        <v>275</v>
      </c>
      <c r="P257" s="9">
        <v>318089</v>
      </c>
      <c r="Q257" s="9">
        <v>31751</v>
      </c>
      <c r="R257" s="9">
        <v>349840</v>
      </c>
      <c r="S257" s="9">
        <v>-206706</v>
      </c>
      <c r="T257" s="10">
        <v>106186</v>
      </c>
      <c r="U257" s="10">
        <v>2058</v>
      </c>
    </row>
    <row r="258" spans="1:21" x14ac:dyDescent="0.35">
      <c r="A258" t="s">
        <v>15</v>
      </c>
      <c r="B258" t="s">
        <v>16</v>
      </c>
      <c r="C258" t="s">
        <v>21</v>
      </c>
      <c r="D258">
        <v>217731</v>
      </c>
      <c r="E258">
        <v>21163</v>
      </c>
      <c r="F258">
        <v>49207</v>
      </c>
      <c r="G258">
        <v>-205868</v>
      </c>
      <c r="H258">
        <v>82233</v>
      </c>
      <c r="I258">
        <v>76608</v>
      </c>
      <c r="J258">
        <v>1997</v>
      </c>
      <c r="K258">
        <v>491477</v>
      </c>
      <c r="L258">
        <v>218646</v>
      </c>
      <c r="M258">
        <v>-76026</v>
      </c>
      <c r="N258">
        <v>182676</v>
      </c>
      <c r="O258" t="s">
        <v>276</v>
      </c>
      <c r="P258" s="9">
        <v>279222</v>
      </c>
      <c r="Q258" s="9">
        <v>20789</v>
      </c>
      <c r="R258" s="9">
        <v>300011</v>
      </c>
      <c r="S258" s="9">
        <v>-164753</v>
      </c>
      <c r="T258" s="10">
        <v>66100</v>
      </c>
      <c r="U258" s="10">
        <v>1664</v>
      </c>
    </row>
    <row r="259" spans="1:21" x14ac:dyDescent="0.35">
      <c r="A259" t="s">
        <v>15</v>
      </c>
      <c r="B259" t="s">
        <v>16</v>
      </c>
      <c r="C259" t="s">
        <v>21</v>
      </c>
      <c r="D259">
        <v>258396</v>
      </c>
      <c r="E259">
        <v>39409</v>
      </c>
      <c r="F259">
        <v>59307</v>
      </c>
      <c r="G259">
        <v>-244180</v>
      </c>
      <c r="H259">
        <v>112932</v>
      </c>
      <c r="I259">
        <v>111079</v>
      </c>
      <c r="J259">
        <v>1207</v>
      </c>
      <c r="K259">
        <v>743439</v>
      </c>
      <c r="L259">
        <v>205639</v>
      </c>
      <c r="M259">
        <v>-112877</v>
      </c>
      <c r="N259">
        <v>124663</v>
      </c>
      <c r="O259" t="s">
        <v>277</v>
      </c>
      <c r="P259" s="9">
        <v>189858</v>
      </c>
      <c r="Q259" s="9">
        <v>11755</v>
      </c>
      <c r="R259" s="9">
        <v>201613</v>
      </c>
      <c r="S259" s="9">
        <v>-102065</v>
      </c>
      <c r="T259" s="10">
        <v>45386</v>
      </c>
      <c r="U259" s="10">
        <v>944</v>
      </c>
    </row>
    <row r="260" spans="1:21" x14ac:dyDescent="0.35">
      <c r="A260" t="s">
        <v>15</v>
      </c>
      <c r="B260" t="s">
        <v>16</v>
      </c>
      <c r="C260" t="s">
        <v>17</v>
      </c>
      <c r="D260">
        <v>255265</v>
      </c>
      <c r="E260">
        <v>23068</v>
      </c>
      <c r="F260">
        <v>51742</v>
      </c>
      <c r="G260">
        <v>-237572</v>
      </c>
      <c r="H260">
        <v>92503</v>
      </c>
      <c r="I260">
        <v>85344</v>
      </c>
      <c r="J260">
        <v>1008</v>
      </c>
      <c r="K260">
        <v>835941</v>
      </c>
      <c r="L260">
        <v>112404</v>
      </c>
      <c r="M260">
        <v>-91847</v>
      </c>
      <c r="N260">
        <v>179283</v>
      </c>
      <c r="O260" t="s">
        <v>278</v>
      </c>
      <c r="P260" s="9">
        <v>240119</v>
      </c>
      <c r="Q260" s="9">
        <v>28564</v>
      </c>
      <c r="R260" s="9">
        <v>268683</v>
      </c>
      <c r="S260" s="9">
        <v>-61677</v>
      </c>
      <c r="T260" s="10">
        <v>73901</v>
      </c>
      <c r="U260" s="10">
        <v>1454</v>
      </c>
    </row>
    <row r="261" spans="1:21" x14ac:dyDescent="0.35">
      <c r="A261" t="s">
        <v>15</v>
      </c>
      <c r="B261" t="s">
        <v>20</v>
      </c>
      <c r="C261" t="s">
        <v>17</v>
      </c>
      <c r="D261">
        <v>189053</v>
      </c>
      <c r="E261">
        <v>28073</v>
      </c>
      <c r="F261">
        <v>44501</v>
      </c>
      <c r="G261">
        <v>-166760</v>
      </c>
      <c r="H261">
        <v>94867</v>
      </c>
      <c r="I261">
        <v>87623</v>
      </c>
      <c r="J261">
        <v>1945</v>
      </c>
      <c r="K261">
        <v>386312</v>
      </c>
      <c r="L261">
        <v>39551</v>
      </c>
      <c r="M261">
        <v>-54507</v>
      </c>
      <c r="N261">
        <v>170054</v>
      </c>
      <c r="O261" t="s">
        <v>279</v>
      </c>
      <c r="P261" s="9">
        <v>285274</v>
      </c>
      <c r="Q261" s="9">
        <v>41717</v>
      </c>
      <c r="R261" s="9">
        <v>326991</v>
      </c>
      <c r="S261" s="9">
        <v>-73109</v>
      </c>
      <c r="T261" s="10">
        <v>104057</v>
      </c>
      <c r="U261" s="10">
        <v>2728</v>
      </c>
    </row>
    <row r="262" spans="1:21" x14ac:dyDescent="0.35">
      <c r="A262" t="s">
        <v>15</v>
      </c>
      <c r="B262" t="s">
        <v>16</v>
      </c>
      <c r="C262" t="s">
        <v>17</v>
      </c>
      <c r="D262">
        <v>243975</v>
      </c>
      <c r="E262">
        <v>44716</v>
      </c>
      <c r="F262">
        <v>32075</v>
      </c>
      <c r="G262">
        <v>-211311</v>
      </c>
      <c r="H262">
        <v>109455</v>
      </c>
      <c r="I262">
        <v>99265</v>
      </c>
      <c r="J262">
        <v>2069</v>
      </c>
      <c r="K262">
        <v>824713</v>
      </c>
      <c r="L262">
        <v>214222</v>
      </c>
      <c r="M262">
        <v>-252226</v>
      </c>
      <c r="N262">
        <v>168609</v>
      </c>
      <c r="O262" t="s">
        <v>280</v>
      </c>
      <c r="P262" s="9">
        <v>264787</v>
      </c>
      <c r="Q262" s="9">
        <v>34548</v>
      </c>
      <c r="R262" s="9">
        <v>299335</v>
      </c>
      <c r="S262" s="9">
        <v>-83234</v>
      </c>
      <c r="T262" s="10">
        <v>117579</v>
      </c>
      <c r="U262" s="10">
        <v>2227</v>
      </c>
    </row>
    <row r="263" spans="1:21" x14ac:dyDescent="0.35">
      <c r="A263" t="s">
        <v>15</v>
      </c>
      <c r="B263" t="s">
        <v>20</v>
      </c>
      <c r="C263" t="s">
        <v>17</v>
      </c>
      <c r="D263">
        <v>248785</v>
      </c>
      <c r="E263">
        <v>28945</v>
      </c>
      <c r="F263">
        <v>59776</v>
      </c>
      <c r="G263">
        <v>-200632</v>
      </c>
      <c r="H263">
        <v>136874</v>
      </c>
      <c r="I263">
        <v>132138</v>
      </c>
      <c r="J263">
        <v>2159</v>
      </c>
      <c r="K263">
        <v>597814</v>
      </c>
      <c r="L263">
        <v>209105</v>
      </c>
      <c r="M263">
        <v>-152066</v>
      </c>
      <c r="N263">
        <v>129727</v>
      </c>
      <c r="O263" t="s">
        <v>281</v>
      </c>
      <c r="P263" s="9">
        <v>235233</v>
      </c>
      <c r="Q263" s="9">
        <v>42167</v>
      </c>
      <c r="R263" s="9">
        <v>277400</v>
      </c>
      <c r="S263" s="9">
        <v>-157747</v>
      </c>
      <c r="T263" s="10">
        <v>84180</v>
      </c>
      <c r="U263" s="10">
        <v>1045</v>
      </c>
    </row>
    <row r="264" spans="1:21" x14ac:dyDescent="0.35">
      <c r="A264" t="s">
        <v>15</v>
      </c>
      <c r="B264" t="s">
        <v>16</v>
      </c>
      <c r="C264" t="s">
        <v>17</v>
      </c>
      <c r="D264">
        <v>216488</v>
      </c>
      <c r="E264">
        <v>40307</v>
      </c>
      <c r="F264">
        <v>34056</v>
      </c>
      <c r="G264">
        <v>-178964</v>
      </c>
      <c r="H264">
        <v>111887</v>
      </c>
      <c r="I264">
        <v>116796</v>
      </c>
      <c r="J264">
        <v>3049</v>
      </c>
      <c r="K264">
        <v>652671</v>
      </c>
      <c r="L264">
        <v>234667</v>
      </c>
      <c r="M264">
        <v>-182440</v>
      </c>
      <c r="N264">
        <v>84946</v>
      </c>
      <c r="O264" t="s">
        <v>282</v>
      </c>
      <c r="P264" s="9">
        <v>258475</v>
      </c>
      <c r="Q264" s="9">
        <v>40703</v>
      </c>
      <c r="R264" s="9">
        <v>299178</v>
      </c>
      <c r="S264" s="9">
        <v>-72413</v>
      </c>
      <c r="T264" s="10">
        <v>95687</v>
      </c>
      <c r="U264" s="10">
        <v>2821</v>
      </c>
    </row>
    <row r="265" spans="1:21" x14ac:dyDescent="0.35">
      <c r="A265" t="s">
        <v>15</v>
      </c>
      <c r="B265" t="s">
        <v>16</v>
      </c>
      <c r="C265" t="s">
        <v>17</v>
      </c>
      <c r="D265">
        <v>283938</v>
      </c>
      <c r="E265">
        <v>36419</v>
      </c>
      <c r="F265">
        <v>28969</v>
      </c>
      <c r="G265">
        <v>-279611</v>
      </c>
      <c r="H265">
        <v>69715</v>
      </c>
      <c r="I265">
        <v>64475</v>
      </c>
      <c r="J265">
        <v>1760</v>
      </c>
      <c r="K265">
        <v>1042274</v>
      </c>
      <c r="L265">
        <v>257269</v>
      </c>
      <c r="M265">
        <v>-407062</v>
      </c>
      <c r="N265">
        <v>96241</v>
      </c>
      <c r="O265" t="s">
        <v>283</v>
      </c>
      <c r="P265" s="9">
        <v>193747</v>
      </c>
      <c r="Q265" s="9">
        <v>34476</v>
      </c>
      <c r="R265" s="9">
        <v>228223</v>
      </c>
      <c r="S265" s="9">
        <v>-55384</v>
      </c>
      <c r="T265" s="10">
        <v>60719</v>
      </c>
      <c r="U265" s="10">
        <v>830</v>
      </c>
    </row>
    <row r="266" spans="1:21" x14ac:dyDescent="0.35">
      <c r="A266" t="s">
        <v>15</v>
      </c>
      <c r="B266" t="s">
        <v>16</v>
      </c>
      <c r="C266" t="s">
        <v>21</v>
      </c>
      <c r="D266">
        <v>204589</v>
      </c>
      <c r="E266">
        <v>33516</v>
      </c>
      <c r="F266">
        <v>47688</v>
      </c>
      <c r="G266">
        <v>-193671</v>
      </c>
      <c r="H266">
        <v>92122</v>
      </c>
      <c r="I266">
        <v>92019</v>
      </c>
      <c r="J266">
        <v>1760</v>
      </c>
      <c r="K266">
        <v>779741</v>
      </c>
      <c r="L266">
        <v>194875</v>
      </c>
      <c r="M266">
        <v>-204584</v>
      </c>
      <c r="N266">
        <v>160531</v>
      </c>
      <c r="O266" t="s">
        <v>284</v>
      </c>
      <c r="P266" s="9">
        <v>225285</v>
      </c>
      <c r="Q266" s="9">
        <v>34447</v>
      </c>
      <c r="R266" s="9">
        <v>259732</v>
      </c>
      <c r="S266" s="9">
        <v>-61515</v>
      </c>
      <c r="T266" s="10">
        <v>104773</v>
      </c>
      <c r="U266" s="10">
        <v>3042</v>
      </c>
    </row>
    <row r="267" spans="1:21" x14ac:dyDescent="0.35">
      <c r="A267" t="s">
        <v>15</v>
      </c>
      <c r="B267" t="s">
        <v>16</v>
      </c>
      <c r="C267" t="s">
        <v>21</v>
      </c>
      <c r="D267">
        <v>291327</v>
      </c>
      <c r="E267">
        <v>52187</v>
      </c>
      <c r="F267">
        <v>60586</v>
      </c>
      <c r="G267">
        <v>-281630</v>
      </c>
      <c r="H267">
        <v>122470</v>
      </c>
      <c r="I267">
        <v>124103</v>
      </c>
      <c r="J267">
        <v>1514</v>
      </c>
      <c r="K267">
        <v>650207</v>
      </c>
      <c r="L267">
        <v>109857</v>
      </c>
      <c r="M267">
        <v>-222783</v>
      </c>
      <c r="N267">
        <v>143270</v>
      </c>
      <c r="O267" t="s">
        <v>285</v>
      </c>
      <c r="P267" s="9">
        <v>229988</v>
      </c>
      <c r="Q267" s="9">
        <v>42740</v>
      </c>
      <c r="R267" s="9">
        <v>272728</v>
      </c>
      <c r="S267" s="9">
        <v>-76396</v>
      </c>
      <c r="T267" s="10">
        <v>113663</v>
      </c>
      <c r="U267" s="10">
        <v>2544</v>
      </c>
    </row>
    <row r="268" spans="1:21" x14ac:dyDescent="0.35">
      <c r="A268" t="s">
        <v>15</v>
      </c>
      <c r="B268" t="s">
        <v>20</v>
      </c>
      <c r="C268" t="s">
        <v>17</v>
      </c>
      <c r="D268">
        <v>219164</v>
      </c>
      <c r="E268">
        <v>43017</v>
      </c>
      <c r="F268">
        <v>29384</v>
      </c>
      <c r="G268">
        <v>-211043</v>
      </c>
      <c r="H268">
        <v>80522</v>
      </c>
      <c r="I268">
        <v>75860</v>
      </c>
      <c r="J268">
        <v>1412</v>
      </c>
      <c r="K268">
        <v>857385</v>
      </c>
      <c r="L268">
        <v>116683</v>
      </c>
      <c r="M268">
        <v>-171493</v>
      </c>
      <c r="N268">
        <v>158522</v>
      </c>
      <c r="O268" t="s">
        <v>286</v>
      </c>
      <c r="P268" s="9">
        <v>255889</v>
      </c>
      <c r="Q268" s="9">
        <v>38099</v>
      </c>
      <c r="R268" s="9">
        <v>293988</v>
      </c>
      <c r="S268" s="9">
        <v>-110555</v>
      </c>
      <c r="T268" s="10">
        <v>77302</v>
      </c>
      <c r="U268" s="10">
        <v>1006</v>
      </c>
    </row>
    <row r="269" spans="1:21" x14ac:dyDescent="0.35">
      <c r="A269" t="s">
        <v>15</v>
      </c>
      <c r="B269" t="s">
        <v>20</v>
      </c>
      <c r="C269" t="s">
        <v>21</v>
      </c>
      <c r="D269">
        <v>263803</v>
      </c>
      <c r="E269">
        <v>34733</v>
      </c>
      <c r="F269">
        <v>32807</v>
      </c>
      <c r="G269">
        <v>-243464</v>
      </c>
      <c r="H269">
        <v>87879</v>
      </c>
      <c r="I269">
        <v>81987</v>
      </c>
      <c r="J269">
        <v>1550</v>
      </c>
      <c r="K269">
        <v>834311</v>
      </c>
      <c r="L269">
        <v>361598</v>
      </c>
      <c r="M269">
        <v>-189703</v>
      </c>
      <c r="N269">
        <v>183868</v>
      </c>
      <c r="O269" t="s">
        <v>287</v>
      </c>
      <c r="P269" s="9">
        <v>165886</v>
      </c>
      <c r="Q269" s="9">
        <v>21152</v>
      </c>
      <c r="R269" s="9">
        <v>187038</v>
      </c>
      <c r="S269" s="9">
        <v>-39870</v>
      </c>
      <c r="T269" s="10">
        <v>53359</v>
      </c>
      <c r="U269" s="10">
        <v>974</v>
      </c>
    </row>
    <row r="270" spans="1:21" x14ac:dyDescent="0.35">
      <c r="A270" t="s">
        <v>15</v>
      </c>
      <c r="B270" t="s">
        <v>16</v>
      </c>
      <c r="C270" t="s">
        <v>21</v>
      </c>
      <c r="D270">
        <v>240891</v>
      </c>
      <c r="E270">
        <v>12319</v>
      </c>
      <c r="F270">
        <v>55540</v>
      </c>
      <c r="G270">
        <v>-227762</v>
      </c>
      <c r="H270">
        <v>80988</v>
      </c>
      <c r="I270">
        <v>81768</v>
      </c>
      <c r="J270">
        <v>997</v>
      </c>
      <c r="K270">
        <v>744305</v>
      </c>
      <c r="L270">
        <v>283934</v>
      </c>
      <c r="M270">
        <v>-205859</v>
      </c>
      <c r="N270">
        <v>146910</v>
      </c>
      <c r="O270" t="s">
        <v>288</v>
      </c>
      <c r="P270" s="9">
        <v>267890</v>
      </c>
      <c r="Q270" s="9">
        <v>38510</v>
      </c>
      <c r="R270" s="9">
        <v>306400</v>
      </c>
      <c r="S270" s="9">
        <v>-87290</v>
      </c>
      <c r="T270" s="10">
        <v>95502</v>
      </c>
      <c r="U270" s="10">
        <v>2600</v>
      </c>
    </row>
    <row r="271" spans="1:21" x14ac:dyDescent="0.35">
      <c r="A271" t="s">
        <v>15</v>
      </c>
      <c r="B271" t="s">
        <v>16</v>
      </c>
      <c r="C271" t="s">
        <v>21</v>
      </c>
      <c r="D271">
        <v>278991</v>
      </c>
      <c r="E271">
        <v>32839</v>
      </c>
      <c r="F271">
        <v>65952</v>
      </c>
      <c r="G271">
        <v>-245698</v>
      </c>
      <c r="H271">
        <v>132084</v>
      </c>
      <c r="I271">
        <v>137030</v>
      </c>
      <c r="J271">
        <v>1872</v>
      </c>
      <c r="K271">
        <v>934872</v>
      </c>
      <c r="L271">
        <v>357887</v>
      </c>
      <c r="M271">
        <v>-167361</v>
      </c>
      <c r="N271">
        <v>108344</v>
      </c>
      <c r="O271" t="s">
        <v>289</v>
      </c>
      <c r="P271" s="9">
        <v>185837</v>
      </c>
      <c r="Q271" s="9">
        <v>14932</v>
      </c>
      <c r="R271" s="9">
        <v>200769</v>
      </c>
      <c r="S271" s="9">
        <v>-71918</v>
      </c>
      <c r="T271" s="10">
        <v>64767</v>
      </c>
      <c r="U271" s="10">
        <v>699</v>
      </c>
    </row>
    <row r="272" spans="1:21" x14ac:dyDescent="0.35">
      <c r="A272" t="s">
        <v>15</v>
      </c>
      <c r="B272" t="s">
        <v>20</v>
      </c>
      <c r="C272" t="s">
        <v>21</v>
      </c>
      <c r="D272">
        <v>166767</v>
      </c>
      <c r="E272">
        <v>19896</v>
      </c>
      <c r="F272">
        <v>17107</v>
      </c>
      <c r="G272">
        <v>-134681</v>
      </c>
      <c r="H272">
        <v>69089</v>
      </c>
      <c r="I272">
        <v>68122</v>
      </c>
      <c r="J272">
        <v>1575</v>
      </c>
      <c r="K272">
        <v>632316</v>
      </c>
      <c r="L272">
        <v>301930</v>
      </c>
      <c r="M272">
        <v>-157593</v>
      </c>
      <c r="N272">
        <v>89127</v>
      </c>
      <c r="O272" t="s">
        <v>290</v>
      </c>
      <c r="P272" s="9">
        <v>181010</v>
      </c>
      <c r="Q272" s="9">
        <v>26862</v>
      </c>
      <c r="R272" s="9">
        <v>207872</v>
      </c>
      <c r="S272" s="9">
        <v>-123999</v>
      </c>
      <c r="T272" s="10">
        <v>89710</v>
      </c>
      <c r="U272" s="10">
        <v>1152</v>
      </c>
    </row>
    <row r="273" spans="1:21" x14ac:dyDescent="0.35">
      <c r="A273" t="s">
        <v>15</v>
      </c>
      <c r="B273" t="s">
        <v>16</v>
      </c>
      <c r="C273" t="s">
        <v>21</v>
      </c>
      <c r="D273">
        <v>226010</v>
      </c>
      <c r="E273">
        <v>25260</v>
      </c>
      <c r="F273">
        <v>46834</v>
      </c>
      <c r="G273">
        <v>-194931</v>
      </c>
      <c r="H273">
        <v>103173</v>
      </c>
      <c r="I273">
        <v>104000</v>
      </c>
      <c r="J273">
        <v>2781</v>
      </c>
      <c r="K273">
        <v>883143</v>
      </c>
      <c r="L273">
        <v>290538</v>
      </c>
      <c r="M273">
        <v>-310378</v>
      </c>
      <c r="N273">
        <v>91194</v>
      </c>
      <c r="O273" t="s">
        <v>291</v>
      </c>
      <c r="P273" s="9">
        <v>215306</v>
      </c>
      <c r="Q273" s="9">
        <v>26457</v>
      </c>
      <c r="R273" s="9">
        <v>241763</v>
      </c>
      <c r="S273" s="9">
        <v>-55859</v>
      </c>
      <c r="T273" s="10">
        <v>94633</v>
      </c>
      <c r="U273" s="10">
        <v>1617</v>
      </c>
    </row>
    <row r="274" spans="1:21" x14ac:dyDescent="0.35">
      <c r="A274" t="s">
        <v>15</v>
      </c>
      <c r="B274" t="s">
        <v>16</v>
      </c>
      <c r="C274" t="s">
        <v>21</v>
      </c>
      <c r="D274">
        <v>233598</v>
      </c>
      <c r="E274">
        <v>29336</v>
      </c>
      <c r="F274">
        <v>53287</v>
      </c>
      <c r="G274">
        <v>-195715</v>
      </c>
      <c r="H274">
        <v>120506</v>
      </c>
      <c r="I274">
        <v>125562</v>
      </c>
      <c r="J274">
        <v>1472</v>
      </c>
      <c r="K274">
        <v>614426</v>
      </c>
      <c r="L274">
        <v>214877</v>
      </c>
      <c r="M274">
        <v>-98957</v>
      </c>
      <c r="N274">
        <v>165243</v>
      </c>
      <c r="O274" t="s">
        <v>292</v>
      </c>
      <c r="P274" s="9">
        <v>294002</v>
      </c>
      <c r="Q274" s="9">
        <v>40533</v>
      </c>
      <c r="R274" s="9">
        <v>334535</v>
      </c>
      <c r="S274" s="9">
        <v>-142733</v>
      </c>
      <c r="T274" s="10">
        <v>152166</v>
      </c>
      <c r="U274" s="10">
        <v>1926</v>
      </c>
    </row>
    <row r="275" spans="1:21" x14ac:dyDescent="0.35">
      <c r="A275" t="s">
        <v>15</v>
      </c>
      <c r="B275" t="s">
        <v>20</v>
      </c>
      <c r="C275" t="s">
        <v>21</v>
      </c>
      <c r="D275">
        <v>180836</v>
      </c>
      <c r="E275">
        <v>13879</v>
      </c>
      <c r="F275">
        <v>23227</v>
      </c>
      <c r="G275">
        <v>-164495</v>
      </c>
      <c r="H275">
        <v>53447</v>
      </c>
      <c r="I275">
        <v>53212</v>
      </c>
      <c r="J275">
        <v>1166</v>
      </c>
      <c r="K275">
        <v>409084</v>
      </c>
      <c r="L275">
        <v>65880</v>
      </c>
      <c r="M275">
        <v>-91328</v>
      </c>
      <c r="N275">
        <v>126814</v>
      </c>
      <c r="O275" t="s">
        <v>293</v>
      </c>
      <c r="P275" s="9">
        <v>228377</v>
      </c>
      <c r="Q275" s="9">
        <v>33156</v>
      </c>
      <c r="R275" s="9">
        <v>261533</v>
      </c>
      <c r="S275" s="9">
        <v>-144347</v>
      </c>
      <c r="T275" s="10">
        <v>102624</v>
      </c>
      <c r="U275" s="10">
        <v>1999</v>
      </c>
    </row>
    <row r="276" spans="1:21" x14ac:dyDescent="0.35">
      <c r="A276" t="s">
        <v>15</v>
      </c>
      <c r="B276" t="s">
        <v>16</v>
      </c>
      <c r="C276" t="s">
        <v>21</v>
      </c>
      <c r="D276">
        <v>193641</v>
      </c>
      <c r="E276">
        <v>34037</v>
      </c>
      <c r="F276">
        <v>46887</v>
      </c>
      <c r="G276">
        <v>-158027</v>
      </c>
      <c r="H276">
        <v>116538</v>
      </c>
      <c r="I276">
        <v>116989</v>
      </c>
      <c r="J276">
        <v>2678</v>
      </c>
      <c r="K276">
        <v>518896</v>
      </c>
      <c r="L276">
        <v>226255</v>
      </c>
      <c r="M276">
        <v>-98873</v>
      </c>
      <c r="N276">
        <v>88086</v>
      </c>
      <c r="O276" t="s">
        <v>294</v>
      </c>
      <c r="P276" s="9">
        <v>164172</v>
      </c>
      <c r="Q276" s="9">
        <v>33417</v>
      </c>
      <c r="R276" s="9">
        <v>197589</v>
      </c>
      <c r="S276" s="9">
        <v>-62777</v>
      </c>
      <c r="T276" s="10">
        <v>52912</v>
      </c>
      <c r="U276" s="10">
        <v>929</v>
      </c>
    </row>
    <row r="277" spans="1:21" x14ac:dyDescent="0.35">
      <c r="A277" t="s">
        <v>15</v>
      </c>
      <c r="B277" t="s">
        <v>20</v>
      </c>
      <c r="C277" t="s">
        <v>17</v>
      </c>
      <c r="D277">
        <v>191277</v>
      </c>
      <c r="E277">
        <v>24466</v>
      </c>
      <c r="F277">
        <v>36892</v>
      </c>
      <c r="G277">
        <v>-174356</v>
      </c>
      <c r="H277">
        <v>78279</v>
      </c>
      <c r="I277">
        <v>80272</v>
      </c>
      <c r="J277">
        <v>1982</v>
      </c>
      <c r="K277">
        <v>576109</v>
      </c>
      <c r="L277">
        <v>238750</v>
      </c>
      <c r="M277">
        <v>-143347</v>
      </c>
      <c r="N277">
        <v>130297</v>
      </c>
      <c r="O277" t="s">
        <v>295</v>
      </c>
      <c r="P277" s="9">
        <v>202064</v>
      </c>
      <c r="Q277" s="9">
        <v>20721</v>
      </c>
      <c r="R277" s="9">
        <v>222785</v>
      </c>
      <c r="S277" s="9">
        <v>-47992</v>
      </c>
      <c r="T277" s="10">
        <v>94503</v>
      </c>
      <c r="U277" s="10">
        <v>2169</v>
      </c>
    </row>
    <row r="278" spans="1:21" x14ac:dyDescent="0.35">
      <c r="A278" t="s">
        <v>15</v>
      </c>
      <c r="B278" t="s">
        <v>20</v>
      </c>
      <c r="C278" t="s">
        <v>21</v>
      </c>
      <c r="D278">
        <v>285237</v>
      </c>
      <c r="E278">
        <v>37660</v>
      </c>
      <c r="F278">
        <v>70416</v>
      </c>
      <c r="G278">
        <v>-232087</v>
      </c>
      <c r="H278">
        <v>161226</v>
      </c>
      <c r="I278">
        <v>157390</v>
      </c>
      <c r="J278">
        <v>2127</v>
      </c>
      <c r="K278">
        <v>827526</v>
      </c>
      <c r="L278">
        <v>114556</v>
      </c>
      <c r="M278">
        <v>-147543</v>
      </c>
      <c r="N278">
        <v>250463</v>
      </c>
      <c r="O278" t="s">
        <v>296</v>
      </c>
      <c r="P278" s="9">
        <v>230545</v>
      </c>
      <c r="Q278" s="9">
        <v>48906</v>
      </c>
      <c r="R278" s="9">
        <v>279451</v>
      </c>
      <c r="S278" s="9">
        <v>-117362</v>
      </c>
      <c r="T278" s="10">
        <v>129441</v>
      </c>
      <c r="U278" s="10">
        <v>2390</v>
      </c>
    </row>
    <row r="279" spans="1:21" x14ac:dyDescent="0.35">
      <c r="A279" t="s">
        <v>15</v>
      </c>
      <c r="B279" t="s">
        <v>16</v>
      </c>
      <c r="C279" t="s">
        <v>21</v>
      </c>
      <c r="D279">
        <v>297033</v>
      </c>
      <c r="E279">
        <v>15406</v>
      </c>
      <c r="F279">
        <v>51442</v>
      </c>
      <c r="G279">
        <v>-267718</v>
      </c>
      <c r="H279">
        <v>96163</v>
      </c>
      <c r="I279">
        <v>87910</v>
      </c>
      <c r="J279">
        <v>2345</v>
      </c>
      <c r="K279">
        <v>807676</v>
      </c>
      <c r="L279">
        <v>344845</v>
      </c>
      <c r="M279">
        <v>-149326</v>
      </c>
      <c r="N279">
        <v>227545</v>
      </c>
      <c r="O279" t="s">
        <v>297</v>
      </c>
      <c r="P279" s="9">
        <v>284872</v>
      </c>
      <c r="Q279" s="9">
        <v>18038</v>
      </c>
      <c r="R279" s="9">
        <v>302910</v>
      </c>
      <c r="S279" s="9">
        <v>-63340</v>
      </c>
      <c r="T279" s="10">
        <v>89129</v>
      </c>
      <c r="U279" s="10">
        <v>1787</v>
      </c>
    </row>
    <row r="280" spans="1:21" x14ac:dyDescent="0.35">
      <c r="A280" t="s">
        <v>15</v>
      </c>
      <c r="B280" t="s">
        <v>20</v>
      </c>
      <c r="C280" t="s">
        <v>21</v>
      </c>
      <c r="D280">
        <v>283818</v>
      </c>
      <c r="E280">
        <v>22839</v>
      </c>
      <c r="F280">
        <v>61028</v>
      </c>
      <c r="G280">
        <v>-277508</v>
      </c>
      <c r="H280">
        <v>90177</v>
      </c>
      <c r="I280">
        <v>89407</v>
      </c>
      <c r="J280">
        <v>1005</v>
      </c>
      <c r="K280">
        <v>640418</v>
      </c>
      <c r="L280">
        <v>100999</v>
      </c>
      <c r="M280">
        <v>-68549</v>
      </c>
      <c r="N280">
        <v>147573</v>
      </c>
      <c r="O280" t="s">
        <v>298</v>
      </c>
      <c r="P280" s="9">
        <v>179116</v>
      </c>
      <c r="Q280" s="9">
        <v>36677</v>
      </c>
      <c r="R280" s="9">
        <v>215793</v>
      </c>
      <c r="S280" s="9">
        <v>-102112</v>
      </c>
      <c r="T280" s="10">
        <v>86439</v>
      </c>
      <c r="U280" s="10">
        <v>964</v>
      </c>
    </row>
    <row r="281" spans="1:21" x14ac:dyDescent="0.35">
      <c r="A281" t="s">
        <v>15</v>
      </c>
      <c r="B281" t="s">
        <v>16</v>
      </c>
      <c r="C281" t="s">
        <v>21</v>
      </c>
      <c r="D281">
        <v>210485</v>
      </c>
      <c r="E281">
        <v>17104</v>
      </c>
      <c r="F281">
        <v>47353</v>
      </c>
      <c r="G281">
        <v>-173834</v>
      </c>
      <c r="H281">
        <v>101108</v>
      </c>
      <c r="I281">
        <v>101907</v>
      </c>
      <c r="J281">
        <v>2603</v>
      </c>
      <c r="K281">
        <v>490771</v>
      </c>
      <c r="L281">
        <v>123948</v>
      </c>
      <c r="M281">
        <v>-133489</v>
      </c>
      <c r="N281">
        <v>98751</v>
      </c>
      <c r="O281" t="s">
        <v>299</v>
      </c>
      <c r="P281" s="9">
        <v>232848</v>
      </c>
      <c r="Q281" s="9">
        <v>39564</v>
      </c>
      <c r="R281" s="9">
        <v>272412</v>
      </c>
      <c r="S281" s="9">
        <v>-116559</v>
      </c>
      <c r="T281" s="10">
        <v>76171</v>
      </c>
      <c r="U281" s="10">
        <v>1891</v>
      </c>
    </row>
    <row r="282" spans="1:21" x14ac:dyDescent="0.35">
      <c r="A282" t="s">
        <v>15</v>
      </c>
      <c r="B282" t="s">
        <v>16</v>
      </c>
      <c r="C282" t="s">
        <v>21</v>
      </c>
      <c r="D282">
        <v>282680</v>
      </c>
      <c r="E282">
        <v>30611</v>
      </c>
      <c r="F282">
        <v>55875</v>
      </c>
      <c r="G282">
        <v>-278338</v>
      </c>
      <c r="H282">
        <v>90828</v>
      </c>
      <c r="I282">
        <v>89301</v>
      </c>
      <c r="J282">
        <v>2506</v>
      </c>
      <c r="K282">
        <v>1075145</v>
      </c>
      <c r="L282">
        <v>213955</v>
      </c>
      <c r="M282">
        <v>-291642</v>
      </c>
      <c r="N282">
        <v>88866</v>
      </c>
      <c r="O282" t="s">
        <v>300</v>
      </c>
      <c r="P282" s="9">
        <v>178867</v>
      </c>
      <c r="Q282" s="9">
        <v>25002</v>
      </c>
      <c r="R282" s="9">
        <v>203869</v>
      </c>
      <c r="S282" s="9">
        <v>-63811</v>
      </c>
      <c r="T282" s="10">
        <v>84165</v>
      </c>
      <c r="U282" s="10">
        <v>1790</v>
      </c>
    </row>
    <row r="283" spans="1:21" x14ac:dyDescent="0.35">
      <c r="A283" t="s">
        <v>15</v>
      </c>
      <c r="B283" t="s">
        <v>20</v>
      </c>
      <c r="C283" t="s">
        <v>21</v>
      </c>
      <c r="D283">
        <v>173126</v>
      </c>
      <c r="E283">
        <v>11719</v>
      </c>
      <c r="F283">
        <v>20502</v>
      </c>
      <c r="G283">
        <v>-169445</v>
      </c>
      <c r="H283">
        <v>35902</v>
      </c>
      <c r="I283">
        <v>34300</v>
      </c>
      <c r="J283">
        <v>559</v>
      </c>
      <c r="K283">
        <v>631846</v>
      </c>
      <c r="L283">
        <v>86031</v>
      </c>
      <c r="M283">
        <v>-90125</v>
      </c>
      <c r="N283">
        <v>140543</v>
      </c>
      <c r="O283" t="s">
        <v>301</v>
      </c>
      <c r="P283" s="9">
        <v>236007</v>
      </c>
      <c r="Q283" s="9">
        <v>40846</v>
      </c>
      <c r="R283" s="9">
        <v>276853</v>
      </c>
      <c r="S283" s="9">
        <v>-114530</v>
      </c>
      <c r="T283" s="10">
        <v>84784</v>
      </c>
      <c r="U283" s="10">
        <v>942</v>
      </c>
    </row>
    <row r="284" spans="1:21" x14ac:dyDescent="0.35">
      <c r="A284" t="s">
        <v>15</v>
      </c>
      <c r="B284" t="s">
        <v>20</v>
      </c>
      <c r="C284" t="s">
        <v>21</v>
      </c>
      <c r="D284">
        <v>187180</v>
      </c>
      <c r="E284">
        <v>17988</v>
      </c>
      <c r="F284">
        <v>46134</v>
      </c>
      <c r="G284">
        <v>-179251</v>
      </c>
      <c r="H284">
        <v>72051</v>
      </c>
      <c r="I284">
        <v>67740</v>
      </c>
      <c r="J284">
        <v>1073</v>
      </c>
      <c r="K284">
        <v>680229</v>
      </c>
      <c r="L284">
        <v>110155</v>
      </c>
      <c r="M284">
        <v>-141390</v>
      </c>
      <c r="N284">
        <v>145662</v>
      </c>
      <c r="O284" t="s">
        <v>302</v>
      </c>
      <c r="P284" s="9">
        <v>312306</v>
      </c>
      <c r="Q284" s="9">
        <v>17529</v>
      </c>
      <c r="R284" s="9">
        <v>329835</v>
      </c>
      <c r="S284" s="9">
        <v>-158308</v>
      </c>
      <c r="T284" s="10">
        <v>62815</v>
      </c>
      <c r="U284" s="10">
        <v>1786</v>
      </c>
    </row>
    <row r="285" spans="1:21" x14ac:dyDescent="0.35">
      <c r="A285" t="s">
        <v>15</v>
      </c>
      <c r="B285" t="s">
        <v>16</v>
      </c>
      <c r="C285" t="s">
        <v>21</v>
      </c>
      <c r="D285">
        <v>200051</v>
      </c>
      <c r="E285">
        <v>27247</v>
      </c>
      <c r="F285">
        <v>46226</v>
      </c>
      <c r="G285">
        <v>-169881</v>
      </c>
      <c r="H285">
        <v>103643</v>
      </c>
      <c r="I285">
        <v>97637</v>
      </c>
      <c r="J285">
        <v>1458</v>
      </c>
      <c r="K285">
        <v>798946</v>
      </c>
      <c r="L285">
        <v>264487</v>
      </c>
      <c r="M285">
        <v>-97141</v>
      </c>
      <c r="N285">
        <v>89588</v>
      </c>
      <c r="O285" t="s">
        <v>303</v>
      </c>
      <c r="P285" s="9">
        <v>209788</v>
      </c>
      <c r="Q285" s="9">
        <v>12215</v>
      </c>
      <c r="R285" s="9">
        <v>222003</v>
      </c>
      <c r="S285" s="9">
        <v>-50703</v>
      </c>
      <c r="T285" s="10">
        <v>62622</v>
      </c>
      <c r="U285" s="10">
        <v>1839</v>
      </c>
    </row>
    <row r="286" spans="1:21" x14ac:dyDescent="0.35">
      <c r="A286" t="s">
        <v>15</v>
      </c>
      <c r="B286" t="s">
        <v>20</v>
      </c>
      <c r="C286" t="s">
        <v>21</v>
      </c>
      <c r="D286">
        <v>197302</v>
      </c>
      <c r="E286">
        <v>15640</v>
      </c>
      <c r="F286">
        <v>29265</v>
      </c>
      <c r="G286">
        <v>-161535</v>
      </c>
      <c r="H286">
        <v>80672</v>
      </c>
      <c r="I286">
        <v>76749</v>
      </c>
      <c r="J286">
        <v>903</v>
      </c>
      <c r="K286">
        <v>746274</v>
      </c>
      <c r="L286">
        <v>80863</v>
      </c>
      <c r="M286">
        <v>-277677</v>
      </c>
      <c r="N286">
        <v>155752</v>
      </c>
      <c r="O286" t="s">
        <v>304</v>
      </c>
      <c r="P286" s="9">
        <v>310042</v>
      </c>
      <c r="Q286" s="9">
        <v>36653</v>
      </c>
      <c r="R286" s="9">
        <v>346695</v>
      </c>
      <c r="S286" s="9">
        <v>-155364</v>
      </c>
      <c r="T286" s="10">
        <v>121361</v>
      </c>
      <c r="U286" s="10">
        <v>2707</v>
      </c>
    </row>
    <row r="287" spans="1:21" x14ac:dyDescent="0.35">
      <c r="A287" t="s">
        <v>15</v>
      </c>
      <c r="B287" t="s">
        <v>20</v>
      </c>
      <c r="C287" t="s">
        <v>17</v>
      </c>
      <c r="D287">
        <v>219256</v>
      </c>
      <c r="E287">
        <v>42452</v>
      </c>
      <c r="F287">
        <v>46608</v>
      </c>
      <c r="G287">
        <v>-197132</v>
      </c>
      <c r="H287">
        <v>111184</v>
      </c>
      <c r="I287">
        <v>115307</v>
      </c>
      <c r="J287">
        <v>3106</v>
      </c>
      <c r="K287">
        <v>742644</v>
      </c>
      <c r="L287">
        <v>212652</v>
      </c>
      <c r="M287">
        <v>-282156</v>
      </c>
      <c r="N287">
        <v>110264</v>
      </c>
      <c r="O287" t="s">
        <v>305</v>
      </c>
      <c r="P287" s="9">
        <v>322366</v>
      </c>
      <c r="Q287" s="9">
        <v>25073</v>
      </c>
      <c r="R287" s="9">
        <v>347439</v>
      </c>
      <c r="S287" s="9">
        <v>-81281</v>
      </c>
      <c r="T287" s="10">
        <v>104211</v>
      </c>
      <c r="U287" s="10">
        <v>2205</v>
      </c>
    </row>
    <row r="288" spans="1:21" x14ac:dyDescent="0.35">
      <c r="A288" t="s">
        <v>15</v>
      </c>
      <c r="B288" t="s">
        <v>20</v>
      </c>
      <c r="C288" t="s">
        <v>21</v>
      </c>
      <c r="D288">
        <v>191063</v>
      </c>
      <c r="E288">
        <v>30970</v>
      </c>
      <c r="F288">
        <v>34109</v>
      </c>
      <c r="G288">
        <v>-184888</v>
      </c>
      <c r="H288">
        <v>71254</v>
      </c>
      <c r="I288">
        <v>64701</v>
      </c>
      <c r="J288">
        <v>942</v>
      </c>
      <c r="K288">
        <v>597760</v>
      </c>
      <c r="L288">
        <v>162651</v>
      </c>
      <c r="M288">
        <v>-217524</v>
      </c>
      <c r="N288">
        <v>76998</v>
      </c>
      <c r="O288" t="s">
        <v>306</v>
      </c>
      <c r="P288" s="9">
        <v>264709</v>
      </c>
      <c r="Q288" s="9">
        <v>42469</v>
      </c>
      <c r="R288" s="9">
        <v>307178</v>
      </c>
      <c r="S288" s="9">
        <v>-82480</v>
      </c>
      <c r="T288" s="10">
        <v>114884</v>
      </c>
      <c r="U288" s="10">
        <v>1434</v>
      </c>
    </row>
    <row r="289" spans="1:21" x14ac:dyDescent="0.35">
      <c r="A289" t="s">
        <v>15</v>
      </c>
      <c r="B289" t="s">
        <v>16</v>
      </c>
      <c r="C289" t="s">
        <v>21</v>
      </c>
      <c r="D289">
        <v>246014</v>
      </c>
      <c r="E289">
        <v>25778</v>
      </c>
      <c r="F289">
        <v>58464</v>
      </c>
      <c r="G289">
        <v>-241902</v>
      </c>
      <c r="H289">
        <v>88354</v>
      </c>
      <c r="I289">
        <v>87509</v>
      </c>
      <c r="J289">
        <v>2225</v>
      </c>
      <c r="K289">
        <v>978579</v>
      </c>
      <c r="L289">
        <v>136578</v>
      </c>
      <c r="M289">
        <v>-194608</v>
      </c>
      <c r="N289">
        <v>176774</v>
      </c>
      <c r="O289" t="s">
        <v>307</v>
      </c>
      <c r="P289" s="9">
        <v>165685</v>
      </c>
      <c r="Q289" s="9">
        <v>31851</v>
      </c>
      <c r="R289" s="9">
        <v>197536</v>
      </c>
      <c r="S289" s="9">
        <v>-40792</v>
      </c>
      <c r="T289" s="10">
        <v>69502</v>
      </c>
      <c r="U289" s="10">
        <v>1844</v>
      </c>
    </row>
    <row r="290" spans="1:21" x14ac:dyDescent="0.35">
      <c r="A290" t="s">
        <v>15</v>
      </c>
      <c r="B290" t="s">
        <v>16</v>
      </c>
      <c r="C290" t="s">
        <v>21</v>
      </c>
      <c r="D290">
        <v>177560</v>
      </c>
      <c r="E290">
        <v>28804</v>
      </c>
      <c r="F290">
        <v>28272</v>
      </c>
      <c r="G290">
        <v>-171309</v>
      </c>
      <c r="H290">
        <v>63327</v>
      </c>
      <c r="I290">
        <v>57755</v>
      </c>
      <c r="J290">
        <v>940</v>
      </c>
      <c r="K290">
        <v>466024</v>
      </c>
      <c r="L290">
        <v>107473</v>
      </c>
      <c r="M290">
        <v>-131930</v>
      </c>
      <c r="N290">
        <v>121457</v>
      </c>
      <c r="O290" t="s">
        <v>308</v>
      </c>
      <c r="P290" s="9">
        <v>142650</v>
      </c>
      <c r="Q290" s="9">
        <v>11141</v>
      </c>
      <c r="R290" s="9">
        <v>153791</v>
      </c>
      <c r="S290" s="9">
        <v>-40910</v>
      </c>
      <c r="T290" s="10">
        <v>45677</v>
      </c>
      <c r="U290" s="10">
        <v>1059</v>
      </c>
    </row>
    <row r="291" spans="1:21" x14ac:dyDescent="0.35">
      <c r="A291" t="s">
        <v>15</v>
      </c>
      <c r="B291" t="s">
        <v>16</v>
      </c>
      <c r="C291" t="s">
        <v>21</v>
      </c>
      <c r="D291">
        <v>291035</v>
      </c>
      <c r="E291">
        <v>48150</v>
      </c>
      <c r="F291">
        <v>51965</v>
      </c>
      <c r="G291">
        <v>-289272</v>
      </c>
      <c r="H291">
        <v>101878</v>
      </c>
      <c r="I291">
        <v>101693</v>
      </c>
      <c r="J291">
        <v>1133</v>
      </c>
      <c r="K291">
        <v>640807</v>
      </c>
      <c r="L291">
        <v>150051</v>
      </c>
      <c r="M291">
        <v>-211284</v>
      </c>
      <c r="N291">
        <v>146806</v>
      </c>
      <c r="O291" t="s">
        <v>309</v>
      </c>
      <c r="P291" s="9">
        <v>224414</v>
      </c>
      <c r="Q291" s="9">
        <v>16310</v>
      </c>
      <c r="R291" s="9">
        <v>240724</v>
      </c>
      <c r="S291" s="9">
        <v>-53916</v>
      </c>
      <c r="T291" s="10">
        <v>48555</v>
      </c>
      <c r="U291" s="10">
        <v>659</v>
      </c>
    </row>
    <row r="292" spans="1:21" x14ac:dyDescent="0.35">
      <c r="A292" t="s">
        <v>15</v>
      </c>
      <c r="B292" t="s">
        <v>20</v>
      </c>
      <c r="C292" t="s">
        <v>17</v>
      </c>
      <c r="D292">
        <v>244644</v>
      </c>
      <c r="E292">
        <v>40562</v>
      </c>
      <c r="F292">
        <v>27552</v>
      </c>
      <c r="G292">
        <v>-225017</v>
      </c>
      <c r="H292">
        <v>87741</v>
      </c>
      <c r="I292">
        <v>81806</v>
      </c>
      <c r="J292">
        <v>1027</v>
      </c>
      <c r="K292">
        <v>739989</v>
      </c>
      <c r="L292">
        <v>150911</v>
      </c>
      <c r="M292">
        <v>-237271</v>
      </c>
      <c r="N292">
        <v>188998</v>
      </c>
      <c r="O292" t="s">
        <v>310</v>
      </c>
      <c r="P292" s="9">
        <v>201911</v>
      </c>
      <c r="Q292" s="9">
        <v>39146</v>
      </c>
      <c r="R292" s="9">
        <v>241057</v>
      </c>
      <c r="S292" s="9">
        <v>-117882</v>
      </c>
      <c r="T292" s="10">
        <v>94539</v>
      </c>
      <c r="U292" s="10">
        <v>1759</v>
      </c>
    </row>
    <row r="293" spans="1:21" x14ac:dyDescent="0.35">
      <c r="A293" t="s">
        <v>15</v>
      </c>
      <c r="B293" t="s">
        <v>16</v>
      </c>
      <c r="C293" t="s">
        <v>17</v>
      </c>
      <c r="D293">
        <v>157937</v>
      </c>
      <c r="E293">
        <v>10740</v>
      </c>
      <c r="F293">
        <v>29487</v>
      </c>
      <c r="G293">
        <v>-145442</v>
      </c>
      <c r="H293">
        <v>52722</v>
      </c>
      <c r="I293">
        <v>51006</v>
      </c>
      <c r="J293">
        <v>1142</v>
      </c>
      <c r="K293">
        <v>454445</v>
      </c>
      <c r="L293">
        <v>218542</v>
      </c>
      <c r="M293">
        <v>-162551</v>
      </c>
      <c r="N293">
        <v>49138</v>
      </c>
      <c r="O293" t="s">
        <v>311</v>
      </c>
      <c r="P293" s="9">
        <v>306444</v>
      </c>
      <c r="Q293" s="9">
        <v>40219</v>
      </c>
      <c r="R293" s="9">
        <v>346663</v>
      </c>
      <c r="S293" s="9">
        <v>-124486</v>
      </c>
      <c r="T293" s="10">
        <v>131602</v>
      </c>
      <c r="U293" s="10">
        <v>1869</v>
      </c>
    </row>
    <row r="294" spans="1:21" x14ac:dyDescent="0.35">
      <c r="A294" t="s">
        <v>15</v>
      </c>
      <c r="B294" t="s">
        <v>16</v>
      </c>
      <c r="C294" t="s">
        <v>21</v>
      </c>
      <c r="D294">
        <v>217493</v>
      </c>
      <c r="E294">
        <v>18982</v>
      </c>
      <c r="F294">
        <v>27756</v>
      </c>
      <c r="G294">
        <v>-214377</v>
      </c>
      <c r="H294">
        <v>49854</v>
      </c>
      <c r="I294">
        <v>49148</v>
      </c>
      <c r="J294">
        <v>1372</v>
      </c>
      <c r="K294">
        <v>529236</v>
      </c>
      <c r="L294">
        <v>260852</v>
      </c>
      <c r="M294">
        <v>-67525</v>
      </c>
      <c r="N294">
        <v>79909</v>
      </c>
      <c r="O294" t="s">
        <v>312</v>
      </c>
      <c r="P294" s="9">
        <v>278627</v>
      </c>
      <c r="Q294" s="9">
        <v>33682</v>
      </c>
      <c r="R294" s="9">
        <v>312309</v>
      </c>
      <c r="S294" s="9">
        <v>-160483</v>
      </c>
      <c r="T294" s="10">
        <v>111881</v>
      </c>
      <c r="U294" s="10">
        <v>2875</v>
      </c>
    </row>
    <row r="295" spans="1:21" x14ac:dyDescent="0.35">
      <c r="A295" t="s">
        <v>15</v>
      </c>
      <c r="B295" t="s">
        <v>16</v>
      </c>
      <c r="C295" t="s">
        <v>17</v>
      </c>
      <c r="D295">
        <v>287765</v>
      </c>
      <c r="E295">
        <v>36521</v>
      </c>
      <c r="F295">
        <v>34929</v>
      </c>
      <c r="G295">
        <v>-275048</v>
      </c>
      <c r="H295">
        <v>84167</v>
      </c>
      <c r="I295">
        <v>86716</v>
      </c>
      <c r="J295">
        <v>1283</v>
      </c>
      <c r="K295">
        <v>1073010</v>
      </c>
      <c r="L295">
        <v>258506</v>
      </c>
      <c r="M295">
        <v>-303316</v>
      </c>
      <c r="N295">
        <v>180324</v>
      </c>
      <c r="O295" t="s">
        <v>313</v>
      </c>
      <c r="P295" s="9">
        <v>159535</v>
      </c>
      <c r="Q295" s="9">
        <v>26501</v>
      </c>
      <c r="R295" s="9">
        <v>186036</v>
      </c>
      <c r="S295" s="9">
        <v>-62863</v>
      </c>
      <c r="T295" s="10">
        <v>88064</v>
      </c>
      <c r="U295" s="10">
        <v>2224</v>
      </c>
    </row>
    <row r="296" spans="1:21" x14ac:dyDescent="0.35">
      <c r="A296" t="s">
        <v>15</v>
      </c>
      <c r="B296" t="s">
        <v>16</v>
      </c>
      <c r="C296" t="s">
        <v>21</v>
      </c>
      <c r="D296">
        <v>173552</v>
      </c>
      <c r="E296">
        <v>21541</v>
      </c>
      <c r="F296">
        <v>26581</v>
      </c>
      <c r="G296">
        <v>-151023</v>
      </c>
      <c r="H296">
        <v>70651</v>
      </c>
      <c r="I296">
        <v>71598</v>
      </c>
      <c r="J296">
        <v>1528</v>
      </c>
      <c r="K296">
        <v>584216</v>
      </c>
      <c r="L296">
        <v>82945</v>
      </c>
      <c r="M296">
        <v>-148686</v>
      </c>
      <c r="N296">
        <v>116281</v>
      </c>
      <c r="O296" t="s">
        <v>314</v>
      </c>
      <c r="P296" s="9">
        <v>218443</v>
      </c>
      <c r="Q296" s="9">
        <v>21060</v>
      </c>
      <c r="R296" s="9">
        <v>239503</v>
      </c>
      <c r="S296" s="9">
        <v>-93356</v>
      </c>
      <c r="T296" s="10">
        <v>90919</v>
      </c>
      <c r="U296" s="10">
        <v>2578</v>
      </c>
    </row>
    <row r="297" spans="1:21" x14ac:dyDescent="0.35">
      <c r="A297" t="s">
        <v>15</v>
      </c>
      <c r="B297" t="s">
        <v>20</v>
      </c>
      <c r="C297" t="s">
        <v>21</v>
      </c>
      <c r="D297">
        <v>157328</v>
      </c>
      <c r="E297">
        <v>14869</v>
      </c>
      <c r="F297">
        <v>20229</v>
      </c>
      <c r="G297">
        <v>-147288</v>
      </c>
      <c r="H297">
        <v>45138</v>
      </c>
      <c r="I297">
        <v>46624</v>
      </c>
      <c r="J297">
        <v>486</v>
      </c>
      <c r="K297">
        <v>355601</v>
      </c>
      <c r="L297">
        <v>172021</v>
      </c>
      <c r="M297">
        <v>-115461</v>
      </c>
      <c r="N297">
        <v>93669</v>
      </c>
      <c r="O297" t="s">
        <v>315</v>
      </c>
      <c r="P297" s="9">
        <v>180473</v>
      </c>
      <c r="Q297" s="9">
        <v>22062</v>
      </c>
      <c r="R297" s="9">
        <v>202535</v>
      </c>
      <c r="S297" s="9">
        <v>-42847</v>
      </c>
      <c r="T297" s="10">
        <v>91170</v>
      </c>
      <c r="U297" s="10">
        <v>1090</v>
      </c>
    </row>
    <row r="298" spans="1:21" x14ac:dyDescent="0.35">
      <c r="A298" t="s">
        <v>15</v>
      </c>
      <c r="B298" t="s">
        <v>20</v>
      </c>
      <c r="C298" t="s">
        <v>21</v>
      </c>
      <c r="D298">
        <v>154490</v>
      </c>
      <c r="E298">
        <v>24062</v>
      </c>
      <c r="F298">
        <v>34935</v>
      </c>
      <c r="G298">
        <v>-150176</v>
      </c>
      <c r="H298">
        <v>63311</v>
      </c>
      <c r="I298">
        <v>62686</v>
      </c>
      <c r="J298">
        <v>1074</v>
      </c>
      <c r="K298">
        <v>567646</v>
      </c>
      <c r="L298">
        <v>107509</v>
      </c>
      <c r="M298">
        <v>-134986</v>
      </c>
      <c r="N298">
        <v>67567</v>
      </c>
      <c r="O298" t="s">
        <v>316</v>
      </c>
      <c r="P298" s="9">
        <v>161363</v>
      </c>
      <c r="Q298" s="9">
        <v>11771</v>
      </c>
      <c r="R298" s="9">
        <v>173134</v>
      </c>
      <c r="S298" s="9">
        <v>-79667</v>
      </c>
      <c r="T298" s="10">
        <v>30128</v>
      </c>
      <c r="U298" s="10">
        <v>349</v>
      </c>
    </row>
    <row r="299" spans="1:21" x14ac:dyDescent="0.35">
      <c r="A299" t="s">
        <v>15</v>
      </c>
      <c r="B299" t="s">
        <v>16</v>
      </c>
      <c r="C299" t="s">
        <v>21</v>
      </c>
      <c r="D299">
        <v>170731</v>
      </c>
      <c r="E299">
        <v>32425</v>
      </c>
      <c r="F299">
        <v>18785</v>
      </c>
      <c r="G299">
        <v>-170309</v>
      </c>
      <c r="H299">
        <v>51632</v>
      </c>
      <c r="I299">
        <v>51227</v>
      </c>
      <c r="J299">
        <v>720</v>
      </c>
      <c r="K299">
        <v>408389</v>
      </c>
      <c r="L299">
        <v>72212</v>
      </c>
      <c r="M299">
        <v>-82000</v>
      </c>
      <c r="N299">
        <v>55628</v>
      </c>
      <c r="O299" t="s">
        <v>317</v>
      </c>
      <c r="P299" s="9">
        <v>244919</v>
      </c>
      <c r="Q299" s="9">
        <v>27971</v>
      </c>
      <c r="R299" s="9">
        <v>272890</v>
      </c>
      <c r="S299" s="9">
        <v>-155402</v>
      </c>
      <c r="T299" s="10">
        <v>108822</v>
      </c>
      <c r="U299" s="10">
        <v>3018</v>
      </c>
    </row>
    <row r="300" spans="1:21" x14ac:dyDescent="0.35">
      <c r="A300" t="s">
        <v>15</v>
      </c>
      <c r="B300" t="s">
        <v>16</v>
      </c>
      <c r="C300" t="s">
        <v>21</v>
      </c>
      <c r="D300">
        <v>202935</v>
      </c>
      <c r="E300">
        <v>15934</v>
      </c>
      <c r="F300">
        <v>30255</v>
      </c>
      <c r="G300">
        <v>-195751</v>
      </c>
      <c r="H300">
        <v>53373</v>
      </c>
      <c r="I300">
        <v>55374</v>
      </c>
      <c r="J300">
        <v>998</v>
      </c>
      <c r="K300">
        <v>426321</v>
      </c>
      <c r="L300">
        <v>127611</v>
      </c>
      <c r="M300">
        <v>-51988</v>
      </c>
      <c r="N300">
        <v>157483</v>
      </c>
      <c r="O300" t="s">
        <v>318</v>
      </c>
      <c r="P300" s="9">
        <v>270449</v>
      </c>
      <c r="Q300" s="9">
        <v>28778</v>
      </c>
      <c r="R300" s="9">
        <v>299227</v>
      </c>
      <c r="S300" s="9">
        <v>-88934</v>
      </c>
      <c r="T300" s="10">
        <v>67102</v>
      </c>
      <c r="U300" s="10">
        <v>1403</v>
      </c>
    </row>
    <row r="301" spans="1:21" x14ac:dyDescent="0.35">
      <c r="A301" t="s">
        <v>15</v>
      </c>
      <c r="B301" t="s">
        <v>16</v>
      </c>
      <c r="C301" t="s">
        <v>21</v>
      </c>
      <c r="D301">
        <v>239114</v>
      </c>
      <c r="E301">
        <v>44540</v>
      </c>
      <c r="F301">
        <v>28532</v>
      </c>
      <c r="G301">
        <v>-211950</v>
      </c>
      <c r="H301">
        <v>100236</v>
      </c>
      <c r="I301">
        <v>104988</v>
      </c>
      <c r="J301">
        <v>2673</v>
      </c>
      <c r="K301">
        <v>577079</v>
      </c>
      <c r="L301">
        <v>276359</v>
      </c>
      <c r="M301">
        <v>-164543</v>
      </c>
      <c r="N301">
        <v>97605</v>
      </c>
      <c r="O301" t="s">
        <v>319</v>
      </c>
      <c r="P301" s="9">
        <v>217790</v>
      </c>
      <c r="Q301" s="9">
        <v>17322</v>
      </c>
      <c r="R301" s="9">
        <v>235112</v>
      </c>
      <c r="S301" s="9">
        <v>-69311</v>
      </c>
      <c r="T301" s="10">
        <v>76588</v>
      </c>
      <c r="U301" s="10">
        <v>2145</v>
      </c>
    </row>
    <row r="302" spans="1:21" x14ac:dyDescent="0.35">
      <c r="A302" t="s">
        <v>15</v>
      </c>
      <c r="B302" t="s">
        <v>16</v>
      </c>
      <c r="C302" t="s">
        <v>21</v>
      </c>
      <c r="D302">
        <v>237004</v>
      </c>
      <c r="E302">
        <v>16819</v>
      </c>
      <c r="F302">
        <v>48319</v>
      </c>
      <c r="G302">
        <v>-214829</v>
      </c>
      <c r="H302">
        <v>87313</v>
      </c>
      <c r="I302">
        <v>90748</v>
      </c>
      <c r="J302">
        <v>1578</v>
      </c>
      <c r="K302">
        <v>592870</v>
      </c>
      <c r="L302">
        <v>72186</v>
      </c>
      <c r="M302">
        <v>-97565</v>
      </c>
      <c r="N302">
        <v>73805</v>
      </c>
      <c r="O302" t="s">
        <v>320</v>
      </c>
      <c r="P302" s="9">
        <v>275611</v>
      </c>
      <c r="Q302" s="9">
        <v>23406</v>
      </c>
      <c r="R302" s="9">
        <v>299017</v>
      </c>
      <c r="S302" s="9">
        <v>-138000</v>
      </c>
      <c r="T302" s="10">
        <v>109811</v>
      </c>
      <c r="U302" s="10">
        <v>1493</v>
      </c>
    </row>
    <row r="303" spans="1:21" x14ac:dyDescent="0.35">
      <c r="A303" t="s">
        <v>15</v>
      </c>
      <c r="B303" t="s">
        <v>20</v>
      </c>
      <c r="C303" t="s">
        <v>17</v>
      </c>
      <c r="D303">
        <v>196619</v>
      </c>
      <c r="E303">
        <v>24753</v>
      </c>
      <c r="F303">
        <v>20369</v>
      </c>
      <c r="G303">
        <v>-158600</v>
      </c>
      <c r="H303">
        <v>83141</v>
      </c>
      <c r="I303">
        <v>79432</v>
      </c>
      <c r="J303">
        <v>1003</v>
      </c>
      <c r="K303">
        <v>461573</v>
      </c>
      <c r="L303">
        <v>141877</v>
      </c>
      <c r="M303">
        <v>-97321</v>
      </c>
      <c r="N303">
        <v>75816</v>
      </c>
      <c r="O303" t="s">
        <v>321</v>
      </c>
      <c r="P303" s="9">
        <v>212548</v>
      </c>
      <c r="Q303" s="9">
        <v>16194</v>
      </c>
      <c r="R303" s="9">
        <v>228742</v>
      </c>
      <c r="S303" s="9">
        <v>-97005</v>
      </c>
      <c r="T303" s="10">
        <v>50339</v>
      </c>
      <c r="U303" s="10">
        <v>1459</v>
      </c>
    </row>
    <row r="304" spans="1:21" x14ac:dyDescent="0.35">
      <c r="A304" t="s">
        <v>15</v>
      </c>
      <c r="B304" t="s">
        <v>16</v>
      </c>
      <c r="C304" t="s">
        <v>21</v>
      </c>
      <c r="D304">
        <v>294992</v>
      </c>
      <c r="E304">
        <v>40161</v>
      </c>
      <c r="F304">
        <v>52070</v>
      </c>
      <c r="G304">
        <v>-275299</v>
      </c>
      <c r="H304">
        <v>111924</v>
      </c>
      <c r="I304">
        <v>102091</v>
      </c>
      <c r="J304">
        <v>1145</v>
      </c>
      <c r="K304">
        <v>1134020</v>
      </c>
      <c r="L304">
        <v>171861</v>
      </c>
      <c r="M304">
        <v>-331804</v>
      </c>
      <c r="N304">
        <v>212916</v>
      </c>
      <c r="O304" t="s">
        <v>322</v>
      </c>
      <c r="P304" s="9">
        <v>267360</v>
      </c>
      <c r="Q304" s="9">
        <v>57737</v>
      </c>
      <c r="R304" s="9">
        <v>325097</v>
      </c>
      <c r="S304" s="9">
        <v>-141633</v>
      </c>
      <c r="T304" s="10">
        <v>139963</v>
      </c>
      <c r="U304" s="10">
        <v>3686</v>
      </c>
    </row>
    <row r="305" spans="1:21" x14ac:dyDescent="0.35">
      <c r="A305" t="s">
        <v>15</v>
      </c>
      <c r="B305" t="s">
        <v>20</v>
      </c>
      <c r="C305" t="s">
        <v>17</v>
      </c>
      <c r="D305">
        <v>295877</v>
      </c>
      <c r="E305">
        <v>23315</v>
      </c>
      <c r="F305">
        <v>73414</v>
      </c>
      <c r="G305">
        <v>-256402</v>
      </c>
      <c r="H305">
        <v>136204</v>
      </c>
      <c r="I305">
        <v>141825</v>
      </c>
      <c r="J305">
        <v>2742</v>
      </c>
      <c r="K305">
        <v>853421</v>
      </c>
      <c r="L305">
        <v>248636</v>
      </c>
      <c r="M305">
        <v>-120985</v>
      </c>
      <c r="N305">
        <v>255890</v>
      </c>
      <c r="O305" t="s">
        <v>323</v>
      </c>
      <c r="P305" s="9">
        <v>285042</v>
      </c>
      <c r="Q305" s="9">
        <v>51883</v>
      </c>
      <c r="R305" s="9">
        <v>336925</v>
      </c>
      <c r="S305" s="9">
        <v>-160510</v>
      </c>
      <c r="T305" s="10">
        <v>136750</v>
      </c>
      <c r="U305" s="10">
        <v>1662</v>
      </c>
    </row>
    <row r="306" spans="1:21" x14ac:dyDescent="0.35">
      <c r="A306" t="s">
        <v>15</v>
      </c>
      <c r="B306" t="s">
        <v>20</v>
      </c>
      <c r="C306" t="s">
        <v>21</v>
      </c>
      <c r="D306">
        <v>219968</v>
      </c>
      <c r="E306">
        <v>42823</v>
      </c>
      <c r="F306">
        <v>54602</v>
      </c>
      <c r="G306">
        <v>-207634</v>
      </c>
      <c r="H306">
        <v>109759</v>
      </c>
      <c r="I306">
        <v>109522</v>
      </c>
      <c r="J306">
        <v>2801</v>
      </c>
      <c r="K306">
        <v>874127</v>
      </c>
      <c r="L306">
        <v>407942</v>
      </c>
      <c r="M306">
        <v>-271156</v>
      </c>
      <c r="N306">
        <v>140282</v>
      </c>
      <c r="O306" t="s">
        <v>324</v>
      </c>
      <c r="P306" s="9">
        <v>214390</v>
      </c>
      <c r="Q306" s="9">
        <v>23474</v>
      </c>
      <c r="R306" s="9">
        <v>237864</v>
      </c>
      <c r="S306" s="9">
        <v>-92248</v>
      </c>
      <c r="T306" s="10">
        <v>93308</v>
      </c>
      <c r="U306" s="10">
        <v>2642</v>
      </c>
    </row>
    <row r="307" spans="1:21" x14ac:dyDescent="0.35">
      <c r="A307" t="s">
        <v>15</v>
      </c>
      <c r="B307" t="s">
        <v>20</v>
      </c>
      <c r="C307" t="s">
        <v>21</v>
      </c>
      <c r="D307">
        <v>162146</v>
      </c>
      <c r="E307">
        <v>8318</v>
      </c>
      <c r="F307">
        <v>23611</v>
      </c>
      <c r="G307">
        <v>-139050</v>
      </c>
      <c r="H307">
        <v>55025</v>
      </c>
      <c r="I307">
        <v>53095</v>
      </c>
      <c r="J307">
        <v>1039</v>
      </c>
      <c r="K307">
        <v>577504</v>
      </c>
      <c r="L307">
        <v>286653</v>
      </c>
      <c r="M307">
        <v>-123903</v>
      </c>
      <c r="N307">
        <v>51408</v>
      </c>
      <c r="O307" t="s">
        <v>325</v>
      </c>
      <c r="P307" s="9">
        <v>254273</v>
      </c>
      <c r="Q307" s="9">
        <v>52950</v>
      </c>
      <c r="R307" s="9">
        <v>307223</v>
      </c>
      <c r="S307" s="9">
        <v>-161901</v>
      </c>
      <c r="T307" s="10">
        <v>139495</v>
      </c>
      <c r="U307" s="10">
        <v>3993</v>
      </c>
    </row>
    <row r="308" spans="1:21" x14ac:dyDescent="0.35">
      <c r="A308" t="s">
        <v>15</v>
      </c>
      <c r="B308" t="s">
        <v>20</v>
      </c>
      <c r="C308" t="s">
        <v>21</v>
      </c>
      <c r="D308">
        <v>217459</v>
      </c>
      <c r="E308">
        <v>42800</v>
      </c>
      <c r="F308">
        <v>44462</v>
      </c>
      <c r="G308">
        <v>-187695</v>
      </c>
      <c r="H308">
        <v>117026</v>
      </c>
      <c r="I308">
        <v>113407</v>
      </c>
      <c r="J308">
        <v>1346</v>
      </c>
      <c r="K308">
        <v>490670</v>
      </c>
      <c r="L308">
        <v>212005</v>
      </c>
      <c r="M308">
        <v>-99573</v>
      </c>
      <c r="N308">
        <v>92439</v>
      </c>
      <c r="O308" t="s">
        <v>326</v>
      </c>
      <c r="P308" s="9">
        <v>266176</v>
      </c>
      <c r="Q308" s="9">
        <v>17558</v>
      </c>
      <c r="R308" s="9">
        <v>283734</v>
      </c>
      <c r="S308" s="9">
        <v>-57727</v>
      </c>
      <c r="T308" s="10">
        <v>77555</v>
      </c>
      <c r="U308" s="10">
        <v>1001</v>
      </c>
    </row>
    <row r="309" spans="1:21" x14ac:dyDescent="0.35">
      <c r="A309" t="s">
        <v>15</v>
      </c>
      <c r="B309" t="s">
        <v>16</v>
      </c>
      <c r="C309" t="s">
        <v>21</v>
      </c>
      <c r="D309">
        <v>262799</v>
      </c>
      <c r="E309">
        <v>23172</v>
      </c>
      <c r="F309">
        <v>33540</v>
      </c>
      <c r="G309">
        <v>-238016</v>
      </c>
      <c r="H309">
        <v>81495</v>
      </c>
      <c r="I309">
        <v>83744</v>
      </c>
      <c r="J309">
        <v>1286</v>
      </c>
      <c r="K309">
        <v>978908</v>
      </c>
      <c r="L309">
        <v>254347</v>
      </c>
      <c r="M309">
        <v>-168717</v>
      </c>
      <c r="N309">
        <v>87141</v>
      </c>
      <c r="O309" t="s">
        <v>327</v>
      </c>
      <c r="P309" s="9">
        <v>265888</v>
      </c>
      <c r="Q309" s="9">
        <v>20960</v>
      </c>
      <c r="R309" s="9">
        <v>286848</v>
      </c>
      <c r="S309" s="9">
        <v>-154595</v>
      </c>
      <c r="T309" s="10">
        <v>93038</v>
      </c>
      <c r="U309" s="10">
        <v>2508</v>
      </c>
    </row>
    <row r="310" spans="1:21" x14ac:dyDescent="0.35">
      <c r="A310" t="s">
        <v>15</v>
      </c>
      <c r="B310" t="s">
        <v>20</v>
      </c>
      <c r="C310" t="s">
        <v>21</v>
      </c>
      <c r="D310">
        <v>220068</v>
      </c>
      <c r="E310">
        <v>28470</v>
      </c>
      <c r="F310">
        <v>36092</v>
      </c>
      <c r="G310">
        <v>-205500</v>
      </c>
      <c r="H310">
        <v>79130</v>
      </c>
      <c r="I310">
        <v>73694</v>
      </c>
      <c r="J310">
        <v>753</v>
      </c>
      <c r="K310">
        <v>855693</v>
      </c>
      <c r="L310">
        <v>115941</v>
      </c>
      <c r="M310">
        <v>-261537</v>
      </c>
      <c r="N310">
        <v>91842</v>
      </c>
      <c r="O310" t="s">
        <v>328</v>
      </c>
      <c r="P310" s="9">
        <v>170244</v>
      </c>
      <c r="Q310" s="9">
        <v>24776</v>
      </c>
      <c r="R310" s="9">
        <v>195020</v>
      </c>
      <c r="S310" s="9">
        <v>-42936</v>
      </c>
      <c r="T310" s="10">
        <v>46056</v>
      </c>
      <c r="U310" s="10">
        <v>629</v>
      </c>
    </row>
    <row r="311" spans="1:21" x14ac:dyDescent="0.35">
      <c r="A311" t="s">
        <v>15</v>
      </c>
      <c r="B311" t="s">
        <v>20</v>
      </c>
      <c r="C311" t="s">
        <v>17</v>
      </c>
      <c r="D311">
        <v>238041</v>
      </c>
      <c r="E311">
        <v>35958</v>
      </c>
      <c r="F311">
        <v>26771</v>
      </c>
      <c r="G311">
        <v>-193608</v>
      </c>
      <c r="H311">
        <v>107162</v>
      </c>
      <c r="I311">
        <v>108100</v>
      </c>
      <c r="J311">
        <v>2718</v>
      </c>
      <c r="K311">
        <v>728823</v>
      </c>
      <c r="L311">
        <v>335008</v>
      </c>
      <c r="M311">
        <v>-104394</v>
      </c>
      <c r="N311">
        <v>117998</v>
      </c>
      <c r="O311" t="s">
        <v>329</v>
      </c>
      <c r="P311" s="9">
        <v>274229</v>
      </c>
      <c r="Q311" s="9">
        <v>56296</v>
      </c>
      <c r="R311" s="9">
        <v>330525</v>
      </c>
      <c r="S311" s="9">
        <v>-175807</v>
      </c>
      <c r="T311" s="10">
        <v>125376</v>
      </c>
      <c r="U311" s="10">
        <v>3507</v>
      </c>
    </row>
    <row r="312" spans="1:21" x14ac:dyDescent="0.35">
      <c r="A312" t="s">
        <v>15</v>
      </c>
      <c r="B312" t="s">
        <v>20</v>
      </c>
      <c r="C312" t="s">
        <v>21</v>
      </c>
      <c r="D312">
        <v>180734</v>
      </c>
      <c r="E312">
        <v>13232</v>
      </c>
      <c r="F312">
        <v>27871</v>
      </c>
      <c r="G312">
        <v>-170894</v>
      </c>
      <c r="H312">
        <v>50943</v>
      </c>
      <c r="I312">
        <v>47759</v>
      </c>
      <c r="J312">
        <v>1110</v>
      </c>
      <c r="K312">
        <v>577090</v>
      </c>
      <c r="L312">
        <v>277479</v>
      </c>
      <c r="M312">
        <v>-152254</v>
      </c>
      <c r="N312">
        <v>54533</v>
      </c>
      <c r="O312" t="s">
        <v>330</v>
      </c>
      <c r="P312" s="9">
        <v>167308</v>
      </c>
      <c r="Q312" s="9">
        <v>22396</v>
      </c>
      <c r="R312" s="9">
        <v>189704</v>
      </c>
      <c r="S312" s="9">
        <v>-71622</v>
      </c>
      <c r="T312" s="10">
        <v>61619</v>
      </c>
      <c r="U312" s="10">
        <v>1217</v>
      </c>
    </row>
    <row r="313" spans="1:21" x14ac:dyDescent="0.35">
      <c r="A313" t="s">
        <v>15</v>
      </c>
      <c r="B313" t="s">
        <v>16</v>
      </c>
      <c r="C313" t="s">
        <v>21</v>
      </c>
      <c r="D313">
        <v>273327</v>
      </c>
      <c r="E313">
        <v>30052</v>
      </c>
      <c r="F313">
        <v>51451</v>
      </c>
      <c r="G313">
        <v>-261913</v>
      </c>
      <c r="H313">
        <v>92917</v>
      </c>
      <c r="I313">
        <v>88152</v>
      </c>
      <c r="J313">
        <v>2436</v>
      </c>
      <c r="K313">
        <v>865012</v>
      </c>
      <c r="L313">
        <v>423460</v>
      </c>
      <c r="M313">
        <v>-338883</v>
      </c>
      <c r="N313">
        <v>85787</v>
      </c>
      <c r="O313" t="s">
        <v>331</v>
      </c>
      <c r="P313" s="9">
        <v>158751</v>
      </c>
      <c r="Q313" s="9">
        <v>21556</v>
      </c>
      <c r="R313" s="9">
        <v>180307</v>
      </c>
      <c r="S313" s="9">
        <v>-54172</v>
      </c>
      <c r="T313" s="10">
        <v>68827</v>
      </c>
      <c r="U313" s="10">
        <v>1231</v>
      </c>
    </row>
    <row r="314" spans="1:21" x14ac:dyDescent="0.35">
      <c r="A314" t="s">
        <v>15</v>
      </c>
      <c r="B314" t="s">
        <v>16</v>
      </c>
      <c r="C314" t="s">
        <v>21</v>
      </c>
      <c r="D314">
        <v>187696</v>
      </c>
      <c r="E314">
        <v>29700</v>
      </c>
      <c r="F314">
        <v>44973</v>
      </c>
      <c r="G314">
        <v>-163670</v>
      </c>
      <c r="H314">
        <v>98699</v>
      </c>
      <c r="I314">
        <v>96427</v>
      </c>
      <c r="J314">
        <v>2111</v>
      </c>
      <c r="K314">
        <v>507415</v>
      </c>
      <c r="L314">
        <v>210358</v>
      </c>
      <c r="M314">
        <v>-152400</v>
      </c>
      <c r="N314">
        <v>127063</v>
      </c>
      <c r="O314" t="s">
        <v>332</v>
      </c>
      <c r="P314" s="9">
        <v>236555</v>
      </c>
      <c r="Q314" s="9">
        <v>40538</v>
      </c>
      <c r="R314" s="9">
        <v>277093</v>
      </c>
      <c r="S314" s="9">
        <v>-143221</v>
      </c>
      <c r="T314" s="10">
        <v>124800</v>
      </c>
      <c r="U314" s="10">
        <v>1666</v>
      </c>
    </row>
    <row r="315" spans="1:21" x14ac:dyDescent="0.35">
      <c r="A315" t="s">
        <v>15</v>
      </c>
      <c r="B315" t="s">
        <v>20</v>
      </c>
      <c r="C315" t="s">
        <v>21</v>
      </c>
      <c r="D315">
        <v>223351</v>
      </c>
      <c r="E315">
        <v>28389</v>
      </c>
      <c r="F315">
        <v>30433</v>
      </c>
      <c r="G315">
        <v>-200281</v>
      </c>
      <c r="H315">
        <v>81892</v>
      </c>
      <c r="I315">
        <v>76207</v>
      </c>
      <c r="J315">
        <v>887</v>
      </c>
      <c r="K315">
        <v>822153</v>
      </c>
      <c r="L315">
        <v>266682</v>
      </c>
      <c r="M315">
        <v>-324700</v>
      </c>
      <c r="N315">
        <v>155074</v>
      </c>
      <c r="O315" t="s">
        <v>333</v>
      </c>
      <c r="P315" s="9">
        <v>293642</v>
      </c>
      <c r="Q315" s="9">
        <v>46518</v>
      </c>
      <c r="R315" s="9">
        <v>340160</v>
      </c>
      <c r="S315" s="9">
        <v>-87125</v>
      </c>
      <c r="T315" s="10">
        <v>154470</v>
      </c>
      <c r="U315" s="10">
        <v>3236</v>
      </c>
    </row>
    <row r="316" spans="1:21" x14ac:dyDescent="0.35">
      <c r="A316" t="s">
        <v>15</v>
      </c>
      <c r="B316" t="s">
        <v>16</v>
      </c>
      <c r="C316" t="s">
        <v>17</v>
      </c>
      <c r="D316">
        <v>239597</v>
      </c>
      <c r="E316">
        <v>30001</v>
      </c>
      <c r="F316">
        <v>37493</v>
      </c>
      <c r="G316">
        <v>-218913</v>
      </c>
      <c r="H316">
        <v>88178</v>
      </c>
      <c r="I316">
        <v>92513</v>
      </c>
      <c r="J316">
        <v>1087</v>
      </c>
      <c r="K316">
        <v>861598</v>
      </c>
      <c r="L316">
        <v>205640</v>
      </c>
      <c r="M316">
        <v>-272370</v>
      </c>
      <c r="N316">
        <v>175652</v>
      </c>
      <c r="O316" t="s">
        <v>334</v>
      </c>
      <c r="P316" s="9">
        <v>201421</v>
      </c>
      <c r="Q316" s="9">
        <v>33202</v>
      </c>
      <c r="R316" s="9">
        <v>234623</v>
      </c>
      <c r="S316" s="9">
        <v>-52636</v>
      </c>
      <c r="T316" s="10">
        <v>56598</v>
      </c>
      <c r="U316" s="10">
        <v>963</v>
      </c>
    </row>
    <row r="317" spans="1:21" x14ac:dyDescent="0.35">
      <c r="A317" t="s">
        <v>15</v>
      </c>
      <c r="B317" t="s">
        <v>20</v>
      </c>
      <c r="C317" t="s">
        <v>17</v>
      </c>
      <c r="D317">
        <v>222087</v>
      </c>
      <c r="E317">
        <v>25202</v>
      </c>
      <c r="F317">
        <v>47544</v>
      </c>
      <c r="G317">
        <v>-189121</v>
      </c>
      <c r="H317">
        <v>105712</v>
      </c>
      <c r="I317">
        <v>98723</v>
      </c>
      <c r="J317">
        <v>1382</v>
      </c>
      <c r="K317">
        <v>546145</v>
      </c>
      <c r="L317">
        <v>225798</v>
      </c>
      <c r="M317">
        <v>-86965</v>
      </c>
      <c r="N317">
        <v>123488</v>
      </c>
      <c r="O317" t="s">
        <v>335</v>
      </c>
      <c r="P317" s="9">
        <v>192301</v>
      </c>
      <c r="Q317" s="9">
        <v>13966</v>
      </c>
      <c r="R317" s="9">
        <v>206267</v>
      </c>
      <c r="S317" s="9">
        <v>-110585</v>
      </c>
      <c r="T317" s="10">
        <v>90686</v>
      </c>
      <c r="U317" s="10">
        <v>2124</v>
      </c>
    </row>
    <row r="318" spans="1:21" x14ac:dyDescent="0.35">
      <c r="A318" t="s">
        <v>15</v>
      </c>
      <c r="B318" t="s">
        <v>16</v>
      </c>
      <c r="C318" t="s">
        <v>17</v>
      </c>
      <c r="D318">
        <v>180701</v>
      </c>
      <c r="E318">
        <v>35914</v>
      </c>
      <c r="F318">
        <v>36242</v>
      </c>
      <c r="G318">
        <v>-179677</v>
      </c>
      <c r="H318">
        <v>73180</v>
      </c>
      <c r="I318">
        <v>71747</v>
      </c>
      <c r="J318">
        <v>1547</v>
      </c>
      <c r="K318">
        <v>433686</v>
      </c>
      <c r="L318">
        <v>143667</v>
      </c>
      <c r="M318">
        <v>-69197</v>
      </c>
      <c r="N318">
        <v>126966</v>
      </c>
      <c r="O318" t="s">
        <v>336</v>
      </c>
      <c r="P318" s="9">
        <v>311700</v>
      </c>
      <c r="Q318" s="9">
        <v>15461</v>
      </c>
      <c r="R318" s="9">
        <v>327161</v>
      </c>
      <c r="S318" s="9">
        <v>-194110</v>
      </c>
      <c r="T318" s="10">
        <v>101763</v>
      </c>
      <c r="U318" s="10">
        <v>2555</v>
      </c>
    </row>
    <row r="319" spans="1:21" x14ac:dyDescent="0.35">
      <c r="A319" t="s">
        <v>15</v>
      </c>
      <c r="B319" t="s">
        <v>16</v>
      </c>
      <c r="C319" t="s">
        <v>21</v>
      </c>
      <c r="D319">
        <v>165789</v>
      </c>
      <c r="E319">
        <v>11813</v>
      </c>
      <c r="F319">
        <v>27905</v>
      </c>
      <c r="G319">
        <v>-147119</v>
      </c>
      <c r="H319">
        <v>58388</v>
      </c>
      <c r="I319">
        <v>55606</v>
      </c>
      <c r="J319">
        <v>1517</v>
      </c>
      <c r="K319">
        <v>640002</v>
      </c>
      <c r="L319">
        <v>192578</v>
      </c>
      <c r="M319">
        <v>-142002</v>
      </c>
      <c r="N319">
        <v>98415</v>
      </c>
      <c r="O319" t="s">
        <v>337</v>
      </c>
      <c r="P319" s="9">
        <v>236868</v>
      </c>
      <c r="Q319" s="9">
        <v>17476</v>
      </c>
      <c r="R319" s="9">
        <v>254344</v>
      </c>
      <c r="S319" s="9">
        <v>-146693</v>
      </c>
      <c r="T319" s="10">
        <v>72318</v>
      </c>
      <c r="U319" s="10">
        <v>804</v>
      </c>
    </row>
    <row r="320" spans="1:21" x14ac:dyDescent="0.35">
      <c r="A320" t="s">
        <v>15</v>
      </c>
      <c r="B320" t="s">
        <v>16</v>
      </c>
      <c r="C320" t="s">
        <v>21</v>
      </c>
      <c r="D320">
        <v>282515</v>
      </c>
      <c r="E320">
        <v>37905</v>
      </c>
      <c r="F320">
        <v>70215</v>
      </c>
      <c r="G320">
        <v>-280514</v>
      </c>
      <c r="H320">
        <v>110121</v>
      </c>
      <c r="I320">
        <v>110871</v>
      </c>
      <c r="J320">
        <v>2300</v>
      </c>
      <c r="K320">
        <v>1116283</v>
      </c>
      <c r="L320">
        <v>393393</v>
      </c>
      <c r="M320">
        <v>-198004</v>
      </c>
      <c r="N320">
        <v>184014</v>
      </c>
      <c r="O320" t="s">
        <v>338</v>
      </c>
      <c r="P320" s="9">
        <v>216563</v>
      </c>
      <c r="Q320" s="9">
        <v>36405</v>
      </c>
      <c r="R320" s="9">
        <v>252968</v>
      </c>
      <c r="S320" s="9">
        <v>-63325</v>
      </c>
      <c r="T320" s="10">
        <v>94006</v>
      </c>
      <c r="U320" s="10">
        <v>2496</v>
      </c>
    </row>
    <row r="321" spans="1:21" x14ac:dyDescent="0.35">
      <c r="A321" t="s">
        <v>15</v>
      </c>
      <c r="B321" t="s">
        <v>16</v>
      </c>
      <c r="C321" t="s">
        <v>21</v>
      </c>
      <c r="D321">
        <v>284395</v>
      </c>
      <c r="E321">
        <v>52902</v>
      </c>
      <c r="F321">
        <v>44287</v>
      </c>
      <c r="G321">
        <v>-231417</v>
      </c>
      <c r="H321">
        <v>150167</v>
      </c>
      <c r="I321">
        <v>139596</v>
      </c>
      <c r="J321">
        <v>2854</v>
      </c>
      <c r="K321">
        <v>842605</v>
      </c>
      <c r="L321">
        <v>387761</v>
      </c>
      <c r="M321">
        <v>-279391</v>
      </c>
      <c r="N321">
        <v>238607</v>
      </c>
      <c r="O321" t="s">
        <v>339</v>
      </c>
      <c r="P321" s="9">
        <v>299856</v>
      </c>
      <c r="Q321" s="9">
        <v>26433</v>
      </c>
      <c r="R321" s="9">
        <v>326289</v>
      </c>
      <c r="S321" s="9">
        <v>-150164</v>
      </c>
      <c r="T321" s="10">
        <v>77831</v>
      </c>
      <c r="U321" s="10">
        <v>1162</v>
      </c>
    </row>
    <row r="322" spans="1:21" x14ac:dyDescent="0.35">
      <c r="A322" t="s">
        <v>15</v>
      </c>
      <c r="B322" t="s">
        <v>20</v>
      </c>
      <c r="C322" t="s">
        <v>17</v>
      </c>
      <c r="D322">
        <v>186944</v>
      </c>
      <c r="E322">
        <v>24629</v>
      </c>
      <c r="F322">
        <v>31345</v>
      </c>
      <c r="G322">
        <v>-151747</v>
      </c>
      <c r="H322">
        <v>91171</v>
      </c>
      <c r="I322">
        <v>87997</v>
      </c>
      <c r="J322">
        <v>1886</v>
      </c>
      <c r="K322">
        <v>653919</v>
      </c>
      <c r="L322">
        <v>162889</v>
      </c>
      <c r="M322">
        <v>-107082</v>
      </c>
      <c r="N322">
        <v>87767</v>
      </c>
      <c r="O322" t="s">
        <v>340</v>
      </c>
      <c r="P322" s="9">
        <v>234907</v>
      </c>
      <c r="Q322" s="9">
        <v>20924</v>
      </c>
      <c r="R322" s="9">
        <v>255831</v>
      </c>
      <c r="S322" s="9">
        <v>-116355</v>
      </c>
      <c r="T322" s="10">
        <v>62841</v>
      </c>
      <c r="U322" s="10">
        <v>675</v>
      </c>
    </row>
    <row r="323" spans="1:21" x14ac:dyDescent="0.35">
      <c r="A323" t="s">
        <v>15</v>
      </c>
      <c r="B323" t="s">
        <v>16</v>
      </c>
      <c r="C323" t="s">
        <v>21</v>
      </c>
      <c r="D323">
        <v>265924</v>
      </c>
      <c r="E323">
        <v>33688</v>
      </c>
      <c r="F323">
        <v>59434</v>
      </c>
      <c r="G323">
        <v>-234957</v>
      </c>
      <c r="H323">
        <v>124089</v>
      </c>
      <c r="I323">
        <v>116429</v>
      </c>
      <c r="J323">
        <v>1899</v>
      </c>
      <c r="K323">
        <v>997912</v>
      </c>
      <c r="L323">
        <v>220876</v>
      </c>
      <c r="M323">
        <v>-321446</v>
      </c>
      <c r="N323">
        <v>183887</v>
      </c>
      <c r="O323" t="s">
        <v>341</v>
      </c>
      <c r="P323" s="9">
        <v>263352</v>
      </c>
      <c r="Q323" s="9">
        <v>24303</v>
      </c>
      <c r="R323" s="9">
        <v>287655</v>
      </c>
      <c r="S323" s="9">
        <v>-123077</v>
      </c>
      <c r="T323" s="10">
        <v>100329</v>
      </c>
      <c r="U323" s="10">
        <v>2636</v>
      </c>
    </row>
    <row r="324" spans="1:21" x14ac:dyDescent="0.35">
      <c r="A324" t="s">
        <v>15</v>
      </c>
      <c r="B324" t="s">
        <v>20</v>
      </c>
      <c r="C324" t="s">
        <v>17</v>
      </c>
      <c r="D324">
        <v>229514</v>
      </c>
      <c r="E324">
        <v>25299</v>
      </c>
      <c r="F324">
        <v>27208</v>
      </c>
      <c r="G324">
        <v>-216651</v>
      </c>
      <c r="H324">
        <v>65370</v>
      </c>
      <c r="I324">
        <v>65049</v>
      </c>
      <c r="J324">
        <v>1668</v>
      </c>
      <c r="K324">
        <v>491766</v>
      </c>
      <c r="L324">
        <v>71160</v>
      </c>
      <c r="M324">
        <v>-153476</v>
      </c>
      <c r="N324">
        <v>72124</v>
      </c>
      <c r="O324" t="s">
        <v>342</v>
      </c>
      <c r="P324" s="9">
        <v>221112</v>
      </c>
      <c r="Q324" s="9">
        <v>11338</v>
      </c>
      <c r="R324" s="9">
        <v>232450</v>
      </c>
      <c r="S324" s="9">
        <v>-123747</v>
      </c>
      <c r="T324" s="10">
        <v>79512</v>
      </c>
      <c r="U324" s="10">
        <v>1828</v>
      </c>
    </row>
    <row r="325" spans="1:21" x14ac:dyDescent="0.35">
      <c r="A325" t="s">
        <v>15</v>
      </c>
      <c r="B325" t="s">
        <v>16</v>
      </c>
      <c r="C325" t="s">
        <v>17</v>
      </c>
      <c r="D325">
        <v>266576</v>
      </c>
      <c r="E325">
        <v>41019</v>
      </c>
      <c r="F325">
        <v>51750</v>
      </c>
      <c r="G325">
        <v>-253438</v>
      </c>
      <c r="H325">
        <v>105907</v>
      </c>
      <c r="I325">
        <v>97277</v>
      </c>
      <c r="J325">
        <v>2162</v>
      </c>
      <c r="K325">
        <v>557057</v>
      </c>
      <c r="L325">
        <v>105783</v>
      </c>
      <c r="M325">
        <v>-66138</v>
      </c>
      <c r="N325">
        <v>84159</v>
      </c>
      <c r="O325" t="s">
        <v>343</v>
      </c>
      <c r="P325" s="9">
        <v>167665</v>
      </c>
      <c r="Q325" s="9">
        <v>21706</v>
      </c>
      <c r="R325" s="9">
        <v>189371</v>
      </c>
      <c r="S325" s="9">
        <v>-74074</v>
      </c>
      <c r="T325" s="10">
        <v>75538</v>
      </c>
      <c r="U325" s="10">
        <v>2210</v>
      </c>
    </row>
    <row r="326" spans="1:21" x14ac:dyDescent="0.35">
      <c r="A326" t="s">
        <v>15</v>
      </c>
      <c r="B326" t="s">
        <v>16</v>
      </c>
      <c r="C326" t="s">
        <v>17</v>
      </c>
      <c r="D326">
        <v>205194</v>
      </c>
      <c r="E326">
        <v>16103</v>
      </c>
      <c r="F326">
        <v>48527</v>
      </c>
      <c r="G326">
        <v>-189156</v>
      </c>
      <c r="H326">
        <v>80668</v>
      </c>
      <c r="I326">
        <v>81204</v>
      </c>
      <c r="J326">
        <v>1951</v>
      </c>
      <c r="K326">
        <v>550511</v>
      </c>
      <c r="L326">
        <v>115107</v>
      </c>
      <c r="M326">
        <v>-121843</v>
      </c>
      <c r="N326">
        <v>72800</v>
      </c>
      <c r="O326" t="s">
        <v>344</v>
      </c>
      <c r="P326" s="9">
        <v>160979</v>
      </c>
      <c r="Q326" s="9">
        <v>18924</v>
      </c>
      <c r="R326" s="9">
        <v>179903</v>
      </c>
      <c r="S326" s="9">
        <v>-54770</v>
      </c>
      <c r="T326" s="10">
        <v>40235</v>
      </c>
      <c r="U326" s="10">
        <v>789</v>
      </c>
    </row>
    <row r="327" spans="1:21" x14ac:dyDescent="0.35">
      <c r="A327" t="s">
        <v>15</v>
      </c>
      <c r="B327" t="s">
        <v>16</v>
      </c>
      <c r="C327" t="s">
        <v>17</v>
      </c>
      <c r="D327">
        <v>179134</v>
      </c>
      <c r="E327">
        <v>23735</v>
      </c>
      <c r="F327">
        <v>19877</v>
      </c>
      <c r="G327">
        <v>-171348</v>
      </c>
      <c r="H327">
        <v>51398</v>
      </c>
      <c r="I327">
        <v>49777</v>
      </c>
      <c r="J327">
        <v>1311</v>
      </c>
      <c r="K327">
        <v>604090</v>
      </c>
      <c r="L327">
        <v>281509</v>
      </c>
      <c r="M327">
        <v>-81385</v>
      </c>
      <c r="N327">
        <v>138927</v>
      </c>
      <c r="O327" t="s">
        <v>345</v>
      </c>
      <c r="P327" s="9">
        <v>215430</v>
      </c>
      <c r="Q327" s="9">
        <v>22736</v>
      </c>
      <c r="R327" s="9">
        <v>238166</v>
      </c>
      <c r="S327" s="9">
        <v>-52740</v>
      </c>
      <c r="T327" s="10">
        <v>72840</v>
      </c>
      <c r="U327" s="10">
        <v>922</v>
      </c>
    </row>
    <row r="328" spans="1:21" x14ac:dyDescent="0.35">
      <c r="A328" t="s">
        <v>15</v>
      </c>
      <c r="B328" t="s">
        <v>20</v>
      </c>
      <c r="C328" t="s">
        <v>21</v>
      </c>
      <c r="D328">
        <v>289628</v>
      </c>
      <c r="E328">
        <v>16506</v>
      </c>
      <c r="F328">
        <v>65575</v>
      </c>
      <c r="G328">
        <v>-270566</v>
      </c>
      <c r="H328">
        <v>101143</v>
      </c>
      <c r="I328">
        <v>98707</v>
      </c>
      <c r="J328">
        <v>1745</v>
      </c>
      <c r="K328">
        <v>685664</v>
      </c>
      <c r="L328">
        <v>211215</v>
      </c>
      <c r="M328">
        <v>-274108</v>
      </c>
      <c r="N328">
        <v>97906</v>
      </c>
      <c r="O328" t="s">
        <v>346</v>
      </c>
      <c r="P328" s="9">
        <v>168736</v>
      </c>
      <c r="Q328" s="9">
        <v>21320</v>
      </c>
      <c r="R328" s="9">
        <v>190056</v>
      </c>
      <c r="S328" s="9">
        <v>-63090</v>
      </c>
      <c r="T328" s="10">
        <v>47457</v>
      </c>
      <c r="U328" s="10">
        <v>532</v>
      </c>
    </row>
    <row r="329" spans="1:21" x14ac:dyDescent="0.35">
      <c r="A329" t="s">
        <v>15</v>
      </c>
      <c r="B329" t="s">
        <v>16</v>
      </c>
      <c r="C329" t="s">
        <v>21</v>
      </c>
      <c r="D329">
        <v>281695</v>
      </c>
      <c r="E329">
        <v>47127</v>
      </c>
      <c r="F329">
        <v>55407</v>
      </c>
      <c r="G329">
        <v>-230608</v>
      </c>
      <c r="H329">
        <v>153621</v>
      </c>
      <c r="I329">
        <v>146703</v>
      </c>
      <c r="J329">
        <v>3652</v>
      </c>
      <c r="K329">
        <v>1007428</v>
      </c>
      <c r="L329">
        <v>152071</v>
      </c>
      <c r="M329">
        <v>-194045</v>
      </c>
      <c r="N329">
        <v>104481</v>
      </c>
      <c r="O329" t="s">
        <v>347</v>
      </c>
      <c r="P329" s="9">
        <v>318966</v>
      </c>
      <c r="Q329" s="9">
        <v>14478</v>
      </c>
      <c r="R329" s="9">
        <v>333444</v>
      </c>
      <c r="S329" s="9">
        <v>-139395</v>
      </c>
      <c r="T329" s="10">
        <v>103888</v>
      </c>
      <c r="U329" s="10">
        <v>1817</v>
      </c>
    </row>
    <row r="330" spans="1:21" x14ac:dyDescent="0.35">
      <c r="A330" t="s">
        <v>15</v>
      </c>
      <c r="B330" t="s">
        <v>20</v>
      </c>
      <c r="C330" t="s">
        <v>17</v>
      </c>
      <c r="D330">
        <v>250025</v>
      </c>
      <c r="E330">
        <v>43722</v>
      </c>
      <c r="F330">
        <v>37725</v>
      </c>
      <c r="G330">
        <v>-206461</v>
      </c>
      <c r="H330">
        <v>125011</v>
      </c>
      <c r="I330">
        <v>124681</v>
      </c>
      <c r="J330">
        <v>3737</v>
      </c>
      <c r="K330">
        <v>736659</v>
      </c>
      <c r="L330">
        <v>181165</v>
      </c>
      <c r="M330">
        <v>-172833</v>
      </c>
      <c r="N330">
        <v>110435</v>
      </c>
      <c r="O330" t="s">
        <v>348</v>
      </c>
      <c r="P330" s="9">
        <v>248357</v>
      </c>
      <c r="Q330" s="9">
        <v>22652</v>
      </c>
      <c r="R330" s="9">
        <v>271009</v>
      </c>
      <c r="S330" s="9">
        <v>-117075</v>
      </c>
      <c r="T330" s="10">
        <v>103264</v>
      </c>
      <c r="U330" s="10">
        <v>1399</v>
      </c>
    </row>
    <row r="331" spans="1:21" x14ac:dyDescent="0.35">
      <c r="A331" t="s">
        <v>15</v>
      </c>
      <c r="B331" t="s">
        <v>20</v>
      </c>
      <c r="C331" t="s">
        <v>21</v>
      </c>
      <c r="D331">
        <v>175328</v>
      </c>
      <c r="E331">
        <v>29694</v>
      </c>
      <c r="F331">
        <v>32346</v>
      </c>
      <c r="G331">
        <v>-173428</v>
      </c>
      <c r="H331">
        <v>63940</v>
      </c>
      <c r="I331">
        <v>58767</v>
      </c>
      <c r="J331">
        <v>1589</v>
      </c>
      <c r="K331">
        <v>414855</v>
      </c>
      <c r="L331">
        <v>130189</v>
      </c>
      <c r="M331">
        <v>-108606</v>
      </c>
      <c r="N331">
        <v>71453</v>
      </c>
      <c r="O331" t="s">
        <v>349</v>
      </c>
      <c r="P331" s="9">
        <v>157497</v>
      </c>
      <c r="Q331" s="9">
        <v>14468</v>
      </c>
      <c r="R331" s="9">
        <v>171965</v>
      </c>
      <c r="S331" s="9">
        <v>-39209</v>
      </c>
      <c r="T331" s="10">
        <v>57196</v>
      </c>
      <c r="U331" s="10">
        <v>878</v>
      </c>
    </row>
    <row r="332" spans="1:21" x14ac:dyDescent="0.35">
      <c r="A332" t="s">
        <v>15</v>
      </c>
      <c r="B332" t="s">
        <v>20</v>
      </c>
      <c r="C332" t="s">
        <v>21</v>
      </c>
      <c r="D332">
        <v>265783</v>
      </c>
      <c r="E332">
        <v>13839</v>
      </c>
      <c r="F332">
        <v>37550</v>
      </c>
      <c r="G332">
        <v>-219443</v>
      </c>
      <c r="H332">
        <v>97729</v>
      </c>
      <c r="I332">
        <v>93037</v>
      </c>
      <c r="J332">
        <v>1078</v>
      </c>
      <c r="K332">
        <v>1040387</v>
      </c>
      <c r="L332">
        <v>305784</v>
      </c>
      <c r="M332">
        <v>-290274</v>
      </c>
      <c r="N332">
        <v>160280</v>
      </c>
      <c r="O332" t="s">
        <v>350</v>
      </c>
      <c r="P332" s="9">
        <v>207307</v>
      </c>
      <c r="Q332" s="9">
        <v>14626</v>
      </c>
      <c r="R332" s="9">
        <v>221933</v>
      </c>
      <c r="S332" s="9">
        <v>-58926</v>
      </c>
      <c r="T332" s="10">
        <v>95765</v>
      </c>
      <c r="U332" s="10">
        <v>1355</v>
      </c>
    </row>
    <row r="333" spans="1:21" x14ac:dyDescent="0.35">
      <c r="A333" t="s">
        <v>15</v>
      </c>
      <c r="B333" t="s">
        <v>20</v>
      </c>
      <c r="C333" t="s">
        <v>17</v>
      </c>
      <c r="D333">
        <v>194027</v>
      </c>
      <c r="E333">
        <v>37211</v>
      </c>
      <c r="F333">
        <v>27236</v>
      </c>
      <c r="G333">
        <v>-165919</v>
      </c>
      <c r="H333">
        <v>92555</v>
      </c>
      <c r="I333">
        <v>88763</v>
      </c>
      <c r="J333">
        <v>1236</v>
      </c>
      <c r="K333">
        <v>660671</v>
      </c>
      <c r="L333">
        <v>298354</v>
      </c>
      <c r="M333">
        <v>-121336</v>
      </c>
      <c r="N333">
        <v>63564</v>
      </c>
      <c r="O333" t="s">
        <v>351</v>
      </c>
      <c r="P333" s="9">
        <v>274685</v>
      </c>
      <c r="Q333" s="9">
        <v>49495</v>
      </c>
      <c r="R333" s="9">
        <v>324180</v>
      </c>
      <c r="S333" s="9">
        <v>-164014</v>
      </c>
      <c r="T333" s="10">
        <v>110687</v>
      </c>
      <c r="U333" s="10">
        <v>2489</v>
      </c>
    </row>
    <row r="334" spans="1:21" x14ac:dyDescent="0.35">
      <c r="A334" t="s">
        <v>15</v>
      </c>
      <c r="B334" t="s">
        <v>16</v>
      </c>
      <c r="C334" t="s">
        <v>21</v>
      </c>
      <c r="D334">
        <v>217740</v>
      </c>
      <c r="E334">
        <v>27227</v>
      </c>
      <c r="F334">
        <v>37175</v>
      </c>
      <c r="G334">
        <v>-186730</v>
      </c>
      <c r="H334">
        <v>95412</v>
      </c>
      <c r="I334">
        <v>97935</v>
      </c>
      <c r="J334">
        <v>1969</v>
      </c>
      <c r="K334">
        <v>487845</v>
      </c>
      <c r="L334">
        <v>190935</v>
      </c>
      <c r="M334">
        <v>-177203</v>
      </c>
      <c r="N334">
        <v>94114</v>
      </c>
      <c r="O334" t="s">
        <v>352</v>
      </c>
      <c r="P334" s="9">
        <v>222616</v>
      </c>
      <c r="Q334" s="9">
        <v>28274</v>
      </c>
      <c r="R334" s="9">
        <v>250890</v>
      </c>
      <c r="S334" s="9">
        <v>-142844</v>
      </c>
      <c r="T334" s="10">
        <v>78230</v>
      </c>
      <c r="U334" s="10">
        <v>1265</v>
      </c>
    </row>
    <row r="335" spans="1:21" x14ac:dyDescent="0.35">
      <c r="A335" t="s">
        <v>15</v>
      </c>
      <c r="B335" t="s">
        <v>16</v>
      </c>
      <c r="C335" t="s">
        <v>17</v>
      </c>
      <c r="D335">
        <v>218610</v>
      </c>
      <c r="E335">
        <v>25777</v>
      </c>
      <c r="F335">
        <v>49086</v>
      </c>
      <c r="G335">
        <v>-202962</v>
      </c>
      <c r="H335">
        <v>90511</v>
      </c>
      <c r="I335">
        <v>91836</v>
      </c>
      <c r="J335">
        <v>1682</v>
      </c>
      <c r="K335">
        <v>798903</v>
      </c>
      <c r="L335">
        <v>151461</v>
      </c>
      <c r="M335">
        <v>-272422</v>
      </c>
      <c r="N335">
        <v>177723</v>
      </c>
      <c r="O335" t="s">
        <v>353</v>
      </c>
      <c r="P335" s="9">
        <v>217866</v>
      </c>
      <c r="Q335" s="9">
        <v>27784</v>
      </c>
      <c r="R335" s="9">
        <v>245650</v>
      </c>
      <c r="S335" s="9">
        <v>-52527</v>
      </c>
      <c r="T335" s="10">
        <v>125356</v>
      </c>
      <c r="U335" s="10">
        <v>1342</v>
      </c>
    </row>
    <row r="336" spans="1:21" x14ac:dyDescent="0.35">
      <c r="A336" t="s">
        <v>15</v>
      </c>
      <c r="B336" t="s">
        <v>16</v>
      </c>
      <c r="C336" t="s">
        <v>21</v>
      </c>
      <c r="D336">
        <v>293180</v>
      </c>
      <c r="E336">
        <v>50383</v>
      </c>
      <c r="F336">
        <v>71113</v>
      </c>
      <c r="G336">
        <v>-284104</v>
      </c>
      <c r="H336">
        <v>130572</v>
      </c>
      <c r="I336">
        <v>131228</v>
      </c>
      <c r="J336">
        <v>3173</v>
      </c>
      <c r="K336">
        <v>723058</v>
      </c>
      <c r="L336">
        <v>279670</v>
      </c>
      <c r="M336">
        <v>-233914</v>
      </c>
      <c r="N336">
        <v>122607</v>
      </c>
      <c r="O336" t="s">
        <v>354</v>
      </c>
      <c r="P336" s="9">
        <v>200604</v>
      </c>
      <c r="Q336" s="9">
        <v>13191</v>
      </c>
      <c r="R336" s="9">
        <v>213795</v>
      </c>
      <c r="S336" s="9">
        <v>-104110</v>
      </c>
      <c r="T336" s="10">
        <v>48722</v>
      </c>
      <c r="U336" s="10">
        <v>1215</v>
      </c>
    </row>
    <row r="337" spans="1:21" x14ac:dyDescent="0.35">
      <c r="A337" t="s">
        <v>15</v>
      </c>
      <c r="B337" t="s">
        <v>16</v>
      </c>
      <c r="C337" t="s">
        <v>17</v>
      </c>
      <c r="D337">
        <v>172699</v>
      </c>
      <c r="E337">
        <v>13118</v>
      </c>
      <c r="F337">
        <v>18712</v>
      </c>
      <c r="G337">
        <v>-151635</v>
      </c>
      <c r="H337">
        <v>52894</v>
      </c>
      <c r="I337">
        <v>55442</v>
      </c>
      <c r="J337">
        <v>671</v>
      </c>
      <c r="K337">
        <v>495833</v>
      </c>
      <c r="L337">
        <v>196469</v>
      </c>
      <c r="M337">
        <v>-153273</v>
      </c>
      <c r="N337">
        <v>84494</v>
      </c>
      <c r="O337" t="s">
        <v>355</v>
      </c>
      <c r="P337" s="9">
        <v>307986</v>
      </c>
      <c r="Q337" s="9">
        <v>45447</v>
      </c>
      <c r="R337" s="9">
        <v>353433</v>
      </c>
      <c r="S337" s="9">
        <v>-145320</v>
      </c>
      <c r="T337" s="10">
        <v>131669</v>
      </c>
      <c r="U337" s="10">
        <v>3890</v>
      </c>
    </row>
    <row r="338" spans="1:21" x14ac:dyDescent="0.35">
      <c r="A338" t="s">
        <v>15</v>
      </c>
      <c r="B338" t="s">
        <v>16</v>
      </c>
      <c r="C338" t="s">
        <v>21</v>
      </c>
      <c r="D338">
        <v>151708</v>
      </c>
      <c r="E338">
        <v>17690</v>
      </c>
      <c r="F338">
        <v>17996</v>
      </c>
      <c r="G338">
        <v>-132554</v>
      </c>
      <c r="H338">
        <v>54840</v>
      </c>
      <c r="I338">
        <v>56248</v>
      </c>
      <c r="J338">
        <v>1084</v>
      </c>
      <c r="K338">
        <v>552812</v>
      </c>
      <c r="L338">
        <v>202429</v>
      </c>
      <c r="M338">
        <v>-208119</v>
      </c>
      <c r="N338">
        <v>80776</v>
      </c>
      <c r="O338" t="s">
        <v>356</v>
      </c>
      <c r="P338" s="9">
        <v>217970</v>
      </c>
      <c r="Q338" s="9">
        <v>33740</v>
      </c>
      <c r="R338" s="9">
        <v>251710</v>
      </c>
      <c r="S338" s="9">
        <v>-113164</v>
      </c>
      <c r="T338" s="10">
        <v>78739</v>
      </c>
      <c r="U338" s="10">
        <v>2013</v>
      </c>
    </row>
    <row r="339" spans="1:21" x14ac:dyDescent="0.35">
      <c r="A339" t="s">
        <v>15</v>
      </c>
      <c r="B339" t="s">
        <v>20</v>
      </c>
      <c r="C339" t="s">
        <v>17</v>
      </c>
      <c r="D339">
        <v>226450</v>
      </c>
      <c r="E339">
        <v>34949</v>
      </c>
      <c r="F339">
        <v>38001</v>
      </c>
      <c r="G339">
        <v>-215091</v>
      </c>
      <c r="H339">
        <v>84309</v>
      </c>
      <c r="I339">
        <v>80866</v>
      </c>
      <c r="J339">
        <v>904</v>
      </c>
      <c r="K339">
        <v>562570</v>
      </c>
      <c r="L339">
        <v>121642</v>
      </c>
      <c r="M339">
        <v>-169101</v>
      </c>
      <c r="N339">
        <v>80536</v>
      </c>
      <c r="O339" t="s">
        <v>357</v>
      </c>
      <c r="P339" s="9">
        <v>231258</v>
      </c>
      <c r="Q339" s="9">
        <v>11910</v>
      </c>
      <c r="R339" s="9">
        <v>243168</v>
      </c>
      <c r="S339" s="9">
        <v>-86613</v>
      </c>
      <c r="T339" s="10">
        <v>84552</v>
      </c>
      <c r="U339" s="10">
        <v>928</v>
      </c>
    </row>
    <row r="340" spans="1:21" x14ac:dyDescent="0.35">
      <c r="A340" t="s">
        <v>15</v>
      </c>
      <c r="B340" t="s">
        <v>16</v>
      </c>
      <c r="C340" t="s">
        <v>17</v>
      </c>
      <c r="D340">
        <v>199073</v>
      </c>
      <c r="E340">
        <v>37013</v>
      </c>
      <c r="F340">
        <v>32039</v>
      </c>
      <c r="G340">
        <v>-167452</v>
      </c>
      <c r="H340">
        <v>100673</v>
      </c>
      <c r="I340">
        <v>92257</v>
      </c>
      <c r="J340">
        <v>1365</v>
      </c>
      <c r="K340">
        <v>793170</v>
      </c>
      <c r="L340">
        <v>156500</v>
      </c>
      <c r="M340">
        <v>-308494</v>
      </c>
      <c r="N340">
        <v>101113</v>
      </c>
      <c r="O340" t="s">
        <v>358</v>
      </c>
      <c r="P340" s="9">
        <v>186480</v>
      </c>
      <c r="Q340" s="9">
        <v>29187</v>
      </c>
      <c r="R340" s="9">
        <v>215667</v>
      </c>
      <c r="S340" s="9">
        <v>-125083</v>
      </c>
      <c r="T340" s="10">
        <v>77906</v>
      </c>
      <c r="U340" s="10">
        <v>1356</v>
      </c>
    </row>
    <row r="341" spans="1:21" x14ac:dyDescent="0.35">
      <c r="A341" t="s">
        <v>15</v>
      </c>
      <c r="B341" t="s">
        <v>20</v>
      </c>
      <c r="C341" t="s">
        <v>21</v>
      </c>
      <c r="D341">
        <v>270028</v>
      </c>
      <c r="E341">
        <v>51369</v>
      </c>
      <c r="F341">
        <v>33116</v>
      </c>
      <c r="G341">
        <v>-221242</v>
      </c>
      <c r="H341">
        <v>133271</v>
      </c>
      <c r="I341">
        <v>129323</v>
      </c>
      <c r="J341">
        <v>3217</v>
      </c>
      <c r="K341">
        <v>726319</v>
      </c>
      <c r="L341">
        <v>241991</v>
      </c>
      <c r="M341">
        <v>-229304</v>
      </c>
      <c r="N341">
        <v>151459</v>
      </c>
      <c r="O341" t="s">
        <v>359</v>
      </c>
      <c r="P341" s="9">
        <v>271753</v>
      </c>
      <c r="Q341" s="9">
        <v>19000</v>
      </c>
      <c r="R341" s="9">
        <v>290753</v>
      </c>
      <c r="S341" s="9">
        <v>-114354</v>
      </c>
      <c r="T341" s="10">
        <v>96398</v>
      </c>
      <c r="U341" s="10">
        <v>2204</v>
      </c>
    </row>
    <row r="342" spans="1:21" x14ac:dyDescent="0.35">
      <c r="A342" t="s">
        <v>15</v>
      </c>
      <c r="B342" t="s">
        <v>20</v>
      </c>
      <c r="C342" t="s">
        <v>17</v>
      </c>
      <c r="D342">
        <v>218864</v>
      </c>
      <c r="E342">
        <v>14330</v>
      </c>
      <c r="F342">
        <v>26657</v>
      </c>
      <c r="G342">
        <v>-189231</v>
      </c>
      <c r="H342">
        <v>70620</v>
      </c>
      <c r="I342">
        <v>70423</v>
      </c>
      <c r="J342">
        <v>1375</v>
      </c>
      <c r="K342">
        <v>833382</v>
      </c>
      <c r="L342">
        <v>163542</v>
      </c>
      <c r="M342">
        <v>-161426</v>
      </c>
      <c r="N342">
        <v>154572</v>
      </c>
      <c r="O342" t="s">
        <v>360</v>
      </c>
      <c r="P342" s="9">
        <v>216496</v>
      </c>
      <c r="Q342" s="9">
        <v>25201</v>
      </c>
      <c r="R342" s="9">
        <v>241697</v>
      </c>
      <c r="S342" s="9">
        <v>-134296</v>
      </c>
      <c r="T342" s="10">
        <v>61830</v>
      </c>
      <c r="U342" s="10">
        <v>1002</v>
      </c>
    </row>
    <row r="343" spans="1:21" x14ac:dyDescent="0.35">
      <c r="A343" t="s">
        <v>15</v>
      </c>
      <c r="B343" t="s">
        <v>16</v>
      </c>
      <c r="C343" t="s">
        <v>21</v>
      </c>
      <c r="D343">
        <v>264320</v>
      </c>
      <c r="E343">
        <v>17119</v>
      </c>
      <c r="F343">
        <v>62630</v>
      </c>
      <c r="G343">
        <v>-247342</v>
      </c>
      <c r="H343">
        <v>96727</v>
      </c>
      <c r="I343">
        <v>93920</v>
      </c>
      <c r="J343">
        <v>2278</v>
      </c>
      <c r="K343">
        <v>712945</v>
      </c>
      <c r="L343">
        <v>224728</v>
      </c>
      <c r="M343">
        <v>-162002</v>
      </c>
      <c r="N343">
        <v>133018</v>
      </c>
      <c r="O343" t="s">
        <v>361</v>
      </c>
      <c r="P343" s="9">
        <v>225799</v>
      </c>
      <c r="Q343" s="9">
        <v>15176</v>
      </c>
      <c r="R343" s="9">
        <v>240975</v>
      </c>
      <c r="S343" s="9">
        <v>-90025</v>
      </c>
      <c r="T343" s="10">
        <v>96295</v>
      </c>
      <c r="U343" s="10">
        <v>1781</v>
      </c>
    </row>
    <row r="344" spans="1:21" x14ac:dyDescent="0.35">
      <c r="A344" t="s">
        <v>15</v>
      </c>
      <c r="B344" t="s">
        <v>16</v>
      </c>
      <c r="C344" t="s">
        <v>21</v>
      </c>
      <c r="D344">
        <v>190074</v>
      </c>
      <c r="E344">
        <v>17055</v>
      </c>
      <c r="F344">
        <v>45230</v>
      </c>
      <c r="G344">
        <v>-186004</v>
      </c>
      <c r="H344">
        <v>66355</v>
      </c>
      <c r="I344">
        <v>67428</v>
      </c>
      <c r="J344">
        <v>1792</v>
      </c>
      <c r="K344">
        <v>727737</v>
      </c>
      <c r="L344">
        <v>151405</v>
      </c>
      <c r="M344">
        <v>-197073</v>
      </c>
      <c r="N344">
        <v>90953</v>
      </c>
      <c r="O344" t="s">
        <v>362</v>
      </c>
      <c r="P344" s="9">
        <v>297787</v>
      </c>
      <c r="Q344" s="9">
        <v>25794</v>
      </c>
      <c r="R344" s="9">
        <v>323581</v>
      </c>
      <c r="S344" s="9">
        <v>-117272</v>
      </c>
      <c r="T344" s="10">
        <v>89244</v>
      </c>
      <c r="U344" s="10">
        <v>2602</v>
      </c>
    </row>
    <row r="345" spans="1:21" x14ac:dyDescent="0.35">
      <c r="A345" t="s">
        <v>15</v>
      </c>
      <c r="B345" t="s">
        <v>20</v>
      </c>
      <c r="C345" t="s">
        <v>21</v>
      </c>
      <c r="D345">
        <v>279473</v>
      </c>
      <c r="E345">
        <v>50484</v>
      </c>
      <c r="F345">
        <v>62171</v>
      </c>
      <c r="G345">
        <v>-268864</v>
      </c>
      <c r="H345">
        <v>123264</v>
      </c>
      <c r="I345">
        <v>124815</v>
      </c>
      <c r="J345">
        <v>2637</v>
      </c>
      <c r="K345">
        <v>868300</v>
      </c>
      <c r="L345">
        <v>387845</v>
      </c>
      <c r="M345">
        <v>-105253</v>
      </c>
      <c r="N345">
        <v>237452</v>
      </c>
      <c r="O345" t="s">
        <v>363</v>
      </c>
      <c r="P345" s="9">
        <v>264389</v>
      </c>
      <c r="Q345" s="9">
        <v>29570</v>
      </c>
      <c r="R345" s="9">
        <v>293959</v>
      </c>
      <c r="S345" s="9">
        <v>-156449</v>
      </c>
      <c r="T345" s="10">
        <v>133203</v>
      </c>
      <c r="U345" s="10">
        <v>2023</v>
      </c>
    </row>
    <row r="346" spans="1:21" x14ac:dyDescent="0.35">
      <c r="A346" t="s">
        <v>15</v>
      </c>
      <c r="B346" t="s">
        <v>20</v>
      </c>
      <c r="C346" t="s">
        <v>17</v>
      </c>
      <c r="D346">
        <v>207193</v>
      </c>
      <c r="E346">
        <v>39547</v>
      </c>
      <c r="F346">
        <v>49162</v>
      </c>
      <c r="G346">
        <v>-202572</v>
      </c>
      <c r="H346">
        <v>93330</v>
      </c>
      <c r="I346">
        <v>86695</v>
      </c>
      <c r="J346">
        <v>1177</v>
      </c>
      <c r="K346">
        <v>701206</v>
      </c>
      <c r="L346">
        <v>226928</v>
      </c>
      <c r="M346">
        <v>-244051</v>
      </c>
      <c r="N346">
        <v>169976</v>
      </c>
      <c r="O346" t="s">
        <v>364</v>
      </c>
      <c r="P346" s="9">
        <v>262966</v>
      </c>
      <c r="Q346" s="9">
        <v>42975</v>
      </c>
      <c r="R346" s="9">
        <v>305941</v>
      </c>
      <c r="S346" s="9">
        <v>-75366</v>
      </c>
      <c r="T346" s="10">
        <v>149981</v>
      </c>
      <c r="U346" s="10">
        <v>1507</v>
      </c>
    </row>
    <row r="347" spans="1:21" x14ac:dyDescent="0.35">
      <c r="A347" t="s">
        <v>15</v>
      </c>
      <c r="B347" t="s">
        <v>16</v>
      </c>
      <c r="C347" t="s">
        <v>21</v>
      </c>
      <c r="D347">
        <v>268073</v>
      </c>
      <c r="E347">
        <v>42759</v>
      </c>
      <c r="F347">
        <v>39822</v>
      </c>
      <c r="G347">
        <v>-233344</v>
      </c>
      <c r="H347">
        <v>117310</v>
      </c>
      <c r="I347">
        <v>107701</v>
      </c>
      <c r="J347">
        <v>2883</v>
      </c>
      <c r="K347">
        <v>541008</v>
      </c>
      <c r="L347">
        <v>109793</v>
      </c>
      <c r="M347">
        <v>-214321</v>
      </c>
      <c r="N347">
        <v>205687</v>
      </c>
      <c r="O347" t="s">
        <v>365</v>
      </c>
      <c r="P347" s="9">
        <v>221865</v>
      </c>
      <c r="Q347" s="9">
        <v>44860</v>
      </c>
      <c r="R347" s="9">
        <v>266725</v>
      </c>
      <c r="S347" s="9">
        <v>-96628</v>
      </c>
      <c r="T347" s="10">
        <v>76867</v>
      </c>
      <c r="U347" s="10">
        <v>2167</v>
      </c>
    </row>
    <row r="348" spans="1:21" x14ac:dyDescent="0.35">
      <c r="A348" t="s">
        <v>15</v>
      </c>
      <c r="B348" t="s">
        <v>16</v>
      </c>
      <c r="C348" t="s">
        <v>21</v>
      </c>
      <c r="D348">
        <v>267963</v>
      </c>
      <c r="E348">
        <v>32656</v>
      </c>
      <c r="F348">
        <v>47859</v>
      </c>
      <c r="G348">
        <v>-254026</v>
      </c>
      <c r="H348">
        <v>94452</v>
      </c>
      <c r="I348">
        <v>98673</v>
      </c>
      <c r="J348">
        <v>2503</v>
      </c>
      <c r="K348">
        <v>1005711</v>
      </c>
      <c r="L348">
        <v>301792</v>
      </c>
      <c r="M348">
        <v>-303524</v>
      </c>
      <c r="N348">
        <v>173535</v>
      </c>
      <c r="O348" t="s">
        <v>366</v>
      </c>
      <c r="P348" s="9">
        <v>258025</v>
      </c>
      <c r="Q348" s="9">
        <v>30510</v>
      </c>
      <c r="R348" s="9">
        <v>288535</v>
      </c>
      <c r="S348" s="9">
        <v>-148332</v>
      </c>
      <c r="T348" s="10">
        <v>82392</v>
      </c>
      <c r="U348" s="10">
        <v>1734</v>
      </c>
    </row>
    <row r="349" spans="1:21" x14ac:dyDescent="0.35">
      <c r="A349" t="s">
        <v>15</v>
      </c>
      <c r="B349" t="s">
        <v>16</v>
      </c>
      <c r="C349" t="s">
        <v>21</v>
      </c>
      <c r="D349">
        <v>170617</v>
      </c>
      <c r="E349">
        <v>20949</v>
      </c>
      <c r="F349">
        <v>18271</v>
      </c>
      <c r="G349">
        <v>-140742</v>
      </c>
      <c r="H349">
        <v>69095</v>
      </c>
      <c r="I349">
        <v>68779</v>
      </c>
      <c r="J349">
        <v>1099</v>
      </c>
      <c r="K349">
        <v>433786</v>
      </c>
      <c r="L349">
        <v>208778</v>
      </c>
      <c r="M349">
        <v>-67610</v>
      </c>
      <c r="N349">
        <v>92889</v>
      </c>
      <c r="O349" t="s">
        <v>367</v>
      </c>
      <c r="P349" s="9">
        <v>234789</v>
      </c>
      <c r="Q349" s="9">
        <v>42498</v>
      </c>
      <c r="R349" s="9">
        <v>277287</v>
      </c>
      <c r="S349" s="9">
        <v>-81317</v>
      </c>
      <c r="T349" s="10">
        <v>84272</v>
      </c>
      <c r="U349" s="10">
        <v>866</v>
      </c>
    </row>
    <row r="350" spans="1:21" x14ac:dyDescent="0.35">
      <c r="A350" t="s">
        <v>15</v>
      </c>
      <c r="B350" t="s">
        <v>20</v>
      </c>
      <c r="C350" t="s">
        <v>17</v>
      </c>
      <c r="D350">
        <v>258909</v>
      </c>
      <c r="E350">
        <v>14915</v>
      </c>
      <c r="F350">
        <v>38624</v>
      </c>
      <c r="G350">
        <v>-234010</v>
      </c>
      <c r="H350">
        <v>78438</v>
      </c>
      <c r="I350">
        <v>81446</v>
      </c>
      <c r="J350">
        <v>2390</v>
      </c>
      <c r="K350">
        <v>788815</v>
      </c>
      <c r="L350">
        <v>311546</v>
      </c>
      <c r="M350">
        <v>-101264</v>
      </c>
      <c r="N350">
        <v>183680</v>
      </c>
      <c r="O350" t="s">
        <v>368</v>
      </c>
      <c r="P350" s="9">
        <v>208161</v>
      </c>
      <c r="Q350" s="9">
        <v>25207</v>
      </c>
      <c r="R350" s="9">
        <v>233368</v>
      </c>
      <c r="S350" s="9">
        <v>-92946</v>
      </c>
      <c r="T350" s="10">
        <v>81434</v>
      </c>
      <c r="U350" s="10">
        <v>2286</v>
      </c>
    </row>
    <row r="351" spans="1:21" x14ac:dyDescent="0.35">
      <c r="A351" t="s">
        <v>15</v>
      </c>
      <c r="B351" t="s">
        <v>20</v>
      </c>
      <c r="C351" t="s">
        <v>21</v>
      </c>
      <c r="D351">
        <v>200379</v>
      </c>
      <c r="E351">
        <v>16089</v>
      </c>
      <c r="F351">
        <v>31581</v>
      </c>
      <c r="G351">
        <v>-181097</v>
      </c>
      <c r="H351">
        <v>66952</v>
      </c>
      <c r="I351">
        <v>66666</v>
      </c>
      <c r="J351">
        <v>1365</v>
      </c>
      <c r="K351">
        <v>655547</v>
      </c>
      <c r="L351">
        <v>123661</v>
      </c>
      <c r="M351">
        <v>-220068</v>
      </c>
      <c r="N351">
        <v>160788</v>
      </c>
      <c r="O351" t="s">
        <v>369</v>
      </c>
      <c r="P351" s="9">
        <v>261745</v>
      </c>
      <c r="Q351" s="9">
        <v>40759</v>
      </c>
      <c r="R351" s="9">
        <v>302504</v>
      </c>
      <c r="S351" s="9">
        <v>-137216</v>
      </c>
      <c r="T351" s="10">
        <v>77185</v>
      </c>
      <c r="U351" s="10">
        <v>1084</v>
      </c>
    </row>
    <row r="352" spans="1:21" x14ac:dyDescent="0.35">
      <c r="A352" t="s">
        <v>15</v>
      </c>
      <c r="B352" t="s">
        <v>16</v>
      </c>
      <c r="C352" t="s">
        <v>17</v>
      </c>
      <c r="D352">
        <v>220228</v>
      </c>
      <c r="E352">
        <v>36633</v>
      </c>
      <c r="F352">
        <v>53040</v>
      </c>
      <c r="G352">
        <v>-209725</v>
      </c>
      <c r="H352">
        <v>100176</v>
      </c>
      <c r="I352">
        <v>102425</v>
      </c>
      <c r="J352">
        <v>2314</v>
      </c>
      <c r="K352">
        <v>482364</v>
      </c>
      <c r="L352">
        <v>103396</v>
      </c>
      <c r="M352">
        <v>-77520</v>
      </c>
      <c r="N352">
        <v>116693</v>
      </c>
      <c r="O352" t="s">
        <v>370</v>
      </c>
      <c r="P352" s="9">
        <v>214070</v>
      </c>
      <c r="Q352" s="9">
        <v>26091</v>
      </c>
      <c r="R352" s="9">
        <v>240161</v>
      </c>
      <c r="S352" s="9">
        <v>-143773</v>
      </c>
      <c r="T352" s="10">
        <v>73589</v>
      </c>
      <c r="U352" s="10">
        <v>782</v>
      </c>
    </row>
    <row r="353" spans="1:21" x14ac:dyDescent="0.35">
      <c r="A353" t="s">
        <v>15</v>
      </c>
      <c r="B353" t="s">
        <v>20</v>
      </c>
      <c r="C353" t="s">
        <v>21</v>
      </c>
      <c r="D353">
        <v>163258</v>
      </c>
      <c r="E353">
        <v>21237</v>
      </c>
      <c r="F353">
        <v>18052</v>
      </c>
      <c r="G353">
        <v>-135863</v>
      </c>
      <c r="H353">
        <v>66684</v>
      </c>
      <c r="I353">
        <v>64837</v>
      </c>
      <c r="J353">
        <v>1408</v>
      </c>
      <c r="K353">
        <v>409578</v>
      </c>
      <c r="L353">
        <v>178178</v>
      </c>
      <c r="M353">
        <v>-42920</v>
      </c>
      <c r="N353">
        <v>145913</v>
      </c>
      <c r="O353" t="s">
        <v>371</v>
      </c>
      <c r="P353" s="9">
        <v>221524</v>
      </c>
      <c r="Q353" s="9">
        <v>19176</v>
      </c>
      <c r="R353" s="9">
        <v>240700</v>
      </c>
      <c r="S353" s="9">
        <v>-135266</v>
      </c>
      <c r="T353" s="10">
        <v>49030</v>
      </c>
      <c r="U353" s="10">
        <v>1246</v>
      </c>
    </row>
    <row r="354" spans="1:21" x14ac:dyDescent="0.35">
      <c r="A354" t="s">
        <v>15</v>
      </c>
      <c r="B354" t="s">
        <v>20</v>
      </c>
      <c r="C354" t="s">
        <v>17</v>
      </c>
      <c r="D354">
        <v>269406</v>
      </c>
      <c r="E354">
        <v>48584</v>
      </c>
      <c r="F354">
        <v>55979</v>
      </c>
      <c r="G354">
        <v>-217391</v>
      </c>
      <c r="H354">
        <v>156578</v>
      </c>
      <c r="I354">
        <v>155864</v>
      </c>
      <c r="J354">
        <v>1722</v>
      </c>
      <c r="K354">
        <v>819035</v>
      </c>
      <c r="L354">
        <v>308532</v>
      </c>
      <c r="M354">
        <v>-152657</v>
      </c>
      <c r="N354">
        <v>110842</v>
      </c>
      <c r="O354" t="s">
        <v>372</v>
      </c>
      <c r="P354" s="9">
        <v>188787</v>
      </c>
      <c r="Q354" s="9">
        <v>36826</v>
      </c>
      <c r="R354" s="9">
        <v>225613</v>
      </c>
      <c r="S354" s="9">
        <v>-108274</v>
      </c>
      <c r="T354" s="10">
        <v>84613</v>
      </c>
      <c r="U354" s="10">
        <v>1929</v>
      </c>
    </row>
    <row r="355" spans="1:21" x14ac:dyDescent="0.35">
      <c r="A355" t="s">
        <v>15</v>
      </c>
      <c r="B355" t="s">
        <v>20</v>
      </c>
      <c r="C355" t="s">
        <v>21</v>
      </c>
      <c r="D355">
        <v>259457</v>
      </c>
      <c r="E355">
        <v>22817</v>
      </c>
      <c r="F355">
        <v>55335</v>
      </c>
      <c r="G355">
        <v>-219924</v>
      </c>
      <c r="H355">
        <v>117685</v>
      </c>
      <c r="I355">
        <v>119570</v>
      </c>
      <c r="J355">
        <v>2809</v>
      </c>
      <c r="K355">
        <v>924026</v>
      </c>
      <c r="L355">
        <v>360803</v>
      </c>
      <c r="M355">
        <v>-142531</v>
      </c>
      <c r="N355">
        <v>125046</v>
      </c>
      <c r="O355" t="s">
        <v>373</v>
      </c>
      <c r="P355" s="9">
        <v>166364</v>
      </c>
      <c r="Q355" s="9">
        <v>15435</v>
      </c>
      <c r="R355" s="9">
        <v>181799</v>
      </c>
      <c r="S355" s="9">
        <v>-91575</v>
      </c>
      <c r="T355" s="10">
        <v>68363</v>
      </c>
      <c r="U355" s="10">
        <v>1895</v>
      </c>
    </row>
    <row r="356" spans="1:21" x14ac:dyDescent="0.35">
      <c r="A356" t="s">
        <v>15</v>
      </c>
      <c r="B356" t="s">
        <v>20</v>
      </c>
      <c r="C356" t="s">
        <v>17</v>
      </c>
      <c r="D356">
        <v>151096</v>
      </c>
      <c r="E356">
        <v>12953</v>
      </c>
      <c r="F356">
        <v>17420</v>
      </c>
      <c r="G356">
        <v>-147650</v>
      </c>
      <c r="H356">
        <v>33819</v>
      </c>
      <c r="I356">
        <v>31878</v>
      </c>
      <c r="J356">
        <v>732</v>
      </c>
      <c r="K356">
        <v>305017</v>
      </c>
      <c r="L356">
        <v>64218</v>
      </c>
      <c r="M356">
        <v>-103776</v>
      </c>
      <c r="N356">
        <v>82524</v>
      </c>
      <c r="O356" t="s">
        <v>374</v>
      </c>
      <c r="P356" s="9">
        <v>232222</v>
      </c>
      <c r="Q356" s="9">
        <v>36996</v>
      </c>
      <c r="R356" s="9">
        <v>269218</v>
      </c>
      <c r="S356" s="9">
        <v>-118313</v>
      </c>
      <c r="T356" s="10">
        <v>93752</v>
      </c>
      <c r="U356" s="10">
        <v>1788</v>
      </c>
    </row>
    <row r="357" spans="1:21" x14ac:dyDescent="0.35">
      <c r="A357" t="s">
        <v>15</v>
      </c>
      <c r="B357" t="s">
        <v>16</v>
      </c>
      <c r="C357" t="s">
        <v>21</v>
      </c>
      <c r="D357">
        <v>160525</v>
      </c>
      <c r="E357">
        <v>24144</v>
      </c>
      <c r="F357">
        <v>29712</v>
      </c>
      <c r="G357">
        <v>-145163</v>
      </c>
      <c r="H357">
        <v>69218</v>
      </c>
      <c r="I357">
        <v>71191</v>
      </c>
      <c r="J357">
        <v>1486</v>
      </c>
      <c r="K357">
        <v>368882</v>
      </c>
      <c r="L357">
        <v>176926</v>
      </c>
      <c r="M357">
        <v>-118248</v>
      </c>
      <c r="N357">
        <v>134186</v>
      </c>
      <c r="O357" t="s">
        <v>375</v>
      </c>
      <c r="P357" s="9">
        <v>169761</v>
      </c>
      <c r="Q357" s="9">
        <v>9880</v>
      </c>
      <c r="R357" s="9">
        <v>179641</v>
      </c>
      <c r="S357" s="9">
        <v>-99936</v>
      </c>
      <c r="T357" s="10">
        <v>66075</v>
      </c>
      <c r="U357" s="10">
        <v>1589</v>
      </c>
    </row>
    <row r="358" spans="1:21" x14ac:dyDescent="0.35">
      <c r="A358" t="s">
        <v>15</v>
      </c>
      <c r="B358" t="s">
        <v>20</v>
      </c>
      <c r="C358" t="s">
        <v>21</v>
      </c>
      <c r="D358">
        <v>190553</v>
      </c>
      <c r="E358">
        <v>31099</v>
      </c>
      <c r="F358">
        <v>39198</v>
      </c>
      <c r="G358">
        <v>-169893</v>
      </c>
      <c r="H358">
        <v>90957</v>
      </c>
      <c r="I358">
        <v>95354</v>
      </c>
      <c r="J358">
        <v>1459</v>
      </c>
      <c r="K358">
        <v>689750</v>
      </c>
      <c r="L358">
        <v>207968</v>
      </c>
      <c r="M358">
        <v>-182545</v>
      </c>
      <c r="N358">
        <v>111698</v>
      </c>
      <c r="O358" t="s">
        <v>376</v>
      </c>
      <c r="P358" s="9">
        <v>272952</v>
      </c>
      <c r="Q358" s="9">
        <v>45480</v>
      </c>
      <c r="R358" s="9">
        <v>318432</v>
      </c>
      <c r="S358" s="9">
        <v>-186341</v>
      </c>
      <c r="T358" s="10">
        <v>133700</v>
      </c>
      <c r="U358" s="10">
        <v>3553</v>
      </c>
    </row>
    <row r="359" spans="1:21" x14ac:dyDescent="0.35">
      <c r="A359" t="s">
        <v>15</v>
      </c>
      <c r="B359" t="s">
        <v>16</v>
      </c>
      <c r="C359" t="s">
        <v>21</v>
      </c>
      <c r="D359">
        <v>257571</v>
      </c>
      <c r="E359">
        <v>51175</v>
      </c>
      <c r="F359">
        <v>55188</v>
      </c>
      <c r="G359">
        <v>-210025</v>
      </c>
      <c r="H359">
        <v>153909</v>
      </c>
      <c r="I359">
        <v>160238</v>
      </c>
      <c r="J359">
        <v>2159</v>
      </c>
      <c r="K359">
        <v>822399</v>
      </c>
      <c r="L359">
        <v>364651</v>
      </c>
      <c r="M359">
        <v>-140542</v>
      </c>
      <c r="N359">
        <v>183357</v>
      </c>
      <c r="O359" t="s">
        <v>377</v>
      </c>
      <c r="P359" s="9">
        <v>158665</v>
      </c>
      <c r="Q359" s="9">
        <v>26723</v>
      </c>
      <c r="R359" s="9">
        <v>185388</v>
      </c>
      <c r="S359" s="9">
        <v>-87478</v>
      </c>
      <c r="T359" s="10">
        <v>63305</v>
      </c>
      <c r="U359" s="10">
        <v>932</v>
      </c>
    </row>
    <row r="360" spans="1:21" x14ac:dyDescent="0.35">
      <c r="A360" t="s">
        <v>15</v>
      </c>
      <c r="B360" t="s">
        <v>16</v>
      </c>
      <c r="C360" t="s">
        <v>21</v>
      </c>
      <c r="D360">
        <v>281187</v>
      </c>
      <c r="E360">
        <v>41927</v>
      </c>
      <c r="F360">
        <v>34031</v>
      </c>
      <c r="G360">
        <v>-250554</v>
      </c>
      <c r="H360">
        <v>106591</v>
      </c>
      <c r="I360">
        <v>101641</v>
      </c>
      <c r="J360">
        <v>1033</v>
      </c>
      <c r="K360">
        <v>692845</v>
      </c>
      <c r="L360">
        <v>198214</v>
      </c>
      <c r="M360">
        <v>-75621</v>
      </c>
      <c r="N360">
        <v>198290</v>
      </c>
      <c r="O360" t="s">
        <v>378</v>
      </c>
      <c r="P360" s="9">
        <v>195555</v>
      </c>
      <c r="Q360" s="9">
        <v>16256</v>
      </c>
      <c r="R360" s="9">
        <v>211811</v>
      </c>
      <c r="S360" s="9">
        <v>-79282</v>
      </c>
      <c r="T360" s="10">
        <v>38270</v>
      </c>
      <c r="U360" s="10">
        <v>958</v>
      </c>
    </row>
    <row r="361" spans="1:21" x14ac:dyDescent="0.35">
      <c r="A361" t="s">
        <v>15</v>
      </c>
      <c r="B361" t="s">
        <v>16</v>
      </c>
      <c r="C361" t="s">
        <v>17</v>
      </c>
      <c r="D361">
        <v>298107</v>
      </c>
      <c r="E361">
        <v>37215</v>
      </c>
      <c r="F361">
        <v>44983</v>
      </c>
      <c r="G361">
        <v>-294515</v>
      </c>
      <c r="H361">
        <v>85790</v>
      </c>
      <c r="I361">
        <v>86815</v>
      </c>
      <c r="J361">
        <v>1523</v>
      </c>
      <c r="K361">
        <v>929112</v>
      </c>
      <c r="L361">
        <v>133156</v>
      </c>
      <c r="M361">
        <v>-365605</v>
      </c>
      <c r="N361">
        <v>262743</v>
      </c>
      <c r="O361" t="s">
        <v>379</v>
      </c>
      <c r="P361" s="9">
        <v>242468</v>
      </c>
      <c r="Q361" s="9">
        <v>44374</v>
      </c>
      <c r="R361" s="9">
        <v>286842</v>
      </c>
      <c r="S361" s="9">
        <v>-87820</v>
      </c>
      <c r="T361" s="10">
        <v>131963</v>
      </c>
      <c r="U361" s="10">
        <v>3749</v>
      </c>
    </row>
    <row r="362" spans="1:21" x14ac:dyDescent="0.35">
      <c r="A362" t="s">
        <v>15</v>
      </c>
      <c r="B362" t="s">
        <v>16</v>
      </c>
      <c r="C362" t="s">
        <v>21</v>
      </c>
      <c r="D362">
        <v>263440</v>
      </c>
      <c r="E362">
        <v>31612</v>
      </c>
      <c r="F362">
        <v>58175</v>
      </c>
      <c r="G362">
        <v>-245653</v>
      </c>
      <c r="H362">
        <v>107574</v>
      </c>
      <c r="I362">
        <v>99597</v>
      </c>
      <c r="J362">
        <v>1997</v>
      </c>
      <c r="K362">
        <v>823380</v>
      </c>
      <c r="L362">
        <v>90311</v>
      </c>
      <c r="M362">
        <v>-283117</v>
      </c>
      <c r="N362">
        <v>159891</v>
      </c>
      <c r="O362" t="s">
        <v>380</v>
      </c>
      <c r="P362" s="9">
        <v>169215</v>
      </c>
      <c r="Q362" s="9">
        <v>25786</v>
      </c>
      <c r="R362" s="9">
        <v>195001</v>
      </c>
      <c r="S362" s="9">
        <v>-66506</v>
      </c>
      <c r="T362" s="10">
        <v>59626</v>
      </c>
      <c r="U362" s="10">
        <v>1702</v>
      </c>
    </row>
    <row r="363" spans="1:21" x14ac:dyDescent="0.35">
      <c r="A363" t="s">
        <v>15</v>
      </c>
      <c r="B363" t="s">
        <v>16</v>
      </c>
      <c r="C363" t="s">
        <v>21</v>
      </c>
      <c r="D363">
        <v>239415</v>
      </c>
      <c r="E363">
        <v>35200</v>
      </c>
      <c r="F363">
        <v>53825</v>
      </c>
      <c r="G363">
        <v>-223532</v>
      </c>
      <c r="H363">
        <v>104908</v>
      </c>
      <c r="I363">
        <v>101538</v>
      </c>
      <c r="J363">
        <v>1915</v>
      </c>
      <c r="K363">
        <v>631503</v>
      </c>
      <c r="L363">
        <v>66221</v>
      </c>
      <c r="M363">
        <v>-103062</v>
      </c>
      <c r="N363">
        <v>156866</v>
      </c>
      <c r="O363" t="s">
        <v>381</v>
      </c>
      <c r="P363" s="9">
        <v>151204</v>
      </c>
      <c r="Q363" s="9">
        <v>20278</v>
      </c>
      <c r="R363" s="9">
        <v>171482</v>
      </c>
      <c r="S363" s="9">
        <v>-89367</v>
      </c>
      <c r="T363" s="10">
        <v>68819</v>
      </c>
      <c r="U363" s="10">
        <v>1120</v>
      </c>
    </row>
    <row r="364" spans="1:21" x14ac:dyDescent="0.35">
      <c r="A364" t="s">
        <v>15</v>
      </c>
      <c r="B364" t="s">
        <v>16</v>
      </c>
      <c r="C364" t="s">
        <v>17</v>
      </c>
      <c r="D364">
        <v>294024</v>
      </c>
      <c r="E364">
        <v>18999</v>
      </c>
      <c r="F364">
        <v>31978</v>
      </c>
      <c r="G364">
        <v>-277609</v>
      </c>
      <c r="H364">
        <v>67392</v>
      </c>
      <c r="I364">
        <v>64662</v>
      </c>
      <c r="J364">
        <v>1845</v>
      </c>
      <c r="K364">
        <v>632748</v>
      </c>
      <c r="L364">
        <v>223730</v>
      </c>
      <c r="M364">
        <v>-247670</v>
      </c>
      <c r="N364">
        <v>186128</v>
      </c>
      <c r="O364" t="s">
        <v>382</v>
      </c>
      <c r="P364" s="9">
        <v>277910</v>
      </c>
      <c r="Q364" s="9">
        <v>20370</v>
      </c>
      <c r="R364" s="9">
        <v>298280</v>
      </c>
      <c r="S364" s="9">
        <v>-132575</v>
      </c>
      <c r="T364" s="10">
        <v>59475</v>
      </c>
      <c r="U364" s="10">
        <v>706</v>
      </c>
    </row>
    <row r="365" spans="1:21" x14ac:dyDescent="0.35">
      <c r="A365" t="s">
        <v>15</v>
      </c>
      <c r="B365" t="s">
        <v>16</v>
      </c>
      <c r="C365" t="s">
        <v>17</v>
      </c>
      <c r="D365">
        <v>223302</v>
      </c>
      <c r="E365">
        <v>41774</v>
      </c>
      <c r="F365">
        <v>36210</v>
      </c>
      <c r="G365">
        <v>-221560</v>
      </c>
      <c r="H365">
        <v>79726</v>
      </c>
      <c r="I365">
        <v>72671</v>
      </c>
      <c r="J365">
        <v>1240</v>
      </c>
      <c r="K365">
        <v>615926</v>
      </c>
      <c r="L365">
        <v>216633</v>
      </c>
      <c r="M365">
        <v>-186540</v>
      </c>
      <c r="N365">
        <v>105213</v>
      </c>
      <c r="O365" t="s">
        <v>383</v>
      </c>
      <c r="P365" s="9">
        <v>196863</v>
      </c>
      <c r="Q365" s="9">
        <v>22457</v>
      </c>
      <c r="R365" s="9">
        <v>219320</v>
      </c>
      <c r="S365" s="9">
        <v>-106519</v>
      </c>
      <c r="T365" s="10">
        <v>79357</v>
      </c>
      <c r="U365" s="10">
        <v>1614</v>
      </c>
    </row>
    <row r="366" spans="1:21" x14ac:dyDescent="0.35">
      <c r="A366" t="s">
        <v>15</v>
      </c>
      <c r="B366" t="s">
        <v>16</v>
      </c>
      <c r="C366" t="s">
        <v>17</v>
      </c>
      <c r="D366">
        <v>225129</v>
      </c>
      <c r="E366">
        <v>43693</v>
      </c>
      <c r="F366">
        <v>48248</v>
      </c>
      <c r="G366">
        <v>-210571</v>
      </c>
      <c r="H366">
        <v>106499</v>
      </c>
      <c r="I366">
        <v>110518</v>
      </c>
      <c r="J366">
        <v>2536</v>
      </c>
      <c r="K366">
        <v>610089</v>
      </c>
      <c r="L366">
        <v>108234</v>
      </c>
      <c r="M366">
        <v>-188074</v>
      </c>
      <c r="N366">
        <v>127414</v>
      </c>
      <c r="O366" t="s">
        <v>384</v>
      </c>
      <c r="P366" s="9">
        <v>197267</v>
      </c>
      <c r="Q366" s="9">
        <v>34402</v>
      </c>
      <c r="R366" s="9">
        <v>231669</v>
      </c>
      <c r="S366" s="9">
        <v>-119512</v>
      </c>
      <c r="T366" s="10">
        <v>76580</v>
      </c>
      <c r="U366" s="10">
        <v>2206</v>
      </c>
    </row>
    <row r="367" spans="1:21" x14ac:dyDescent="0.35">
      <c r="A367" t="s">
        <v>15</v>
      </c>
      <c r="B367" t="s">
        <v>16</v>
      </c>
      <c r="C367" t="s">
        <v>17</v>
      </c>
      <c r="D367">
        <v>253534</v>
      </c>
      <c r="E367">
        <v>29807</v>
      </c>
      <c r="F367">
        <v>47590</v>
      </c>
      <c r="G367">
        <v>-217260</v>
      </c>
      <c r="H367">
        <v>113671</v>
      </c>
      <c r="I367">
        <v>118364</v>
      </c>
      <c r="J367">
        <v>1439</v>
      </c>
      <c r="K367">
        <v>839709</v>
      </c>
      <c r="L367">
        <v>208129</v>
      </c>
      <c r="M367">
        <v>-161275</v>
      </c>
      <c r="N367">
        <v>143354</v>
      </c>
      <c r="O367" t="s">
        <v>385</v>
      </c>
      <c r="P367" s="9">
        <v>251078</v>
      </c>
      <c r="Q367" s="9">
        <v>54098</v>
      </c>
      <c r="R367" s="9">
        <v>305176</v>
      </c>
      <c r="S367" s="9">
        <v>-173556</v>
      </c>
      <c r="T367" s="10">
        <v>96529</v>
      </c>
      <c r="U367" s="10">
        <v>2836</v>
      </c>
    </row>
    <row r="368" spans="1:21" x14ac:dyDescent="0.35">
      <c r="A368" t="s">
        <v>15</v>
      </c>
      <c r="B368" t="s">
        <v>20</v>
      </c>
      <c r="C368" t="s">
        <v>21</v>
      </c>
      <c r="D368">
        <v>211098</v>
      </c>
      <c r="E368">
        <v>38028</v>
      </c>
      <c r="F368">
        <v>26410</v>
      </c>
      <c r="G368">
        <v>-202066</v>
      </c>
      <c r="H368">
        <v>73470</v>
      </c>
      <c r="I368">
        <v>67711</v>
      </c>
      <c r="J368">
        <v>800</v>
      </c>
      <c r="K368">
        <v>706511</v>
      </c>
      <c r="L368">
        <v>263799</v>
      </c>
      <c r="M368">
        <v>-192436</v>
      </c>
      <c r="N368">
        <v>116869</v>
      </c>
      <c r="O368" t="s">
        <v>386</v>
      </c>
      <c r="P368" s="9">
        <v>218460</v>
      </c>
      <c r="Q368" s="9">
        <v>46446</v>
      </c>
      <c r="R368" s="9">
        <v>264906</v>
      </c>
      <c r="S368" s="9">
        <v>-146144</v>
      </c>
      <c r="T368" s="10">
        <v>116028</v>
      </c>
      <c r="U368" s="10">
        <v>1285</v>
      </c>
    </row>
    <row r="369" spans="1:21" x14ac:dyDescent="0.35">
      <c r="A369" t="s">
        <v>15</v>
      </c>
      <c r="B369" t="s">
        <v>20</v>
      </c>
      <c r="C369" t="s">
        <v>17</v>
      </c>
      <c r="D369">
        <v>203448</v>
      </c>
      <c r="E369">
        <v>10476</v>
      </c>
      <c r="F369">
        <v>44911</v>
      </c>
      <c r="G369">
        <v>-182803</v>
      </c>
      <c r="H369">
        <v>76032</v>
      </c>
      <c r="I369">
        <v>77218</v>
      </c>
      <c r="J369">
        <v>2150</v>
      </c>
      <c r="K369">
        <v>603693</v>
      </c>
      <c r="L369">
        <v>101218</v>
      </c>
      <c r="M369">
        <v>-182620</v>
      </c>
      <c r="N369">
        <v>179519</v>
      </c>
      <c r="O369" t="s">
        <v>387</v>
      </c>
      <c r="P369" s="9">
        <v>185699</v>
      </c>
      <c r="Q369" s="9">
        <v>12692</v>
      </c>
      <c r="R369" s="9">
        <v>198391</v>
      </c>
      <c r="S369" s="9">
        <v>-98575</v>
      </c>
      <c r="T369" s="10">
        <v>86686</v>
      </c>
      <c r="U369" s="10">
        <v>1603</v>
      </c>
    </row>
    <row r="370" spans="1:21" x14ac:dyDescent="0.35">
      <c r="A370" t="s">
        <v>15</v>
      </c>
      <c r="B370" t="s">
        <v>20</v>
      </c>
      <c r="C370" t="s">
        <v>21</v>
      </c>
      <c r="D370">
        <v>204282</v>
      </c>
      <c r="E370">
        <v>10713</v>
      </c>
      <c r="F370">
        <v>30284</v>
      </c>
      <c r="G370">
        <v>-198403</v>
      </c>
      <c r="H370">
        <v>46876</v>
      </c>
      <c r="I370">
        <v>43784</v>
      </c>
      <c r="J370">
        <v>658</v>
      </c>
      <c r="K370">
        <v>545816</v>
      </c>
      <c r="L370">
        <v>177517</v>
      </c>
      <c r="M370">
        <v>-217629</v>
      </c>
      <c r="N370">
        <v>150777</v>
      </c>
      <c r="O370" t="s">
        <v>388</v>
      </c>
      <c r="P370" s="9">
        <v>287790</v>
      </c>
      <c r="Q370" s="9">
        <v>21449</v>
      </c>
      <c r="R370" s="9">
        <v>309239</v>
      </c>
      <c r="S370" s="9">
        <v>-167151</v>
      </c>
      <c r="T370" s="10">
        <v>82920</v>
      </c>
      <c r="U370" s="10">
        <v>888</v>
      </c>
    </row>
    <row r="371" spans="1:21" x14ac:dyDescent="0.35">
      <c r="A371" t="s">
        <v>15</v>
      </c>
      <c r="B371" t="s">
        <v>16</v>
      </c>
      <c r="C371" t="s">
        <v>21</v>
      </c>
      <c r="D371">
        <v>259039</v>
      </c>
      <c r="E371">
        <v>18115</v>
      </c>
      <c r="F371">
        <v>30453</v>
      </c>
      <c r="G371">
        <v>-248885</v>
      </c>
      <c r="H371">
        <v>58722</v>
      </c>
      <c r="I371">
        <v>55213</v>
      </c>
      <c r="J371">
        <v>1261</v>
      </c>
      <c r="K371">
        <v>894226</v>
      </c>
      <c r="L371">
        <v>347604</v>
      </c>
      <c r="M371">
        <v>-151048</v>
      </c>
      <c r="N371">
        <v>123561</v>
      </c>
      <c r="O371" t="s">
        <v>389</v>
      </c>
      <c r="P371" s="9">
        <v>199828</v>
      </c>
      <c r="Q371" s="9">
        <v>23624</v>
      </c>
      <c r="R371" s="9">
        <v>223452</v>
      </c>
      <c r="S371" s="9">
        <v>-55195</v>
      </c>
      <c r="T371" s="10">
        <v>62140</v>
      </c>
      <c r="U371" s="10">
        <v>1792</v>
      </c>
    </row>
    <row r="372" spans="1:21" x14ac:dyDescent="0.35">
      <c r="A372" t="s">
        <v>15</v>
      </c>
      <c r="B372" t="s">
        <v>16</v>
      </c>
      <c r="C372" t="s">
        <v>21</v>
      </c>
      <c r="D372">
        <v>213729</v>
      </c>
      <c r="E372">
        <v>11947</v>
      </c>
      <c r="F372">
        <v>37803</v>
      </c>
      <c r="G372">
        <v>-180554</v>
      </c>
      <c r="H372">
        <v>82925</v>
      </c>
      <c r="I372">
        <v>76856</v>
      </c>
      <c r="J372">
        <v>2228</v>
      </c>
      <c r="K372">
        <v>473726</v>
      </c>
      <c r="L372">
        <v>206244</v>
      </c>
      <c r="M372">
        <v>-184819</v>
      </c>
      <c r="N372">
        <v>164541</v>
      </c>
      <c r="O372" t="s">
        <v>390</v>
      </c>
      <c r="P372" s="9">
        <v>167641</v>
      </c>
      <c r="Q372" s="9">
        <v>22538</v>
      </c>
      <c r="R372" s="9">
        <v>190179</v>
      </c>
      <c r="S372" s="9">
        <v>-68622</v>
      </c>
      <c r="T372" s="10">
        <v>48953</v>
      </c>
      <c r="U372" s="10">
        <v>1097</v>
      </c>
    </row>
    <row r="373" spans="1:21" x14ac:dyDescent="0.35">
      <c r="A373" t="s">
        <v>15</v>
      </c>
      <c r="B373" t="s">
        <v>20</v>
      </c>
      <c r="C373" t="s">
        <v>21</v>
      </c>
      <c r="D373">
        <v>250643</v>
      </c>
      <c r="E373">
        <v>35349</v>
      </c>
      <c r="F373">
        <v>33845</v>
      </c>
      <c r="G373">
        <v>-230696</v>
      </c>
      <c r="H373">
        <v>89141</v>
      </c>
      <c r="I373">
        <v>80668</v>
      </c>
      <c r="J373">
        <v>996</v>
      </c>
      <c r="K373">
        <v>850156</v>
      </c>
      <c r="L373">
        <v>117447</v>
      </c>
      <c r="M373">
        <v>-268331</v>
      </c>
      <c r="N373">
        <v>217099</v>
      </c>
      <c r="O373" t="s">
        <v>391</v>
      </c>
      <c r="P373" s="9">
        <v>198155</v>
      </c>
      <c r="Q373" s="9">
        <v>44072</v>
      </c>
      <c r="R373" s="9">
        <v>242227</v>
      </c>
      <c r="S373" s="9">
        <v>-95550</v>
      </c>
      <c r="T373" s="10">
        <v>110788</v>
      </c>
      <c r="U373" s="10">
        <v>1639</v>
      </c>
    </row>
    <row r="374" spans="1:21" x14ac:dyDescent="0.35">
      <c r="A374" t="s">
        <v>15</v>
      </c>
      <c r="B374" t="s">
        <v>20</v>
      </c>
      <c r="C374" t="s">
        <v>21</v>
      </c>
      <c r="D374">
        <v>192231</v>
      </c>
      <c r="E374">
        <v>34131</v>
      </c>
      <c r="F374">
        <v>40945</v>
      </c>
      <c r="G374">
        <v>-161548</v>
      </c>
      <c r="H374">
        <v>105759</v>
      </c>
      <c r="I374">
        <v>104496</v>
      </c>
      <c r="J374">
        <v>2571</v>
      </c>
      <c r="K374">
        <v>415474</v>
      </c>
      <c r="L374">
        <v>111473</v>
      </c>
      <c r="M374">
        <v>-70086</v>
      </c>
      <c r="N374">
        <v>168468</v>
      </c>
      <c r="O374" t="s">
        <v>392</v>
      </c>
      <c r="P374" s="9">
        <v>176136</v>
      </c>
      <c r="Q374" s="9">
        <v>11889</v>
      </c>
      <c r="R374" s="9">
        <v>188025</v>
      </c>
      <c r="S374" s="9">
        <v>-40225</v>
      </c>
      <c r="T374" s="10">
        <v>66092</v>
      </c>
      <c r="U374" s="10">
        <v>1602</v>
      </c>
    </row>
    <row r="375" spans="1:21" x14ac:dyDescent="0.35">
      <c r="A375" t="s">
        <v>15</v>
      </c>
      <c r="B375" t="s">
        <v>20</v>
      </c>
      <c r="C375" t="s">
        <v>21</v>
      </c>
      <c r="D375">
        <v>204845</v>
      </c>
      <c r="E375">
        <v>37654</v>
      </c>
      <c r="F375">
        <v>38044</v>
      </c>
      <c r="G375">
        <v>-187960</v>
      </c>
      <c r="H375">
        <v>92583</v>
      </c>
      <c r="I375">
        <v>86025</v>
      </c>
      <c r="J375">
        <v>1658</v>
      </c>
      <c r="K375">
        <v>447371</v>
      </c>
      <c r="L375">
        <v>103128</v>
      </c>
      <c r="M375">
        <v>-73595</v>
      </c>
      <c r="N375">
        <v>85695</v>
      </c>
      <c r="O375" t="s">
        <v>393</v>
      </c>
      <c r="P375" s="9">
        <v>203533</v>
      </c>
      <c r="Q375" s="9">
        <v>23272</v>
      </c>
      <c r="R375" s="9">
        <v>226805</v>
      </c>
      <c r="S375" s="9">
        <v>-71627</v>
      </c>
      <c r="T375" s="10">
        <v>73898</v>
      </c>
      <c r="U375" s="10">
        <v>1302</v>
      </c>
    </row>
    <row r="376" spans="1:21" x14ac:dyDescent="0.35">
      <c r="A376" t="s">
        <v>15</v>
      </c>
      <c r="B376" t="s">
        <v>20</v>
      </c>
      <c r="C376" t="s">
        <v>21</v>
      </c>
      <c r="D376">
        <v>188811</v>
      </c>
      <c r="E376">
        <v>13921</v>
      </c>
      <c r="F376">
        <v>21270</v>
      </c>
      <c r="G376">
        <v>-155180</v>
      </c>
      <c r="H376">
        <v>68822</v>
      </c>
      <c r="I376">
        <v>62547</v>
      </c>
      <c r="J376">
        <v>1134</v>
      </c>
      <c r="K376">
        <v>593517</v>
      </c>
      <c r="L376">
        <v>72957</v>
      </c>
      <c r="M376">
        <v>-76170</v>
      </c>
      <c r="N376">
        <v>88359</v>
      </c>
      <c r="O376" t="s">
        <v>394</v>
      </c>
      <c r="P376" s="9">
        <v>257074</v>
      </c>
      <c r="Q376" s="9">
        <v>35419</v>
      </c>
      <c r="R376" s="9">
        <v>292493</v>
      </c>
      <c r="S376" s="9">
        <v>-130474</v>
      </c>
      <c r="T376" s="10">
        <v>88848</v>
      </c>
      <c r="U376" s="10">
        <v>1118</v>
      </c>
    </row>
    <row r="377" spans="1:21" x14ac:dyDescent="0.35">
      <c r="A377" t="s">
        <v>15</v>
      </c>
      <c r="B377" t="s">
        <v>16</v>
      </c>
      <c r="C377" t="s">
        <v>21</v>
      </c>
      <c r="D377">
        <v>261158</v>
      </c>
      <c r="E377">
        <v>51517</v>
      </c>
      <c r="F377">
        <v>56548</v>
      </c>
      <c r="G377">
        <v>-244844</v>
      </c>
      <c r="H377">
        <v>124379</v>
      </c>
      <c r="I377">
        <v>130052</v>
      </c>
      <c r="J377">
        <v>2979</v>
      </c>
      <c r="K377">
        <v>612380</v>
      </c>
      <c r="L377">
        <v>100966</v>
      </c>
      <c r="M377">
        <v>-110849</v>
      </c>
      <c r="N377">
        <v>228250</v>
      </c>
      <c r="O377" t="s">
        <v>395</v>
      </c>
      <c r="P377" s="9">
        <v>153637</v>
      </c>
      <c r="Q377" s="9">
        <v>11026</v>
      </c>
      <c r="R377" s="9">
        <v>164663</v>
      </c>
      <c r="S377" s="9">
        <v>-84193</v>
      </c>
      <c r="T377" s="10">
        <v>56824</v>
      </c>
      <c r="U377" s="10">
        <v>886</v>
      </c>
    </row>
    <row r="378" spans="1:21" x14ac:dyDescent="0.35">
      <c r="A378" t="s">
        <v>15</v>
      </c>
      <c r="B378" t="s">
        <v>16</v>
      </c>
      <c r="C378" t="s">
        <v>17</v>
      </c>
      <c r="D378">
        <v>256427</v>
      </c>
      <c r="E378">
        <v>18259</v>
      </c>
      <c r="F378">
        <v>38353</v>
      </c>
      <c r="G378">
        <v>-227033</v>
      </c>
      <c r="H378">
        <v>86006</v>
      </c>
      <c r="I378">
        <v>85729</v>
      </c>
      <c r="J378">
        <v>1140</v>
      </c>
      <c r="K378">
        <v>605296</v>
      </c>
      <c r="L378">
        <v>237294</v>
      </c>
      <c r="M378">
        <v>-199902</v>
      </c>
      <c r="N378">
        <v>227844</v>
      </c>
      <c r="O378" t="s">
        <v>396</v>
      </c>
      <c r="P378" s="9">
        <v>276838</v>
      </c>
      <c r="Q378" s="9">
        <v>14055</v>
      </c>
      <c r="R378" s="9">
        <v>290893</v>
      </c>
      <c r="S378" s="9">
        <v>-160906</v>
      </c>
      <c r="T378" s="10">
        <v>113426</v>
      </c>
      <c r="U378" s="10">
        <v>2736</v>
      </c>
    </row>
    <row r="379" spans="1:21" x14ac:dyDescent="0.35">
      <c r="A379" t="s">
        <v>15</v>
      </c>
      <c r="B379" t="s">
        <v>20</v>
      </c>
      <c r="C379" t="s">
        <v>21</v>
      </c>
      <c r="D379">
        <v>228685</v>
      </c>
      <c r="E379">
        <v>34188</v>
      </c>
      <c r="F379">
        <v>47790</v>
      </c>
      <c r="G379">
        <v>-206599</v>
      </c>
      <c r="H379">
        <v>104064</v>
      </c>
      <c r="I379">
        <v>98876</v>
      </c>
      <c r="J379">
        <v>2418</v>
      </c>
      <c r="K379">
        <v>864186</v>
      </c>
      <c r="L379">
        <v>124193</v>
      </c>
      <c r="M379">
        <v>-117637</v>
      </c>
      <c r="N379">
        <v>192501</v>
      </c>
      <c r="O379" t="s">
        <v>397</v>
      </c>
      <c r="P379" s="9">
        <v>208277</v>
      </c>
      <c r="Q379" s="9">
        <v>25057</v>
      </c>
      <c r="R379" s="9">
        <v>233334</v>
      </c>
      <c r="S379" s="9">
        <v>-63599</v>
      </c>
      <c r="T379" s="10">
        <v>92248</v>
      </c>
      <c r="U379" s="10">
        <v>984</v>
      </c>
    </row>
    <row r="380" spans="1:21" x14ac:dyDescent="0.35">
      <c r="A380" t="s">
        <v>15</v>
      </c>
      <c r="B380" t="s">
        <v>20</v>
      </c>
      <c r="C380" t="s">
        <v>21</v>
      </c>
      <c r="D380">
        <v>276091</v>
      </c>
      <c r="E380">
        <v>29506</v>
      </c>
      <c r="F380">
        <v>46913</v>
      </c>
      <c r="G380">
        <v>-257043</v>
      </c>
      <c r="H380">
        <v>95467</v>
      </c>
      <c r="I380">
        <v>90277</v>
      </c>
      <c r="J380">
        <v>2418</v>
      </c>
      <c r="K380">
        <v>808716</v>
      </c>
      <c r="L380">
        <v>81974</v>
      </c>
      <c r="M380">
        <v>-135607</v>
      </c>
      <c r="N380">
        <v>97471</v>
      </c>
      <c r="O380" t="s">
        <v>398</v>
      </c>
      <c r="P380" s="9">
        <v>267835</v>
      </c>
      <c r="Q380" s="9">
        <v>19795</v>
      </c>
      <c r="R380" s="9">
        <v>287630</v>
      </c>
      <c r="S380" s="9">
        <v>-128430</v>
      </c>
      <c r="T380" s="10">
        <v>66141</v>
      </c>
      <c r="U380" s="10">
        <v>1251</v>
      </c>
    </row>
    <row r="381" spans="1:21" x14ac:dyDescent="0.35">
      <c r="A381" t="s">
        <v>15</v>
      </c>
      <c r="B381" t="s">
        <v>20</v>
      </c>
      <c r="C381" t="s">
        <v>21</v>
      </c>
      <c r="D381">
        <v>245431</v>
      </c>
      <c r="E381">
        <v>41658</v>
      </c>
      <c r="F381">
        <v>53397</v>
      </c>
      <c r="G381">
        <v>-222395</v>
      </c>
      <c r="H381">
        <v>118091</v>
      </c>
      <c r="I381">
        <v>116794</v>
      </c>
      <c r="J381">
        <v>3483</v>
      </c>
      <c r="K381">
        <v>529381</v>
      </c>
      <c r="L381">
        <v>162358</v>
      </c>
      <c r="M381">
        <v>-195994</v>
      </c>
      <c r="N381">
        <v>126107</v>
      </c>
      <c r="O381" t="s">
        <v>399</v>
      </c>
      <c r="P381" s="9">
        <v>227911</v>
      </c>
      <c r="Q381" s="9">
        <v>33748</v>
      </c>
      <c r="R381" s="9">
        <v>261659</v>
      </c>
      <c r="S381" s="9">
        <v>-111503</v>
      </c>
      <c r="T381" s="10">
        <v>91256</v>
      </c>
      <c r="U381" s="10">
        <v>1677</v>
      </c>
    </row>
    <row r="382" spans="1:21" x14ac:dyDescent="0.35">
      <c r="A382" t="s">
        <v>15</v>
      </c>
      <c r="B382" t="s">
        <v>20</v>
      </c>
      <c r="C382" t="s">
        <v>17</v>
      </c>
      <c r="D382">
        <v>259780</v>
      </c>
      <c r="E382">
        <v>26183</v>
      </c>
      <c r="F382">
        <v>49600</v>
      </c>
      <c r="G382">
        <v>-217154</v>
      </c>
      <c r="H382">
        <v>118409</v>
      </c>
      <c r="I382">
        <v>115241</v>
      </c>
      <c r="J382">
        <v>3280</v>
      </c>
      <c r="K382">
        <v>849275</v>
      </c>
      <c r="L382">
        <v>267943</v>
      </c>
      <c r="M382">
        <v>-108194</v>
      </c>
      <c r="N382">
        <v>231807</v>
      </c>
      <c r="O382" t="s">
        <v>400</v>
      </c>
      <c r="P382" s="9">
        <v>210203</v>
      </c>
      <c r="Q382" s="9">
        <v>24260</v>
      </c>
      <c r="R382" s="9">
        <v>234463</v>
      </c>
      <c r="S382" s="9">
        <v>-51323</v>
      </c>
      <c r="T382" s="10">
        <v>94321</v>
      </c>
      <c r="U382" s="10">
        <v>1764</v>
      </c>
    </row>
    <row r="383" spans="1:21" x14ac:dyDescent="0.35">
      <c r="A383" t="s">
        <v>15</v>
      </c>
      <c r="B383" t="s">
        <v>16</v>
      </c>
      <c r="C383" t="s">
        <v>21</v>
      </c>
      <c r="D383">
        <v>261340</v>
      </c>
      <c r="E383">
        <v>35735</v>
      </c>
      <c r="F383">
        <v>45197</v>
      </c>
      <c r="G383">
        <v>-253876</v>
      </c>
      <c r="H383">
        <v>88396</v>
      </c>
      <c r="I383">
        <v>92728</v>
      </c>
      <c r="J383">
        <v>1703</v>
      </c>
      <c r="K383">
        <v>632467</v>
      </c>
      <c r="L383">
        <v>208381</v>
      </c>
      <c r="M383">
        <v>-208127</v>
      </c>
      <c r="N383">
        <v>131920</v>
      </c>
      <c r="O383" t="s">
        <v>401</v>
      </c>
      <c r="P383" s="9">
        <v>216960</v>
      </c>
      <c r="Q383" s="9">
        <v>11859</v>
      </c>
      <c r="R383" s="9">
        <v>228819</v>
      </c>
      <c r="S383" s="9">
        <v>-95833</v>
      </c>
      <c r="T383" s="10">
        <v>82182</v>
      </c>
      <c r="U383" s="10">
        <v>1424</v>
      </c>
    </row>
    <row r="384" spans="1:21" x14ac:dyDescent="0.35">
      <c r="A384" t="s">
        <v>15</v>
      </c>
      <c r="B384" t="s">
        <v>20</v>
      </c>
      <c r="C384" t="s">
        <v>21</v>
      </c>
      <c r="D384">
        <v>260300</v>
      </c>
      <c r="E384">
        <v>47995</v>
      </c>
      <c r="F384">
        <v>52783</v>
      </c>
      <c r="G384">
        <v>-240864</v>
      </c>
      <c r="H384">
        <v>120214</v>
      </c>
      <c r="I384">
        <v>109754</v>
      </c>
      <c r="J384">
        <v>2682</v>
      </c>
      <c r="K384">
        <v>841301</v>
      </c>
      <c r="L384">
        <v>141114</v>
      </c>
      <c r="M384">
        <v>-321334</v>
      </c>
      <c r="N384">
        <v>176286</v>
      </c>
      <c r="O384" t="s">
        <v>402</v>
      </c>
      <c r="P384" s="9">
        <v>252434</v>
      </c>
      <c r="Q384" s="9">
        <v>24910</v>
      </c>
      <c r="R384" s="9">
        <v>277344</v>
      </c>
      <c r="S384" s="9">
        <v>-114578</v>
      </c>
      <c r="T384" s="10">
        <v>78210</v>
      </c>
      <c r="U384" s="10">
        <v>1528</v>
      </c>
    </row>
    <row r="385" spans="1:21" x14ac:dyDescent="0.35">
      <c r="A385" t="s">
        <v>15</v>
      </c>
      <c r="B385" t="s">
        <v>20</v>
      </c>
      <c r="C385" t="s">
        <v>21</v>
      </c>
      <c r="D385">
        <v>240555</v>
      </c>
      <c r="E385">
        <v>33121</v>
      </c>
      <c r="F385">
        <v>49590</v>
      </c>
      <c r="G385">
        <v>-231963</v>
      </c>
      <c r="H385">
        <v>91303</v>
      </c>
      <c r="I385">
        <v>84788</v>
      </c>
      <c r="J385">
        <v>1461</v>
      </c>
      <c r="K385">
        <v>855510</v>
      </c>
      <c r="L385">
        <v>174676</v>
      </c>
      <c r="M385">
        <v>-258928</v>
      </c>
      <c r="N385">
        <v>79327</v>
      </c>
      <c r="O385" t="s">
        <v>403</v>
      </c>
      <c r="P385" s="9">
        <v>262935</v>
      </c>
      <c r="Q385" s="9">
        <v>35836</v>
      </c>
      <c r="R385" s="9">
        <v>298771</v>
      </c>
      <c r="S385" s="9">
        <v>-114649</v>
      </c>
      <c r="T385" s="10">
        <v>103907</v>
      </c>
      <c r="U385" s="10">
        <v>1963</v>
      </c>
    </row>
    <row r="386" spans="1:21" x14ac:dyDescent="0.35">
      <c r="A386" t="s">
        <v>15</v>
      </c>
      <c r="B386" t="s">
        <v>16</v>
      </c>
      <c r="C386" t="s">
        <v>21</v>
      </c>
      <c r="D386">
        <v>266239</v>
      </c>
      <c r="E386">
        <v>35008</v>
      </c>
      <c r="F386">
        <v>28561</v>
      </c>
      <c r="G386">
        <v>-246196</v>
      </c>
      <c r="H386">
        <v>83612</v>
      </c>
      <c r="I386">
        <v>77576</v>
      </c>
      <c r="J386">
        <v>2282</v>
      </c>
      <c r="K386">
        <v>989681</v>
      </c>
      <c r="L386">
        <v>112274</v>
      </c>
      <c r="M386">
        <v>-186378</v>
      </c>
      <c r="N386">
        <v>123876</v>
      </c>
      <c r="O386" t="s">
        <v>404</v>
      </c>
      <c r="P386" s="9">
        <v>267423</v>
      </c>
      <c r="Q386" s="9">
        <v>51850</v>
      </c>
      <c r="R386" s="9">
        <v>319273</v>
      </c>
      <c r="S386" s="9">
        <v>-177468</v>
      </c>
      <c r="T386" s="10">
        <v>138371</v>
      </c>
      <c r="U386" s="10">
        <v>2696</v>
      </c>
    </row>
    <row r="387" spans="1:21" x14ac:dyDescent="0.35">
      <c r="A387" t="s">
        <v>15</v>
      </c>
      <c r="B387" t="s">
        <v>16</v>
      </c>
      <c r="C387" t="s">
        <v>21</v>
      </c>
      <c r="D387">
        <v>229049</v>
      </c>
      <c r="E387">
        <v>13030</v>
      </c>
      <c r="F387">
        <v>51479</v>
      </c>
      <c r="G387">
        <v>-198629</v>
      </c>
      <c r="H387">
        <v>94929</v>
      </c>
      <c r="I387">
        <v>95436</v>
      </c>
      <c r="J387">
        <v>2145</v>
      </c>
      <c r="K387">
        <v>559573</v>
      </c>
      <c r="L387">
        <v>194371</v>
      </c>
      <c r="M387">
        <v>-163523</v>
      </c>
      <c r="N387">
        <v>148145</v>
      </c>
      <c r="O387" t="s">
        <v>405</v>
      </c>
      <c r="P387" s="9">
        <v>206305</v>
      </c>
      <c r="Q387" s="9">
        <v>33257</v>
      </c>
      <c r="R387" s="9">
        <v>239562</v>
      </c>
      <c r="S387" s="9">
        <v>-103293</v>
      </c>
      <c r="T387" s="10">
        <v>70708</v>
      </c>
      <c r="U387" s="10">
        <v>933</v>
      </c>
    </row>
    <row r="388" spans="1:21" x14ac:dyDescent="0.35">
      <c r="A388" t="s">
        <v>15</v>
      </c>
      <c r="B388" t="s">
        <v>16</v>
      </c>
      <c r="C388" t="s">
        <v>17</v>
      </c>
      <c r="D388">
        <v>267944</v>
      </c>
      <c r="E388">
        <v>32180</v>
      </c>
      <c r="F388">
        <v>54912</v>
      </c>
      <c r="G388">
        <v>-229022</v>
      </c>
      <c r="H388">
        <v>126014</v>
      </c>
      <c r="I388">
        <v>127926</v>
      </c>
      <c r="J388">
        <v>3586</v>
      </c>
      <c r="K388">
        <v>774754</v>
      </c>
      <c r="L388">
        <v>136183</v>
      </c>
      <c r="M388">
        <v>-253927</v>
      </c>
      <c r="N388">
        <v>151751</v>
      </c>
      <c r="O388" t="s">
        <v>406</v>
      </c>
      <c r="P388" s="9">
        <v>284815</v>
      </c>
      <c r="Q388" s="9">
        <v>31009</v>
      </c>
      <c r="R388" s="9">
        <v>315824</v>
      </c>
      <c r="S388" s="9">
        <v>-180058</v>
      </c>
      <c r="T388" s="10">
        <v>101225</v>
      </c>
      <c r="U388" s="10">
        <v>2182</v>
      </c>
    </row>
    <row r="389" spans="1:21" x14ac:dyDescent="0.35">
      <c r="A389" t="s">
        <v>15</v>
      </c>
      <c r="B389" t="s">
        <v>20</v>
      </c>
      <c r="C389" t="s">
        <v>17</v>
      </c>
      <c r="D389">
        <v>284317</v>
      </c>
      <c r="E389">
        <v>46863</v>
      </c>
      <c r="F389">
        <v>45969</v>
      </c>
      <c r="G389">
        <v>-249906</v>
      </c>
      <c r="H389">
        <v>127243</v>
      </c>
      <c r="I389">
        <v>130666</v>
      </c>
      <c r="J389">
        <v>2724</v>
      </c>
      <c r="K389">
        <v>660490</v>
      </c>
      <c r="L389">
        <v>150135</v>
      </c>
      <c r="M389">
        <v>-238073</v>
      </c>
      <c r="N389">
        <v>247531</v>
      </c>
      <c r="O389" t="s">
        <v>407</v>
      </c>
      <c r="P389" s="9">
        <v>309399</v>
      </c>
      <c r="Q389" s="9">
        <v>20094</v>
      </c>
      <c r="R389" s="9">
        <v>329493</v>
      </c>
      <c r="S389" s="9">
        <v>-188676</v>
      </c>
      <c r="T389" s="10">
        <v>89800</v>
      </c>
      <c r="U389" s="10">
        <v>1082</v>
      </c>
    </row>
    <row r="390" spans="1:21" x14ac:dyDescent="0.35">
      <c r="A390" t="s">
        <v>15</v>
      </c>
      <c r="B390" t="s">
        <v>16</v>
      </c>
      <c r="C390" t="s">
        <v>21</v>
      </c>
      <c r="D390">
        <v>203365</v>
      </c>
      <c r="E390">
        <v>16653</v>
      </c>
      <c r="F390">
        <v>26756</v>
      </c>
      <c r="G390">
        <v>-195772</v>
      </c>
      <c r="H390">
        <v>51002</v>
      </c>
      <c r="I390">
        <v>49530</v>
      </c>
      <c r="J390">
        <v>1038</v>
      </c>
      <c r="K390">
        <v>576854</v>
      </c>
      <c r="L390">
        <v>107908</v>
      </c>
      <c r="M390">
        <v>-59463</v>
      </c>
      <c r="N390">
        <v>134852</v>
      </c>
      <c r="O390" t="s">
        <v>408</v>
      </c>
      <c r="P390" s="9">
        <v>189326</v>
      </c>
      <c r="Q390" s="9">
        <v>30162</v>
      </c>
      <c r="R390" s="9">
        <v>219488</v>
      </c>
      <c r="S390" s="9">
        <v>-55925</v>
      </c>
      <c r="T390" s="10">
        <v>77599</v>
      </c>
      <c r="U390" s="10">
        <v>1895</v>
      </c>
    </row>
    <row r="391" spans="1:21" x14ac:dyDescent="0.35">
      <c r="A391" t="s">
        <v>15</v>
      </c>
      <c r="B391" t="s">
        <v>16</v>
      </c>
      <c r="C391" t="s">
        <v>17</v>
      </c>
      <c r="D391">
        <v>233950</v>
      </c>
      <c r="E391">
        <v>42957</v>
      </c>
      <c r="F391">
        <v>45063</v>
      </c>
      <c r="G391">
        <v>-205074</v>
      </c>
      <c r="H391">
        <v>116896</v>
      </c>
      <c r="I391">
        <v>119146</v>
      </c>
      <c r="J391">
        <v>1603</v>
      </c>
      <c r="K391">
        <v>741410</v>
      </c>
      <c r="L391">
        <v>183225</v>
      </c>
      <c r="M391">
        <v>-258024</v>
      </c>
      <c r="N391">
        <v>165489</v>
      </c>
      <c r="O391" t="s">
        <v>409</v>
      </c>
      <c r="P391" s="9">
        <v>193328</v>
      </c>
      <c r="Q391" s="9">
        <v>12709</v>
      </c>
      <c r="R391" s="9">
        <v>206037</v>
      </c>
      <c r="S391" s="9">
        <v>-115019</v>
      </c>
      <c r="T391" s="10">
        <v>78636</v>
      </c>
      <c r="U391" s="10">
        <v>1484</v>
      </c>
    </row>
    <row r="392" spans="1:21" x14ac:dyDescent="0.35">
      <c r="A392" t="s">
        <v>15</v>
      </c>
      <c r="B392" t="s">
        <v>20</v>
      </c>
      <c r="C392" t="s">
        <v>21</v>
      </c>
      <c r="D392">
        <v>296007</v>
      </c>
      <c r="E392">
        <v>28964</v>
      </c>
      <c r="F392">
        <v>50516</v>
      </c>
      <c r="G392">
        <v>-279396</v>
      </c>
      <c r="H392">
        <v>96091</v>
      </c>
      <c r="I392">
        <v>96370</v>
      </c>
      <c r="J392">
        <v>1404</v>
      </c>
      <c r="K392">
        <v>592203</v>
      </c>
      <c r="L392">
        <v>177691</v>
      </c>
      <c r="M392">
        <v>-190145</v>
      </c>
      <c r="N392">
        <v>147950</v>
      </c>
      <c r="O392" t="s">
        <v>410</v>
      </c>
      <c r="P392" s="9">
        <v>225668</v>
      </c>
      <c r="Q392" s="9">
        <v>15251</v>
      </c>
      <c r="R392" s="9">
        <v>240919</v>
      </c>
      <c r="S392" s="9">
        <v>-140289</v>
      </c>
      <c r="T392" s="10">
        <v>87931</v>
      </c>
      <c r="U392" s="10">
        <v>1892</v>
      </c>
    </row>
    <row r="393" spans="1:21" x14ac:dyDescent="0.35">
      <c r="A393" t="s">
        <v>15</v>
      </c>
      <c r="B393" t="s">
        <v>16</v>
      </c>
      <c r="C393" t="s">
        <v>21</v>
      </c>
      <c r="D393">
        <v>215179</v>
      </c>
      <c r="E393">
        <v>41602</v>
      </c>
      <c r="F393">
        <v>30768</v>
      </c>
      <c r="G393">
        <v>-178402</v>
      </c>
      <c r="H393">
        <v>109147</v>
      </c>
      <c r="I393">
        <v>112177</v>
      </c>
      <c r="J393">
        <v>2052</v>
      </c>
      <c r="K393">
        <v>460603</v>
      </c>
      <c r="L393">
        <v>134338</v>
      </c>
      <c r="M393">
        <v>-170994</v>
      </c>
      <c r="N393">
        <v>106117</v>
      </c>
      <c r="O393" t="s">
        <v>411</v>
      </c>
      <c r="P393" s="9">
        <v>248295</v>
      </c>
      <c r="Q393" s="9">
        <v>27700</v>
      </c>
      <c r="R393" s="9">
        <v>275995</v>
      </c>
      <c r="S393" s="9">
        <v>-59143</v>
      </c>
      <c r="T393" s="10">
        <v>105212</v>
      </c>
      <c r="U393" s="10">
        <v>1830</v>
      </c>
    </row>
    <row r="394" spans="1:21" x14ac:dyDescent="0.35">
      <c r="A394" t="s">
        <v>15</v>
      </c>
      <c r="B394" t="s">
        <v>20</v>
      </c>
      <c r="C394" t="s">
        <v>21</v>
      </c>
      <c r="D394">
        <v>249322</v>
      </c>
      <c r="E394">
        <v>14702</v>
      </c>
      <c r="F394">
        <v>36227</v>
      </c>
      <c r="G394">
        <v>-237091</v>
      </c>
      <c r="H394">
        <v>63160</v>
      </c>
      <c r="I394">
        <v>57624</v>
      </c>
      <c r="J394">
        <v>1717</v>
      </c>
      <c r="K394">
        <v>836740</v>
      </c>
      <c r="L394">
        <v>367717</v>
      </c>
      <c r="M394">
        <v>-198567</v>
      </c>
      <c r="N394">
        <v>183140</v>
      </c>
      <c r="O394" t="s">
        <v>412</v>
      </c>
      <c r="P394" s="9">
        <v>185164</v>
      </c>
      <c r="Q394" s="9">
        <v>27495</v>
      </c>
      <c r="R394" s="9">
        <v>212659</v>
      </c>
      <c r="S394" s="9">
        <v>-44352</v>
      </c>
      <c r="T394" s="10">
        <v>79594</v>
      </c>
      <c r="U394" s="10">
        <v>2080</v>
      </c>
    </row>
    <row r="395" spans="1:21" x14ac:dyDescent="0.35">
      <c r="A395" t="s">
        <v>15</v>
      </c>
      <c r="B395" t="s">
        <v>16</v>
      </c>
      <c r="C395" t="s">
        <v>17</v>
      </c>
      <c r="D395">
        <v>209309</v>
      </c>
      <c r="E395">
        <v>27166</v>
      </c>
      <c r="F395">
        <v>44712</v>
      </c>
      <c r="G395">
        <v>-200697</v>
      </c>
      <c r="H395">
        <v>80490</v>
      </c>
      <c r="I395">
        <v>82340</v>
      </c>
      <c r="J395">
        <v>1455</v>
      </c>
      <c r="K395">
        <v>562492</v>
      </c>
      <c r="L395">
        <v>266250</v>
      </c>
      <c r="M395">
        <v>-99674</v>
      </c>
      <c r="N395">
        <v>164872</v>
      </c>
      <c r="O395" t="s">
        <v>413</v>
      </c>
      <c r="P395" s="9">
        <v>184258</v>
      </c>
      <c r="Q395" s="9">
        <v>12129</v>
      </c>
      <c r="R395" s="9">
        <v>196387</v>
      </c>
      <c r="S395" s="9">
        <v>-65573</v>
      </c>
      <c r="T395" s="10">
        <v>50832</v>
      </c>
      <c r="U395" s="10">
        <v>1229</v>
      </c>
    </row>
    <row r="396" spans="1:21" x14ac:dyDescent="0.35">
      <c r="A396" t="s">
        <v>15</v>
      </c>
      <c r="B396" t="s">
        <v>20</v>
      </c>
      <c r="C396" t="s">
        <v>17</v>
      </c>
      <c r="D396">
        <v>256109</v>
      </c>
      <c r="E396">
        <v>38223</v>
      </c>
      <c r="F396">
        <v>44306</v>
      </c>
      <c r="G396">
        <v>-205357</v>
      </c>
      <c r="H396">
        <v>133281</v>
      </c>
      <c r="I396">
        <v>125247</v>
      </c>
      <c r="J396">
        <v>3289</v>
      </c>
      <c r="K396">
        <v>541309</v>
      </c>
      <c r="L396">
        <v>78263</v>
      </c>
      <c r="M396">
        <v>-182622</v>
      </c>
      <c r="N396">
        <v>158471</v>
      </c>
      <c r="O396" t="s">
        <v>414</v>
      </c>
      <c r="P396" s="9">
        <v>243728</v>
      </c>
      <c r="Q396" s="9">
        <v>25356</v>
      </c>
      <c r="R396" s="9">
        <v>269084</v>
      </c>
      <c r="S396" s="9">
        <v>-70197</v>
      </c>
      <c r="T396" s="10">
        <v>88796</v>
      </c>
      <c r="U396" s="10">
        <v>2217</v>
      </c>
    </row>
    <row r="397" spans="1:21" x14ac:dyDescent="0.35">
      <c r="A397" t="s">
        <v>15</v>
      </c>
      <c r="B397" t="s">
        <v>20</v>
      </c>
      <c r="C397" t="s">
        <v>21</v>
      </c>
      <c r="D397">
        <v>268665</v>
      </c>
      <c r="E397">
        <v>49461</v>
      </c>
      <c r="F397">
        <v>32626</v>
      </c>
      <c r="G397">
        <v>-250432</v>
      </c>
      <c r="H397">
        <v>100320</v>
      </c>
      <c r="I397">
        <v>97532</v>
      </c>
      <c r="J397">
        <v>1537</v>
      </c>
      <c r="K397">
        <v>664535</v>
      </c>
      <c r="L397">
        <v>147776</v>
      </c>
      <c r="M397">
        <v>-190217</v>
      </c>
      <c r="N397">
        <v>91834</v>
      </c>
      <c r="O397" t="s">
        <v>415</v>
      </c>
      <c r="P397" s="9">
        <v>155648</v>
      </c>
      <c r="Q397" s="9">
        <v>8144</v>
      </c>
      <c r="R397" s="9">
        <v>163792</v>
      </c>
      <c r="S397" s="9">
        <v>-73820</v>
      </c>
      <c r="T397" s="10">
        <v>78017</v>
      </c>
      <c r="U397" s="10">
        <v>1004</v>
      </c>
    </row>
    <row r="398" spans="1:21" x14ac:dyDescent="0.35">
      <c r="A398" t="s">
        <v>15</v>
      </c>
      <c r="B398" t="s">
        <v>16</v>
      </c>
      <c r="C398" t="s">
        <v>21</v>
      </c>
      <c r="D398">
        <v>195049</v>
      </c>
      <c r="E398">
        <v>32373</v>
      </c>
      <c r="F398">
        <v>38144</v>
      </c>
      <c r="G398">
        <v>-158633</v>
      </c>
      <c r="H398">
        <v>106933</v>
      </c>
      <c r="I398">
        <v>98667</v>
      </c>
      <c r="J398">
        <v>2836</v>
      </c>
      <c r="K398">
        <v>767289</v>
      </c>
      <c r="L398">
        <v>340739</v>
      </c>
      <c r="M398">
        <v>-151381</v>
      </c>
      <c r="N398">
        <v>108921</v>
      </c>
      <c r="O398" t="s">
        <v>416</v>
      </c>
      <c r="P398" s="9">
        <v>227046</v>
      </c>
      <c r="Q398" s="9">
        <v>28905</v>
      </c>
      <c r="R398" s="9">
        <v>255951</v>
      </c>
      <c r="S398" s="9">
        <v>-149741</v>
      </c>
      <c r="T398" s="10">
        <v>106282</v>
      </c>
      <c r="U398" s="10">
        <v>1239</v>
      </c>
    </row>
    <row r="399" spans="1:21" x14ac:dyDescent="0.35">
      <c r="A399" t="s">
        <v>15</v>
      </c>
      <c r="B399" t="s">
        <v>16</v>
      </c>
      <c r="C399" t="s">
        <v>21</v>
      </c>
      <c r="D399">
        <v>227573</v>
      </c>
      <c r="E399">
        <v>18213</v>
      </c>
      <c r="F399">
        <v>41805</v>
      </c>
      <c r="G399">
        <v>-183233</v>
      </c>
      <c r="H399">
        <v>104358</v>
      </c>
      <c r="I399">
        <v>95397</v>
      </c>
      <c r="J399">
        <v>1470</v>
      </c>
      <c r="K399">
        <v>700632</v>
      </c>
      <c r="L399">
        <v>306689</v>
      </c>
      <c r="M399">
        <v>-173051</v>
      </c>
      <c r="N399">
        <v>165810</v>
      </c>
      <c r="O399" t="s">
        <v>417</v>
      </c>
      <c r="P399" s="9">
        <v>271749</v>
      </c>
      <c r="Q399" s="9">
        <v>14790</v>
      </c>
      <c r="R399" s="9">
        <v>286539</v>
      </c>
      <c r="S399" s="9">
        <v>-73897</v>
      </c>
      <c r="T399" s="10">
        <v>113411</v>
      </c>
      <c r="U399" s="10">
        <v>2149</v>
      </c>
    </row>
    <row r="400" spans="1:21" x14ac:dyDescent="0.35">
      <c r="A400" t="s">
        <v>15</v>
      </c>
      <c r="B400" t="s">
        <v>16</v>
      </c>
      <c r="C400" t="s">
        <v>17</v>
      </c>
      <c r="D400">
        <v>219146</v>
      </c>
      <c r="E400">
        <v>42600</v>
      </c>
      <c r="F400">
        <v>48663</v>
      </c>
      <c r="G400">
        <v>-180541</v>
      </c>
      <c r="H400">
        <v>129868</v>
      </c>
      <c r="I400">
        <v>122802</v>
      </c>
      <c r="J400">
        <v>1823</v>
      </c>
      <c r="K400">
        <v>678696</v>
      </c>
      <c r="L400">
        <v>127210</v>
      </c>
      <c r="M400">
        <v>-83658</v>
      </c>
      <c r="N400">
        <v>160407</v>
      </c>
      <c r="O400" t="s">
        <v>418</v>
      </c>
      <c r="P400" s="9">
        <v>207168</v>
      </c>
      <c r="Q400" s="9">
        <v>33872</v>
      </c>
      <c r="R400" s="9">
        <v>241040</v>
      </c>
      <c r="S400" s="9">
        <v>-118321</v>
      </c>
      <c r="T400" s="10">
        <v>70296</v>
      </c>
      <c r="U400" s="10">
        <v>1860</v>
      </c>
    </row>
    <row r="401" spans="1:21" x14ac:dyDescent="0.35">
      <c r="A401" t="s">
        <v>15</v>
      </c>
      <c r="B401" t="s">
        <v>20</v>
      </c>
      <c r="C401" t="s">
        <v>21</v>
      </c>
      <c r="D401">
        <v>294909</v>
      </c>
      <c r="E401">
        <v>44843</v>
      </c>
      <c r="F401">
        <v>32144</v>
      </c>
      <c r="G401">
        <v>-266043</v>
      </c>
      <c r="H401">
        <v>105853</v>
      </c>
      <c r="I401">
        <v>106570</v>
      </c>
      <c r="J401">
        <v>1909</v>
      </c>
      <c r="K401">
        <v>679483</v>
      </c>
      <c r="L401">
        <v>292820</v>
      </c>
      <c r="M401">
        <v>-149538</v>
      </c>
      <c r="N401">
        <v>164018</v>
      </c>
      <c r="O401" t="s">
        <v>419</v>
      </c>
      <c r="P401" s="9">
        <v>195524</v>
      </c>
      <c r="Q401" s="9">
        <v>18854</v>
      </c>
      <c r="R401" s="9">
        <v>214378</v>
      </c>
      <c r="S401" s="9">
        <v>-119954</v>
      </c>
      <c r="T401" s="10">
        <v>86238</v>
      </c>
      <c r="U401" s="10">
        <v>1903</v>
      </c>
    </row>
    <row r="402" spans="1:21" x14ac:dyDescent="0.35">
      <c r="A402" t="s">
        <v>15</v>
      </c>
      <c r="B402" t="s">
        <v>16</v>
      </c>
      <c r="C402" t="s">
        <v>17</v>
      </c>
      <c r="D402">
        <v>203654</v>
      </c>
      <c r="E402">
        <v>34393</v>
      </c>
      <c r="F402">
        <v>45298</v>
      </c>
      <c r="G402">
        <v>-198628</v>
      </c>
      <c r="H402">
        <v>84717</v>
      </c>
      <c r="I402">
        <v>83353</v>
      </c>
      <c r="J402">
        <v>2178</v>
      </c>
      <c r="K402">
        <v>744247</v>
      </c>
      <c r="L402">
        <v>329324</v>
      </c>
      <c r="M402">
        <v>-261449</v>
      </c>
      <c r="N402">
        <v>181773</v>
      </c>
      <c r="O402" t="s">
        <v>420</v>
      </c>
      <c r="P402" s="9">
        <v>167293</v>
      </c>
      <c r="Q402" s="9">
        <v>24720</v>
      </c>
      <c r="R402" s="9">
        <v>192013</v>
      </c>
      <c r="S402" s="9">
        <v>-48902</v>
      </c>
      <c r="T402" s="10">
        <v>66988</v>
      </c>
      <c r="U402" s="10">
        <v>1135</v>
      </c>
    </row>
    <row r="403" spans="1:21" x14ac:dyDescent="0.35">
      <c r="A403" t="s">
        <v>15</v>
      </c>
      <c r="B403" t="s">
        <v>16</v>
      </c>
      <c r="C403" t="s">
        <v>21</v>
      </c>
      <c r="D403">
        <v>229284</v>
      </c>
      <c r="E403">
        <v>18013</v>
      </c>
      <c r="F403">
        <v>54775</v>
      </c>
      <c r="G403">
        <v>-191461</v>
      </c>
      <c r="H403">
        <v>110611</v>
      </c>
      <c r="I403">
        <v>102806</v>
      </c>
      <c r="J403">
        <v>2478</v>
      </c>
      <c r="K403">
        <v>462928</v>
      </c>
      <c r="L403">
        <v>222645</v>
      </c>
      <c r="M403">
        <v>-82201</v>
      </c>
      <c r="N403">
        <v>123017</v>
      </c>
      <c r="O403" t="s">
        <v>421</v>
      </c>
      <c r="P403" s="9">
        <v>261241</v>
      </c>
      <c r="Q403" s="9">
        <v>33036</v>
      </c>
      <c r="R403" s="9">
        <v>294277</v>
      </c>
      <c r="S403" s="9">
        <v>-146104</v>
      </c>
      <c r="T403" s="10">
        <v>134705</v>
      </c>
      <c r="U403" s="10">
        <v>3675</v>
      </c>
    </row>
    <row r="404" spans="1:21" x14ac:dyDescent="0.35">
      <c r="A404" t="s">
        <v>15</v>
      </c>
      <c r="B404" t="s">
        <v>20</v>
      </c>
      <c r="C404" t="s">
        <v>17</v>
      </c>
      <c r="D404">
        <v>191015</v>
      </c>
      <c r="E404">
        <v>32210</v>
      </c>
      <c r="F404">
        <v>39289</v>
      </c>
      <c r="G404">
        <v>-173304</v>
      </c>
      <c r="H404">
        <v>89210</v>
      </c>
      <c r="I404">
        <v>86490</v>
      </c>
      <c r="J404">
        <v>1399</v>
      </c>
      <c r="K404">
        <v>727651</v>
      </c>
      <c r="L404">
        <v>343797</v>
      </c>
      <c r="M404">
        <v>-112211</v>
      </c>
      <c r="N404">
        <v>111321</v>
      </c>
      <c r="O404" t="s">
        <v>422</v>
      </c>
      <c r="P404" s="9">
        <v>263484</v>
      </c>
      <c r="Q404" s="9">
        <v>51902</v>
      </c>
      <c r="R404" s="9">
        <v>315386</v>
      </c>
      <c r="S404" s="9">
        <v>-154395</v>
      </c>
      <c r="T404" s="10">
        <v>105070</v>
      </c>
      <c r="U404" s="10">
        <v>1761</v>
      </c>
    </row>
    <row r="405" spans="1:21" x14ac:dyDescent="0.35">
      <c r="A405" t="s">
        <v>15</v>
      </c>
      <c r="B405" t="s">
        <v>20</v>
      </c>
      <c r="C405" t="s">
        <v>21</v>
      </c>
      <c r="D405">
        <v>268477</v>
      </c>
      <c r="E405">
        <v>28935</v>
      </c>
      <c r="F405">
        <v>29341</v>
      </c>
      <c r="G405">
        <v>-248297</v>
      </c>
      <c r="H405">
        <v>78456</v>
      </c>
      <c r="I405">
        <v>76331</v>
      </c>
      <c r="J405">
        <v>1876</v>
      </c>
      <c r="K405">
        <v>678917</v>
      </c>
      <c r="L405">
        <v>110926</v>
      </c>
      <c r="M405">
        <v>-230850</v>
      </c>
      <c r="N405">
        <v>97449</v>
      </c>
      <c r="O405" t="s">
        <v>423</v>
      </c>
      <c r="P405" s="9">
        <v>194621</v>
      </c>
      <c r="Q405" s="9">
        <v>21024</v>
      </c>
      <c r="R405" s="9">
        <v>215645</v>
      </c>
      <c r="S405" s="9">
        <v>-128689</v>
      </c>
      <c r="T405" s="10">
        <v>57183</v>
      </c>
      <c r="U405" s="10">
        <v>1692</v>
      </c>
    </row>
    <row r="406" spans="1:21" x14ac:dyDescent="0.35">
      <c r="A406" t="s">
        <v>15</v>
      </c>
      <c r="B406" t="s">
        <v>16</v>
      </c>
      <c r="C406" t="s">
        <v>21</v>
      </c>
      <c r="D406">
        <v>189182</v>
      </c>
      <c r="E406">
        <v>25278</v>
      </c>
      <c r="F406">
        <v>44609</v>
      </c>
      <c r="G406">
        <v>-181093</v>
      </c>
      <c r="H406">
        <v>77976</v>
      </c>
      <c r="I406">
        <v>76957</v>
      </c>
      <c r="J406">
        <v>785</v>
      </c>
      <c r="K406">
        <v>646797</v>
      </c>
      <c r="L406">
        <v>209900</v>
      </c>
      <c r="M406">
        <v>-244172</v>
      </c>
      <c r="N406">
        <v>94814</v>
      </c>
      <c r="O406" t="s">
        <v>424</v>
      </c>
      <c r="P406" s="9">
        <v>291143</v>
      </c>
      <c r="Q406" s="9">
        <v>44040</v>
      </c>
      <c r="R406" s="9">
        <v>335183</v>
      </c>
      <c r="S406" s="9">
        <v>-82499</v>
      </c>
      <c r="T406" s="10">
        <v>174490</v>
      </c>
      <c r="U406" s="10">
        <v>2979</v>
      </c>
    </row>
    <row r="407" spans="1:21" x14ac:dyDescent="0.35">
      <c r="A407" t="s">
        <v>15</v>
      </c>
      <c r="B407" t="s">
        <v>20</v>
      </c>
      <c r="C407" t="s">
        <v>17</v>
      </c>
      <c r="D407">
        <v>279219</v>
      </c>
      <c r="E407">
        <v>54378</v>
      </c>
      <c r="F407">
        <v>36523</v>
      </c>
      <c r="G407">
        <v>-276818</v>
      </c>
      <c r="H407">
        <v>93302</v>
      </c>
      <c r="I407">
        <v>92604</v>
      </c>
      <c r="J407">
        <v>985</v>
      </c>
      <c r="K407">
        <v>592102</v>
      </c>
      <c r="L407">
        <v>144121</v>
      </c>
      <c r="M407">
        <v>-105068</v>
      </c>
      <c r="N407">
        <v>132768</v>
      </c>
      <c r="O407" t="s">
        <v>425</v>
      </c>
      <c r="P407" s="9">
        <v>174596</v>
      </c>
      <c r="Q407" s="9">
        <v>34270</v>
      </c>
      <c r="R407" s="9">
        <v>208866</v>
      </c>
      <c r="S407" s="9">
        <v>-85737</v>
      </c>
      <c r="T407" s="10">
        <v>63233</v>
      </c>
      <c r="U407" s="10">
        <v>1883</v>
      </c>
    </row>
    <row r="408" spans="1:21" x14ac:dyDescent="0.35">
      <c r="A408" t="s">
        <v>15</v>
      </c>
      <c r="B408" t="s">
        <v>16</v>
      </c>
      <c r="C408" t="s">
        <v>17</v>
      </c>
      <c r="D408">
        <v>201862</v>
      </c>
      <c r="E408">
        <v>39249</v>
      </c>
      <c r="F408">
        <v>42438</v>
      </c>
      <c r="G408">
        <v>-167634</v>
      </c>
      <c r="H408">
        <v>115915</v>
      </c>
      <c r="I408">
        <v>106318</v>
      </c>
      <c r="J408">
        <v>1833</v>
      </c>
      <c r="K408">
        <v>711494</v>
      </c>
      <c r="L408">
        <v>199817</v>
      </c>
      <c r="M408">
        <v>-192264</v>
      </c>
      <c r="N408">
        <v>105396</v>
      </c>
      <c r="O408" t="s">
        <v>426</v>
      </c>
      <c r="P408" s="9">
        <v>154682</v>
      </c>
      <c r="Q408" s="9">
        <v>16465</v>
      </c>
      <c r="R408" s="9">
        <v>171147</v>
      </c>
      <c r="S408" s="9">
        <v>-92475</v>
      </c>
      <c r="T408" s="10">
        <v>60645</v>
      </c>
      <c r="U408" s="10">
        <v>1093</v>
      </c>
    </row>
    <row r="409" spans="1:21" x14ac:dyDescent="0.35">
      <c r="A409" t="s">
        <v>15</v>
      </c>
      <c r="B409" t="s">
        <v>20</v>
      </c>
      <c r="C409" t="s">
        <v>17</v>
      </c>
      <c r="D409">
        <v>230409</v>
      </c>
      <c r="E409">
        <v>23647</v>
      </c>
      <c r="F409">
        <v>52911</v>
      </c>
      <c r="G409">
        <v>-187185</v>
      </c>
      <c r="H409">
        <v>119782</v>
      </c>
      <c r="I409">
        <v>122418</v>
      </c>
      <c r="J409">
        <v>2586</v>
      </c>
      <c r="K409">
        <v>706898</v>
      </c>
      <c r="L409">
        <v>153096</v>
      </c>
      <c r="M409">
        <v>-125012</v>
      </c>
      <c r="N409">
        <v>195744</v>
      </c>
      <c r="O409" t="s">
        <v>427</v>
      </c>
      <c r="P409" s="9">
        <v>211749</v>
      </c>
      <c r="Q409" s="9">
        <v>18804</v>
      </c>
      <c r="R409" s="9">
        <v>230553</v>
      </c>
      <c r="S409" s="9">
        <v>-75689</v>
      </c>
      <c r="T409" s="10">
        <v>56567</v>
      </c>
      <c r="U409" s="10">
        <v>1657</v>
      </c>
    </row>
    <row r="410" spans="1:21" x14ac:dyDescent="0.35">
      <c r="A410" t="s">
        <v>15</v>
      </c>
      <c r="B410" t="s">
        <v>16</v>
      </c>
      <c r="C410" t="s">
        <v>17</v>
      </c>
      <c r="D410">
        <v>275072</v>
      </c>
      <c r="E410">
        <v>23202</v>
      </c>
      <c r="F410">
        <v>36389</v>
      </c>
      <c r="G410">
        <v>-264507</v>
      </c>
      <c r="H410">
        <v>70156</v>
      </c>
      <c r="I410">
        <v>70397</v>
      </c>
      <c r="J410">
        <v>1435</v>
      </c>
      <c r="K410">
        <v>888137</v>
      </c>
      <c r="L410">
        <v>97176</v>
      </c>
      <c r="M410">
        <v>-260900</v>
      </c>
      <c r="N410">
        <v>169218</v>
      </c>
      <c r="O410" t="s">
        <v>428</v>
      </c>
      <c r="P410" s="9">
        <v>172613</v>
      </c>
      <c r="Q410" s="9">
        <v>27895</v>
      </c>
      <c r="R410" s="9">
        <v>200508</v>
      </c>
      <c r="S410" s="9">
        <v>-79571</v>
      </c>
      <c r="T410" s="10">
        <v>73937</v>
      </c>
      <c r="U410" s="10">
        <v>768</v>
      </c>
    </row>
    <row r="411" spans="1:21" x14ac:dyDescent="0.35">
      <c r="A411" t="s">
        <v>15</v>
      </c>
      <c r="B411" t="s">
        <v>16</v>
      </c>
      <c r="C411" t="s">
        <v>21</v>
      </c>
      <c r="D411">
        <v>200410</v>
      </c>
      <c r="E411">
        <v>17554</v>
      </c>
      <c r="F411">
        <v>23056</v>
      </c>
      <c r="G411">
        <v>-199296</v>
      </c>
      <c r="H411">
        <v>41724</v>
      </c>
      <c r="I411">
        <v>42373</v>
      </c>
      <c r="J411">
        <v>1211</v>
      </c>
      <c r="K411">
        <v>421584</v>
      </c>
      <c r="L411">
        <v>139355</v>
      </c>
      <c r="M411">
        <v>-150823</v>
      </c>
      <c r="N411">
        <v>173351</v>
      </c>
      <c r="O411" t="s">
        <v>429</v>
      </c>
      <c r="P411" s="9">
        <v>218037</v>
      </c>
      <c r="Q411" s="9">
        <v>22743</v>
      </c>
      <c r="R411" s="9">
        <v>240780</v>
      </c>
      <c r="S411" s="9">
        <v>-85645</v>
      </c>
      <c r="T411" s="10">
        <v>91321</v>
      </c>
      <c r="U411" s="10">
        <v>932</v>
      </c>
    </row>
    <row r="412" spans="1:21" x14ac:dyDescent="0.35">
      <c r="A412" t="s">
        <v>15</v>
      </c>
      <c r="B412" t="s">
        <v>16</v>
      </c>
      <c r="C412" t="s">
        <v>21</v>
      </c>
      <c r="D412">
        <v>229327</v>
      </c>
      <c r="E412">
        <v>22243</v>
      </c>
      <c r="F412">
        <v>41233</v>
      </c>
      <c r="G412">
        <v>-227497</v>
      </c>
      <c r="H412">
        <v>65306</v>
      </c>
      <c r="I412">
        <v>64386</v>
      </c>
      <c r="J412">
        <v>1120</v>
      </c>
      <c r="K412">
        <v>473328</v>
      </c>
      <c r="L412">
        <v>125513</v>
      </c>
      <c r="M412">
        <v>-87337</v>
      </c>
      <c r="N412">
        <v>69727</v>
      </c>
      <c r="O412" t="s">
        <v>430</v>
      </c>
      <c r="P412" s="9">
        <v>275344</v>
      </c>
      <c r="Q412" s="9">
        <v>25952</v>
      </c>
      <c r="R412" s="9">
        <v>301296</v>
      </c>
      <c r="S412" s="9">
        <v>-132619</v>
      </c>
      <c r="T412" s="10">
        <v>105059</v>
      </c>
      <c r="U412" s="10">
        <v>2959</v>
      </c>
    </row>
    <row r="413" spans="1:21" x14ac:dyDescent="0.35">
      <c r="A413" t="s">
        <v>15</v>
      </c>
      <c r="B413" t="s">
        <v>16</v>
      </c>
      <c r="C413" t="s">
        <v>21</v>
      </c>
      <c r="D413">
        <v>221408</v>
      </c>
      <c r="E413">
        <v>36679</v>
      </c>
      <c r="F413">
        <v>39058</v>
      </c>
      <c r="G413">
        <v>-216082</v>
      </c>
      <c r="H413">
        <v>81063</v>
      </c>
      <c r="I413">
        <v>75635</v>
      </c>
      <c r="J413">
        <v>2095</v>
      </c>
      <c r="K413">
        <v>549513</v>
      </c>
      <c r="L413">
        <v>198501</v>
      </c>
      <c r="M413">
        <v>-187394</v>
      </c>
      <c r="N413">
        <v>128144</v>
      </c>
      <c r="O413" t="s">
        <v>431</v>
      </c>
      <c r="P413" s="9">
        <v>171462</v>
      </c>
      <c r="Q413" s="9">
        <v>17242</v>
      </c>
      <c r="R413" s="9">
        <v>188704</v>
      </c>
      <c r="S413" s="9">
        <v>-81493</v>
      </c>
      <c r="T413" s="10">
        <v>70879</v>
      </c>
      <c r="U413" s="10">
        <v>1572</v>
      </c>
    </row>
    <row r="414" spans="1:21" x14ac:dyDescent="0.35">
      <c r="A414" t="s">
        <v>15</v>
      </c>
      <c r="B414" t="s">
        <v>16</v>
      </c>
      <c r="C414" t="s">
        <v>21</v>
      </c>
      <c r="D414">
        <v>168037</v>
      </c>
      <c r="E414">
        <v>29466</v>
      </c>
      <c r="F414">
        <v>21115</v>
      </c>
      <c r="G414">
        <v>-159624</v>
      </c>
      <c r="H414">
        <v>58994</v>
      </c>
      <c r="I414">
        <v>59012</v>
      </c>
      <c r="J414">
        <v>621</v>
      </c>
      <c r="K414">
        <v>359877</v>
      </c>
      <c r="L414">
        <v>160122</v>
      </c>
      <c r="M414">
        <v>-57192</v>
      </c>
      <c r="N414">
        <v>127921</v>
      </c>
      <c r="O414" t="s">
        <v>432</v>
      </c>
      <c r="P414" s="9">
        <v>244302</v>
      </c>
      <c r="Q414" s="9">
        <v>34459</v>
      </c>
      <c r="R414" s="9">
        <v>278761</v>
      </c>
      <c r="S414" s="9">
        <v>-140289</v>
      </c>
      <c r="T414" s="10">
        <v>127947</v>
      </c>
      <c r="U414" s="10">
        <v>2952</v>
      </c>
    </row>
    <row r="415" spans="1:21" x14ac:dyDescent="0.35">
      <c r="A415" t="s">
        <v>15</v>
      </c>
      <c r="B415" t="s">
        <v>16</v>
      </c>
      <c r="C415" t="s">
        <v>21</v>
      </c>
      <c r="D415">
        <v>152969</v>
      </c>
      <c r="E415">
        <v>10547</v>
      </c>
      <c r="F415">
        <v>30158</v>
      </c>
      <c r="G415">
        <v>-148532</v>
      </c>
      <c r="H415">
        <v>45142</v>
      </c>
      <c r="I415">
        <v>46862</v>
      </c>
      <c r="J415">
        <v>537</v>
      </c>
      <c r="K415">
        <v>506317</v>
      </c>
      <c r="L415">
        <v>173340</v>
      </c>
      <c r="M415">
        <v>-140400</v>
      </c>
      <c r="N415">
        <v>84240</v>
      </c>
      <c r="O415" t="s">
        <v>433</v>
      </c>
      <c r="P415" s="9">
        <v>170140</v>
      </c>
      <c r="Q415" s="9">
        <v>12156</v>
      </c>
      <c r="R415" s="9">
        <v>182296</v>
      </c>
      <c r="S415" s="9">
        <v>-55632</v>
      </c>
      <c r="T415" s="10">
        <v>38736</v>
      </c>
      <c r="U415" s="10">
        <v>668</v>
      </c>
    </row>
    <row r="416" spans="1:21" x14ac:dyDescent="0.35">
      <c r="A416" t="s">
        <v>15</v>
      </c>
      <c r="B416" t="s">
        <v>20</v>
      </c>
      <c r="C416" t="s">
        <v>21</v>
      </c>
      <c r="D416">
        <v>216524</v>
      </c>
      <c r="E416">
        <v>29895</v>
      </c>
      <c r="F416">
        <v>33470</v>
      </c>
      <c r="G416">
        <v>-183075</v>
      </c>
      <c r="H416">
        <v>96814</v>
      </c>
      <c r="I416">
        <v>89247</v>
      </c>
      <c r="J416">
        <v>1831</v>
      </c>
      <c r="K416">
        <v>596796</v>
      </c>
      <c r="L416">
        <v>110200</v>
      </c>
      <c r="M416">
        <v>-148641</v>
      </c>
      <c r="N416">
        <v>192712</v>
      </c>
      <c r="O416" t="s">
        <v>434</v>
      </c>
      <c r="P416" s="9">
        <v>177115</v>
      </c>
      <c r="Q416" s="9">
        <v>33683</v>
      </c>
      <c r="R416" s="9">
        <v>210798</v>
      </c>
      <c r="S416" s="9">
        <v>-90519</v>
      </c>
      <c r="T416" s="10">
        <v>72785</v>
      </c>
      <c r="U416" s="10">
        <v>1508</v>
      </c>
    </row>
    <row r="417" spans="1:21" x14ac:dyDescent="0.35">
      <c r="A417" t="s">
        <v>15</v>
      </c>
      <c r="B417" t="s">
        <v>16</v>
      </c>
      <c r="C417" t="s">
        <v>21</v>
      </c>
      <c r="D417">
        <v>195475</v>
      </c>
      <c r="E417">
        <v>15492</v>
      </c>
      <c r="F417">
        <v>32685</v>
      </c>
      <c r="G417">
        <v>-157017</v>
      </c>
      <c r="H417">
        <v>86635</v>
      </c>
      <c r="I417">
        <v>86183</v>
      </c>
      <c r="J417">
        <v>1384</v>
      </c>
      <c r="K417">
        <v>670592</v>
      </c>
      <c r="L417">
        <v>139956</v>
      </c>
      <c r="M417">
        <v>-106671</v>
      </c>
      <c r="N417">
        <v>118669</v>
      </c>
      <c r="O417" t="s">
        <v>435</v>
      </c>
      <c r="P417" s="9">
        <v>193225</v>
      </c>
      <c r="Q417" s="9">
        <v>10437</v>
      </c>
      <c r="R417" s="9">
        <v>203662</v>
      </c>
      <c r="S417" s="9">
        <v>-71468</v>
      </c>
      <c r="T417" s="10">
        <v>72228</v>
      </c>
      <c r="U417" s="10">
        <v>949</v>
      </c>
    </row>
    <row r="418" spans="1:21" x14ac:dyDescent="0.35">
      <c r="A418" t="s">
        <v>15</v>
      </c>
      <c r="B418" t="s">
        <v>16</v>
      </c>
      <c r="C418" t="s">
        <v>21</v>
      </c>
      <c r="D418">
        <v>252798</v>
      </c>
      <c r="E418">
        <v>17717</v>
      </c>
      <c r="F418">
        <v>47254</v>
      </c>
      <c r="G418">
        <v>-223189</v>
      </c>
      <c r="H418">
        <v>94580</v>
      </c>
      <c r="I418">
        <v>88166</v>
      </c>
      <c r="J418">
        <v>1092</v>
      </c>
      <c r="K418">
        <v>533249</v>
      </c>
      <c r="L418">
        <v>62186</v>
      </c>
      <c r="M418">
        <v>-175879</v>
      </c>
      <c r="N418">
        <v>149264</v>
      </c>
      <c r="O418" t="s">
        <v>436</v>
      </c>
      <c r="P418" s="9">
        <v>212052</v>
      </c>
      <c r="Q418" s="9">
        <v>26615</v>
      </c>
      <c r="R418" s="9">
        <v>238667</v>
      </c>
      <c r="S418" s="9">
        <v>-54346</v>
      </c>
      <c r="T418" s="10">
        <v>49806</v>
      </c>
      <c r="U418" s="10">
        <v>995</v>
      </c>
    </row>
    <row r="419" spans="1:21" x14ac:dyDescent="0.35">
      <c r="A419" t="s">
        <v>15</v>
      </c>
      <c r="B419" t="s">
        <v>16</v>
      </c>
      <c r="C419" t="s">
        <v>17</v>
      </c>
      <c r="D419">
        <v>272579</v>
      </c>
      <c r="E419">
        <v>48112</v>
      </c>
      <c r="F419">
        <v>30996</v>
      </c>
      <c r="G419">
        <v>-272575</v>
      </c>
      <c r="H419">
        <v>79112</v>
      </c>
      <c r="I419">
        <v>80213</v>
      </c>
      <c r="J419">
        <v>1788</v>
      </c>
      <c r="K419">
        <v>882552</v>
      </c>
      <c r="L419">
        <v>188564</v>
      </c>
      <c r="M419">
        <v>-279420</v>
      </c>
      <c r="N419">
        <v>218880</v>
      </c>
      <c r="O419" t="s">
        <v>437</v>
      </c>
      <c r="P419" s="9">
        <v>207082</v>
      </c>
      <c r="Q419" s="9">
        <v>10574</v>
      </c>
      <c r="R419" s="9">
        <v>217656</v>
      </c>
      <c r="S419" s="9">
        <v>-119299</v>
      </c>
      <c r="T419" s="10">
        <v>67977</v>
      </c>
      <c r="U419" s="10">
        <v>1659</v>
      </c>
    </row>
    <row r="420" spans="1:21" x14ac:dyDescent="0.35">
      <c r="A420" t="s">
        <v>15</v>
      </c>
      <c r="B420" t="s">
        <v>20</v>
      </c>
      <c r="C420" t="s">
        <v>21</v>
      </c>
      <c r="D420">
        <v>202431</v>
      </c>
      <c r="E420">
        <v>17922</v>
      </c>
      <c r="F420">
        <v>45528</v>
      </c>
      <c r="G420">
        <v>-185529</v>
      </c>
      <c r="H420">
        <v>80352</v>
      </c>
      <c r="I420">
        <v>80332</v>
      </c>
      <c r="J420">
        <v>2354</v>
      </c>
      <c r="K420">
        <v>733296</v>
      </c>
      <c r="L420">
        <v>136228</v>
      </c>
      <c r="M420">
        <v>-140765</v>
      </c>
      <c r="N420">
        <v>99585</v>
      </c>
      <c r="O420" t="s">
        <v>438</v>
      </c>
      <c r="P420" s="9">
        <v>255209</v>
      </c>
      <c r="Q420" s="9">
        <v>30963</v>
      </c>
      <c r="R420" s="9">
        <v>286172</v>
      </c>
      <c r="S420" s="9">
        <v>-160746</v>
      </c>
      <c r="T420" s="10">
        <v>67395</v>
      </c>
      <c r="U420" s="10">
        <v>692</v>
      </c>
    </row>
    <row r="421" spans="1:21" x14ac:dyDescent="0.35">
      <c r="A421" t="s">
        <v>15</v>
      </c>
      <c r="B421" t="s">
        <v>16</v>
      </c>
      <c r="C421" t="s">
        <v>21</v>
      </c>
      <c r="D421">
        <v>262100</v>
      </c>
      <c r="E421">
        <v>24106</v>
      </c>
      <c r="F421">
        <v>32624</v>
      </c>
      <c r="G421">
        <v>-250392</v>
      </c>
      <c r="H421">
        <v>68438</v>
      </c>
      <c r="I421">
        <v>64629</v>
      </c>
      <c r="J421">
        <v>1678</v>
      </c>
      <c r="K421">
        <v>621877</v>
      </c>
      <c r="L421">
        <v>275083</v>
      </c>
      <c r="M421">
        <v>-235839</v>
      </c>
      <c r="N421">
        <v>112833</v>
      </c>
      <c r="O421" t="s">
        <v>439</v>
      </c>
      <c r="P421" s="9">
        <v>176889</v>
      </c>
      <c r="Q421" s="9">
        <v>12420</v>
      </c>
      <c r="R421" s="9">
        <v>189309</v>
      </c>
      <c r="S421" s="9">
        <v>-74002</v>
      </c>
      <c r="T421" s="10">
        <v>78410</v>
      </c>
      <c r="U421" s="10">
        <v>1129</v>
      </c>
    </row>
    <row r="422" spans="1:21" x14ac:dyDescent="0.35">
      <c r="A422" t="s">
        <v>15</v>
      </c>
      <c r="B422" t="s">
        <v>16</v>
      </c>
      <c r="C422" t="s">
        <v>21</v>
      </c>
      <c r="D422">
        <v>154623</v>
      </c>
      <c r="E422">
        <v>22691</v>
      </c>
      <c r="F422">
        <v>25493</v>
      </c>
      <c r="G422">
        <v>-127479</v>
      </c>
      <c r="H422">
        <v>75328</v>
      </c>
      <c r="I422">
        <v>78251</v>
      </c>
      <c r="J422">
        <v>1079</v>
      </c>
      <c r="K422">
        <v>511139</v>
      </c>
      <c r="L422">
        <v>95932</v>
      </c>
      <c r="M422">
        <v>-154206</v>
      </c>
      <c r="N422">
        <v>110134</v>
      </c>
      <c r="O422" t="s">
        <v>440</v>
      </c>
      <c r="P422" s="9">
        <v>268872</v>
      </c>
      <c r="Q422" s="9">
        <v>27003</v>
      </c>
      <c r="R422" s="9">
        <v>295875</v>
      </c>
      <c r="S422" s="9">
        <v>-76203</v>
      </c>
      <c r="T422" s="10">
        <v>106970</v>
      </c>
      <c r="U422" s="10">
        <v>2377</v>
      </c>
    </row>
    <row r="423" spans="1:21" x14ac:dyDescent="0.35">
      <c r="A423" t="s">
        <v>15</v>
      </c>
      <c r="B423" t="s">
        <v>16</v>
      </c>
      <c r="C423" t="s">
        <v>21</v>
      </c>
      <c r="D423">
        <v>291157</v>
      </c>
      <c r="E423">
        <v>36037</v>
      </c>
      <c r="F423">
        <v>48796</v>
      </c>
      <c r="G423">
        <v>-281926</v>
      </c>
      <c r="H423">
        <v>94064</v>
      </c>
      <c r="I423">
        <v>86668</v>
      </c>
      <c r="J423">
        <v>1580</v>
      </c>
      <c r="K423">
        <v>972616</v>
      </c>
      <c r="L423">
        <v>380868</v>
      </c>
      <c r="M423">
        <v>-335109</v>
      </c>
      <c r="N423">
        <v>234265</v>
      </c>
      <c r="O423" t="s">
        <v>441</v>
      </c>
      <c r="P423" s="9">
        <v>285487</v>
      </c>
      <c r="Q423" s="9">
        <v>29446</v>
      </c>
      <c r="R423" s="9">
        <v>314933</v>
      </c>
      <c r="S423" s="9">
        <v>-164223</v>
      </c>
      <c r="T423" s="10">
        <v>96006</v>
      </c>
      <c r="U423" s="10">
        <v>2788</v>
      </c>
    </row>
    <row r="424" spans="1:21" x14ac:dyDescent="0.35">
      <c r="A424" t="s">
        <v>15</v>
      </c>
      <c r="B424" t="s">
        <v>16</v>
      </c>
      <c r="C424" t="s">
        <v>21</v>
      </c>
      <c r="D424">
        <v>236961</v>
      </c>
      <c r="E424">
        <v>19319</v>
      </c>
      <c r="F424">
        <v>44281</v>
      </c>
      <c r="G424">
        <v>-226761</v>
      </c>
      <c r="H424">
        <v>73800</v>
      </c>
      <c r="I424">
        <v>66979</v>
      </c>
      <c r="J424">
        <v>1330</v>
      </c>
      <c r="K424">
        <v>889391</v>
      </c>
      <c r="L424">
        <v>254580</v>
      </c>
      <c r="M424">
        <v>-182825</v>
      </c>
      <c r="N424">
        <v>213130</v>
      </c>
      <c r="O424" t="s">
        <v>442</v>
      </c>
      <c r="P424" s="9">
        <v>146656</v>
      </c>
      <c r="Q424" s="9">
        <v>19729</v>
      </c>
      <c r="R424" s="9">
        <v>166385</v>
      </c>
      <c r="S424" s="9">
        <v>-98377</v>
      </c>
      <c r="T424" s="10">
        <v>71383</v>
      </c>
      <c r="U424" s="10">
        <v>2101</v>
      </c>
    </row>
    <row r="425" spans="1:21" x14ac:dyDescent="0.35">
      <c r="A425" t="s">
        <v>15</v>
      </c>
      <c r="B425" t="s">
        <v>20</v>
      </c>
      <c r="C425" t="s">
        <v>21</v>
      </c>
      <c r="D425">
        <v>267085</v>
      </c>
      <c r="E425">
        <v>34972</v>
      </c>
      <c r="F425">
        <v>28558</v>
      </c>
      <c r="G425">
        <v>-216922</v>
      </c>
      <c r="H425">
        <v>113693</v>
      </c>
      <c r="I425">
        <v>105354</v>
      </c>
      <c r="J425">
        <v>2759</v>
      </c>
      <c r="K425">
        <v>649234</v>
      </c>
      <c r="L425">
        <v>227695</v>
      </c>
      <c r="M425">
        <v>-229018</v>
      </c>
      <c r="N425">
        <v>112083</v>
      </c>
      <c r="O425" t="s">
        <v>443</v>
      </c>
      <c r="P425" s="9">
        <v>189125</v>
      </c>
      <c r="Q425" s="9">
        <v>12411</v>
      </c>
      <c r="R425" s="9">
        <v>201536</v>
      </c>
      <c r="S425" s="9">
        <v>-89990</v>
      </c>
      <c r="T425" s="10">
        <v>90176</v>
      </c>
      <c r="U425" s="10">
        <v>1207</v>
      </c>
    </row>
    <row r="426" spans="1:21" x14ac:dyDescent="0.35">
      <c r="A426" t="s">
        <v>15</v>
      </c>
      <c r="B426" t="s">
        <v>16</v>
      </c>
      <c r="C426" t="s">
        <v>17</v>
      </c>
      <c r="D426">
        <v>246872</v>
      </c>
      <c r="E426">
        <v>22158</v>
      </c>
      <c r="F426">
        <v>46544</v>
      </c>
      <c r="G426">
        <v>-210254</v>
      </c>
      <c r="H426">
        <v>105320</v>
      </c>
      <c r="I426">
        <v>99884</v>
      </c>
      <c r="J426">
        <v>1074</v>
      </c>
      <c r="K426">
        <v>977454</v>
      </c>
      <c r="L426">
        <v>245693</v>
      </c>
      <c r="M426">
        <v>-246412</v>
      </c>
      <c r="N426">
        <v>140069</v>
      </c>
      <c r="O426" t="s">
        <v>444</v>
      </c>
      <c r="P426" s="9">
        <v>290362</v>
      </c>
      <c r="Q426" s="9">
        <v>37652</v>
      </c>
      <c r="R426" s="9">
        <v>328014</v>
      </c>
      <c r="S426" s="9">
        <v>-82187</v>
      </c>
      <c r="T426" s="10">
        <v>140751</v>
      </c>
      <c r="U426" s="10">
        <v>1420</v>
      </c>
    </row>
    <row r="427" spans="1:21" x14ac:dyDescent="0.35">
      <c r="A427" t="s">
        <v>15</v>
      </c>
      <c r="B427" t="s">
        <v>16</v>
      </c>
      <c r="C427" t="s">
        <v>21</v>
      </c>
      <c r="D427">
        <v>180659</v>
      </c>
      <c r="E427">
        <v>33834</v>
      </c>
      <c r="F427">
        <v>42026</v>
      </c>
      <c r="G427">
        <v>-146179</v>
      </c>
      <c r="H427">
        <v>110340</v>
      </c>
      <c r="I427">
        <v>102716</v>
      </c>
      <c r="J427">
        <v>1199</v>
      </c>
      <c r="K427">
        <v>374063</v>
      </c>
      <c r="L427">
        <v>153401</v>
      </c>
      <c r="M427">
        <v>-45197</v>
      </c>
      <c r="N427">
        <v>155038</v>
      </c>
      <c r="O427" t="s">
        <v>445</v>
      </c>
      <c r="P427" s="9">
        <v>211687</v>
      </c>
      <c r="Q427" s="9">
        <v>29959</v>
      </c>
      <c r="R427" s="9">
        <v>241646</v>
      </c>
      <c r="S427" s="9">
        <v>-129244</v>
      </c>
      <c r="T427" s="10">
        <v>72190</v>
      </c>
      <c r="U427" s="10">
        <v>1985</v>
      </c>
    </row>
    <row r="428" spans="1:21" x14ac:dyDescent="0.35">
      <c r="A428" t="s">
        <v>15</v>
      </c>
      <c r="B428" t="s">
        <v>16</v>
      </c>
      <c r="C428" t="s">
        <v>21</v>
      </c>
      <c r="D428">
        <v>224503</v>
      </c>
      <c r="E428">
        <v>44394</v>
      </c>
      <c r="F428">
        <v>36240</v>
      </c>
      <c r="G428">
        <v>-194410</v>
      </c>
      <c r="H428">
        <v>110727</v>
      </c>
      <c r="I428">
        <v>113618</v>
      </c>
      <c r="J428">
        <v>3114</v>
      </c>
      <c r="K428">
        <v>468838</v>
      </c>
      <c r="L428">
        <v>174106</v>
      </c>
      <c r="M428">
        <v>-62912</v>
      </c>
      <c r="N428">
        <v>105301</v>
      </c>
      <c r="O428" t="s">
        <v>446</v>
      </c>
      <c r="P428" s="9">
        <v>216774</v>
      </c>
      <c r="Q428" s="9">
        <v>20843</v>
      </c>
      <c r="R428" s="9">
        <v>237617</v>
      </c>
      <c r="S428" s="9">
        <v>-106509</v>
      </c>
      <c r="T428" s="10">
        <v>84295</v>
      </c>
      <c r="U428" s="10">
        <v>2404</v>
      </c>
    </row>
    <row r="429" spans="1:21" x14ac:dyDescent="0.35">
      <c r="A429" t="s">
        <v>15</v>
      </c>
      <c r="B429" t="s">
        <v>16</v>
      </c>
      <c r="C429" t="s">
        <v>21</v>
      </c>
      <c r="D429">
        <v>281970</v>
      </c>
      <c r="E429">
        <v>29814</v>
      </c>
      <c r="F429">
        <v>59245</v>
      </c>
      <c r="G429">
        <v>-226806</v>
      </c>
      <c r="H429">
        <v>144223</v>
      </c>
      <c r="I429">
        <v>147804</v>
      </c>
      <c r="J429">
        <v>2145</v>
      </c>
      <c r="K429">
        <v>900059</v>
      </c>
      <c r="L429">
        <v>427984</v>
      </c>
      <c r="M429">
        <v>-177958</v>
      </c>
      <c r="N429">
        <v>220533</v>
      </c>
      <c r="O429" t="s">
        <v>447</v>
      </c>
      <c r="P429" s="9">
        <v>201307</v>
      </c>
      <c r="Q429" s="9">
        <v>20086</v>
      </c>
      <c r="R429" s="9">
        <v>221393</v>
      </c>
      <c r="S429" s="9">
        <v>-80535</v>
      </c>
      <c r="T429" s="10">
        <v>95497</v>
      </c>
      <c r="U429" s="10">
        <v>1125</v>
      </c>
    </row>
    <row r="430" spans="1:21" x14ac:dyDescent="0.35">
      <c r="A430" t="s">
        <v>15</v>
      </c>
      <c r="B430" t="s">
        <v>16</v>
      </c>
      <c r="C430" t="s">
        <v>17</v>
      </c>
      <c r="D430">
        <v>214067</v>
      </c>
      <c r="E430">
        <v>28737</v>
      </c>
      <c r="F430">
        <v>30153</v>
      </c>
      <c r="G430">
        <v>-200643</v>
      </c>
      <c r="H430">
        <v>72314</v>
      </c>
      <c r="I430">
        <v>69217</v>
      </c>
      <c r="J430">
        <v>1399</v>
      </c>
      <c r="K430">
        <v>483126</v>
      </c>
      <c r="L430">
        <v>85107</v>
      </c>
      <c r="M430">
        <v>-78448</v>
      </c>
      <c r="N430">
        <v>185362</v>
      </c>
      <c r="O430" t="s">
        <v>448</v>
      </c>
      <c r="P430" s="9">
        <v>283037</v>
      </c>
      <c r="Q430" s="9">
        <v>49192</v>
      </c>
      <c r="R430" s="9">
        <v>332229</v>
      </c>
      <c r="S430" s="9">
        <v>-96310</v>
      </c>
      <c r="T430" s="10">
        <v>122260</v>
      </c>
      <c r="U430" s="10">
        <v>1834</v>
      </c>
    </row>
    <row r="431" spans="1:21" x14ac:dyDescent="0.35">
      <c r="A431" t="s">
        <v>15</v>
      </c>
      <c r="B431" t="s">
        <v>16</v>
      </c>
      <c r="C431" t="s">
        <v>17</v>
      </c>
      <c r="D431">
        <v>209662</v>
      </c>
      <c r="E431">
        <v>20405</v>
      </c>
      <c r="F431">
        <v>21209</v>
      </c>
      <c r="G431">
        <v>-201699</v>
      </c>
      <c r="H431">
        <v>49577</v>
      </c>
      <c r="I431">
        <v>46748</v>
      </c>
      <c r="J431">
        <v>829</v>
      </c>
      <c r="K431">
        <v>609651</v>
      </c>
      <c r="L431">
        <v>113609</v>
      </c>
      <c r="M431">
        <v>-211433</v>
      </c>
      <c r="N431">
        <v>72696</v>
      </c>
      <c r="O431" t="s">
        <v>449</v>
      </c>
      <c r="P431" s="9">
        <v>151941</v>
      </c>
      <c r="Q431" s="9">
        <v>31168</v>
      </c>
      <c r="R431" s="9">
        <v>183109</v>
      </c>
      <c r="S431" s="9">
        <v>-79003</v>
      </c>
      <c r="T431" s="10">
        <v>80503</v>
      </c>
      <c r="U431" s="10">
        <v>1613</v>
      </c>
    </row>
    <row r="432" spans="1:21" x14ac:dyDescent="0.35">
      <c r="A432" t="s">
        <v>15</v>
      </c>
      <c r="B432" t="s">
        <v>16</v>
      </c>
      <c r="C432" t="s">
        <v>21</v>
      </c>
      <c r="D432">
        <v>164162</v>
      </c>
      <c r="E432">
        <v>10440</v>
      </c>
      <c r="F432">
        <v>24363</v>
      </c>
      <c r="G432">
        <v>-153869</v>
      </c>
      <c r="H432">
        <v>45096</v>
      </c>
      <c r="I432">
        <v>46431</v>
      </c>
      <c r="J432">
        <v>710</v>
      </c>
      <c r="K432">
        <v>332718</v>
      </c>
      <c r="L432">
        <v>38433</v>
      </c>
      <c r="M432">
        <v>-96483</v>
      </c>
      <c r="N432">
        <v>121895</v>
      </c>
      <c r="O432" t="s">
        <v>450</v>
      </c>
      <c r="P432" s="9">
        <v>239933</v>
      </c>
      <c r="Q432" s="9">
        <v>33755</v>
      </c>
      <c r="R432" s="9">
        <v>273688</v>
      </c>
      <c r="S432" s="9">
        <v>-145142</v>
      </c>
      <c r="T432" s="10">
        <v>87793</v>
      </c>
      <c r="U432" s="10">
        <v>1445</v>
      </c>
    </row>
    <row r="433" spans="1:21" x14ac:dyDescent="0.35">
      <c r="A433" t="s">
        <v>15</v>
      </c>
      <c r="B433" t="s">
        <v>16</v>
      </c>
      <c r="C433" t="s">
        <v>21</v>
      </c>
      <c r="D433">
        <v>253580</v>
      </c>
      <c r="E433">
        <v>39582</v>
      </c>
      <c r="F433">
        <v>35922</v>
      </c>
      <c r="G433">
        <v>-229271</v>
      </c>
      <c r="H433">
        <v>99813</v>
      </c>
      <c r="I433">
        <v>100908</v>
      </c>
      <c r="J433">
        <v>1479</v>
      </c>
      <c r="K433">
        <v>548195</v>
      </c>
      <c r="L433">
        <v>259361</v>
      </c>
      <c r="M433">
        <v>-73960</v>
      </c>
      <c r="N433">
        <v>132779</v>
      </c>
      <c r="O433" t="s">
        <v>451</v>
      </c>
      <c r="P433" s="9">
        <v>215979</v>
      </c>
      <c r="Q433" s="9">
        <v>35238</v>
      </c>
      <c r="R433" s="9">
        <v>251217</v>
      </c>
      <c r="S433" s="9">
        <v>-83658</v>
      </c>
      <c r="T433" s="10">
        <v>112181</v>
      </c>
      <c r="U433" s="10">
        <v>3235</v>
      </c>
    </row>
    <row r="434" spans="1:21" x14ac:dyDescent="0.35">
      <c r="A434" t="s">
        <v>15</v>
      </c>
      <c r="B434" t="s">
        <v>16</v>
      </c>
      <c r="C434" t="s">
        <v>17</v>
      </c>
      <c r="D434">
        <v>202801</v>
      </c>
      <c r="E434">
        <v>21746</v>
      </c>
      <c r="F434">
        <v>43889</v>
      </c>
      <c r="G434">
        <v>-167137</v>
      </c>
      <c r="H434">
        <v>101299</v>
      </c>
      <c r="I434">
        <v>94026</v>
      </c>
      <c r="J434">
        <v>2056</v>
      </c>
      <c r="K434">
        <v>408435</v>
      </c>
      <c r="L434">
        <v>102340</v>
      </c>
      <c r="M434">
        <v>-154084</v>
      </c>
      <c r="N434">
        <v>131737</v>
      </c>
      <c r="O434" t="s">
        <v>452</v>
      </c>
      <c r="P434" s="9">
        <v>231258</v>
      </c>
      <c r="Q434" s="9">
        <v>21338</v>
      </c>
      <c r="R434" s="9">
        <v>252596</v>
      </c>
      <c r="S434" s="9">
        <v>-60413</v>
      </c>
      <c r="T434" s="10">
        <v>81182</v>
      </c>
      <c r="U434" s="10">
        <v>1391</v>
      </c>
    </row>
    <row r="435" spans="1:21" x14ac:dyDescent="0.35">
      <c r="A435" t="s">
        <v>15</v>
      </c>
      <c r="B435" t="s">
        <v>20</v>
      </c>
      <c r="C435" t="s">
        <v>17</v>
      </c>
      <c r="D435">
        <v>272446</v>
      </c>
      <c r="E435">
        <v>43338</v>
      </c>
      <c r="F435">
        <v>29570</v>
      </c>
      <c r="G435">
        <v>-220777</v>
      </c>
      <c r="H435">
        <v>124577</v>
      </c>
      <c r="I435">
        <v>113318</v>
      </c>
      <c r="J435">
        <v>2325</v>
      </c>
      <c r="K435">
        <v>1050886</v>
      </c>
      <c r="L435">
        <v>158976</v>
      </c>
      <c r="M435">
        <v>-165496</v>
      </c>
      <c r="N435">
        <v>176587</v>
      </c>
      <c r="O435" t="s">
        <v>453</v>
      </c>
      <c r="P435" s="9">
        <v>210232</v>
      </c>
      <c r="Q435" s="9">
        <v>16448</v>
      </c>
      <c r="R435" s="9">
        <v>226680</v>
      </c>
      <c r="S435" s="9">
        <v>-75109</v>
      </c>
      <c r="T435" s="10">
        <v>73873</v>
      </c>
      <c r="U435" s="10">
        <v>1838</v>
      </c>
    </row>
    <row r="436" spans="1:21" x14ac:dyDescent="0.35">
      <c r="A436" t="s">
        <v>15</v>
      </c>
      <c r="B436" t="s">
        <v>16</v>
      </c>
      <c r="C436" t="s">
        <v>21</v>
      </c>
      <c r="D436">
        <v>190808</v>
      </c>
      <c r="E436">
        <v>14315</v>
      </c>
      <c r="F436">
        <v>23341</v>
      </c>
      <c r="G436">
        <v>-190335</v>
      </c>
      <c r="H436">
        <v>38129</v>
      </c>
      <c r="I436">
        <v>35051</v>
      </c>
      <c r="J436">
        <v>382</v>
      </c>
      <c r="K436">
        <v>562889</v>
      </c>
      <c r="L436">
        <v>185570</v>
      </c>
      <c r="M436">
        <v>-102944</v>
      </c>
      <c r="N436">
        <v>136802</v>
      </c>
      <c r="O436" t="s">
        <v>454</v>
      </c>
      <c r="P436" s="9">
        <v>154934</v>
      </c>
      <c r="Q436" s="9">
        <v>25969</v>
      </c>
      <c r="R436" s="9">
        <v>180903</v>
      </c>
      <c r="S436" s="9">
        <v>-40283</v>
      </c>
      <c r="T436" s="10">
        <v>81911</v>
      </c>
      <c r="U436" s="10">
        <v>1887</v>
      </c>
    </row>
    <row r="437" spans="1:21" x14ac:dyDescent="0.35">
      <c r="A437" t="s">
        <v>15</v>
      </c>
      <c r="B437" t="s">
        <v>16</v>
      </c>
      <c r="C437" t="s">
        <v>21</v>
      </c>
      <c r="D437">
        <v>257328</v>
      </c>
      <c r="E437">
        <v>31101</v>
      </c>
      <c r="F437">
        <v>59325</v>
      </c>
      <c r="G437">
        <v>-214046</v>
      </c>
      <c r="H437">
        <v>133708</v>
      </c>
      <c r="I437">
        <v>126120</v>
      </c>
      <c r="J437">
        <v>1814</v>
      </c>
      <c r="K437">
        <v>921520</v>
      </c>
      <c r="L437">
        <v>327548</v>
      </c>
      <c r="M437">
        <v>-314035</v>
      </c>
      <c r="N437">
        <v>191214</v>
      </c>
      <c r="O437" t="s">
        <v>455</v>
      </c>
      <c r="P437" s="9">
        <v>246303</v>
      </c>
      <c r="Q437" s="9">
        <v>50353</v>
      </c>
      <c r="R437" s="9">
        <v>296656</v>
      </c>
      <c r="S437" s="9">
        <v>-107182</v>
      </c>
      <c r="T437" s="10">
        <v>111240</v>
      </c>
      <c r="U437" s="10">
        <v>1157</v>
      </c>
    </row>
    <row r="438" spans="1:21" x14ac:dyDescent="0.35">
      <c r="A438" t="s">
        <v>15</v>
      </c>
      <c r="B438" t="s">
        <v>16</v>
      </c>
      <c r="C438" t="s">
        <v>17</v>
      </c>
      <c r="D438">
        <v>261251</v>
      </c>
      <c r="E438">
        <v>35440</v>
      </c>
      <c r="F438">
        <v>32267</v>
      </c>
      <c r="G438">
        <v>-211598</v>
      </c>
      <c r="H438">
        <v>117360</v>
      </c>
      <c r="I438">
        <v>117668</v>
      </c>
      <c r="J438">
        <v>3226</v>
      </c>
      <c r="K438">
        <v>606410</v>
      </c>
      <c r="L438">
        <v>213144</v>
      </c>
      <c r="M438">
        <v>-182904</v>
      </c>
      <c r="N438">
        <v>87710</v>
      </c>
      <c r="O438" t="s">
        <v>456</v>
      </c>
      <c r="P438" s="9">
        <v>223261</v>
      </c>
      <c r="Q438" s="9">
        <v>24871</v>
      </c>
      <c r="R438" s="9">
        <v>248132</v>
      </c>
      <c r="S438" s="9">
        <v>-87043</v>
      </c>
      <c r="T438" s="10">
        <v>91133</v>
      </c>
      <c r="U438" s="10">
        <v>2248</v>
      </c>
    </row>
    <row r="439" spans="1:21" x14ac:dyDescent="0.35">
      <c r="A439" t="s">
        <v>15</v>
      </c>
      <c r="B439" t="s">
        <v>16</v>
      </c>
      <c r="C439" t="s">
        <v>21</v>
      </c>
      <c r="D439">
        <v>152735</v>
      </c>
      <c r="E439">
        <v>7918</v>
      </c>
      <c r="F439">
        <v>23969</v>
      </c>
      <c r="G439">
        <v>-143238</v>
      </c>
      <c r="H439">
        <v>41384</v>
      </c>
      <c r="I439">
        <v>39140</v>
      </c>
      <c r="J439">
        <v>448</v>
      </c>
      <c r="K439">
        <v>514692</v>
      </c>
      <c r="L439">
        <v>67864</v>
      </c>
      <c r="M439">
        <v>-196789</v>
      </c>
      <c r="N439">
        <v>97276</v>
      </c>
      <c r="O439" t="s">
        <v>457</v>
      </c>
      <c r="P439" s="9">
        <v>181273</v>
      </c>
      <c r="Q439" s="9">
        <v>21294</v>
      </c>
      <c r="R439" s="9">
        <v>202567</v>
      </c>
      <c r="S439" s="9">
        <v>-93795</v>
      </c>
      <c r="T439" s="10">
        <v>65414</v>
      </c>
      <c r="U439" s="10">
        <v>753</v>
      </c>
    </row>
    <row r="440" spans="1:21" x14ac:dyDescent="0.35">
      <c r="A440" t="s">
        <v>15</v>
      </c>
      <c r="B440" t="s">
        <v>20</v>
      </c>
      <c r="C440" t="s">
        <v>17</v>
      </c>
      <c r="D440">
        <v>255762</v>
      </c>
      <c r="E440">
        <v>42890</v>
      </c>
      <c r="F440">
        <v>62357</v>
      </c>
      <c r="G440">
        <v>-237477</v>
      </c>
      <c r="H440">
        <v>123532</v>
      </c>
      <c r="I440">
        <v>129631</v>
      </c>
      <c r="J440">
        <v>3853</v>
      </c>
      <c r="K440">
        <v>865417</v>
      </c>
      <c r="L440">
        <v>268271</v>
      </c>
      <c r="M440">
        <v>-297515</v>
      </c>
      <c r="N440">
        <v>144466</v>
      </c>
      <c r="O440" t="s">
        <v>458</v>
      </c>
      <c r="P440" s="9">
        <v>256172</v>
      </c>
      <c r="Q440" s="9">
        <v>36169</v>
      </c>
      <c r="R440" s="9">
        <v>292341</v>
      </c>
      <c r="S440" s="9">
        <v>-144518</v>
      </c>
      <c r="T440" s="10">
        <v>99195</v>
      </c>
      <c r="U440" s="10">
        <v>1682</v>
      </c>
    </row>
    <row r="441" spans="1:21" x14ac:dyDescent="0.35">
      <c r="A441" t="s">
        <v>15</v>
      </c>
      <c r="B441" t="s">
        <v>16</v>
      </c>
      <c r="C441" t="s">
        <v>21</v>
      </c>
      <c r="D441">
        <v>292791</v>
      </c>
      <c r="E441">
        <v>33925</v>
      </c>
      <c r="F441">
        <v>61332</v>
      </c>
      <c r="G441">
        <v>-284263</v>
      </c>
      <c r="H441">
        <v>103785</v>
      </c>
      <c r="I441">
        <v>99377</v>
      </c>
      <c r="J441">
        <v>1417</v>
      </c>
      <c r="K441">
        <v>709690</v>
      </c>
      <c r="L441">
        <v>115535</v>
      </c>
      <c r="M441">
        <v>-224641</v>
      </c>
      <c r="N441">
        <v>194626</v>
      </c>
      <c r="O441" t="s">
        <v>459</v>
      </c>
      <c r="P441" s="9">
        <v>269902</v>
      </c>
      <c r="Q441" s="9">
        <v>49990</v>
      </c>
      <c r="R441" s="9">
        <v>319892</v>
      </c>
      <c r="S441" s="9">
        <v>-67760</v>
      </c>
      <c r="T441" s="10">
        <v>140329</v>
      </c>
      <c r="U441" s="10">
        <v>2729</v>
      </c>
    </row>
    <row r="442" spans="1:21" x14ac:dyDescent="0.35">
      <c r="A442" t="s">
        <v>15</v>
      </c>
      <c r="B442" t="s">
        <v>20</v>
      </c>
      <c r="C442" t="s">
        <v>21</v>
      </c>
      <c r="D442">
        <v>253885</v>
      </c>
      <c r="E442">
        <v>43732</v>
      </c>
      <c r="F442">
        <v>31580</v>
      </c>
      <c r="G442">
        <v>-215697</v>
      </c>
      <c r="H442">
        <v>113500</v>
      </c>
      <c r="I442">
        <v>117673</v>
      </c>
      <c r="J442">
        <v>2879</v>
      </c>
      <c r="K442">
        <v>1013922</v>
      </c>
      <c r="L442">
        <v>130303</v>
      </c>
      <c r="M442">
        <v>-107951</v>
      </c>
      <c r="N442">
        <v>164507</v>
      </c>
      <c r="O442" t="s">
        <v>460</v>
      </c>
      <c r="P442" s="9">
        <v>270147</v>
      </c>
      <c r="Q442" s="9">
        <v>38910</v>
      </c>
      <c r="R442" s="9">
        <v>309057</v>
      </c>
      <c r="S442" s="9">
        <v>-83300</v>
      </c>
      <c r="T442" s="10">
        <v>93168</v>
      </c>
      <c r="U442" s="10">
        <v>1780</v>
      </c>
    </row>
    <row r="443" spans="1:21" x14ac:dyDescent="0.35">
      <c r="A443" t="s">
        <v>15</v>
      </c>
      <c r="B443" t="s">
        <v>16</v>
      </c>
      <c r="C443" t="s">
        <v>17</v>
      </c>
      <c r="D443">
        <v>213578</v>
      </c>
      <c r="E443">
        <v>40752</v>
      </c>
      <c r="F443">
        <v>46481</v>
      </c>
      <c r="G443">
        <v>-190928</v>
      </c>
      <c r="H443">
        <v>109883</v>
      </c>
      <c r="I443">
        <v>112928</v>
      </c>
      <c r="J443">
        <v>1404</v>
      </c>
      <c r="K443">
        <v>490482</v>
      </c>
      <c r="L443">
        <v>216055</v>
      </c>
      <c r="M443">
        <v>-68123</v>
      </c>
      <c r="N443">
        <v>165873</v>
      </c>
      <c r="O443" t="s">
        <v>461</v>
      </c>
      <c r="P443" s="9">
        <v>185253</v>
      </c>
      <c r="Q443" s="9">
        <v>21665</v>
      </c>
      <c r="R443" s="9">
        <v>206918</v>
      </c>
      <c r="S443" s="9">
        <v>-65003</v>
      </c>
      <c r="T443" s="10">
        <v>67698</v>
      </c>
      <c r="U443" s="10">
        <v>823</v>
      </c>
    </row>
    <row r="444" spans="1:21" x14ac:dyDescent="0.35">
      <c r="A444" t="s">
        <v>15</v>
      </c>
      <c r="B444" t="s">
        <v>16</v>
      </c>
      <c r="C444" t="s">
        <v>21</v>
      </c>
      <c r="D444">
        <v>234987</v>
      </c>
      <c r="E444">
        <v>32955</v>
      </c>
      <c r="F444">
        <v>39345</v>
      </c>
      <c r="G444">
        <v>-212783</v>
      </c>
      <c r="H444">
        <v>94504</v>
      </c>
      <c r="I444">
        <v>98819</v>
      </c>
      <c r="J444">
        <v>1114</v>
      </c>
      <c r="K444">
        <v>670063</v>
      </c>
      <c r="L444">
        <v>216546</v>
      </c>
      <c r="M444">
        <v>-105133</v>
      </c>
      <c r="N444">
        <v>143017</v>
      </c>
      <c r="O444" t="s">
        <v>462</v>
      </c>
      <c r="P444" s="9">
        <v>246040</v>
      </c>
      <c r="Q444" s="9">
        <v>24208</v>
      </c>
      <c r="R444" s="9">
        <v>270248</v>
      </c>
      <c r="S444" s="9">
        <v>-115902</v>
      </c>
      <c r="T444" s="10">
        <v>109292</v>
      </c>
      <c r="U444" s="10">
        <v>2191</v>
      </c>
    </row>
    <row r="445" spans="1:21" x14ac:dyDescent="0.35">
      <c r="A445" t="s">
        <v>15</v>
      </c>
      <c r="B445" t="s">
        <v>16</v>
      </c>
      <c r="C445" t="s">
        <v>21</v>
      </c>
      <c r="D445">
        <v>273114</v>
      </c>
      <c r="E445">
        <v>36727</v>
      </c>
      <c r="F445">
        <v>60770</v>
      </c>
      <c r="G445">
        <v>-253657</v>
      </c>
      <c r="H445">
        <v>116954</v>
      </c>
      <c r="I445">
        <v>106137</v>
      </c>
      <c r="J445">
        <v>3025</v>
      </c>
      <c r="K445">
        <v>773367</v>
      </c>
      <c r="L445">
        <v>382564</v>
      </c>
      <c r="M445">
        <v>-214661</v>
      </c>
      <c r="N445">
        <v>157612</v>
      </c>
      <c r="O445" t="s">
        <v>463</v>
      </c>
      <c r="P445" s="9">
        <v>161621</v>
      </c>
      <c r="Q445" s="9">
        <v>14342</v>
      </c>
      <c r="R445" s="9">
        <v>175963</v>
      </c>
      <c r="S445" s="9">
        <v>-94358</v>
      </c>
      <c r="T445" s="10">
        <v>40049</v>
      </c>
      <c r="U445" s="10">
        <v>949</v>
      </c>
    </row>
    <row r="446" spans="1:21" x14ac:dyDescent="0.35">
      <c r="A446" t="s">
        <v>15</v>
      </c>
      <c r="B446" t="s">
        <v>20</v>
      </c>
      <c r="C446" t="s">
        <v>21</v>
      </c>
      <c r="D446">
        <v>188399</v>
      </c>
      <c r="E446">
        <v>30004</v>
      </c>
      <c r="F446">
        <v>28213</v>
      </c>
      <c r="G446">
        <v>-174908</v>
      </c>
      <c r="H446">
        <v>71708</v>
      </c>
      <c r="I446">
        <v>73794</v>
      </c>
      <c r="J446">
        <v>1261</v>
      </c>
      <c r="K446">
        <v>440238</v>
      </c>
      <c r="L446">
        <v>176943</v>
      </c>
      <c r="M446">
        <v>-77229</v>
      </c>
      <c r="N446">
        <v>92076</v>
      </c>
      <c r="O446" t="s">
        <v>464</v>
      </c>
      <c r="P446" s="9">
        <v>163230</v>
      </c>
      <c r="Q446" s="9">
        <v>28058</v>
      </c>
      <c r="R446" s="9">
        <v>191288</v>
      </c>
      <c r="S446" s="9">
        <v>-75975</v>
      </c>
      <c r="T446" s="10">
        <v>65568</v>
      </c>
      <c r="U446" s="10">
        <v>1773</v>
      </c>
    </row>
    <row r="447" spans="1:21" x14ac:dyDescent="0.35">
      <c r="A447" t="s">
        <v>15</v>
      </c>
      <c r="B447" t="s">
        <v>16</v>
      </c>
      <c r="C447" t="s">
        <v>21</v>
      </c>
      <c r="D447">
        <v>212720</v>
      </c>
      <c r="E447">
        <v>25193</v>
      </c>
      <c r="F447">
        <v>31389</v>
      </c>
      <c r="G447">
        <v>-192426</v>
      </c>
      <c r="H447">
        <v>76876</v>
      </c>
      <c r="I447">
        <v>75490</v>
      </c>
      <c r="J447">
        <v>1434</v>
      </c>
      <c r="K447">
        <v>696942</v>
      </c>
      <c r="L447">
        <v>70933</v>
      </c>
      <c r="M447">
        <v>-178647</v>
      </c>
      <c r="N447">
        <v>122878</v>
      </c>
      <c r="O447" t="s">
        <v>465</v>
      </c>
      <c r="P447" s="9">
        <v>268842</v>
      </c>
      <c r="Q447" s="9">
        <v>32856</v>
      </c>
      <c r="R447" s="9">
        <v>301698</v>
      </c>
      <c r="S447" s="9">
        <v>-131047</v>
      </c>
      <c r="T447" s="10">
        <v>121740</v>
      </c>
      <c r="U447" s="10">
        <v>2705</v>
      </c>
    </row>
    <row r="448" spans="1:21" x14ac:dyDescent="0.35">
      <c r="A448" t="s">
        <v>15</v>
      </c>
      <c r="B448" t="s">
        <v>20</v>
      </c>
      <c r="C448" t="s">
        <v>21</v>
      </c>
      <c r="D448">
        <v>194962</v>
      </c>
      <c r="E448">
        <v>21152</v>
      </c>
      <c r="F448">
        <v>35563</v>
      </c>
      <c r="G448">
        <v>-191057</v>
      </c>
      <c r="H448">
        <v>60620</v>
      </c>
      <c r="I448">
        <v>54963</v>
      </c>
      <c r="J448">
        <v>1601</v>
      </c>
      <c r="K448">
        <v>778107</v>
      </c>
      <c r="L448">
        <v>332507</v>
      </c>
      <c r="M448">
        <v>-201288</v>
      </c>
      <c r="N448">
        <v>136945</v>
      </c>
      <c r="O448" t="s">
        <v>466</v>
      </c>
      <c r="P448" s="9">
        <v>265983</v>
      </c>
      <c r="Q448" s="9">
        <v>32572</v>
      </c>
      <c r="R448" s="9">
        <v>298555</v>
      </c>
      <c r="S448" s="9">
        <v>-73502</v>
      </c>
      <c r="T448" s="10">
        <v>117883</v>
      </c>
      <c r="U448" s="10">
        <v>2012</v>
      </c>
    </row>
    <row r="449" spans="1:21" x14ac:dyDescent="0.35">
      <c r="A449" t="s">
        <v>15</v>
      </c>
      <c r="B449" t="s">
        <v>20</v>
      </c>
      <c r="C449" t="s">
        <v>17</v>
      </c>
      <c r="D449">
        <v>227610</v>
      </c>
      <c r="E449">
        <v>31357</v>
      </c>
      <c r="F449">
        <v>52363</v>
      </c>
      <c r="G449">
        <v>-194345</v>
      </c>
      <c r="H449">
        <v>116985</v>
      </c>
      <c r="I449">
        <v>110371</v>
      </c>
      <c r="J449">
        <v>2544</v>
      </c>
      <c r="K449">
        <v>717801</v>
      </c>
      <c r="L449">
        <v>345985</v>
      </c>
      <c r="M449">
        <v>-214217</v>
      </c>
      <c r="N449">
        <v>128446</v>
      </c>
      <c r="O449" t="s">
        <v>467</v>
      </c>
      <c r="P449" s="9">
        <v>142164</v>
      </c>
      <c r="Q449" s="9">
        <v>18626</v>
      </c>
      <c r="R449" s="9">
        <v>160790</v>
      </c>
      <c r="S449" s="9">
        <v>-93744</v>
      </c>
      <c r="T449" s="10">
        <v>52432</v>
      </c>
      <c r="U449" s="10">
        <v>1111</v>
      </c>
    </row>
    <row r="450" spans="1:21" x14ac:dyDescent="0.35">
      <c r="A450" t="s">
        <v>15</v>
      </c>
      <c r="B450" t="s">
        <v>16</v>
      </c>
      <c r="C450" t="s">
        <v>21</v>
      </c>
      <c r="D450">
        <v>298696</v>
      </c>
      <c r="E450">
        <v>58730</v>
      </c>
      <c r="F450">
        <v>59931</v>
      </c>
      <c r="G450">
        <v>-297146</v>
      </c>
      <c r="H450">
        <v>120211</v>
      </c>
      <c r="I450">
        <v>122801</v>
      </c>
      <c r="J450">
        <v>2867</v>
      </c>
      <c r="K450">
        <v>611621</v>
      </c>
      <c r="L450">
        <v>289268</v>
      </c>
      <c r="M450">
        <v>-138691</v>
      </c>
      <c r="N450">
        <v>166280</v>
      </c>
      <c r="O450" t="s">
        <v>468</v>
      </c>
      <c r="P450" s="9">
        <v>172065</v>
      </c>
      <c r="Q450" s="9">
        <v>21774</v>
      </c>
      <c r="R450" s="9">
        <v>193839</v>
      </c>
      <c r="S450" s="9">
        <v>-116166</v>
      </c>
      <c r="T450" s="10">
        <v>43674</v>
      </c>
      <c r="U450" s="10">
        <v>822</v>
      </c>
    </row>
    <row r="451" spans="1:21" x14ac:dyDescent="0.35">
      <c r="A451" t="s">
        <v>15</v>
      </c>
      <c r="B451" t="s">
        <v>16</v>
      </c>
      <c r="C451" t="s">
        <v>21</v>
      </c>
      <c r="D451">
        <v>222551</v>
      </c>
      <c r="E451">
        <v>28760</v>
      </c>
      <c r="F451">
        <v>33516</v>
      </c>
      <c r="G451">
        <v>-220761</v>
      </c>
      <c r="H451">
        <v>64066</v>
      </c>
      <c r="I451">
        <v>61188</v>
      </c>
      <c r="J451">
        <v>723</v>
      </c>
      <c r="K451">
        <v>560937</v>
      </c>
      <c r="L451">
        <v>258931</v>
      </c>
      <c r="M451">
        <v>-169812</v>
      </c>
      <c r="N451">
        <v>190311</v>
      </c>
      <c r="O451" t="s">
        <v>469</v>
      </c>
      <c r="P451" s="9">
        <v>204567</v>
      </c>
      <c r="Q451" s="9">
        <v>9688</v>
      </c>
      <c r="R451" s="9">
        <v>214255</v>
      </c>
      <c r="S451" s="9">
        <v>-96840</v>
      </c>
      <c r="T451" s="10">
        <v>33190</v>
      </c>
      <c r="U451" s="10">
        <v>350</v>
      </c>
    </row>
    <row r="452" spans="1:21" x14ac:dyDescent="0.35">
      <c r="A452" t="s">
        <v>15</v>
      </c>
      <c r="B452" t="s">
        <v>20</v>
      </c>
      <c r="C452" t="s">
        <v>21</v>
      </c>
      <c r="D452">
        <v>198909</v>
      </c>
      <c r="E452">
        <v>10759</v>
      </c>
      <c r="F452">
        <v>22816</v>
      </c>
      <c r="G452">
        <v>-189680</v>
      </c>
      <c r="H452">
        <v>42804</v>
      </c>
      <c r="I452">
        <v>44520</v>
      </c>
      <c r="J452">
        <v>1263</v>
      </c>
      <c r="K452">
        <v>791849</v>
      </c>
      <c r="L452">
        <v>379381</v>
      </c>
      <c r="M452">
        <v>-135645</v>
      </c>
      <c r="N452">
        <v>131018</v>
      </c>
      <c r="O452" t="s">
        <v>470</v>
      </c>
      <c r="P452" s="9">
        <v>274052</v>
      </c>
      <c r="Q452" s="9">
        <v>29917</v>
      </c>
      <c r="R452" s="9">
        <v>303969</v>
      </c>
      <c r="S452" s="9">
        <v>-138628</v>
      </c>
      <c r="T452" s="10">
        <v>104986</v>
      </c>
      <c r="U452" s="10">
        <v>2265</v>
      </c>
    </row>
    <row r="453" spans="1:21" x14ac:dyDescent="0.35">
      <c r="A453" t="s">
        <v>15</v>
      </c>
      <c r="B453" t="s">
        <v>16</v>
      </c>
      <c r="C453" t="s">
        <v>21</v>
      </c>
      <c r="D453">
        <v>258528</v>
      </c>
      <c r="E453">
        <v>26585</v>
      </c>
      <c r="F453">
        <v>35854</v>
      </c>
      <c r="G453">
        <v>-234224</v>
      </c>
      <c r="H453">
        <v>86743</v>
      </c>
      <c r="I453">
        <v>87853</v>
      </c>
      <c r="J453">
        <v>1009</v>
      </c>
      <c r="K453">
        <v>597293</v>
      </c>
      <c r="L453">
        <v>96410</v>
      </c>
      <c r="M453">
        <v>-170979</v>
      </c>
      <c r="N453">
        <v>196241</v>
      </c>
      <c r="O453" t="s">
        <v>471</v>
      </c>
      <c r="P453" s="9">
        <v>210063</v>
      </c>
      <c r="Q453" s="9">
        <v>43787</v>
      </c>
      <c r="R453" s="9">
        <v>253850</v>
      </c>
      <c r="S453" s="9">
        <v>-59742</v>
      </c>
      <c r="T453" s="10">
        <v>90022</v>
      </c>
      <c r="U453" s="10">
        <v>1498</v>
      </c>
    </row>
    <row r="454" spans="1:21" x14ac:dyDescent="0.35">
      <c r="A454" t="s">
        <v>15</v>
      </c>
      <c r="B454" t="s">
        <v>16</v>
      </c>
      <c r="C454" t="s">
        <v>21</v>
      </c>
      <c r="D454">
        <v>287801</v>
      </c>
      <c r="E454">
        <v>17582</v>
      </c>
      <c r="F454">
        <v>62869</v>
      </c>
      <c r="G454">
        <v>-284372</v>
      </c>
      <c r="H454">
        <v>83880</v>
      </c>
      <c r="I454">
        <v>77057</v>
      </c>
      <c r="J454">
        <v>2113</v>
      </c>
      <c r="K454">
        <v>1016758</v>
      </c>
      <c r="L454">
        <v>318745</v>
      </c>
      <c r="M454">
        <v>-162987</v>
      </c>
      <c r="N454">
        <v>237502</v>
      </c>
      <c r="O454" t="s">
        <v>472</v>
      </c>
      <c r="P454" s="9">
        <v>147925</v>
      </c>
      <c r="Q454" s="9">
        <v>34086</v>
      </c>
      <c r="R454" s="9">
        <v>182011</v>
      </c>
      <c r="S454" s="9">
        <v>-47704</v>
      </c>
      <c r="T454" s="10">
        <v>72361</v>
      </c>
      <c r="U454" s="10">
        <v>1367</v>
      </c>
    </row>
    <row r="455" spans="1:21" x14ac:dyDescent="0.35">
      <c r="A455" t="s">
        <v>15</v>
      </c>
      <c r="B455" t="s">
        <v>16</v>
      </c>
      <c r="C455" t="s">
        <v>21</v>
      </c>
      <c r="D455">
        <v>272757</v>
      </c>
      <c r="E455">
        <v>46473</v>
      </c>
      <c r="F455">
        <v>64445</v>
      </c>
      <c r="G455">
        <v>-260346</v>
      </c>
      <c r="H455">
        <v>123329</v>
      </c>
      <c r="I455">
        <v>118983</v>
      </c>
      <c r="J455">
        <v>3267</v>
      </c>
      <c r="K455">
        <v>917317</v>
      </c>
      <c r="L455">
        <v>194617</v>
      </c>
      <c r="M455">
        <v>-304832</v>
      </c>
      <c r="N455">
        <v>131332</v>
      </c>
      <c r="O455" t="s">
        <v>473</v>
      </c>
      <c r="P455" s="9">
        <v>299296</v>
      </c>
      <c r="Q455" s="9">
        <v>43547</v>
      </c>
      <c r="R455" s="9">
        <v>342843</v>
      </c>
      <c r="S455" s="9">
        <v>-160978</v>
      </c>
      <c r="T455" s="10">
        <v>157389</v>
      </c>
      <c r="U455" s="10">
        <v>3296</v>
      </c>
    </row>
    <row r="456" spans="1:21" x14ac:dyDescent="0.35">
      <c r="A456" t="s">
        <v>15</v>
      </c>
      <c r="B456" t="s">
        <v>16</v>
      </c>
      <c r="C456" t="s">
        <v>21</v>
      </c>
      <c r="D456">
        <v>247698</v>
      </c>
      <c r="E456">
        <v>31158</v>
      </c>
      <c r="F456">
        <v>34629</v>
      </c>
      <c r="G456">
        <v>-234679</v>
      </c>
      <c r="H456">
        <v>78806</v>
      </c>
      <c r="I456">
        <v>78297</v>
      </c>
      <c r="J456">
        <v>1389</v>
      </c>
      <c r="K456">
        <v>642865</v>
      </c>
      <c r="L456">
        <v>298981</v>
      </c>
      <c r="M456">
        <v>-82325</v>
      </c>
      <c r="N456">
        <v>204461</v>
      </c>
      <c r="O456" t="s">
        <v>474</v>
      </c>
      <c r="P456" s="9">
        <v>220049</v>
      </c>
      <c r="Q456" s="9">
        <v>23853</v>
      </c>
      <c r="R456" s="9">
        <v>243902</v>
      </c>
      <c r="S456" s="9">
        <v>-129722</v>
      </c>
      <c r="T456" s="10">
        <v>58255</v>
      </c>
      <c r="U456" s="10">
        <v>1455</v>
      </c>
    </row>
    <row r="457" spans="1:21" x14ac:dyDescent="0.35">
      <c r="A457" t="s">
        <v>15</v>
      </c>
      <c r="B457" t="s">
        <v>16</v>
      </c>
      <c r="C457" t="s">
        <v>21</v>
      </c>
      <c r="D457">
        <v>179754</v>
      </c>
      <c r="E457">
        <v>24431</v>
      </c>
      <c r="F457">
        <v>43930</v>
      </c>
      <c r="G457">
        <v>-145976</v>
      </c>
      <c r="H457">
        <v>102139</v>
      </c>
      <c r="I457">
        <v>98336</v>
      </c>
      <c r="J457">
        <v>2675</v>
      </c>
      <c r="K457">
        <v>650596</v>
      </c>
      <c r="L457">
        <v>284391</v>
      </c>
      <c r="M457">
        <v>-102878</v>
      </c>
      <c r="N457">
        <v>117985</v>
      </c>
      <c r="O457" t="s">
        <v>475</v>
      </c>
      <c r="P457" s="9">
        <v>150593</v>
      </c>
      <c r="Q457" s="9">
        <v>17817</v>
      </c>
      <c r="R457" s="9">
        <v>168410</v>
      </c>
      <c r="S457" s="9">
        <v>-73104</v>
      </c>
      <c r="T457" s="10">
        <v>49262</v>
      </c>
      <c r="U457" s="10">
        <v>782</v>
      </c>
    </row>
    <row r="458" spans="1:21" x14ac:dyDescent="0.35">
      <c r="A458" t="s">
        <v>15</v>
      </c>
      <c r="B458" t="s">
        <v>16</v>
      </c>
      <c r="C458" t="s">
        <v>21</v>
      </c>
      <c r="D458">
        <v>218590</v>
      </c>
      <c r="E458">
        <v>11169</v>
      </c>
      <c r="F458">
        <v>46668</v>
      </c>
      <c r="G458">
        <v>-178730</v>
      </c>
      <c r="H458">
        <v>97697</v>
      </c>
      <c r="I458">
        <v>89221</v>
      </c>
      <c r="J458">
        <v>2088</v>
      </c>
      <c r="K458">
        <v>581791</v>
      </c>
      <c r="L458">
        <v>209263</v>
      </c>
      <c r="M458">
        <v>-85667</v>
      </c>
      <c r="N458">
        <v>117998</v>
      </c>
      <c r="O458" t="s">
        <v>476</v>
      </c>
      <c r="P458" s="9">
        <v>262366</v>
      </c>
      <c r="Q458" s="9">
        <v>42868</v>
      </c>
      <c r="R458" s="9">
        <v>305234</v>
      </c>
      <c r="S458" s="9">
        <v>-62512</v>
      </c>
      <c r="T458" s="10">
        <v>107123</v>
      </c>
      <c r="U458" s="10">
        <v>1722</v>
      </c>
    </row>
    <row r="459" spans="1:21" x14ac:dyDescent="0.35">
      <c r="A459" t="s">
        <v>15</v>
      </c>
      <c r="B459" t="s">
        <v>16</v>
      </c>
      <c r="C459" t="s">
        <v>21</v>
      </c>
      <c r="D459">
        <v>290248</v>
      </c>
      <c r="E459">
        <v>30536</v>
      </c>
      <c r="F459">
        <v>61368</v>
      </c>
      <c r="G459">
        <v>-286655</v>
      </c>
      <c r="H459">
        <v>95497</v>
      </c>
      <c r="I459">
        <v>91746</v>
      </c>
      <c r="J459">
        <v>2045</v>
      </c>
      <c r="K459">
        <v>692911</v>
      </c>
      <c r="L459">
        <v>158143</v>
      </c>
      <c r="M459">
        <v>-122656</v>
      </c>
      <c r="N459">
        <v>158127</v>
      </c>
      <c r="O459" t="s">
        <v>477</v>
      </c>
      <c r="P459" s="9">
        <v>229332</v>
      </c>
      <c r="Q459" s="9">
        <v>24700</v>
      </c>
      <c r="R459" s="9">
        <v>254032</v>
      </c>
      <c r="S459" s="9">
        <v>-144509</v>
      </c>
      <c r="T459" s="10">
        <v>89224</v>
      </c>
      <c r="U459" s="10">
        <v>1798</v>
      </c>
    </row>
    <row r="460" spans="1:21" x14ac:dyDescent="0.35">
      <c r="A460" t="s">
        <v>15</v>
      </c>
      <c r="B460" t="s">
        <v>20</v>
      </c>
      <c r="C460" t="s">
        <v>21</v>
      </c>
      <c r="D460">
        <v>248920</v>
      </c>
      <c r="E460">
        <v>46624</v>
      </c>
      <c r="F460">
        <v>51239</v>
      </c>
      <c r="G460">
        <v>-246058</v>
      </c>
      <c r="H460">
        <v>100725</v>
      </c>
      <c r="I460">
        <v>102517</v>
      </c>
      <c r="J460">
        <v>1551</v>
      </c>
      <c r="K460">
        <v>769068</v>
      </c>
      <c r="L460">
        <v>327045</v>
      </c>
      <c r="M460">
        <v>-290330</v>
      </c>
      <c r="N460">
        <v>158198</v>
      </c>
      <c r="O460" t="s">
        <v>478</v>
      </c>
      <c r="P460" s="9">
        <v>220493</v>
      </c>
      <c r="Q460" s="9">
        <v>32886</v>
      </c>
      <c r="R460" s="9">
        <v>253379</v>
      </c>
      <c r="S460" s="9">
        <v>-109468</v>
      </c>
      <c r="T460" s="10">
        <v>117238</v>
      </c>
      <c r="U460" s="10">
        <v>2008</v>
      </c>
    </row>
    <row r="461" spans="1:21" x14ac:dyDescent="0.35">
      <c r="A461" t="s">
        <v>15</v>
      </c>
      <c r="B461" t="s">
        <v>16</v>
      </c>
      <c r="C461" t="s">
        <v>17</v>
      </c>
      <c r="D461">
        <v>271724</v>
      </c>
      <c r="E461">
        <v>38506</v>
      </c>
      <c r="F461">
        <v>59139</v>
      </c>
      <c r="G461">
        <v>-226279</v>
      </c>
      <c r="H461">
        <v>143090</v>
      </c>
      <c r="I461">
        <v>138797</v>
      </c>
      <c r="J461">
        <v>3400</v>
      </c>
      <c r="K461">
        <v>615172</v>
      </c>
      <c r="L461">
        <v>132039</v>
      </c>
      <c r="M461">
        <v>-228658</v>
      </c>
      <c r="N461">
        <v>228786</v>
      </c>
      <c r="O461" t="s">
        <v>479</v>
      </c>
      <c r="P461" s="9">
        <v>246156</v>
      </c>
      <c r="Q461" s="9">
        <v>43119</v>
      </c>
      <c r="R461" s="9">
        <v>289275</v>
      </c>
      <c r="S461" s="9">
        <v>-58310</v>
      </c>
      <c r="T461" s="10">
        <v>106592</v>
      </c>
      <c r="U461" s="10">
        <v>1767</v>
      </c>
    </row>
    <row r="462" spans="1:21" x14ac:dyDescent="0.35">
      <c r="A462" t="s">
        <v>15</v>
      </c>
      <c r="B462" t="s">
        <v>20</v>
      </c>
      <c r="C462" t="s">
        <v>21</v>
      </c>
      <c r="D462">
        <v>222982</v>
      </c>
      <c r="E462">
        <v>43381</v>
      </c>
      <c r="F462">
        <v>47219</v>
      </c>
      <c r="G462">
        <v>-186594</v>
      </c>
      <c r="H462">
        <v>126988</v>
      </c>
      <c r="I462">
        <v>127524</v>
      </c>
      <c r="J462">
        <v>2568</v>
      </c>
      <c r="K462">
        <v>672268</v>
      </c>
      <c r="L462">
        <v>93194</v>
      </c>
      <c r="M462">
        <v>-173137</v>
      </c>
      <c r="N462">
        <v>180673</v>
      </c>
      <c r="O462" t="s">
        <v>480</v>
      </c>
      <c r="P462" s="9">
        <v>242804</v>
      </c>
      <c r="Q462" s="9">
        <v>15602</v>
      </c>
      <c r="R462" s="9">
        <v>258406</v>
      </c>
      <c r="S462" s="9">
        <v>-68937</v>
      </c>
      <c r="T462" s="10">
        <v>66830</v>
      </c>
      <c r="U462" s="10">
        <v>925</v>
      </c>
    </row>
    <row r="463" spans="1:21" x14ac:dyDescent="0.35">
      <c r="A463" t="s">
        <v>15</v>
      </c>
      <c r="B463" t="s">
        <v>16</v>
      </c>
      <c r="C463" t="s">
        <v>21</v>
      </c>
      <c r="D463">
        <v>224431</v>
      </c>
      <c r="E463">
        <v>38203</v>
      </c>
      <c r="F463">
        <v>40822</v>
      </c>
      <c r="G463">
        <v>-182753</v>
      </c>
      <c r="H463">
        <v>120703</v>
      </c>
      <c r="I463">
        <v>121304</v>
      </c>
      <c r="J463">
        <v>2634</v>
      </c>
      <c r="K463">
        <v>529612</v>
      </c>
      <c r="L463">
        <v>240789</v>
      </c>
      <c r="M463">
        <v>-123737</v>
      </c>
      <c r="N463">
        <v>201332</v>
      </c>
      <c r="O463" t="s">
        <v>481</v>
      </c>
      <c r="P463" s="9">
        <v>292162</v>
      </c>
      <c r="Q463" s="9">
        <v>42246</v>
      </c>
      <c r="R463" s="9">
        <v>334408</v>
      </c>
      <c r="S463" s="9">
        <v>-80491</v>
      </c>
      <c r="T463" s="10">
        <v>117207</v>
      </c>
      <c r="U463" s="10">
        <v>1542</v>
      </c>
    </row>
    <row r="464" spans="1:21" x14ac:dyDescent="0.35">
      <c r="A464" t="s">
        <v>15</v>
      </c>
      <c r="B464" t="s">
        <v>20</v>
      </c>
      <c r="C464" t="s">
        <v>17</v>
      </c>
      <c r="D464">
        <v>277803</v>
      </c>
      <c r="E464">
        <v>24230</v>
      </c>
      <c r="F464">
        <v>34721</v>
      </c>
      <c r="G464">
        <v>-240548</v>
      </c>
      <c r="H464">
        <v>96206</v>
      </c>
      <c r="I464">
        <v>100188</v>
      </c>
      <c r="J464">
        <v>2244</v>
      </c>
      <c r="K464">
        <v>780098</v>
      </c>
      <c r="L464">
        <v>165035</v>
      </c>
      <c r="M464">
        <v>-190538</v>
      </c>
      <c r="N464">
        <v>89617</v>
      </c>
      <c r="O464" t="s">
        <v>482</v>
      </c>
      <c r="P464" s="9">
        <v>171716</v>
      </c>
      <c r="Q464" s="9">
        <v>21084</v>
      </c>
      <c r="R464" s="9">
        <v>192800</v>
      </c>
      <c r="S464" s="9">
        <v>-70069</v>
      </c>
      <c r="T464" s="10">
        <v>72967</v>
      </c>
      <c r="U464" s="10">
        <v>1277</v>
      </c>
    </row>
    <row r="465" spans="1:21" x14ac:dyDescent="0.35">
      <c r="A465" t="s">
        <v>15</v>
      </c>
      <c r="B465" t="s">
        <v>16</v>
      </c>
      <c r="C465" t="s">
        <v>21</v>
      </c>
      <c r="D465">
        <v>299910</v>
      </c>
      <c r="E465">
        <v>33817</v>
      </c>
      <c r="F465">
        <v>71869</v>
      </c>
      <c r="G465">
        <v>-293244</v>
      </c>
      <c r="H465">
        <v>112352</v>
      </c>
      <c r="I465">
        <v>110386</v>
      </c>
      <c r="J465">
        <v>2655</v>
      </c>
      <c r="K465">
        <v>609863</v>
      </c>
      <c r="L465">
        <v>288816</v>
      </c>
      <c r="M465">
        <v>-143987</v>
      </c>
      <c r="N465">
        <v>182342</v>
      </c>
      <c r="O465" t="s">
        <v>483</v>
      </c>
      <c r="P465" s="9">
        <v>187670</v>
      </c>
      <c r="Q465" s="9">
        <v>37227</v>
      </c>
      <c r="R465" s="9">
        <v>224897</v>
      </c>
      <c r="S465" s="9">
        <v>-107044</v>
      </c>
      <c r="T465" s="10">
        <v>84539</v>
      </c>
      <c r="U465" s="10">
        <v>911</v>
      </c>
    </row>
    <row r="466" spans="1:21" x14ac:dyDescent="0.35">
      <c r="A466" t="s">
        <v>15</v>
      </c>
      <c r="B466" t="s">
        <v>16</v>
      </c>
      <c r="C466" t="s">
        <v>21</v>
      </c>
      <c r="D466">
        <v>277299</v>
      </c>
      <c r="E466">
        <v>37494</v>
      </c>
      <c r="F466">
        <v>35899</v>
      </c>
      <c r="G466">
        <v>-255753</v>
      </c>
      <c r="H466">
        <v>94939</v>
      </c>
      <c r="I466">
        <v>90330</v>
      </c>
      <c r="J466">
        <v>2466</v>
      </c>
      <c r="K466">
        <v>643470</v>
      </c>
      <c r="L466">
        <v>280519</v>
      </c>
      <c r="M466">
        <v>-243889</v>
      </c>
      <c r="N466">
        <v>209347</v>
      </c>
      <c r="O466" t="s">
        <v>484</v>
      </c>
      <c r="P466" s="9">
        <v>278280</v>
      </c>
      <c r="Q466" s="9">
        <v>18745</v>
      </c>
      <c r="R466" s="9">
        <v>297025</v>
      </c>
      <c r="S466" s="9">
        <v>-160829</v>
      </c>
      <c r="T466" s="10">
        <v>90527</v>
      </c>
      <c r="U466" s="10">
        <v>2040</v>
      </c>
    </row>
    <row r="467" spans="1:21" x14ac:dyDescent="0.35">
      <c r="A467" t="s">
        <v>15</v>
      </c>
      <c r="B467" t="s">
        <v>20</v>
      </c>
      <c r="C467" t="s">
        <v>17</v>
      </c>
      <c r="D467">
        <v>217976</v>
      </c>
      <c r="E467">
        <v>27825</v>
      </c>
      <c r="F467">
        <v>43709</v>
      </c>
      <c r="G467">
        <v>-216287</v>
      </c>
      <c r="H467">
        <v>73223</v>
      </c>
      <c r="I467">
        <v>73197</v>
      </c>
      <c r="J467">
        <v>1544</v>
      </c>
      <c r="K467">
        <v>553716</v>
      </c>
      <c r="L467">
        <v>148418</v>
      </c>
      <c r="M467">
        <v>-57142</v>
      </c>
      <c r="N467">
        <v>71921</v>
      </c>
      <c r="O467" t="s">
        <v>485</v>
      </c>
      <c r="P467" s="9">
        <v>288737</v>
      </c>
      <c r="Q467" s="9">
        <v>41619</v>
      </c>
      <c r="R467" s="9">
        <v>330356</v>
      </c>
      <c r="S467" s="9">
        <v>-146308</v>
      </c>
      <c r="T467" s="10">
        <v>103175</v>
      </c>
      <c r="U467" s="10">
        <v>1888</v>
      </c>
    </row>
    <row r="468" spans="1:21" x14ac:dyDescent="0.35">
      <c r="A468" t="s">
        <v>15</v>
      </c>
      <c r="B468" t="s">
        <v>20</v>
      </c>
      <c r="C468" t="s">
        <v>21</v>
      </c>
      <c r="D468">
        <v>234035</v>
      </c>
      <c r="E468">
        <v>18590</v>
      </c>
      <c r="F468">
        <v>33155</v>
      </c>
      <c r="G468">
        <v>-192141</v>
      </c>
      <c r="H468">
        <v>93639</v>
      </c>
      <c r="I468">
        <v>92933</v>
      </c>
      <c r="J468">
        <v>2666</v>
      </c>
      <c r="K468">
        <v>828871</v>
      </c>
      <c r="L468">
        <v>306820</v>
      </c>
      <c r="M468">
        <v>-249049</v>
      </c>
      <c r="N468">
        <v>80302</v>
      </c>
      <c r="O468" t="s">
        <v>486</v>
      </c>
      <c r="P468" s="9">
        <v>175689</v>
      </c>
      <c r="Q468" s="9">
        <v>13058</v>
      </c>
      <c r="R468" s="9">
        <v>188747</v>
      </c>
      <c r="S468" s="9">
        <v>-38433</v>
      </c>
      <c r="T468" s="10">
        <v>83517</v>
      </c>
      <c r="U468" s="10">
        <v>2114</v>
      </c>
    </row>
    <row r="469" spans="1:21" x14ac:dyDescent="0.35">
      <c r="A469" t="s">
        <v>15</v>
      </c>
      <c r="B469" t="s">
        <v>20</v>
      </c>
      <c r="C469" t="s">
        <v>21</v>
      </c>
      <c r="D469">
        <v>276311</v>
      </c>
      <c r="E469">
        <v>36973</v>
      </c>
      <c r="F469">
        <v>64440</v>
      </c>
      <c r="G469">
        <v>-250638</v>
      </c>
      <c r="H469">
        <v>127086</v>
      </c>
      <c r="I469">
        <v>120828</v>
      </c>
      <c r="J469">
        <v>2635</v>
      </c>
      <c r="K469">
        <v>1012011</v>
      </c>
      <c r="L469">
        <v>167127</v>
      </c>
      <c r="M469">
        <v>-179274</v>
      </c>
      <c r="N469">
        <v>240409</v>
      </c>
      <c r="O469" t="s">
        <v>487</v>
      </c>
      <c r="P469" s="9">
        <v>238650</v>
      </c>
      <c r="Q469" s="9">
        <v>12788</v>
      </c>
      <c r="R469" s="9">
        <v>251438</v>
      </c>
      <c r="S469" s="9">
        <v>-129889</v>
      </c>
      <c r="T469" s="10">
        <v>67544</v>
      </c>
      <c r="U469" s="10">
        <v>1731</v>
      </c>
    </row>
    <row r="470" spans="1:21" x14ac:dyDescent="0.35">
      <c r="A470" t="s">
        <v>15</v>
      </c>
      <c r="B470" t="s">
        <v>16</v>
      </c>
      <c r="C470" t="s">
        <v>17</v>
      </c>
      <c r="D470">
        <v>215664</v>
      </c>
      <c r="E470">
        <v>12049</v>
      </c>
      <c r="F470">
        <v>25270</v>
      </c>
      <c r="G470">
        <v>-213433</v>
      </c>
      <c r="H470">
        <v>39550</v>
      </c>
      <c r="I470">
        <v>39336</v>
      </c>
      <c r="J470">
        <v>1094</v>
      </c>
      <c r="K470">
        <v>704608</v>
      </c>
      <c r="L470">
        <v>283742</v>
      </c>
      <c r="M470">
        <v>-185411</v>
      </c>
      <c r="N470">
        <v>69182</v>
      </c>
      <c r="O470" t="s">
        <v>488</v>
      </c>
      <c r="P470" s="9">
        <v>259827</v>
      </c>
      <c r="Q470" s="9">
        <v>32841</v>
      </c>
      <c r="R470" s="9">
        <v>292668</v>
      </c>
      <c r="S470" s="9">
        <v>-69433</v>
      </c>
      <c r="T470" s="10">
        <v>81738</v>
      </c>
      <c r="U470" s="10">
        <v>2073</v>
      </c>
    </row>
    <row r="471" spans="1:21" x14ac:dyDescent="0.35">
      <c r="A471" t="s">
        <v>15</v>
      </c>
      <c r="B471" t="s">
        <v>16</v>
      </c>
      <c r="C471" t="s">
        <v>21</v>
      </c>
      <c r="D471">
        <v>231249</v>
      </c>
      <c r="E471">
        <v>43773</v>
      </c>
      <c r="F471">
        <v>47965</v>
      </c>
      <c r="G471">
        <v>-203982</v>
      </c>
      <c r="H471">
        <v>119005</v>
      </c>
      <c r="I471">
        <v>108152</v>
      </c>
      <c r="J471">
        <v>2797</v>
      </c>
      <c r="K471">
        <v>838647</v>
      </c>
      <c r="L471">
        <v>236424</v>
      </c>
      <c r="M471">
        <v>-325363</v>
      </c>
      <c r="N471">
        <v>201172</v>
      </c>
      <c r="O471" t="s">
        <v>489</v>
      </c>
      <c r="P471" s="9">
        <v>141863</v>
      </c>
      <c r="Q471" s="9">
        <v>22102</v>
      </c>
      <c r="R471" s="9">
        <v>163965</v>
      </c>
      <c r="S471" s="9">
        <v>-38075</v>
      </c>
      <c r="T471" s="10">
        <v>42504</v>
      </c>
      <c r="U471" s="10">
        <v>843</v>
      </c>
    </row>
    <row r="472" spans="1:21" x14ac:dyDescent="0.35">
      <c r="A472" t="s">
        <v>15</v>
      </c>
      <c r="B472" t="s">
        <v>16</v>
      </c>
      <c r="C472" t="s">
        <v>21</v>
      </c>
      <c r="D472">
        <v>234811</v>
      </c>
      <c r="E472">
        <v>32643</v>
      </c>
      <c r="F472">
        <v>28777</v>
      </c>
      <c r="G472">
        <v>-227964</v>
      </c>
      <c r="H472">
        <v>68267</v>
      </c>
      <c r="I472">
        <v>65105</v>
      </c>
      <c r="J472">
        <v>1879</v>
      </c>
      <c r="K472">
        <v>718602</v>
      </c>
      <c r="L472">
        <v>139339</v>
      </c>
      <c r="M472">
        <v>-203986</v>
      </c>
      <c r="N472">
        <v>78136</v>
      </c>
      <c r="O472" t="s">
        <v>490</v>
      </c>
      <c r="P472" s="9">
        <v>196147</v>
      </c>
      <c r="Q472" s="9">
        <v>20087</v>
      </c>
      <c r="R472" s="9">
        <v>216234</v>
      </c>
      <c r="S472" s="9">
        <v>-55345</v>
      </c>
      <c r="T472" s="10">
        <v>67462</v>
      </c>
      <c r="U472" s="10">
        <v>1209</v>
      </c>
    </row>
    <row r="473" spans="1:21" x14ac:dyDescent="0.35">
      <c r="A473" t="s">
        <v>15</v>
      </c>
      <c r="B473" t="s">
        <v>20</v>
      </c>
      <c r="C473" t="s">
        <v>21</v>
      </c>
      <c r="D473">
        <v>278683</v>
      </c>
      <c r="E473">
        <v>36348</v>
      </c>
      <c r="F473">
        <v>38253</v>
      </c>
      <c r="G473">
        <v>-268268</v>
      </c>
      <c r="H473">
        <v>85016</v>
      </c>
      <c r="I473">
        <v>78021</v>
      </c>
      <c r="J473">
        <v>1268</v>
      </c>
      <c r="K473">
        <v>656985</v>
      </c>
      <c r="L473">
        <v>186478</v>
      </c>
      <c r="M473">
        <v>-187951</v>
      </c>
      <c r="N473">
        <v>225953</v>
      </c>
      <c r="O473" t="s">
        <v>491</v>
      </c>
      <c r="P473" s="9">
        <v>227181</v>
      </c>
      <c r="Q473" s="9">
        <v>39506</v>
      </c>
      <c r="R473" s="9">
        <v>266687</v>
      </c>
      <c r="S473" s="9">
        <v>-87389</v>
      </c>
      <c r="T473" s="10">
        <v>114544</v>
      </c>
      <c r="U473" s="10">
        <v>2624</v>
      </c>
    </row>
    <row r="474" spans="1:21" x14ac:dyDescent="0.35">
      <c r="A474" t="s">
        <v>15</v>
      </c>
      <c r="B474" t="s">
        <v>16</v>
      </c>
      <c r="C474" t="s">
        <v>21</v>
      </c>
      <c r="D474">
        <v>181421</v>
      </c>
      <c r="E474">
        <v>16666</v>
      </c>
      <c r="F474">
        <v>38326</v>
      </c>
      <c r="G474">
        <v>-156004</v>
      </c>
      <c r="H474">
        <v>80409</v>
      </c>
      <c r="I474">
        <v>82254</v>
      </c>
      <c r="J474">
        <v>1656</v>
      </c>
      <c r="K474">
        <v>574318</v>
      </c>
      <c r="L474">
        <v>131661</v>
      </c>
      <c r="M474">
        <v>-80840</v>
      </c>
      <c r="N474">
        <v>109416</v>
      </c>
      <c r="O474" t="s">
        <v>492</v>
      </c>
      <c r="P474" s="9">
        <v>143498</v>
      </c>
      <c r="Q474" s="9">
        <v>9240</v>
      </c>
      <c r="R474" s="9">
        <v>152738</v>
      </c>
      <c r="S474" s="9">
        <v>-46972</v>
      </c>
      <c r="T474" s="10">
        <v>28737</v>
      </c>
      <c r="U474" s="10">
        <v>368</v>
      </c>
    </row>
    <row r="475" spans="1:21" x14ac:dyDescent="0.35">
      <c r="A475" t="s">
        <v>15</v>
      </c>
      <c r="B475" t="s">
        <v>16</v>
      </c>
      <c r="C475" t="s">
        <v>21</v>
      </c>
      <c r="D475">
        <v>279745</v>
      </c>
      <c r="E475">
        <v>46788</v>
      </c>
      <c r="F475">
        <v>58626</v>
      </c>
      <c r="G475">
        <v>-269892</v>
      </c>
      <c r="H475">
        <v>115267</v>
      </c>
      <c r="I475">
        <v>109490</v>
      </c>
      <c r="J475">
        <v>2419</v>
      </c>
      <c r="K475">
        <v>833677</v>
      </c>
      <c r="L475">
        <v>166144</v>
      </c>
      <c r="M475">
        <v>-298837</v>
      </c>
      <c r="N475">
        <v>209335</v>
      </c>
      <c r="O475" t="s">
        <v>493</v>
      </c>
      <c r="P475" s="9">
        <v>307398</v>
      </c>
      <c r="Q475" s="9">
        <v>41571</v>
      </c>
      <c r="R475" s="9">
        <v>348969</v>
      </c>
      <c r="S475" s="9">
        <v>-166308</v>
      </c>
      <c r="T475" s="10">
        <v>100512</v>
      </c>
      <c r="U475" s="10">
        <v>1599</v>
      </c>
    </row>
    <row r="476" spans="1:21" x14ac:dyDescent="0.35">
      <c r="A476" t="s">
        <v>15</v>
      </c>
      <c r="B476" t="s">
        <v>16</v>
      </c>
      <c r="C476" t="s">
        <v>17</v>
      </c>
      <c r="D476">
        <v>165619</v>
      </c>
      <c r="E476">
        <v>32751</v>
      </c>
      <c r="F476">
        <v>23951</v>
      </c>
      <c r="G476">
        <v>-157972</v>
      </c>
      <c r="H476">
        <v>64349</v>
      </c>
      <c r="I476">
        <v>62159</v>
      </c>
      <c r="J476">
        <v>1372</v>
      </c>
      <c r="K476">
        <v>570253</v>
      </c>
      <c r="L476">
        <v>205147</v>
      </c>
      <c r="M476">
        <v>-73289</v>
      </c>
      <c r="N476">
        <v>127038</v>
      </c>
      <c r="O476" t="s">
        <v>494</v>
      </c>
      <c r="P476" s="9">
        <v>311082</v>
      </c>
      <c r="Q476" s="9">
        <v>45847</v>
      </c>
      <c r="R476" s="9">
        <v>356929</v>
      </c>
      <c r="S476" s="9">
        <v>-75735</v>
      </c>
      <c r="T476" s="10">
        <v>116485</v>
      </c>
      <c r="U476" s="10">
        <v>3313</v>
      </c>
    </row>
    <row r="477" spans="1:21" x14ac:dyDescent="0.35">
      <c r="A477" t="s">
        <v>15</v>
      </c>
      <c r="B477" t="s">
        <v>16</v>
      </c>
      <c r="C477" t="s">
        <v>21</v>
      </c>
      <c r="D477">
        <v>213613</v>
      </c>
      <c r="E477">
        <v>13791</v>
      </c>
      <c r="F477">
        <v>24280</v>
      </c>
      <c r="G477">
        <v>-183520</v>
      </c>
      <c r="H477">
        <v>68164</v>
      </c>
      <c r="I477">
        <v>64540</v>
      </c>
      <c r="J477">
        <v>1424</v>
      </c>
      <c r="K477">
        <v>723948</v>
      </c>
      <c r="L477">
        <v>293597</v>
      </c>
      <c r="M477">
        <v>-199837</v>
      </c>
      <c r="N477">
        <v>178663</v>
      </c>
      <c r="O477" t="s">
        <v>495</v>
      </c>
      <c r="P477" s="9">
        <v>246983</v>
      </c>
      <c r="Q477" s="9">
        <v>34954</v>
      </c>
      <c r="R477" s="9">
        <v>281937</v>
      </c>
      <c r="S477" s="9">
        <v>-156611</v>
      </c>
      <c r="T477" s="10">
        <v>71613</v>
      </c>
      <c r="U477" s="10">
        <v>1560</v>
      </c>
    </row>
    <row r="478" spans="1:21" x14ac:dyDescent="0.35">
      <c r="A478" t="s">
        <v>15</v>
      </c>
      <c r="B478" t="s">
        <v>20</v>
      </c>
      <c r="C478" t="s">
        <v>21</v>
      </c>
      <c r="D478">
        <v>197302</v>
      </c>
      <c r="E478">
        <v>28979</v>
      </c>
      <c r="F478">
        <v>43269</v>
      </c>
      <c r="G478">
        <v>-160422</v>
      </c>
      <c r="H478">
        <v>109128</v>
      </c>
      <c r="I478">
        <v>108232</v>
      </c>
      <c r="J478">
        <v>1233</v>
      </c>
      <c r="K478">
        <v>419141</v>
      </c>
      <c r="L478">
        <v>69625</v>
      </c>
      <c r="M478">
        <v>-97491</v>
      </c>
      <c r="N478">
        <v>156711</v>
      </c>
      <c r="O478" t="s">
        <v>496</v>
      </c>
      <c r="P478" s="9">
        <v>231308</v>
      </c>
      <c r="Q478" s="9">
        <v>16276</v>
      </c>
      <c r="R478" s="9">
        <v>247584</v>
      </c>
      <c r="S478" s="9">
        <v>-111154</v>
      </c>
      <c r="T478" s="10">
        <v>93302</v>
      </c>
      <c r="U478" s="10">
        <v>2571</v>
      </c>
    </row>
    <row r="479" spans="1:21" x14ac:dyDescent="0.35">
      <c r="A479" t="s">
        <v>15</v>
      </c>
      <c r="B479" t="s">
        <v>16</v>
      </c>
      <c r="C479" t="s">
        <v>21</v>
      </c>
      <c r="D479">
        <v>273174</v>
      </c>
      <c r="E479">
        <v>17018</v>
      </c>
      <c r="F479">
        <v>41136</v>
      </c>
      <c r="G479">
        <v>-247363</v>
      </c>
      <c r="H479">
        <v>83965</v>
      </c>
      <c r="I479">
        <v>83548</v>
      </c>
      <c r="J479">
        <v>2101</v>
      </c>
      <c r="K479">
        <v>676862</v>
      </c>
      <c r="L479">
        <v>175095</v>
      </c>
      <c r="M479">
        <v>-130931</v>
      </c>
      <c r="N479">
        <v>89877</v>
      </c>
      <c r="O479" t="s">
        <v>497</v>
      </c>
      <c r="P479" s="9">
        <v>263805</v>
      </c>
      <c r="Q479" s="9">
        <v>50216</v>
      </c>
      <c r="R479" s="9">
        <v>314021</v>
      </c>
      <c r="S479" s="9">
        <v>-88470</v>
      </c>
      <c r="T479" s="10">
        <v>101797</v>
      </c>
      <c r="U479" s="10">
        <v>2966</v>
      </c>
    </row>
    <row r="480" spans="1:21" x14ac:dyDescent="0.35">
      <c r="A480" t="s">
        <v>15</v>
      </c>
      <c r="B480" t="s">
        <v>16</v>
      </c>
      <c r="C480" t="s">
        <v>21</v>
      </c>
      <c r="D480">
        <v>173922</v>
      </c>
      <c r="E480">
        <v>17210</v>
      </c>
      <c r="F480">
        <v>41075</v>
      </c>
      <c r="G480">
        <v>-143907</v>
      </c>
      <c r="H480">
        <v>88300</v>
      </c>
      <c r="I480">
        <v>87419</v>
      </c>
      <c r="J480">
        <v>1457</v>
      </c>
      <c r="K480">
        <v>661853</v>
      </c>
      <c r="L480">
        <v>200003</v>
      </c>
      <c r="M480">
        <v>-132384</v>
      </c>
      <c r="N480">
        <v>52791</v>
      </c>
      <c r="O480" t="s">
        <v>498</v>
      </c>
      <c r="P480" s="9">
        <v>177075</v>
      </c>
      <c r="Q480" s="9">
        <v>32676</v>
      </c>
      <c r="R480" s="9">
        <v>209751</v>
      </c>
      <c r="S480" s="9">
        <v>-74769</v>
      </c>
      <c r="T480" s="10">
        <v>68966</v>
      </c>
      <c r="U480" s="10">
        <v>1779</v>
      </c>
    </row>
    <row r="481" spans="1:21" x14ac:dyDescent="0.35">
      <c r="A481" t="s">
        <v>15</v>
      </c>
      <c r="B481" t="s">
        <v>16</v>
      </c>
      <c r="C481" t="s">
        <v>21</v>
      </c>
      <c r="D481">
        <v>238719</v>
      </c>
      <c r="E481">
        <v>32928</v>
      </c>
      <c r="F481">
        <v>50273</v>
      </c>
      <c r="G481">
        <v>-214994</v>
      </c>
      <c r="H481">
        <v>106926</v>
      </c>
      <c r="I481">
        <v>99274</v>
      </c>
      <c r="J481">
        <v>1987</v>
      </c>
      <c r="K481">
        <v>482202</v>
      </c>
      <c r="L481">
        <v>152765</v>
      </c>
      <c r="M481">
        <v>-161438</v>
      </c>
      <c r="N481">
        <v>174561</v>
      </c>
      <c r="O481" t="s">
        <v>499</v>
      </c>
      <c r="P481" s="9">
        <v>216419</v>
      </c>
      <c r="Q481" s="9">
        <v>31141</v>
      </c>
      <c r="R481" s="9">
        <v>247560</v>
      </c>
      <c r="S481" s="9">
        <v>-99253</v>
      </c>
      <c r="T481" s="10">
        <v>85834</v>
      </c>
      <c r="U481" s="10">
        <v>2013</v>
      </c>
    </row>
    <row r="482" spans="1:21" x14ac:dyDescent="0.35">
      <c r="A482" t="s">
        <v>15</v>
      </c>
      <c r="B482" t="s">
        <v>16</v>
      </c>
      <c r="C482" t="s">
        <v>21</v>
      </c>
      <c r="D482">
        <v>275907</v>
      </c>
      <c r="E482">
        <v>47489</v>
      </c>
      <c r="F482">
        <v>60104</v>
      </c>
      <c r="G482">
        <v>-264004</v>
      </c>
      <c r="H482">
        <v>119496</v>
      </c>
      <c r="I482">
        <v>119090</v>
      </c>
      <c r="J482">
        <v>2892</v>
      </c>
      <c r="K482">
        <v>558356</v>
      </c>
      <c r="L482">
        <v>231431</v>
      </c>
      <c r="M482">
        <v>-211091</v>
      </c>
      <c r="N482">
        <v>204355</v>
      </c>
      <c r="O482" t="s">
        <v>500</v>
      </c>
      <c r="P482" s="9">
        <v>251043</v>
      </c>
      <c r="Q482" s="9">
        <v>30703</v>
      </c>
      <c r="R482" s="9">
        <v>281746</v>
      </c>
      <c r="S482" s="9">
        <v>-89368</v>
      </c>
      <c r="T482" s="10">
        <v>85757</v>
      </c>
      <c r="U482" s="10">
        <v>2558</v>
      </c>
    </row>
    <row r="483" spans="1:21" x14ac:dyDescent="0.35">
      <c r="A483" t="s">
        <v>15</v>
      </c>
      <c r="B483" t="s">
        <v>16</v>
      </c>
      <c r="C483" t="s">
        <v>21</v>
      </c>
      <c r="D483">
        <v>206644</v>
      </c>
      <c r="E483">
        <v>13467</v>
      </c>
      <c r="F483">
        <v>46398</v>
      </c>
      <c r="G483">
        <v>-185708</v>
      </c>
      <c r="H483">
        <v>80801</v>
      </c>
      <c r="I483">
        <v>81533</v>
      </c>
      <c r="J483">
        <v>1425</v>
      </c>
      <c r="K483">
        <v>480519</v>
      </c>
      <c r="L483">
        <v>69377</v>
      </c>
      <c r="M483">
        <v>-142928</v>
      </c>
      <c r="N483">
        <v>112649</v>
      </c>
      <c r="O483" t="s">
        <v>501</v>
      </c>
      <c r="P483" s="9">
        <v>201345</v>
      </c>
      <c r="Q483" s="9">
        <v>21900</v>
      </c>
      <c r="R483" s="9">
        <v>223245</v>
      </c>
      <c r="S483" s="9">
        <v>-133435</v>
      </c>
      <c r="T483" s="10">
        <v>74116</v>
      </c>
      <c r="U483" s="10">
        <v>1682</v>
      </c>
    </row>
    <row r="484" spans="1:21" x14ac:dyDescent="0.35">
      <c r="A484" t="s">
        <v>15</v>
      </c>
      <c r="B484" t="s">
        <v>16</v>
      </c>
      <c r="C484" t="s">
        <v>17</v>
      </c>
      <c r="D484">
        <v>290185</v>
      </c>
      <c r="E484">
        <v>42798</v>
      </c>
      <c r="F484">
        <v>38719</v>
      </c>
      <c r="G484">
        <v>-232933</v>
      </c>
      <c r="H484">
        <v>138769</v>
      </c>
      <c r="I484">
        <v>132975</v>
      </c>
      <c r="J484">
        <v>1817</v>
      </c>
      <c r="K484">
        <v>883964</v>
      </c>
      <c r="L484">
        <v>144164</v>
      </c>
      <c r="M484">
        <v>-209598</v>
      </c>
      <c r="N484">
        <v>177119</v>
      </c>
      <c r="O484" t="s">
        <v>502</v>
      </c>
      <c r="P484" s="9">
        <v>187310</v>
      </c>
      <c r="Q484" s="9">
        <v>14412</v>
      </c>
      <c r="R484" s="9">
        <v>201722</v>
      </c>
      <c r="S484" s="9">
        <v>-56356</v>
      </c>
      <c r="T484" s="10">
        <v>78919</v>
      </c>
      <c r="U484" s="10">
        <v>1523</v>
      </c>
    </row>
    <row r="485" spans="1:21" x14ac:dyDescent="0.35">
      <c r="A485" t="s">
        <v>15</v>
      </c>
      <c r="B485" t="s">
        <v>16</v>
      </c>
      <c r="C485" t="s">
        <v>21</v>
      </c>
      <c r="D485">
        <v>285609</v>
      </c>
      <c r="E485">
        <v>44843</v>
      </c>
      <c r="F485">
        <v>57615</v>
      </c>
      <c r="G485">
        <v>-282977</v>
      </c>
      <c r="H485">
        <v>105090</v>
      </c>
      <c r="I485">
        <v>106153</v>
      </c>
      <c r="J485">
        <v>1600</v>
      </c>
      <c r="K485">
        <v>759254</v>
      </c>
      <c r="L485">
        <v>363814</v>
      </c>
      <c r="M485">
        <v>-146379</v>
      </c>
      <c r="N485">
        <v>189497</v>
      </c>
      <c r="O485" t="s">
        <v>503</v>
      </c>
      <c r="P485" s="9">
        <v>267251</v>
      </c>
      <c r="Q485" s="9">
        <v>27963</v>
      </c>
      <c r="R485" s="9">
        <v>295214</v>
      </c>
      <c r="S485" s="9">
        <v>-59312</v>
      </c>
      <c r="T485" s="10">
        <v>106763</v>
      </c>
      <c r="U485" s="10">
        <v>2929</v>
      </c>
    </row>
    <row r="486" spans="1:21" x14ac:dyDescent="0.35">
      <c r="A486" t="s">
        <v>15</v>
      </c>
      <c r="B486" t="s">
        <v>16</v>
      </c>
      <c r="C486" t="s">
        <v>21</v>
      </c>
      <c r="D486">
        <v>247902</v>
      </c>
      <c r="E486">
        <v>15406</v>
      </c>
      <c r="F486">
        <v>53565</v>
      </c>
      <c r="G486">
        <v>-203072</v>
      </c>
      <c r="H486">
        <v>113801</v>
      </c>
      <c r="I486">
        <v>105034</v>
      </c>
      <c r="J486">
        <v>1525</v>
      </c>
      <c r="K486">
        <v>801426</v>
      </c>
      <c r="L486">
        <v>230980</v>
      </c>
      <c r="M486">
        <v>-119465</v>
      </c>
      <c r="N486">
        <v>85071</v>
      </c>
      <c r="O486" t="s">
        <v>504</v>
      </c>
      <c r="P486" s="9">
        <v>195033</v>
      </c>
      <c r="Q486" s="9">
        <v>35062</v>
      </c>
      <c r="R486" s="9">
        <v>230095</v>
      </c>
      <c r="S486" s="9">
        <v>-56775</v>
      </c>
      <c r="T486" s="10">
        <v>98833</v>
      </c>
      <c r="U486" s="10">
        <v>1644</v>
      </c>
    </row>
    <row r="487" spans="1:21" x14ac:dyDescent="0.35">
      <c r="A487" t="s">
        <v>15</v>
      </c>
      <c r="B487" t="s">
        <v>20</v>
      </c>
      <c r="C487" t="s">
        <v>17</v>
      </c>
      <c r="D487">
        <v>214194</v>
      </c>
      <c r="E487">
        <v>31939</v>
      </c>
      <c r="F487">
        <v>30143</v>
      </c>
      <c r="G487">
        <v>-180120</v>
      </c>
      <c r="H487">
        <v>96156</v>
      </c>
      <c r="I487">
        <v>91156</v>
      </c>
      <c r="J487">
        <v>1301</v>
      </c>
      <c r="K487">
        <v>434143</v>
      </c>
      <c r="L487">
        <v>137258</v>
      </c>
      <c r="M487">
        <v>-60208</v>
      </c>
      <c r="N487">
        <v>124239</v>
      </c>
      <c r="O487" t="s">
        <v>505</v>
      </c>
      <c r="P487" s="9">
        <v>252381</v>
      </c>
      <c r="Q487" s="9">
        <v>24312</v>
      </c>
      <c r="R487" s="9">
        <v>276693</v>
      </c>
      <c r="S487" s="9">
        <v>-103496</v>
      </c>
      <c r="T487" s="10">
        <v>108493</v>
      </c>
      <c r="U487" s="10">
        <v>2759</v>
      </c>
    </row>
    <row r="488" spans="1:21" x14ac:dyDescent="0.35">
      <c r="A488" t="s">
        <v>15</v>
      </c>
      <c r="B488" t="s">
        <v>20</v>
      </c>
      <c r="C488" t="s">
        <v>21</v>
      </c>
      <c r="D488">
        <v>277914</v>
      </c>
      <c r="E488">
        <v>29404</v>
      </c>
      <c r="F488">
        <v>38643</v>
      </c>
      <c r="G488">
        <v>-246524</v>
      </c>
      <c r="H488">
        <v>99437</v>
      </c>
      <c r="I488">
        <v>102103</v>
      </c>
      <c r="J488">
        <v>2954</v>
      </c>
      <c r="K488">
        <v>1054445</v>
      </c>
      <c r="L488">
        <v>133908</v>
      </c>
      <c r="M488">
        <v>-322815</v>
      </c>
      <c r="N488">
        <v>185286</v>
      </c>
      <c r="O488" t="s">
        <v>506</v>
      </c>
      <c r="P488" s="9">
        <v>192500</v>
      </c>
      <c r="Q488" s="9">
        <v>11650</v>
      </c>
      <c r="R488" s="9">
        <v>204150</v>
      </c>
      <c r="S488" s="9">
        <v>-87166</v>
      </c>
      <c r="T488" s="10">
        <v>57344</v>
      </c>
      <c r="U488" s="10">
        <v>1708</v>
      </c>
    </row>
    <row r="489" spans="1:21" x14ac:dyDescent="0.35">
      <c r="A489" t="s">
        <v>15</v>
      </c>
      <c r="B489" t="s">
        <v>20</v>
      </c>
      <c r="C489" t="s">
        <v>21</v>
      </c>
      <c r="D489">
        <v>199064</v>
      </c>
      <c r="E489">
        <v>26448</v>
      </c>
      <c r="F489">
        <v>45899</v>
      </c>
      <c r="G489">
        <v>-193124</v>
      </c>
      <c r="H489">
        <v>78287</v>
      </c>
      <c r="I489">
        <v>73662</v>
      </c>
      <c r="J489">
        <v>1844</v>
      </c>
      <c r="K489">
        <v>695354</v>
      </c>
      <c r="L489">
        <v>99955</v>
      </c>
      <c r="M489">
        <v>-73322</v>
      </c>
      <c r="N489">
        <v>73467</v>
      </c>
      <c r="O489" t="s">
        <v>507</v>
      </c>
      <c r="P489" s="9">
        <v>291008</v>
      </c>
      <c r="Q489" s="9">
        <v>48300</v>
      </c>
      <c r="R489" s="9">
        <v>339308</v>
      </c>
      <c r="S489" s="9">
        <v>-74358</v>
      </c>
      <c r="T489" s="10">
        <v>97172</v>
      </c>
      <c r="U489" s="10">
        <v>1738</v>
      </c>
    </row>
    <row r="490" spans="1:21" x14ac:dyDescent="0.35">
      <c r="A490" t="s">
        <v>15</v>
      </c>
      <c r="B490" t="s">
        <v>16</v>
      </c>
      <c r="C490" t="s">
        <v>21</v>
      </c>
      <c r="D490">
        <v>262748</v>
      </c>
      <c r="E490">
        <v>47567</v>
      </c>
      <c r="F490">
        <v>58852</v>
      </c>
      <c r="G490">
        <v>-215132</v>
      </c>
      <c r="H490">
        <v>154035</v>
      </c>
      <c r="I490">
        <v>156061</v>
      </c>
      <c r="J490">
        <v>2143</v>
      </c>
      <c r="K490">
        <v>781771</v>
      </c>
      <c r="L490">
        <v>155150</v>
      </c>
      <c r="M490">
        <v>-252199</v>
      </c>
      <c r="N490">
        <v>115298</v>
      </c>
      <c r="O490" t="s">
        <v>508</v>
      </c>
      <c r="P490" s="9">
        <v>181395</v>
      </c>
      <c r="Q490" s="9">
        <v>32070</v>
      </c>
      <c r="R490" s="9">
        <v>213465</v>
      </c>
      <c r="S490" s="9">
        <v>-53850</v>
      </c>
      <c r="T490" s="10">
        <v>84564</v>
      </c>
      <c r="U490" s="10">
        <v>1584</v>
      </c>
    </row>
    <row r="491" spans="1:21" x14ac:dyDescent="0.35">
      <c r="A491" t="s">
        <v>15</v>
      </c>
      <c r="B491" t="s">
        <v>20</v>
      </c>
      <c r="C491" t="s">
        <v>21</v>
      </c>
      <c r="D491">
        <v>213241</v>
      </c>
      <c r="E491">
        <v>15101</v>
      </c>
      <c r="F491">
        <v>38193</v>
      </c>
      <c r="G491">
        <v>-177240</v>
      </c>
      <c r="H491">
        <v>89295</v>
      </c>
      <c r="I491">
        <v>92629</v>
      </c>
      <c r="J491">
        <v>951</v>
      </c>
      <c r="K491">
        <v>782111</v>
      </c>
      <c r="L491">
        <v>144745</v>
      </c>
      <c r="M491">
        <v>-80259</v>
      </c>
      <c r="N491">
        <v>93633</v>
      </c>
      <c r="O491" t="s">
        <v>509</v>
      </c>
      <c r="P491" s="9">
        <v>174547</v>
      </c>
      <c r="Q491" s="9">
        <v>34331</v>
      </c>
      <c r="R491" s="9">
        <v>208878</v>
      </c>
      <c r="S491" s="9">
        <v>-44353</v>
      </c>
      <c r="T491" s="10">
        <v>80242</v>
      </c>
      <c r="U491" s="10">
        <v>1048</v>
      </c>
    </row>
    <row r="492" spans="1:21" x14ac:dyDescent="0.35">
      <c r="A492" t="s">
        <v>15</v>
      </c>
      <c r="B492" t="s">
        <v>16</v>
      </c>
      <c r="C492" t="s">
        <v>17</v>
      </c>
      <c r="D492">
        <v>290860</v>
      </c>
      <c r="E492">
        <v>44682</v>
      </c>
      <c r="F492">
        <v>43669</v>
      </c>
      <c r="G492">
        <v>-256703</v>
      </c>
      <c r="H492">
        <v>122508</v>
      </c>
      <c r="I492">
        <v>126178</v>
      </c>
      <c r="J492">
        <v>3779</v>
      </c>
      <c r="K492">
        <v>952396</v>
      </c>
      <c r="L492">
        <v>415380</v>
      </c>
      <c r="M492">
        <v>-116379</v>
      </c>
      <c r="N492">
        <v>238328</v>
      </c>
      <c r="O492" t="s">
        <v>510</v>
      </c>
      <c r="P492" s="9">
        <v>277215</v>
      </c>
      <c r="Q492" s="9">
        <v>24597</v>
      </c>
      <c r="R492" s="9">
        <v>301812</v>
      </c>
      <c r="S492" s="9">
        <v>-150927</v>
      </c>
      <c r="T492" s="10">
        <v>101672</v>
      </c>
      <c r="U492" s="10">
        <v>2221</v>
      </c>
    </row>
    <row r="493" spans="1:21" x14ac:dyDescent="0.35">
      <c r="A493" t="s">
        <v>15</v>
      </c>
      <c r="B493" t="s">
        <v>16</v>
      </c>
      <c r="C493" t="s">
        <v>21</v>
      </c>
      <c r="D493">
        <v>255544</v>
      </c>
      <c r="E493">
        <v>42826</v>
      </c>
      <c r="F493">
        <v>48196</v>
      </c>
      <c r="G493">
        <v>-235307</v>
      </c>
      <c r="H493">
        <v>111259</v>
      </c>
      <c r="I493">
        <v>112231</v>
      </c>
      <c r="J493">
        <v>3007</v>
      </c>
      <c r="K493">
        <v>779262</v>
      </c>
      <c r="L493">
        <v>265352</v>
      </c>
      <c r="M493">
        <v>-117232</v>
      </c>
      <c r="N493">
        <v>210405</v>
      </c>
      <c r="O493" t="s">
        <v>511</v>
      </c>
      <c r="P493" s="9">
        <v>223023</v>
      </c>
      <c r="Q493" s="9">
        <v>21841</v>
      </c>
      <c r="R493" s="9">
        <v>244864</v>
      </c>
      <c r="S493" s="9">
        <v>-106125</v>
      </c>
      <c r="T493" s="10">
        <v>96156</v>
      </c>
      <c r="U493" s="10">
        <v>1909</v>
      </c>
    </row>
    <row r="494" spans="1:21" x14ac:dyDescent="0.35">
      <c r="A494" t="s">
        <v>15</v>
      </c>
      <c r="B494" t="s">
        <v>16</v>
      </c>
      <c r="C494" t="s">
        <v>21</v>
      </c>
      <c r="D494">
        <v>260248</v>
      </c>
      <c r="E494">
        <v>41822</v>
      </c>
      <c r="F494">
        <v>52636</v>
      </c>
      <c r="G494">
        <v>-254644</v>
      </c>
      <c r="H494">
        <v>100062</v>
      </c>
      <c r="I494">
        <v>101656</v>
      </c>
      <c r="J494">
        <v>1321</v>
      </c>
      <c r="K494">
        <v>716228</v>
      </c>
      <c r="L494">
        <v>291617</v>
      </c>
      <c r="M494">
        <v>-281887</v>
      </c>
      <c r="N494">
        <v>175115</v>
      </c>
      <c r="O494" t="s">
        <v>512</v>
      </c>
      <c r="P494" s="9">
        <v>199007</v>
      </c>
      <c r="Q494" s="9">
        <v>17034</v>
      </c>
      <c r="R494" s="9">
        <v>216041</v>
      </c>
      <c r="S494" s="9">
        <v>-90509</v>
      </c>
      <c r="T494" s="10">
        <v>96201</v>
      </c>
      <c r="U494" s="10">
        <v>2113</v>
      </c>
    </row>
    <row r="495" spans="1:21" x14ac:dyDescent="0.35">
      <c r="A495" t="s">
        <v>15</v>
      </c>
      <c r="B495" t="s">
        <v>16</v>
      </c>
      <c r="C495" t="s">
        <v>21</v>
      </c>
      <c r="D495">
        <v>185215</v>
      </c>
      <c r="E495">
        <v>22381</v>
      </c>
      <c r="F495">
        <v>46007</v>
      </c>
      <c r="G495">
        <v>-178036</v>
      </c>
      <c r="H495">
        <v>75567</v>
      </c>
      <c r="I495">
        <v>71798</v>
      </c>
      <c r="J495">
        <v>1773</v>
      </c>
      <c r="K495">
        <v>734335</v>
      </c>
      <c r="L495">
        <v>178058</v>
      </c>
      <c r="M495">
        <v>-88982</v>
      </c>
      <c r="N495">
        <v>115263</v>
      </c>
      <c r="O495" t="s">
        <v>513</v>
      </c>
      <c r="P495" s="9">
        <v>151245</v>
      </c>
      <c r="Q495" s="9">
        <v>14354</v>
      </c>
      <c r="R495" s="9">
        <v>165599</v>
      </c>
      <c r="S495" s="9">
        <v>-88572</v>
      </c>
      <c r="T495" s="10">
        <v>78934</v>
      </c>
      <c r="U495" s="10">
        <v>1007</v>
      </c>
    </row>
    <row r="496" spans="1:21" x14ac:dyDescent="0.35">
      <c r="A496" t="s">
        <v>15</v>
      </c>
      <c r="B496" t="s">
        <v>20</v>
      </c>
      <c r="C496" t="s">
        <v>21</v>
      </c>
      <c r="D496">
        <v>266655</v>
      </c>
      <c r="E496">
        <v>32214</v>
      </c>
      <c r="F496">
        <v>30252</v>
      </c>
      <c r="G496">
        <v>-264063</v>
      </c>
      <c r="H496">
        <v>65058</v>
      </c>
      <c r="I496">
        <v>59175</v>
      </c>
      <c r="J496">
        <v>621</v>
      </c>
      <c r="K496">
        <v>834333</v>
      </c>
      <c r="L496">
        <v>247090</v>
      </c>
      <c r="M496">
        <v>-104440</v>
      </c>
      <c r="N496">
        <v>125444</v>
      </c>
      <c r="O496" t="s">
        <v>514</v>
      </c>
      <c r="P496" s="9">
        <v>233482</v>
      </c>
      <c r="Q496" s="9">
        <v>27076</v>
      </c>
      <c r="R496" s="9">
        <v>260558</v>
      </c>
      <c r="S496" s="9">
        <v>-126913</v>
      </c>
      <c r="T496" s="10">
        <v>93221</v>
      </c>
      <c r="U496" s="10">
        <v>2585</v>
      </c>
    </row>
    <row r="497" spans="1:21" x14ac:dyDescent="0.35">
      <c r="A497" t="s">
        <v>15</v>
      </c>
      <c r="B497" t="s">
        <v>20</v>
      </c>
      <c r="C497" t="s">
        <v>21</v>
      </c>
      <c r="D497">
        <v>236315</v>
      </c>
      <c r="E497">
        <v>14264</v>
      </c>
      <c r="F497">
        <v>30513</v>
      </c>
      <c r="G497">
        <v>-189690</v>
      </c>
      <c r="H497">
        <v>91402</v>
      </c>
      <c r="I497">
        <v>84300</v>
      </c>
      <c r="J497">
        <v>954</v>
      </c>
      <c r="K497">
        <v>699369</v>
      </c>
      <c r="L497">
        <v>132878</v>
      </c>
      <c r="M497">
        <v>-227056</v>
      </c>
      <c r="N497">
        <v>127659</v>
      </c>
      <c r="O497" t="s">
        <v>515</v>
      </c>
      <c r="P497" s="9">
        <v>239773</v>
      </c>
      <c r="Q497" s="9">
        <v>35140</v>
      </c>
      <c r="R497" s="9">
        <v>274913</v>
      </c>
      <c r="S497" s="9">
        <v>-140031</v>
      </c>
      <c r="T497" s="10">
        <v>94398</v>
      </c>
      <c r="U497" s="10">
        <v>1415</v>
      </c>
    </row>
    <row r="498" spans="1:21" x14ac:dyDescent="0.35">
      <c r="A498" t="s">
        <v>15</v>
      </c>
      <c r="B498" t="s">
        <v>16</v>
      </c>
      <c r="C498" t="s">
        <v>21</v>
      </c>
      <c r="D498">
        <v>274362</v>
      </c>
      <c r="E498">
        <v>14702</v>
      </c>
      <c r="F498">
        <v>55826</v>
      </c>
      <c r="G498">
        <v>-233593</v>
      </c>
      <c r="H498">
        <v>111297</v>
      </c>
      <c r="I498">
        <v>101211</v>
      </c>
      <c r="J498">
        <v>2909</v>
      </c>
      <c r="K498">
        <v>893087</v>
      </c>
      <c r="L498">
        <v>202300</v>
      </c>
      <c r="M498">
        <v>-239326</v>
      </c>
      <c r="N498">
        <v>98057</v>
      </c>
      <c r="O498" t="s">
        <v>516</v>
      </c>
      <c r="P498" s="9">
        <v>191789</v>
      </c>
      <c r="Q498" s="9">
        <v>25444</v>
      </c>
      <c r="R498" s="9">
        <v>217233</v>
      </c>
      <c r="S498" s="9">
        <v>-84260</v>
      </c>
      <c r="T498" s="10">
        <v>85196</v>
      </c>
      <c r="U498" s="10">
        <v>1750</v>
      </c>
    </row>
    <row r="499" spans="1:21" x14ac:dyDescent="0.35">
      <c r="A499" t="s">
        <v>15</v>
      </c>
      <c r="B499" t="s">
        <v>16</v>
      </c>
      <c r="C499" t="s">
        <v>21</v>
      </c>
      <c r="D499">
        <v>180199</v>
      </c>
      <c r="E499">
        <v>35177</v>
      </c>
      <c r="F499">
        <v>38758</v>
      </c>
      <c r="G499">
        <v>-157420</v>
      </c>
      <c r="H499">
        <v>96714</v>
      </c>
      <c r="I499">
        <v>90553</v>
      </c>
      <c r="J499">
        <v>2225</v>
      </c>
      <c r="K499">
        <v>546051</v>
      </c>
      <c r="L499">
        <v>165947</v>
      </c>
      <c r="M499">
        <v>-82449</v>
      </c>
      <c r="N499">
        <v>138160</v>
      </c>
      <c r="O499" t="s">
        <v>517</v>
      </c>
      <c r="P499" s="9">
        <v>191893</v>
      </c>
      <c r="Q499" s="9">
        <v>42090</v>
      </c>
      <c r="R499" s="9">
        <v>233983</v>
      </c>
      <c r="S499" s="9">
        <v>-95576</v>
      </c>
      <c r="T499" s="10">
        <v>72516</v>
      </c>
      <c r="U499" s="10">
        <v>930</v>
      </c>
    </row>
    <row r="500" spans="1:21" x14ac:dyDescent="0.35">
      <c r="A500" t="s">
        <v>15</v>
      </c>
      <c r="B500" t="s">
        <v>16</v>
      </c>
      <c r="C500" t="s">
        <v>21</v>
      </c>
      <c r="D500">
        <v>188338</v>
      </c>
      <c r="E500">
        <v>17657</v>
      </c>
      <c r="F500">
        <v>23876</v>
      </c>
      <c r="G500">
        <v>-187311</v>
      </c>
      <c r="H500">
        <v>42560</v>
      </c>
      <c r="I500">
        <v>43628</v>
      </c>
      <c r="J500">
        <v>575</v>
      </c>
      <c r="K500">
        <v>574956</v>
      </c>
      <c r="L500">
        <v>263086</v>
      </c>
      <c r="M500">
        <v>-68167</v>
      </c>
      <c r="N500">
        <v>128308</v>
      </c>
      <c r="O500" t="s">
        <v>518</v>
      </c>
      <c r="P500" s="9">
        <v>312743</v>
      </c>
      <c r="Q500" s="9">
        <v>53792</v>
      </c>
      <c r="R500" s="9">
        <v>366535</v>
      </c>
      <c r="S500" s="9">
        <v>-164518</v>
      </c>
      <c r="T500" s="10">
        <v>155470</v>
      </c>
      <c r="U500" s="10">
        <v>2631</v>
      </c>
    </row>
    <row r="501" spans="1:21" x14ac:dyDescent="0.35">
      <c r="A501" t="s">
        <v>15</v>
      </c>
      <c r="B501" t="s">
        <v>16</v>
      </c>
      <c r="C501" t="s">
        <v>17</v>
      </c>
      <c r="D501">
        <v>247474</v>
      </c>
      <c r="E501">
        <v>43199</v>
      </c>
      <c r="F501">
        <v>29899</v>
      </c>
      <c r="G501">
        <v>-206791</v>
      </c>
      <c r="H501">
        <v>113781</v>
      </c>
      <c r="I501">
        <v>117502</v>
      </c>
      <c r="J501">
        <v>3472</v>
      </c>
      <c r="K501">
        <v>857542</v>
      </c>
      <c r="L501">
        <v>400923</v>
      </c>
      <c r="M501">
        <v>-247553</v>
      </c>
      <c r="N501">
        <v>109029</v>
      </c>
      <c r="O501" t="s">
        <v>519</v>
      </c>
      <c r="P501" s="9">
        <v>163122</v>
      </c>
      <c r="Q501" s="9">
        <v>11057</v>
      </c>
      <c r="R501" s="9">
        <v>174179</v>
      </c>
      <c r="S501" s="9">
        <v>-87155</v>
      </c>
      <c r="T501" s="10">
        <v>44861</v>
      </c>
      <c r="U501" s="10">
        <v>1191</v>
      </c>
    </row>
    <row r="502" spans="1:21" x14ac:dyDescent="0.35">
      <c r="A502" t="s">
        <v>15</v>
      </c>
      <c r="B502" t="s">
        <v>16</v>
      </c>
      <c r="C502" t="s">
        <v>21</v>
      </c>
      <c r="D502">
        <v>275916</v>
      </c>
      <c r="E502">
        <v>45850</v>
      </c>
      <c r="F502">
        <v>60558</v>
      </c>
      <c r="G502">
        <v>-224368</v>
      </c>
      <c r="H502">
        <v>157956</v>
      </c>
      <c r="I502">
        <v>150434</v>
      </c>
      <c r="J502">
        <v>3529</v>
      </c>
      <c r="K502">
        <v>608654</v>
      </c>
      <c r="L502">
        <v>123045</v>
      </c>
      <c r="M502">
        <v>-128797</v>
      </c>
      <c r="N502">
        <v>227645</v>
      </c>
      <c r="O502" t="s">
        <v>520</v>
      </c>
      <c r="P502" s="9">
        <v>237952</v>
      </c>
      <c r="Q502" s="9">
        <v>32111</v>
      </c>
      <c r="R502" s="9">
        <v>270063</v>
      </c>
      <c r="S502" s="9">
        <v>-58850</v>
      </c>
      <c r="T502" s="10">
        <v>114102</v>
      </c>
      <c r="U502" s="10">
        <v>1793</v>
      </c>
    </row>
    <row r="503" spans="1:21" x14ac:dyDescent="0.35">
      <c r="A503" t="s">
        <v>15</v>
      </c>
      <c r="B503" t="s">
        <v>16</v>
      </c>
      <c r="C503" t="s">
        <v>21</v>
      </c>
      <c r="D503">
        <v>299082</v>
      </c>
      <c r="E503">
        <v>56015</v>
      </c>
      <c r="F503">
        <v>46914</v>
      </c>
      <c r="G503">
        <v>-252498</v>
      </c>
      <c r="H503">
        <v>149513</v>
      </c>
      <c r="I503">
        <v>147327</v>
      </c>
      <c r="J503">
        <v>3102</v>
      </c>
      <c r="K503">
        <v>1168486</v>
      </c>
      <c r="L503">
        <v>296796</v>
      </c>
      <c r="M503">
        <v>-458509</v>
      </c>
      <c r="N503">
        <v>154461</v>
      </c>
      <c r="O503" t="s">
        <v>521</v>
      </c>
      <c r="P503" s="9">
        <v>221382</v>
      </c>
      <c r="Q503" s="9">
        <v>14848</v>
      </c>
      <c r="R503" s="9">
        <v>236230</v>
      </c>
      <c r="S503" s="9">
        <v>-105496</v>
      </c>
      <c r="T503" s="10">
        <v>75824</v>
      </c>
      <c r="U503" s="10">
        <v>904</v>
      </c>
    </row>
    <row r="504" spans="1:21" x14ac:dyDescent="0.35">
      <c r="A504" t="s">
        <v>15</v>
      </c>
      <c r="B504" t="s">
        <v>16</v>
      </c>
      <c r="C504" t="s">
        <v>21</v>
      </c>
      <c r="D504">
        <v>188614</v>
      </c>
      <c r="E504">
        <v>15772</v>
      </c>
      <c r="F504">
        <v>34034</v>
      </c>
      <c r="G504">
        <v>-183778</v>
      </c>
      <c r="H504">
        <v>54642</v>
      </c>
      <c r="I504">
        <v>49384</v>
      </c>
      <c r="J504">
        <v>1138</v>
      </c>
      <c r="K504">
        <v>722152</v>
      </c>
      <c r="L504">
        <v>209209</v>
      </c>
      <c r="M504">
        <v>-188098</v>
      </c>
      <c r="N504">
        <v>96513</v>
      </c>
      <c r="O504" t="s">
        <v>522</v>
      </c>
      <c r="P504" s="9">
        <v>193399</v>
      </c>
      <c r="Q504" s="9">
        <v>26985</v>
      </c>
      <c r="R504" s="9">
        <v>220384</v>
      </c>
      <c r="S504" s="9">
        <v>-120690</v>
      </c>
      <c r="T504" s="10">
        <v>53737</v>
      </c>
      <c r="U504" s="10">
        <v>1599</v>
      </c>
    </row>
    <row r="505" spans="1:21" x14ac:dyDescent="0.35">
      <c r="A505" t="s">
        <v>15</v>
      </c>
      <c r="B505" t="s">
        <v>16</v>
      </c>
      <c r="C505" t="s">
        <v>17</v>
      </c>
      <c r="D505">
        <v>285385</v>
      </c>
      <c r="E505">
        <v>37574</v>
      </c>
      <c r="F505">
        <v>61059</v>
      </c>
      <c r="G505">
        <v>-239113</v>
      </c>
      <c r="H505">
        <v>144905</v>
      </c>
      <c r="I505">
        <v>146634</v>
      </c>
      <c r="J505">
        <v>3356</v>
      </c>
      <c r="K505">
        <v>1137284</v>
      </c>
      <c r="L505">
        <v>318011</v>
      </c>
      <c r="M505">
        <v>-295817</v>
      </c>
      <c r="N505">
        <v>184169</v>
      </c>
      <c r="O505" t="s">
        <v>523</v>
      </c>
      <c r="P505" s="9">
        <v>265744</v>
      </c>
      <c r="Q505" s="9">
        <v>22240</v>
      </c>
      <c r="R505" s="9">
        <v>287984</v>
      </c>
      <c r="S505" s="9">
        <v>-165066</v>
      </c>
      <c r="T505" s="10">
        <v>61669</v>
      </c>
      <c r="U505" s="10">
        <v>1235</v>
      </c>
    </row>
    <row r="506" spans="1:21" x14ac:dyDescent="0.35">
      <c r="A506" t="s">
        <v>15</v>
      </c>
      <c r="B506" t="s">
        <v>16</v>
      </c>
      <c r="C506" t="s">
        <v>21</v>
      </c>
      <c r="D506">
        <v>286262</v>
      </c>
      <c r="E506">
        <v>56232</v>
      </c>
      <c r="F506">
        <v>69445</v>
      </c>
      <c r="G506">
        <v>-280909</v>
      </c>
      <c r="H506">
        <v>131030</v>
      </c>
      <c r="I506">
        <v>131343</v>
      </c>
      <c r="J506">
        <v>3430</v>
      </c>
      <c r="K506">
        <v>1075997</v>
      </c>
      <c r="L506">
        <v>407532</v>
      </c>
      <c r="M506">
        <v>-331862</v>
      </c>
      <c r="N506">
        <v>99136</v>
      </c>
      <c r="O506" t="s">
        <v>524</v>
      </c>
      <c r="P506" s="9">
        <v>210734</v>
      </c>
      <c r="Q506" s="9">
        <v>22129</v>
      </c>
      <c r="R506" s="9">
        <v>232863</v>
      </c>
      <c r="S506" s="9">
        <v>-92654</v>
      </c>
      <c r="T506" s="10">
        <v>77433</v>
      </c>
      <c r="U506" s="10">
        <v>886</v>
      </c>
    </row>
    <row r="507" spans="1:21" x14ac:dyDescent="0.35">
      <c r="A507" t="s">
        <v>15</v>
      </c>
      <c r="B507" t="s">
        <v>16</v>
      </c>
      <c r="C507" t="s">
        <v>17</v>
      </c>
      <c r="D507">
        <v>202188</v>
      </c>
      <c r="E507">
        <v>15649</v>
      </c>
      <c r="F507">
        <v>28380</v>
      </c>
      <c r="G507">
        <v>-191192</v>
      </c>
      <c r="H507">
        <v>55025</v>
      </c>
      <c r="I507">
        <v>56018</v>
      </c>
      <c r="J507">
        <v>698</v>
      </c>
      <c r="K507">
        <v>497709</v>
      </c>
      <c r="L507">
        <v>148623</v>
      </c>
      <c r="M507">
        <v>-99688</v>
      </c>
      <c r="N507">
        <v>84454</v>
      </c>
      <c r="O507" t="s">
        <v>525</v>
      </c>
      <c r="P507" s="9">
        <v>153846</v>
      </c>
      <c r="Q507" s="9">
        <v>11677</v>
      </c>
      <c r="R507" s="9">
        <v>165523</v>
      </c>
      <c r="S507" s="9">
        <v>-48153</v>
      </c>
      <c r="T507" s="10">
        <v>54584</v>
      </c>
      <c r="U507" s="10">
        <v>895</v>
      </c>
    </row>
    <row r="508" spans="1:21" x14ac:dyDescent="0.35">
      <c r="A508" t="s">
        <v>15</v>
      </c>
      <c r="B508" t="s">
        <v>16</v>
      </c>
      <c r="C508" t="s">
        <v>21</v>
      </c>
      <c r="D508">
        <v>254383</v>
      </c>
      <c r="E508">
        <v>20479</v>
      </c>
      <c r="F508">
        <v>33475</v>
      </c>
      <c r="G508">
        <v>-242630</v>
      </c>
      <c r="H508">
        <v>65707</v>
      </c>
      <c r="I508">
        <v>68758</v>
      </c>
      <c r="J508">
        <v>1677</v>
      </c>
      <c r="K508">
        <v>996289</v>
      </c>
      <c r="L508">
        <v>185441</v>
      </c>
      <c r="M508">
        <v>-325386</v>
      </c>
      <c r="N508">
        <v>134737</v>
      </c>
      <c r="O508" t="s">
        <v>526</v>
      </c>
      <c r="P508" s="9">
        <v>191865</v>
      </c>
      <c r="Q508" s="9">
        <v>35498</v>
      </c>
      <c r="R508" s="9">
        <v>227363</v>
      </c>
      <c r="S508" s="9">
        <v>-127895</v>
      </c>
      <c r="T508" s="10">
        <v>95323</v>
      </c>
      <c r="U508" s="10">
        <v>1113</v>
      </c>
    </row>
    <row r="509" spans="1:21" x14ac:dyDescent="0.35">
      <c r="A509" t="s">
        <v>15</v>
      </c>
      <c r="B509" t="s">
        <v>16</v>
      </c>
      <c r="C509" t="s">
        <v>17</v>
      </c>
      <c r="D509">
        <v>264018</v>
      </c>
      <c r="E509">
        <v>37235</v>
      </c>
      <c r="F509">
        <v>45048</v>
      </c>
      <c r="G509">
        <v>-233079</v>
      </c>
      <c r="H509">
        <v>113222</v>
      </c>
      <c r="I509">
        <v>117924</v>
      </c>
      <c r="J509">
        <v>2237</v>
      </c>
      <c r="K509">
        <v>649682</v>
      </c>
      <c r="L509">
        <v>257547</v>
      </c>
      <c r="M509">
        <v>-199318</v>
      </c>
      <c r="N509">
        <v>136136</v>
      </c>
      <c r="O509" t="s">
        <v>527</v>
      </c>
      <c r="P509" s="9">
        <v>286210</v>
      </c>
      <c r="Q509" s="9">
        <v>15956</v>
      </c>
      <c r="R509" s="9">
        <v>302166</v>
      </c>
      <c r="S509" s="9">
        <v>-92628</v>
      </c>
      <c r="T509" s="10">
        <v>103199</v>
      </c>
      <c r="U509" s="10">
        <v>1922</v>
      </c>
    </row>
    <row r="510" spans="1:21" x14ac:dyDescent="0.35">
      <c r="A510" t="s">
        <v>15</v>
      </c>
      <c r="B510" t="s">
        <v>20</v>
      </c>
      <c r="C510" t="s">
        <v>21</v>
      </c>
      <c r="D510">
        <v>160581</v>
      </c>
      <c r="E510">
        <v>12270</v>
      </c>
      <c r="F510">
        <v>23473</v>
      </c>
      <c r="G510">
        <v>-151464</v>
      </c>
      <c r="H510">
        <v>44860</v>
      </c>
      <c r="I510">
        <v>44634</v>
      </c>
      <c r="J510">
        <v>1140</v>
      </c>
      <c r="K510">
        <v>527754</v>
      </c>
      <c r="L510">
        <v>79007</v>
      </c>
      <c r="M510">
        <v>-72919</v>
      </c>
      <c r="N510">
        <v>58420</v>
      </c>
      <c r="O510" t="s">
        <v>528</v>
      </c>
      <c r="P510" s="9">
        <v>266711</v>
      </c>
      <c r="Q510" s="9">
        <v>42965</v>
      </c>
      <c r="R510" s="9">
        <v>309676</v>
      </c>
      <c r="S510" s="9">
        <v>-73711</v>
      </c>
      <c r="T510" s="10">
        <v>81562</v>
      </c>
      <c r="U510" s="10">
        <v>2102</v>
      </c>
    </row>
    <row r="511" spans="1:21" x14ac:dyDescent="0.35">
      <c r="A511" t="s">
        <v>15</v>
      </c>
      <c r="B511" t="s">
        <v>16</v>
      </c>
      <c r="C511" t="s">
        <v>21</v>
      </c>
      <c r="D511">
        <v>292963</v>
      </c>
      <c r="E511">
        <v>37678</v>
      </c>
      <c r="F511">
        <v>37814</v>
      </c>
      <c r="G511">
        <v>-288317</v>
      </c>
      <c r="H511">
        <v>80138</v>
      </c>
      <c r="I511">
        <v>76573</v>
      </c>
      <c r="J511">
        <v>1669</v>
      </c>
      <c r="K511">
        <v>623419</v>
      </c>
      <c r="L511">
        <v>303093</v>
      </c>
      <c r="M511">
        <v>-205185</v>
      </c>
      <c r="N511">
        <v>177019</v>
      </c>
      <c r="O511" t="s">
        <v>529</v>
      </c>
      <c r="P511" s="9">
        <v>236182</v>
      </c>
      <c r="Q511" s="9">
        <v>37116</v>
      </c>
      <c r="R511" s="9">
        <v>273298</v>
      </c>
      <c r="S511" s="9">
        <v>-85821</v>
      </c>
      <c r="T511" s="10">
        <v>118142</v>
      </c>
      <c r="U511" s="10">
        <v>1197</v>
      </c>
    </row>
    <row r="512" spans="1:21" x14ac:dyDescent="0.35">
      <c r="A512" t="s">
        <v>15</v>
      </c>
      <c r="B512" t="s">
        <v>20</v>
      </c>
      <c r="C512" t="s">
        <v>21</v>
      </c>
      <c r="D512">
        <v>297814</v>
      </c>
      <c r="E512">
        <v>53777</v>
      </c>
      <c r="F512">
        <v>47101</v>
      </c>
      <c r="G512">
        <v>-255317</v>
      </c>
      <c r="H512">
        <v>143375</v>
      </c>
      <c r="I512">
        <v>143430</v>
      </c>
      <c r="J512">
        <v>3083</v>
      </c>
      <c r="K512">
        <v>643231</v>
      </c>
      <c r="L512">
        <v>288404</v>
      </c>
      <c r="M512">
        <v>-136454</v>
      </c>
      <c r="N512">
        <v>177189</v>
      </c>
      <c r="O512" t="s">
        <v>530</v>
      </c>
      <c r="P512" s="9">
        <v>205061</v>
      </c>
      <c r="Q512" s="9">
        <v>25692</v>
      </c>
      <c r="R512" s="9">
        <v>230753</v>
      </c>
      <c r="S512" s="9">
        <v>-128339</v>
      </c>
      <c r="T512" s="10">
        <v>50788</v>
      </c>
      <c r="U512" s="10">
        <v>1294</v>
      </c>
    </row>
    <row r="513" spans="1:21" x14ac:dyDescent="0.35">
      <c r="A513" t="s">
        <v>15</v>
      </c>
      <c r="B513" t="s">
        <v>16</v>
      </c>
      <c r="C513" t="s">
        <v>21</v>
      </c>
      <c r="D513">
        <v>283137</v>
      </c>
      <c r="E513">
        <v>37129</v>
      </c>
      <c r="F513">
        <v>67593</v>
      </c>
      <c r="G513">
        <v>-242471</v>
      </c>
      <c r="H513">
        <v>145388</v>
      </c>
      <c r="I513">
        <v>136192</v>
      </c>
      <c r="J513">
        <v>3684</v>
      </c>
      <c r="K513">
        <v>743851</v>
      </c>
      <c r="L513">
        <v>365286</v>
      </c>
      <c r="M513">
        <v>-146322</v>
      </c>
      <c r="N513">
        <v>161182</v>
      </c>
      <c r="O513" t="s">
        <v>531</v>
      </c>
      <c r="P513" s="9">
        <v>250672</v>
      </c>
      <c r="Q513" s="9">
        <v>19958</v>
      </c>
      <c r="R513" s="9">
        <v>270630</v>
      </c>
      <c r="S513" s="9">
        <v>-88320</v>
      </c>
      <c r="T513" s="10">
        <v>60375</v>
      </c>
      <c r="U513" s="10">
        <v>990</v>
      </c>
    </row>
    <row r="514" spans="1:21" x14ac:dyDescent="0.35">
      <c r="A514" t="s">
        <v>15</v>
      </c>
      <c r="B514" t="s">
        <v>20</v>
      </c>
      <c r="C514" t="s">
        <v>21</v>
      </c>
      <c r="D514">
        <v>256483</v>
      </c>
      <c r="E514">
        <v>38313</v>
      </c>
      <c r="F514">
        <v>29832</v>
      </c>
      <c r="G514">
        <v>-246880</v>
      </c>
      <c r="H514">
        <v>77748</v>
      </c>
      <c r="I514">
        <v>74129</v>
      </c>
      <c r="J514">
        <v>1065</v>
      </c>
      <c r="K514">
        <v>608526</v>
      </c>
      <c r="L514">
        <v>64161</v>
      </c>
      <c r="M514">
        <v>-196283</v>
      </c>
      <c r="N514">
        <v>192235</v>
      </c>
      <c r="O514" t="s">
        <v>532</v>
      </c>
      <c r="P514" s="9">
        <v>192512</v>
      </c>
      <c r="Q514" s="9">
        <v>22974</v>
      </c>
      <c r="R514" s="9">
        <v>215486</v>
      </c>
      <c r="S514" s="9">
        <v>-127442</v>
      </c>
      <c r="T514" s="10">
        <v>68245</v>
      </c>
      <c r="U514" s="10">
        <v>1580</v>
      </c>
    </row>
    <row r="515" spans="1:21" x14ac:dyDescent="0.35">
      <c r="A515" t="s">
        <v>15</v>
      </c>
      <c r="B515" t="s">
        <v>16</v>
      </c>
      <c r="C515" t="s">
        <v>17</v>
      </c>
      <c r="D515">
        <v>296852</v>
      </c>
      <c r="E515">
        <v>19793</v>
      </c>
      <c r="F515">
        <v>72227</v>
      </c>
      <c r="G515">
        <v>-260370</v>
      </c>
      <c r="H515">
        <v>128502</v>
      </c>
      <c r="I515">
        <v>117263</v>
      </c>
      <c r="J515">
        <v>3050</v>
      </c>
      <c r="K515">
        <v>609494</v>
      </c>
      <c r="L515">
        <v>121475</v>
      </c>
      <c r="M515">
        <v>-120822</v>
      </c>
      <c r="N515">
        <v>204180</v>
      </c>
      <c r="O515" t="s">
        <v>533</v>
      </c>
      <c r="P515" s="9">
        <v>284658</v>
      </c>
      <c r="Q515" s="9">
        <v>50274</v>
      </c>
      <c r="R515" s="9">
        <v>334932</v>
      </c>
      <c r="S515" s="9">
        <v>-126737</v>
      </c>
      <c r="T515" s="10">
        <v>131843</v>
      </c>
      <c r="U515" s="10">
        <v>2069</v>
      </c>
    </row>
    <row r="516" spans="1:21" x14ac:dyDescent="0.35">
      <c r="A516" t="s">
        <v>15</v>
      </c>
      <c r="B516" t="s">
        <v>16</v>
      </c>
      <c r="C516" t="s">
        <v>21</v>
      </c>
      <c r="D516">
        <v>167171</v>
      </c>
      <c r="E516">
        <v>26499</v>
      </c>
      <c r="F516">
        <v>26146</v>
      </c>
      <c r="G516">
        <v>-135628</v>
      </c>
      <c r="H516">
        <v>84188</v>
      </c>
      <c r="I516">
        <v>78593</v>
      </c>
      <c r="J516">
        <v>2082</v>
      </c>
      <c r="K516">
        <v>431916</v>
      </c>
      <c r="L516">
        <v>50977</v>
      </c>
      <c r="M516">
        <v>-128111</v>
      </c>
      <c r="N516">
        <v>107009</v>
      </c>
      <c r="O516" t="s">
        <v>534</v>
      </c>
      <c r="P516" s="9">
        <v>280065</v>
      </c>
      <c r="Q516" s="9">
        <v>35891</v>
      </c>
      <c r="R516" s="9">
        <v>315956</v>
      </c>
      <c r="S516" s="9">
        <v>-154849</v>
      </c>
      <c r="T516" s="10">
        <v>77653</v>
      </c>
      <c r="U516" s="10">
        <v>1108</v>
      </c>
    </row>
    <row r="517" spans="1:21" x14ac:dyDescent="0.35">
      <c r="A517" t="s">
        <v>15</v>
      </c>
      <c r="B517" t="s">
        <v>16</v>
      </c>
      <c r="C517" t="s">
        <v>21</v>
      </c>
      <c r="D517">
        <v>259108</v>
      </c>
      <c r="E517">
        <v>16615</v>
      </c>
      <c r="F517">
        <v>28333</v>
      </c>
      <c r="G517">
        <v>-223734</v>
      </c>
      <c r="H517">
        <v>80322</v>
      </c>
      <c r="I517">
        <v>83934</v>
      </c>
      <c r="J517">
        <v>2079</v>
      </c>
      <c r="K517">
        <v>648577</v>
      </c>
      <c r="L517">
        <v>319762</v>
      </c>
      <c r="M517">
        <v>-133110</v>
      </c>
      <c r="N517">
        <v>86406</v>
      </c>
      <c r="O517" t="s">
        <v>535</v>
      </c>
      <c r="P517" s="9">
        <v>230302</v>
      </c>
      <c r="Q517" s="9">
        <v>42819</v>
      </c>
      <c r="R517" s="9">
        <v>273121</v>
      </c>
      <c r="S517" s="9">
        <v>-55723</v>
      </c>
      <c r="T517" s="10">
        <v>90488</v>
      </c>
      <c r="U517" s="10">
        <v>1329</v>
      </c>
    </row>
    <row r="518" spans="1:21" x14ac:dyDescent="0.35">
      <c r="A518" t="s">
        <v>15</v>
      </c>
      <c r="B518" t="s">
        <v>20</v>
      </c>
      <c r="C518" t="s">
        <v>21</v>
      </c>
      <c r="D518">
        <v>287321</v>
      </c>
      <c r="E518">
        <v>37392</v>
      </c>
      <c r="F518">
        <v>59328</v>
      </c>
      <c r="G518">
        <v>-251243</v>
      </c>
      <c r="H518">
        <v>132798</v>
      </c>
      <c r="I518">
        <v>136832</v>
      </c>
      <c r="J518">
        <v>2005</v>
      </c>
      <c r="K518">
        <v>1124976</v>
      </c>
      <c r="L518">
        <v>547268</v>
      </c>
      <c r="M518">
        <v>-401705</v>
      </c>
      <c r="N518">
        <v>140031</v>
      </c>
      <c r="O518" t="s">
        <v>536</v>
      </c>
      <c r="P518" s="9">
        <v>168955</v>
      </c>
      <c r="Q518" s="9">
        <v>24647</v>
      </c>
      <c r="R518" s="9">
        <v>193602</v>
      </c>
      <c r="S518" s="9">
        <v>-90560</v>
      </c>
      <c r="T518" s="10">
        <v>80032</v>
      </c>
      <c r="U518" s="10">
        <v>1383</v>
      </c>
    </row>
    <row r="519" spans="1:21" x14ac:dyDescent="0.35">
      <c r="A519" t="s">
        <v>15</v>
      </c>
      <c r="B519" t="s">
        <v>20</v>
      </c>
      <c r="C519" t="s">
        <v>17</v>
      </c>
      <c r="D519">
        <v>174783</v>
      </c>
      <c r="E519">
        <v>25251</v>
      </c>
      <c r="F519">
        <v>31968</v>
      </c>
      <c r="G519">
        <v>-149656</v>
      </c>
      <c r="H519">
        <v>82346</v>
      </c>
      <c r="I519">
        <v>79447</v>
      </c>
      <c r="J519">
        <v>1240</v>
      </c>
      <c r="K519">
        <v>555888</v>
      </c>
      <c r="L519">
        <v>145277</v>
      </c>
      <c r="M519">
        <v>-95280</v>
      </c>
      <c r="N519">
        <v>79971</v>
      </c>
      <c r="O519" t="s">
        <v>537</v>
      </c>
      <c r="P519" s="9">
        <v>275763</v>
      </c>
      <c r="Q519" s="9">
        <v>39254</v>
      </c>
      <c r="R519" s="9">
        <v>315017</v>
      </c>
      <c r="S519" s="9">
        <v>-90340</v>
      </c>
      <c r="T519" s="10">
        <v>93444</v>
      </c>
      <c r="U519" s="10">
        <v>1761</v>
      </c>
    </row>
    <row r="520" spans="1:21" x14ac:dyDescent="0.35">
      <c r="A520" t="s">
        <v>15</v>
      </c>
      <c r="B520" t="s">
        <v>20</v>
      </c>
      <c r="C520" t="s">
        <v>21</v>
      </c>
      <c r="D520">
        <v>259484</v>
      </c>
      <c r="E520">
        <v>46394</v>
      </c>
      <c r="F520">
        <v>26695</v>
      </c>
      <c r="G520">
        <v>-229597</v>
      </c>
      <c r="H520">
        <v>102976</v>
      </c>
      <c r="I520">
        <v>107940</v>
      </c>
      <c r="J520">
        <v>1653</v>
      </c>
      <c r="K520">
        <v>625623</v>
      </c>
      <c r="L520">
        <v>86489</v>
      </c>
      <c r="M520">
        <v>-142394</v>
      </c>
      <c r="N520">
        <v>143897</v>
      </c>
      <c r="O520" t="s">
        <v>538</v>
      </c>
      <c r="P520" s="9">
        <v>220659</v>
      </c>
      <c r="Q520" s="9">
        <v>30192</v>
      </c>
      <c r="R520" s="9">
        <v>250851</v>
      </c>
      <c r="S520" s="9">
        <v>-113106</v>
      </c>
      <c r="T520" s="10">
        <v>83521</v>
      </c>
      <c r="U520" s="10">
        <v>1154</v>
      </c>
    </row>
    <row r="521" spans="1:21" x14ac:dyDescent="0.35">
      <c r="A521" t="s">
        <v>15</v>
      </c>
      <c r="B521" t="s">
        <v>16</v>
      </c>
      <c r="C521" t="s">
        <v>21</v>
      </c>
      <c r="D521">
        <v>173220</v>
      </c>
      <c r="E521">
        <v>9383</v>
      </c>
      <c r="F521">
        <v>28968</v>
      </c>
      <c r="G521">
        <v>-156891</v>
      </c>
      <c r="H521">
        <v>54680</v>
      </c>
      <c r="I521">
        <v>55756</v>
      </c>
      <c r="J521">
        <v>1556</v>
      </c>
      <c r="K521">
        <v>624351</v>
      </c>
      <c r="L521">
        <v>266062</v>
      </c>
      <c r="M521">
        <v>-138458</v>
      </c>
      <c r="N521">
        <v>130902</v>
      </c>
      <c r="O521" t="s">
        <v>539</v>
      </c>
      <c r="P521" s="9">
        <v>293528</v>
      </c>
      <c r="Q521" s="9">
        <v>22981</v>
      </c>
      <c r="R521" s="9">
        <v>316509</v>
      </c>
      <c r="S521" s="9">
        <v>-175019</v>
      </c>
      <c r="T521" s="10">
        <v>90882</v>
      </c>
      <c r="U521" s="10">
        <v>1297</v>
      </c>
    </row>
    <row r="522" spans="1:21" x14ac:dyDescent="0.35">
      <c r="A522" t="s">
        <v>15</v>
      </c>
      <c r="B522" t="s">
        <v>16</v>
      </c>
      <c r="C522" t="s">
        <v>21</v>
      </c>
      <c r="D522">
        <v>279345</v>
      </c>
      <c r="E522">
        <v>55593</v>
      </c>
      <c r="F522">
        <v>56860</v>
      </c>
      <c r="G522">
        <v>-246248</v>
      </c>
      <c r="H522">
        <v>145550</v>
      </c>
      <c r="I522">
        <v>147450</v>
      </c>
      <c r="J522">
        <v>3822</v>
      </c>
      <c r="K522">
        <v>959369</v>
      </c>
      <c r="L522">
        <v>159065</v>
      </c>
      <c r="M522">
        <v>-234039</v>
      </c>
      <c r="N522">
        <v>156992</v>
      </c>
      <c r="O522" t="s">
        <v>540</v>
      </c>
      <c r="P522" s="9">
        <v>270847</v>
      </c>
      <c r="Q522" s="9">
        <v>43149</v>
      </c>
      <c r="R522" s="9">
        <v>313996</v>
      </c>
      <c r="S522" s="9">
        <v>-125502</v>
      </c>
      <c r="T522" s="10">
        <v>91142</v>
      </c>
      <c r="U522" s="10">
        <v>2238</v>
      </c>
    </row>
    <row r="523" spans="1:21" x14ac:dyDescent="0.35">
      <c r="A523" t="s">
        <v>15</v>
      </c>
      <c r="B523" t="s">
        <v>20</v>
      </c>
      <c r="C523" t="s">
        <v>17</v>
      </c>
      <c r="D523">
        <v>156111</v>
      </c>
      <c r="E523">
        <v>11884</v>
      </c>
      <c r="F523">
        <v>38549</v>
      </c>
      <c r="G523">
        <v>-130787</v>
      </c>
      <c r="H523">
        <v>75757</v>
      </c>
      <c r="I523">
        <v>78216</v>
      </c>
      <c r="J523">
        <v>1425</v>
      </c>
      <c r="K523">
        <v>607227</v>
      </c>
      <c r="L523">
        <v>74655</v>
      </c>
      <c r="M523">
        <v>-80292</v>
      </c>
      <c r="N523">
        <v>130175</v>
      </c>
      <c r="O523" t="s">
        <v>541</v>
      </c>
      <c r="P523" s="9">
        <v>270840</v>
      </c>
      <c r="Q523" s="9">
        <v>21486</v>
      </c>
      <c r="R523" s="9">
        <v>292326</v>
      </c>
      <c r="S523" s="9">
        <v>-86023</v>
      </c>
      <c r="T523" s="10">
        <v>117862</v>
      </c>
      <c r="U523" s="10">
        <v>1968</v>
      </c>
    </row>
    <row r="524" spans="1:21" x14ac:dyDescent="0.35">
      <c r="A524" t="s">
        <v>15</v>
      </c>
      <c r="B524" t="s">
        <v>20</v>
      </c>
      <c r="C524" t="s">
        <v>21</v>
      </c>
      <c r="D524">
        <v>248442</v>
      </c>
      <c r="E524">
        <v>14912</v>
      </c>
      <c r="F524">
        <v>37026</v>
      </c>
      <c r="G524">
        <v>-201478</v>
      </c>
      <c r="H524">
        <v>98902</v>
      </c>
      <c r="I524">
        <v>101042</v>
      </c>
      <c r="J524">
        <v>1512</v>
      </c>
      <c r="K524">
        <v>646756</v>
      </c>
      <c r="L524">
        <v>317603</v>
      </c>
      <c r="M524">
        <v>-199522</v>
      </c>
      <c r="N524">
        <v>204457</v>
      </c>
      <c r="O524" t="s">
        <v>542</v>
      </c>
      <c r="P524" s="9">
        <v>268242</v>
      </c>
      <c r="Q524" s="9">
        <v>22030</v>
      </c>
      <c r="R524" s="9">
        <v>290272</v>
      </c>
      <c r="S524" s="9">
        <v>-63596</v>
      </c>
      <c r="T524" s="10">
        <v>99210</v>
      </c>
      <c r="U524" s="10">
        <v>1189</v>
      </c>
    </row>
    <row r="525" spans="1:21" x14ac:dyDescent="0.35">
      <c r="A525" t="s">
        <v>15</v>
      </c>
      <c r="B525" t="s">
        <v>20</v>
      </c>
      <c r="C525" t="s">
        <v>21</v>
      </c>
      <c r="D525">
        <v>279620</v>
      </c>
      <c r="E525">
        <v>15663</v>
      </c>
      <c r="F525">
        <v>48301</v>
      </c>
      <c r="G525">
        <v>-258814</v>
      </c>
      <c r="H525">
        <v>84770</v>
      </c>
      <c r="I525">
        <v>76987</v>
      </c>
      <c r="J525">
        <v>2072</v>
      </c>
      <c r="K525">
        <v>589051</v>
      </c>
      <c r="L525">
        <v>103364</v>
      </c>
      <c r="M525">
        <v>-183274</v>
      </c>
      <c r="N525">
        <v>250555</v>
      </c>
      <c r="O525" t="s">
        <v>543</v>
      </c>
      <c r="P525" s="9">
        <v>157903</v>
      </c>
      <c r="Q525" s="9">
        <v>36417</v>
      </c>
      <c r="R525" s="9">
        <v>194320</v>
      </c>
      <c r="S525" s="9">
        <v>-59063</v>
      </c>
      <c r="T525" s="10">
        <v>82406</v>
      </c>
      <c r="U525" s="10">
        <v>1381</v>
      </c>
    </row>
    <row r="526" spans="1:21" x14ac:dyDescent="0.35">
      <c r="A526" t="s">
        <v>15</v>
      </c>
      <c r="B526" t="s">
        <v>16</v>
      </c>
      <c r="C526" t="s">
        <v>21</v>
      </c>
      <c r="D526">
        <v>191064</v>
      </c>
      <c r="E526">
        <v>17740</v>
      </c>
      <c r="F526">
        <v>44666</v>
      </c>
      <c r="G526">
        <v>-179502</v>
      </c>
      <c r="H526">
        <v>73968</v>
      </c>
      <c r="I526">
        <v>66860</v>
      </c>
      <c r="J526">
        <v>1943</v>
      </c>
      <c r="K526">
        <v>601420</v>
      </c>
      <c r="L526">
        <v>195629</v>
      </c>
      <c r="M526">
        <v>-191693</v>
      </c>
      <c r="N526">
        <v>139480</v>
      </c>
      <c r="O526" t="s">
        <v>544</v>
      </c>
      <c r="P526" s="9">
        <v>308711</v>
      </c>
      <c r="Q526" s="9">
        <v>27384</v>
      </c>
      <c r="R526" s="9">
        <v>336095</v>
      </c>
      <c r="S526" s="9">
        <v>-101813</v>
      </c>
      <c r="T526" s="10">
        <v>89246</v>
      </c>
      <c r="U526" s="10">
        <v>893</v>
      </c>
    </row>
    <row r="527" spans="1:21" x14ac:dyDescent="0.35">
      <c r="A527" t="s">
        <v>15</v>
      </c>
      <c r="B527" t="s">
        <v>16</v>
      </c>
      <c r="C527" t="s">
        <v>17</v>
      </c>
      <c r="D527">
        <v>258110</v>
      </c>
      <c r="E527">
        <v>48740</v>
      </c>
      <c r="F527">
        <v>53707</v>
      </c>
      <c r="G527">
        <v>-233329</v>
      </c>
      <c r="H527">
        <v>127228</v>
      </c>
      <c r="I527">
        <v>125015</v>
      </c>
      <c r="J527">
        <v>3475</v>
      </c>
      <c r="K527">
        <v>777163</v>
      </c>
      <c r="L527">
        <v>204478</v>
      </c>
      <c r="M527">
        <v>-170606</v>
      </c>
      <c r="N527">
        <v>175444</v>
      </c>
      <c r="O527" t="s">
        <v>545</v>
      </c>
      <c r="P527" s="9">
        <v>224536</v>
      </c>
      <c r="Q527" s="9">
        <v>29481</v>
      </c>
      <c r="R527" s="9">
        <v>254017</v>
      </c>
      <c r="S527" s="9">
        <v>-94202</v>
      </c>
      <c r="T527" s="10">
        <v>80519</v>
      </c>
      <c r="U527" s="10">
        <v>1543</v>
      </c>
    </row>
    <row r="528" spans="1:21" x14ac:dyDescent="0.35">
      <c r="A528" t="s">
        <v>15</v>
      </c>
      <c r="B528" t="s">
        <v>16</v>
      </c>
      <c r="C528" t="s">
        <v>21</v>
      </c>
      <c r="D528">
        <v>281858</v>
      </c>
      <c r="E528">
        <v>32813</v>
      </c>
      <c r="F528">
        <v>59347</v>
      </c>
      <c r="G528">
        <v>-232354</v>
      </c>
      <c r="H528">
        <v>141664</v>
      </c>
      <c r="I528">
        <v>137284</v>
      </c>
      <c r="J528">
        <v>2108</v>
      </c>
      <c r="K528">
        <v>607321</v>
      </c>
      <c r="L528">
        <v>179651</v>
      </c>
      <c r="M528">
        <v>-125464</v>
      </c>
      <c r="N528">
        <v>187338</v>
      </c>
      <c r="O528" t="s">
        <v>546</v>
      </c>
      <c r="P528" s="9">
        <v>289182</v>
      </c>
      <c r="Q528" s="9">
        <v>51732</v>
      </c>
      <c r="R528" s="9">
        <v>340914</v>
      </c>
      <c r="S528" s="9">
        <v>-190965</v>
      </c>
      <c r="T528" s="10">
        <v>156417</v>
      </c>
      <c r="U528" s="10">
        <v>2952</v>
      </c>
    </row>
    <row r="529" spans="1:21" x14ac:dyDescent="0.35">
      <c r="A529" t="s">
        <v>15</v>
      </c>
      <c r="B529" t="s">
        <v>20</v>
      </c>
      <c r="C529" t="s">
        <v>17</v>
      </c>
      <c r="D529">
        <v>232748</v>
      </c>
      <c r="E529">
        <v>26665</v>
      </c>
      <c r="F529">
        <v>45345</v>
      </c>
      <c r="G529">
        <v>-223697</v>
      </c>
      <c r="H529">
        <v>81061</v>
      </c>
      <c r="I529">
        <v>73146</v>
      </c>
      <c r="J529">
        <v>1735</v>
      </c>
      <c r="K529">
        <v>529213</v>
      </c>
      <c r="L529">
        <v>178840</v>
      </c>
      <c r="M529">
        <v>-69376</v>
      </c>
      <c r="N529">
        <v>163044</v>
      </c>
      <c r="O529" t="s">
        <v>547</v>
      </c>
      <c r="P529" s="9">
        <v>206764</v>
      </c>
      <c r="Q529" s="9">
        <v>14019</v>
      </c>
      <c r="R529" s="9">
        <v>220783</v>
      </c>
      <c r="S529" s="9">
        <v>-101577</v>
      </c>
      <c r="T529" s="10">
        <v>80723</v>
      </c>
      <c r="U529" s="10">
        <v>966</v>
      </c>
    </row>
    <row r="530" spans="1:21" x14ac:dyDescent="0.35">
      <c r="A530" t="s">
        <v>15</v>
      </c>
      <c r="B530" t="s">
        <v>16</v>
      </c>
      <c r="C530" t="s">
        <v>17</v>
      </c>
      <c r="D530">
        <v>239039</v>
      </c>
      <c r="E530">
        <v>44344</v>
      </c>
      <c r="F530">
        <v>52996</v>
      </c>
      <c r="G530">
        <v>-215135</v>
      </c>
      <c r="H530">
        <v>121244</v>
      </c>
      <c r="I530">
        <v>124653</v>
      </c>
      <c r="J530">
        <v>3090</v>
      </c>
      <c r="K530">
        <v>542036</v>
      </c>
      <c r="L530">
        <v>136742</v>
      </c>
      <c r="M530">
        <v>-154770</v>
      </c>
      <c r="N530">
        <v>166731</v>
      </c>
      <c r="O530" t="s">
        <v>548</v>
      </c>
      <c r="P530" s="9">
        <v>289793</v>
      </c>
      <c r="Q530" s="9">
        <v>51069</v>
      </c>
      <c r="R530" s="9">
        <v>340862</v>
      </c>
      <c r="S530" s="9">
        <v>-90744</v>
      </c>
      <c r="T530" s="10">
        <v>159279</v>
      </c>
      <c r="U530" s="10">
        <v>4197</v>
      </c>
    </row>
    <row r="531" spans="1:21" x14ac:dyDescent="0.35">
      <c r="A531" t="s">
        <v>15</v>
      </c>
      <c r="B531" t="s">
        <v>16</v>
      </c>
      <c r="C531" t="s">
        <v>21</v>
      </c>
      <c r="D531">
        <v>162654</v>
      </c>
      <c r="E531">
        <v>23190</v>
      </c>
      <c r="F531">
        <v>28511</v>
      </c>
      <c r="G531">
        <v>-132461</v>
      </c>
      <c r="H531">
        <v>81894</v>
      </c>
      <c r="I531">
        <v>79262</v>
      </c>
      <c r="J531">
        <v>2072</v>
      </c>
      <c r="K531">
        <v>513583</v>
      </c>
      <c r="L531">
        <v>86070</v>
      </c>
      <c r="M531">
        <v>-115173</v>
      </c>
      <c r="N531">
        <v>100438</v>
      </c>
      <c r="O531" t="s">
        <v>549</v>
      </c>
      <c r="P531" s="9">
        <v>172562</v>
      </c>
      <c r="Q531" s="9">
        <v>12941</v>
      </c>
      <c r="R531" s="9">
        <v>185503</v>
      </c>
      <c r="S531" s="9">
        <v>-44680</v>
      </c>
      <c r="T531" s="10">
        <v>82288</v>
      </c>
      <c r="U531" s="10">
        <v>1879</v>
      </c>
    </row>
    <row r="532" spans="1:21" x14ac:dyDescent="0.35">
      <c r="A532" t="s">
        <v>15</v>
      </c>
      <c r="B532" t="s">
        <v>16</v>
      </c>
      <c r="C532" t="s">
        <v>21</v>
      </c>
      <c r="D532">
        <v>238777</v>
      </c>
      <c r="E532">
        <v>44225</v>
      </c>
      <c r="F532">
        <v>34899</v>
      </c>
      <c r="G532">
        <v>-229429</v>
      </c>
      <c r="H532">
        <v>88472</v>
      </c>
      <c r="I532">
        <v>81967</v>
      </c>
      <c r="J532">
        <v>2273</v>
      </c>
      <c r="K532">
        <v>478313</v>
      </c>
      <c r="L532">
        <v>165048</v>
      </c>
      <c r="M532">
        <v>-162496</v>
      </c>
      <c r="N532">
        <v>163532</v>
      </c>
      <c r="O532" t="s">
        <v>550</v>
      </c>
      <c r="P532" s="9">
        <v>222691</v>
      </c>
      <c r="Q532" s="9">
        <v>22057</v>
      </c>
      <c r="R532" s="9">
        <v>244748</v>
      </c>
      <c r="S532" s="9">
        <v>-109169</v>
      </c>
      <c r="T532" s="10">
        <v>82350</v>
      </c>
      <c r="U532" s="10">
        <v>981</v>
      </c>
    </row>
    <row r="533" spans="1:21" x14ac:dyDescent="0.35">
      <c r="A533" t="s">
        <v>15</v>
      </c>
      <c r="B533" t="s">
        <v>20</v>
      </c>
      <c r="C533" t="s">
        <v>17</v>
      </c>
      <c r="D533">
        <v>281999</v>
      </c>
      <c r="E533">
        <v>34293</v>
      </c>
      <c r="F533">
        <v>28414</v>
      </c>
      <c r="G533">
        <v>-266978</v>
      </c>
      <c r="H533">
        <v>77728</v>
      </c>
      <c r="I533">
        <v>73073</v>
      </c>
      <c r="J533">
        <v>1053</v>
      </c>
      <c r="K533">
        <v>807035</v>
      </c>
      <c r="L533">
        <v>224320</v>
      </c>
      <c r="M533">
        <v>-288988</v>
      </c>
      <c r="N533">
        <v>223380</v>
      </c>
      <c r="O533" t="s">
        <v>551</v>
      </c>
      <c r="P533" s="9">
        <v>239913</v>
      </c>
      <c r="Q533" s="9">
        <v>33359</v>
      </c>
      <c r="R533" s="9">
        <v>273272</v>
      </c>
      <c r="S533" s="9">
        <v>-71577</v>
      </c>
      <c r="T533" s="10">
        <v>96041</v>
      </c>
      <c r="U533" s="10">
        <v>1919</v>
      </c>
    </row>
    <row r="534" spans="1:21" x14ac:dyDescent="0.35">
      <c r="A534" t="s">
        <v>15</v>
      </c>
      <c r="B534" t="s">
        <v>20</v>
      </c>
      <c r="C534" t="s">
        <v>21</v>
      </c>
      <c r="D534">
        <v>205382</v>
      </c>
      <c r="E534">
        <v>21021</v>
      </c>
      <c r="F534">
        <v>32124</v>
      </c>
      <c r="G534">
        <v>-168275</v>
      </c>
      <c r="H534">
        <v>90252</v>
      </c>
      <c r="I534">
        <v>91519</v>
      </c>
      <c r="J534">
        <v>2474</v>
      </c>
      <c r="K534">
        <v>507904</v>
      </c>
      <c r="L534">
        <v>82428</v>
      </c>
      <c r="M534">
        <v>-52055</v>
      </c>
      <c r="N534">
        <v>86847</v>
      </c>
      <c r="O534" t="s">
        <v>552</v>
      </c>
      <c r="P534" s="9">
        <v>223009</v>
      </c>
      <c r="Q534" s="9">
        <v>32098</v>
      </c>
      <c r="R534" s="9">
        <v>255107</v>
      </c>
      <c r="S534" s="9">
        <v>-94561</v>
      </c>
      <c r="T534" s="10">
        <v>68633</v>
      </c>
      <c r="U534" s="10">
        <v>1264</v>
      </c>
    </row>
    <row r="535" spans="1:21" x14ac:dyDescent="0.35">
      <c r="A535" t="s">
        <v>15</v>
      </c>
      <c r="B535" t="s">
        <v>16</v>
      </c>
      <c r="C535" t="s">
        <v>21</v>
      </c>
      <c r="D535">
        <v>189533</v>
      </c>
      <c r="E535">
        <v>34812</v>
      </c>
      <c r="F535">
        <v>29705</v>
      </c>
      <c r="G535">
        <v>-177345</v>
      </c>
      <c r="H535">
        <v>76705</v>
      </c>
      <c r="I535">
        <v>77203</v>
      </c>
      <c r="J535">
        <v>1176</v>
      </c>
      <c r="K535">
        <v>430418</v>
      </c>
      <c r="L535">
        <v>194078</v>
      </c>
      <c r="M535">
        <v>-89259</v>
      </c>
      <c r="N535">
        <v>158717</v>
      </c>
      <c r="O535" t="s">
        <v>553</v>
      </c>
      <c r="P535" s="9">
        <v>282658</v>
      </c>
      <c r="Q535" s="9">
        <v>52482</v>
      </c>
      <c r="R535" s="9">
        <v>335140</v>
      </c>
      <c r="S535" s="9">
        <v>-181408</v>
      </c>
      <c r="T535" s="10">
        <v>136552</v>
      </c>
      <c r="U535" s="10">
        <v>3365</v>
      </c>
    </row>
    <row r="536" spans="1:21" x14ac:dyDescent="0.35">
      <c r="A536" t="s">
        <v>15</v>
      </c>
      <c r="B536" t="s">
        <v>16</v>
      </c>
      <c r="C536" t="s">
        <v>21</v>
      </c>
      <c r="D536">
        <v>226324</v>
      </c>
      <c r="E536">
        <v>44822</v>
      </c>
      <c r="F536">
        <v>46574</v>
      </c>
      <c r="G536">
        <v>-197856</v>
      </c>
      <c r="H536">
        <v>119864</v>
      </c>
      <c r="I536">
        <v>120321</v>
      </c>
      <c r="J536">
        <v>3475</v>
      </c>
      <c r="K536">
        <v>676720</v>
      </c>
      <c r="L536">
        <v>319998</v>
      </c>
      <c r="M536">
        <v>-184207</v>
      </c>
      <c r="N536">
        <v>120278</v>
      </c>
      <c r="O536" t="s">
        <v>554</v>
      </c>
      <c r="P536" s="9">
        <v>165958</v>
      </c>
      <c r="Q536" s="9">
        <v>22140</v>
      </c>
      <c r="R536" s="9">
        <v>188098</v>
      </c>
      <c r="S536" s="9">
        <v>-47324</v>
      </c>
      <c r="T536" s="10">
        <v>42873</v>
      </c>
      <c r="U536" s="10">
        <v>1120</v>
      </c>
    </row>
    <row r="537" spans="1:21" x14ac:dyDescent="0.35">
      <c r="A537" t="s">
        <v>15</v>
      </c>
      <c r="B537" t="s">
        <v>16</v>
      </c>
      <c r="C537" t="s">
        <v>21</v>
      </c>
      <c r="D537">
        <v>210989</v>
      </c>
      <c r="E537">
        <v>18324</v>
      </c>
      <c r="F537">
        <v>44104</v>
      </c>
      <c r="G537">
        <v>-195991</v>
      </c>
      <c r="H537">
        <v>77426</v>
      </c>
      <c r="I537">
        <v>74438</v>
      </c>
      <c r="J537">
        <v>1741</v>
      </c>
      <c r="K537">
        <v>651607</v>
      </c>
      <c r="L537">
        <v>182451</v>
      </c>
      <c r="M537">
        <v>-79263</v>
      </c>
      <c r="N537">
        <v>150342</v>
      </c>
      <c r="O537" t="s">
        <v>555</v>
      </c>
      <c r="P537" s="9">
        <v>221568</v>
      </c>
      <c r="Q537" s="9">
        <v>19995</v>
      </c>
      <c r="R537" s="9">
        <v>241563</v>
      </c>
      <c r="S537" s="9">
        <v>-115511</v>
      </c>
      <c r="T537" s="10">
        <v>95315</v>
      </c>
      <c r="U537" s="10">
        <v>1998</v>
      </c>
    </row>
    <row r="538" spans="1:21" x14ac:dyDescent="0.35">
      <c r="A538" t="s">
        <v>15</v>
      </c>
      <c r="B538" t="s">
        <v>16</v>
      </c>
      <c r="C538" t="s">
        <v>21</v>
      </c>
      <c r="D538">
        <v>281119</v>
      </c>
      <c r="E538">
        <v>35955</v>
      </c>
      <c r="F538">
        <v>34821</v>
      </c>
      <c r="G538">
        <v>-243352</v>
      </c>
      <c r="H538">
        <v>108543</v>
      </c>
      <c r="I538">
        <v>107668</v>
      </c>
      <c r="J538">
        <v>1461</v>
      </c>
      <c r="K538">
        <v>890483</v>
      </c>
      <c r="L538">
        <v>134615</v>
      </c>
      <c r="M538">
        <v>-327637</v>
      </c>
      <c r="N538">
        <v>183774</v>
      </c>
      <c r="O538" t="s">
        <v>556</v>
      </c>
      <c r="P538" s="9">
        <v>249294</v>
      </c>
      <c r="Q538" s="9">
        <v>52734</v>
      </c>
      <c r="R538" s="9">
        <v>302028</v>
      </c>
      <c r="S538" s="9">
        <v>-79160</v>
      </c>
      <c r="T538" s="10">
        <v>124619</v>
      </c>
      <c r="U538" s="10">
        <v>3539</v>
      </c>
    </row>
    <row r="539" spans="1:21" x14ac:dyDescent="0.35">
      <c r="A539" t="s">
        <v>15</v>
      </c>
      <c r="B539" t="s">
        <v>16</v>
      </c>
      <c r="C539" t="s">
        <v>21</v>
      </c>
      <c r="D539">
        <v>291679</v>
      </c>
      <c r="E539">
        <v>27408</v>
      </c>
      <c r="F539">
        <v>55564</v>
      </c>
      <c r="G539">
        <v>-288610</v>
      </c>
      <c r="H539">
        <v>86041</v>
      </c>
      <c r="I539">
        <v>77527</v>
      </c>
      <c r="J539">
        <v>1318</v>
      </c>
      <c r="K539">
        <v>787787</v>
      </c>
      <c r="L539">
        <v>154671</v>
      </c>
      <c r="M539">
        <v>-114013</v>
      </c>
      <c r="N539">
        <v>110362</v>
      </c>
      <c r="O539" t="s">
        <v>557</v>
      </c>
      <c r="P539" s="9">
        <v>285088</v>
      </c>
      <c r="Q539" s="9">
        <v>31126</v>
      </c>
      <c r="R539" s="9">
        <v>316214</v>
      </c>
      <c r="S539" s="9">
        <v>-162928</v>
      </c>
      <c r="T539" s="10">
        <v>102475</v>
      </c>
      <c r="U539" s="10">
        <v>2994</v>
      </c>
    </row>
    <row r="540" spans="1:21" x14ac:dyDescent="0.35">
      <c r="A540" t="s">
        <v>15</v>
      </c>
      <c r="B540" t="s">
        <v>16</v>
      </c>
      <c r="C540" t="s">
        <v>21</v>
      </c>
      <c r="D540">
        <v>180627</v>
      </c>
      <c r="E540">
        <v>33184</v>
      </c>
      <c r="F540">
        <v>18939</v>
      </c>
      <c r="G540">
        <v>-173013</v>
      </c>
      <c r="H540">
        <v>59737</v>
      </c>
      <c r="I540">
        <v>61071</v>
      </c>
      <c r="J540">
        <v>699</v>
      </c>
      <c r="K540">
        <v>506598</v>
      </c>
      <c r="L540">
        <v>112198</v>
      </c>
      <c r="M540">
        <v>-140484</v>
      </c>
      <c r="N540">
        <v>119647</v>
      </c>
      <c r="O540" t="s">
        <v>558</v>
      </c>
      <c r="P540" s="9">
        <v>199933</v>
      </c>
      <c r="Q540" s="9">
        <v>24584</v>
      </c>
      <c r="R540" s="9">
        <v>224517</v>
      </c>
      <c r="S540" s="9">
        <v>-106073</v>
      </c>
      <c r="T540" s="10">
        <v>94754</v>
      </c>
      <c r="U540" s="10">
        <v>1111</v>
      </c>
    </row>
    <row r="541" spans="1:21" x14ac:dyDescent="0.35">
      <c r="A541" t="s">
        <v>15</v>
      </c>
      <c r="B541" t="s">
        <v>16</v>
      </c>
      <c r="C541" t="s">
        <v>17</v>
      </c>
      <c r="D541">
        <v>284098</v>
      </c>
      <c r="E541">
        <v>35199</v>
      </c>
      <c r="F541">
        <v>45603</v>
      </c>
      <c r="G541">
        <v>-231703</v>
      </c>
      <c r="H541">
        <v>133197</v>
      </c>
      <c r="I541">
        <v>125741</v>
      </c>
      <c r="J541">
        <v>2132</v>
      </c>
      <c r="K541">
        <v>627790</v>
      </c>
      <c r="L541">
        <v>101809</v>
      </c>
      <c r="M541">
        <v>-132114</v>
      </c>
      <c r="N541">
        <v>173850</v>
      </c>
      <c r="O541" t="s">
        <v>559</v>
      </c>
      <c r="P541" s="9">
        <v>183241</v>
      </c>
      <c r="Q541" s="9">
        <v>16614</v>
      </c>
      <c r="R541" s="9">
        <v>199855</v>
      </c>
      <c r="S541" s="9">
        <v>-85784</v>
      </c>
      <c r="T541" s="10">
        <v>39096</v>
      </c>
      <c r="U541" s="10">
        <v>909</v>
      </c>
    </row>
    <row r="542" spans="1:21" x14ac:dyDescent="0.35">
      <c r="A542" t="s">
        <v>15</v>
      </c>
      <c r="B542" t="s">
        <v>16</v>
      </c>
      <c r="C542" t="s">
        <v>21</v>
      </c>
      <c r="D542">
        <v>235587</v>
      </c>
      <c r="E542">
        <v>39474</v>
      </c>
      <c r="F542">
        <v>25725</v>
      </c>
      <c r="G542">
        <v>-224125</v>
      </c>
      <c r="H542">
        <v>76661</v>
      </c>
      <c r="I542">
        <v>73170</v>
      </c>
      <c r="J542">
        <v>1371</v>
      </c>
      <c r="K542">
        <v>790669</v>
      </c>
      <c r="L542">
        <v>202384</v>
      </c>
      <c r="M542">
        <v>-117966</v>
      </c>
      <c r="N542">
        <v>95799</v>
      </c>
      <c r="O542" t="s">
        <v>560</v>
      </c>
      <c r="P542" s="9">
        <v>197649</v>
      </c>
      <c r="Q542" s="9">
        <v>11699</v>
      </c>
      <c r="R542" s="9">
        <v>209348</v>
      </c>
      <c r="S542" s="9">
        <v>-101363</v>
      </c>
      <c r="T542" s="10">
        <v>41063</v>
      </c>
      <c r="U542" s="10">
        <v>1123</v>
      </c>
    </row>
    <row r="543" spans="1:21" x14ac:dyDescent="0.35">
      <c r="A543" t="s">
        <v>15</v>
      </c>
      <c r="B543" t="s">
        <v>20</v>
      </c>
      <c r="C543" t="s">
        <v>21</v>
      </c>
      <c r="D543">
        <v>298888</v>
      </c>
      <c r="E543">
        <v>43371</v>
      </c>
      <c r="F543">
        <v>40466</v>
      </c>
      <c r="G543">
        <v>-262817</v>
      </c>
      <c r="H543">
        <v>119908</v>
      </c>
      <c r="I543">
        <v>112119</v>
      </c>
      <c r="J543">
        <v>2935</v>
      </c>
      <c r="K543">
        <v>977675</v>
      </c>
      <c r="L543">
        <v>399976</v>
      </c>
      <c r="M543">
        <v>-144725</v>
      </c>
      <c r="N543">
        <v>162117</v>
      </c>
      <c r="O543" t="s">
        <v>561</v>
      </c>
      <c r="P543" s="9">
        <v>207136</v>
      </c>
      <c r="Q543" s="9">
        <v>15977</v>
      </c>
      <c r="R543" s="9">
        <v>223113</v>
      </c>
      <c r="S543" s="9">
        <v>-120217</v>
      </c>
      <c r="T543" s="10">
        <v>44652</v>
      </c>
      <c r="U543" s="10">
        <v>533</v>
      </c>
    </row>
    <row r="544" spans="1:21" x14ac:dyDescent="0.35">
      <c r="A544" t="s">
        <v>15</v>
      </c>
      <c r="B544" t="s">
        <v>20</v>
      </c>
      <c r="C544" t="s">
        <v>21</v>
      </c>
      <c r="D544">
        <v>221181</v>
      </c>
      <c r="E544">
        <v>15744</v>
      </c>
      <c r="F544">
        <v>35584</v>
      </c>
      <c r="G544">
        <v>-212060</v>
      </c>
      <c r="H544">
        <v>60449</v>
      </c>
      <c r="I544">
        <v>61013</v>
      </c>
      <c r="J544">
        <v>1583</v>
      </c>
      <c r="K544">
        <v>870263</v>
      </c>
      <c r="L544">
        <v>286052</v>
      </c>
      <c r="M544">
        <v>-127290</v>
      </c>
      <c r="N544">
        <v>189301</v>
      </c>
      <c r="O544" t="s">
        <v>562</v>
      </c>
      <c r="P544" s="9">
        <v>165488</v>
      </c>
      <c r="Q544" s="9">
        <v>10673</v>
      </c>
      <c r="R544" s="9">
        <v>176161</v>
      </c>
      <c r="S544" s="9">
        <v>-44915</v>
      </c>
      <c r="T544" s="10">
        <v>59958</v>
      </c>
      <c r="U544" s="10">
        <v>1233</v>
      </c>
    </row>
    <row r="545" spans="1:21" x14ac:dyDescent="0.35">
      <c r="A545" t="s">
        <v>15</v>
      </c>
      <c r="B545" t="s">
        <v>16</v>
      </c>
      <c r="C545" t="s">
        <v>21</v>
      </c>
      <c r="D545">
        <v>282494</v>
      </c>
      <c r="E545">
        <v>42971</v>
      </c>
      <c r="F545">
        <v>44064</v>
      </c>
      <c r="G545">
        <v>-227008</v>
      </c>
      <c r="H545">
        <v>142521</v>
      </c>
      <c r="I545">
        <v>148432</v>
      </c>
      <c r="J545">
        <v>3603</v>
      </c>
      <c r="K545">
        <v>991965</v>
      </c>
      <c r="L545">
        <v>144994</v>
      </c>
      <c r="M545">
        <v>-179314</v>
      </c>
      <c r="N545">
        <v>199403</v>
      </c>
      <c r="O545" t="s">
        <v>563</v>
      </c>
      <c r="P545" s="9">
        <v>187479</v>
      </c>
      <c r="Q545" s="9">
        <v>32609</v>
      </c>
      <c r="R545" s="9">
        <v>220088</v>
      </c>
      <c r="S545" s="9">
        <v>-49632</v>
      </c>
      <c r="T545" s="10">
        <v>82160</v>
      </c>
      <c r="U545" s="10">
        <v>998</v>
      </c>
    </row>
    <row r="546" spans="1:21" x14ac:dyDescent="0.35">
      <c r="A546" t="s">
        <v>15</v>
      </c>
      <c r="B546" t="s">
        <v>20</v>
      </c>
      <c r="C546" t="s">
        <v>21</v>
      </c>
      <c r="D546">
        <v>180991</v>
      </c>
      <c r="E546">
        <v>22819</v>
      </c>
      <c r="F546">
        <v>24323</v>
      </c>
      <c r="G546">
        <v>-148572</v>
      </c>
      <c r="H546">
        <v>79561</v>
      </c>
      <c r="I546">
        <v>80907</v>
      </c>
      <c r="J546">
        <v>1501</v>
      </c>
      <c r="K546">
        <v>517191</v>
      </c>
      <c r="L546">
        <v>206457</v>
      </c>
      <c r="M546">
        <v>-137772</v>
      </c>
      <c r="N546">
        <v>160910</v>
      </c>
      <c r="O546" t="s">
        <v>564</v>
      </c>
      <c r="P546" s="9">
        <v>219990</v>
      </c>
      <c r="Q546" s="9">
        <v>25755</v>
      </c>
      <c r="R546" s="9">
        <v>245745</v>
      </c>
      <c r="S546" s="9">
        <v>-92637</v>
      </c>
      <c r="T546" s="10">
        <v>86115</v>
      </c>
      <c r="U546" s="10">
        <v>2183</v>
      </c>
    </row>
    <row r="547" spans="1:21" x14ac:dyDescent="0.35">
      <c r="A547" t="s">
        <v>15</v>
      </c>
      <c r="B547" t="s">
        <v>20</v>
      </c>
      <c r="C547" t="s">
        <v>21</v>
      </c>
      <c r="D547">
        <v>172281</v>
      </c>
      <c r="E547">
        <v>15938</v>
      </c>
      <c r="F547">
        <v>26057</v>
      </c>
      <c r="G547">
        <v>-148583</v>
      </c>
      <c r="H547">
        <v>65693</v>
      </c>
      <c r="I547">
        <v>62633</v>
      </c>
      <c r="J547">
        <v>1538</v>
      </c>
      <c r="K547">
        <v>387775</v>
      </c>
      <c r="L547">
        <v>133486</v>
      </c>
      <c r="M547">
        <v>-68539</v>
      </c>
      <c r="N547">
        <v>138179</v>
      </c>
      <c r="O547" t="s">
        <v>565</v>
      </c>
      <c r="P547" s="9">
        <v>201516</v>
      </c>
      <c r="Q547" s="9">
        <v>28647</v>
      </c>
      <c r="R547" s="9">
        <v>230163</v>
      </c>
      <c r="S547" s="9">
        <v>-56540</v>
      </c>
      <c r="T547" s="10">
        <v>80029</v>
      </c>
      <c r="U547" s="10">
        <v>975</v>
      </c>
    </row>
    <row r="548" spans="1:21" x14ac:dyDescent="0.35">
      <c r="A548" t="s">
        <v>15</v>
      </c>
      <c r="B548" t="s">
        <v>20</v>
      </c>
      <c r="C548" t="s">
        <v>17</v>
      </c>
      <c r="D548">
        <v>189549</v>
      </c>
      <c r="E548">
        <v>33828</v>
      </c>
      <c r="F548">
        <v>26187</v>
      </c>
      <c r="G548">
        <v>-170278</v>
      </c>
      <c r="H548">
        <v>79286</v>
      </c>
      <c r="I548">
        <v>73035</v>
      </c>
      <c r="J548">
        <v>837</v>
      </c>
      <c r="K548">
        <v>508026</v>
      </c>
      <c r="L548">
        <v>252612</v>
      </c>
      <c r="M548">
        <v>-147680</v>
      </c>
      <c r="N548">
        <v>169539</v>
      </c>
      <c r="O548" t="s">
        <v>566</v>
      </c>
      <c r="P548" s="9">
        <v>183139</v>
      </c>
      <c r="Q548" s="9">
        <v>25236</v>
      </c>
      <c r="R548" s="9">
        <v>208375</v>
      </c>
      <c r="S548" s="9">
        <v>-98257</v>
      </c>
      <c r="T548" s="10">
        <v>81267</v>
      </c>
      <c r="U548" s="10">
        <v>2343</v>
      </c>
    </row>
    <row r="549" spans="1:21" x14ac:dyDescent="0.35">
      <c r="A549" t="s">
        <v>15</v>
      </c>
      <c r="B549" t="s">
        <v>16</v>
      </c>
      <c r="C549" t="s">
        <v>17</v>
      </c>
      <c r="D549">
        <v>265741</v>
      </c>
      <c r="E549">
        <v>41399</v>
      </c>
      <c r="F549">
        <v>56743</v>
      </c>
      <c r="G549">
        <v>-250971</v>
      </c>
      <c r="H549">
        <v>112912</v>
      </c>
      <c r="I549">
        <v>115952</v>
      </c>
      <c r="J549">
        <v>1307</v>
      </c>
      <c r="K549">
        <v>561873</v>
      </c>
      <c r="L549">
        <v>274096</v>
      </c>
      <c r="M549">
        <v>-161244</v>
      </c>
      <c r="N549">
        <v>166668</v>
      </c>
      <c r="O549" t="s">
        <v>567</v>
      </c>
      <c r="P549" s="9">
        <v>271446</v>
      </c>
      <c r="Q549" s="9">
        <v>14101</v>
      </c>
      <c r="R549" s="9">
        <v>285547</v>
      </c>
      <c r="S549" s="9">
        <v>-111557</v>
      </c>
      <c r="T549" s="10">
        <v>99878</v>
      </c>
      <c r="U549" s="10">
        <v>2868</v>
      </c>
    </row>
    <row r="550" spans="1:21" x14ac:dyDescent="0.35">
      <c r="A550" t="s">
        <v>15</v>
      </c>
      <c r="B550" t="s">
        <v>16</v>
      </c>
      <c r="C550" t="s">
        <v>21</v>
      </c>
      <c r="D550">
        <v>162094</v>
      </c>
      <c r="E550">
        <v>9158</v>
      </c>
      <c r="F550">
        <v>23079</v>
      </c>
      <c r="G550">
        <v>-143963</v>
      </c>
      <c r="H550">
        <v>50368</v>
      </c>
      <c r="I550">
        <v>50442</v>
      </c>
      <c r="J550">
        <v>1189</v>
      </c>
      <c r="K550">
        <v>618277</v>
      </c>
      <c r="L550">
        <v>178870</v>
      </c>
      <c r="M550">
        <v>-165598</v>
      </c>
      <c r="N550">
        <v>54519</v>
      </c>
      <c r="O550" t="s">
        <v>568</v>
      </c>
      <c r="P550" s="9">
        <v>260031</v>
      </c>
      <c r="Q550" s="9">
        <v>15703</v>
      </c>
      <c r="R550" s="9">
        <v>275734</v>
      </c>
      <c r="S550" s="9">
        <v>-115605</v>
      </c>
      <c r="T550" s="10">
        <v>72058</v>
      </c>
      <c r="U550" s="10">
        <v>1536</v>
      </c>
    </row>
    <row r="551" spans="1:21" x14ac:dyDescent="0.35">
      <c r="A551" t="s">
        <v>15</v>
      </c>
      <c r="B551" t="s">
        <v>20</v>
      </c>
      <c r="C551" t="s">
        <v>21</v>
      </c>
      <c r="D551">
        <v>231626</v>
      </c>
      <c r="E551">
        <v>29416</v>
      </c>
      <c r="F551">
        <v>46142</v>
      </c>
      <c r="G551">
        <v>-192645</v>
      </c>
      <c r="H551">
        <v>114539</v>
      </c>
      <c r="I551">
        <v>106200</v>
      </c>
      <c r="J551">
        <v>2155</v>
      </c>
      <c r="K551">
        <v>542857</v>
      </c>
      <c r="L551">
        <v>69140</v>
      </c>
      <c r="M551">
        <v>-185589</v>
      </c>
      <c r="N551">
        <v>137963</v>
      </c>
      <c r="O551" t="s">
        <v>569</v>
      </c>
      <c r="P551" s="9">
        <v>295389</v>
      </c>
      <c r="Q551" s="9">
        <v>49449</v>
      </c>
      <c r="R551" s="9">
        <v>344838</v>
      </c>
      <c r="S551" s="9">
        <v>-79774</v>
      </c>
      <c r="T551" s="10">
        <v>121693</v>
      </c>
      <c r="U551" s="10">
        <v>2606</v>
      </c>
    </row>
    <row r="552" spans="1:21" x14ac:dyDescent="0.35">
      <c r="A552" t="s">
        <v>15</v>
      </c>
      <c r="B552" t="s">
        <v>16</v>
      </c>
      <c r="C552" t="s">
        <v>21</v>
      </c>
      <c r="D552">
        <v>170595</v>
      </c>
      <c r="E552">
        <v>18782</v>
      </c>
      <c r="F552">
        <v>31002</v>
      </c>
      <c r="G552">
        <v>-154800</v>
      </c>
      <c r="H552">
        <v>65579</v>
      </c>
      <c r="I552">
        <v>62932</v>
      </c>
      <c r="J552">
        <v>762</v>
      </c>
      <c r="K552">
        <v>419505</v>
      </c>
      <c r="L552">
        <v>111321</v>
      </c>
      <c r="M552">
        <v>-79930</v>
      </c>
      <c r="N552">
        <v>73083</v>
      </c>
      <c r="O552" t="s">
        <v>570</v>
      </c>
      <c r="P552" s="9">
        <v>194285</v>
      </c>
      <c r="Q552" s="9">
        <v>21087</v>
      </c>
      <c r="R552" s="9">
        <v>215372</v>
      </c>
      <c r="S552" s="9">
        <v>-115284</v>
      </c>
      <c r="T552" s="10">
        <v>75125</v>
      </c>
      <c r="U552" s="10">
        <v>1712</v>
      </c>
    </row>
    <row r="553" spans="1:21" x14ac:dyDescent="0.35">
      <c r="A553" t="s">
        <v>15</v>
      </c>
      <c r="B553" t="s">
        <v>16</v>
      </c>
      <c r="C553" t="s">
        <v>17</v>
      </c>
      <c r="D553">
        <v>296732</v>
      </c>
      <c r="E553">
        <v>48880</v>
      </c>
      <c r="F553">
        <v>68696</v>
      </c>
      <c r="G553">
        <v>-274363</v>
      </c>
      <c r="H553">
        <v>139945</v>
      </c>
      <c r="I553">
        <v>128287</v>
      </c>
      <c r="J553">
        <v>2272</v>
      </c>
      <c r="K553">
        <v>1028547</v>
      </c>
      <c r="L553">
        <v>356146</v>
      </c>
      <c r="M553">
        <v>-313115</v>
      </c>
      <c r="N553">
        <v>224485</v>
      </c>
      <c r="O553" t="s">
        <v>571</v>
      </c>
      <c r="P553" s="9">
        <v>253143</v>
      </c>
      <c r="Q553" s="9">
        <v>46798</v>
      </c>
      <c r="R553" s="9">
        <v>299941</v>
      </c>
      <c r="S553" s="9">
        <v>-89018</v>
      </c>
      <c r="T553" s="10">
        <v>88547</v>
      </c>
      <c r="U553" s="10">
        <v>1553</v>
      </c>
    </row>
    <row r="554" spans="1:21" x14ac:dyDescent="0.35">
      <c r="A554" t="s">
        <v>15</v>
      </c>
      <c r="B554" t="s">
        <v>16</v>
      </c>
      <c r="C554" t="s">
        <v>17</v>
      </c>
      <c r="D554">
        <v>284486</v>
      </c>
      <c r="E554">
        <v>39023</v>
      </c>
      <c r="F554">
        <v>65985</v>
      </c>
      <c r="G554">
        <v>-254984</v>
      </c>
      <c r="H554">
        <v>134510</v>
      </c>
      <c r="I554">
        <v>132431</v>
      </c>
      <c r="J554">
        <v>1410</v>
      </c>
      <c r="K554">
        <v>831486</v>
      </c>
      <c r="L554">
        <v>127746</v>
      </c>
      <c r="M554">
        <v>-205980</v>
      </c>
      <c r="N554">
        <v>218169</v>
      </c>
      <c r="O554" t="s">
        <v>572</v>
      </c>
      <c r="P554" s="9">
        <v>175805</v>
      </c>
      <c r="Q554" s="9">
        <v>27405</v>
      </c>
      <c r="R554" s="9">
        <v>203210</v>
      </c>
      <c r="S554" s="9">
        <v>-115058</v>
      </c>
      <c r="T554" s="10">
        <v>56593</v>
      </c>
      <c r="U554" s="10">
        <v>1039</v>
      </c>
    </row>
    <row r="555" spans="1:21" x14ac:dyDescent="0.35">
      <c r="A555" t="s">
        <v>15</v>
      </c>
      <c r="B555" t="s">
        <v>16</v>
      </c>
      <c r="C555" t="s">
        <v>21</v>
      </c>
      <c r="D555">
        <v>176155</v>
      </c>
      <c r="E555">
        <v>15428</v>
      </c>
      <c r="F555">
        <v>35147</v>
      </c>
      <c r="G555">
        <v>-171046</v>
      </c>
      <c r="H555">
        <v>55684</v>
      </c>
      <c r="I555">
        <v>54573</v>
      </c>
      <c r="J555">
        <v>1443</v>
      </c>
      <c r="K555">
        <v>587247</v>
      </c>
      <c r="L555">
        <v>86632</v>
      </c>
      <c r="M555">
        <v>-224784</v>
      </c>
      <c r="N555">
        <v>55972</v>
      </c>
      <c r="O555" t="s">
        <v>573</v>
      </c>
      <c r="P555" s="9">
        <v>162676</v>
      </c>
      <c r="Q555" s="9">
        <v>15703</v>
      </c>
      <c r="R555" s="9">
        <v>178379</v>
      </c>
      <c r="S555" s="9">
        <v>-65033</v>
      </c>
      <c r="T555" s="10">
        <v>52607</v>
      </c>
      <c r="U555" s="10">
        <v>558</v>
      </c>
    </row>
    <row r="556" spans="1:21" x14ac:dyDescent="0.35">
      <c r="A556" t="s">
        <v>15</v>
      </c>
      <c r="B556" t="s">
        <v>16</v>
      </c>
      <c r="C556" t="s">
        <v>17</v>
      </c>
      <c r="D556">
        <v>281391</v>
      </c>
      <c r="E556">
        <v>25651</v>
      </c>
      <c r="F556">
        <v>63504</v>
      </c>
      <c r="G556">
        <v>-265120</v>
      </c>
      <c r="H556">
        <v>105426</v>
      </c>
      <c r="I556">
        <v>110251</v>
      </c>
      <c r="J556">
        <v>1589</v>
      </c>
      <c r="K556">
        <v>1006140</v>
      </c>
      <c r="L556">
        <v>254325</v>
      </c>
      <c r="M556">
        <v>-228039</v>
      </c>
      <c r="N556">
        <v>124477</v>
      </c>
      <c r="O556" t="s">
        <v>574</v>
      </c>
      <c r="P556" s="9">
        <v>219647</v>
      </c>
      <c r="Q556" s="9">
        <v>26796</v>
      </c>
      <c r="R556" s="9">
        <v>246443</v>
      </c>
      <c r="S556" s="9">
        <v>-60846</v>
      </c>
      <c r="T556" s="10">
        <v>79078</v>
      </c>
      <c r="U556" s="10">
        <v>1531</v>
      </c>
    </row>
    <row r="557" spans="1:21" x14ac:dyDescent="0.35">
      <c r="A557" t="s">
        <v>15</v>
      </c>
      <c r="B557" t="s">
        <v>16</v>
      </c>
      <c r="C557" t="s">
        <v>21</v>
      </c>
      <c r="D557">
        <v>289450</v>
      </c>
      <c r="E557">
        <v>29477</v>
      </c>
      <c r="F557">
        <v>35130</v>
      </c>
      <c r="G557">
        <v>-266703</v>
      </c>
      <c r="H557">
        <v>87354</v>
      </c>
      <c r="I557">
        <v>79838</v>
      </c>
      <c r="J557">
        <v>2116</v>
      </c>
      <c r="K557">
        <v>773116</v>
      </c>
      <c r="L557">
        <v>84250</v>
      </c>
      <c r="M557">
        <v>-185546</v>
      </c>
      <c r="N557">
        <v>226643</v>
      </c>
      <c r="O557" t="s">
        <v>575</v>
      </c>
      <c r="P557" s="9">
        <v>230732</v>
      </c>
      <c r="Q557" s="9">
        <v>47357</v>
      </c>
      <c r="R557" s="9">
        <v>278089</v>
      </c>
      <c r="S557" s="9">
        <v>-82022</v>
      </c>
      <c r="T557" s="10">
        <v>100124</v>
      </c>
      <c r="U557" s="10">
        <v>1055</v>
      </c>
    </row>
    <row r="558" spans="1:21" x14ac:dyDescent="0.35">
      <c r="A558" t="s">
        <v>15</v>
      </c>
      <c r="B558" t="s">
        <v>20</v>
      </c>
      <c r="C558" t="s">
        <v>17</v>
      </c>
      <c r="D558">
        <v>167783</v>
      </c>
      <c r="E558">
        <v>20002</v>
      </c>
      <c r="F558">
        <v>22511</v>
      </c>
      <c r="G558">
        <v>-150413</v>
      </c>
      <c r="H558">
        <v>59883</v>
      </c>
      <c r="I558">
        <v>57355</v>
      </c>
      <c r="J558">
        <v>1510</v>
      </c>
      <c r="K558">
        <v>478044</v>
      </c>
      <c r="L558">
        <v>49473</v>
      </c>
      <c r="M558">
        <v>-121617</v>
      </c>
      <c r="N558">
        <v>65448</v>
      </c>
      <c r="O558" t="s">
        <v>576</v>
      </c>
      <c r="P558" s="9">
        <v>246146</v>
      </c>
      <c r="Q558" s="9">
        <v>38599</v>
      </c>
      <c r="R558" s="9">
        <v>284745</v>
      </c>
      <c r="S558" s="9">
        <v>-142048</v>
      </c>
      <c r="T558" s="10">
        <v>119589</v>
      </c>
      <c r="U558" s="10">
        <v>2509</v>
      </c>
    </row>
    <row r="559" spans="1:21" x14ac:dyDescent="0.35">
      <c r="A559" t="s">
        <v>15</v>
      </c>
      <c r="B559" t="s">
        <v>16</v>
      </c>
      <c r="C559" t="s">
        <v>17</v>
      </c>
      <c r="D559">
        <v>173110</v>
      </c>
      <c r="E559">
        <v>8803</v>
      </c>
      <c r="F559">
        <v>35401</v>
      </c>
      <c r="G559">
        <v>-143680</v>
      </c>
      <c r="H559">
        <v>73634</v>
      </c>
      <c r="I559">
        <v>67012</v>
      </c>
      <c r="J559">
        <v>1998</v>
      </c>
      <c r="K559">
        <v>651706</v>
      </c>
      <c r="L559">
        <v>175876</v>
      </c>
      <c r="M559">
        <v>-252101</v>
      </c>
      <c r="N559">
        <v>125793</v>
      </c>
      <c r="O559" t="s">
        <v>577</v>
      </c>
      <c r="P559" s="9">
        <v>280557</v>
      </c>
      <c r="Q559" s="9">
        <v>45321</v>
      </c>
      <c r="R559" s="9">
        <v>325878</v>
      </c>
      <c r="S559" s="9">
        <v>-89081</v>
      </c>
      <c r="T559" s="10">
        <v>129751</v>
      </c>
      <c r="U559" s="10">
        <v>3161</v>
      </c>
    </row>
    <row r="560" spans="1:21" x14ac:dyDescent="0.35">
      <c r="A560" t="s">
        <v>15</v>
      </c>
      <c r="B560" t="s">
        <v>16</v>
      </c>
      <c r="C560" t="s">
        <v>21</v>
      </c>
      <c r="D560">
        <v>208417</v>
      </c>
      <c r="E560">
        <v>33871</v>
      </c>
      <c r="F560">
        <v>35262</v>
      </c>
      <c r="G560">
        <v>-200671</v>
      </c>
      <c r="H560">
        <v>76879</v>
      </c>
      <c r="I560">
        <v>77991</v>
      </c>
      <c r="J560">
        <v>988</v>
      </c>
      <c r="K560">
        <v>425776</v>
      </c>
      <c r="L560">
        <v>49856</v>
      </c>
      <c r="M560">
        <v>-130343</v>
      </c>
      <c r="N560">
        <v>94885</v>
      </c>
      <c r="O560" t="s">
        <v>578</v>
      </c>
      <c r="P560" s="9">
        <v>274170</v>
      </c>
      <c r="Q560" s="9">
        <v>41739</v>
      </c>
      <c r="R560" s="9">
        <v>315909</v>
      </c>
      <c r="S560" s="9">
        <v>-98943</v>
      </c>
      <c r="T560" s="10">
        <v>112132</v>
      </c>
      <c r="U560" s="10">
        <v>3113</v>
      </c>
    </row>
    <row r="561" spans="1:21" x14ac:dyDescent="0.35">
      <c r="A561" t="s">
        <v>15</v>
      </c>
      <c r="B561" t="s">
        <v>16</v>
      </c>
      <c r="C561" t="s">
        <v>21</v>
      </c>
      <c r="D561">
        <v>150311</v>
      </c>
      <c r="E561">
        <v>9562</v>
      </c>
      <c r="F561">
        <v>26463</v>
      </c>
      <c r="G561">
        <v>-145762</v>
      </c>
      <c r="H561">
        <v>40574</v>
      </c>
      <c r="I561">
        <v>42329</v>
      </c>
      <c r="J561">
        <v>429</v>
      </c>
      <c r="K561">
        <v>500729</v>
      </c>
      <c r="L561">
        <v>52751</v>
      </c>
      <c r="M561">
        <v>-120097</v>
      </c>
      <c r="N561">
        <v>76704</v>
      </c>
      <c r="O561" t="s">
        <v>579</v>
      </c>
      <c r="P561" s="9">
        <v>248533</v>
      </c>
      <c r="Q561" s="9">
        <v>17014</v>
      </c>
      <c r="R561" s="9">
        <v>265547</v>
      </c>
      <c r="S561" s="9">
        <v>-126737</v>
      </c>
      <c r="T561" s="10">
        <v>88704</v>
      </c>
      <c r="U561" s="10">
        <v>2133</v>
      </c>
    </row>
    <row r="562" spans="1:21" x14ac:dyDescent="0.35">
      <c r="A562" t="s">
        <v>15</v>
      </c>
      <c r="B562" t="s">
        <v>20</v>
      </c>
      <c r="C562" t="s">
        <v>21</v>
      </c>
      <c r="D562">
        <v>267155</v>
      </c>
      <c r="E562">
        <v>32940</v>
      </c>
      <c r="F562">
        <v>43830</v>
      </c>
      <c r="G562">
        <v>-220548</v>
      </c>
      <c r="H562">
        <v>123377</v>
      </c>
      <c r="I562">
        <v>111535</v>
      </c>
      <c r="J562">
        <v>1255</v>
      </c>
      <c r="K562">
        <v>772800</v>
      </c>
      <c r="L562">
        <v>328047</v>
      </c>
      <c r="M562">
        <v>-250291</v>
      </c>
      <c r="N562">
        <v>108956</v>
      </c>
      <c r="O562" t="s">
        <v>580</v>
      </c>
      <c r="P562" s="9">
        <v>273808</v>
      </c>
      <c r="Q562" s="9">
        <v>42558</v>
      </c>
      <c r="R562" s="9">
        <v>316366</v>
      </c>
      <c r="S562" s="9">
        <v>-153018</v>
      </c>
      <c r="T562" s="10">
        <v>152538</v>
      </c>
      <c r="U562" s="10">
        <v>2572</v>
      </c>
    </row>
    <row r="563" spans="1:21" x14ac:dyDescent="0.35">
      <c r="A563" t="s">
        <v>15</v>
      </c>
      <c r="B563" t="s">
        <v>20</v>
      </c>
      <c r="C563" t="s">
        <v>17</v>
      </c>
      <c r="D563">
        <v>259164</v>
      </c>
      <c r="E563">
        <v>40241</v>
      </c>
      <c r="F563">
        <v>36548</v>
      </c>
      <c r="G563">
        <v>-233845</v>
      </c>
      <c r="H563">
        <v>102108</v>
      </c>
      <c r="I563">
        <v>105733</v>
      </c>
      <c r="J563">
        <v>1344</v>
      </c>
      <c r="K563">
        <v>756197</v>
      </c>
      <c r="L563">
        <v>377506</v>
      </c>
      <c r="M563">
        <v>-142276</v>
      </c>
      <c r="N563">
        <v>85522</v>
      </c>
      <c r="O563" t="s">
        <v>581</v>
      </c>
      <c r="P563" s="9">
        <v>262241</v>
      </c>
      <c r="Q563" s="9">
        <v>14792</v>
      </c>
      <c r="R563" s="9">
        <v>277033</v>
      </c>
      <c r="S563" s="9">
        <v>-119365</v>
      </c>
      <c r="T563" s="10">
        <v>74594</v>
      </c>
      <c r="U563" s="10">
        <v>1492</v>
      </c>
    </row>
    <row r="564" spans="1:21" x14ac:dyDescent="0.35">
      <c r="A564" t="s">
        <v>15</v>
      </c>
      <c r="B564" t="s">
        <v>16</v>
      </c>
      <c r="C564" t="s">
        <v>21</v>
      </c>
      <c r="D564">
        <v>292869</v>
      </c>
      <c r="E564">
        <v>18421</v>
      </c>
      <c r="F564">
        <v>30762</v>
      </c>
      <c r="G564">
        <v>-238925</v>
      </c>
      <c r="H564">
        <v>103127</v>
      </c>
      <c r="I564">
        <v>93797</v>
      </c>
      <c r="J564">
        <v>2094</v>
      </c>
      <c r="K564">
        <v>663941</v>
      </c>
      <c r="L564">
        <v>102752</v>
      </c>
      <c r="M564">
        <v>-237094</v>
      </c>
      <c r="N564">
        <v>197984</v>
      </c>
      <c r="O564" t="s">
        <v>582</v>
      </c>
      <c r="P564" s="9">
        <v>304694</v>
      </c>
      <c r="Q564" s="9">
        <v>42554</v>
      </c>
      <c r="R564" s="9">
        <v>347248</v>
      </c>
      <c r="S564" s="9">
        <v>-176970</v>
      </c>
      <c r="T564" s="10">
        <v>87204</v>
      </c>
      <c r="U564" s="10">
        <v>2217</v>
      </c>
    </row>
    <row r="565" spans="1:21" x14ac:dyDescent="0.35">
      <c r="A565" t="s">
        <v>15</v>
      </c>
      <c r="B565" t="s">
        <v>20</v>
      </c>
      <c r="C565" t="s">
        <v>21</v>
      </c>
      <c r="D565">
        <v>270229</v>
      </c>
      <c r="E565">
        <v>38370</v>
      </c>
      <c r="F565">
        <v>60687</v>
      </c>
      <c r="G565">
        <v>-223449</v>
      </c>
      <c r="H565">
        <v>145837</v>
      </c>
      <c r="I565">
        <v>134478</v>
      </c>
      <c r="J565">
        <v>1676</v>
      </c>
      <c r="K565">
        <v>710973</v>
      </c>
      <c r="L565">
        <v>101970</v>
      </c>
      <c r="M565">
        <v>-161507</v>
      </c>
      <c r="N565">
        <v>224975</v>
      </c>
      <c r="O565" t="s">
        <v>583</v>
      </c>
      <c r="P565" s="9">
        <v>254911</v>
      </c>
      <c r="Q565" s="9">
        <v>18166</v>
      </c>
      <c r="R565" s="9">
        <v>273077</v>
      </c>
      <c r="S565" s="9">
        <v>-109853</v>
      </c>
      <c r="T565" s="10">
        <v>103104</v>
      </c>
      <c r="U565" s="10">
        <v>1185</v>
      </c>
    </row>
    <row r="566" spans="1:21" x14ac:dyDescent="0.35">
      <c r="A566" t="s">
        <v>15</v>
      </c>
      <c r="B566" t="s">
        <v>16</v>
      </c>
      <c r="C566" t="s">
        <v>17</v>
      </c>
      <c r="D566">
        <v>258248</v>
      </c>
      <c r="E566">
        <v>43685</v>
      </c>
      <c r="F566">
        <v>42958</v>
      </c>
      <c r="G566">
        <v>-209531</v>
      </c>
      <c r="H566">
        <v>135360</v>
      </c>
      <c r="I566">
        <v>140076</v>
      </c>
      <c r="J566">
        <v>1916</v>
      </c>
      <c r="K566">
        <v>819350</v>
      </c>
      <c r="L566">
        <v>125434</v>
      </c>
      <c r="M566">
        <v>-136742</v>
      </c>
      <c r="N566">
        <v>134446</v>
      </c>
      <c r="O566" t="s">
        <v>584</v>
      </c>
      <c r="P566" s="9">
        <v>249780</v>
      </c>
      <c r="Q566" s="9">
        <v>24565</v>
      </c>
      <c r="R566" s="9">
        <v>274345</v>
      </c>
      <c r="S566" s="9">
        <v>-63061</v>
      </c>
      <c r="T566" s="10">
        <v>74004</v>
      </c>
      <c r="U566" s="10">
        <v>1892</v>
      </c>
    </row>
    <row r="567" spans="1:21" x14ac:dyDescent="0.35">
      <c r="A567" t="s">
        <v>15</v>
      </c>
      <c r="B567" t="s">
        <v>16</v>
      </c>
      <c r="C567" t="s">
        <v>21</v>
      </c>
      <c r="D567">
        <v>290011</v>
      </c>
      <c r="E567">
        <v>47740</v>
      </c>
      <c r="F567">
        <v>35017</v>
      </c>
      <c r="G567">
        <v>-278407</v>
      </c>
      <c r="H567">
        <v>94361</v>
      </c>
      <c r="I567">
        <v>86474</v>
      </c>
      <c r="J567">
        <v>1479</v>
      </c>
      <c r="K567">
        <v>652929</v>
      </c>
      <c r="L567">
        <v>94831</v>
      </c>
      <c r="M567">
        <v>-171029</v>
      </c>
      <c r="N567">
        <v>208771</v>
      </c>
      <c r="O567" t="s">
        <v>585</v>
      </c>
      <c r="P567" s="9">
        <v>251999</v>
      </c>
      <c r="Q567" s="9">
        <v>28212</v>
      </c>
      <c r="R567" s="9">
        <v>280211</v>
      </c>
      <c r="S567" s="9">
        <v>-73469</v>
      </c>
      <c r="T567" s="10">
        <v>121374</v>
      </c>
      <c r="U567" s="10">
        <v>2896</v>
      </c>
    </row>
    <row r="568" spans="1:21" x14ac:dyDescent="0.35">
      <c r="A568" t="s">
        <v>15</v>
      </c>
      <c r="B568" t="s">
        <v>16</v>
      </c>
      <c r="C568" t="s">
        <v>21</v>
      </c>
      <c r="D568">
        <v>225935</v>
      </c>
      <c r="E568">
        <v>38150</v>
      </c>
      <c r="F568">
        <v>51749</v>
      </c>
      <c r="G568">
        <v>-198201</v>
      </c>
      <c r="H568">
        <v>117633</v>
      </c>
      <c r="I568">
        <v>118381</v>
      </c>
      <c r="J568">
        <v>1358</v>
      </c>
      <c r="K568">
        <v>820875</v>
      </c>
      <c r="L568">
        <v>297627</v>
      </c>
      <c r="M568">
        <v>-227002</v>
      </c>
      <c r="N568">
        <v>73616</v>
      </c>
      <c r="O568" t="s">
        <v>586</v>
      </c>
      <c r="P568" s="9">
        <v>235701</v>
      </c>
      <c r="Q568" s="9">
        <v>12796</v>
      </c>
      <c r="R568" s="9">
        <v>248497</v>
      </c>
      <c r="S568" s="9">
        <v>-64092</v>
      </c>
      <c r="T568" s="10">
        <v>75465</v>
      </c>
      <c r="U568" s="10">
        <v>938</v>
      </c>
    </row>
    <row r="569" spans="1:21" x14ac:dyDescent="0.35">
      <c r="A569" t="s">
        <v>15</v>
      </c>
      <c r="B569" t="s">
        <v>16</v>
      </c>
      <c r="C569" t="s">
        <v>21</v>
      </c>
      <c r="D569">
        <v>206995</v>
      </c>
      <c r="E569">
        <v>40681</v>
      </c>
      <c r="F569">
        <v>22451</v>
      </c>
      <c r="G569">
        <v>-184707</v>
      </c>
      <c r="H569">
        <v>85420</v>
      </c>
      <c r="I569">
        <v>85750</v>
      </c>
      <c r="J569">
        <v>1729</v>
      </c>
      <c r="K569">
        <v>699834</v>
      </c>
      <c r="L569">
        <v>299643</v>
      </c>
      <c r="M569">
        <v>-251664</v>
      </c>
      <c r="N569">
        <v>146003</v>
      </c>
      <c r="O569" t="s">
        <v>587</v>
      </c>
      <c r="P569" s="9">
        <v>168220</v>
      </c>
      <c r="Q569" s="9">
        <v>29391</v>
      </c>
      <c r="R569" s="9">
        <v>197611</v>
      </c>
      <c r="S569" s="9">
        <v>-100414</v>
      </c>
      <c r="T569" s="10">
        <v>46858</v>
      </c>
      <c r="U569" s="10">
        <v>675</v>
      </c>
    </row>
    <row r="570" spans="1:21" x14ac:dyDescent="0.35">
      <c r="A570" t="s">
        <v>15</v>
      </c>
      <c r="B570" t="s">
        <v>16</v>
      </c>
      <c r="C570" t="s">
        <v>21</v>
      </c>
      <c r="D570">
        <v>292925</v>
      </c>
      <c r="E570">
        <v>24634</v>
      </c>
      <c r="F570">
        <v>39003</v>
      </c>
      <c r="G570">
        <v>-238973</v>
      </c>
      <c r="H570">
        <v>117589</v>
      </c>
      <c r="I570">
        <v>117380</v>
      </c>
      <c r="J570">
        <v>2504</v>
      </c>
      <c r="K570">
        <v>955594</v>
      </c>
      <c r="L570">
        <v>283285</v>
      </c>
      <c r="M570">
        <v>-130076</v>
      </c>
      <c r="N570">
        <v>258097</v>
      </c>
      <c r="O570" t="s">
        <v>588</v>
      </c>
      <c r="P570" s="9">
        <v>188206</v>
      </c>
      <c r="Q570" s="9">
        <v>34358</v>
      </c>
      <c r="R570" s="9">
        <v>222564</v>
      </c>
      <c r="S570" s="9">
        <v>-83424</v>
      </c>
      <c r="T570" s="10">
        <v>85617</v>
      </c>
      <c r="U570" s="10">
        <v>1625</v>
      </c>
    </row>
    <row r="571" spans="1:21" x14ac:dyDescent="0.35">
      <c r="A571" t="s">
        <v>15</v>
      </c>
      <c r="B571" t="s">
        <v>16</v>
      </c>
      <c r="C571" t="s">
        <v>21</v>
      </c>
      <c r="D571">
        <v>204854</v>
      </c>
      <c r="E571">
        <v>19800</v>
      </c>
      <c r="F571">
        <v>37381</v>
      </c>
      <c r="G571">
        <v>-188213</v>
      </c>
      <c r="H571">
        <v>73822</v>
      </c>
      <c r="I571">
        <v>72544</v>
      </c>
      <c r="J571">
        <v>2163</v>
      </c>
      <c r="K571">
        <v>779858</v>
      </c>
      <c r="L571">
        <v>177447</v>
      </c>
      <c r="M571">
        <v>-262049</v>
      </c>
      <c r="N571">
        <v>104017</v>
      </c>
      <c r="O571" t="s">
        <v>589</v>
      </c>
      <c r="P571" s="9">
        <v>254269</v>
      </c>
      <c r="Q571" s="9">
        <v>51365</v>
      </c>
      <c r="R571" s="9">
        <v>305634</v>
      </c>
      <c r="S571" s="9">
        <v>-156054</v>
      </c>
      <c r="T571" s="10">
        <v>108950</v>
      </c>
      <c r="U571" s="10">
        <v>1615</v>
      </c>
    </row>
    <row r="572" spans="1:21" x14ac:dyDescent="0.35">
      <c r="A572" t="s">
        <v>15</v>
      </c>
      <c r="B572" t="s">
        <v>20</v>
      </c>
      <c r="C572" t="s">
        <v>17</v>
      </c>
      <c r="D572">
        <v>167230</v>
      </c>
      <c r="E572">
        <v>22818</v>
      </c>
      <c r="F572">
        <v>27626</v>
      </c>
      <c r="G572">
        <v>-163469</v>
      </c>
      <c r="H572">
        <v>54205</v>
      </c>
      <c r="I572">
        <v>50518</v>
      </c>
      <c r="J572">
        <v>660</v>
      </c>
      <c r="K572">
        <v>594698</v>
      </c>
      <c r="L572">
        <v>292800</v>
      </c>
      <c r="M572">
        <v>-144390</v>
      </c>
      <c r="N572">
        <v>100332</v>
      </c>
      <c r="O572" t="s">
        <v>590</v>
      </c>
      <c r="P572" s="9">
        <v>304843</v>
      </c>
      <c r="Q572" s="9">
        <v>22036</v>
      </c>
      <c r="R572" s="9">
        <v>326879</v>
      </c>
      <c r="S572" s="9">
        <v>-135149</v>
      </c>
      <c r="T572" s="10">
        <v>116534</v>
      </c>
      <c r="U572" s="10">
        <v>3458</v>
      </c>
    </row>
    <row r="573" spans="1:21" x14ac:dyDescent="0.35">
      <c r="A573" t="s">
        <v>15</v>
      </c>
      <c r="B573" t="s">
        <v>16</v>
      </c>
      <c r="C573" t="s">
        <v>21</v>
      </c>
      <c r="D573">
        <v>267086</v>
      </c>
      <c r="E573">
        <v>34444</v>
      </c>
      <c r="F573">
        <v>37408</v>
      </c>
      <c r="G573">
        <v>-266806</v>
      </c>
      <c r="H573">
        <v>72132</v>
      </c>
      <c r="I573">
        <v>70804</v>
      </c>
      <c r="J573">
        <v>953</v>
      </c>
      <c r="K573">
        <v>832838</v>
      </c>
      <c r="L573">
        <v>235602</v>
      </c>
      <c r="M573">
        <v>-148465</v>
      </c>
      <c r="N573">
        <v>123065</v>
      </c>
      <c r="O573" t="s">
        <v>591</v>
      </c>
      <c r="P573" s="9">
        <v>232417</v>
      </c>
      <c r="Q573" s="9">
        <v>29128</v>
      </c>
      <c r="R573" s="9">
        <v>261545</v>
      </c>
      <c r="S573" s="9">
        <v>-52682</v>
      </c>
      <c r="T573" s="10">
        <v>102981</v>
      </c>
      <c r="U573" s="10">
        <v>2100</v>
      </c>
    </row>
    <row r="574" spans="1:21" x14ac:dyDescent="0.35">
      <c r="A574" t="s">
        <v>15</v>
      </c>
      <c r="B574" t="s">
        <v>16</v>
      </c>
      <c r="C574" t="s">
        <v>17</v>
      </c>
      <c r="D574">
        <v>183778</v>
      </c>
      <c r="E574">
        <v>11328</v>
      </c>
      <c r="F574">
        <v>32500</v>
      </c>
      <c r="G574">
        <v>-156468</v>
      </c>
      <c r="H574">
        <v>71138</v>
      </c>
      <c r="I574">
        <v>72736</v>
      </c>
      <c r="J574">
        <v>1713</v>
      </c>
      <c r="K574">
        <v>530151</v>
      </c>
      <c r="L574">
        <v>70383</v>
      </c>
      <c r="M574">
        <v>-146617</v>
      </c>
      <c r="N574">
        <v>59694</v>
      </c>
      <c r="O574" t="s">
        <v>592</v>
      </c>
      <c r="P574" s="9">
        <v>231164</v>
      </c>
      <c r="Q574" s="9">
        <v>12887</v>
      </c>
      <c r="R574" s="9">
        <v>244051</v>
      </c>
      <c r="S574" s="9">
        <v>-122526</v>
      </c>
      <c r="T574" s="10">
        <v>88954</v>
      </c>
      <c r="U574" s="10">
        <v>2245</v>
      </c>
    </row>
    <row r="575" spans="1:21" x14ac:dyDescent="0.35">
      <c r="A575" t="s">
        <v>15</v>
      </c>
      <c r="B575" t="s">
        <v>16</v>
      </c>
      <c r="C575" t="s">
        <v>21</v>
      </c>
      <c r="D575">
        <v>154652</v>
      </c>
      <c r="E575">
        <v>11403</v>
      </c>
      <c r="F575">
        <v>17558</v>
      </c>
      <c r="G575">
        <v>-126511</v>
      </c>
      <c r="H575">
        <v>57102</v>
      </c>
      <c r="I575">
        <v>54073</v>
      </c>
      <c r="J575">
        <v>1387</v>
      </c>
      <c r="K575">
        <v>363943</v>
      </c>
      <c r="L575">
        <v>58423</v>
      </c>
      <c r="M575">
        <v>-112364</v>
      </c>
      <c r="N575">
        <v>61514</v>
      </c>
      <c r="O575" t="s">
        <v>593</v>
      </c>
      <c r="P575" s="9">
        <v>272175</v>
      </c>
      <c r="Q575" s="9">
        <v>52940</v>
      </c>
      <c r="R575" s="9">
        <v>325115</v>
      </c>
      <c r="S575" s="9">
        <v>-67964</v>
      </c>
      <c r="T575" s="10">
        <v>120467</v>
      </c>
      <c r="U575" s="10">
        <v>3222</v>
      </c>
    </row>
    <row r="576" spans="1:21" x14ac:dyDescent="0.35">
      <c r="A576" t="s">
        <v>15</v>
      </c>
      <c r="B576" t="s">
        <v>20</v>
      </c>
      <c r="C576" t="s">
        <v>21</v>
      </c>
      <c r="D576">
        <v>151300</v>
      </c>
      <c r="E576">
        <v>26831</v>
      </c>
      <c r="F576">
        <v>27922</v>
      </c>
      <c r="G576">
        <v>-133759</v>
      </c>
      <c r="H576">
        <v>72294</v>
      </c>
      <c r="I576">
        <v>65231</v>
      </c>
      <c r="J576">
        <v>1609</v>
      </c>
      <c r="K576">
        <v>564046</v>
      </c>
      <c r="L576">
        <v>96474</v>
      </c>
      <c r="M576">
        <v>-101787</v>
      </c>
      <c r="N576">
        <v>64685</v>
      </c>
      <c r="O576" t="s">
        <v>594</v>
      </c>
      <c r="P576" s="9">
        <v>196879</v>
      </c>
      <c r="Q576" s="9">
        <v>24797</v>
      </c>
      <c r="R576" s="9">
        <v>221676</v>
      </c>
      <c r="S576" s="9">
        <v>-64588</v>
      </c>
      <c r="T576" s="10">
        <v>75493</v>
      </c>
      <c r="U576" s="10">
        <v>1324</v>
      </c>
    </row>
    <row r="577" spans="1:21" x14ac:dyDescent="0.35">
      <c r="A577" t="s">
        <v>15</v>
      </c>
      <c r="B577" t="s">
        <v>16</v>
      </c>
      <c r="C577" t="s">
        <v>21</v>
      </c>
      <c r="D577">
        <v>220258</v>
      </c>
      <c r="E577">
        <v>16705</v>
      </c>
      <c r="F577">
        <v>49043</v>
      </c>
      <c r="G577">
        <v>-212539</v>
      </c>
      <c r="H577">
        <v>73467</v>
      </c>
      <c r="I577">
        <v>66864</v>
      </c>
      <c r="J577">
        <v>1050</v>
      </c>
      <c r="K577">
        <v>552495</v>
      </c>
      <c r="L577">
        <v>55973</v>
      </c>
      <c r="M577">
        <v>-195523</v>
      </c>
      <c r="N577">
        <v>134138</v>
      </c>
      <c r="O577" t="s">
        <v>595</v>
      </c>
      <c r="P577" s="9">
        <v>214557</v>
      </c>
      <c r="Q577" s="9">
        <v>31142</v>
      </c>
      <c r="R577" s="9">
        <v>245699</v>
      </c>
      <c r="S577" s="9">
        <v>-106262</v>
      </c>
      <c r="T577" s="10">
        <v>74626</v>
      </c>
      <c r="U577" s="10">
        <v>1269</v>
      </c>
    </row>
    <row r="578" spans="1:21" x14ac:dyDescent="0.35">
      <c r="A578" t="s">
        <v>15</v>
      </c>
      <c r="B578" t="s">
        <v>16</v>
      </c>
      <c r="C578" t="s">
        <v>21</v>
      </c>
      <c r="D578">
        <v>164654</v>
      </c>
      <c r="E578">
        <v>28665</v>
      </c>
      <c r="F578">
        <v>18010</v>
      </c>
      <c r="G578">
        <v>-136275</v>
      </c>
      <c r="H578">
        <v>75054</v>
      </c>
      <c r="I578">
        <v>73514</v>
      </c>
      <c r="J578">
        <v>1538</v>
      </c>
      <c r="K578">
        <v>632322</v>
      </c>
      <c r="L578">
        <v>63975</v>
      </c>
      <c r="M578">
        <v>-72764</v>
      </c>
      <c r="N578">
        <v>122884</v>
      </c>
      <c r="O578" t="s">
        <v>596</v>
      </c>
      <c r="P578" s="9">
        <v>283460</v>
      </c>
      <c r="Q578" s="9">
        <v>49961</v>
      </c>
      <c r="R578" s="9">
        <v>333421</v>
      </c>
      <c r="S578" s="9">
        <v>-79254</v>
      </c>
      <c r="T578" s="10">
        <v>114026</v>
      </c>
      <c r="U578" s="10">
        <v>1892</v>
      </c>
    </row>
    <row r="579" spans="1:21" x14ac:dyDescent="0.35">
      <c r="A579" t="s">
        <v>15</v>
      </c>
      <c r="B579" t="s">
        <v>16</v>
      </c>
      <c r="C579" t="s">
        <v>17</v>
      </c>
      <c r="D579">
        <v>261888</v>
      </c>
      <c r="E579">
        <v>22208</v>
      </c>
      <c r="F579">
        <v>51946</v>
      </c>
      <c r="G579">
        <v>-245951</v>
      </c>
      <c r="H579">
        <v>90091</v>
      </c>
      <c r="I579">
        <v>86034</v>
      </c>
      <c r="J579">
        <v>2060</v>
      </c>
      <c r="K579">
        <v>1014518</v>
      </c>
      <c r="L579">
        <v>277631</v>
      </c>
      <c r="M579">
        <v>-340209</v>
      </c>
      <c r="N579">
        <v>199355</v>
      </c>
      <c r="O579" t="s">
        <v>597</v>
      </c>
      <c r="P579" s="9">
        <v>177537</v>
      </c>
      <c r="Q579" s="9">
        <v>34551</v>
      </c>
      <c r="R579" s="9">
        <v>212088</v>
      </c>
      <c r="S579" s="9">
        <v>-50578</v>
      </c>
      <c r="T579" s="10">
        <v>93763</v>
      </c>
      <c r="U579" s="10">
        <v>1917</v>
      </c>
    </row>
    <row r="580" spans="1:21" x14ac:dyDescent="0.35">
      <c r="A580" t="s">
        <v>15</v>
      </c>
      <c r="B580" t="s">
        <v>16</v>
      </c>
      <c r="C580" t="s">
        <v>21</v>
      </c>
      <c r="D580">
        <v>150563</v>
      </c>
      <c r="E580">
        <v>23845</v>
      </c>
      <c r="F580">
        <v>34319</v>
      </c>
      <c r="G580">
        <v>-135665</v>
      </c>
      <c r="H580">
        <v>73062</v>
      </c>
      <c r="I580">
        <v>73370</v>
      </c>
      <c r="J580">
        <v>1934</v>
      </c>
      <c r="K580">
        <v>538290</v>
      </c>
      <c r="L580">
        <v>71277</v>
      </c>
      <c r="M580">
        <v>-214933</v>
      </c>
      <c r="N580">
        <v>82030</v>
      </c>
      <c r="O580" t="s">
        <v>598</v>
      </c>
      <c r="P580" s="9">
        <v>232670</v>
      </c>
      <c r="Q580" s="9">
        <v>19172</v>
      </c>
      <c r="R580" s="9">
        <v>251842</v>
      </c>
      <c r="S580" s="9">
        <v>-144406</v>
      </c>
      <c r="T580" s="10">
        <v>75322</v>
      </c>
      <c r="U580" s="10">
        <v>2184</v>
      </c>
    </row>
    <row r="581" spans="1:21" x14ac:dyDescent="0.35">
      <c r="A581" t="s">
        <v>15</v>
      </c>
      <c r="B581" t="s">
        <v>20</v>
      </c>
      <c r="C581" t="s">
        <v>21</v>
      </c>
      <c r="D581">
        <v>223845</v>
      </c>
      <c r="E581">
        <v>24949</v>
      </c>
      <c r="F581">
        <v>30963</v>
      </c>
      <c r="G581">
        <v>-211695</v>
      </c>
      <c r="H581">
        <v>68062</v>
      </c>
      <c r="I581">
        <v>61391</v>
      </c>
      <c r="J581">
        <v>779</v>
      </c>
      <c r="K581">
        <v>832506</v>
      </c>
      <c r="L581">
        <v>340102</v>
      </c>
      <c r="M581">
        <v>-117882</v>
      </c>
      <c r="N581">
        <v>196757</v>
      </c>
      <c r="O581" t="s">
        <v>599</v>
      </c>
      <c r="P581" s="9">
        <v>300848</v>
      </c>
      <c r="Q581" s="9">
        <v>37908</v>
      </c>
      <c r="R581" s="9">
        <v>338756</v>
      </c>
      <c r="S581" s="9">
        <v>-144673</v>
      </c>
      <c r="T581" s="10">
        <v>82744</v>
      </c>
      <c r="U581" s="10">
        <v>2343</v>
      </c>
    </row>
    <row r="582" spans="1:21" x14ac:dyDescent="0.35">
      <c r="A582" t="s">
        <v>15</v>
      </c>
      <c r="B582" t="s">
        <v>20</v>
      </c>
      <c r="C582" t="s">
        <v>21</v>
      </c>
      <c r="D582">
        <v>260505</v>
      </c>
      <c r="E582">
        <v>37259</v>
      </c>
      <c r="F582">
        <v>32938</v>
      </c>
      <c r="G582">
        <v>-243796</v>
      </c>
      <c r="H582">
        <v>86906</v>
      </c>
      <c r="I582">
        <v>89941</v>
      </c>
      <c r="J582">
        <v>1133</v>
      </c>
      <c r="K582">
        <v>530423</v>
      </c>
      <c r="L582">
        <v>173051</v>
      </c>
      <c r="M582">
        <v>-137771</v>
      </c>
      <c r="N582">
        <v>231642</v>
      </c>
      <c r="O582" t="s">
        <v>600</v>
      </c>
      <c r="P582" s="9">
        <v>173367</v>
      </c>
      <c r="Q582" s="9">
        <v>23691</v>
      </c>
      <c r="R582" s="9">
        <v>197058</v>
      </c>
      <c r="S582" s="9">
        <v>-83671</v>
      </c>
      <c r="T582" s="10">
        <v>72165</v>
      </c>
      <c r="U582" s="10">
        <v>1464</v>
      </c>
    </row>
    <row r="583" spans="1:21" x14ac:dyDescent="0.35">
      <c r="A583" t="s">
        <v>15</v>
      </c>
      <c r="B583" t="s">
        <v>16</v>
      </c>
      <c r="C583" t="s">
        <v>21</v>
      </c>
      <c r="D583">
        <v>272035</v>
      </c>
      <c r="E583">
        <v>13686</v>
      </c>
      <c r="F583">
        <v>35318</v>
      </c>
      <c r="G583">
        <v>-226458</v>
      </c>
      <c r="H583">
        <v>94581</v>
      </c>
      <c r="I583">
        <v>88531</v>
      </c>
      <c r="J583">
        <v>2214</v>
      </c>
      <c r="K583">
        <v>744250</v>
      </c>
      <c r="L583">
        <v>268522</v>
      </c>
      <c r="M583">
        <v>-209829</v>
      </c>
      <c r="N583">
        <v>233109</v>
      </c>
      <c r="O583" t="s">
        <v>601</v>
      </c>
      <c r="P583" s="9">
        <v>316355</v>
      </c>
      <c r="Q583" s="9">
        <v>17201</v>
      </c>
      <c r="R583" s="9">
        <v>333556</v>
      </c>
      <c r="S583" s="9">
        <v>-166403</v>
      </c>
      <c r="T583" s="10">
        <v>74782</v>
      </c>
      <c r="U583" s="10">
        <v>1453</v>
      </c>
    </row>
    <row r="584" spans="1:21" x14ac:dyDescent="0.35">
      <c r="A584" t="s">
        <v>15</v>
      </c>
      <c r="B584" t="s">
        <v>20</v>
      </c>
      <c r="C584" t="s">
        <v>21</v>
      </c>
      <c r="D584">
        <v>213264</v>
      </c>
      <c r="E584">
        <v>10994</v>
      </c>
      <c r="F584">
        <v>32392</v>
      </c>
      <c r="G584">
        <v>-186979</v>
      </c>
      <c r="H584">
        <v>69671</v>
      </c>
      <c r="I584">
        <v>65156</v>
      </c>
      <c r="J584">
        <v>1797</v>
      </c>
      <c r="K584">
        <v>551959</v>
      </c>
      <c r="L584">
        <v>263532</v>
      </c>
      <c r="M584">
        <v>-66828</v>
      </c>
      <c r="N584">
        <v>110350</v>
      </c>
      <c r="O584" t="s">
        <v>602</v>
      </c>
      <c r="P584" s="9">
        <v>157817</v>
      </c>
      <c r="Q584" s="9">
        <v>16976</v>
      </c>
      <c r="R584" s="9">
        <v>174793</v>
      </c>
      <c r="S584" s="9">
        <v>-50700</v>
      </c>
      <c r="T584" s="10">
        <v>76075</v>
      </c>
      <c r="U584" s="10">
        <v>1379</v>
      </c>
    </row>
    <row r="585" spans="1:21" x14ac:dyDescent="0.35">
      <c r="A585" t="s">
        <v>15</v>
      </c>
      <c r="B585" t="s">
        <v>16</v>
      </c>
      <c r="C585" t="s">
        <v>21</v>
      </c>
      <c r="D585">
        <v>272201</v>
      </c>
      <c r="E585">
        <v>20490</v>
      </c>
      <c r="F585">
        <v>38692</v>
      </c>
      <c r="G585">
        <v>-223946</v>
      </c>
      <c r="H585">
        <v>107437</v>
      </c>
      <c r="I585">
        <v>110348</v>
      </c>
      <c r="J585">
        <v>1509</v>
      </c>
      <c r="K585">
        <v>941069</v>
      </c>
      <c r="L585">
        <v>122315</v>
      </c>
      <c r="M585">
        <v>-310630</v>
      </c>
      <c r="N585">
        <v>168740</v>
      </c>
      <c r="O585" t="s">
        <v>603</v>
      </c>
      <c r="P585" s="9">
        <v>174527</v>
      </c>
      <c r="Q585" s="9">
        <v>17463</v>
      </c>
      <c r="R585" s="9">
        <v>191990</v>
      </c>
      <c r="S585" s="9">
        <v>-61118</v>
      </c>
      <c r="T585" s="10">
        <v>65962</v>
      </c>
      <c r="U585" s="10">
        <v>1349</v>
      </c>
    </row>
    <row r="586" spans="1:21" x14ac:dyDescent="0.35">
      <c r="A586" t="s">
        <v>15</v>
      </c>
      <c r="B586" t="s">
        <v>16</v>
      </c>
      <c r="C586" t="s">
        <v>21</v>
      </c>
      <c r="D586">
        <v>214482</v>
      </c>
      <c r="E586">
        <v>41080</v>
      </c>
      <c r="F586">
        <v>52682</v>
      </c>
      <c r="G586">
        <v>-182177</v>
      </c>
      <c r="H586">
        <v>126067</v>
      </c>
      <c r="I586">
        <v>115873</v>
      </c>
      <c r="J586">
        <v>2273</v>
      </c>
      <c r="K586">
        <v>501749</v>
      </c>
      <c r="L586">
        <v>113317</v>
      </c>
      <c r="M586">
        <v>-143267</v>
      </c>
      <c r="N586">
        <v>131167</v>
      </c>
      <c r="O586" t="s">
        <v>604</v>
      </c>
      <c r="P586" s="9">
        <v>178859</v>
      </c>
      <c r="Q586" s="9">
        <v>29334</v>
      </c>
      <c r="R586" s="9">
        <v>208193</v>
      </c>
      <c r="S586" s="9">
        <v>-82341</v>
      </c>
      <c r="T586" s="10">
        <v>66519</v>
      </c>
      <c r="U586" s="10">
        <v>1112</v>
      </c>
    </row>
    <row r="587" spans="1:21" x14ac:dyDescent="0.35">
      <c r="A587" t="s">
        <v>15</v>
      </c>
      <c r="B587" t="s">
        <v>20</v>
      </c>
      <c r="C587" t="s">
        <v>17</v>
      </c>
      <c r="D587">
        <v>166251</v>
      </c>
      <c r="E587">
        <v>18013</v>
      </c>
      <c r="F587">
        <v>22227</v>
      </c>
      <c r="G587">
        <v>-139201</v>
      </c>
      <c r="H587">
        <v>67290</v>
      </c>
      <c r="I587">
        <v>65513</v>
      </c>
      <c r="J587">
        <v>964</v>
      </c>
      <c r="K587">
        <v>389080</v>
      </c>
      <c r="L587">
        <v>167002</v>
      </c>
      <c r="M587">
        <v>-150036</v>
      </c>
      <c r="N587">
        <v>100686</v>
      </c>
      <c r="O587" t="s">
        <v>605</v>
      </c>
      <c r="P587" s="9">
        <v>236669</v>
      </c>
      <c r="Q587" s="9">
        <v>14033</v>
      </c>
      <c r="R587" s="9">
        <v>250702</v>
      </c>
      <c r="S587" s="9">
        <v>-98766</v>
      </c>
      <c r="T587" s="10">
        <v>75414</v>
      </c>
      <c r="U587" s="10">
        <v>1543</v>
      </c>
    </row>
    <row r="588" spans="1:21" x14ac:dyDescent="0.35">
      <c r="A588" t="s">
        <v>15</v>
      </c>
      <c r="B588" t="s">
        <v>16</v>
      </c>
      <c r="C588" t="s">
        <v>21</v>
      </c>
      <c r="D588">
        <v>297330</v>
      </c>
      <c r="E588">
        <v>36527</v>
      </c>
      <c r="F588">
        <v>52093</v>
      </c>
      <c r="G588">
        <v>-238731</v>
      </c>
      <c r="H588">
        <v>147219</v>
      </c>
      <c r="I588">
        <v>146584</v>
      </c>
      <c r="J588">
        <v>4330</v>
      </c>
      <c r="K588">
        <v>958280</v>
      </c>
      <c r="L588">
        <v>407734</v>
      </c>
      <c r="M588">
        <v>-332188</v>
      </c>
      <c r="N588">
        <v>243294</v>
      </c>
      <c r="O588" t="s">
        <v>606</v>
      </c>
      <c r="P588" s="9">
        <v>214280</v>
      </c>
      <c r="Q588" s="9">
        <v>12532</v>
      </c>
      <c r="R588" s="9">
        <v>226812</v>
      </c>
      <c r="S588" s="9">
        <v>-73472</v>
      </c>
      <c r="T588" s="10">
        <v>80424</v>
      </c>
      <c r="U588" s="10">
        <v>1258</v>
      </c>
    </row>
    <row r="589" spans="1:21" x14ac:dyDescent="0.35">
      <c r="A589" t="s">
        <v>15</v>
      </c>
      <c r="B589" t="s">
        <v>20</v>
      </c>
      <c r="C589" t="s">
        <v>21</v>
      </c>
      <c r="D589">
        <v>203293</v>
      </c>
      <c r="E589">
        <v>20059</v>
      </c>
      <c r="F589">
        <v>40437</v>
      </c>
      <c r="G589">
        <v>-200785</v>
      </c>
      <c r="H589">
        <v>63004</v>
      </c>
      <c r="I589">
        <v>65758</v>
      </c>
      <c r="J589">
        <v>1316</v>
      </c>
      <c r="K589">
        <v>517787</v>
      </c>
      <c r="L589">
        <v>77173</v>
      </c>
      <c r="M589">
        <v>-142842</v>
      </c>
      <c r="N589">
        <v>148779</v>
      </c>
      <c r="O589" t="s">
        <v>607</v>
      </c>
      <c r="P589" s="9">
        <v>210856</v>
      </c>
      <c r="Q589" s="9">
        <v>10920</v>
      </c>
      <c r="R589" s="9">
        <v>221776</v>
      </c>
      <c r="S589" s="9">
        <v>-130356</v>
      </c>
      <c r="T589" s="10">
        <v>56633</v>
      </c>
      <c r="U589" s="10">
        <v>972</v>
      </c>
    </row>
    <row r="590" spans="1:21" x14ac:dyDescent="0.35">
      <c r="A590" t="s">
        <v>15</v>
      </c>
      <c r="B590" t="s">
        <v>16</v>
      </c>
      <c r="C590" t="s">
        <v>21</v>
      </c>
      <c r="D590">
        <v>207066</v>
      </c>
      <c r="E590">
        <v>17308</v>
      </c>
      <c r="F590">
        <v>47901</v>
      </c>
      <c r="G590">
        <v>-195631</v>
      </c>
      <c r="H590">
        <v>76644</v>
      </c>
      <c r="I590">
        <v>70003</v>
      </c>
      <c r="J590">
        <v>1670</v>
      </c>
      <c r="K590">
        <v>489414</v>
      </c>
      <c r="L590">
        <v>143216</v>
      </c>
      <c r="M590">
        <v>-52270</v>
      </c>
      <c r="N590">
        <v>142626</v>
      </c>
      <c r="O590" t="s">
        <v>608</v>
      </c>
      <c r="P590" s="9">
        <v>217531</v>
      </c>
      <c r="Q590" s="9">
        <v>23225</v>
      </c>
      <c r="R590" s="9">
        <v>240756</v>
      </c>
      <c r="S590" s="9">
        <v>-82128</v>
      </c>
      <c r="T590" s="10">
        <v>79673</v>
      </c>
      <c r="U590" s="10">
        <v>1291</v>
      </c>
    </row>
    <row r="591" spans="1:21" x14ac:dyDescent="0.35">
      <c r="A591" t="s">
        <v>15</v>
      </c>
      <c r="B591" t="s">
        <v>20</v>
      </c>
      <c r="C591" t="s">
        <v>21</v>
      </c>
      <c r="D591">
        <v>219387</v>
      </c>
      <c r="E591">
        <v>18967</v>
      </c>
      <c r="F591">
        <v>36587</v>
      </c>
      <c r="G591">
        <v>-179246</v>
      </c>
      <c r="H591">
        <v>95695</v>
      </c>
      <c r="I591">
        <v>96428</v>
      </c>
      <c r="J591">
        <v>2395</v>
      </c>
      <c r="K591">
        <v>836339</v>
      </c>
      <c r="L591">
        <v>253872</v>
      </c>
      <c r="M591">
        <v>-319723</v>
      </c>
      <c r="N591">
        <v>105073</v>
      </c>
      <c r="O591" t="s">
        <v>609</v>
      </c>
      <c r="P591" s="9">
        <v>232058</v>
      </c>
      <c r="Q591" s="9">
        <v>45117</v>
      </c>
      <c r="R591" s="9">
        <v>277175</v>
      </c>
      <c r="S591" s="9">
        <v>-62135</v>
      </c>
      <c r="T591" s="10">
        <v>99114</v>
      </c>
      <c r="U591" s="10">
        <v>2589</v>
      </c>
    </row>
    <row r="592" spans="1:21" x14ac:dyDescent="0.35">
      <c r="A592" t="s">
        <v>15</v>
      </c>
      <c r="B592" t="s">
        <v>20</v>
      </c>
      <c r="C592" t="s">
        <v>21</v>
      </c>
      <c r="D592">
        <v>158880</v>
      </c>
      <c r="E592">
        <v>10268</v>
      </c>
      <c r="F592">
        <v>35159</v>
      </c>
      <c r="G592">
        <v>-154425</v>
      </c>
      <c r="H592">
        <v>49882</v>
      </c>
      <c r="I592">
        <v>46734</v>
      </c>
      <c r="J592">
        <v>907</v>
      </c>
      <c r="K592">
        <v>488648</v>
      </c>
      <c r="L592">
        <v>213507</v>
      </c>
      <c r="M592">
        <v>-169771</v>
      </c>
      <c r="N592">
        <v>66709</v>
      </c>
      <c r="O592" t="s">
        <v>610</v>
      </c>
      <c r="P592" s="9">
        <v>188870</v>
      </c>
      <c r="Q592" s="9">
        <v>42408</v>
      </c>
      <c r="R592" s="9">
        <v>231278</v>
      </c>
      <c r="S592" s="9">
        <v>-64123</v>
      </c>
      <c r="T592" s="10">
        <v>90494</v>
      </c>
      <c r="U592" s="10">
        <v>944</v>
      </c>
    </row>
    <row r="593" spans="1:21" x14ac:dyDescent="0.35">
      <c r="A593" t="s">
        <v>15</v>
      </c>
      <c r="B593" t="s">
        <v>16</v>
      </c>
      <c r="C593" t="s">
        <v>21</v>
      </c>
      <c r="D593">
        <v>276617</v>
      </c>
      <c r="E593">
        <v>29741</v>
      </c>
      <c r="F593">
        <v>30339</v>
      </c>
      <c r="G593">
        <v>-258272</v>
      </c>
      <c r="H593">
        <v>78425</v>
      </c>
      <c r="I593">
        <v>81963</v>
      </c>
      <c r="J593">
        <v>1181</v>
      </c>
      <c r="K593">
        <v>863990</v>
      </c>
      <c r="L593">
        <v>397812</v>
      </c>
      <c r="M593">
        <v>-124777</v>
      </c>
      <c r="N593">
        <v>179451</v>
      </c>
      <c r="O593" t="s">
        <v>611</v>
      </c>
      <c r="P593" s="9">
        <v>266312</v>
      </c>
      <c r="Q593" s="9">
        <v>52532</v>
      </c>
      <c r="R593" s="9">
        <v>318844</v>
      </c>
      <c r="S593" s="9">
        <v>-162733</v>
      </c>
      <c r="T593" s="10">
        <v>147103</v>
      </c>
      <c r="U593" s="10">
        <v>1851</v>
      </c>
    </row>
    <row r="594" spans="1:21" x14ac:dyDescent="0.35">
      <c r="A594" t="s">
        <v>15</v>
      </c>
      <c r="B594" t="s">
        <v>16</v>
      </c>
      <c r="C594" t="s">
        <v>21</v>
      </c>
      <c r="D594">
        <v>236708</v>
      </c>
      <c r="E594">
        <v>13961</v>
      </c>
      <c r="F594">
        <v>49911</v>
      </c>
      <c r="G594">
        <v>-190553</v>
      </c>
      <c r="H594">
        <v>110027</v>
      </c>
      <c r="I594">
        <v>99427</v>
      </c>
      <c r="J594">
        <v>1686</v>
      </c>
      <c r="K594">
        <v>851355</v>
      </c>
      <c r="L594">
        <v>112535</v>
      </c>
      <c r="M594">
        <v>-223962</v>
      </c>
      <c r="N594">
        <v>122178</v>
      </c>
      <c r="O594" t="s">
        <v>612</v>
      </c>
      <c r="P594" s="9">
        <v>264663</v>
      </c>
      <c r="Q594" s="9">
        <v>48206</v>
      </c>
      <c r="R594" s="9">
        <v>312869</v>
      </c>
      <c r="S594" s="9">
        <v>-153801</v>
      </c>
      <c r="T594" s="10">
        <v>115405</v>
      </c>
      <c r="U594" s="10">
        <v>2762</v>
      </c>
    </row>
    <row r="595" spans="1:21" x14ac:dyDescent="0.35">
      <c r="A595" t="s">
        <v>15</v>
      </c>
      <c r="B595" t="s">
        <v>16</v>
      </c>
      <c r="C595" t="s">
        <v>17</v>
      </c>
      <c r="D595">
        <v>191313</v>
      </c>
      <c r="E595">
        <v>36531</v>
      </c>
      <c r="F595">
        <v>26051</v>
      </c>
      <c r="G595">
        <v>-183226</v>
      </c>
      <c r="H595">
        <v>70669</v>
      </c>
      <c r="I595">
        <v>71112</v>
      </c>
      <c r="J595">
        <v>1534</v>
      </c>
      <c r="K595">
        <v>501012</v>
      </c>
      <c r="L595">
        <v>77630</v>
      </c>
      <c r="M595">
        <v>-168287</v>
      </c>
      <c r="N595">
        <v>164862</v>
      </c>
      <c r="O595" t="s">
        <v>613</v>
      </c>
      <c r="P595" s="9">
        <v>188661</v>
      </c>
      <c r="Q595" s="9">
        <v>29239</v>
      </c>
      <c r="R595" s="9">
        <v>217900</v>
      </c>
      <c r="S595" s="9">
        <v>-86155</v>
      </c>
      <c r="T595" s="10">
        <v>83895</v>
      </c>
      <c r="U595" s="10">
        <v>2413</v>
      </c>
    </row>
    <row r="596" spans="1:21" x14ac:dyDescent="0.35">
      <c r="A596" t="s">
        <v>15</v>
      </c>
      <c r="B596" t="s">
        <v>16</v>
      </c>
      <c r="C596" t="s">
        <v>21</v>
      </c>
      <c r="D596">
        <v>257802</v>
      </c>
      <c r="E596">
        <v>33044</v>
      </c>
      <c r="F596">
        <v>42056</v>
      </c>
      <c r="G596">
        <v>-228222</v>
      </c>
      <c r="H596">
        <v>104680</v>
      </c>
      <c r="I596">
        <v>96833</v>
      </c>
      <c r="J596">
        <v>1778</v>
      </c>
      <c r="K596">
        <v>719676</v>
      </c>
      <c r="L596">
        <v>93680</v>
      </c>
      <c r="M596">
        <v>-125933</v>
      </c>
      <c r="N596">
        <v>149501</v>
      </c>
      <c r="O596" t="s">
        <v>614</v>
      </c>
      <c r="P596" s="9">
        <v>190721</v>
      </c>
      <c r="Q596" s="9">
        <v>37493</v>
      </c>
      <c r="R596" s="9">
        <v>228214</v>
      </c>
      <c r="S596" s="9">
        <v>-99034</v>
      </c>
      <c r="T596" s="10">
        <v>97342</v>
      </c>
      <c r="U596" s="10">
        <v>1266</v>
      </c>
    </row>
    <row r="597" spans="1:21" x14ac:dyDescent="0.35">
      <c r="A597" t="s">
        <v>15</v>
      </c>
      <c r="B597" t="s">
        <v>16</v>
      </c>
      <c r="C597" t="s">
        <v>21</v>
      </c>
      <c r="D597">
        <v>279462</v>
      </c>
      <c r="E597">
        <v>30863</v>
      </c>
      <c r="F597">
        <v>35083</v>
      </c>
      <c r="G597">
        <v>-250851</v>
      </c>
      <c r="H597">
        <v>94557</v>
      </c>
      <c r="I597">
        <v>88427</v>
      </c>
      <c r="J597">
        <v>1017</v>
      </c>
      <c r="K597">
        <v>818059</v>
      </c>
      <c r="L597">
        <v>387231</v>
      </c>
      <c r="M597">
        <v>-125402</v>
      </c>
      <c r="N597">
        <v>239008</v>
      </c>
      <c r="O597" t="s">
        <v>615</v>
      </c>
      <c r="P597" s="9">
        <v>269435</v>
      </c>
      <c r="Q597" s="9">
        <v>48464</v>
      </c>
      <c r="R597" s="9">
        <v>317899</v>
      </c>
      <c r="S597" s="9">
        <v>-153467</v>
      </c>
      <c r="T597" s="10">
        <v>102841</v>
      </c>
      <c r="U597" s="10">
        <v>1322</v>
      </c>
    </row>
    <row r="598" spans="1:21" x14ac:dyDescent="0.35">
      <c r="A598" t="s">
        <v>15</v>
      </c>
      <c r="B598" t="s">
        <v>16</v>
      </c>
      <c r="C598" t="s">
        <v>21</v>
      </c>
      <c r="D598">
        <v>213421</v>
      </c>
      <c r="E598">
        <v>23200</v>
      </c>
      <c r="F598">
        <v>40921</v>
      </c>
      <c r="G598">
        <v>-186916</v>
      </c>
      <c r="H598">
        <v>90626</v>
      </c>
      <c r="I598">
        <v>88197</v>
      </c>
      <c r="J598">
        <v>1500</v>
      </c>
      <c r="K598">
        <v>803218</v>
      </c>
      <c r="L598">
        <v>131152</v>
      </c>
      <c r="M598">
        <v>-116480</v>
      </c>
      <c r="N598">
        <v>151819</v>
      </c>
      <c r="O598" t="s">
        <v>616</v>
      </c>
      <c r="P598" s="9">
        <v>174106</v>
      </c>
      <c r="Q598" s="9">
        <v>30145</v>
      </c>
      <c r="R598" s="9">
        <v>204251</v>
      </c>
      <c r="S598" s="9">
        <v>-66093</v>
      </c>
      <c r="T598" s="10">
        <v>85305</v>
      </c>
      <c r="U598" s="10">
        <v>2143</v>
      </c>
    </row>
    <row r="599" spans="1:21" x14ac:dyDescent="0.35">
      <c r="A599" t="s">
        <v>15</v>
      </c>
      <c r="B599" t="s">
        <v>20</v>
      </c>
      <c r="C599" t="s">
        <v>21</v>
      </c>
      <c r="D599">
        <v>272555</v>
      </c>
      <c r="E599">
        <v>52983</v>
      </c>
      <c r="F599">
        <v>54925</v>
      </c>
      <c r="G599">
        <v>-230539</v>
      </c>
      <c r="H599">
        <v>149924</v>
      </c>
      <c r="I599">
        <v>151804</v>
      </c>
      <c r="J599">
        <v>2948</v>
      </c>
      <c r="K599">
        <v>603958</v>
      </c>
      <c r="L599">
        <v>82968</v>
      </c>
      <c r="M599">
        <v>-215587</v>
      </c>
      <c r="N599">
        <v>205799</v>
      </c>
      <c r="O599" t="s">
        <v>617</v>
      </c>
      <c r="P599" s="9">
        <v>263240</v>
      </c>
      <c r="Q599" s="9">
        <v>13689</v>
      </c>
      <c r="R599" s="9">
        <v>276929</v>
      </c>
      <c r="S599" s="9">
        <v>-113407</v>
      </c>
      <c r="T599" s="10">
        <v>77262</v>
      </c>
      <c r="U599" s="10">
        <v>2134</v>
      </c>
    </row>
    <row r="600" spans="1:21" x14ac:dyDescent="0.35">
      <c r="A600" t="s">
        <v>15</v>
      </c>
      <c r="B600" t="s">
        <v>20</v>
      </c>
      <c r="C600" t="s">
        <v>17</v>
      </c>
      <c r="D600">
        <v>283267</v>
      </c>
      <c r="E600">
        <v>42184</v>
      </c>
      <c r="F600">
        <v>49532</v>
      </c>
      <c r="G600">
        <v>-264700</v>
      </c>
      <c r="H600">
        <v>110283</v>
      </c>
      <c r="I600">
        <v>107957</v>
      </c>
      <c r="J600">
        <v>2904</v>
      </c>
      <c r="K600">
        <v>972140</v>
      </c>
      <c r="L600">
        <v>296189</v>
      </c>
      <c r="M600">
        <v>-214451</v>
      </c>
      <c r="N600">
        <v>187763</v>
      </c>
      <c r="O600" t="s">
        <v>618</v>
      </c>
      <c r="P600" s="9">
        <v>261791</v>
      </c>
      <c r="Q600" s="9">
        <v>32482</v>
      </c>
      <c r="R600" s="9">
        <v>294273</v>
      </c>
      <c r="S600" s="9">
        <v>-118387</v>
      </c>
      <c r="T600" s="10">
        <v>76709</v>
      </c>
      <c r="U600" s="10">
        <v>1702</v>
      </c>
    </row>
    <row r="601" spans="1:21" x14ac:dyDescent="0.35">
      <c r="A601" t="s">
        <v>15</v>
      </c>
      <c r="B601" t="s">
        <v>16</v>
      </c>
      <c r="C601" t="s">
        <v>21</v>
      </c>
      <c r="D601">
        <v>208764</v>
      </c>
      <c r="E601">
        <v>30625</v>
      </c>
      <c r="F601">
        <v>38422</v>
      </c>
      <c r="G601">
        <v>-199580</v>
      </c>
      <c r="H601">
        <v>78231</v>
      </c>
      <c r="I601">
        <v>80995</v>
      </c>
      <c r="J601">
        <v>1375</v>
      </c>
      <c r="K601">
        <v>461898</v>
      </c>
      <c r="L601">
        <v>184450</v>
      </c>
      <c r="M601">
        <v>-97310</v>
      </c>
      <c r="N601">
        <v>175220</v>
      </c>
      <c r="O601" t="s">
        <v>619</v>
      </c>
      <c r="P601" s="9">
        <v>261385</v>
      </c>
      <c r="Q601" s="9">
        <v>22917</v>
      </c>
      <c r="R601" s="9">
        <v>284302</v>
      </c>
      <c r="S601" s="9">
        <v>-81242</v>
      </c>
      <c r="T601" s="10">
        <v>105281</v>
      </c>
      <c r="U601" s="10">
        <v>1712</v>
      </c>
    </row>
    <row r="602" spans="1:21" x14ac:dyDescent="0.35">
      <c r="A602" t="s">
        <v>15</v>
      </c>
      <c r="B602" t="s">
        <v>16</v>
      </c>
      <c r="C602" t="s">
        <v>21</v>
      </c>
      <c r="D602">
        <v>256922</v>
      </c>
      <c r="E602">
        <v>25929</v>
      </c>
      <c r="F602">
        <v>41694</v>
      </c>
      <c r="G602">
        <v>-209815</v>
      </c>
      <c r="H602">
        <v>114730</v>
      </c>
      <c r="I602">
        <v>109960</v>
      </c>
      <c r="J602">
        <v>1377</v>
      </c>
      <c r="K602">
        <v>525845</v>
      </c>
      <c r="L602">
        <v>119740</v>
      </c>
      <c r="M602">
        <v>-207954</v>
      </c>
      <c r="N602">
        <v>139607</v>
      </c>
      <c r="O602" t="s">
        <v>620</v>
      </c>
      <c r="P602" s="9">
        <v>147052</v>
      </c>
      <c r="Q602" s="9">
        <v>9783</v>
      </c>
      <c r="R602" s="9">
        <v>156835</v>
      </c>
      <c r="S602" s="9">
        <v>-56478</v>
      </c>
      <c r="T602" s="10">
        <v>47994</v>
      </c>
      <c r="U602" s="10">
        <v>1087</v>
      </c>
    </row>
    <row r="603" spans="1:21" x14ac:dyDescent="0.35">
      <c r="A603" t="s">
        <v>15</v>
      </c>
      <c r="B603" t="s">
        <v>16</v>
      </c>
      <c r="C603" t="s">
        <v>21</v>
      </c>
      <c r="D603">
        <v>196980</v>
      </c>
      <c r="E603">
        <v>31497</v>
      </c>
      <c r="F603">
        <v>29733</v>
      </c>
      <c r="G603">
        <v>-171331</v>
      </c>
      <c r="H603">
        <v>86879</v>
      </c>
      <c r="I603">
        <v>89366</v>
      </c>
      <c r="J603">
        <v>2402</v>
      </c>
      <c r="K603">
        <v>650842</v>
      </c>
      <c r="L603">
        <v>307198</v>
      </c>
      <c r="M603">
        <v>-73705</v>
      </c>
      <c r="N603">
        <v>110331</v>
      </c>
      <c r="O603" t="s">
        <v>621</v>
      </c>
      <c r="P603" s="9">
        <v>237897</v>
      </c>
      <c r="Q603" s="9">
        <v>28098</v>
      </c>
      <c r="R603" s="9">
        <v>265995</v>
      </c>
      <c r="S603" s="9">
        <v>-90365</v>
      </c>
      <c r="T603" s="10">
        <v>116453</v>
      </c>
      <c r="U603" s="10">
        <v>2831</v>
      </c>
    </row>
    <row r="604" spans="1:21" x14ac:dyDescent="0.35">
      <c r="A604" t="s">
        <v>15</v>
      </c>
      <c r="B604" t="s">
        <v>16</v>
      </c>
      <c r="C604" t="s">
        <v>17</v>
      </c>
      <c r="D604">
        <v>295918</v>
      </c>
      <c r="E604">
        <v>54204</v>
      </c>
      <c r="F604">
        <v>59244</v>
      </c>
      <c r="G604">
        <v>-266672</v>
      </c>
      <c r="H604">
        <v>142694</v>
      </c>
      <c r="I604">
        <v>136313</v>
      </c>
      <c r="J604">
        <v>3590</v>
      </c>
      <c r="K604">
        <v>754834</v>
      </c>
      <c r="L604">
        <v>307568</v>
      </c>
      <c r="M604">
        <v>-208401</v>
      </c>
      <c r="N604">
        <v>224941</v>
      </c>
      <c r="O604" t="s">
        <v>622</v>
      </c>
      <c r="P604" s="9">
        <v>242893</v>
      </c>
      <c r="Q604" s="9">
        <v>16738</v>
      </c>
      <c r="R604" s="9">
        <v>259631</v>
      </c>
      <c r="S604" s="9">
        <v>-151996</v>
      </c>
      <c r="T604" s="10">
        <v>79082</v>
      </c>
      <c r="U604" s="10">
        <v>2341</v>
      </c>
    </row>
    <row r="605" spans="1:21" x14ac:dyDescent="0.35">
      <c r="A605" t="s">
        <v>15</v>
      </c>
      <c r="B605" t="s">
        <v>20</v>
      </c>
      <c r="C605" t="s">
        <v>21</v>
      </c>
      <c r="D605">
        <v>205037</v>
      </c>
      <c r="E605">
        <v>17814</v>
      </c>
      <c r="F605">
        <v>39901</v>
      </c>
      <c r="G605">
        <v>-182710</v>
      </c>
      <c r="H605">
        <v>80042</v>
      </c>
      <c r="I605">
        <v>79414</v>
      </c>
      <c r="J605">
        <v>1480</v>
      </c>
      <c r="K605">
        <v>658529</v>
      </c>
      <c r="L605">
        <v>102666</v>
      </c>
      <c r="M605">
        <v>-249058</v>
      </c>
      <c r="N605">
        <v>178275</v>
      </c>
      <c r="O605" t="s">
        <v>623</v>
      </c>
      <c r="P605" s="9">
        <v>275226</v>
      </c>
      <c r="Q605" s="9">
        <v>23596</v>
      </c>
      <c r="R605" s="9">
        <v>298822</v>
      </c>
      <c r="S605" s="9">
        <v>-132857</v>
      </c>
      <c r="T605" s="10">
        <v>86952</v>
      </c>
      <c r="U605" s="10">
        <v>2400</v>
      </c>
    </row>
    <row r="606" spans="1:21" x14ac:dyDescent="0.35">
      <c r="A606" t="s">
        <v>15</v>
      </c>
      <c r="B606" t="s">
        <v>16</v>
      </c>
      <c r="C606" t="s">
        <v>17</v>
      </c>
      <c r="D606">
        <v>191421</v>
      </c>
      <c r="E606">
        <v>25632</v>
      </c>
      <c r="F606">
        <v>19227</v>
      </c>
      <c r="G606">
        <v>-179370</v>
      </c>
      <c r="H606">
        <v>56910</v>
      </c>
      <c r="I606">
        <v>59226</v>
      </c>
      <c r="J606">
        <v>724</v>
      </c>
      <c r="K606">
        <v>454807</v>
      </c>
      <c r="L606">
        <v>75955</v>
      </c>
      <c r="M606">
        <v>-135049</v>
      </c>
      <c r="N606">
        <v>88016</v>
      </c>
      <c r="O606" t="s">
        <v>624</v>
      </c>
      <c r="P606" s="9">
        <v>230563</v>
      </c>
      <c r="Q606" s="9">
        <v>16456</v>
      </c>
      <c r="R606" s="9">
        <v>247019</v>
      </c>
      <c r="S606" s="9">
        <v>-119634</v>
      </c>
      <c r="T606" s="10">
        <v>79051</v>
      </c>
      <c r="U606" s="10">
        <v>2324</v>
      </c>
    </row>
    <row r="607" spans="1:21" x14ac:dyDescent="0.35">
      <c r="A607" t="s">
        <v>15</v>
      </c>
      <c r="B607" t="s">
        <v>20</v>
      </c>
      <c r="C607" t="s">
        <v>21</v>
      </c>
      <c r="D607">
        <v>227785</v>
      </c>
      <c r="E607">
        <v>40768</v>
      </c>
      <c r="F607">
        <v>37717</v>
      </c>
      <c r="G607">
        <v>-209925</v>
      </c>
      <c r="H607">
        <v>96345</v>
      </c>
      <c r="I607">
        <v>91327</v>
      </c>
      <c r="J607">
        <v>1530</v>
      </c>
      <c r="K607">
        <v>646300</v>
      </c>
      <c r="L607">
        <v>66382</v>
      </c>
      <c r="M607">
        <v>-114747</v>
      </c>
      <c r="N607">
        <v>159911</v>
      </c>
      <c r="O607" t="s">
        <v>625</v>
      </c>
      <c r="P607" s="9">
        <v>312705</v>
      </c>
      <c r="Q607" s="9">
        <v>40931</v>
      </c>
      <c r="R607" s="9">
        <v>353636</v>
      </c>
      <c r="S607" s="9">
        <v>-104140</v>
      </c>
      <c r="T607" s="10">
        <v>122544</v>
      </c>
      <c r="U607" s="10">
        <v>2600</v>
      </c>
    </row>
    <row r="608" spans="1:21" x14ac:dyDescent="0.35">
      <c r="A608" t="s">
        <v>15</v>
      </c>
      <c r="B608" t="s">
        <v>20</v>
      </c>
      <c r="C608" t="s">
        <v>21</v>
      </c>
      <c r="D608">
        <v>156460</v>
      </c>
      <c r="E608">
        <v>27546</v>
      </c>
      <c r="F608">
        <v>19039</v>
      </c>
      <c r="G608">
        <v>-149575</v>
      </c>
      <c r="H608">
        <v>53470</v>
      </c>
      <c r="I608">
        <v>55770</v>
      </c>
      <c r="J608">
        <v>1452</v>
      </c>
      <c r="K608">
        <v>487017</v>
      </c>
      <c r="L608">
        <v>89941</v>
      </c>
      <c r="M608">
        <v>-92792</v>
      </c>
      <c r="N608">
        <v>113419</v>
      </c>
      <c r="O608" t="s">
        <v>626</v>
      </c>
      <c r="P608" s="9">
        <v>188098</v>
      </c>
      <c r="Q608" s="9">
        <v>22224</v>
      </c>
      <c r="R608" s="9">
        <v>210322</v>
      </c>
      <c r="S608" s="9">
        <v>-47992</v>
      </c>
      <c r="T608" s="10">
        <v>86532</v>
      </c>
      <c r="U608" s="10">
        <v>1513</v>
      </c>
    </row>
    <row r="609" spans="1:21" x14ac:dyDescent="0.35">
      <c r="A609" t="s">
        <v>15</v>
      </c>
      <c r="B609" t="s">
        <v>16</v>
      </c>
      <c r="C609" t="s">
        <v>17</v>
      </c>
      <c r="D609">
        <v>236632</v>
      </c>
      <c r="E609">
        <v>21148</v>
      </c>
      <c r="F609">
        <v>42686</v>
      </c>
      <c r="G609">
        <v>-224599</v>
      </c>
      <c r="H609">
        <v>75867</v>
      </c>
      <c r="I609">
        <v>75041</v>
      </c>
      <c r="J609">
        <v>1813</v>
      </c>
      <c r="K609">
        <v>851349</v>
      </c>
      <c r="L609">
        <v>205055</v>
      </c>
      <c r="M609">
        <v>-126443</v>
      </c>
      <c r="N609">
        <v>95485</v>
      </c>
      <c r="O609" t="s">
        <v>627</v>
      </c>
      <c r="P609" s="9">
        <v>234929</v>
      </c>
      <c r="Q609" s="9">
        <v>31398</v>
      </c>
      <c r="R609" s="9">
        <v>266327</v>
      </c>
      <c r="S609" s="9">
        <v>-138979</v>
      </c>
      <c r="T609" s="10">
        <v>94198</v>
      </c>
      <c r="U609" s="10">
        <v>2622</v>
      </c>
    </row>
    <row r="610" spans="1:21" x14ac:dyDescent="0.35">
      <c r="A610" t="s">
        <v>15</v>
      </c>
      <c r="B610" t="s">
        <v>16</v>
      </c>
      <c r="C610" t="s">
        <v>17</v>
      </c>
      <c r="D610">
        <v>225343</v>
      </c>
      <c r="E610">
        <v>37695</v>
      </c>
      <c r="F610">
        <v>23327</v>
      </c>
      <c r="G610">
        <v>-208912</v>
      </c>
      <c r="H610">
        <v>77453</v>
      </c>
      <c r="I610">
        <v>73396</v>
      </c>
      <c r="J610">
        <v>2076</v>
      </c>
      <c r="K610">
        <v>522658</v>
      </c>
      <c r="L610">
        <v>95202</v>
      </c>
      <c r="M610">
        <v>-148168</v>
      </c>
      <c r="N610">
        <v>95003</v>
      </c>
      <c r="O610" t="s">
        <v>628</v>
      </c>
      <c r="P610" s="9">
        <v>200532</v>
      </c>
      <c r="Q610" s="9">
        <v>20819</v>
      </c>
      <c r="R610" s="9">
        <v>221351</v>
      </c>
      <c r="S610" s="9">
        <v>-103480</v>
      </c>
      <c r="T610" s="10">
        <v>77250</v>
      </c>
      <c r="U610" s="10">
        <v>1664</v>
      </c>
    </row>
    <row r="611" spans="1:21" x14ac:dyDescent="0.35">
      <c r="A611" t="s">
        <v>15</v>
      </c>
      <c r="B611" t="s">
        <v>20</v>
      </c>
      <c r="C611" t="s">
        <v>17</v>
      </c>
      <c r="D611">
        <v>183225</v>
      </c>
      <c r="E611">
        <v>14408</v>
      </c>
      <c r="F611">
        <v>44008</v>
      </c>
      <c r="G611">
        <v>-180022</v>
      </c>
      <c r="H611">
        <v>61619</v>
      </c>
      <c r="I611">
        <v>60107</v>
      </c>
      <c r="J611">
        <v>871</v>
      </c>
      <c r="K611">
        <v>726691</v>
      </c>
      <c r="L611">
        <v>354613</v>
      </c>
      <c r="M611">
        <v>-193276</v>
      </c>
      <c r="N611">
        <v>95962</v>
      </c>
      <c r="O611" t="s">
        <v>629</v>
      </c>
      <c r="P611" s="9">
        <v>211807</v>
      </c>
      <c r="Q611" s="9">
        <v>19303</v>
      </c>
      <c r="R611" s="9">
        <v>231110</v>
      </c>
      <c r="S611" s="9">
        <v>-124995</v>
      </c>
      <c r="T611" s="10">
        <v>65334</v>
      </c>
      <c r="U611" s="10">
        <v>763</v>
      </c>
    </row>
    <row r="612" spans="1:21" x14ac:dyDescent="0.35">
      <c r="A612" t="s">
        <v>15</v>
      </c>
      <c r="B612" t="s">
        <v>16</v>
      </c>
      <c r="C612" t="s">
        <v>17</v>
      </c>
      <c r="D612">
        <v>205069</v>
      </c>
      <c r="E612">
        <v>39165</v>
      </c>
      <c r="F612">
        <v>42864</v>
      </c>
      <c r="G612">
        <v>-203328</v>
      </c>
      <c r="H612">
        <v>83770</v>
      </c>
      <c r="I612">
        <v>83101</v>
      </c>
      <c r="J612">
        <v>2394</v>
      </c>
      <c r="K612">
        <v>721030</v>
      </c>
      <c r="L612">
        <v>340020</v>
      </c>
      <c r="M612">
        <v>-246403</v>
      </c>
      <c r="N612">
        <v>133197</v>
      </c>
      <c r="O612" t="s">
        <v>630</v>
      </c>
      <c r="P612" s="9">
        <v>236088</v>
      </c>
      <c r="Q612" s="9">
        <v>33806</v>
      </c>
      <c r="R612" s="9">
        <v>269894</v>
      </c>
      <c r="S612" s="9">
        <v>-60085</v>
      </c>
      <c r="T612" s="10">
        <v>121245</v>
      </c>
      <c r="U612" s="10">
        <v>3448</v>
      </c>
    </row>
    <row r="613" spans="1:21" x14ac:dyDescent="0.35">
      <c r="A613" t="s">
        <v>15</v>
      </c>
      <c r="B613" t="s">
        <v>16</v>
      </c>
      <c r="C613" t="s">
        <v>17</v>
      </c>
      <c r="D613">
        <v>155488</v>
      </c>
      <c r="E613">
        <v>10893</v>
      </c>
      <c r="F613">
        <v>30209</v>
      </c>
      <c r="G613">
        <v>-128993</v>
      </c>
      <c r="H613">
        <v>67597</v>
      </c>
      <c r="I613">
        <v>61971</v>
      </c>
      <c r="J613">
        <v>1143</v>
      </c>
      <c r="K613">
        <v>335397</v>
      </c>
      <c r="L613">
        <v>152436</v>
      </c>
      <c r="M613">
        <v>-41381</v>
      </c>
      <c r="N613">
        <v>85558</v>
      </c>
      <c r="O613" t="s">
        <v>631</v>
      </c>
      <c r="P613" s="9">
        <v>245929</v>
      </c>
      <c r="Q613" s="9">
        <v>47785</v>
      </c>
      <c r="R613" s="9">
        <v>293714</v>
      </c>
      <c r="S613" s="9">
        <v>-59828</v>
      </c>
      <c r="T613" s="10">
        <v>130701</v>
      </c>
      <c r="U613" s="10">
        <v>2152</v>
      </c>
    </row>
    <row r="614" spans="1:21" x14ac:dyDescent="0.35">
      <c r="A614" t="s">
        <v>15</v>
      </c>
      <c r="B614" t="s">
        <v>16</v>
      </c>
      <c r="C614" t="s">
        <v>17</v>
      </c>
      <c r="D614">
        <v>210249</v>
      </c>
      <c r="E614">
        <v>21017</v>
      </c>
      <c r="F614">
        <v>25976</v>
      </c>
      <c r="G614">
        <v>-174887</v>
      </c>
      <c r="H614">
        <v>82355</v>
      </c>
      <c r="I614">
        <v>79962</v>
      </c>
      <c r="J614">
        <v>1675</v>
      </c>
      <c r="K614">
        <v>547159</v>
      </c>
      <c r="L614">
        <v>163574</v>
      </c>
      <c r="M614">
        <v>-131121</v>
      </c>
      <c r="N614">
        <v>183533</v>
      </c>
      <c r="O614" t="s">
        <v>632</v>
      </c>
      <c r="P614" s="9">
        <v>245150</v>
      </c>
      <c r="Q614" s="9">
        <v>29626</v>
      </c>
      <c r="R614" s="9">
        <v>274776</v>
      </c>
      <c r="S614" s="9">
        <v>-79652</v>
      </c>
      <c r="T614" s="10">
        <v>98889</v>
      </c>
      <c r="U614" s="10">
        <v>1271</v>
      </c>
    </row>
    <row r="615" spans="1:21" x14ac:dyDescent="0.35">
      <c r="A615" t="s">
        <v>15</v>
      </c>
      <c r="B615" t="s">
        <v>20</v>
      </c>
      <c r="C615" t="s">
        <v>21</v>
      </c>
      <c r="D615">
        <v>270788</v>
      </c>
      <c r="E615">
        <v>24435</v>
      </c>
      <c r="F615">
        <v>27491</v>
      </c>
      <c r="G615">
        <v>-247000</v>
      </c>
      <c r="H615">
        <v>75714</v>
      </c>
      <c r="I615">
        <v>69874</v>
      </c>
      <c r="J615">
        <v>2027</v>
      </c>
      <c r="K615">
        <v>986663</v>
      </c>
      <c r="L615">
        <v>411681</v>
      </c>
      <c r="M615">
        <v>-227196</v>
      </c>
      <c r="N615">
        <v>176276</v>
      </c>
      <c r="O615" t="s">
        <v>633</v>
      </c>
      <c r="P615" s="9">
        <v>181666</v>
      </c>
      <c r="Q615" s="9">
        <v>13271</v>
      </c>
      <c r="R615" s="9">
        <v>194937</v>
      </c>
      <c r="S615" s="9">
        <v>-112192</v>
      </c>
      <c r="T615" s="10">
        <v>86082</v>
      </c>
      <c r="U615" s="10">
        <v>2515</v>
      </c>
    </row>
    <row r="616" spans="1:21" x14ac:dyDescent="0.35">
      <c r="A616" t="s">
        <v>15</v>
      </c>
      <c r="B616" t="s">
        <v>16</v>
      </c>
      <c r="C616" t="s">
        <v>21</v>
      </c>
      <c r="D616">
        <v>213130</v>
      </c>
      <c r="E616">
        <v>20256</v>
      </c>
      <c r="F616">
        <v>53256</v>
      </c>
      <c r="G616">
        <v>-204243</v>
      </c>
      <c r="H616">
        <v>82399</v>
      </c>
      <c r="I616">
        <v>76979</v>
      </c>
      <c r="J616">
        <v>1004</v>
      </c>
      <c r="K616">
        <v>579276</v>
      </c>
      <c r="L616">
        <v>81119</v>
      </c>
      <c r="M616">
        <v>-178146</v>
      </c>
      <c r="N616">
        <v>78726</v>
      </c>
      <c r="O616" t="s">
        <v>634</v>
      </c>
      <c r="P616" s="9">
        <v>312263</v>
      </c>
      <c r="Q616" s="9">
        <v>24034</v>
      </c>
      <c r="R616" s="9">
        <v>336297</v>
      </c>
      <c r="S616" s="9">
        <v>-101454</v>
      </c>
      <c r="T616" s="10">
        <v>115513</v>
      </c>
      <c r="U616" s="10">
        <v>1456</v>
      </c>
    </row>
    <row r="617" spans="1:21" x14ac:dyDescent="0.35">
      <c r="A617" t="s">
        <v>15</v>
      </c>
      <c r="B617" t="s">
        <v>16</v>
      </c>
      <c r="C617" t="s">
        <v>17</v>
      </c>
      <c r="D617">
        <v>279948</v>
      </c>
      <c r="E617">
        <v>47814</v>
      </c>
      <c r="F617">
        <v>41999</v>
      </c>
      <c r="G617">
        <v>-251581</v>
      </c>
      <c r="H617">
        <v>118180</v>
      </c>
      <c r="I617">
        <v>114655</v>
      </c>
      <c r="J617">
        <v>2058</v>
      </c>
      <c r="K617">
        <v>727238</v>
      </c>
      <c r="L617">
        <v>99607</v>
      </c>
      <c r="M617">
        <v>-184071</v>
      </c>
      <c r="N617">
        <v>189960</v>
      </c>
      <c r="O617" t="s">
        <v>635</v>
      </c>
      <c r="P617" s="9">
        <v>282944</v>
      </c>
      <c r="Q617" s="9">
        <v>41499</v>
      </c>
      <c r="R617" s="9">
        <v>324443</v>
      </c>
      <c r="S617" s="9">
        <v>-183046</v>
      </c>
      <c r="T617" s="10">
        <v>124597</v>
      </c>
      <c r="U617" s="10">
        <v>2104</v>
      </c>
    </row>
    <row r="618" spans="1:21" x14ac:dyDescent="0.35">
      <c r="A618" t="s">
        <v>15</v>
      </c>
      <c r="B618" t="s">
        <v>20</v>
      </c>
      <c r="C618" t="s">
        <v>21</v>
      </c>
      <c r="D618">
        <v>215336</v>
      </c>
      <c r="E618">
        <v>15875</v>
      </c>
      <c r="F618">
        <v>51253</v>
      </c>
      <c r="G618">
        <v>-181375</v>
      </c>
      <c r="H618">
        <v>101089</v>
      </c>
      <c r="I618">
        <v>104661</v>
      </c>
      <c r="J618">
        <v>3020</v>
      </c>
      <c r="K618">
        <v>471082</v>
      </c>
      <c r="L618">
        <v>83775</v>
      </c>
      <c r="M618">
        <v>-58347</v>
      </c>
      <c r="N618">
        <v>153768</v>
      </c>
      <c r="O618" t="s">
        <v>636</v>
      </c>
      <c r="P618" s="9">
        <v>194648</v>
      </c>
      <c r="Q618" s="9">
        <v>39231</v>
      </c>
      <c r="R618" s="9">
        <v>233879</v>
      </c>
      <c r="S618" s="9">
        <v>-133221</v>
      </c>
      <c r="T618" s="10">
        <v>101394</v>
      </c>
      <c r="U618" s="10">
        <v>2419</v>
      </c>
    </row>
    <row r="619" spans="1:21" x14ac:dyDescent="0.35">
      <c r="A619" t="s">
        <v>15</v>
      </c>
      <c r="B619" t="s">
        <v>16</v>
      </c>
      <c r="C619" t="s">
        <v>21</v>
      </c>
      <c r="D619">
        <v>171582</v>
      </c>
      <c r="E619">
        <v>20435</v>
      </c>
      <c r="F619">
        <v>26941</v>
      </c>
      <c r="G619">
        <v>-142996</v>
      </c>
      <c r="H619">
        <v>75962</v>
      </c>
      <c r="I619">
        <v>69712</v>
      </c>
      <c r="J619">
        <v>1395</v>
      </c>
      <c r="K619">
        <v>607237</v>
      </c>
      <c r="L619">
        <v>229226</v>
      </c>
      <c r="M619">
        <v>-149576</v>
      </c>
      <c r="N619">
        <v>128148</v>
      </c>
      <c r="O619" t="s">
        <v>637</v>
      </c>
      <c r="P619" s="9">
        <v>196738</v>
      </c>
      <c r="Q619" s="9">
        <v>25905</v>
      </c>
      <c r="R619" s="9">
        <v>222643</v>
      </c>
      <c r="S619" s="9">
        <v>-119346</v>
      </c>
      <c r="T619" s="10">
        <v>79077</v>
      </c>
      <c r="U619" s="10">
        <v>829</v>
      </c>
    </row>
    <row r="620" spans="1:21" x14ac:dyDescent="0.35">
      <c r="A620" t="s">
        <v>15</v>
      </c>
      <c r="B620" t="s">
        <v>20</v>
      </c>
      <c r="C620" t="s">
        <v>17</v>
      </c>
      <c r="D620">
        <v>229900</v>
      </c>
      <c r="E620">
        <v>14961</v>
      </c>
      <c r="F620">
        <v>45821</v>
      </c>
      <c r="G620">
        <v>-200371</v>
      </c>
      <c r="H620">
        <v>90311</v>
      </c>
      <c r="I620">
        <v>87756</v>
      </c>
      <c r="J620">
        <v>1256</v>
      </c>
      <c r="K620">
        <v>836660</v>
      </c>
      <c r="L620">
        <v>314474</v>
      </c>
      <c r="M620">
        <v>-196963</v>
      </c>
      <c r="N620">
        <v>140764</v>
      </c>
      <c r="O620" t="s">
        <v>638</v>
      </c>
      <c r="P620" s="9">
        <v>220101</v>
      </c>
      <c r="Q620" s="9">
        <v>28914</v>
      </c>
      <c r="R620" s="9">
        <v>249015</v>
      </c>
      <c r="S620" s="9">
        <v>-58994</v>
      </c>
      <c r="T620" s="10">
        <v>122690</v>
      </c>
      <c r="U620" s="10">
        <v>1642</v>
      </c>
    </row>
    <row r="621" spans="1:21" x14ac:dyDescent="0.35">
      <c r="A621" t="s">
        <v>15</v>
      </c>
      <c r="B621" t="s">
        <v>20</v>
      </c>
      <c r="C621" t="s">
        <v>21</v>
      </c>
      <c r="D621">
        <v>249525</v>
      </c>
      <c r="E621">
        <v>37517</v>
      </c>
      <c r="F621">
        <v>57037</v>
      </c>
      <c r="G621">
        <v>-230577</v>
      </c>
      <c r="H621">
        <v>113502</v>
      </c>
      <c r="I621">
        <v>116449</v>
      </c>
      <c r="J621">
        <v>2065</v>
      </c>
      <c r="K621">
        <v>531710</v>
      </c>
      <c r="L621">
        <v>81862</v>
      </c>
      <c r="M621">
        <v>-119953</v>
      </c>
      <c r="N621">
        <v>98434</v>
      </c>
      <c r="O621" t="s">
        <v>639</v>
      </c>
      <c r="P621" s="9">
        <v>178057</v>
      </c>
      <c r="Q621" s="9">
        <v>10584</v>
      </c>
      <c r="R621" s="9">
        <v>188641</v>
      </c>
      <c r="S621" s="9">
        <v>-50953</v>
      </c>
      <c r="T621" s="10">
        <v>53950</v>
      </c>
      <c r="U621" s="10">
        <v>629</v>
      </c>
    </row>
    <row r="622" spans="1:21" x14ac:dyDescent="0.35">
      <c r="A622" t="s">
        <v>15</v>
      </c>
      <c r="B622" t="s">
        <v>16</v>
      </c>
      <c r="C622" t="s">
        <v>21</v>
      </c>
      <c r="D622">
        <v>165248</v>
      </c>
      <c r="E622">
        <v>27811</v>
      </c>
      <c r="F622">
        <v>40962</v>
      </c>
      <c r="G622">
        <v>-133728</v>
      </c>
      <c r="H622">
        <v>100293</v>
      </c>
      <c r="I622">
        <v>103658</v>
      </c>
      <c r="J622">
        <v>3047</v>
      </c>
      <c r="K622">
        <v>516527</v>
      </c>
      <c r="L622">
        <v>184837</v>
      </c>
      <c r="M622">
        <v>-128469</v>
      </c>
      <c r="N622">
        <v>145439</v>
      </c>
      <c r="O622" t="s">
        <v>640</v>
      </c>
      <c r="P622" s="9">
        <v>235886</v>
      </c>
      <c r="Q622" s="9">
        <v>33054</v>
      </c>
      <c r="R622" s="9">
        <v>268940</v>
      </c>
      <c r="S622" s="9">
        <v>-59357</v>
      </c>
      <c r="T622" s="10">
        <v>94886</v>
      </c>
      <c r="U622" s="10">
        <v>2333</v>
      </c>
    </row>
    <row r="623" spans="1:21" x14ac:dyDescent="0.35">
      <c r="A623" t="s">
        <v>15</v>
      </c>
      <c r="B623" t="s">
        <v>16</v>
      </c>
      <c r="C623" t="s">
        <v>21</v>
      </c>
      <c r="D623">
        <v>210235</v>
      </c>
      <c r="E623">
        <v>14825</v>
      </c>
      <c r="F623">
        <v>26556</v>
      </c>
      <c r="G623">
        <v>-210037</v>
      </c>
      <c r="H623">
        <v>41579</v>
      </c>
      <c r="I623">
        <v>37736</v>
      </c>
      <c r="J623">
        <v>441</v>
      </c>
      <c r="K623">
        <v>711640</v>
      </c>
      <c r="L623">
        <v>109335</v>
      </c>
      <c r="M623">
        <v>-273806</v>
      </c>
      <c r="N623">
        <v>114280</v>
      </c>
      <c r="O623" t="s">
        <v>641</v>
      </c>
      <c r="P623" s="9">
        <v>151591</v>
      </c>
      <c r="Q623" s="9">
        <v>27938</v>
      </c>
      <c r="R623" s="9">
        <v>179529</v>
      </c>
      <c r="S623" s="9">
        <v>-80712</v>
      </c>
      <c r="T623" s="10">
        <v>59785</v>
      </c>
      <c r="U623" s="10">
        <v>1543</v>
      </c>
    </row>
    <row r="624" spans="1:21" x14ac:dyDescent="0.35">
      <c r="A624" t="s">
        <v>15</v>
      </c>
      <c r="B624" t="s">
        <v>16</v>
      </c>
      <c r="C624" t="s">
        <v>21</v>
      </c>
      <c r="D624">
        <v>256332</v>
      </c>
      <c r="E624">
        <v>34840</v>
      </c>
      <c r="F624">
        <v>42727</v>
      </c>
      <c r="G624">
        <v>-239582</v>
      </c>
      <c r="H624">
        <v>94317</v>
      </c>
      <c r="I624">
        <v>86196</v>
      </c>
      <c r="J624">
        <v>2023</v>
      </c>
      <c r="K624">
        <v>606073</v>
      </c>
      <c r="L624">
        <v>102485</v>
      </c>
      <c r="M624">
        <v>-150388</v>
      </c>
      <c r="N624">
        <v>181406</v>
      </c>
      <c r="O624" t="s">
        <v>642</v>
      </c>
      <c r="P624" s="9">
        <v>245239</v>
      </c>
      <c r="Q624" s="9">
        <v>41262</v>
      </c>
      <c r="R624" s="9">
        <v>286501</v>
      </c>
      <c r="S624" s="9">
        <v>-158157</v>
      </c>
      <c r="T624" s="10">
        <v>117119</v>
      </c>
      <c r="U624" s="10">
        <v>2299</v>
      </c>
    </row>
    <row r="625" spans="1:21" x14ac:dyDescent="0.35">
      <c r="A625" t="s">
        <v>15</v>
      </c>
      <c r="B625" t="s">
        <v>16</v>
      </c>
      <c r="C625" t="s">
        <v>21</v>
      </c>
      <c r="D625">
        <v>244713</v>
      </c>
      <c r="E625">
        <v>43399</v>
      </c>
      <c r="F625">
        <v>25877</v>
      </c>
      <c r="G625">
        <v>-224705</v>
      </c>
      <c r="H625">
        <v>89284</v>
      </c>
      <c r="I625">
        <v>84335</v>
      </c>
      <c r="J625">
        <v>2323</v>
      </c>
      <c r="K625">
        <v>510880</v>
      </c>
      <c r="L625">
        <v>212461</v>
      </c>
      <c r="M625">
        <v>-115737</v>
      </c>
      <c r="N625">
        <v>103091</v>
      </c>
      <c r="O625" t="s">
        <v>643</v>
      </c>
      <c r="P625" s="9">
        <v>256318</v>
      </c>
      <c r="Q625" s="9">
        <v>47800</v>
      </c>
      <c r="R625" s="9">
        <v>304118</v>
      </c>
      <c r="S625" s="9">
        <v>-73726</v>
      </c>
      <c r="T625" s="10">
        <v>127912</v>
      </c>
      <c r="U625" s="10">
        <v>1306</v>
      </c>
    </row>
    <row r="626" spans="1:21" x14ac:dyDescent="0.35">
      <c r="A626" t="s">
        <v>15</v>
      </c>
      <c r="B626" t="s">
        <v>16</v>
      </c>
      <c r="C626" t="s">
        <v>21</v>
      </c>
      <c r="D626">
        <v>260890</v>
      </c>
      <c r="E626">
        <v>20718</v>
      </c>
      <c r="F626">
        <v>59656</v>
      </c>
      <c r="G626">
        <v>-245076</v>
      </c>
      <c r="H626">
        <v>96188</v>
      </c>
      <c r="I626">
        <v>88335</v>
      </c>
      <c r="J626">
        <v>2436</v>
      </c>
      <c r="K626">
        <v>641609</v>
      </c>
      <c r="L626">
        <v>120802</v>
      </c>
      <c r="M626">
        <v>-98568</v>
      </c>
      <c r="N626">
        <v>108560</v>
      </c>
      <c r="O626" t="s">
        <v>644</v>
      </c>
      <c r="P626" s="9">
        <v>275241</v>
      </c>
      <c r="Q626" s="9">
        <v>37670</v>
      </c>
      <c r="R626" s="9">
        <v>312911</v>
      </c>
      <c r="S626" s="9">
        <v>-147291</v>
      </c>
      <c r="T626" s="10">
        <v>97144</v>
      </c>
      <c r="U626" s="10">
        <v>1825</v>
      </c>
    </row>
    <row r="627" spans="1:21" x14ac:dyDescent="0.35">
      <c r="A627" t="s">
        <v>15</v>
      </c>
      <c r="B627" t="s">
        <v>16</v>
      </c>
      <c r="C627" t="s">
        <v>21</v>
      </c>
      <c r="D627">
        <v>183509</v>
      </c>
      <c r="E627">
        <v>29770</v>
      </c>
      <c r="F627">
        <v>20979</v>
      </c>
      <c r="G627">
        <v>-171914</v>
      </c>
      <c r="H627">
        <v>62344</v>
      </c>
      <c r="I627">
        <v>62313</v>
      </c>
      <c r="J627">
        <v>923</v>
      </c>
      <c r="K627">
        <v>663696</v>
      </c>
      <c r="L627">
        <v>160314</v>
      </c>
      <c r="M627">
        <v>-126483</v>
      </c>
      <c r="N627">
        <v>61670</v>
      </c>
      <c r="O627" t="s">
        <v>645</v>
      </c>
      <c r="P627" s="9">
        <v>240924</v>
      </c>
      <c r="Q627" s="9">
        <v>43682</v>
      </c>
      <c r="R627" s="9">
        <v>284606</v>
      </c>
      <c r="S627" s="9">
        <v>-70790</v>
      </c>
      <c r="T627" s="10">
        <v>90167</v>
      </c>
      <c r="U627" s="10">
        <v>1853</v>
      </c>
    </row>
    <row r="628" spans="1:21" x14ac:dyDescent="0.35">
      <c r="A628" t="s">
        <v>15</v>
      </c>
      <c r="B628" t="s">
        <v>20</v>
      </c>
      <c r="C628" t="s">
        <v>17</v>
      </c>
      <c r="D628">
        <v>290630</v>
      </c>
      <c r="E628">
        <v>33676</v>
      </c>
      <c r="F628">
        <v>61320</v>
      </c>
      <c r="G628">
        <v>-276783</v>
      </c>
      <c r="H628">
        <v>108843</v>
      </c>
      <c r="I628">
        <v>111113</v>
      </c>
      <c r="J628">
        <v>2048</v>
      </c>
      <c r="K628">
        <v>1033493</v>
      </c>
      <c r="L628">
        <v>466327</v>
      </c>
      <c r="M628">
        <v>-361719</v>
      </c>
      <c r="N628">
        <v>174450</v>
      </c>
      <c r="O628" t="s">
        <v>646</v>
      </c>
      <c r="P628" s="9">
        <v>250054</v>
      </c>
      <c r="Q628" s="9">
        <v>34922</v>
      </c>
      <c r="R628" s="9">
        <v>284976</v>
      </c>
      <c r="S628" s="9">
        <v>-156827</v>
      </c>
      <c r="T628" s="10">
        <v>151853</v>
      </c>
      <c r="U628" s="10">
        <v>2522</v>
      </c>
    </row>
    <row r="629" spans="1:21" x14ac:dyDescent="0.35">
      <c r="A629" t="s">
        <v>15</v>
      </c>
      <c r="B629" t="s">
        <v>16</v>
      </c>
      <c r="C629" t="s">
        <v>17</v>
      </c>
      <c r="D629">
        <v>287807</v>
      </c>
      <c r="E629">
        <v>24539</v>
      </c>
      <c r="F629">
        <v>36295</v>
      </c>
      <c r="G629">
        <v>-243774</v>
      </c>
      <c r="H629">
        <v>104867</v>
      </c>
      <c r="I629">
        <v>103526</v>
      </c>
      <c r="J629">
        <v>2023</v>
      </c>
      <c r="K629">
        <v>1048382</v>
      </c>
      <c r="L629">
        <v>297642</v>
      </c>
      <c r="M629">
        <v>-318964</v>
      </c>
      <c r="N629">
        <v>225564</v>
      </c>
      <c r="O629" t="s">
        <v>647</v>
      </c>
      <c r="P629" s="9">
        <v>263814</v>
      </c>
      <c r="Q629" s="9">
        <v>40496</v>
      </c>
      <c r="R629" s="9">
        <v>304310</v>
      </c>
      <c r="S629" s="9">
        <v>-161275</v>
      </c>
      <c r="T629" s="10">
        <v>107671</v>
      </c>
      <c r="U629" s="10">
        <v>2548</v>
      </c>
    </row>
    <row r="630" spans="1:21" x14ac:dyDescent="0.35">
      <c r="A630" t="s">
        <v>15</v>
      </c>
      <c r="B630" t="s">
        <v>20</v>
      </c>
      <c r="C630" t="s">
        <v>21</v>
      </c>
      <c r="D630">
        <v>235987</v>
      </c>
      <c r="E630">
        <v>21594</v>
      </c>
      <c r="F630">
        <v>50110</v>
      </c>
      <c r="G630">
        <v>-202688</v>
      </c>
      <c r="H630">
        <v>105003</v>
      </c>
      <c r="I630">
        <v>105308</v>
      </c>
      <c r="J630">
        <v>2665</v>
      </c>
      <c r="K630">
        <v>765929</v>
      </c>
      <c r="L630">
        <v>294372</v>
      </c>
      <c r="M630">
        <v>-89546</v>
      </c>
      <c r="N630">
        <v>208571</v>
      </c>
      <c r="O630" t="s">
        <v>648</v>
      </c>
      <c r="P630" s="9">
        <v>286999</v>
      </c>
      <c r="Q630" s="9">
        <v>49083</v>
      </c>
      <c r="R630" s="9">
        <v>336082</v>
      </c>
      <c r="S630" s="9">
        <v>-147912</v>
      </c>
      <c r="T630" s="10">
        <v>104641</v>
      </c>
      <c r="U630" s="10">
        <v>1251</v>
      </c>
    </row>
    <row r="631" spans="1:21" x14ac:dyDescent="0.35">
      <c r="A631" t="s">
        <v>15</v>
      </c>
      <c r="B631" t="s">
        <v>16</v>
      </c>
      <c r="C631" t="s">
        <v>21</v>
      </c>
      <c r="D631">
        <v>156844</v>
      </c>
      <c r="E631">
        <v>20464</v>
      </c>
      <c r="F631">
        <v>18231</v>
      </c>
      <c r="G631">
        <v>-140638</v>
      </c>
      <c r="H631">
        <v>54901</v>
      </c>
      <c r="I631">
        <v>54224</v>
      </c>
      <c r="J631">
        <v>621</v>
      </c>
      <c r="K631">
        <v>533806</v>
      </c>
      <c r="L631">
        <v>85676</v>
      </c>
      <c r="M631">
        <v>-111787</v>
      </c>
      <c r="N631">
        <v>136118</v>
      </c>
      <c r="O631" t="s">
        <v>649</v>
      </c>
      <c r="P631" s="9">
        <v>230288</v>
      </c>
      <c r="Q631" s="9">
        <v>37640</v>
      </c>
      <c r="R631" s="9">
        <v>267928</v>
      </c>
      <c r="S631" s="9">
        <v>-109300</v>
      </c>
      <c r="T631" s="10">
        <v>124418</v>
      </c>
      <c r="U631" s="10">
        <v>1447</v>
      </c>
    </row>
    <row r="632" spans="1:21" x14ac:dyDescent="0.35">
      <c r="A632" t="s">
        <v>15</v>
      </c>
      <c r="B632" t="s">
        <v>16</v>
      </c>
      <c r="C632" t="s">
        <v>21</v>
      </c>
      <c r="D632">
        <v>167971</v>
      </c>
      <c r="E632">
        <v>21250</v>
      </c>
      <c r="F632">
        <v>39751</v>
      </c>
      <c r="G632">
        <v>-137904</v>
      </c>
      <c r="H632">
        <v>91068</v>
      </c>
      <c r="I632">
        <v>84328</v>
      </c>
      <c r="J632">
        <v>1439</v>
      </c>
      <c r="K632">
        <v>479339</v>
      </c>
      <c r="L632">
        <v>111384</v>
      </c>
      <c r="M632">
        <v>-106920</v>
      </c>
      <c r="N632">
        <v>81822</v>
      </c>
      <c r="O632" t="s">
        <v>650</v>
      </c>
      <c r="P632" s="9">
        <v>188215</v>
      </c>
      <c r="Q632" s="9">
        <v>21483</v>
      </c>
      <c r="R632" s="9">
        <v>209698</v>
      </c>
      <c r="S632" s="9">
        <v>-64944</v>
      </c>
      <c r="T632" s="10">
        <v>90736</v>
      </c>
      <c r="U632" s="10">
        <v>1316</v>
      </c>
    </row>
    <row r="633" spans="1:21" x14ac:dyDescent="0.35">
      <c r="A633" t="s">
        <v>15</v>
      </c>
      <c r="B633" t="s">
        <v>16</v>
      </c>
      <c r="C633" t="s">
        <v>21</v>
      </c>
      <c r="D633">
        <v>253195</v>
      </c>
      <c r="E633">
        <v>14813</v>
      </c>
      <c r="F633">
        <v>53672</v>
      </c>
      <c r="G633">
        <v>-215224</v>
      </c>
      <c r="H633">
        <v>106456</v>
      </c>
      <c r="I633">
        <v>103998</v>
      </c>
      <c r="J633">
        <v>1402</v>
      </c>
      <c r="K633">
        <v>566020</v>
      </c>
      <c r="L633">
        <v>71841</v>
      </c>
      <c r="M633">
        <v>-204982</v>
      </c>
      <c r="N633">
        <v>174791</v>
      </c>
      <c r="O633" t="s">
        <v>651</v>
      </c>
      <c r="P633" s="9">
        <v>157477</v>
      </c>
      <c r="Q633" s="9">
        <v>12396</v>
      </c>
      <c r="R633" s="9">
        <v>169873</v>
      </c>
      <c r="S633" s="9">
        <v>-85207</v>
      </c>
      <c r="T633" s="10">
        <v>45734</v>
      </c>
      <c r="U633" s="10">
        <v>505</v>
      </c>
    </row>
    <row r="634" spans="1:21" x14ac:dyDescent="0.35">
      <c r="A634" t="s">
        <v>15</v>
      </c>
      <c r="B634" t="s">
        <v>16</v>
      </c>
      <c r="C634" t="s">
        <v>21</v>
      </c>
      <c r="D634">
        <v>197710</v>
      </c>
      <c r="E634">
        <v>21700</v>
      </c>
      <c r="F634">
        <v>31675</v>
      </c>
      <c r="G634">
        <v>-169404</v>
      </c>
      <c r="H634">
        <v>81681</v>
      </c>
      <c r="I634">
        <v>83354</v>
      </c>
      <c r="J634">
        <v>1907</v>
      </c>
      <c r="K634">
        <v>735193</v>
      </c>
      <c r="L634">
        <v>178037</v>
      </c>
      <c r="M634">
        <v>-169215</v>
      </c>
      <c r="N634">
        <v>141781</v>
      </c>
      <c r="O634" t="s">
        <v>652</v>
      </c>
      <c r="P634" s="9">
        <v>287803</v>
      </c>
      <c r="Q634" s="9">
        <v>16442</v>
      </c>
      <c r="R634" s="9">
        <v>304245</v>
      </c>
      <c r="S634" s="9">
        <v>-84539</v>
      </c>
      <c r="T634" s="10">
        <v>77956</v>
      </c>
      <c r="U634" s="10">
        <v>1171</v>
      </c>
    </row>
    <row r="635" spans="1:21" x14ac:dyDescent="0.35">
      <c r="A635" t="s">
        <v>15</v>
      </c>
      <c r="B635" t="s">
        <v>16</v>
      </c>
      <c r="C635" t="s">
        <v>21</v>
      </c>
      <c r="D635">
        <v>201199</v>
      </c>
      <c r="E635">
        <v>36784</v>
      </c>
      <c r="F635">
        <v>27898</v>
      </c>
      <c r="G635">
        <v>-162675</v>
      </c>
      <c r="H635">
        <v>103206</v>
      </c>
      <c r="I635">
        <v>99169</v>
      </c>
      <c r="J635">
        <v>2882</v>
      </c>
      <c r="K635">
        <v>730902</v>
      </c>
      <c r="L635">
        <v>302329</v>
      </c>
      <c r="M635">
        <v>-117714</v>
      </c>
      <c r="N635">
        <v>76155</v>
      </c>
      <c r="O635" t="s">
        <v>653</v>
      </c>
      <c r="P635" s="9">
        <v>208927</v>
      </c>
      <c r="Q635" s="9">
        <v>31544</v>
      </c>
      <c r="R635" s="9">
        <v>240471</v>
      </c>
      <c r="S635" s="9">
        <v>-48492</v>
      </c>
      <c r="T635" s="10">
        <v>114902</v>
      </c>
      <c r="U635" s="10">
        <v>3184</v>
      </c>
    </row>
    <row r="636" spans="1:21" x14ac:dyDescent="0.35">
      <c r="A636" t="s">
        <v>15</v>
      </c>
      <c r="B636" t="s">
        <v>20</v>
      </c>
      <c r="C636" t="s">
        <v>21</v>
      </c>
      <c r="D636">
        <v>249560</v>
      </c>
      <c r="E636">
        <v>27598</v>
      </c>
      <c r="F636">
        <v>50350</v>
      </c>
      <c r="G636">
        <v>-247281</v>
      </c>
      <c r="H636">
        <v>80227</v>
      </c>
      <c r="I636">
        <v>76205</v>
      </c>
      <c r="J636">
        <v>1489</v>
      </c>
      <c r="K636">
        <v>883898</v>
      </c>
      <c r="L636">
        <v>199017</v>
      </c>
      <c r="M636">
        <v>-146662</v>
      </c>
      <c r="N636">
        <v>203135</v>
      </c>
      <c r="O636" t="s">
        <v>654</v>
      </c>
      <c r="P636" s="9">
        <v>165052</v>
      </c>
      <c r="Q636" s="9">
        <v>24482</v>
      </c>
      <c r="R636" s="9">
        <v>189534</v>
      </c>
      <c r="S636" s="9">
        <v>-63114</v>
      </c>
      <c r="T636" s="10">
        <v>61957</v>
      </c>
      <c r="U636" s="10">
        <v>1035</v>
      </c>
    </row>
    <row r="637" spans="1:21" x14ac:dyDescent="0.35">
      <c r="A637" t="s">
        <v>15</v>
      </c>
      <c r="B637" t="s">
        <v>16</v>
      </c>
      <c r="C637" t="s">
        <v>17</v>
      </c>
      <c r="D637">
        <v>202593</v>
      </c>
      <c r="E637">
        <v>18787</v>
      </c>
      <c r="F637">
        <v>37331</v>
      </c>
      <c r="G637">
        <v>-178008</v>
      </c>
      <c r="H637">
        <v>80703</v>
      </c>
      <c r="I637">
        <v>83674</v>
      </c>
      <c r="J637">
        <v>1009</v>
      </c>
      <c r="K637">
        <v>521517</v>
      </c>
      <c r="L637">
        <v>214845</v>
      </c>
      <c r="M637">
        <v>-124243</v>
      </c>
      <c r="N637">
        <v>81712</v>
      </c>
      <c r="O637" t="s">
        <v>655</v>
      </c>
      <c r="P637" s="9">
        <v>197453</v>
      </c>
      <c r="Q637" s="9">
        <v>32657</v>
      </c>
      <c r="R637" s="9">
        <v>230110</v>
      </c>
      <c r="S637" s="9">
        <v>-64707</v>
      </c>
      <c r="T637" s="10">
        <v>93350</v>
      </c>
      <c r="U637" s="10">
        <v>1568</v>
      </c>
    </row>
    <row r="638" spans="1:21" x14ac:dyDescent="0.35">
      <c r="A638" t="s">
        <v>15</v>
      </c>
      <c r="B638" t="s">
        <v>20</v>
      </c>
      <c r="C638" t="s">
        <v>21</v>
      </c>
      <c r="D638">
        <v>277473</v>
      </c>
      <c r="E638">
        <v>52649</v>
      </c>
      <c r="F638">
        <v>53056</v>
      </c>
      <c r="G638">
        <v>-272038</v>
      </c>
      <c r="H638">
        <v>111140</v>
      </c>
      <c r="I638">
        <v>113877</v>
      </c>
      <c r="J638">
        <v>3346</v>
      </c>
      <c r="K638">
        <v>1018980</v>
      </c>
      <c r="L638">
        <v>372976</v>
      </c>
      <c r="M638">
        <v>-371467</v>
      </c>
      <c r="N638">
        <v>101580</v>
      </c>
      <c r="O638" t="s">
        <v>656</v>
      </c>
      <c r="P638" s="9">
        <v>244539</v>
      </c>
      <c r="Q638" s="9">
        <v>13285</v>
      </c>
      <c r="R638" s="9">
        <v>257824</v>
      </c>
      <c r="S638" s="9">
        <v>-149905</v>
      </c>
      <c r="T638" s="10">
        <v>54100</v>
      </c>
      <c r="U638" s="10">
        <v>592</v>
      </c>
    </row>
    <row r="639" spans="1:21" x14ac:dyDescent="0.35">
      <c r="A639" t="s">
        <v>15</v>
      </c>
      <c r="B639" t="s">
        <v>20</v>
      </c>
      <c r="C639" t="s">
        <v>21</v>
      </c>
      <c r="D639">
        <v>286400</v>
      </c>
      <c r="E639">
        <v>26829</v>
      </c>
      <c r="F639">
        <v>36891</v>
      </c>
      <c r="G639">
        <v>-231953</v>
      </c>
      <c r="H639">
        <v>118167</v>
      </c>
      <c r="I639">
        <v>120243</v>
      </c>
      <c r="J639">
        <v>2078</v>
      </c>
      <c r="K639">
        <v>974459</v>
      </c>
      <c r="L639">
        <v>345224</v>
      </c>
      <c r="M639">
        <v>-123857</v>
      </c>
      <c r="N639">
        <v>96967</v>
      </c>
      <c r="O639" t="s">
        <v>657</v>
      </c>
      <c r="P639" s="9">
        <v>237870</v>
      </c>
      <c r="Q639" s="9">
        <v>19061</v>
      </c>
      <c r="R639" s="9">
        <v>256931</v>
      </c>
      <c r="S639" s="9">
        <v>-56927</v>
      </c>
      <c r="T639" s="10">
        <v>100474</v>
      </c>
      <c r="U639" s="10">
        <v>2365</v>
      </c>
    </row>
    <row r="640" spans="1:21" x14ac:dyDescent="0.35">
      <c r="A640" t="s">
        <v>15</v>
      </c>
      <c r="B640" t="s">
        <v>16</v>
      </c>
      <c r="C640" t="s">
        <v>21</v>
      </c>
      <c r="D640">
        <v>288120</v>
      </c>
      <c r="E640">
        <v>56020</v>
      </c>
      <c r="F640">
        <v>45530</v>
      </c>
      <c r="G640">
        <v>-279879</v>
      </c>
      <c r="H640">
        <v>109791</v>
      </c>
      <c r="I640">
        <v>112973</v>
      </c>
      <c r="J640">
        <v>3185</v>
      </c>
      <c r="K640">
        <v>772412</v>
      </c>
      <c r="L640">
        <v>123618</v>
      </c>
      <c r="M640">
        <v>-145270</v>
      </c>
      <c r="N640">
        <v>186491</v>
      </c>
      <c r="O640" t="s">
        <v>658</v>
      </c>
      <c r="P640" s="9">
        <v>177556</v>
      </c>
      <c r="Q640" s="9">
        <v>33061</v>
      </c>
      <c r="R640" s="9">
        <v>210617</v>
      </c>
      <c r="S640" s="9">
        <v>-70147</v>
      </c>
      <c r="T640" s="10">
        <v>61135</v>
      </c>
      <c r="U640" s="10">
        <v>1189</v>
      </c>
    </row>
    <row r="641" spans="1:21" x14ac:dyDescent="0.35">
      <c r="A641" t="s">
        <v>15</v>
      </c>
      <c r="B641" t="s">
        <v>20</v>
      </c>
      <c r="C641" t="s">
        <v>21</v>
      </c>
      <c r="D641">
        <v>253943</v>
      </c>
      <c r="E641">
        <v>39853</v>
      </c>
      <c r="F641">
        <v>47554</v>
      </c>
      <c r="G641">
        <v>-229316</v>
      </c>
      <c r="H641">
        <v>112034</v>
      </c>
      <c r="I641">
        <v>112863</v>
      </c>
      <c r="J641">
        <v>2503</v>
      </c>
      <c r="K641">
        <v>595522</v>
      </c>
      <c r="L641">
        <v>124715</v>
      </c>
      <c r="M641">
        <v>-222433</v>
      </c>
      <c r="N641">
        <v>204416</v>
      </c>
      <c r="O641" t="s">
        <v>659</v>
      </c>
      <c r="P641" s="9">
        <v>210056</v>
      </c>
      <c r="Q641" s="9">
        <v>41718</v>
      </c>
      <c r="R641" s="9">
        <v>251774</v>
      </c>
      <c r="S641" s="9">
        <v>-146536</v>
      </c>
      <c r="T641" s="10">
        <v>93329</v>
      </c>
      <c r="U641" s="10">
        <v>1320</v>
      </c>
    </row>
    <row r="642" spans="1:21" x14ac:dyDescent="0.35">
      <c r="A642" t="s">
        <v>15</v>
      </c>
      <c r="B642" t="s">
        <v>20</v>
      </c>
      <c r="C642" t="s">
        <v>21</v>
      </c>
      <c r="D642">
        <v>213815</v>
      </c>
      <c r="E642">
        <v>23936</v>
      </c>
      <c r="F642">
        <v>51717</v>
      </c>
      <c r="G642">
        <v>-180261</v>
      </c>
      <c r="H642">
        <v>109207</v>
      </c>
      <c r="I642">
        <v>111041</v>
      </c>
      <c r="J642">
        <v>1469</v>
      </c>
      <c r="K642">
        <v>664321</v>
      </c>
      <c r="L642">
        <v>132303</v>
      </c>
      <c r="M642">
        <v>-141718</v>
      </c>
      <c r="N642">
        <v>192110</v>
      </c>
      <c r="O642" t="s">
        <v>660</v>
      </c>
      <c r="P642" s="9">
        <v>235829</v>
      </c>
      <c r="Q642" s="9">
        <v>40893</v>
      </c>
      <c r="R642" s="9">
        <v>276722</v>
      </c>
      <c r="S642" s="9">
        <v>-160944</v>
      </c>
      <c r="T642" s="10">
        <v>81837</v>
      </c>
      <c r="U642" s="10">
        <v>1795</v>
      </c>
    </row>
    <row r="643" spans="1:21" x14ac:dyDescent="0.35">
      <c r="A643" t="s">
        <v>15</v>
      </c>
      <c r="B643" t="s">
        <v>16</v>
      </c>
      <c r="C643" t="s">
        <v>21</v>
      </c>
      <c r="D643">
        <v>290862</v>
      </c>
      <c r="E643">
        <v>35731</v>
      </c>
      <c r="F643">
        <v>47376</v>
      </c>
      <c r="G643">
        <v>-260568</v>
      </c>
      <c r="H643">
        <v>113401</v>
      </c>
      <c r="I643">
        <v>118211</v>
      </c>
      <c r="J643">
        <v>1913</v>
      </c>
      <c r="K643">
        <v>895454</v>
      </c>
      <c r="L643">
        <v>141387</v>
      </c>
      <c r="M643">
        <v>-328687</v>
      </c>
      <c r="N643">
        <v>256704</v>
      </c>
      <c r="O643" t="s">
        <v>661</v>
      </c>
      <c r="P643" s="9">
        <v>266035</v>
      </c>
      <c r="Q643" s="9">
        <v>16049</v>
      </c>
      <c r="R643" s="9">
        <v>282084</v>
      </c>
      <c r="S643" s="9">
        <v>-90957</v>
      </c>
      <c r="T643" s="10">
        <v>137215</v>
      </c>
      <c r="U643" s="10">
        <v>3381</v>
      </c>
    </row>
    <row r="644" spans="1:21" x14ac:dyDescent="0.35">
      <c r="A644" t="s">
        <v>15</v>
      </c>
      <c r="B644" t="s">
        <v>16</v>
      </c>
      <c r="C644" t="s">
        <v>21</v>
      </c>
      <c r="D644">
        <v>273268</v>
      </c>
      <c r="E644">
        <v>25973</v>
      </c>
      <c r="F644">
        <v>57112</v>
      </c>
      <c r="G644">
        <v>-233626</v>
      </c>
      <c r="H644">
        <v>122727</v>
      </c>
      <c r="I644">
        <v>126108</v>
      </c>
      <c r="J644">
        <v>2335</v>
      </c>
      <c r="K644">
        <v>967830</v>
      </c>
      <c r="L644">
        <v>170386</v>
      </c>
      <c r="M644">
        <v>-305570</v>
      </c>
      <c r="N644">
        <v>136372</v>
      </c>
      <c r="O644" t="s">
        <v>662</v>
      </c>
      <c r="P644" s="9">
        <v>307956</v>
      </c>
      <c r="Q644" s="9">
        <v>18672</v>
      </c>
      <c r="R644" s="9">
        <v>326628</v>
      </c>
      <c r="S644" s="9">
        <v>-136974</v>
      </c>
      <c r="T644" s="10">
        <v>72504</v>
      </c>
      <c r="U644" s="10">
        <v>1205</v>
      </c>
    </row>
    <row r="645" spans="1:21" x14ac:dyDescent="0.35">
      <c r="A645" t="s">
        <v>15</v>
      </c>
      <c r="B645" t="s">
        <v>20</v>
      </c>
      <c r="C645" t="s">
        <v>21</v>
      </c>
      <c r="D645">
        <v>227337</v>
      </c>
      <c r="E645">
        <v>33660</v>
      </c>
      <c r="F645">
        <v>47660</v>
      </c>
      <c r="G645">
        <v>-212125</v>
      </c>
      <c r="H645">
        <v>96532</v>
      </c>
      <c r="I645">
        <v>92043</v>
      </c>
      <c r="J645">
        <v>2738</v>
      </c>
      <c r="K645">
        <v>817176</v>
      </c>
      <c r="L645">
        <v>105488</v>
      </c>
      <c r="M645">
        <v>-182667</v>
      </c>
      <c r="N645">
        <v>97600</v>
      </c>
      <c r="O645" t="s">
        <v>663</v>
      </c>
      <c r="P645" s="9">
        <v>187735</v>
      </c>
      <c r="Q645" s="9">
        <v>21149</v>
      </c>
      <c r="R645" s="9">
        <v>208884</v>
      </c>
      <c r="S645" s="9">
        <v>-50170</v>
      </c>
      <c r="T645" s="10">
        <v>70504</v>
      </c>
      <c r="U645" s="10">
        <v>1862</v>
      </c>
    </row>
    <row r="646" spans="1:21" x14ac:dyDescent="0.35">
      <c r="A646" t="s">
        <v>15</v>
      </c>
      <c r="B646" t="s">
        <v>20</v>
      </c>
      <c r="C646" t="s">
        <v>21</v>
      </c>
      <c r="D646">
        <v>278280</v>
      </c>
      <c r="E646">
        <v>41472</v>
      </c>
      <c r="F646">
        <v>60681</v>
      </c>
      <c r="G646">
        <v>-261550</v>
      </c>
      <c r="H646">
        <v>118883</v>
      </c>
      <c r="I646">
        <v>120231</v>
      </c>
      <c r="J646">
        <v>2593</v>
      </c>
      <c r="K646">
        <v>746549</v>
      </c>
      <c r="L646">
        <v>217561</v>
      </c>
      <c r="M646">
        <v>-251195</v>
      </c>
      <c r="N646">
        <v>151048</v>
      </c>
      <c r="O646" t="s">
        <v>664</v>
      </c>
      <c r="P646" s="9">
        <v>173061</v>
      </c>
      <c r="Q646" s="9">
        <v>20350</v>
      </c>
      <c r="R646" s="9">
        <v>193411</v>
      </c>
      <c r="S646" s="9">
        <v>-74806</v>
      </c>
      <c r="T646" s="10">
        <v>73354</v>
      </c>
      <c r="U646" s="10">
        <v>1595</v>
      </c>
    </row>
    <row r="647" spans="1:21" x14ac:dyDescent="0.35">
      <c r="A647" t="s">
        <v>15</v>
      </c>
      <c r="B647" t="s">
        <v>20</v>
      </c>
      <c r="C647" t="s">
        <v>21</v>
      </c>
      <c r="D647">
        <v>285628</v>
      </c>
      <c r="E647">
        <v>15673</v>
      </c>
      <c r="F647">
        <v>38021</v>
      </c>
      <c r="G647">
        <v>-266042</v>
      </c>
      <c r="H647">
        <v>73280</v>
      </c>
      <c r="I647">
        <v>75478</v>
      </c>
      <c r="J647">
        <v>1746</v>
      </c>
      <c r="K647">
        <v>996860</v>
      </c>
      <c r="L647">
        <v>487414</v>
      </c>
      <c r="M647">
        <v>-277236</v>
      </c>
      <c r="N647">
        <v>129919</v>
      </c>
      <c r="O647" t="s">
        <v>665</v>
      </c>
      <c r="P647" s="9">
        <v>258314</v>
      </c>
      <c r="Q647" s="9">
        <v>12860</v>
      </c>
      <c r="R647" s="9">
        <v>271174</v>
      </c>
      <c r="S647" s="9">
        <v>-80027</v>
      </c>
      <c r="T647" s="10">
        <v>112390</v>
      </c>
      <c r="U647" s="10">
        <v>1291</v>
      </c>
    </row>
    <row r="648" spans="1:21" x14ac:dyDescent="0.35">
      <c r="A648" t="s">
        <v>15</v>
      </c>
      <c r="B648" t="s">
        <v>16</v>
      </c>
      <c r="C648" t="s">
        <v>21</v>
      </c>
      <c r="D648">
        <v>203532</v>
      </c>
      <c r="E648">
        <v>15098</v>
      </c>
      <c r="F648">
        <v>47077</v>
      </c>
      <c r="G648">
        <v>-191589</v>
      </c>
      <c r="H648">
        <v>74118</v>
      </c>
      <c r="I648">
        <v>71466</v>
      </c>
      <c r="J648">
        <v>1564</v>
      </c>
      <c r="K648">
        <v>587099</v>
      </c>
      <c r="L648">
        <v>133750</v>
      </c>
      <c r="M648">
        <v>-152126</v>
      </c>
      <c r="N648">
        <v>103614</v>
      </c>
      <c r="O648" t="s">
        <v>666</v>
      </c>
      <c r="P648" s="9">
        <v>307586</v>
      </c>
      <c r="Q648" s="9">
        <v>41218</v>
      </c>
      <c r="R648" s="9">
        <v>348804</v>
      </c>
      <c r="S648" s="9">
        <v>-140635</v>
      </c>
      <c r="T648" s="10">
        <v>117602</v>
      </c>
      <c r="U648" s="10">
        <v>2384</v>
      </c>
    </row>
    <row r="649" spans="1:21" x14ac:dyDescent="0.35">
      <c r="A649" t="s">
        <v>15</v>
      </c>
      <c r="B649" t="s">
        <v>20</v>
      </c>
      <c r="C649" t="s">
        <v>17</v>
      </c>
      <c r="D649">
        <v>200470</v>
      </c>
      <c r="E649">
        <v>11894</v>
      </c>
      <c r="F649">
        <v>41593</v>
      </c>
      <c r="G649">
        <v>-198597</v>
      </c>
      <c r="H649">
        <v>55360</v>
      </c>
      <c r="I649">
        <v>50536</v>
      </c>
      <c r="J649">
        <v>674</v>
      </c>
      <c r="K649">
        <v>413189</v>
      </c>
      <c r="L649">
        <v>162358</v>
      </c>
      <c r="M649">
        <v>-103713</v>
      </c>
      <c r="N649">
        <v>105462</v>
      </c>
      <c r="O649" t="s">
        <v>667</v>
      </c>
      <c r="P649" s="9">
        <v>181189</v>
      </c>
      <c r="Q649" s="9">
        <v>29733</v>
      </c>
      <c r="R649" s="9">
        <v>210922</v>
      </c>
      <c r="S649" s="9">
        <v>-82811</v>
      </c>
      <c r="T649" s="10">
        <v>72924</v>
      </c>
      <c r="U649" s="10">
        <v>1799</v>
      </c>
    </row>
    <row r="650" spans="1:21" x14ac:dyDescent="0.35">
      <c r="A650" t="s">
        <v>15</v>
      </c>
      <c r="B650" t="s">
        <v>20</v>
      </c>
      <c r="C650" t="s">
        <v>21</v>
      </c>
      <c r="D650">
        <v>175324</v>
      </c>
      <c r="E650">
        <v>17171</v>
      </c>
      <c r="F650">
        <v>42379</v>
      </c>
      <c r="G650">
        <v>-156741</v>
      </c>
      <c r="H650">
        <v>78133</v>
      </c>
      <c r="I650">
        <v>80127</v>
      </c>
      <c r="J650">
        <v>1980</v>
      </c>
      <c r="K650">
        <v>590042</v>
      </c>
      <c r="L650">
        <v>116887</v>
      </c>
      <c r="M650">
        <v>-66516</v>
      </c>
      <c r="N650">
        <v>84252</v>
      </c>
      <c r="O650" t="s">
        <v>668</v>
      </c>
      <c r="P650" s="9">
        <v>206264</v>
      </c>
      <c r="Q650" s="9">
        <v>29559</v>
      </c>
      <c r="R650" s="9">
        <v>235823</v>
      </c>
      <c r="S650" s="9">
        <v>-131180</v>
      </c>
      <c r="T650" s="10">
        <v>84599</v>
      </c>
      <c r="U650" s="10">
        <v>1604</v>
      </c>
    </row>
    <row r="651" spans="1:21" x14ac:dyDescent="0.35">
      <c r="A651" t="s">
        <v>15</v>
      </c>
      <c r="B651" t="s">
        <v>20</v>
      </c>
      <c r="C651" t="s">
        <v>21</v>
      </c>
      <c r="D651">
        <v>217346</v>
      </c>
      <c r="E651">
        <v>14339</v>
      </c>
      <c r="F651">
        <v>36467</v>
      </c>
      <c r="G651">
        <v>-202576</v>
      </c>
      <c r="H651">
        <v>65576</v>
      </c>
      <c r="I651">
        <v>60374</v>
      </c>
      <c r="J651">
        <v>1262</v>
      </c>
      <c r="K651">
        <v>786636</v>
      </c>
      <c r="L651">
        <v>242623</v>
      </c>
      <c r="M651">
        <v>-121533</v>
      </c>
      <c r="N651">
        <v>114706</v>
      </c>
      <c r="O651" t="s">
        <v>669</v>
      </c>
      <c r="P651" s="9">
        <v>274324</v>
      </c>
      <c r="Q651" s="9">
        <v>38728</v>
      </c>
      <c r="R651" s="9">
        <v>313052</v>
      </c>
      <c r="S651" s="9">
        <v>-95105</v>
      </c>
      <c r="T651" s="10">
        <v>81176</v>
      </c>
      <c r="U651" s="10">
        <v>2266</v>
      </c>
    </row>
    <row r="652" spans="1:21" x14ac:dyDescent="0.35">
      <c r="A652" t="s">
        <v>15</v>
      </c>
      <c r="B652" t="s">
        <v>20</v>
      </c>
      <c r="C652" t="s">
        <v>17</v>
      </c>
      <c r="D652">
        <v>259846</v>
      </c>
      <c r="E652">
        <v>14998</v>
      </c>
      <c r="F652">
        <v>46186</v>
      </c>
      <c r="G652">
        <v>-233101</v>
      </c>
      <c r="H652">
        <v>87929</v>
      </c>
      <c r="I652">
        <v>89218</v>
      </c>
      <c r="J652">
        <v>2437</v>
      </c>
      <c r="K652">
        <v>720076</v>
      </c>
      <c r="L652">
        <v>318555</v>
      </c>
      <c r="M652">
        <v>-83809</v>
      </c>
      <c r="N652">
        <v>201171</v>
      </c>
      <c r="O652" t="s">
        <v>670</v>
      </c>
      <c r="P652" s="9">
        <v>213037</v>
      </c>
      <c r="Q652" s="9">
        <v>10277</v>
      </c>
      <c r="R652" s="9">
        <v>223314</v>
      </c>
      <c r="S652" s="9">
        <v>-93738</v>
      </c>
      <c r="T652" s="10">
        <v>75571</v>
      </c>
      <c r="U652" s="10">
        <v>881</v>
      </c>
    </row>
    <row r="653" spans="1:21" x14ac:dyDescent="0.35">
      <c r="A653" t="s">
        <v>15</v>
      </c>
      <c r="B653" t="s">
        <v>20</v>
      </c>
      <c r="C653" t="s">
        <v>17</v>
      </c>
      <c r="D653">
        <v>178828</v>
      </c>
      <c r="E653">
        <v>10955</v>
      </c>
      <c r="F653">
        <v>24069</v>
      </c>
      <c r="G653">
        <v>-164845</v>
      </c>
      <c r="H653">
        <v>49007</v>
      </c>
      <c r="I653">
        <v>48845</v>
      </c>
      <c r="J653">
        <v>1117</v>
      </c>
      <c r="K653">
        <v>399782</v>
      </c>
      <c r="L653">
        <v>178809</v>
      </c>
      <c r="M653">
        <v>-93388</v>
      </c>
      <c r="N653">
        <v>117403</v>
      </c>
      <c r="O653" t="s">
        <v>671</v>
      </c>
      <c r="P653" s="9">
        <v>151906</v>
      </c>
      <c r="Q653" s="9">
        <v>26761</v>
      </c>
      <c r="R653" s="9">
        <v>178667</v>
      </c>
      <c r="S653" s="9">
        <v>-98844</v>
      </c>
      <c r="T653" s="10">
        <v>62460</v>
      </c>
      <c r="U653" s="10">
        <v>628</v>
      </c>
    </row>
    <row r="654" spans="1:21" x14ac:dyDescent="0.35">
      <c r="A654" t="s">
        <v>15</v>
      </c>
      <c r="B654" t="s">
        <v>16</v>
      </c>
      <c r="C654" t="s">
        <v>21</v>
      </c>
      <c r="D654">
        <v>150776</v>
      </c>
      <c r="E654">
        <v>12174</v>
      </c>
      <c r="F654">
        <v>21501</v>
      </c>
      <c r="G654">
        <v>-139251</v>
      </c>
      <c r="H654">
        <v>45200</v>
      </c>
      <c r="I654">
        <v>40755</v>
      </c>
      <c r="J654">
        <v>532</v>
      </c>
      <c r="K654">
        <v>393129</v>
      </c>
      <c r="L654">
        <v>171205</v>
      </c>
      <c r="M654">
        <v>-140805</v>
      </c>
      <c r="N654">
        <v>117621</v>
      </c>
      <c r="O654" t="s">
        <v>672</v>
      </c>
      <c r="P654" s="9">
        <v>230534</v>
      </c>
      <c r="Q654" s="9">
        <v>28788</v>
      </c>
      <c r="R654" s="9">
        <v>259322</v>
      </c>
      <c r="S654" s="9">
        <v>-155502</v>
      </c>
      <c r="T654" s="10">
        <v>110315</v>
      </c>
      <c r="U654" s="10">
        <v>3209</v>
      </c>
    </row>
    <row r="655" spans="1:21" x14ac:dyDescent="0.35">
      <c r="A655" t="s">
        <v>15</v>
      </c>
      <c r="B655" t="s">
        <v>16</v>
      </c>
      <c r="C655" t="s">
        <v>21</v>
      </c>
      <c r="D655">
        <v>200657</v>
      </c>
      <c r="E655">
        <v>15746</v>
      </c>
      <c r="F655">
        <v>38718</v>
      </c>
      <c r="G655">
        <v>-187581</v>
      </c>
      <c r="H655">
        <v>67540</v>
      </c>
      <c r="I655">
        <v>61124</v>
      </c>
      <c r="J655">
        <v>1731</v>
      </c>
      <c r="K655">
        <v>457433</v>
      </c>
      <c r="L655">
        <v>105745</v>
      </c>
      <c r="M655">
        <v>-96972</v>
      </c>
      <c r="N655">
        <v>107984</v>
      </c>
      <c r="O655" t="s">
        <v>673</v>
      </c>
      <c r="P655" s="9">
        <v>182788</v>
      </c>
      <c r="Q655" s="9">
        <v>20717</v>
      </c>
      <c r="R655" s="9">
        <v>203505</v>
      </c>
      <c r="S655" s="9">
        <v>-103167</v>
      </c>
      <c r="T655" s="10">
        <v>65368</v>
      </c>
      <c r="U655" s="10">
        <v>1223</v>
      </c>
    </row>
    <row r="656" spans="1:21" x14ac:dyDescent="0.35">
      <c r="A656" t="s">
        <v>15</v>
      </c>
      <c r="B656" t="s">
        <v>16</v>
      </c>
      <c r="C656" t="s">
        <v>17</v>
      </c>
      <c r="D656">
        <v>292681</v>
      </c>
      <c r="E656">
        <v>45331</v>
      </c>
      <c r="F656">
        <v>70711</v>
      </c>
      <c r="G656">
        <v>-238996</v>
      </c>
      <c r="H656">
        <v>169727</v>
      </c>
      <c r="I656">
        <v>156812</v>
      </c>
      <c r="J656">
        <v>1971</v>
      </c>
      <c r="K656">
        <v>621958</v>
      </c>
      <c r="L656">
        <v>121631</v>
      </c>
      <c r="M656">
        <v>-152629</v>
      </c>
      <c r="N656">
        <v>259043</v>
      </c>
      <c r="O656" t="s">
        <v>674</v>
      </c>
      <c r="P656" s="9">
        <v>253686</v>
      </c>
      <c r="Q656" s="9">
        <v>24910</v>
      </c>
      <c r="R656" s="9">
        <v>278596</v>
      </c>
      <c r="S656" s="9">
        <v>-113585</v>
      </c>
      <c r="T656" s="10">
        <v>98360</v>
      </c>
      <c r="U656" s="10">
        <v>2280</v>
      </c>
    </row>
    <row r="657" spans="1:21" x14ac:dyDescent="0.35">
      <c r="A657" t="s">
        <v>15</v>
      </c>
      <c r="B657" t="s">
        <v>20</v>
      </c>
      <c r="C657" t="s">
        <v>17</v>
      </c>
      <c r="D657">
        <v>233061</v>
      </c>
      <c r="E657">
        <v>24683</v>
      </c>
      <c r="F657">
        <v>44125</v>
      </c>
      <c r="G657">
        <v>-219188</v>
      </c>
      <c r="H657">
        <v>82681</v>
      </c>
      <c r="I657">
        <v>81996</v>
      </c>
      <c r="J657">
        <v>1670</v>
      </c>
      <c r="K657">
        <v>915576</v>
      </c>
      <c r="L657">
        <v>195240</v>
      </c>
      <c r="M657">
        <v>-197974</v>
      </c>
      <c r="N657">
        <v>135443</v>
      </c>
      <c r="O657" t="s">
        <v>675</v>
      </c>
      <c r="P657" s="9">
        <v>277314</v>
      </c>
      <c r="Q657" s="9">
        <v>28718</v>
      </c>
      <c r="R657" s="9">
        <v>306032</v>
      </c>
      <c r="S657" s="9">
        <v>-167292</v>
      </c>
      <c r="T657" s="10">
        <v>101003</v>
      </c>
      <c r="U657" s="10">
        <v>2189</v>
      </c>
    </row>
    <row r="658" spans="1:21" x14ac:dyDescent="0.35">
      <c r="A658" t="s">
        <v>15</v>
      </c>
      <c r="B658" t="s">
        <v>16</v>
      </c>
      <c r="C658" t="s">
        <v>17</v>
      </c>
      <c r="D658">
        <v>157714</v>
      </c>
      <c r="E658">
        <v>11532</v>
      </c>
      <c r="F658">
        <v>20110</v>
      </c>
      <c r="G658">
        <v>-151214</v>
      </c>
      <c r="H658">
        <v>38142</v>
      </c>
      <c r="I658">
        <v>34758</v>
      </c>
      <c r="J658">
        <v>398</v>
      </c>
      <c r="K658">
        <v>442409</v>
      </c>
      <c r="L658">
        <v>47618</v>
      </c>
      <c r="M658">
        <v>-151879</v>
      </c>
      <c r="N658">
        <v>134986</v>
      </c>
      <c r="O658" t="s">
        <v>676</v>
      </c>
      <c r="P658" s="9">
        <v>254920</v>
      </c>
      <c r="Q658" s="9">
        <v>29655</v>
      </c>
      <c r="R658" s="9">
        <v>284575</v>
      </c>
      <c r="S658" s="9">
        <v>-138546</v>
      </c>
      <c r="T658" s="10">
        <v>124176</v>
      </c>
      <c r="U658" s="10">
        <v>3586</v>
      </c>
    </row>
    <row r="659" spans="1:21" x14ac:dyDescent="0.35">
      <c r="A659" t="s">
        <v>15</v>
      </c>
      <c r="B659" t="s">
        <v>16</v>
      </c>
      <c r="C659" t="s">
        <v>21</v>
      </c>
      <c r="D659">
        <v>214126</v>
      </c>
      <c r="E659">
        <v>17970</v>
      </c>
      <c r="F659">
        <v>23077</v>
      </c>
      <c r="G659">
        <v>-182276</v>
      </c>
      <c r="H659">
        <v>72897</v>
      </c>
      <c r="I659">
        <v>76327</v>
      </c>
      <c r="J659">
        <v>1745</v>
      </c>
      <c r="K659">
        <v>556668</v>
      </c>
      <c r="L659">
        <v>195734</v>
      </c>
      <c r="M659">
        <v>-101971</v>
      </c>
      <c r="N659">
        <v>73292</v>
      </c>
      <c r="O659" t="s">
        <v>677</v>
      </c>
      <c r="P659" s="9">
        <v>258510</v>
      </c>
      <c r="Q659" s="9">
        <v>36404</v>
      </c>
      <c r="R659" s="9">
        <v>294914</v>
      </c>
      <c r="S659" s="9">
        <v>-122388</v>
      </c>
      <c r="T659" s="10">
        <v>116719</v>
      </c>
      <c r="U659" s="10">
        <v>2486</v>
      </c>
    </row>
    <row r="660" spans="1:21" x14ac:dyDescent="0.35">
      <c r="A660" t="s">
        <v>15</v>
      </c>
      <c r="B660" t="s">
        <v>16</v>
      </c>
      <c r="C660" t="s">
        <v>17</v>
      </c>
      <c r="D660">
        <v>254212</v>
      </c>
      <c r="E660">
        <v>13415</v>
      </c>
      <c r="F660">
        <v>41552</v>
      </c>
      <c r="G660">
        <v>-225610</v>
      </c>
      <c r="H660">
        <v>83569</v>
      </c>
      <c r="I660">
        <v>80659</v>
      </c>
      <c r="J660">
        <v>2335</v>
      </c>
      <c r="K660">
        <v>583723</v>
      </c>
      <c r="L660">
        <v>224926</v>
      </c>
      <c r="M660">
        <v>-116117</v>
      </c>
      <c r="N660">
        <v>166056</v>
      </c>
      <c r="O660" t="s">
        <v>678</v>
      </c>
      <c r="P660" s="9">
        <v>286684</v>
      </c>
      <c r="Q660" s="9">
        <v>15429</v>
      </c>
      <c r="R660" s="9">
        <v>302113</v>
      </c>
      <c r="S660" s="9">
        <v>-110515</v>
      </c>
      <c r="T660" s="10">
        <v>90647</v>
      </c>
      <c r="U660" s="10">
        <v>1197</v>
      </c>
    </row>
    <row r="661" spans="1:21" x14ac:dyDescent="0.35">
      <c r="A661" t="s">
        <v>15</v>
      </c>
      <c r="B661" t="s">
        <v>16</v>
      </c>
      <c r="C661" t="s">
        <v>17</v>
      </c>
      <c r="D661">
        <v>240450</v>
      </c>
      <c r="E661">
        <v>21365</v>
      </c>
      <c r="F661">
        <v>39723</v>
      </c>
      <c r="G661">
        <v>-239856</v>
      </c>
      <c r="H661">
        <v>61682</v>
      </c>
      <c r="I661">
        <v>60749</v>
      </c>
      <c r="J661">
        <v>1619</v>
      </c>
      <c r="K661">
        <v>922034</v>
      </c>
      <c r="L661">
        <v>149533</v>
      </c>
      <c r="M661">
        <v>-97331</v>
      </c>
      <c r="N661">
        <v>143863</v>
      </c>
      <c r="O661" t="s">
        <v>679</v>
      </c>
      <c r="P661" s="9">
        <v>164726</v>
      </c>
      <c r="Q661" s="9">
        <v>33564</v>
      </c>
      <c r="R661" s="9">
        <v>198290</v>
      </c>
      <c r="S661" s="9">
        <v>-41601</v>
      </c>
      <c r="T661" s="10">
        <v>50831</v>
      </c>
      <c r="U661" s="10">
        <v>1158</v>
      </c>
    </row>
    <row r="662" spans="1:21" x14ac:dyDescent="0.35">
      <c r="A662" t="s">
        <v>15</v>
      </c>
      <c r="B662" t="s">
        <v>20</v>
      </c>
      <c r="C662" t="s">
        <v>21</v>
      </c>
      <c r="D662">
        <v>214497</v>
      </c>
      <c r="E662">
        <v>23122</v>
      </c>
      <c r="F662">
        <v>26249</v>
      </c>
      <c r="G662">
        <v>-213485</v>
      </c>
      <c r="H662">
        <v>50383</v>
      </c>
      <c r="I662">
        <v>51773</v>
      </c>
      <c r="J662">
        <v>1354</v>
      </c>
      <c r="K662">
        <v>617292</v>
      </c>
      <c r="L662">
        <v>142384</v>
      </c>
      <c r="M662">
        <v>-160891</v>
      </c>
      <c r="N662">
        <v>73758</v>
      </c>
      <c r="O662" t="s">
        <v>680</v>
      </c>
      <c r="P662" s="9">
        <v>187003</v>
      </c>
      <c r="Q662" s="9">
        <v>18143</v>
      </c>
      <c r="R662" s="9">
        <v>205146</v>
      </c>
      <c r="S662" s="9">
        <v>-66375</v>
      </c>
      <c r="T662" s="10">
        <v>76201</v>
      </c>
      <c r="U662" s="10">
        <v>1434</v>
      </c>
    </row>
    <row r="663" spans="1:21" x14ac:dyDescent="0.35">
      <c r="A663" t="s">
        <v>15</v>
      </c>
      <c r="B663" t="s">
        <v>16</v>
      </c>
      <c r="C663" t="s">
        <v>17</v>
      </c>
      <c r="D663">
        <v>284124</v>
      </c>
      <c r="E663">
        <v>19840</v>
      </c>
      <c r="F663">
        <v>59438</v>
      </c>
      <c r="G663">
        <v>-249231</v>
      </c>
      <c r="H663">
        <v>114171</v>
      </c>
      <c r="I663">
        <v>106565</v>
      </c>
      <c r="J663">
        <v>2268</v>
      </c>
      <c r="K663">
        <v>766463</v>
      </c>
      <c r="L663">
        <v>322693</v>
      </c>
      <c r="M663">
        <v>-285758</v>
      </c>
      <c r="N663">
        <v>218604</v>
      </c>
      <c r="O663" t="s">
        <v>681</v>
      </c>
      <c r="P663" s="9">
        <v>203280</v>
      </c>
      <c r="Q663" s="9">
        <v>25340</v>
      </c>
      <c r="R663" s="9">
        <v>228620</v>
      </c>
      <c r="S663" s="9">
        <v>-99489</v>
      </c>
      <c r="T663" s="10">
        <v>105862</v>
      </c>
      <c r="U663" s="10">
        <v>2801</v>
      </c>
    </row>
    <row r="664" spans="1:21" x14ac:dyDescent="0.35">
      <c r="A664" t="s">
        <v>15</v>
      </c>
      <c r="B664" t="s">
        <v>20</v>
      </c>
      <c r="C664" t="s">
        <v>17</v>
      </c>
      <c r="D664">
        <v>184896</v>
      </c>
      <c r="E664">
        <v>24278</v>
      </c>
      <c r="F664">
        <v>20278</v>
      </c>
      <c r="G664">
        <v>-182513</v>
      </c>
      <c r="H664">
        <v>46939</v>
      </c>
      <c r="I664">
        <v>48556</v>
      </c>
      <c r="J664">
        <v>1121</v>
      </c>
      <c r="K664">
        <v>735470</v>
      </c>
      <c r="L664">
        <v>284168</v>
      </c>
      <c r="M664">
        <v>-206669</v>
      </c>
      <c r="N664">
        <v>81188</v>
      </c>
      <c r="O664" t="s">
        <v>682</v>
      </c>
      <c r="P664" s="9">
        <v>272426</v>
      </c>
      <c r="Q664" s="9">
        <v>60920</v>
      </c>
      <c r="R664" s="9">
        <v>333346</v>
      </c>
      <c r="S664" s="9">
        <v>-136070</v>
      </c>
      <c r="T664" s="10">
        <v>96169</v>
      </c>
      <c r="U664" s="10">
        <v>1245</v>
      </c>
    </row>
    <row r="665" spans="1:21" x14ac:dyDescent="0.35">
      <c r="A665" t="s">
        <v>15</v>
      </c>
      <c r="B665" t="s">
        <v>16</v>
      </c>
      <c r="C665" t="s">
        <v>21</v>
      </c>
      <c r="D665">
        <v>168710</v>
      </c>
      <c r="E665">
        <v>28292</v>
      </c>
      <c r="F665">
        <v>36345</v>
      </c>
      <c r="G665">
        <v>-135990</v>
      </c>
      <c r="H665">
        <v>97357</v>
      </c>
      <c r="I665">
        <v>92957</v>
      </c>
      <c r="J665">
        <v>1114</v>
      </c>
      <c r="K665">
        <v>411353</v>
      </c>
      <c r="L665">
        <v>56412</v>
      </c>
      <c r="M665">
        <v>-139293</v>
      </c>
      <c r="N665">
        <v>76967</v>
      </c>
      <c r="O665" t="s">
        <v>683</v>
      </c>
      <c r="P665" s="9">
        <v>278163</v>
      </c>
      <c r="Q665" s="9">
        <v>14593</v>
      </c>
      <c r="R665" s="9">
        <v>292756</v>
      </c>
      <c r="S665" s="9">
        <v>-66723</v>
      </c>
      <c r="T665" s="10">
        <v>75774</v>
      </c>
      <c r="U665" s="10">
        <v>979</v>
      </c>
    </row>
    <row r="666" spans="1:21" x14ac:dyDescent="0.35">
      <c r="A666" t="s">
        <v>15</v>
      </c>
      <c r="B666" t="s">
        <v>16</v>
      </c>
      <c r="C666" t="s">
        <v>21</v>
      </c>
      <c r="D666">
        <v>266967</v>
      </c>
      <c r="E666">
        <v>51450</v>
      </c>
      <c r="F666">
        <v>52163</v>
      </c>
      <c r="G666">
        <v>-262669</v>
      </c>
      <c r="H666">
        <v>107911</v>
      </c>
      <c r="I666">
        <v>105540</v>
      </c>
      <c r="J666">
        <v>1881</v>
      </c>
      <c r="K666">
        <v>692210</v>
      </c>
      <c r="L666">
        <v>180066</v>
      </c>
      <c r="M666">
        <v>-149966</v>
      </c>
      <c r="N666">
        <v>196597</v>
      </c>
      <c r="O666" t="s">
        <v>684</v>
      </c>
      <c r="P666" s="9">
        <v>218531</v>
      </c>
      <c r="Q666" s="9">
        <v>26103</v>
      </c>
      <c r="R666" s="9">
        <v>244634</v>
      </c>
      <c r="S666" s="9">
        <v>-119428</v>
      </c>
      <c r="T666" s="10">
        <v>52815</v>
      </c>
      <c r="U666" s="10">
        <v>1211</v>
      </c>
    </row>
    <row r="667" spans="1:21" x14ac:dyDescent="0.35">
      <c r="A667" t="s">
        <v>15</v>
      </c>
      <c r="B667" t="s">
        <v>20</v>
      </c>
      <c r="C667" t="s">
        <v>21</v>
      </c>
      <c r="D667">
        <v>211697</v>
      </c>
      <c r="E667">
        <v>12402</v>
      </c>
      <c r="F667">
        <v>49621</v>
      </c>
      <c r="G667">
        <v>-178237</v>
      </c>
      <c r="H667">
        <v>95483</v>
      </c>
      <c r="I667">
        <v>87898</v>
      </c>
      <c r="J667">
        <v>1556</v>
      </c>
      <c r="K667">
        <v>757411</v>
      </c>
      <c r="L667">
        <v>93409</v>
      </c>
      <c r="M667">
        <v>-279048</v>
      </c>
      <c r="N667">
        <v>127794</v>
      </c>
      <c r="O667" t="s">
        <v>685</v>
      </c>
      <c r="P667" s="9">
        <v>203842</v>
      </c>
      <c r="Q667" s="9">
        <v>27204</v>
      </c>
      <c r="R667" s="9">
        <v>231046</v>
      </c>
      <c r="S667" s="9">
        <v>-67268</v>
      </c>
      <c r="T667" s="10">
        <v>94294</v>
      </c>
      <c r="U667" s="10">
        <v>1161</v>
      </c>
    </row>
    <row r="668" spans="1:21" x14ac:dyDescent="0.35">
      <c r="A668" t="s">
        <v>15</v>
      </c>
      <c r="B668" t="s">
        <v>16</v>
      </c>
      <c r="C668" t="s">
        <v>21</v>
      </c>
      <c r="D668">
        <v>173517</v>
      </c>
      <c r="E668">
        <v>11244</v>
      </c>
      <c r="F668">
        <v>41082</v>
      </c>
      <c r="G668">
        <v>-166365</v>
      </c>
      <c r="H668">
        <v>59478</v>
      </c>
      <c r="I668">
        <v>58698</v>
      </c>
      <c r="J668">
        <v>920</v>
      </c>
      <c r="K668">
        <v>551374</v>
      </c>
      <c r="L668">
        <v>161820</v>
      </c>
      <c r="M668">
        <v>-165573</v>
      </c>
      <c r="N668">
        <v>105549</v>
      </c>
      <c r="O668" t="s">
        <v>686</v>
      </c>
      <c r="P668" s="9">
        <v>275531</v>
      </c>
      <c r="Q668" s="9">
        <v>20591</v>
      </c>
      <c r="R668" s="9">
        <v>296122</v>
      </c>
      <c r="S668" s="9">
        <v>-97742</v>
      </c>
      <c r="T668" s="10">
        <v>99769</v>
      </c>
      <c r="U668" s="10">
        <v>2399</v>
      </c>
    </row>
    <row r="669" spans="1:21" x14ac:dyDescent="0.35">
      <c r="A669" t="s">
        <v>15</v>
      </c>
      <c r="B669" t="s">
        <v>20</v>
      </c>
      <c r="C669" t="s">
        <v>17</v>
      </c>
      <c r="D669">
        <v>265758</v>
      </c>
      <c r="E669">
        <v>49955</v>
      </c>
      <c r="F669">
        <v>56498</v>
      </c>
      <c r="G669">
        <v>-233739</v>
      </c>
      <c r="H669">
        <v>138472</v>
      </c>
      <c r="I669">
        <v>126179</v>
      </c>
      <c r="J669">
        <v>3558</v>
      </c>
      <c r="K669">
        <v>649102</v>
      </c>
      <c r="L669">
        <v>88565</v>
      </c>
      <c r="M669">
        <v>-251052</v>
      </c>
      <c r="N669">
        <v>89077</v>
      </c>
      <c r="O669" t="s">
        <v>687</v>
      </c>
      <c r="P669" s="9">
        <v>199214</v>
      </c>
      <c r="Q669" s="9">
        <v>15185</v>
      </c>
      <c r="R669" s="9">
        <v>214399</v>
      </c>
      <c r="S669" s="9">
        <v>-60834</v>
      </c>
      <c r="T669" s="10">
        <v>46434</v>
      </c>
      <c r="U669" s="10">
        <v>513</v>
      </c>
    </row>
    <row r="670" spans="1:21" x14ac:dyDescent="0.35">
      <c r="A670" t="s">
        <v>15</v>
      </c>
      <c r="B670" t="s">
        <v>20</v>
      </c>
      <c r="C670" t="s">
        <v>21</v>
      </c>
      <c r="D670">
        <v>171203</v>
      </c>
      <c r="E670">
        <v>26768</v>
      </c>
      <c r="F670">
        <v>21398</v>
      </c>
      <c r="G670">
        <v>-167734</v>
      </c>
      <c r="H670">
        <v>51635</v>
      </c>
      <c r="I670">
        <v>53596</v>
      </c>
      <c r="J670">
        <v>1031</v>
      </c>
      <c r="K670">
        <v>392322</v>
      </c>
      <c r="L670">
        <v>109736</v>
      </c>
      <c r="M670">
        <v>-97373</v>
      </c>
      <c r="N670">
        <v>101770</v>
      </c>
      <c r="O670" t="s">
        <v>688</v>
      </c>
      <c r="P670" s="9">
        <v>174973</v>
      </c>
      <c r="Q670" s="9">
        <v>16945</v>
      </c>
      <c r="R670" s="9">
        <v>191918</v>
      </c>
      <c r="S670" s="9">
        <v>-98912</v>
      </c>
      <c r="T670" s="10">
        <v>40564</v>
      </c>
      <c r="U670" s="10">
        <v>1208</v>
      </c>
    </row>
    <row r="671" spans="1:21" x14ac:dyDescent="0.35">
      <c r="A671" t="s">
        <v>15</v>
      </c>
      <c r="B671" t="s">
        <v>20</v>
      </c>
      <c r="C671" t="s">
        <v>17</v>
      </c>
      <c r="D671">
        <v>156195</v>
      </c>
      <c r="E671">
        <v>26781</v>
      </c>
      <c r="F671">
        <v>23027</v>
      </c>
      <c r="G671">
        <v>-153946</v>
      </c>
      <c r="H671">
        <v>52057</v>
      </c>
      <c r="I671">
        <v>53737</v>
      </c>
      <c r="J671">
        <v>918</v>
      </c>
      <c r="K671">
        <v>352651</v>
      </c>
      <c r="L671">
        <v>59064</v>
      </c>
      <c r="M671">
        <v>-137092</v>
      </c>
      <c r="N671">
        <v>136459</v>
      </c>
      <c r="O671" t="s">
        <v>689</v>
      </c>
      <c r="P671" s="9">
        <v>241782</v>
      </c>
      <c r="Q671" s="9">
        <v>45843</v>
      </c>
      <c r="R671" s="9">
        <v>287625</v>
      </c>
      <c r="S671" s="9">
        <v>-64496</v>
      </c>
      <c r="T671" s="10">
        <v>110067</v>
      </c>
      <c r="U671" s="10">
        <v>1713</v>
      </c>
    </row>
    <row r="672" spans="1:21" x14ac:dyDescent="0.35">
      <c r="A672" t="s">
        <v>15</v>
      </c>
      <c r="B672" t="s">
        <v>20</v>
      </c>
      <c r="C672" t="s">
        <v>21</v>
      </c>
      <c r="D672">
        <v>228672</v>
      </c>
      <c r="E672">
        <v>23344</v>
      </c>
      <c r="F672">
        <v>35195</v>
      </c>
      <c r="G672">
        <v>-189268</v>
      </c>
      <c r="H672">
        <v>97943</v>
      </c>
      <c r="I672">
        <v>102340</v>
      </c>
      <c r="J672">
        <v>1783</v>
      </c>
      <c r="K672">
        <v>579236</v>
      </c>
      <c r="L672">
        <v>165526</v>
      </c>
      <c r="M672">
        <v>-198260</v>
      </c>
      <c r="N672">
        <v>139608</v>
      </c>
      <c r="O672" t="s">
        <v>690</v>
      </c>
      <c r="P672" s="9">
        <v>157922</v>
      </c>
      <c r="Q672" s="9">
        <v>14831</v>
      </c>
      <c r="R672" s="9">
        <v>172753</v>
      </c>
      <c r="S672" s="9">
        <v>-36470</v>
      </c>
      <c r="T672" s="10">
        <v>84675</v>
      </c>
      <c r="U672" s="10">
        <v>1148</v>
      </c>
    </row>
    <row r="673" spans="1:21" x14ac:dyDescent="0.35">
      <c r="A673" t="s">
        <v>15</v>
      </c>
      <c r="B673" t="s">
        <v>16</v>
      </c>
      <c r="C673" t="s">
        <v>17</v>
      </c>
      <c r="D673">
        <v>236138</v>
      </c>
      <c r="E673">
        <v>34169</v>
      </c>
      <c r="F673">
        <v>43418</v>
      </c>
      <c r="G673">
        <v>-221813</v>
      </c>
      <c r="H673">
        <v>91912</v>
      </c>
      <c r="I673">
        <v>89698</v>
      </c>
      <c r="J673">
        <v>1636</v>
      </c>
      <c r="K673">
        <v>525877</v>
      </c>
      <c r="L673">
        <v>120757</v>
      </c>
      <c r="M673">
        <v>-187548</v>
      </c>
      <c r="N673">
        <v>104209</v>
      </c>
      <c r="O673" t="s">
        <v>691</v>
      </c>
      <c r="P673" s="9">
        <v>167014</v>
      </c>
      <c r="Q673" s="9">
        <v>23541</v>
      </c>
      <c r="R673" s="9">
        <v>190555</v>
      </c>
      <c r="S673" s="9">
        <v>-113976</v>
      </c>
      <c r="T673" s="10">
        <v>70369</v>
      </c>
      <c r="U673" s="10">
        <v>990</v>
      </c>
    </row>
    <row r="674" spans="1:21" x14ac:dyDescent="0.35">
      <c r="A674" t="s">
        <v>15</v>
      </c>
      <c r="B674" t="s">
        <v>16</v>
      </c>
      <c r="C674" t="s">
        <v>21</v>
      </c>
      <c r="D674">
        <v>292269</v>
      </c>
      <c r="E674">
        <v>31626</v>
      </c>
      <c r="F674">
        <v>57298</v>
      </c>
      <c r="G674">
        <v>-241572</v>
      </c>
      <c r="H674">
        <v>139621</v>
      </c>
      <c r="I674">
        <v>127827</v>
      </c>
      <c r="J674">
        <v>1846</v>
      </c>
      <c r="K674">
        <v>876548</v>
      </c>
      <c r="L674">
        <v>238027</v>
      </c>
      <c r="M674">
        <v>-183816</v>
      </c>
      <c r="N674">
        <v>115554</v>
      </c>
      <c r="O674" t="s">
        <v>692</v>
      </c>
      <c r="P674" s="9">
        <v>258076</v>
      </c>
      <c r="Q674" s="9">
        <v>41078</v>
      </c>
      <c r="R674" s="9">
        <v>299154</v>
      </c>
      <c r="S674" s="9">
        <v>-173661</v>
      </c>
      <c r="T674" s="10">
        <v>86488</v>
      </c>
      <c r="U674" s="10">
        <v>1312</v>
      </c>
    </row>
    <row r="675" spans="1:21" x14ac:dyDescent="0.35">
      <c r="A675" t="s">
        <v>15</v>
      </c>
      <c r="B675" t="s">
        <v>16</v>
      </c>
      <c r="C675" t="s">
        <v>21</v>
      </c>
      <c r="D675">
        <v>243318</v>
      </c>
      <c r="E675">
        <v>19357</v>
      </c>
      <c r="F675">
        <v>34365</v>
      </c>
      <c r="G675">
        <v>-204803</v>
      </c>
      <c r="H675">
        <v>92237</v>
      </c>
      <c r="I675">
        <v>90720</v>
      </c>
      <c r="J675">
        <v>2028</v>
      </c>
      <c r="K675">
        <v>661925</v>
      </c>
      <c r="L675">
        <v>141019</v>
      </c>
      <c r="M675">
        <v>-173350</v>
      </c>
      <c r="N675">
        <v>107932</v>
      </c>
      <c r="O675" t="s">
        <v>693</v>
      </c>
      <c r="P675" s="9">
        <v>176361</v>
      </c>
      <c r="Q675" s="9">
        <v>9923</v>
      </c>
      <c r="R675" s="9">
        <v>186284</v>
      </c>
      <c r="S675" s="9">
        <v>-43595</v>
      </c>
      <c r="T675" s="10">
        <v>41775</v>
      </c>
      <c r="U675" s="10">
        <v>769</v>
      </c>
    </row>
    <row r="676" spans="1:21" x14ac:dyDescent="0.35">
      <c r="A676" t="s">
        <v>15</v>
      </c>
      <c r="B676" t="s">
        <v>20</v>
      </c>
      <c r="C676" t="s">
        <v>21</v>
      </c>
      <c r="D676">
        <v>246575</v>
      </c>
      <c r="E676">
        <v>25692</v>
      </c>
      <c r="F676">
        <v>43966</v>
      </c>
      <c r="G676">
        <v>-214328</v>
      </c>
      <c r="H676">
        <v>101905</v>
      </c>
      <c r="I676">
        <v>99605</v>
      </c>
      <c r="J676">
        <v>1487</v>
      </c>
      <c r="K676">
        <v>806395</v>
      </c>
      <c r="L676">
        <v>129342</v>
      </c>
      <c r="M676">
        <v>-188137</v>
      </c>
      <c r="N676">
        <v>116768</v>
      </c>
      <c r="O676" t="s">
        <v>694</v>
      </c>
      <c r="P676" s="9">
        <v>176343</v>
      </c>
      <c r="Q676" s="9">
        <v>26781</v>
      </c>
      <c r="R676" s="9">
        <v>203124</v>
      </c>
      <c r="S676" s="9">
        <v>-74257</v>
      </c>
      <c r="T676" s="10">
        <v>71305</v>
      </c>
      <c r="U676" s="10">
        <v>1377</v>
      </c>
    </row>
    <row r="677" spans="1:21" x14ac:dyDescent="0.35">
      <c r="A677" t="s">
        <v>15</v>
      </c>
      <c r="B677" t="s">
        <v>16</v>
      </c>
      <c r="C677" t="s">
        <v>17</v>
      </c>
      <c r="D677">
        <v>275831</v>
      </c>
      <c r="E677">
        <v>17410</v>
      </c>
      <c r="F677">
        <v>44655</v>
      </c>
      <c r="G677">
        <v>-256137</v>
      </c>
      <c r="H677">
        <v>81759</v>
      </c>
      <c r="I677">
        <v>75408</v>
      </c>
      <c r="J677">
        <v>1508</v>
      </c>
      <c r="K677">
        <v>943144</v>
      </c>
      <c r="L677">
        <v>141931</v>
      </c>
      <c r="M677">
        <v>-266422</v>
      </c>
      <c r="N677">
        <v>125022</v>
      </c>
      <c r="O677" t="s">
        <v>695</v>
      </c>
      <c r="P677" s="9">
        <v>206945</v>
      </c>
      <c r="Q677" s="9">
        <v>19691</v>
      </c>
      <c r="R677" s="9">
        <v>226636</v>
      </c>
      <c r="S677" s="9">
        <v>-50507</v>
      </c>
      <c r="T677" s="10">
        <v>56218</v>
      </c>
      <c r="U677" s="10">
        <v>1660</v>
      </c>
    </row>
    <row r="678" spans="1:21" x14ac:dyDescent="0.35">
      <c r="A678" t="s">
        <v>15</v>
      </c>
      <c r="B678" t="s">
        <v>16</v>
      </c>
      <c r="C678" t="s">
        <v>21</v>
      </c>
      <c r="D678">
        <v>190391</v>
      </c>
      <c r="E678">
        <v>27671</v>
      </c>
      <c r="F678">
        <v>25385</v>
      </c>
      <c r="G678">
        <v>-166345</v>
      </c>
      <c r="H678">
        <v>77102</v>
      </c>
      <c r="I678">
        <v>76496</v>
      </c>
      <c r="J678">
        <v>1918</v>
      </c>
      <c r="K678">
        <v>496012</v>
      </c>
      <c r="L678">
        <v>51148</v>
      </c>
      <c r="M678">
        <v>-81283</v>
      </c>
      <c r="N678">
        <v>115184</v>
      </c>
      <c r="O678" t="s">
        <v>696</v>
      </c>
      <c r="P678" s="9">
        <v>160700</v>
      </c>
      <c r="Q678" s="9">
        <v>11011</v>
      </c>
      <c r="R678" s="9">
        <v>171711</v>
      </c>
      <c r="S678" s="9">
        <v>-45533</v>
      </c>
      <c r="T678" s="10">
        <v>56066</v>
      </c>
      <c r="U678" s="10">
        <v>1087</v>
      </c>
    </row>
    <row r="679" spans="1:21" x14ac:dyDescent="0.35">
      <c r="A679" t="s">
        <v>15</v>
      </c>
      <c r="B679" t="s">
        <v>16</v>
      </c>
      <c r="C679" t="s">
        <v>17</v>
      </c>
      <c r="D679">
        <v>206504</v>
      </c>
      <c r="E679">
        <v>26662</v>
      </c>
      <c r="F679">
        <v>23644</v>
      </c>
      <c r="G679">
        <v>-168196</v>
      </c>
      <c r="H679">
        <v>88614</v>
      </c>
      <c r="I679">
        <v>88635</v>
      </c>
      <c r="J679">
        <v>2123</v>
      </c>
      <c r="K679">
        <v>496071</v>
      </c>
      <c r="L679">
        <v>137692</v>
      </c>
      <c r="M679">
        <v>-144480</v>
      </c>
      <c r="N679">
        <v>84964</v>
      </c>
      <c r="O679" t="s">
        <v>697</v>
      </c>
      <c r="P679" s="9">
        <v>257982</v>
      </c>
      <c r="Q679" s="9">
        <v>12450</v>
      </c>
      <c r="R679" s="9">
        <v>270432</v>
      </c>
      <c r="S679" s="9">
        <v>-107888</v>
      </c>
      <c r="T679" s="10">
        <v>67349</v>
      </c>
      <c r="U679" s="10">
        <v>1804</v>
      </c>
    </row>
    <row r="680" spans="1:21" x14ac:dyDescent="0.35">
      <c r="A680" t="s">
        <v>15</v>
      </c>
      <c r="B680" t="s">
        <v>16</v>
      </c>
      <c r="C680" t="s">
        <v>21</v>
      </c>
      <c r="D680">
        <v>290831</v>
      </c>
      <c r="E680">
        <v>35107</v>
      </c>
      <c r="F680">
        <v>29995</v>
      </c>
      <c r="G680">
        <v>-244270</v>
      </c>
      <c r="H680">
        <v>111663</v>
      </c>
      <c r="I680">
        <v>112041</v>
      </c>
      <c r="J680">
        <v>1379</v>
      </c>
      <c r="K680">
        <v>620274</v>
      </c>
      <c r="L680">
        <v>79463</v>
      </c>
      <c r="M680">
        <v>-172143</v>
      </c>
      <c r="N680">
        <v>132498</v>
      </c>
      <c r="O680" t="s">
        <v>698</v>
      </c>
      <c r="P680" s="9">
        <v>284091</v>
      </c>
      <c r="Q680" s="9">
        <v>27765</v>
      </c>
      <c r="R680" s="9">
        <v>311856</v>
      </c>
      <c r="S680" s="9">
        <v>-167528</v>
      </c>
      <c r="T680" s="10">
        <v>69084</v>
      </c>
      <c r="U680" s="10">
        <v>852</v>
      </c>
    </row>
    <row r="681" spans="1:21" x14ac:dyDescent="0.35">
      <c r="A681" t="s">
        <v>15</v>
      </c>
      <c r="B681" t="s">
        <v>20</v>
      </c>
      <c r="C681" t="s">
        <v>21</v>
      </c>
      <c r="D681">
        <v>150713</v>
      </c>
      <c r="E681">
        <v>28554</v>
      </c>
      <c r="F681">
        <v>28177</v>
      </c>
      <c r="G681">
        <v>-122576</v>
      </c>
      <c r="H681">
        <v>84868</v>
      </c>
      <c r="I681">
        <v>84390</v>
      </c>
      <c r="J681">
        <v>2521</v>
      </c>
      <c r="K681">
        <v>538431</v>
      </c>
      <c r="L681">
        <v>139110</v>
      </c>
      <c r="M681">
        <v>-114320</v>
      </c>
      <c r="N681">
        <v>123321</v>
      </c>
      <c r="O681" t="s">
        <v>699</v>
      </c>
      <c r="P681" s="9">
        <v>214193</v>
      </c>
      <c r="Q681" s="9">
        <v>37300</v>
      </c>
      <c r="R681" s="9">
        <v>251493</v>
      </c>
      <c r="S681" s="9">
        <v>-96526</v>
      </c>
      <c r="T681" s="10">
        <v>86602</v>
      </c>
      <c r="U681" s="10">
        <v>1886</v>
      </c>
    </row>
    <row r="682" spans="1:21" x14ac:dyDescent="0.35">
      <c r="A682" t="s">
        <v>15</v>
      </c>
      <c r="B682" t="s">
        <v>16</v>
      </c>
      <c r="C682" t="s">
        <v>21</v>
      </c>
      <c r="D682">
        <v>160237</v>
      </c>
      <c r="E682">
        <v>13911</v>
      </c>
      <c r="F682">
        <v>38733</v>
      </c>
      <c r="G682">
        <v>-159135</v>
      </c>
      <c r="H682">
        <v>53746</v>
      </c>
      <c r="I682">
        <v>55396</v>
      </c>
      <c r="J682">
        <v>1334</v>
      </c>
      <c r="K682">
        <v>583989</v>
      </c>
      <c r="L682">
        <v>61689</v>
      </c>
      <c r="M682">
        <v>-98784</v>
      </c>
      <c r="N682">
        <v>140773</v>
      </c>
      <c r="O682" t="s">
        <v>700</v>
      </c>
      <c r="P682" s="9">
        <v>254956</v>
      </c>
      <c r="Q682" s="9">
        <v>37979</v>
      </c>
      <c r="R682" s="9">
        <v>292935</v>
      </c>
      <c r="S682" s="9">
        <v>-88277</v>
      </c>
      <c r="T682" s="10">
        <v>130643</v>
      </c>
      <c r="U682" s="10">
        <v>1560</v>
      </c>
    </row>
    <row r="683" spans="1:21" x14ac:dyDescent="0.35">
      <c r="A683" t="s">
        <v>15</v>
      </c>
      <c r="B683" t="s">
        <v>16</v>
      </c>
      <c r="C683" t="s">
        <v>21</v>
      </c>
      <c r="D683">
        <v>190344</v>
      </c>
      <c r="E683">
        <v>31961</v>
      </c>
      <c r="F683">
        <v>37239</v>
      </c>
      <c r="G683">
        <v>-166605</v>
      </c>
      <c r="H683">
        <v>92939</v>
      </c>
      <c r="I683">
        <v>96091</v>
      </c>
      <c r="J683">
        <v>2208</v>
      </c>
      <c r="K683">
        <v>475751</v>
      </c>
      <c r="L683">
        <v>67266</v>
      </c>
      <c r="M683">
        <v>-71145</v>
      </c>
      <c r="N683">
        <v>143772</v>
      </c>
      <c r="O683" t="s">
        <v>701</v>
      </c>
      <c r="P683" s="9">
        <v>268453</v>
      </c>
      <c r="Q683" s="9">
        <v>33492</v>
      </c>
      <c r="R683" s="9">
        <v>301945</v>
      </c>
      <c r="S683" s="9">
        <v>-144954</v>
      </c>
      <c r="T683" s="10">
        <v>74569</v>
      </c>
      <c r="U683" s="10">
        <v>1287</v>
      </c>
    </row>
    <row r="684" spans="1:21" x14ac:dyDescent="0.35">
      <c r="A684" t="s">
        <v>15</v>
      </c>
      <c r="B684" t="s">
        <v>20</v>
      </c>
      <c r="C684" t="s">
        <v>21</v>
      </c>
      <c r="D684">
        <v>226162</v>
      </c>
      <c r="E684">
        <v>37837</v>
      </c>
      <c r="F684">
        <v>40002</v>
      </c>
      <c r="G684">
        <v>-213679</v>
      </c>
      <c r="H684">
        <v>90322</v>
      </c>
      <c r="I684">
        <v>89431</v>
      </c>
      <c r="J684">
        <v>1415</v>
      </c>
      <c r="K684">
        <v>568819</v>
      </c>
      <c r="L684">
        <v>56901</v>
      </c>
      <c r="M684">
        <v>-133813</v>
      </c>
      <c r="N684">
        <v>152444</v>
      </c>
      <c r="O684" t="s">
        <v>702</v>
      </c>
      <c r="P684" s="9">
        <v>299049</v>
      </c>
      <c r="Q684" s="9">
        <v>40223</v>
      </c>
      <c r="R684" s="9">
        <v>339272</v>
      </c>
      <c r="S684" s="9">
        <v>-118902</v>
      </c>
      <c r="T684" s="10">
        <v>111707</v>
      </c>
      <c r="U684" s="10">
        <v>1891</v>
      </c>
    </row>
    <row r="685" spans="1:21" x14ac:dyDescent="0.35">
      <c r="A685" t="s">
        <v>15</v>
      </c>
      <c r="B685" t="s">
        <v>16</v>
      </c>
      <c r="C685" t="s">
        <v>21</v>
      </c>
      <c r="D685">
        <v>238779</v>
      </c>
      <c r="E685">
        <v>20290</v>
      </c>
      <c r="F685">
        <v>47230</v>
      </c>
      <c r="G685">
        <v>-198233</v>
      </c>
      <c r="H685">
        <v>108066</v>
      </c>
      <c r="I685">
        <v>110388</v>
      </c>
      <c r="J685">
        <v>1560</v>
      </c>
      <c r="K685">
        <v>611328</v>
      </c>
      <c r="L685">
        <v>70362</v>
      </c>
      <c r="M685">
        <v>-81193</v>
      </c>
      <c r="N685">
        <v>165302</v>
      </c>
      <c r="O685" t="s">
        <v>703</v>
      </c>
      <c r="P685" s="9">
        <v>304267</v>
      </c>
      <c r="Q685" s="9">
        <v>52434</v>
      </c>
      <c r="R685" s="9">
        <v>356701</v>
      </c>
      <c r="S685" s="9">
        <v>-135141</v>
      </c>
      <c r="T685" s="10">
        <v>116530</v>
      </c>
      <c r="U685" s="10">
        <v>1791</v>
      </c>
    </row>
    <row r="686" spans="1:21" x14ac:dyDescent="0.35">
      <c r="A686" t="s">
        <v>15</v>
      </c>
      <c r="B686" t="s">
        <v>20</v>
      </c>
      <c r="C686" t="s">
        <v>21</v>
      </c>
      <c r="D686">
        <v>166818</v>
      </c>
      <c r="E686">
        <v>29809</v>
      </c>
      <c r="F686">
        <v>37554</v>
      </c>
      <c r="G686">
        <v>-147902</v>
      </c>
      <c r="H686">
        <v>86279</v>
      </c>
      <c r="I686">
        <v>83002</v>
      </c>
      <c r="J686">
        <v>2254</v>
      </c>
      <c r="K686">
        <v>475821</v>
      </c>
      <c r="L686">
        <v>79331</v>
      </c>
      <c r="M686">
        <v>-186821</v>
      </c>
      <c r="N686">
        <v>83482</v>
      </c>
      <c r="O686" t="s">
        <v>704</v>
      </c>
      <c r="P686" s="9">
        <v>211254</v>
      </c>
      <c r="Q686" s="9">
        <v>26564</v>
      </c>
      <c r="R686" s="9">
        <v>237818</v>
      </c>
      <c r="S686" s="9">
        <v>-79621</v>
      </c>
      <c r="T686" s="10">
        <v>63537</v>
      </c>
      <c r="U686" s="10">
        <v>1824</v>
      </c>
    </row>
    <row r="687" spans="1:21" x14ac:dyDescent="0.35">
      <c r="A687" t="s">
        <v>15</v>
      </c>
      <c r="B687" t="s">
        <v>20</v>
      </c>
      <c r="C687" t="s">
        <v>17</v>
      </c>
      <c r="D687">
        <v>168647</v>
      </c>
      <c r="E687">
        <v>31578</v>
      </c>
      <c r="F687">
        <v>32763</v>
      </c>
      <c r="G687">
        <v>-157028</v>
      </c>
      <c r="H687">
        <v>75960</v>
      </c>
      <c r="I687">
        <v>68823</v>
      </c>
      <c r="J687">
        <v>1284</v>
      </c>
      <c r="K687">
        <v>379354</v>
      </c>
      <c r="L687">
        <v>154328</v>
      </c>
      <c r="M687">
        <v>-112612</v>
      </c>
      <c r="N687">
        <v>51072</v>
      </c>
      <c r="O687" t="s">
        <v>705</v>
      </c>
      <c r="P687" s="9">
        <v>267253</v>
      </c>
      <c r="Q687" s="9">
        <v>50424</v>
      </c>
      <c r="R687" s="9">
        <v>317677</v>
      </c>
      <c r="S687" s="9">
        <v>-168848</v>
      </c>
      <c r="T687" s="10">
        <v>128070</v>
      </c>
      <c r="U687" s="10">
        <v>2690</v>
      </c>
    </row>
    <row r="688" spans="1:21" x14ac:dyDescent="0.35">
      <c r="A688" t="s">
        <v>15</v>
      </c>
      <c r="B688" t="s">
        <v>20</v>
      </c>
      <c r="C688" t="s">
        <v>17</v>
      </c>
      <c r="D688">
        <v>179368</v>
      </c>
      <c r="E688">
        <v>35063</v>
      </c>
      <c r="F688">
        <v>39326</v>
      </c>
      <c r="G688">
        <v>-158445</v>
      </c>
      <c r="H688">
        <v>95312</v>
      </c>
      <c r="I688">
        <v>97800</v>
      </c>
      <c r="J688">
        <v>2405</v>
      </c>
      <c r="K688">
        <v>601578</v>
      </c>
      <c r="L688">
        <v>272212</v>
      </c>
      <c r="M688">
        <v>-183984</v>
      </c>
      <c r="N688">
        <v>70168</v>
      </c>
      <c r="O688" t="s">
        <v>706</v>
      </c>
      <c r="P688" s="9">
        <v>159605</v>
      </c>
      <c r="Q688" s="9">
        <v>17157</v>
      </c>
      <c r="R688" s="9">
        <v>176762</v>
      </c>
      <c r="S688" s="9">
        <v>-68361</v>
      </c>
      <c r="T688" s="10">
        <v>65037</v>
      </c>
      <c r="U688" s="10">
        <v>1124</v>
      </c>
    </row>
    <row r="689" spans="1:21" x14ac:dyDescent="0.35">
      <c r="A689" t="s">
        <v>15</v>
      </c>
      <c r="B689" t="s">
        <v>20</v>
      </c>
      <c r="C689" t="s">
        <v>17</v>
      </c>
      <c r="D689">
        <v>176782</v>
      </c>
      <c r="E689">
        <v>19525</v>
      </c>
      <c r="F689">
        <v>22176</v>
      </c>
      <c r="G689">
        <v>-158304</v>
      </c>
      <c r="H689">
        <v>60179</v>
      </c>
      <c r="I689">
        <v>58410</v>
      </c>
      <c r="J689">
        <v>1460</v>
      </c>
      <c r="K689">
        <v>561216</v>
      </c>
      <c r="L689">
        <v>224680</v>
      </c>
      <c r="M689">
        <v>-169212</v>
      </c>
      <c r="N689">
        <v>81937</v>
      </c>
      <c r="O689" t="s">
        <v>707</v>
      </c>
      <c r="P689" s="9">
        <v>208438</v>
      </c>
      <c r="Q689" s="9">
        <v>25056</v>
      </c>
      <c r="R689" s="9">
        <v>233494</v>
      </c>
      <c r="S689" s="9">
        <v>-59824</v>
      </c>
      <c r="T689" s="10">
        <v>65652</v>
      </c>
      <c r="U689" s="10">
        <v>1196</v>
      </c>
    </row>
    <row r="690" spans="1:21" x14ac:dyDescent="0.35">
      <c r="A690" t="s">
        <v>15</v>
      </c>
      <c r="B690" t="s">
        <v>20</v>
      </c>
      <c r="C690" t="s">
        <v>21</v>
      </c>
      <c r="D690">
        <v>288039</v>
      </c>
      <c r="E690">
        <v>29922</v>
      </c>
      <c r="F690">
        <v>66990</v>
      </c>
      <c r="G690">
        <v>-278610</v>
      </c>
      <c r="H690">
        <v>106341</v>
      </c>
      <c r="I690">
        <v>99015</v>
      </c>
      <c r="J690">
        <v>1526</v>
      </c>
      <c r="K690">
        <v>1020102</v>
      </c>
      <c r="L690">
        <v>439873</v>
      </c>
      <c r="M690">
        <v>-147121</v>
      </c>
      <c r="N690">
        <v>119296</v>
      </c>
      <c r="O690" t="s">
        <v>708</v>
      </c>
      <c r="P690" s="9">
        <v>264150</v>
      </c>
      <c r="Q690" s="9">
        <v>27605</v>
      </c>
      <c r="R690" s="9">
        <v>291755</v>
      </c>
      <c r="S690" s="9">
        <v>-111016</v>
      </c>
      <c r="T690" s="10">
        <v>73600</v>
      </c>
      <c r="U690" s="10">
        <v>1863</v>
      </c>
    </row>
    <row r="691" spans="1:21" x14ac:dyDescent="0.35">
      <c r="A691" t="s">
        <v>15</v>
      </c>
      <c r="B691" t="s">
        <v>16</v>
      </c>
      <c r="C691" t="s">
        <v>17</v>
      </c>
      <c r="D691">
        <v>276479</v>
      </c>
      <c r="E691">
        <v>45064</v>
      </c>
      <c r="F691">
        <v>59924</v>
      </c>
      <c r="G691">
        <v>-224976</v>
      </c>
      <c r="H691">
        <v>156491</v>
      </c>
      <c r="I691">
        <v>148831</v>
      </c>
      <c r="J691">
        <v>4064</v>
      </c>
      <c r="K691">
        <v>1089360</v>
      </c>
      <c r="L691">
        <v>335809</v>
      </c>
      <c r="M691">
        <v>-114002</v>
      </c>
      <c r="N691">
        <v>203535</v>
      </c>
      <c r="O691" t="s">
        <v>709</v>
      </c>
      <c r="P691" s="9">
        <v>217878</v>
      </c>
      <c r="Q691" s="9">
        <v>13191</v>
      </c>
      <c r="R691" s="9">
        <v>231069</v>
      </c>
      <c r="S691" s="9">
        <v>-71288</v>
      </c>
      <c r="T691" s="10">
        <v>85043</v>
      </c>
      <c r="U691" s="10">
        <v>1211</v>
      </c>
    </row>
    <row r="692" spans="1:21" x14ac:dyDescent="0.35">
      <c r="A692" t="s">
        <v>15</v>
      </c>
      <c r="B692" t="s">
        <v>16</v>
      </c>
      <c r="C692" t="s">
        <v>21</v>
      </c>
      <c r="D692">
        <v>213791</v>
      </c>
      <c r="E692">
        <v>16454</v>
      </c>
      <c r="F692">
        <v>32437</v>
      </c>
      <c r="G692">
        <v>-205311</v>
      </c>
      <c r="H692">
        <v>57371</v>
      </c>
      <c r="I692">
        <v>54836</v>
      </c>
      <c r="J692">
        <v>1137</v>
      </c>
      <c r="K692">
        <v>814356</v>
      </c>
      <c r="L692">
        <v>84545</v>
      </c>
      <c r="M692">
        <v>-290756</v>
      </c>
      <c r="N692">
        <v>64912</v>
      </c>
      <c r="O692" t="s">
        <v>710</v>
      </c>
      <c r="P692" s="9">
        <v>178084</v>
      </c>
      <c r="Q692" s="9">
        <v>12567</v>
      </c>
      <c r="R692" s="9">
        <v>190651</v>
      </c>
      <c r="S692" s="9">
        <v>-70499</v>
      </c>
      <c r="T692" s="10">
        <v>44732</v>
      </c>
      <c r="U692" s="10">
        <v>690</v>
      </c>
    </row>
    <row r="693" spans="1:21" x14ac:dyDescent="0.35">
      <c r="A693" t="s">
        <v>15</v>
      </c>
      <c r="B693" t="s">
        <v>16</v>
      </c>
      <c r="C693" t="s">
        <v>17</v>
      </c>
      <c r="D693">
        <v>160424</v>
      </c>
      <c r="E693">
        <v>19304</v>
      </c>
      <c r="F693">
        <v>22753</v>
      </c>
      <c r="G693">
        <v>-146689</v>
      </c>
      <c r="H693">
        <v>55792</v>
      </c>
      <c r="I693">
        <v>54100</v>
      </c>
      <c r="J693">
        <v>1619</v>
      </c>
      <c r="K693">
        <v>568042</v>
      </c>
      <c r="L693">
        <v>235624</v>
      </c>
      <c r="M693">
        <v>-212454</v>
      </c>
      <c r="N693">
        <v>116950</v>
      </c>
      <c r="O693" t="s">
        <v>711</v>
      </c>
      <c r="P693" s="9">
        <v>153014</v>
      </c>
      <c r="Q693" s="9">
        <v>22580</v>
      </c>
      <c r="R693" s="9">
        <v>175594</v>
      </c>
      <c r="S693" s="9">
        <v>-75487</v>
      </c>
      <c r="T693" s="10">
        <v>66924</v>
      </c>
      <c r="U693" s="10">
        <v>1500</v>
      </c>
    </row>
    <row r="694" spans="1:21" x14ac:dyDescent="0.35">
      <c r="A694" t="s">
        <v>15</v>
      </c>
      <c r="B694" t="s">
        <v>16</v>
      </c>
      <c r="C694" t="s">
        <v>21</v>
      </c>
      <c r="D694">
        <v>220611</v>
      </c>
      <c r="E694">
        <v>25365</v>
      </c>
      <c r="F694">
        <v>53748</v>
      </c>
      <c r="G694">
        <v>-184315</v>
      </c>
      <c r="H694">
        <v>115409</v>
      </c>
      <c r="I694">
        <v>104193</v>
      </c>
      <c r="J694">
        <v>2633</v>
      </c>
      <c r="K694">
        <v>477369</v>
      </c>
      <c r="L694">
        <v>132364</v>
      </c>
      <c r="M694">
        <v>-174191</v>
      </c>
      <c r="N694">
        <v>178002</v>
      </c>
      <c r="O694" t="s">
        <v>712</v>
      </c>
      <c r="P694" s="9">
        <v>296495</v>
      </c>
      <c r="Q694" s="9">
        <v>37469</v>
      </c>
      <c r="R694" s="9">
        <v>333964</v>
      </c>
      <c r="S694" s="9">
        <v>-168440</v>
      </c>
      <c r="T694" s="10">
        <v>118701</v>
      </c>
      <c r="U694" s="10">
        <v>2282</v>
      </c>
    </row>
    <row r="695" spans="1:21" x14ac:dyDescent="0.35">
      <c r="A695" t="s">
        <v>15</v>
      </c>
      <c r="B695" t="s">
        <v>16</v>
      </c>
      <c r="C695" t="s">
        <v>21</v>
      </c>
      <c r="D695">
        <v>254747</v>
      </c>
      <c r="E695">
        <v>27745</v>
      </c>
      <c r="F695">
        <v>61270</v>
      </c>
      <c r="G695">
        <v>-251027</v>
      </c>
      <c r="H695">
        <v>92735</v>
      </c>
      <c r="I695">
        <v>91998</v>
      </c>
      <c r="J695">
        <v>1553</v>
      </c>
      <c r="K695">
        <v>814273</v>
      </c>
      <c r="L695">
        <v>248313</v>
      </c>
      <c r="M695">
        <v>-104296</v>
      </c>
      <c r="N695">
        <v>164951</v>
      </c>
      <c r="O695" t="s">
        <v>713</v>
      </c>
      <c r="P695" s="9">
        <v>266267</v>
      </c>
      <c r="Q695" s="9">
        <v>39999</v>
      </c>
      <c r="R695" s="9">
        <v>306266</v>
      </c>
      <c r="S695" s="9">
        <v>-142727</v>
      </c>
      <c r="T695" s="10">
        <v>110566</v>
      </c>
      <c r="U695" s="10">
        <v>1123</v>
      </c>
    </row>
    <row r="696" spans="1:21" x14ac:dyDescent="0.35">
      <c r="A696" t="s">
        <v>15</v>
      </c>
      <c r="B696" t="s">
        <v>20</v>
      </c>
      <c r="C696" t="s">
        <v>21</v>
      </c>
      <c r="D696">
        <v>201668</v>
      </c>
      <c r="E696">
        <v>22923</v>
      </c>
      <c r="F696">
        <v>24175</v>
      </c>
      <c r="G696">
        <v>-180193</v>
      </c>
      <c r="H696">
        <v>68573</v>
      </c>
      <c r="I696">
        <v>67121</v>
      </c>
      <c r="J696">
        <v>1048</v>
      </c>
      <c r="K696">
        <v>676732</v>
      </c>
      <c r="L696">
        <v>286435</v>
      </c>
      <c r="M696">
        <v>-163718</v>
      </c>
      <c r="N696">
        <v>155892</v>
      </c>
      <c r="O696" t="s">
        <v>714</v>
      </c>
      <c r="P696" s="9">
        <v>263884</v>
      </c>
      <c r="Q696" s="9">
        <v>17753</v>
      </c>
      <c r="R696" s="9">
        <v>281637</v>
      </c>
      <c r="S696" s="9">
        <v>-151485</v>
      </c>
      <c r="T696" s="10">
        <v>89325</v>
      </c>
      <c r="U696" s="10">
        <v>1509</v>
      </c>
    </row>
    <row r="697" spans="1:21" x14ac:dyDescent="0.35">
      <c r="A697" t="s">
        <v>15</v>
      </c>
      <c r="B697" t="s">
        <v>20</v>
      </c>
      <c r="C697" t="s">
        <v>21</v>
      </c>
      <c r="D697">
        <v>279866</v>
      </c>
      <c r="E697">
        <v>28401</v>
      </c>
      <c r="F697">
        <v>63008</v>
      </c>
      <c r="G697">
        <v>-224664</v>
      </c>
      <c r="H697">
        <v>146611</v>
      </c>
      <c r="I697">
        <v>132053</v>
      </c>
      <c r="J697">
        <v>2097</v>
      </c>
      <c r="K697">
        <v>983191</v>
      </c>
      <c r="L697">
        <v>105144</v>
      </c>
      <c r="M697">
        <v>-112249</v>
      </c>
      <c r="N697">
        <v>97970</v>
      </c>
      <c r="O697" t="s">
        <v>715</v>
      </c>
      <c r="P697" s="9">
        <v>198377</v>
      </c>
      <c r="Q697" s="9">
        <v>34526</v>
      </c>
      <c r="R697" s="9">
        <v>232903</v>
      </c>
      <c r="S697" s="9">
        <v>-56412</v>
      </c>
      <c r="T697" s="10">
        <v>102532</v>
      </c>
      <c r="U697" s="10">
        <v>2769</v>
      </c>
    </row>
    <row r="698" spans="1:21" x14ac:dyDescent="0.35">
      <c r="A698" t="s">
        <v>15</v>
      </c>
      <c r="B698" t="s">
        <v>16</v>
      </c>
      <c r="C698" t="s">
        <v>21</v>
      </c>
      <c r="D698">
        <v>266525</v>
      </c>
      <c r="E698">
        <v>15426</v>
      </c>
      <c r="F698">
        <v>33740</v>
      </c>
      <c r="G698">
        <v>-265811</v>
      </c>
      <c r="H698">
        <v>49880</v>
      </c>
      <c r="I698">
        <v>49264</v>
      </c>
      <c r="J698">
        <v>1388</v>
      </c>
      <c r="K698">
        <v>994413</v>
      </c>
      <c r="L698">
        <v>166210</v>
      </c>
      <c r="M698">
        <v>-325718</v>
      </c>
      <c r="N698">
        <v>172743</v>
      </c>
      <c r="O698" t="s">
        <v>716</v>
      </c>
      <c r="P698" s="9">
        <v>161869</v>
      </c>
      <c r="Q698" s="9">
        <v>24278</v>
      </c>
      <c r="R698" s="9">
        <v>186147</v>
      </c>
      <c r="S698" s="9">
        <v>-105698</v>
      </c>
      <c r="T698" s="10">
        <v>73430</v>
      </c>
      <c r="U698" s="10">
        <v>1477</v>
      </c>
    </row>
    <row r="699" spans="1:21" x14ac:dyDescent="0.35">
      <c r="A699" t="s">
        <v>15</v>
      </c>
      <c r="B699" t="s">
        <v>16</v>
      </c>
      <c r="C699" t="s">
        <v>21</v>
      </c>
      <c r="D699">
        <v>161645</v>
      </c>
      <c r="E699">
        <v>27578</v>
      </c>
      <c r="F699">
        <v>26523</v>
      </c>
      <c r="G699">
        <v>-157103</v>
      </c>
      <c r="H699">
        <v>58643</v>
      </c>
      <c r="I699">
        <v>55122</v>
      </c>
      <c r="J699">
        <v>617</v>
      </c>
      <c r="K699">
        <v>639493</v>
      </c>
      <c r="L699">
        <v>197531</v>
      </c>
      <c r="M699">
        <v>-177608</v>
      </c>
      <c r="N699">
        <v>73566</v>
      </c>
      <c r="O699" t="s">
        <v>717</v>
      </c>
      <c r="P699" s="9">
        <v>235138</v>
      </c>
      <c r="Q699" s="9">
        <v>22985</v>
      </c>
      <c r="R699" s="9">
        <v>258123</v>
      </c>
      <c r="S699" s="9">
        <v>-141220</v>
      </c>
      <c r="T699" s="10">
        <v>98216</v>
      </c>
      <c r="U699" s="10">
        <v>2439</v>
      </c>
    </row>
    <row r="700" spans="1:21" x14ac:dyDescent="0.35">
      <c r="A700" t="s">
        <v>15</v>
      </c>
      <c r="B700" t="s">
        <v>20</v>
      </c>
      <c r="C700" t="s">
        <v>21</v>
      </c>
      <c r="D700">
        <v>210354</v>
      </c>
      <c r="E700">
        <v>37712</v>
      </c>
      <c r="F700">
        <v>49659</v>
      </c>
      <c r="G700">
        <v>-206303</v>
      </c>
      <c r="H700">
        <v>91422</v>
      </c>
      <c r="I700">
        <v>95069</v>
      </c>
      <c r="J700">
        <v>1857</v>
      </c>
      <c r="K700">
        <v>838619</v>
      </c>
      <c r="L700">
        <v>369194</v>
      </c>
      <c r="M700">
        <v>-230212</v>
      </c>
      <c r="N700">
        <v>146585</v>
      </c>
      <c r="O700" t="s">
        <v>718</v>
      </c>
      <c r="P700" s="9">
        <v>233072</v>
      </c>
      <c r="Q700" s="9">
        <v>24206</v>
      </c>
      <c r="R700" s="9">
        <v>257278</v>
      </c>
      <c r="S700" s="9">
        <v>-87726</v>
      </c>
      <c r="T700" s="10">
        <v>108260</v>
      </c>
      <c r="U700" s="10">
        <v>1335</v>
      </c>
    </row>
    <row r="701" spans="1:21" x14ac:dyDescent="0.35">
      <c r="A701" t="s">
        <v>15</v>
      </c>
      <c r="B701" t="s">
        <v>20</v>
      </c>
      <c r="C701" t="s">
        <v>21</v>
      </c>
      <c r="D701">
        <v>184714</v>
      </c>
      <c r="E701">
        <v>10033</v>
      </c>
      <c r="F701">
        <v>35391</v>
      </c>
      <c r="G701">
        <v>-178846</v>
      </c>
      <c r="H701">
        <v>51292</v>
      </c>
      <c r="I701">
        <v>50384</v>
      </c>
      <c r="J701">
        <v>1335</v>
      </c>
      <c r="K701">
        <v>718950</v>
      </c>
      <c r="L701">
        <v>130673</v>
      </c>
      <c r="M701">
        <v>-167665</v>
      </c>
      <c r="N701">
        <v>58339</v>
      </c>
      <c r="O701" t="s">
        <v>719</v>
      </c>
      <c r="P701" s="9">
        <v>185162</v>
      </c>
      <c r="Q701" s="9">
        <v>17710</v>
      </c>
      <c r="R701" s="9">
        <v>202872</v>
      </c>
      <c r="S701" s="9">
        <v>-64905</v>
      </c>
      <c r="T701" s="10">
        <v>80309</v>
      </c>
      <c r="U701" s="10">
        <v>2360</v>
      </c>
    </row>
    <row r="702" spans="1:21" x14ac:dyDescent="0.35">
      <c r="A702" t="s">
        <v>15</v>
      </c>
      <c r="B702" t="s">
        <v>16</v>
      </c>
      <c r="C702" t="s">
        <v>17</v>
      </c>
      <c r="D702">
        <v>202335</v>
      </c>
      <c r="E702">
        <v>12371</v>
      </c>
      <c r="F702">
        <v>24747</v>
      </c>
      <c r="G702">
        <v>-196169</v>
      </c>
      <c r="H702">
        <v>43284</v>
      </c>
      <c r="I702">
        <v>42826</v>
      </c>
      <c r="J702">
        <v>1250</v>
      </c>
      <c r="K702">
        <v>538811</v>
      </c>
      <c r="L702">
        <v>168326</v>
      </c>
      <c r="M702">
        <v>-189136</v>
      </c>
      <c r="N702">
        <v>61335</v>
      </c>
      <c r="O702" t="s">
        <v>720</v>
      </c>
      <c r="P702" s="9">
        <v>280005</v>
      </c>
      <c r="Q702" s="9">
        <v>28533</v>
      </c>
      <c r="R702" s="9">
        <v>308538</v>
      </c>
      <c r="S702" s="9">
        <v>-155521</v>
      </c>
      <c r="T702" s="10">
        <v>118709</v>
      </c>
      <c r="U702" s="10">
        <v>1648</v>
      </c>
    </row>
    <row r="703" spans="1:21" x14ac:dyDescent="0.35">
      <c r="A703" t="s">
        <v>15</v>
      </c>
      <c r="B703" t="s">
        <v>16</v>
      </c>
      <c r="C703" t="s">
        <v>17</v>
      </c>
      <c r="D703">
        <v>243421</v>
      </c>
      <c r="E703">
        <v>38452</v>
      </c>
      <c r="F703">
        <v>36823</v>
      </c>
      <c r="G703">
        <v>-196573</v>
      </c>
      <c r="H703">
        <v>122123</v>
      </c>
      <c r="I703">
        <v>123924</v>
      </c>
      <c r="J703">
        <v>3363</v>
      </c>
      <c r="K703">
        <v>778135</v>
      </c>
      <c r="L703">
        <v>132521</v>
      </c>
      <c r="M703">
        <v>-269928</v>
      </c>
      <c r="N703">
        <v>211034</v>
      </c>
      <c r="O703" t="s">
        <v>721</v>
      </c>
      <c r="P703" s="9">
        <v>186153</v>
      </c>
      <c r="Q703" s="9">
        <v>22042</v>
      </c>
      <c r="R703" s="9">
        <v>208195</v>
      </c>
      <c r="S703" s="9">
        <v>-110473</v>
      </c>
      <c r="T703" s="10">
        <v>71917</v>
      </c>
      <c r="U703" s="10">
        <v>949</v>
      </c>
    </row>
    <row r="704" spans="1:21" x14ac:dyDescent="0.35">
      <c r="A704" t="s">
        <v>15</v>
      </c>
      <c r="B704" t="s">
        <v>20</v>
      </c>
      <c r="C704" t="s">
        <v>17</v>
      </c>
      <c r="D704">
        <v>227576</v>
      </c>
      <c r="E704">
        <v>16284</v>
      </c>
      <c r="F704">
        <v>44635</v>
      </c>
      <c r="G704">
        <v>-212723</v>
      </c>
      <c r="H704">
        <v>75772</v>
      </c>
      <c r="I704">
        <v>74115</v>
      </c>
      <c r="J704">
        <v>1595</v>
      </c>
      <c r="K704">
        <v>619079</v>
      </c>
      <c r="L704">
        <v>224681</v>
      </c>
      <c r="M704">
        <v>-131739</v>
      </c>
      <c r="N704">
        <v>139222</v>
      </c>
      <c r="O704" t="s">
        <v>722</v>
      </c>
      <c r="P704" s="9">
        <v>206486</v>
      </c>
      <c r="Q704" s="9">
        <v>28291</v>
      </c>
      <c r="R704" s="9">
        <v>234777</v>
      </c>
      <c r="S704" s="9">
        <v>-106786</v>
      </c>
      <c r="T704" s="10">
        <v>52575</v>
      </c>
      <c r="U704" s="10">
        <v>1152</v>
      </c>
    </row>
    <row r="705" spans="1:21" x14ac:dyDescent="0.35">
      <c r="A705" t="s">
        <v>15</v>
      </c>
      <c r="B705" t="s">
        <v>16</v>
      </c>
      <c r="C705" t="s">
        <v>17</v>
      </c>
      <c r="D705">
        <v>181706</v>
      </c>
      <c r="E705">
        <v>31595</v>
      </c>
      <c r="F705">
        <v>29973</v>
      </c>
      <c r="G705">
        <v>-152476</v>
      </c>
      <c r="H705">
        <v>90798</v>
      </c>
      <c r="I705">
        <v>92482</v>
      </c>
      <c r="J705">
        <v>2444</v>
      </c>
      <c r="K705">
        <v>548226</v>
      </c>
      <c r="L705">
        <v>93585</v>
      </c>
      <c r="M705">
        <v>-57442</v>
      </c>
      <c r="N705">
        <v>67469</v>
      </c>
      <c r="O705" t="s">
        <v>723</v>
      </c>
      <c r="P705" s="9">
        <v>267600</v>
      </c>
      <c r="Q705" s="9">
        <v>43215</v>
      </c>
      <c r="R705" s="9">
        <v>310815</v>
      </c>
      <c r="S705" s="9">
        <v>-107266</v>
      </c>
      <c r="T705" s="10">
        <v>93038</v>
      </c>
      <c r="U705" s="10">
        <v>1940</v>
      </c>
    </row>
    <row r="706" spans="1:21" x14ac:dyDescent="0.35">
      <c r="A706" t="s">
        <v>15</v>
      </c>
      <c r="B706" t="s">
        <v>16</v>
      </c>
      <c r="C706" t="s">
        <v>21</v>
      </c>
      <c r="D706">
        <v>249919</v>
      </c>
      <c r="E706">
        <v>25719</v>
      </c>
      <c r="F706">
        <v>48717</v>
      </c>
      <c r="G706">
        <v>-236126</v>
      </c>
      <c r="H706">
        <v>88229</v>
      </c>
      <c r="I706">
        <v>81093</v>
      </c>
      <c r="J706">
        <v>1217</v>
      </c>
      <c r="K706">
        <v>962269</v>
      </c>
      <c r="L706">
        <v>213740</v>
      </c>
      <c r="M706">
        <v>-109500</v>
      </c>
      <c r="N706">
        <v>85353</v>
      </c>
      <c r="O706" t="s">
        <v>724</v>
      </c>
      <c r="P706" s="9">
        <v>269241</v>
      </c>
      <c r="Q706" s="9">
        <v>26600</v>
      </c>
      <c r="R706" s="9">
        <v>295841</v>
      </c>
      <c r="S706" s="9">
        <v>-163641</v>
      </c>
      <c r="T706" s="10">
        <v>106119</v>
      </c>
      <c r="U706" s="10">
        <v>3137</v>
      </c>
    </row>
    <row r="707" spans="1:21" x14ac:dyDescent="0.35">
      <c r="A707" t="s">
        <v>15</v>
      </c>
      <c r="B707" t="s">
        <v>20</v>
      </c>
      <c r="C707" t="s">
        <v>21</v>
      </c>
      <c r="D707">
        <v>262265</v>
      </c>
      <c r="E707">
        <v>35481</v>
      </c>
      <c r="F707">
        <v>64842</v>
      </c>
      <c r="G707">
        <v>-234995</v>
      </c>
      <c r="H707">
        <v>127593</v>
      </c>
      <c r="I707">
        <v>127399</v>
      </c>
      <c r="J707">
        <v>2654</v>
      </c>
      <c r="K707">
        <v>702622</v>
      </c>
      <c r="L707">
        <v>305428</v>
      </c>
      <c r="M707">
        <v>-213798</v>
      </c>
      <c r="N707">
        <v>218077</v>
      </c>
      <c r="O707" t="s">
        <v>725</v>
      </c>
      <c r="P707" s="9">
        <v>175963</v>
      </c>
      <c r="Q707" s="9">
        <v>15312</v>
      </c>
      <c r="R707" s="9">
        <v>191275</v>
      </c>
      <c r="S707" s="9">
        <v>-84550</v>
      </c>
      <c r="T707" s="10">
        <v>75230</v>
      </c>
      <c r="U707" s="10">
        <v>1828</v>
      </c>
    </row>
    <row r="708" spans="1:21" x14ac:dyDescent="0.35">
      <c r="A708" t="s">
        <v>15</v>
      </c>
      <c r="B708" t="s">
        <v>16</v>
      </c>
      <c r="C708" t="s">
        <v>21</v>
      </c>
      <c r="D708">
        <v>212413</v>
      </c>
      <c r="E708">
        <v>14605</v>
      </c>
      <c r="F708">
        <v>52043</v>
      </c>
      <c r="G708">
        <v>-188320</v>
      </c>
      <c r="H708">
        <v>90741</v>
      </c>
      <c r="I708">
        <v>92447</v>
      </c>
      <c r="J708">
        <v>2155</v>
      </c>
      <c r="K708">
        <v>597039</v>
      </c>
      <c r="L708">
        <v>101113</v>
      </c>
      <c r="M708">
        <v>-194774</v>
      </c>
      <c r="N708">
        <v>115944</v>
      </c>
      <c r="O708" t="s">
        <v>726</v>
      </c>
      <c r="P708" s="9">
        <v>223131</v>
      </c>
      <c r="Q708" s="9">
        <v>40146</v>
      </c>
      <c r="R708" s="9">
        <v>263277</v>
      </c>
      <c r="S708" s="9">
        <v>-105451</v>
      </c>
      <c r="T708" s="10">
        <v>77152</v>
      </c>
      <c r="U708" s="10">
        <v>1425</v>
      </c>
    </row>
    <row r="709" spans="1:21" x14ac:dyDescent="0.35">
      <c r="A709" t="s">
        <v>15</v>
      </c>
      <c r="B709" t="s">
        <v>16</v>
      </c>
      <c r="C709" t="s">
        <v>21</v>
      </c>
      <c r="D709">
        <v>271870</v>
      </c>
      <c r="E709">
        <v>23980</v>
      </c>
      <c r="F709">
        <v>55212</v>
      </c>
      <c r="G709">
        <v>-259487</v>
      </c>
      <c r="H709">
        <v>91575</v>
      </c>
      <c r="I709">
        <v>82662</v>
      </c>
      <c r="J709">
        <v>834</v>
      </c>
      <c r="K709">
        <v>857029</v>
      </c>
      <c r="L709">
        <v>92248</v>
      </c>
      <c r="M709">
        <v>-149366</v>
      </c>
      <c r="N709">
        <v>139538</v>
      </c>
      <c r="O709" t="s">
        <v>727</v>
      </c>
      <c r="P709" s="9">
        <v>201810</v>
      </c>
      <c r="Q709" s="9">
        <v>21419</v>
      </c>
      <c r="R709" s="9">
        <v>223229</v>
      </c>
      <c r="S709" s="9">
        <v>-109258</v>
      </c>
      <c r="T709" s="10">
        <v>65893</v>
      </c>
      <c r="U709" s="10">
        <v>1376</v>
      </c>
    </row>
    <row r="710" spans="1:21" x14ac:dyDescent="0.35">
      <c r="A710" t="s">
        <v>15</v>
      </c>
      <c r="B710" t="s">
        <v>20</v>
      </c>
      <c r="C710" t="s">
        <v>21</v>
      </c>
      <c r="D710">
        <v>264359</v>
      </c>
      <c r="E710">
        <v>17010</v>
      </c>
      <c r="F710">
        <v>36439</v>
      </c>
      <c r="G710">
        <v>-240985</v>
      </c>
      <c r="H710">
        <v>76823</v>
      </c>
      <c r="I710">
        <v>77141</v>
      </c>
      <c r="J710">
        <v>2187</v>
      </c>
      <c r="K710">
        <v>1017615</v>
      </c>
      <c r="L710">
        <v>116204</v>
      </c>
      <c r="M710">
        <v>-386364</v>
      </c>
      <c r="N710">
        <v>80698</v>
      </c>
      <c r="O710" t="s">
        <v>728</v>
      </c>
      <c r="P710" s="9">
        <v>193259</v>
      </c>
      <c r="Q710" s="9">
        <v>16472</v>
      </c>
      <c r="R710" s="9">
        <v>209731</v>
      </c>
      <c r="S710" s="9">
        <v>-74309</v>
      </c>
      <c r="T710" s="10">
        <v>68590</v>
      </c>
      <c r="U710" s="10">
        <v>1319</v>
      </c>
    </row>
    <row r="711" spans="1:21" x14ac:dyDescent="0.35">
      <c r="A711" t="s">
        <v>15</v>
      </c>
      <c r="B711" t="s">
        <v>16</v>
      </c>
      <c r="C711" t="s">
        <v>21</v>
      </c>
      <c r="D711">
        <v>220084</v>
      </c>
      <c r="E711">
        <v>24770</v>
      </c>
      <c r="F711">
        <v>27291</v>
      </c>
      <c r="G711">
        <v>-213930</v>
      </c>
      <c r="H711">
        <v>58215</v>
      </c>
      <c r="I711">
        <v>56540</v>
      </c>
      <c r="J711">
        <v>1220</v>
      </c>
      <c r="K711">
        <v>530229</v>
      </c>
      <c r="L711">
        <v>75441</v>
      </c>
      <c r="M711">
        <v>-146618</v>
      </c>
      <c r="N711">
        <v>178542</v>
      </c>
      <c r="O711" t="s">
        <v>729</v>
      </c>
      <c r="P711" s="9">
        <v>204484</v>
      </c>
      <c r="Q711" s="9">
        <v>40263</v>
      </c>
      <c r="R711" s="9">
        <v>244747</v>
      </c>
      <c r="S711" s="9">
        <v>-137808</v>
      </c>
      <c r="T711" s="10">
        <v>57809</v>
      </c>
      <c r="U711" s="10">
        <v>1224</v>
      </c>
    </row>
    <row r="712" spans="1:21" x14ac:dyDescent="0.35">
      <c r="A712" t="s">
        <v>15</v>
      </c>
      <c r="B712" t="s">
        <v>16</v>
      </c>
      <c r="C712" t="s">
        <v>21</v>
      </c>
      <c r="D712">
        <v>285964</v>
      </c>
      <c r="E712">
        <v>44605</v>
      </c>
      <c r="F712">
        <v>41468</v>
      </c>
      <c r="G712">
        <v>-271278</v>
      </c>
      <c r="H712">
        <v>100759</v>
      </c>
      <c r="I712">
        <v>104124</v>
      </c>
      <c r="J712">
        <v>1786</v>
      </c>
      <c r="K712">
        <v>1127486</v>
      </c>
      <c r="L712">
        <v>421826</v>
      </c>
      <c r="M712">
        <v>-247526</v>
      </c>
      <c r="N712">
        <v>130543</v>
      </c>
      <c r="O712" t="s">
        <v>730</v>
      </c>
      <c r="P712" s="9">
        <v>293284</v>
      </c>
      <c r="Q712" s="9">
        <v>41413</v>
      </c>
      <c r="R712" s="9">
        <v>334697</v>
      </c>
      <c r="S712" s="9">
        <v>-92729</v>
      </c>
      <c r="T712" s="10">
        <v>156276</v>
      </c>
      <c r="U712" s="10">
        <v>2965</v>
      </c>
    </row>
    <row r="713" spans="1:21" x14ac:dyDescent="0.35">
      <c r="A713" t="s">
        <v>15</v>
      </c>
      <c r="B713" t="s">
        <v>16</v>
      </c>
      <c r="C713" t="s">
        <v>17</v>
      </c>
      <c r="D713">
        <v>292079</v>
      </c>
      <c r="E713">
        <v>55750</v>
      </c>
      <c r="F713">
        <v>55925</v>
      </c>
      <c r="G713">
        <v>-280429</v>
      </c>
      <c r="H713">
        <v>123325</v>
      </c>
      <c r="I713">
        <v>120771</v>
      </c>
      <c r="J713">
        <v>2994</v>
      </c>
      <c r="K713">
        <v>670654</v>
      </c>
      <c r="L713">
        <v>224025</v>
      </c>
      <c r="M713">
        <v>-209803</v>
      </c>
      <c r="N713">
        <v>171068</v>
      </c>
      <c r="O713" t="s">
        <v>731</v>
      </c>
      <c r="P713" s="9">
        <v>278591</v>
      </c>
      <c r="Q713" s="9">
        <v>34917</v>
      </c>
      <c r="R713" s="9">
        <v>313508</v>
      </c>
      <c r="S713" s="9">
        <v>-161261</v>
      </c>
      <c r="T713" s="10">
        <v>163395</v>
      </c>
      <c r="U713" s="10">
        <v>2591</v>
      </c>
    </row>
    <row r="714" spans="1:21" x14ac:dyDescent="0.35">
      <c r="A714" t="s">
        <v>15</v>
      </c>
      <c r="B714" t="s">
        <v>16</v>
      </c>
      <c r="C714" t="s">
        <v>21</v>
      </c>
      <c r="D714">
        <v>169369</v>
      </c>
      <c r="E714">
        <v>20753</v>
      </c>
      <c r="F714">
        <v>27648</v>
      </c>
      <c r="G714">
        <v>-157893</v>
      </c>
      <c r="H714">
        <v>59877</v>
      </c>
      <c r="I714">
        <v>58954</v>
      </c>
      <c r="J714">
        <v>1261</v>
      </c>
      <c r="K714">
        <v>393129</v>
      </c>
      <c r="L714">
        <v>59778</v>
      </c>
      <c r="M714">
        <v>-123617</v>
      </c>
      <c r="N714">
        <v>58865</v>
      </c>
      <c r="O714" t="s">
        <v>732</v>
      </c>
      <c r="P714" s="9">
        <v>263718</v>
      </c>
      <c r="Q714" s="9">
        <v>13932</v>
      </c>
      <c r="R714" s="9">
        <v>277650</v>
      </c>
      <c r="S714" s="9">
        <v>-123561</v>
      </c>
      <c r="T714" s="10">
        <v>89654</v>
      </c>
      <c r="U714" s="10">
        <v>1961</v>
      </c>
    </row>
    <row r="715" spans="1:21" x14ac:dyDescent="0.35">
      <c r="A715" t="s">
        <v>15</v>
      </c>
      <c r="B715" t="s">
        <v>20</v>
      </c>
      <c r="C715" t="s">
        <v>21</v>
      </c>
      <c r="D715">
        <v>295218</v>
      </c>
      <c r="E715">
        <v>58385</v>
      </c>
      <c r="F715">
        <v>33068</v>
      </c>
      <c r="G715">
        <v>-251168</v>
      </c>
      <c r="H715">
        <v>135503</v>
      </c>
      <c r="I715">
        <v>134792</v>
      </c>
      <c r="J715">
        <v>2107</v>
      </c>
      <c r="K715">
        <v>695144</v>
      </c>
      <c r="L715">
        <v>208770</v>
      </c>
      <c r="M715">
        <v>-83658</v>
      </c>
      <c r="N715">
        <v>150100</v>
      </c>
      <c r="O715" t="s">
        <v>733</v>
      </c>
      <c r="P715" s="9">
        <v>226975</v>
      </c>
      <c r="Q715" s="9">
        <v>34214</v>
      </c>
      <c r="R715" s="9">
        <v>261189</v>
      </c>
      <c r="S715" s="9">
        <v>-105614</v>
      </c>
      <c r="T715" s="10">
        <v>95529</v>
      </c>
      <c r="U715" s="10">
        <v>1904</v>
      </c>
    </row>
    <row r="716" spans="1:21" x14ac:dyDescent="0.35">
      <c r="A716" t="s">
        <v>15</v>
      </c>
      <c r="B716" t="s">
        <v>16</v>
      </c>
      <c r="C716" t="s">
        <v>21</v>
      </c>
      <c r="D716">
        <v>279558</v>
      </c>
      <c r="E716">
        <v>44569</v>
      </c>
      <c r="F716">
        <v>33404</v>
      </c>
      <c r="G716">
        <v>-236762</v>
      </c>
      <c r="H716">
        <v>120769</v>
      </c>
      <c r="I716">
        <v>125924</v>
      </c>
      <c r="J716">
        <v>2831</v>
      </c>
      <c r="K716">
        <v>1042391</v>
      </c>
      <c r="L716">
        <v>257713</v>
      </c>
      <c r="M716">
        <v>-289738</v>
      </c>
      <c r="N716">
        <v>88756</v>
      </c>
      <c r="O716" t="s">
        <v>734</v>
      </c>
      <c r="P716" s="9">
        <v>184187</v>
      </c>
      <c r="Q716" s="9">
        <v>9820</v>
      </c>
      <c r="R716" s="9">
        <v>194007</v>
      </c>
      <c r="S716" s="9">
        <v>-86910</v>
      </c>
      <c r="T716" s="10">
        <v>47633</v>
      </c>
      <c r="U716" s="10">
        <v>1230</v>
      </c>
    </row>
    <row r="717" spans="1:21" x14ac:dyDescent="0.35">
      <c r="A717" t="s">
        <v>15</v>
      </c>
      <c r="B717" t="s">
        <v>16</v>
      </c>
      <c r="C717" t="s">
        <v>21</v>
      </c>
      <c r="D717">
        <v>236994</v>
      </c>
      <c r="E717">
        <v>36256</v>
      </c>
      <c r="F717">
        <v>34171</v>
      </c>
      <c r="G717">
        <v>-218008</v>
      </c>
      <c r="H717">
        <v>89413</v>
      </c>
      <c r="I717">
        <v>84555</v>
      </c>
      <c r="J717">
        <v>881</v>
      </c>
      <c r="K717">
        <v>770753</v>
      </c>
      <c r="L717">
        <v>303374</v>
      </c>
      <c r="M717">
        <v>-122717</v>
      </c>
      <c r="N717">
        <v>198794</v>
      </c>
      <c r="O717" t="s">
        <v>735</v>
      </c>
      <c r="P717" s="9">
        <v>319421</v>
      </c>
      <c r="Q717" s="9">
        <v>14775</v>
      </c>
      <c r="R717" s="9">
        <v>334196</v>
      </c>
      <c r="S717" s="9">
        <v>-177759</v>
      </c>
      <c r="T717" s="10">
        <v>106030</v>
      </c>
      <c r="U717" s="10">
        <v>1555</v>
      </c>
    </row>
    <row r="718" spans="1:21" x14ac:dyDescent="0.35">
      <c r="A718" t="s">
        <v>15</v>
      </c>
      <c r="B718" t="s">
        <v>16</v>
      </c>
      <c r="C718" t="s">
        <v>21</v>
      </c>
      <c r="D718">
        <v>221021</v>
      </c>
      <c r="E718">
        <v>11451</v>
      </c>
      <c r="F718">
        <v>30217</v>
      </c>
      <c r="G718">
        <v>-183415</v>
      </c>
      <c r="H718">
        <v>79274</v>
      </c>
      <c r="I718">
        <v>81136</v>
      </c>
      <c r="J718">
        <v>1294</v>
      </c>
      <c r="K718">
        <v>856737</v>
      </c>
      <c r="L718">
        <v>180230</v>
      </c>
      <c r="M718">
        <v>-185270</v>
      </c>
      <c r="N718">
        <v>177662</v>
      </c>
      <c r="O718" t="s">
        <v>736</v>
      </c>
      <c r="P718" s="9">
        <v>214684</v>
      </c>
      <c r="Q718" s="9">
        <v>40715</v>
      </c>
      <c r="R718" s="9">
        <v>255399</v>
      </c>
      <c r="S718" s="9">
        <v>-72793</v>
      </c>
      <c r="T718" s="10">
        <v>78596</v>
      </c>
      <c r="U718" s="10">
        <v>2309</v>
      </c>
    </row>
    <row r="719" spans="1:21" x14ac:dyDescent="0.35">
      <c r="A719" t="s">
        <v>15</v>
      </c>
      <c r="B719" t="s">
        <v>16</v>
      </c>
      <c r="C719" t="s">
        <v>21</v>
      </c>
      <c r="D719">
        <v>235388</v>
      </c>
      <c r="E719">
        <v>25810</v>
      </c>
      <c r="F719">
        <v>36184</v>
      </c>
      <c r="G719">
        <v>-201609</v>
      </c>
      <c r="H719">
        <v>95773</v>
      </c>
      <c r="I719">
        <v>97184</v>
      </c>
      <c r="J719">
        <v>2636</v>
      </c>
      <c r="K719">
        <v>580342</v>
      </c>
      <c r="L719">
        <v>103499</v>
      </c>
      <c r="M719">
        <v>-129128</v>
      </c>
      <c r="N719">
        <v>188431</v>
      </c>
      <c r="O719" t="s">
        <v>737</v>
      </c>
      <c r="P719" s="9">
        <v>209990</v>
      </c>
      <c r="Q719" s="9">
        <v>20509</v>
      </c>
      <c r="R719" s="9">
        <v>230499</v>
      </c>
      <c r="S719" s="9">
        <v>-111403</v>
      </c>
      <c r="T719" s="10">
        <v>110177</v>
      </c>
      <c r="U719" s="10">
        <v>1189</v>
      </c>
    </row>
    <row r="720" spans="1:21" x14ac:dyDescent="0.35">
      <c r="A720" t="s">
        <v>15</v>
      </c>
      <c r="B720" t="s">
        <v>20</v>
      </c>
      <c r="C720" t="s">
        <v>21</v>
      </c>
      <c r="D720">
        <v>187055</v>
      </c>
      <c r="E720">
        <v>25119</v>
      </c>
      <c r="F720">
        <v>26160</v>
      </c>
      <c r="G720">
        <v>-151843</v>
      </c>
      <c r="H720">
        <v>86491</v>
      </c>
      <c r="I720">
        <v>78966</v>
      </c>
      <c r="J720">
        <v>2319</v>
      </c>
      <c r="K720">
        <v>390790</v>
      </c>
      <c r="L720">
        <v>52191</v>
      </c>
      <c r="M720">
        <v>-99472</v>
      </c>
      <c r="N720">
        <v>79416</v>
      </c>
      <c r="O720" t="s">
        <v>738</v>
      </c>
      <c r="P720" s="9">
        <v>230267</v>
      </c>
      <c r="Q720" s="9">
        <v>22240</v>
      </c>
      <c r="R720" s="9">
        <v>252507</v>
      </c>
      <c r="S720" s="9">
        <v>-142863</v>
      </c>
      <c r="T720" s="10">
        <v>103438</v>
      </c>
      <c r="U720" s="10">
        <v>1917</v>
      </c>
    </row>
    <row r="721" spans="1:21" x14ac:dyDescent="0.35">
      <c r="A721" t="s">
        <v>15</v>
      </c>
      <c r="B721" t="s">
        <v>16</v>
      </c>
      <c r="C721" t="s">
        <v>21</v>
      </c>
      <c r="D721">
        <v>258119</v>
      </c>
      <c r="E721">
        <v>28625</v>
      </c>
      <c r="F721">
        <v>29758</v>
      </c>
      <c r="G721">
        <v>-226702</v>
      </c>
      <c r="H721">
        <v>89800</v>
      </c>
      <c r="I721">
        <v>82972</v>
      </c>
      <c r="J721">
        <v>1457</v>
      </c>
      <c r="K721">
        <v>681483</v>
      </c>
      <c r="L721">
        <v>179856</v>
      </c>
      <c r="M721">
        <v>-164702</v>
      </c>
      <c r="N721">
        <v>78201</v>
      </c>
      <c r="O721" t="s">
        <v>739</v>
      </c>
      <c r="P721" s="9">
        <v>207869</v>
      </c>
      <c r="Q721" s="9">
        <v>14291</v>
      </c>
      <c r="R721" s="9">
        <v>222160</v>
      </c>
      <c r="S721" s="9">
        <v>-74420</v>
      </c>
      <c r="T721" s="10">
        <v>64213</v>
      </c>
      <c r="U721" s="10">
        <v>1453</v>
      </c>
    </row>
    <row r="722" spans="1:21" x14ac:dyDescent="0.35">
      <c r="A722" t="s">
        <v>15</v>
      </c>
      <c r="B722" t="s">
        <v>20</v>
      </c>
      <c r="C722" t="s">
        <v>17</v>
      </c>
      <c r="D722">
        <v>180916</v>
      </c>
      <c r="E722">
        <v>27714</v>
      </c>
      <c r="F722">
        <v>36630</v>
      </c>
      <c r="G722">
        <v>-165450</v>
      </c>
      <c r="H722">
        <v>79810</v>
      </c>
      <c r="I722">
        <v>77049</v>
      </c>
      <c r="J722">
        <v>1739</v>
      </c>
      <c r="K722">
        <v>364834</v>
      </c>
      <c r="L722">
        <v>164854</v>
      </c>
      <c r="M722">
        <v>-69437</v>
      </c>
      <c r="N722">
        <v>135834</v>
      </c>
      <c r="O722" t="s">
        <v>740</v>
      </c>
      <c r="P722" s="9">
        <v>186562</v>
      </c>
      <c r="Q722" s="9">
        <v>37662</v>
      </c>
      <c r="R722" s="9">
        <v>224224</v>
      </c>
      <c r="S722" s="9">
        <v>-90342</v>
      </c>
      <c r="T722" s="10">
        <v>53265</v>
      </c>
      <c r="U722" s="10">
        <v>808</v>
      </c>
    </row>
    <row r="723" spans="1:21" x14ac:dyDescent="0.35">
      <c r="A723" t="s">
        <v>15</v>
      </c>
      <c r="B723" t="s">
        <v>20</v>
      </c>
      <c r="C723" t="s">
        <v>21</v>
      </c>
      <c r="D723">
        <v>221774</v>
      </c>
      <c r="E723">
        <v>14504</v>
      </c>
      <c r="F723">
        <v>25564</v>
      </c>
      <c r="G723">
        <v>-207893</v>
      </c>
      <c r="H723">
        <v>53949</v>
      </c>
      <c r="I723">
        <v>49424</v>
      </c>
      <c r="J723">
        <v>724</v>
      </c>
      <c r="K723">
        <v>701777</v>
      </c>
      <c r="L723">
        <v>159219</v>
      </c>
      <c r="M723">
        <v>-77372</v>
      </c>
      <c r="N723">
        <v>95760</v>
      </c>
      <c r="O723" t="s">
        <v>741</v>
      </c>
      <c r="P723" s="9">
        <v>184721</v>
      </c>
      <c r="Q723" s="9">
        <v>11086</v>
      </c>
      <c r="R723" s="9">
        <v>195807</v>
      </c>
      <c r="S723" s="9">
        <v>-43680</v>
      </c>
      <c r="T723" s="10">
        <v>53626</v>
      </c>
      <c r="U723" s="10">
        <v>882</v>
      </c>
    </row>
    <row r="724" spans="1:21" x14ac:dyDescent="0.35">
      <c r="A724" t="s">
        <v>15</v>
      </c>
      <c r="B724" t="s">
        <v>20</v>
      </c>
      <c r="C724" t="s">
        <v>21</v>
      </c>
      <c r="D724">
        <v>241494</v>
      </c>
      <c r="E724">
        <v>46532</v>
      </c>
      <c r="F724">
        <v>47212</v>
      </c>
      <c r="G724">
        <v>-237671</v>
      </c>
      <c r="H724">
        <v>97567</v>
      </c>
      <c r="I724">
        <v>101561</v>
      </c>
      <c r="J724">
        <v>1295</v>
      </c>
      <c r="K724">
        <v>722823</v>
      </c>
      <c r="L724">
        <v>170311</v>
      </c>
      <c r="M724">
        <v>-100459</v>
      </c>
      <c r="N724">
        <v>73607</v>
      </c>
      <c r="O724" t="s">
        <v>742</v>
      </c>
      <c r="P724" s="9">
        <v>173825</v>
      </c>
      <c r="Q724" s="9">
        <v>28685</v>
      </c>
      <c r="R724" s="9">
        <v>202510</v>
      </c>
      <c r="S724" s="9">
        <v>-48170</v>
      </c>
      <c r="T724" s="10">
        <v>68920</v>
      </c>
      <c r="U724" s="10">
        <v>900</v>
      </c>
    </row>
    <row r="725" spans="1:21" x14ac:dyDescent="0.35">
      <c r="A725" t="s">
        <v>15</v>
      </c>
      <c r="B725" t="s">
        <v>16</v>
      </c>
      <c r="C725" t="s">
        <v>21</v>
      </c>
      <c r="D725">
        <v>189903</v>
      </c>
      <c r="E725">
        <v>12171</v>
      </c>
      <c r="F725">
        <v>45293</v>
      </c>
      <c r="G725">
        <v>-156130</v>
      </c>
      <c r="H725">
        <v>91237</v>
      </c>
      <c r="I725">
        <v>85363</v>
      </c>
      <c r="J725">
        <v>1305</v>
      </c>
      <c r="K725">
        <v>391710</v>
      </c>
      <c r="L725">
        <v>67018</v>
      </c>
      <c r="M725">
        <v>-139730</v>
      </c>
      <c r="N725">
        <v>99882</v>
      </c>
      <c r="O725" t="s">
        <v>743</v>
      </c>
      <c r="P725" s="9">
        <v>277389</v>
      </c>
      <c r="Q725" s="9">
        <v>36111</v>
      </c>
      <c r="R725" s="9">
        <v>313500</v>
      </c>
      <c r="S725" s="9">
        <v>-117029</v>
      </c>
      <c r="T725" s="10">
        <v>125398</v>
      </c>
      <c r="U725" s="10">
        <v>3108</v>
      </c>
    </row>
    <row r="726" spans="1:21" x14ac:dyDescent="0.35">
      <c r="A726" t="s">
        <v>15</v>
      </c>
      <c r="B726" t="s">
        <v>16</v>
      </c>
      <c r="C726" t="s">
        <v>17</v>
      </c>
      <c r="D726">
        <v>223258</v>
      </c>
      <c r="E726">
        <v>19135</v>
      </c>
      <c r="F726">
        <v>49713</v>
      </c>
      <c r="G726">
        <v>-192445</v>
      </c>
      <c r="H726">
        <v>99661</v>
      </c>
      <c r="I726">
        <v>104508</v>
      </c>
      <c r="J726">
        <v>1475</v>
      </c>
      <c r="K726">
        <v>518266</v>
      </c>
      <c r="L726">
        <v>179121</v>
      </c>
      <c r="M726">
        <v>-117072</v>
      </c>
      <c r="N726">
        <v>127554</v>
      </c>
      <c r="O726" t="s">
        <v>744</v>
      </c>
      <c r="P726" s="9">
        <v>181704</v>
      </c>
      <c r="Q726" s="9">
        <v>11387</v>
      </c>
      <c r="R726" s="9">
        <v>193091</v>
      </c>
      <c r="S726" s="9">
        <v>-111201</v>
      </c>
      <c r="T726" s="10">
        <v>69798</v>
      </c>
      <c r="U726" s="10">
        <v>951</v>
      </c>
    </row>
    <row r="727" spans="1:21" x14ac:dyDescent="0.35">
      <c r="A727" t="s">
        <v>15</v>
      </c>
      <c r="B727" t="s">
        <v>16</v>
      </c>
      <c r="C727" t="s">
        <v>21</v>
      </c>
      <c r="D727">
        <v>247731</v>
      </c>
      <c r="E727">
        <v>27848</v>
      </c>
      <c r="F727">
        <v>34159</v>
      </c>
      <c r="G727">
        <v>-235427</v>
      </c>
      <c r="H727">
        <v>74311</v>
      </c>
      <c r="I727">
        <v>70275</v>
      </c>
      <c r="J727">
        <v>2096</v>
      </c>
      <c r="K727">
        <v>952236</v>
      </c>
      <c r="L727">
        <v>236819</v>
      </c>
      <c r="M727">
        <v>-321454</v>
      </c>
      <c r="N727">
        <v>175272</v>
      </c>
      <c r="O727" t="s">
        <v>745</v>
      </c>
      <c r="P727" s="9">
        <v>214459</v>
      </c>
      <c r="Q727" s="9">
        <v>38707</v>
      </c>
      <c r="R727" s="9">
        <v>253166</v>
      </c>
      <c r="S727" s="9">
        <v>-130627</v>
      </c>
      <c r="T727" s="10">
        <v>75262</v>
      </c>
      <c r="U727" s="10">
        <v>2199</v>
      </c>
    </row>
    <row r="728" spans="1:21" x14ac:dyDescent="0.35">
      <c r="A728" t="s">
        <v>15</v>
      </c>
      <c r="B728" t="s">
        <v>16</v>
      </c>
      <c r="C728" t="s">
        <v>21</v>
      </c>
      <c r="D728">
        <v>161287</v>
      </c>
      <c r="E728">
        <v>16797</v>
      </c>
      <c r="F728">
        <v>30776</v>
      </c>
      <c r="G728">
        <v>-143305</v>
      </c>
      <c r="H728">
        <v>65555</v>
      </c>
      <c r="I728">
        <v>63580</v>
      </c>
      <c r="J728">
        <v>1587</v>
      </c>
      <c r="K728">
        <v>345032</v>
      </c>
      <c r="L728">
        <v>56060</v>
      </c>
      <c r="M728">
        <v>-73293</v>
      </c>
      <c r="N728">
        <v>102831</v>
      </c>
      <c r="O728" t="s">
        <v>746</v>
      </c>
      <c r="P728" s="9">
        <v>175279</v>
      </c>
      <c r="Q728" s="9">
        <v>16926</v>
      </c>
      <c r="R728" s="9">
        <v>192205</v>
      </c>
      <c r="S728" s="9">
        <v>-44004</v>
      </c>
      <c r="T728" s="10">
        <v>68297</v>
      </c>
      <c r="U728" s="10">
        <v>1271</v>
      </c>
    </row>
    <row r="729" spans="1:21" x14ac:dyDescent="0.35">
      <c r="A729" t="s">
        <v>15</v>
      </c>
      <c r="B729" t="s">
        <v>16</v>
      </c>
      <c r="C729" t="s">
        <v>21</v>
      </c>
      <c r="D729">
        <v>274266</v>
      </c>
      <c r="E729">
        <v>41337</v>
      </c>
      <c r="F729">
        <v>44836</v>
      </c>
      <c r="G729">
        <v>-266042</v>
      </c>
      <c r="H729">
        <v>94397</v>
      </c>
      <c r="I729">
        <v>93217</v>
      </c>
      <c r="J729">
        <v>1932</v>
      </c>
      <c r="K729">
        <v>1057475</v>
      </c>
      <c r="L729">
        <v>279971</v>
      </c>
      <c r="M729">
        <v>-210122</v>
      </c>
      <c r="N729">
        <v>214682</v>
      </c>
      <c r="O729" t="s">
        <v>747</v>
      </c>
      <c r="P729" s="9">
        <v>295271</v>
      </c>
      <c r="Q729" s="9">
        <v>26197</v>
      </c>
      <c r="R729" s="9">
        <v>321468</v>
      </c>
      <c r="S729" s="9">
        <v>-77338</v>
      </c>
      <c r="T729" s="10">
        <v>63817</v>
      </c>
      <c r="U729" s="10">
        <v>1634</v>
      </c>
    </row>
    <row r="730" spans="1:21" x14ac:dyDescent="0.35">
      <c r="A730" t="s">
        <v>15</v>
      </c>
      <c r="B730" t="s">
        <v>16</v>
      </c>
      <c r="C730" t="s">
        <v>17</v>
      </c>
      <c r="D730">
        <v>292020</v>
      </c>
      <c r="E730">
        <v>26912</v>
      </c>
      <c r="F730">
        <v>51616</v>
      </c>
      <c r="G730">
        <v>-282336</v>
      </c>
      <c r="H730">
        <v>88212</v>
      </c>
      <c r="I730">
        <v>92497</v>
      </c>
      <c r="J730">
        <v>1951</v>
      </c>
      <c r="K730">
        <v>909381</v>
      </c>
      <c r="L730">
        <v>259740</v>
      </c>
      <c r="M730">
        <v>-91601</v>
      </c>
      <c r="N730">
        <v>131002</v>
      </c>
      <c r="O730" t="s">
        <v>748</v>
      </c>
      <c r="P730" s="9">
        <v>217325</v>
      </c>
      <c r="Q730" s="9">
        <v>14290</v>
      </c>
      <c r="R730" s="9">
        <v>231615</v>
      </c>
      <c r="S730" s="9">
        <v>-101329</v>
      </c>
      <c r="T730" s="10">
        <v>66732</v>
      </c>
      <c r="U730" s="10">
        <v>1671</v>
      </c>
    </row>
    <row r="731" spans="1:21" x14ac:dyDescent="0.35">
      <c r="A731" t="s">
        <v>15</v>
      </c>
      <c r="B731" t="s">
        <v>20</v>
      </c>
      <c r="C731" t="s">
        <v>21</v>
      </c>
      <c r="D731">
        <v>192159</v>
      </c>
      <c r="E731">
        <v>21712</v>
      </c>
      <c r="F731">
        <v>47868</v>
      </c>
      <c r="G731">
        <v>-167270</v>
      </c>
      <c r="H731">
        <v>94469</v>
      </c>
      <c r="I731">
        <v>93329</v>
      </c>
      <c r="J731">
        <v>2721</v>
      </c>
      <c r="K731">
        <v>741014</v>
      </c>
      <c r="L731">
        <v>347659</v>
      </c>
      <c r="M731">
        <v>-131450</v>
      </c>
      <c r="N731">
        <v>125083</v>
      </c>
      <c r="O731" t="s">
        <v>749</v>
      </c>
      <c r="P731" s="9">
        <v>195472</v>
      </c>
      <c r="Q731" s="9">
        <v>27515</v>
      </c>
      <c r="R731" s="9">
        <v>222987</v>
      </c>
      <c r="S731" s="9">
        <v>-87458</v>
      </c>
      <c r="T731" s="10">
        <v>68523</v>
      </c>
      <c r="U731" s="10">
        <v>1065</v>
      </c>
    </row>
    <row r="732" spans="1:21" x14ac:dyDescent="0.35">
      <c r="A732" t="s">
        <v>15</v>
      </c>
      <c r="B732" t="s">
        <v>16</v>
      </c>
      <c r="C732" t="s">
        <v>21</v>
      </c>
      <c r="D732">
        <v>254753</v>
      </c>
      <c r="E732">
        <v>38898</v>
      </c>
      <c r="F732">
        <v>48655</v>
      </c>
      <c r="G732">
        <v>-235761</v>
      </c>
      <c r="H732">
        <v>106545</v>
      </c>
      <c r="I732">
        <v>97054</v>
      </c>
      <c r="J732">
        <v>1797</v>
      </c>
      <c r="K732">
        <v>782465</v>
      </c>
      <c r="L732">
        <v>282349</v>
      </c>
      <c r="M732">
        <v>-299725</v>
      </c>
      <c r="N732">
        <v>153827</v>
      </c>
      <c r="O732" t="s">
        <v>750</v>
      </c>
      <c r="P732" s="9">
        <v>150733</v>
      </c>
      <c r="Q732" s="9">
        <v>14254</v>
      </c>
      <c r="R732" s="9">
        <v>164987</v>
      </c>
      <c r="S732" s="9">
        <v>-51815</v>
      </c>
      <c r="T732" s="10">
        <v>48868</v>
      </c>
      <c r="U732" s="10">
        <v>620</v>
      </c>
    </row>
    <row r="733" spans="1:21" x14ac:dyDescent="0.35">
      <c r="A733" t="s">
        <v>15</v>
      </c>
      <c r="B733" t="s">
        <v>20</v>
      </c>
      <c r="C733" t="s">
        <v>17</v>
      </c>
      <c r="D733">
        <v>244844</v>
      </c>
      <c r="E733">
        <v>43559</v>
      </c>
      <c r="F733">
        <v>49038</v>
      </c>
      <c r="G733">
        <v>-217937</v>
      </c>
      <c r="H733">
        <v>119504</v>
      </c>
      <c r="I733">
        <v>123855</v>
      </c>
      <c r="J733">
        <v>3701</v>
      </c>
      <c r="K733">
        <v>606796</v>
      </c>
      <c r="L733">
        <v>232173</v>
      </c>
      <c r="M733">
        <v>-189012</v>
      </c>
      <c r="N733">
        <v>97063</v>
      </c>
      <c r="O733" t="s">
        <v>751</v>
      </c>
      <c r="P733" s="9">
        <v>148326</v>
      </c>
      <c r="Q733" s="9">
        <v>12787</v>
      </c>
      <c r="R733" s="9">
        <v>161113</v>
      </c>
      <c r="S733" s="9">
        <v>-83706</v>
      </c>
      <c r="T733" s="10">
        <v>62370</v>
      </c>
      <c r="U733" s="10">
        <v>870</v>
      </c>
    </row>
    <row r="734" spans="1:21" x14ac:dyDescent="0.35">
      <c r="A734" t="s">
        <v>15</v>
      </c>
      <c r="B734" t="s">
        <v>16</v>
      </c>
      <c r="C734" t="s">
        <v>21</v>
      </c>
      <c r="D734">
        <v>278539</v>
      </c>
      <c r="E734">
        <v>47388</v>
      </c>
      <c r="F734">
        <v>68391</v>
      </c>
      <c r="G734">
        <v>-236727</v>
      </c>
      <c r="H734">
        <v>157591</v>
      </c>
      <c r="I734">
        <v>163726</v>
      </c>
      <c r="J734">
        <v>3732</v>
      </c>
      <c r="K734">
        <v>596379</v>
      </c>
      <c r="L734">
        <v>131813</v>
      </c>
      <c r="M734">
        <v>-84110</v>
      </c>
      <c r="N734">
        <v>161967</v>
      </c>
      <c r="O734" t="s">
        <v>752</v>
      </c>
      <c r="P734" s="9">
        <v>214846</v>
      </c>
      <c r="Q734" s="9">
        <v>13939</v>
      </c>
      <c r="R734" s="9">
        <v>228785</v>
      </c>
      <c r="S734" s="9">
        <v>-83677</v>
      </c>
      <c r="T734" s="10">
        <v>53295</v>
      </c>
      <c r="U734" s="10">
        <v>942</v>
      </c>
    </row>
    <row r="735" spans="1:21" x14ac:dyDescent="0.35">
      <c r="A735" t="s">
        <v>15</v>
      </c>
      <c r="B735" t="s">
        <v>16</v>
      </c>
      <c r="C735" t="s">
        <v>17</v>
      </c>
      <c r="D735">
        <v>292621</v>
      </c>
      <c r="E735">
        <v>36030</v>
      </c>
      <c r="F735">
        <v>48749</v>
      </c>
      <c r="G735">
        <v>-277261</v>
      </c>
      <c r="H735">
        <v>100139</v>
      </c>
      <c r="I735">
        <v>104431</v>
      </c>
      <c r="J735">
        <v>1998</v>
      </c>
      <c r="K735">
        <v>827169</v>
      </c>
      <c r="L735">
        <v>317392</v>
      </c>
      <c r="M735">
        <v>-316437</v>
      </c>
      <c r="N735">
        <v>232603</v>
      </c>
      <c r="O735" t="s">
        <v>753</v>
      </c>
      <c r="P735" s="9">
        <v>272752</v>
      </c>
      <c r="Q735" s="9">
        <v>37687</v>
      </c>
      <c r="R735" s="9">
        <v>310439</v>
      </c>
      <c r="S735" s="9">
        <v>-109307</v>
      </c>
      <c r="T735" s="10">
        <v>145390</v>
      </c>
      <c r="U735" s="10">
        <v>3938</v>
      </c>
    </row>
    <row r="736" spans="1:21" x14ac:dyDescent="0.35">
      <c r="A736" t="s">
        <v>15</v>
      </c>
      <c r="B736" t="s">
        <v>16</v>
      </c>
      <c r="C736" t="s">
        <v>21</v>
      </c>
      <c r="D736">
        <v>205059</v>
      </c>
      <c r="E736">
        <v>20575</v>
      </c>
      <c r="F736">
        <v>43600</v>
      </c>
      <c r="G736">
        <v>-196073</v>
      </c>
      <c r="H736">
        <v>73161</v>
      </c>
      <c r="I736">
        <v>76601</v>
      </c>
      <c r="J736">
        <v>2261</v>
      </c>
      <c r="K736">
        <v>734677</v>
      </c>
      <c r="L736">
        <v>165543</v>
      </c>
      <c r="M736">
        <v>-241723</v>
      </c>
      <c r="N736">
        <v>136037</v>
      </c>
      <c r="O736" t="s">
        <v>754</v>
      </c>
      <c r="P736" s="9">
        <v>193639</v>
      </c>
      <c r="Q736" s="9">
        <v>19218</v>
      </c>
      <c r="R736" s="9">
        <v>212857</v>
      </c>
      <c r="S736" s="9">
        <v>-116430</v>
      </c>
      <c r="T736" s="10">
        <v>97701</v>
      </c>
      <c r="U736" s="10">
        <v>2039</v>
      </c>
    </row>
    <row r="737" spans="1:21" x14ac:dyDescent="0.35">
      <c r="A737" t="s">
        <v>15</v>
      </c>
      <c r="B737" t="s">
        <v>20</v>
      </c>
      <c r="C737" t="s">
        <v>21</v>
      </c>
      <c r="D737">
        <v>297914</v>
      </c>
      <c r="E737">
        <v>49585</v>
      </c>
      <c r="F737">
        <v>52307</v>
      </c>
      <c r="G737">
        <v>-289272</v>
      </c>
      <c r="H737">
        <v>110534</v>
      </c>
      <c r="I737">
        <v>112786</v>
      </c>
      <c r="J737">
        <v>2840</v>
      </c>
      <c r="K737">
        <v>1063920</v>
      </c>
      <c r="L737">
        <v>185063</v>
      </c>
      <c r="M737">
        <v>-289044</v>
      </c>
      <c r="N737">
        <v>113923</v>
      </c>
      <c r="O737" t="s">
        <v>755</v>
      </c>
      <c r="P737" s="9">
        <v>194887</v>
      </c>
      <c r="Q737" s="9">
        <v>32516</v>
      </c>
      <c r="R737" s="9">
        <v>227403</v>
      </c>
      <c r="S737" s="9">
        <v>-133648</v>
      </c>
      <c r="T737" s="10">
        <v>82737</v>
      </c>
      <c r="U737" s="10">
        <v>1753</v>
      </c>
    </row>
    <row r="738" spans="1:21" x14ac:dyDescent="0.35">
      <c r="A738" t="s">
        <v>15</v>
      </c>
      <c r="B738" t="s">
        <v>20</v>
      </c>
      <c r="C738" t="s">
        <v>21</v>
      </c>
      <c r="D738">
        <v>152043</v>
      </c>
      <c r="E738">
        <v>18509</v>
      </c>
      <c r="F738">
        <v>34025</v>
      </c>
      <c r="G738">
        <v>-127239</v>
      </c>
      <c r="H738">
        <v>77338</v>
      </c>
      <c r="I738">
        <v>71256</v>
      </c>
      <c r="J738">
        <v>1051</v>
      </c>
      <c r="K738">
        <v>342052</v>
      </c>
      <c r="L738">
        <v>119085</v>
      </c>
      <c r="M738">
        <v>-80559</v>
      </c>
      <c r="N738">
        <v>80244</v>
      </c>
      <c r="O738" t="s">
        <v>756</v>
      </c>
      <c r="P738" s="9">
        <v>204212</v>
      </c>
      <c r="Q738" s="9">
        <v>23648</v>
      </c>
      <c r="R738" s="9">
        <v>227860</v>
      </c>
      <c r="S738" s="9">
        <v>-87966</v>
      </c>
      <c r="T738" s="10">
        <v>67268</v>
      </c>
      <c r="U738" s="10">
        <v>969</v>
      </c>
    </row>
    <row r="739" spans="1:21" x14ac:dyDescent="0.35">
      <c r="A739" t="s">
        <v>15</v>
      </c>
      <c r="B739" t="s">
        <v>16</v>
      </c>
      <c r="C739" t="s">
        <v>21</v>
      </c>
      <c r="D739">
        <v>286881</v>
      </c>
      <c r="E739">
        <v>35384</v>
      </c>
      <c r="F739">
        <v>62685</v>
      </c>
      <c r="G739">
        <v>-229910</v>
      </c>
      <c r="H739">
        <v>155040</v>
      </c>
      <c r="I739">
        <v>156480</v>
      </c>
      <c r="J739">
        <v>1884</v>
      </c>
      <c r="K739">
        <v>607185</v>
      </c>
      <c r="L739">
        <v>204630</v>
      </c>
      <c r="M739">
        <v>-104121</v>
      </c>
      <c r="N739">
        <v>224967</v>
      </c>
      <c r="O739" t="s">
        <v>757</v>
      </c>
      <c r="P739" s="9">
        <v>254463</v>
      </c>
      <c r="Q739" s="9">
        <v>39544</v>
      </c>
      <c r="R739" s="9">
        <v>294007</v>
      </c>
      <c r="S739" s="9">
        <v>-79889</v>
      </c>
      <c r="T739" s="10">
        <v>122063</v>
      </c>
      <c r="U739" s="10">
        <v>2403</v>
      </c>
    </row>
    <row r="740" spans="1:21" x14ac:dyDescent="0.35">
      <c r="A740" t="s">
        <v>15</v>
      </c>
      <c r="B740" t="s">
        <v>16</v>
      </c>
      <c r="C740" t="s">
        <v>21</v>
      </c>
      <c r="D740">
        <v>293455</v>
      </c>
      <c r="E740">
        <v>18707</v>
      </c>
      <c r="F740">
        <v>31321</v>
      </c>
      <c r="G740">
        <v>-283089</v>
      </c>
      <c r="H740">
        <v>60394</v>
      </c>
      <c r="I740">
        <v>59282</v>
      </c>
      <c r="J740">
        <v>1121</v>
      </c>
      <c r="K740">
        <v>621233</v>
      </c>
      <c r="L740">
        <v>107235</v>
      </c>
      <c r="M740">
        <v>-113171</v>
      </c>
      <c r="N740">
        <v>123134</v>
      </c>
      <c r="O740" t="s">
        <v>758</v>
      </c>
      <c r="P740" s="9">
        <v>197282</v>
      </c>
      <c r="Q740" s="9">
        <v>12834</v>
      </c>
      <c r="R740" s="9">
        <v>210116</v>
      </c>
      <c r="S740" s="9">
        <v>-59063</v>
      </c>
      <c r="T740" s="10">
        <v>85959</v>
      </c>
      <c r="U740" s="10">
        <v>1259</v>
      </c>
    </row>
    <row r="741" spans="1:21" x14ac:dyDescent="0.35">
      <c r="A741" t="s">
        <v>15</v>
      </c>
      <c r="B741" t="s">
        <v>20</v>
      </c>
      <c r="C741" t="s">
        <v>21</v>
      </c>
      <c r="D741">
        <v>289814</v>
      </c>
      <c r="E741">
        <v>51341</v>
      </c>
      <c r="F741">
        <v>31733</v>
      </c>
      <c r="G741">
        <v>-281964</v>
      </c>
      <c r="H741">
        <v>90924</v>
      </c>
      <c r="I741">
        <v>93650</v>
      </c>
      <c r="J741">
        <v>1214</v>
      </c>
      <c r="K741">
        <v>938596</v>
      </c>
      <c r="L741">
        <v>435814</v>
      </c>
      <c r="M741">
        <v>-178165</v>
      </c>
      <c r="N741">
        <v>247841</v>
      </c>
      <c r="O741" t="s">
        <v>759</v>
      </c>
      <c r="P741" s="9">
        <v>264606</v>
      </c>
      <c r="Q741" s="9">
        <v>13678</v>
      </c>
      <c r="R741" s="9">
        <v>278284</v>
      </c>
      <c r="S741" s="9">
        <v>-80615</v>
      </c>
      <c r="T741" s="10">
        <v>91221</v>
      </c>
      <c r="U741" s="10">
        <v>923</v>
      </c>
    </row>
    <row r="742" spans="1:21" x14ac:dyDescent="0.35">
      <c r="A742" t="s">
        <v>15</v>
      </c>
      <c r="B742" t="s">
        <v>16</v>
      </c>
      <c r="C742" t="s">
        <v>17</v>
      </c>
      <c r="D742">
        <v>286955</v>
      </c>
      <c r="E742">
        <v>17915</v>
      </c>
      <c r="F742">
        <v>46585</v>
      </c>
      <c r="G742">
        <v>-259520</v>
      </c>
      <c r="H742">
        <v>91935</v>
      </c>
      <c r="I742">
        <v>86268</v>
      </c>
      <c r="J742">
        <v>1745</v>
      </c>
      <c r="K742">
        <v>643462</v>
      </c>
      <c r="L742">
        <v>72335</v>
      </c>
      <c r="M742">
        <v>-168298</v>
      </c>
      <c r="N742">
        <v>113115</v>
      </c>
      <c r="O742" t="s">
        <v>760</v>
      </c>
      <c r="P742" s="9">
        <v>165835</v>
      </c>
      <c r="Q742" s="9">
        <v>10386</v>
      </c>
      <c r="R742" s="9">
        <v>176221</v>
      </c>
      <c r="S742" s="9">
        <v>-78192</v>
      </c>
      <c r="T742" s="10">
        <v>43380</v>
      </c>
      <c r="U742" s="10">
        <v>553</v>
      </c>
    </row>
    <row r="743" spans="1:21" x14ac:dyDescent="0.35">
      <c r="A743" t="s">
        <v>15</v>
      </c>
      <c r="B743" t="s">
        <v>16</v>
      </c>
      <c r="C743" t="s">
        <v>21</v>
      </c>
      <c r="D743">
        <v>268251</v>
      </c>
      <c r="E743">
        <v>47335</v>
      </c>
      <c r="F743">
        <v>55093</v>
      </c>
      <c r="G743">
        <v>-232156</v>
      </c>
      <c r="H743">
        <v>138523</v>
      </c>
      <c r="I743">
        <v>142405</v>
      </c>
      <c r="J743">
        <v>4163</v>
      </c>
      <c r="K743">
        <v>1026043</v>
      </c>
      <c r="L743">
        <v>275995</v>
      </c>
      <c r="M743">
        <v>-300954</v>
      </c>
      <c r="N743">
        <v>107242</v>
      </c>
      <c r="O743" t="s">
        <v>761</v>
      </c>
      <c r="P743" s="9">
        <v>270422</v>
      </c>
      <c r="Q743" s="9">
        <v>27813</v>
      </c>
      <c r="R743" s="9">
        <v>298235</v>
      </c>
      <c r="S743" s="9">
        <v>-105921</v>
      </c>
      <c r="T743" s="10">
        <v>48902</v>
      </c>
      <c r="U743" s="10">
        <v>1397</v>
      </c>
    </row>
    <row r="744" spans="1:21" x14ac:dyDescent="0.35">
      <c r="A744" t="s">
        <v>15</v>
      </c>
      <c r="B744" t="s">
        <v>16</v>
      </c>
      <c r="C744" t="s">
        <v>21</v>
      </c>
      <c r="D744">
        <v>269576</v>
      </c>
      <c r="E744">
        <v>13999</v>
      </c>
      <c r="F744">
        <v>32018</v>
      </c>
      <c r="G744">
        <v>-221575</v>
      </c>
      <c r="H744">
        <v>94018</v>
      </c>
      <c r="I744">
        <v>84830</v>
      </c>
      <c r="J744">
        <v>1220</v>
      </c>
      <c r="K744">
        <v>1013673</v>
      </c>
      <c r="L744">
        <v>489737</v>
      </c>
      <c r="M744">
        <v>-154774</v>
      </c>
      <c r="N744">
        <v>95305</v>
      </c>
      <c r="O744" t="s">
        <v>762</v>
      </c>
      <c r="P744" s="9">
        <v>169988</v>
      </c>
      <c r="Q744" s="9">
        <v>32293</v>
      </c>
      <c r="R744" s="9">
        <v>202281</v>
      </c>
      <c r="S744" s="9">
        <v>-108237</v>
      </c>
      <c r="T744" s="10">
        <v>50318</v>
      </c>
      <c r="U744" s="10">
        <v>876</v>
      </c>
    </row>
    <row r="745" spans="1:21" x14ac:dyDescent="0.35">
      <c r="A745" t="s">
        <v>15</v>
      </c>
      <c r="B745" t="s">
        <v>16</v>
      </c>
      <c r="C745" t="s">
        <v>21</v>
      </c>
      <c r="D745">
        <v>156050</v>
      </c>
      <c r="E745">
        <v>10111</v>
      </c>
      <c r="F745">
        <v>24087</v>
      </c>
      <c r="G745">
        <v>-145937</v>
      </c>
      <c r="H745">
        <v>44311</v>
      </c>
      <c r="I745">
        <v>41858</v>
      </c>
      <c r="J745">
        <v>916</v>
      </c>
      <c r="K745">
        <v>465547</v>
      </c>
      <c r="L745">
        <v>200763</v>
      </c>
      <c r="M745">
        <v>-63510</v>
      </c>
      <c r="N745">
        <v>108633</v>
      </c>
      <c r="O745" t="s">
        <v>763</v>
      </c>
      <c r="P745" s="9">
        <v>255559</v>
      </c>
      <c r="Q745" s="9">
        <v>33661</v>
      </c>
      <c r="R745" s="9">
        <v>289220</v>
      </c>
      <c r="S745" s="9">
        <v>-139325</v>
      </c>
      <c r="T745" s="10">
        <v>81408</v>
      </c>
      <c r="U745" s="10">
        <v>1363</v>
      </c>
    </row>
    <row r="746" spans="1:21" x14ac:dyDescent="0.35">
      <c r="A746" t="s">
        <v>15</v>
      </c>
      <c r="B746" t="s">
        <v>16</v>
      </c>
      <c r="C746" t="s">
        <v>21</v>
      </c>
      <c r="D746">
        <v>162234</v>
      </c>
      <c r="E746">
        <v>24197</v>
      </c>
      <c r="F746">
        <v>28661</v>
      </c>
      <c r="G746">
        <v>-130777</v>
      </c>
      <c r="H746">
        <v>84315</v>
      </c>
      <c r="I746">
        <v>80150</v>
      </c>
      <c r="J746">
        <v>2108</v>
      </c>
      <c r="K746">
        <v>403233</v>
      </c>
      <c r="L746">
        <v>70140</v>
      </c>
      <c r="M746">
        <v>-50430</v>
      </c>
      <c r="N746">
        <v>70669</v>
      </c>
      <c r="O746" t="s">
        <v>764</v>
      </c>
      <c r="P746" s="9">
        <v>277128</v>
      </c>
      <c r="Q746" s="9">
        <v>52851</v>
      </c>
      <c r="R746" s="9">
        <v>329979</v>
      </c>
      <c r="S746" s="9">
        <v>-130582</v>
      </c>
      <c r="T746" s="10">
        <v>134293</v>
      </c>
      <c r="U746" s="10">
        <v>3471</v>
      </c>
    </row>
    <row r="747" spans="1:21" x14ac:dyDescent="0.35">
      <c r="A747" t="s">
        <v>15</v>
      </c>
      <c r="B747" t="s">
        <v>20</v>
      </c>
      <c r="C747" t="s">
        <v>21</v>
      </c>
      <c r="D747">
        <v>213063</v>
      </c>
      <c r="E747">
        <v>20721</v>
      </c>
      <c r="F747">
        <v>34173</v>
      </c>
      <c r="G747">
        <v>-192650</v>
      </c>
      <c r="H747">
        <v>75307</v>
      </c>
      <c r="I747">
        <v>75859</v>
      </c>
      <c r="J747">
        <v>1545</v>
      </c>
      <c r="K747">
        <v>807840</v>
      </c>
      <c r="L747">
        <v>178052</v>
      </c>
      <c r="M747">
        <v>-255669</v>
      </c>
      <c r="N747">
        <v>112253</v>
      </c>
      <c r="O747" t="s">
        <v>765</v>
      </c>
      <c r="P747" s="9">
        <v>293341</v>
      </c>
      <c r="Q747" s="9">
        <v>34886</v>
      </c>
      <c r="R747" s="9">
        <v>328227</v>
      </c>
      <c r="S747" s="9">
        <v>-105402</v>
      </c>
      <c r="T747" s="10">
        <v>72543</v>
      </c>
      <c r="U747" s="10">
        <v>1484</v>
      </c>
    </row>
    <row r="748" spans="1:21" x14ac:dyDescent="0.35">
      <c r="A748" t="s">
        <v>15</v>
      </c>
      <c r="B748" t="s">
        <v>20</v>
      </c>
      <c r="C748" t="s">
        <v>21</v>
      </c>
      <c r="D748">
        <v>170443</v>
      </c>
      <c r="E748">
        <v>16468</v>
      </c>
      <c r="F748">
        <v>28176</v>
      </c>
      <c r="G748">
        <v>-140282</v>
      </c>
      <c r="H748">
        <v>74805</v>
      </c>
      <c r="I748">
        <v>76250</v>
      </c>
      <c r="J748">
        <v>1802</v>
      </c>
      <c r="K748">
        <v>420698</v>
      </c>
      <c r="L748">
        <v>157246</v>
      </c>
      <c r="M748">
        <v>-108266</v>
      </c>
      <c r="N748">
        <v>121834</v>
      </c>
      <c r="O748" t="s">
        <v>766</v>
      </c>
      <c r="P748" s="9">
        <v>189465</v>
      </c>
      <c r="Q748" s="9">
        <v>8798</v>
      </c>
      <c r="R748" s="9">
        <v>198263</v>
      </c>
      <c r="S748" s="9">
        <v>-82336</v>
      </c>
      <c r="T748" s="10">
        <v>70140</v>
      </c>
      <c r="U748" s="10">
        <v>1040</v>
      </c>
    </row>
    <row r="749" spans="1:21" x14ac:dyDescent="0.35">
      <c r="A749" t="s">
        <v>15</v>
      </c>
      <c r="B749" t="s">
        <v>20</v>
      </c>
      <c r="C749" t="s">
        <v>21</v>
      </c>
      <c r="D749">
        <v>208295</v>
      </c>
      <c r="E749">
        <v>34320</v>
      </c>
      <c r="F749">
        <v>47602</v>
      </c>
      <c r="G749">
        <v>-167011</v>
      </c>
      <c r="H749">
        <v>123206</v>
      </c>
      <c r="I749">
        <v>118945</v>
      </c>
      <c r="J749">
        <v>2049</v>
      </c>
      <c r="K749">
        <v>485157</v>
      </c>
      <c r="L749">
        <v>101946</v>
      </c>
      <c r="M749">
        <v>-54236</v>
      </c>
      <c r="N749">
        <v>107058</v>
      </c>
      <c r="O749" t="s">
        <v>767</v>
      </c>
      <c r="P749" s="9">
        <v>234039</v>
      </c>
      <c r="Q749" s="9">
        <v>31684</v>
      </c>
      <c r="R749" s="9">
        <v>265723</v>
      </c>
      <c r="S749" s="9">
        <v>-60500</v>
      </c>
      <c r="T749" s="10">
        <v>88288</v>
      </c>
      <c r="U749" s="10">
        <v>1650</v>
      </c>
    </row>
    <row r="750" spans="1:21" x14ac:dyDescent="0.35">
      <c r="A750" t="s">
        <v>15</v>
      </c>
      <c r="B750" t="s">
        <v>16</v>
      </c>
      <c r="C750" t="s">
        <v>21</v>
      </c>
      <c r="D750">
        <v>296722</v>
      </c>
      <c r="E750">
        <v>50711</v>
      </c>
      <c r="F750">
        <v>61788</v>
      </c>
      <c r="G750">
        <v>-259823</v>
      </c>
      <c r="H750">
        <v>149398</v>
      </c>
      <c r="I750">
        <v>142990</v>
      </c>
      <c r="J750">
        <v>2955</v>
      </c>
      <c r="K750">
        <v>1100764</v>
      </c>
      <c r="L750">
        <v>463577</v>
      </c>
      <c r="M750">
        <v>-329706</v>
      </c>
      <c r="N750">
        <v>129275</v>
      </c>
      <c r="O750" t="s">
        <v>768</v>
      </c>
      <c r="P750" s="9">
        <v>230640</v>
      </c>
      <c r="Q750" s="9">
        <v>32652</v>
      </c>
      <c r="R750" s="9">
        <v>263292</v>
      </c>
      <c r="S750" s="9">
        <v>-147639</v>
      </c>
      <c r="T750" s="10">
        <v>81763</v>
      </c>
      <c r="U750" s="10">
        <v>2448</v>
      </c>
    </row>
    <row r="751" spans="1:21" x14ac:dyDescent="0.35">
      <c r="A751" t="s">
        <v>15</v>
      </c>
      <c r="B751" t="s">
        <v>16</v>
      </c>
      <c r="C751" t="s">
        <v>21</v>
      </c>
      <c r="D751">
        <v>252172</v>
      </c>
      <c r="E751">
        <v>44952</v>
      </c>
      <c r="F751">
        <v>34765</v>
      </c>
      <c r="G751">
        <v>-217380</v>
      </c>
      <c r="H751">
        <v>114509</v>
      </c>
      <c r="I751">
        <v>115522</v>
      </c>
      <c r="J751">
        <v>1684</v>
      </c>
      <c r="K751">
        <v>879376</v>
      </c>
      <c r="L751">
        <v>181407</v>
      </c>
      <c r="M751">
        <v>-229935</v>
      </c>
      <c r="N751">
        <v>130222</v>
      </c>
      <c r="O751" t="s">
        <v>769</v>
      </c>
      <c r="P751" s="9">
        <v>211062</v>
      </c>
      <c r="Q751" s="9">
        <v>31625</v>
      </c>
      <c r="R751" s="9">
        <v>242687</v>
      </c>
      <c r="S751" s="9">
        <v>-96835</v>
      </c>
      <c r="T751" s="10">
        <v>84080</v>
      </c>
      <c r="U751" s="10">
        <v>2294</v>
      </c>
    </row>
    <row r="752" spans="1:21" x14ac:dyDescent="0.35">
      <c r="A752" t="s">
        <v>15</v>
      </c>
      <c r="B752" t="s">
        <v>16</v>
      </c>
      <c r="C752" t="s">
        <v>21</v>
      </c>
      <c r="D752">
        <v>219051</v>
      </c>
      <c r="E752">
        <v>11390</v>
      </c>
      <c r="F752">
        <v>30535</v>
      </c>
      <c r="G752">
        <v>-208827</v>
      </c>
      <c r="H752">
        <v>52149</v>
      </c>
      <c r="I752">
        <v>51287</v>
      </c>
      <c r="J752">
        <v>671</v>
      </c>
      <c r="K752">
        <v>825896</v>
      </c>
      <c r="L752">
        <v>293265</v>
      </c>
      <c r="M752">
        <v>-213375</v>
      </c>
      <c r="N752">
        <v>121583</v>
      </c>
      <c r="O752" t="s">
        <v>770</v>
      </c>
      <c r="P752" s="9">
        <v>199640</v>
      </c>
      <c r="Q752" s="9">
        <v>36522</v>
      </c>
      <c r="R752" s="9">
        <v>236162</v>
      </c>
      <c r="S752" s="9">
        <v>-131552</v>
      </c>
      <c r="T752" s="10">
        <v>92080</v>
      </c>
      <c r="U752" s="10">
        <v>972</v>
      </c>
    </row>
    <row r="753" spans="1:21" x14ac:dyDescent="0.35">
      <c r="A753" t="s">
        <v>15</v>
      </c>
      <c r="B753" t="s">
        <v>20</v>
      </c>
      <c r="C753" t="s">
        <v>21</v>
      </c>
      <c r="D753">
        <v>183421</v>
      </c>
      <c r="E753">
        <v>35529</v>
      </c>
      <c r="F753">
        <v>43622</v>
      </c>
      <c r="G753">
        <v>-168703</v>
      </c>
      <c r="H753">
        <v>93869</v>
      </c>
      <c r="I753">
        <v>93908</v>
      </c>
      <c r="J753">
        <v>1088</v>
      </c>
      <c r="K753">
        <v>511319</v>
      </c>
      <c r="L753">
        <v>129361</v>
      </c>
      <c r="M753">
        <v>-181588</v>
      </c>
      <c r="N753">
        <v>78864</v>
      </c>
      <c r="O753" t="s">
        <v>771</v>
      </c>
      <c r="P753" s="9">
        <v>164542</v>
      </c>
      <c r="Q753" s="9">
        <v>20367</v>
      </c>
      <c r="R753" s="9">
        <v>184909</v>
      </c>
      <c r="S753" s="9">
        <v>-53610</v>
      </c>
      <c r="T753" s="10">
        <v>84619</v>
      </c>
      <c r="U753" s="10">
        <v>1780</v>
      </c>
    </row>
    <row r="754" spans="1:21" x14ac:dyDescent="0.35">
      <c r="A754" t="s">
        <v>15</v>
      </c>
      <c r="B754" t="s">
        <v>20</v>
      </c>
      <c r="C754" t="s">
        <v>21</v>
      </c>
      <c r="D754">
        <v>224220</v>
      </c>
      <c r="E754">
        <v>41675</v>
      </c>
      <c r="F754">
        <v>38758</v>
      </c>
      <c r="G754">
        <v>-191840</v>
      </c>
      <c r="H754">
        <v>112813</v>
      </c>
      <c r="I754">
        <v>113325</v>
      </c>
      <c r="J754">
        <v>3105</v>
      </c>
      <c r="K754">
        <v>572221</v>
      </c>
      <c r="L754">
        <v>102122</v>
      </c>
      <c r="M754">
        <v>-137321</v>
      </c>
      <c r="N754">
        <v>83301</v>
      </c>
      <c r="O754" t="s">
        <v>772</v>
      </c>
      <c r="P754" s="9">
        <v>248322</v>
      </c>
      <c r="Q754" s="9">
        <v>39588</v>
      </c>
      <c r="R754" s="9">
        <v>287910</v>
      </c>
      <c r="S754" s="9">
        <v>-156290</v>
      </c>
      <c r="T754" s="10">
        <v>113626</v>
      </c>
      <c r="U754" s="10">
        <v>1614</v>
      </c>
    </row>
    <row r="755" spans="1:21" x14ac:dyDescent="0.35">
      <c r="A755" t="s">
        <v>15</v>
      </c>
      <c r="B755" t="s">
        <v>16</v>
      </c>
      <c r="C755" t="s">
        <v>21</v>
      </c>
      <c r="D755">
        <v>258215</v>
      </c>
      <c r="E755">
        <v>44136</v>
      </c>
      <c r="F755">
        <v>38020</v>
      </c>
      <c r="G755">
        <v>-232039</v>
      </c>
      <c r="H755">
        <v>108332</v>
      </c>
      <c r="I755">
        <v>111930</v>
      </c>
      <c r="J755">
        <v>1339</v>
      </c>
      <c r="K755">
        <v>820106</v>
      </c>
      <c r="L755">
        <v>134384</v>
      </c>
      <c r="M755">
        <v>-312193</v>
      </c>
      <c r="N755">
        <v>158488</v>
      </c>
      <c r="O755" t="s">
        <v>773</v>
      </c>
      <c r="P755" s="9">
        <v>202906</v>
      </c>
      <c r="Q755" s="9">
        <v>40441</v>
      </c>
      <c r="R755" s="9">
        <v>243347</v>
      </c>
      <c r="S755" s="9">
        <v>-72500</v>
      </c>
      <c r="T755" s="10">
        <v>118923</v>
      </c>
      <c r="U755" s="10">
        <v>2334</v>
      </c>
    </row>
    <row r="756" spans="1:21" x14ac:dyDescent="0.35">
      <c r="A756" t="s">
        <v>15</v>
      </c>
      <c r="B756" t="s">
        <v>16</v>
      </c>
      <c r="C756" t="s">
        <v>21</v>
      </c>
      <c r="D756">
        <v>287298</v>
      </c>
      <c r="E756">
        <v>25041</v>
      </c>
      <c r="F756">
        <v>30660</v>
      </c>
      <c r="G756">
        <v>-251832</v>
      </c>
      <c r="H756">
        <v>91167</v>
      </c>
      <c r="I756">
        <v>93626</v>
      </c>
      <c r="J756">
        <v>2555</v>
      </c>
      <c r="K756">
        <v>630568</v>
      </c>
      <c r="L756">
        <v>238950</v>
      </c>
      <c r="M756">
        <v>-228932</v>
      </c>
      <c r="N756">
        <v>117197</v>
      </c>
      <c r="O756" t="s">
        <v>774</v>
      </c>
      <c r="P756" s="9">
        <v>246871</v>
      </c>
      <c r="Q756" s="9">
        <v>47540</v>
      </c>
      <c r="R756" s="9">
        <v>294411</v>
      </c>
      <c r="S756" s="9">
        <v>-103210</v>
      </c>
      <c r="T756" s="10">
        <v>130416</v>
      </c>
      <c r="U756" s="10">
        <v>3102</v>
      </c>
    </row>
    <row r="757" spans="1:21" x14ac:dyDescent="0.35">
      <c r="A757" t="s">
        <v>15</v>
      </c>
      <c r="B757" t="s">
        <v>16</v>
      </c>
      <c r="C757" t="s">
        <v>21</v>
      </c>
      <c r="D757">
        <v>268048</v>
      </c>
      <c r="E757">
        <v>45845</v>
      </c>
      <c r="F757">
        <v>29366</v>
      </c>
      <c r="G757">
        <v>-238158</v>
      </c>
      <c r="H757">
        <v>105101</v>
      </c>
      <c r="I757">
        <v>106630</v>
      </c>
      <c r="J757">
        <v>1307</v>
      </c>
      <c r="K757">
        <v>955961</v>
      </c>
      <c r="L757">
        <v>350543</v>
      </c>
      <c r="M757">
        <v>-213185</v>
      </c>
      <c r="N757">
        <v>149243</v>
      </c>
      <c r="O757" t="s">
        <v>775</v>
      </c>
      <c r="P757" s="9">
        <v>260916</v>
      </c>
      <c r="Q757" s="9">
        <v>28679</v>
      </c>
      <c r="R757" s="9">
        <v>289595</v>
      </c>
      <c r="S757" s="9">
        <v>-83441</v>
      </c>
      <c r="T757" s="10">
        <v>85241</v>
      </c>
      <c r="U757" s="10">
        <v>1093</v>
      </c>
    </row>
    <row r="758" spans="1:21" x14ac:dyDescent="0.35">
      <c r="A758" t="s">
        <v>15</v>
      </c>
      <c r="B758" t="s">
        <v>16</v>
      </c>
      <c r="C758" t="s">
        <v>21</v>
      </c>
      <c r="D758">
        <v>261254</v>
      </c>
      <c r="E758">
        <v>20500</v>
      </c>
      <c r="F758">
        <v>50208</v>
      </c>
      <c r="G758">
        <v>-249154</v>
      </c>
      <c r="H758">
        <v>82808</v>
      </c>
      <c r="I758">
        <v>86147</v>
      </c>
      <c r="J758">
        <v>2268</v>
      </c>
      <c r="K758">
        <v>567209</v>
      </c>
      <c r="L758">
        <v>264933</v>
      </c>
      <c r="M758">
        <v>-108622</v>
      </c>
      <c r="N758">
        <v>131479</v>
      </c>
      <c r="O758" t="s">
        <v>776</v>
      </c>
      <c r="P758" s="9">
        <v>256674</v>
      </c>
      <c r="Q758" s="9">
        <v>18239</v>
      </c>
      <c r="R758" s="9">
        <v>274913</v>
      </c>
      <c r="S758" s="9">
        <v>-76669</v>
      </c>
      <c r="T758" s="10">
        <v>114184</v>
      </c>
      <c r="U758" s="10">
        <v>2953</v>
      </c>
    </row>
    <row r="759" spans="1:21" x14ac:dyDescent="0.35">
      <c r="A759" t="s">
        <v>15</v>
      </c>
      <c r="B759" t="s">
        <v>20</v>
      </c>
      <c r="C759" t="s">
        <v>17</v>
      </c>
      <c r="D759">
        <v>247841</v>
      </c>
      <c r="E759">
        <v>38276</v>
      </c>
      <c r="F759">
        <v>43608</v>
      </c>
      <c r="G759">
        <v>-198275</v>
      </c>
      <c r="H759">
        <v>131450</v>
      </c>
      <c r="I759">
        <v>120922</v>
      </c>
      <c r="J759">
        <v>3166</v>
      </c>
      <c r="K759">
        <v>612021</v>
      </c>
      <c r="L759">
        <v>283197</v>
      </c>
      <c r="M759">
        <v>-141104</v>
      </c>
      <c r="N759">
        <v>188169</v>
      </c>
      <c r="O759" t="s">
        <v>777</v>
      </c>
      <c r="P759" s="9">
        <v>283214</v>
      </c>
      <c r="Q759" s="9">
        <v>16455</v>
      </c>
      <c r="R759" s="9">
        <v>299669</v>
      </c>
      <c r="S759" s="9">
        <v>-120788</v>
      </c>
      <c r="T759" s="10">
        <v>60694</v>
      </c>
      <c r="U759" s="10">
        <v>1660</v>
      </c>
    </row>
    <row r="760" spans="1:21" x14ac:dyDescent="0.35">
      <c r="A760" t="s">
        <v>15</v>
      </c>
      <c r="B760" t="s">
        <v>16</v>
      </c>
      <c r="C760" t="s">
        <v>21</v>
      </c>
      <c r="D760">
        <v>188844</v>
      </c>
      <c r="E760">
        <v>11891</v>
      </c>
      <c r="F760">
        <v>45398</v>
      </c>
      <c r="G760">
        <v>-168187</v>
      </c>
      <c r="H760">
        <v>77946</v>
      </c>
      <c r="I760">
        <v>81602</v>
      </c>
      <c r="J760">
        <v>1513</v>
      </c>
      <c r="K760">
        <v>704184</v>
      </c>
      <c r="L760">
        <v>72918</v>
      </c>
      <c r="M760">
        <v>-97974</v>
      </c>
      <c r="N760">
        <v>118882</v>
      </c>
      <c r="O760" t="s">
        <v>778</v>
      </c>
      <c r="P760" s="9">
        <v>172414</v>
      </c>
      <c r="Q760" s="9">
        <v>30935</v>
      </c>
      <c r="R760" s="9">
        <v>203349</v>
      </c>
      <c r="S760" s="9">
        <v>-67501</v>
      </c>
      <c r="T760" s="10">
        <v>65911</v>
      </c>
      <c r="U760" s="10">
        <v>1773</v>
      </c>
    </row>
    <row r="761" spans="1:21" x14ac:dyDescent="0.35">
      <c r="A761" t="s">
        <v>15</v>
      </c>
      <c r="B761" t="s">
        <v>20</v>
      </c>
      <c r="C761" t="s">
        <v>21</v>
      </c>
      <c r="D761">
        <v>170084</v>
      </c>
      <c r="E761">
        <v>11580</v>
      </c>
      <c r="F761">
        <v>28596</v>
      </c>
      <c r="G761">
        <v>-161623</v>
      </c>
      <c r="H761">
        <v>48637</v>
      </c>
      <c r="I761">
        <v>47313</v>
      </c>
      <c r="J761">
        <v>1144</v>
      </c>
      <c r="K761">
        <v>499689</v>
      </c>
      <c r="L761">
        <v>142796</v>
      </c>
      <c r="M761">
        <v>-140185</v>
      </c>
      <c r="N761">
        <v>89181</v>
      </c>
      <c r="O761" t="s">
        <v>779</v>
      </c>
      <c r="P761" s="9">
        <v>272657</v>
      </c>
      <c r="Q761" s="9">
        <v>35660</v>
      </c>
      <c r="R761" s="9">
        <v>308317</v>
      </c>
      <c r="S761" s="9">
        <v>-162503</v>
      </c>
      <c r="T761" s="10">
        <v>142490</v>
      </c>
      <c r="U761" s="10">
        <v>1447</v>
      </c>
    </row>
    <row r="762" spans="1:21" x14ac:dyDescent="0.35">
      <c r="A762" t="s">
        <v>15</v>
      </c>
      <c r="B762" t="s">
        <v>16</v>
      </c>
      <c r="C762" t="s">
        <v>17</v>
      </c>
      <c r="D762">
        <v>268406</v>
      </c>
      <c r="E762">
        <v>20541</v>
      </c>
      <c r="F762">
        <v>42129</v>
      </c>
      <c r="G762">
        <v>-244505</v>
      </c>
      <c r="H762">
        <v>86571</v>
      </c>
      <c r="I762">
        <v>85315</v>
      </c>
      <c r="J762">
        <v>993</v>
      </c>
      <c r="K762">
        <v>956317</v>
      </c>
      <c r="L762">
        <v>271361</v>
      </c>
      <c r="M762">
        <v>-315946</v>
      </c>
      <c r="N762">
        <v>156394</v>
      </c>
      <c r="O762" t="s">
        <v>780</v>
      </c>
      <c r="P762" s="9">
        <v>271181</v>
      </c>
      <c r="Q762" s="9">
        <v>33187</v>
      </c>
      <c r="R762" s="9">
        <v>304368</v>
      </c>
      <c r="S762" s="9">
        <v>-103095</v>
      </c>
      <c r="T762" s="10">
        <v>71945</v>
      </c>
      <c r="U762" s="10">
        <v>758</v>
      </c>
    </row>
    <row r="763" spans="1:21" x14ac:dyDescent="0.35">
      <c r="A763" t="s">
        <v>15</v>
      </c>
      <c r="B763" t="s">
        <v>16</v>
      </c>
      <c r="C763" t="s">
        <v>21</v>
      </c>
      <c r="D763">
        <v>212944</v>
      </c>
      <c r="E763">
        <v>32747</v>
      </c>
      <c r="F763">
        <v>47675</v>
      </c>
      <c r="G763">
        <v>-172825</v>
      </c>
      <c r="H763">
        <v>120541</v>
      </c>
      <c r="I763">
        <v>119916</v>
      </c>
      <c r="J763">
        <v>1441</v>
      </c>
      <c r="K763">
        <v>581167</v>
      </c>
      <c r="L763">
        <v>172127</v>
      </c>
      <c r="M763">
        <v>-146168</v>
      </c>
      <c r="N763">
        <v>112955</v>
      </c>
      <c r="O763" t="s">
        <v>781</v>
      </c>
      <c r="P763" s="9">
        <v>317914</v>
      </c>
      <c r="Q763" s="9">
        <v>36694</v>
      </c>
      <c r="R763" s="9">
        <v>354608</v>
      </c>
      <c r="S763" s="9">
        <v>-173650</v>
      </c>
      <c r="T763" s="10">
        <v>142856</v>
      </c>
      <c r="U763" s="10">
        <v>1868</v>
      </c>
    </row>
    <row r="764" spans="1:21" x14ac:dyDescent="0.35">
      <c r="A764" t="s">
        <v>15</v>
      </c>
      <c r="B764" t="s">
        <v>20</v>
      </c>
      <c r="C764" t="s">
        <v>17</v>
      </c>
      <c r="D764">
        <v>173672</v>
      </c>
      <c r="E764">
        <v>20177</v>
      </c>
      <c r="F764">
        <v>26255</v>
      </c>
      <c r="G764">
        <v>-152604</v>
      </c>
      <c r="H764">
        <v>67500</v>
      </c>
      <c r="I764">
        <v>70426</v>
      </c>
      <c r="J764">
        <v>763</v>
      </c>
      <c r="K764">
        <v>464579</v>
      </c>
      <c r="L764">
        <v>53034</v>
      </c>
      <c r="M764">
        <v>-86291</v>
      </c>
      <c r="N764">
        <v>113301</v>
      </c>
      <c r="O764" t="s">
        <v>782</v>
      </c>
      <c r="P764" s="9">
        <v>198726</v>
      </c>
      <c r="Q764" s="9">
        <v>26850</v>
      </c>
      <c r="R764" s="9">
        <v>225576</v>
      </c>
      <c r="S764" s="9">
        <v>-56586</v>
      </c>
      <c r="T764" s="10">
        <v>71556</v>
      </c>
      <c r="U764" s="10">
        <v>959</v>
      </c>
    </row>
    <row r="765" spans="1:21" x14ac:dyDescent="0.35">
      <c r="A765" t="s">
        <v>15</v>
      </c>
      <c r="B765" t="s">
        <v>16</v>
      </c>
      <c r="C765" t="s">
        <v>17</v>
      </c>
      <c r="D765">
        <v>165906</v>
      </c>
      <c r="E765">
        <v>12416</v>
      </c>
      <c r="F765">
        <v>16847</v>
      </c>
      <c r="G765">
        <v>-139221</v>
      </c>
      <c r="H765">
        <v>55948</v>
      </c>
      <c r="I765">
        <v>51690</v>
      </c>
      <c r="J765">
        <v>749</v>
      </c>
      <c r="K765">
        <v>354667</v>
      </c>
      <c r="L765">
        <v>117123</v>
      </c>
      <c r="M765">
        <v>-65386</v>
      </c>
      <c r="N765">
        <v>133468</v>
      </c>
      <c r="O765" t="s">
        <v>783</v>
      </c>
      <c r="P765" s="9">
        <v>191523</v>
      </c>
      <c r="Q765" s="9">
        <v>20578</v>
      </c>
      <c r="R765" s="9">
        <v>212101</v>
      </c>
      <c r="S765" s="9">
        <v>-117525</v>
      </c>
      <c r="T765" s="10">
        <v>71364</v>
      </c>
      <c r="U765" s="10">
        <v>1743</v>
      </c>
    </row>
    <row r="766" spans="1:21" x14ac:dyDescent="0.35">
      <c r="A766" t="s">
        <v>15</v>
      </c>
      <c r="B766" t="s">
        <v>16</v>
      </c>
      <c r="C766" t="s">
        <v>21</v>
      </c>
      <c r="D766">
        <v>251215</v>
      </c>
      <c r="E766">
        <v>46532</v>
      </c>
      <c r="F766">
        <v>50199</v>
      </c>
      <c r="G766">
        <v>-201377</v>
      </c>
      <c r="H766">
        <v>146569</v>
      </c>
      <c r="I766">
        <v>142630</v>
      </c>
      <c r="J766">
        <v>3676</v>
      </c>
      <c r="K766">
        <v>918153</v>
      </c>
      <c r="L766">
        <v>452094</v>
      </c>
      <c r="M766">
        <v>-156266</v>
      </c>
      <c r="N766">
        <v>90051</v>
      </c>
      <c r="O766" t="s">
        <v>784</v>
      </c>
      <c r="P766" s="9">
        <v>242141</v>
      </c>
      <c r="Q766" s="9">
        <v>14044</v>
      </c>
      <c r="R766" s="9">
        <v>256185</v>
      </c>
      <c r="S766" s="9">
        <v>-57052</v>
      </c>
      <c r="T766" s="10">
        <v>99855</v>
      </c>
      <c r="U766" s="10">
        <v>2466</v>
      </c>
    </row>
    <row r="767" spans="1:21" x14ac:dyDescent="0.35">
      <c r="A767" t="s">
        <v>15</v>
      </c>
      <c r="B767" t="s">
        <v>16</v>
      </c>
      <c r="C767" t="s">
        <v>21</v>
      </c>
      <c r="D767">
        <v>226368</v>
      </c>
      <c r="E767">
        <v>16789</v>
      </c>
      <c r="F767">
        <v>44441</v>
      </c>
      <c r="G767">
        <v>-212550</v>
      </c>
      <c r="H767">
        <v>75048</v>
      </c>
      <c r="I767">
        <v>71913</v>
      </c>
      <c r="J767">
        <v>2138</v>
      </c>
      <c r="K767">
        <v>654197</v>
      </c>
      <c r="L767">
        <v>312489</v>
      </c>
      <c r="M767">
        <v>-106672</v>
      </c>
      <c r="N767">
        <v>191423</v>
      </c>
      <c r="O767" t="s">
        <v>785</v>
      </c>
      <c r="P767" s="9">
        <v>184398</v>
      </c>
      <c r="Q767" s="9">
        <v>10025</v>
      </c>
      <c r="R767" s="9">
        <v>194423</v>
      </c>
      <c r="S767" s="9">
        <v>-102516</v>
      </c>
      <c r="T767" s="10">
        <v>30212</v>
      </c>
      <c r="U767" s="10">
        <v>571</v>
      </c>
    </row>
    <row r="768" spans="1:21" x14ac:dyDescent="0.35">
      <c r="A768" t="s">
        <v>15</v>
      </c>
      <c r="B768" t="s">
        <v>16</v>
      </c>
      <c r="C768" t="s">
        <v>17</v>
      </c>
      <c r="D768">
        <v>277332</v>
      </c>
      <c r="E768">
        <v>44301</v>
      </c>
      <c r="F768">
        <v>39452</v>
      </c>
      <c r="G768">
        <v>-268502</v>
      </c>
      <c r="H768">
        <v>92583</v>
      </c>
      <c r="I768">
        <v>89263</v>
      </c>
      <c r="J768">
        <v>2262</v>
      </c>
      <c r="K768">
        <v>931378</v>
      </c>
      <c r="L768">
        <v>293219</v>
      </c>
      <c r="M768">
        <v>-280190</v>
      </c>
      <c r="N768">
        <v>172017</v>
      </c>
      <c r="O768" t="s">
        <v>786</v>
      </c>
      <c r="P768" s="9">
        <v>308015</v>
      </c>
      <c r="Q768" s="9">
        <v>32096</v>
      </c>
      <c r="R768" s="9">
        <v>340111</v>
      </c>
      <c r="S768" s="9">
        <v>-139280</v>
      </c>
      <c r="T768" s="10">
        <v>99744</v>
      </c>
      <c r="U768" s="10">
        <v>2797</v>
      </c>
    </row>
    <row r="769" spans="1:21" x14ac:dyDescent="0.35">
      <c r="A769" t="s">
        <v>15</v>
      </c>
      <c r="B769" t="s">
        <v>16</v>
      </c>
      <c r="C769" t="s">
        <v>17</v>
      </c>
      <c r="D769">
        <v>293131</v>
      </c>
      <c r="E769">
        <v>52331</v>
      </c>
      <c r="F769">
        <v>57201</v>
      </c>
      <c r="G769">
        <v>-245603</v>
      </c>
      <c r="H769">
        <v>157060</v>
      </c>
      <c r="I769">
        <v>159714</v>
      </c>
      <c r="J769">
        <v>2559</v>
      </c>
      <c r="K769">
        <v>703312</v>
      </c>
      <c r="L769">
        <v>103318</v>
      </c>
      <c r="M769">
        <v>-131882</v>
      </c>
      <c r="N769">
        <v>143075</v>
      </c>
      <c r="O769" t="s">
        <v>787</v>
      </c>
      <c r="P769" s="9">
        <v>166288</v>
      </c>
      <c r="Q769" s="9">
        <v>7866</v>
      </c>
      <c r="R769" s="9">
        <v>174154</v>
      </c>
      <c r="S769" s="9">
        <v>-91335</v>
      </c>
      <c r="T769" s="10">
        <v>54220</v>
      </c>
      <c r="U769" s="10">
        <v>1309</v>
      </c>
    </row>
    <row r="770" spans="1:21" x14ac:dyDescent="0.35">
      <c r="A770" t="s">
        <v>15</v>
      </c>
      <c r="B770" t="s">
        <v>16</v>
      </c>
      <c r="C770" t="s">
        <v>21</v>
      </c>
      <c r="D770">
        <v>286546</v>
      </c>
      <c r="E770">
        <v>20688</v>
      </c>
      <c r="F770">
        <v>32987</v>
      </c>
      <c r="G770">
        <v>-275208</v>
      </c>
      <c r="H770">
        <v>65013</v>
      </c>
      <c r="I770">
        <v>65014</v>
      </c>
      <c r="J770">
        <v>668</v>
      </c>
      <c r="K770">
        <v>618480</v>
      </c>
      <c r="L770">
        <v>189649</v>
      </c>
      <c r="M770">
        <v>-110199</v>
      </c>
      <c r="N770">
        <v>94512</v>
      </c>
      <c r="O770" t="s">
        <v>788</v>
      </c>
      <c r="P770" s="9">
        <v>262401</v>
      </c>
      <c r="Q770" s="9">
        <v>21477</v>
      </c>
      <c r="R770" s="9">
        <v>283878</v>
      </c>
      <c r="S770" s="9">
        <v>-116418</v>
      </c>
      <c r="T770" s="10">
        <v>102571</v>
      </c>
      <c r="U770" s="10">
        <v>2592</v>
      </c>
    </row>
    <row r="771" spans="1:21" x14ac:dyDescent="0.35">
      <c r="A771" t="s">
        <v>15</v>
      </c>
      <c r="B771" t="s">
        <v>20</v>
      </c>
      <c r="C771" t="s">
        <v>21</v>
      </c>
      <c r="D771">
        <v>177596</v>
      </c>
      <c r="E771">
        <v>13288</v>
      </c>
      <c r="F771">
        <v>23509</v>
      </c>
      <c r="G771">
        <v>-169749</v>
      </c>
      <c r="H771">
        <v>44644</v>
      </c>
      <c r="I771">
        <v>46003</v>
      </c>
      <c r="J771">
        <v>1272</v>
      </c>
      <c r="K771">
        <v>426395</v>
      </c>
      <c r="L771">
        <v>208953</v>
      </c>
      <c r="M771">
        <v>-114631</v>
      </c>
      <c r="N771">
        <v>95477</v>
      </c>
      <c r="O771" t="s">
        <v>789</v>
      </c>
      <c r="P771" s="9">
        <v>230249</v>
      </c>
      <c r="Q771" s="9">
        <v>30910</v>
      </c>
      <c r="R771" s="9">
        <v>261159</v>
      </c>
      <c r="S771" s="9">
        <v>-59345</v>
      </c>
      <c r="T771" s="10">
        <v>78730</v>
      </c>
      <c r="U771" s="10">
        <v>1780</v>
      </c>
    </row>
    <row r="772" spans="1:21" x14ac:dyDescent="0.35">
      <c r="A772" t="s">
        <v>15</v>
      </c>
      <c r="B772" t="s">
        <v>16</v>
      </c>
      <c r="C772" t="s">
        <v>17</v>
      </c>
      <c r="D772">
        <v>241919</v>
      </c>
      <c r="E772">
        <v>17119</v>
      </c>
      <c r="F772">
        <v>28843</v>
      </c>
      <c r="G772">
        <v>-204530</v>
      </c>
      <c r="H772">
        <v>83351</v>
      </c>
      <c r="I772">
        <v>84155</v>
      </c>
      <c r="J772">
        <v>866</v>
      </c>
      <c r="K772">
        <v>911196</v>
      </c>
      <c r="L772">
        <v>217186</v>
      </c>
      <c r="M772">
        <v>-256500</v>
      </c>
      <c r="N772">
        <v>170618</v>
      </c>
      <c r="O772" t="s">
        <v>790</v>
      </c>
      <c r="P772" s="9">
        <v>255266</v>
      </c>
      <c r="Q772" s="9">
        <v>14814</v>
      </c>
      <c r="R772" s="9">
        <v>270080</v>
      </c>
      <c r="S772" s="9">
        <v>-65839</v>
      </c>
      <c r="T772" s="10">
        <v>62194</v>
      </c>
      <c r="U772" s="10">
        <v>637</v>
      </c>
    </row>
    <row r="773" spans="1:21" x14ac:dyDescent="0.35">
      <c r="A773" t="s">
        <v>15</v>
      </c>
      <c r="B773" t="s">
        <v>16</v>
      </c>
      <c r="C773" t="s">
        <v>21</v>
      </c>
      <c r="D773">
        <v>289388</v>
      </c>
      <c r="E773">
        <v>38221</v>
      </c>
      <c r="F773">
        <v>54768</v>
      </c>
      <c r="G773">
        <v>-263353</v>
      </c>
      <c r="H773">
        <v>119024</v>
      </c>
      <c r="I773">
        <v>113614</v>
      </c>
      <c r="J773">
        <v>2924</v>
      </c>
      <c r="K773">
        <v>1004484</v>
      </c>
      <c r="L773">
        <v>457962</v>
      </c>
      <c r="M773">
        <v>-400102</v>
      </c>
      <c r="N773">
        <v>173476</v>
      </c>
      <c r="O773" t="s">
        <v>791</v>
      </c>
      <c r="P773" s="9">
        <v>217639</v>
      </c>
      <c r="Q773" s="9">
        <v>24292</v>
      </c>
      <c r="R773" s="9">
        <v>241931</v>
      </c>
      <c r="S773" s="9">
        <v>-80528</v>
      </c>
      <c r="T773" s="10">
        <v>83196</v>
      </c>
      <c r="U773" s="10">
        <v>2492</v>
      </c>
    </row>
    <row r="774" spans="1:21" x14ac:dyDescent="0.35">
      <c r="A774" t="s">
        <v>15</v>
      </c>
      <c r="B774" t="s">
        <v>20</v>
      </c>
      <c r="C774" t="s">
        <v>17</v>
      </c>
      <c r="D774">
        <v>220871</v>
      </c>
      <c r="E774">
        <v>27958</v>
      </c>
      <c r="F774">
        <v>42992</v>
      </c>
      <c r="G774">
        <v>-218849</v>
      </c>
      <c r="H774">
        <v>72972</v>
      </c>
      <c r="I774">
        <v>76577</v>
      </c>
      <c r="J774">
        <v>2296</v>
      </c>
      <c r="K774">
        <v>703776</v>
      </c>
      <c r="L774">
        <v>105362</v>
      </c>
      <c r="M774">
        <v>-254799</v>
      </c>
      <c r="N774">
        <v>120925</v>
      </c>
      <c r="O774" t="s">
        <v>792</v>
      </c>
      <c r="P774" s="9">
        <v>183973</v>
      </c>
      <c r="Q774" s="9">
        <v>30458</v>
      </c>
      <c r="R774" s="9">
        <v>214431</v>
      </c>
      <c r="S774" s="9">
        <v>-57551</v>
      </c>
      <c r="T774" s="10">
        <v>92205</v>
      </c>
      <c r="U774" s="10">
        <v>1459</v>
      </c>
    </row>
    <row r="775" spans="1:21" x14ac:dyDescent="0.35">
      <c r="A775" t="s">
        <v>15</v>
      </c>
      <c r="B775" t="s">
        <v>16</v>
      </c>
      <c r="C775" t="s">
        <v>21</v>
      </c>
      <c r="D775">
        <v>186398</v>
      </c>
      <c r="E775">
        <v>23952</v>
      </c>
      <c r="F775">
        <v>43321</v>
      </c>
      <c r="G775">
        <v>-177828</v>
      </c>
      <c r="H775">
        <v>75843</v>
      </c>
      <c r="I775">
        <v>74079</v>
      </c>
      <c r="J775">
        <v>1850</v>
      </c>
      <c r="K775">
        <v>591520</v>
      </c>
      <c r="L775">
        <v>70686</v>
      </c>
      <c r="M775">
        <v>-124216</v>
      </c>
      <c r="N775">
        <v>155932</v>
      </c>
      <c r="O775" t="s">
        <v>793</v>
      </c>
      <c r="P775" s="9">
        <v>267211</v>
      </c>
      <c r="Q775" s="9">
        <v>27677</v>
      </c>
      <c r="R775" s="9">
        <v>294888</v>
      </c>
      <c r="S775" s="9">
        <v>-150613</v>
      </c>
      <c r="T775" s="10">
        <v>113699</v>
      </c>
      <c r="U775" s="10">
        <v>1593</v>
      </c>
    </row>
    <row r="776" spans="1:21" x14ac:dyDescent="0.35">
      <c r="A776" t="s">
        <v>15</v>
      </c>
      <c r="B776" t="s">
        <v>20</v>
      </c>
      <c r="C776" t="s">
        <v>21</v>
      </c>
      <c r="D776">
        <v>174590</v>
      </c>
      <c r="E776">
        <v>8895</v>
      </c>
      <c r="F776">
        <v>27917</v>
      </c>
      <c r="G776">
        <v>-163654</v>
      </c>
      <c r="H776">
        <v>47748</v>
      </c>
      <c r="I776">
        <v>48797</v>
      </c>
      <c r="J776">
        <v>977</v>
      </c>
      <c r="K776">
        <v>582003</v>
      </c>
      <c r="L776">
        <v>290042</v>
      </c>
      <c r="M776">
        <v>-181314</v>
      </c>
      <c r="N776">
        <v>110060</v>
      </c>
      <c r="O776" t="s">
        <v>794</v>
      </c>
      <c r="P776" s="9">
        <v>215620</v>
      </c>
      <c r="Q776" s="9">
        <v>29152</v>
      </c>
      <c r="R776" s="9">
        <v>244772</v>
      </c>
      <c r="S776" s="9">
        <v>-71413</v>
      </c>
      <c r="T776" s="10">
        <v>87822</v>
      </c>
      <c r="U776" s="10">
        <v>2080</v>
      </c>
    </row>
    <row r="777" spans="1:21" x14ac:dyDescent="0.35">
      <c r="A777" t="s">
        <v>15</v>
      </c>
      <c r="B777" t="s">
        <v>20</v>
      </c>
      <c r="C777" t="s">
        <v>17</v>
      </c>
      <c r="D777">
        <v>286073</v>
      </c>
      <c r="E777">
        <v>34420</v>
      </c>
      <c r="F777">
        <v>60865</v>
      </c>
      <c r="G777">
        <v>-260422</v>
      </c>
      <c r="H777">
        <v>120936</v>
      </c>
      <c r="I777">
        <v>119669</v>
      </c>
      <c r="J777">
        <v>1832</v>
      </c>
      <c r="K777">
        <v>976318</v>
      </c>
      <c r="L777">
        <v>256302</v>
      </c>
      <c r="M777">
        <v>-356528</v>
      </c>
      <c r="N777">
        <v>111692</v>
      </c>
      <c r="O777" t="s">
        <v>795</v>
      </c>
      <c r="P777" s="9">
        <v>307458</v>
      </c>
      <c r="Q777" s="9">
        <v>34468</v>
      </c>
      <c r="R777" s="9">
        <v>341926</v>
      </c>
      <c r="S777" s="9">
        <v>-164522</v>
      </c>
      <c r="T777" s="10">
        <v>119393</v>
      </c>
      <c r="U777" s="10">
        <v>2502</v>
      </c>
    </row>
    <row r="778" spans="1:21" x14ac:dyDescent="0.35">
      <c r="A778" t="s">
        <v>15</v>
      </c>
      <c r="B778" t="s">
        <v>20</v>
      </c>
      <c r="C778" t="s">
        <v>17</v>
      </c>
      <c r="D778">
        <v>189780</v>
      </c>
      <c r="E778">
        <v>21122</v>
      </c>
      <c r="F778">
        <v>42870</v>
      </c>
      <c r="G778">
        <v>-188413</v>
      </c>
      <c r="H778">
        <v>65359</v>
      </c>
      <c r="I778">
        <v>59190</v>
      </c>
      <c r="J778">
        <v>1575</v>
      </c>
      <c r="K778">
        <v>566977</v>
      </c>
      <c r="L778">
        <v>199029</v>
      </c>
      <c r="M778">
        <v>-104099</v>
      </c>
      <c r="N778">
        <v>145731</v>
      </c>
      <c r="O778" t="s">
        <v>796</v>
      </c>
      <c r="P778" s="9">
        <v>223581</v>
      </c>
      <c r="Q778" s="9">
        <v>36363</v>
      </c>
      <c r="R778" s="9">
        <v>259944</v>
      </c>
      <c r="S778" s="9">
        <v>-119024</v>
      </c>
      <c r="T778" s="10">
        <v>118776</v>
      </c>
      <c r="U778" s="10">
        <v>1207</v>
      </c>
    </row>
    <row r="779" spans="1:21" x14ac:dyDescent="0.35">
      <c r="A779" t="s">
        <v>15</v>
      </c>
      <c r="B779" t="s">
        <v>16</v>
      </c>
      <c r="C779" t="s">
        <v>17</v>
      </c>
      <c r="D779">
        <v>155246</v>
      </c>
      <c r="E779">
        <v>25334</v>
      </c>
      <c r="F779">
        <v>25930</v>
      </c>
      <c r="G779">
        <v>-150317</v>
      </c>
      <c r="H779">
        <v>56193</v>
      </c>
      <c r="I779">
        <v>50617</v>
      </c>
      <c r="J779">
        <v>511</v>
      </c>
      <c r="K779">
        <v>534747</v>
      </c>
      <c r="L779">
        <v>55937</v>
      </c>
      <c r="M779">
        <v>-197919</v>
      </c>
      <c r="N779">
        <v>138339</v>
      </c>
      <c r="O779" t="s">
        <v>797</v>
      </c>
      <c r="P779" s="9">
        <v>212916</v>
      </c>
      <c r="Q779" s="9">
        <v>23393</v>
      </c>
      <c r="R779" s="9">
        <v>236309</v>
      </c>
      <c r="S779" s="9">
        <v>-71099</v>
      </c>
      <c r="T779" s="10">
        <v>96074</v>
      </c>
      <c r="U779" s="10">
        <v>1777</v>
      </c>
    </row>
    <row r="780" spans="1:21" x14ac:dyDescent="0.35">
      <c r="A780" t="s">
        <v>15</v>
      </c>
      <c r="B780" t="s">
        <v>16</v>
      </c>
      <c r="C780" t="s">
        <v>17</v>
      </c>
      <c r="D780">
        <v>231418</v>
      </c>
      <c r="E780">
        <v>19974</v>
      </c>
      <c r="F780">
        <v>35080</v>
      </c>
      <c r="G780">
        <v>-207694</v>
      </c>
      <c r="H780">
        <v>78778</v>
      </c>
      <c r="I780">
        <v>81604</v>
      </c>
      <c r="J780">
        <v>2278</v>
      </c>
      <c r="K780">
        <v>589537</v>
      </c>
      <c r="L780">
        <v>277326</v>
      </c>
      <c r="M780">
        <v>-163912</v>
      </c>
      <c r="N780">
        <v>177013</v>
      </c>
      <c r="O780" t="s">
        <v>798</v>
      </c>
      <c r="P780" s="9">
        <v>202529</v>
      </c>
      <c r="Q780" s="9">
        <v>20920</v>
      </c>
      <c r="R780" s="9">
        <v>223449</v>
      </c>
      <c r="S780" s="9">
        <v>-112992</v>
      </c>
      <c r="T780" s="10">
        <v>52816</v>
      </c>
      <c r="U780" s="10">
        <v>1541</v>
      </c>
    </row>
    <row r="781" spans="1:21" x14ac:dyDescent="0.35">
      <c r="A781" t="s">
        <v>15</v>
      </c>
      <c r="B781" t="s">
        <v>16</v>
      </c>
      <c r="C781" t="s">
        <v>17</v>
      </c>
      <c r="D781">
        <v>226410</v>
      </c>
      <c r="E781">
        <v>15779</v>
      </c>
      <c r="F781">
        <v>54170</v>
      </c>
      <c r="G781">
        <v>-198437</v>
      </c>
      <c r="H781">
        <v>97922</v>
      </c>
      <c r="I781">
        <v>92379</v>
      </c>
      <c r="J781">
        <v>1149</v>
      </c>
      <c r="K781">
        <v>681756</v>
      </c>
      <c r="L781">
        <v>121798</v>
      </c>
      <c r="M781">
        <v>-109662</v>
      </c>
      <c r="N781">
        <v>99427</v>
      </c>
      <c r="O781" t="s">
        <v>799</v>
      </c>
      <c r="P781" s="9">
        <v>245412</v>
      </c>
      <c r="Q781" s="9">
        <v>50194</v>
      </c>
      <c r="R781" s="9">
        <v>295606</v>
      </c>
      <c r="S781" s="9">
        <v>-90014</v>
      </c>
      <c r="T781" s="10">
        <v>90274</v>
      </c>
      <c r="U781" s="10">
        <v>1943</v>
      </c>
    </row>
    <row r="782" spans="1:21" x14ac:dyDescent="0.35">
      <c r="A782" t="s">
        <v>15</v>
      </c>
      <c r="B782" t="s">
        <v>16</v>
      </c>
      <c r="C782" t="s">
        <v>21</v>
      </c>
      <c r="D782">
        <v>190975</v>
      </c>
      <c r="E782">
        <v>32693</v>
      </c>
      <c r="F782">
        <v>25995</v>
      </c>
      <c r="G782">
        <v>-190645</v>
      </c>
      <c r="H782">
        <v>59018</v>
      </c>
      <c r="I782">
        <v>56229</v>
      </c>
      <c r="J782">
        <v>1450</v>
      </c>
      <c r="K782">
        <v>528429</v>
      </c>
      <c r="L782">
        <v>60101</v>
      </c>
      <c r="M782">
        <v>-53235</v>
      </c>
      <c r="N782">
        <v>132225</v>
      </c>
      <c r="O782" t="s">
        <v>800</v>
      </c>
      <c r="P782" s="9">
        <v>280385</v>
      </c>
      <c r="Q782" s="9">
        <v>17380</v>
      </c>
      <c r="R782" s="9">
        <v>297765</v>
      </c>
      <c r="S782" s="9">
        <v>-66637</v>
      </c>
      <c r="T782" s="10">
        <v>98336</v>
      </c>
      <c r="U782" s="10">
        <v>1008</v>
      </c>
    </row>
    <row r="783" spans="1:21" x14ac:dyDescent="0.35">
      <c r="A783" t="s">
        <v>15</v>
      </c>
      <c r="B783" t="s">
        <v>16</v>
      </c>
      <c r="C783" t="s">
        <v>17</v>
      </c>
      <c r="D783">
        <v>207901</v>
      </c>
      <c r="E783">
        <v>25605</v>
      </c>
      <c r="F783">
        <v>24925</v>
      </c>
      <c r="G783">
        <v>-190502</v>
      </c>
      <c r="H783">
        <v>67929</v>
      </c>
      <c r="I783">
        <v>66569</v>
      </c>
      <c r="J783">
        <v>1983</v>
      </c>
      <c r="K783">
        <v>741936</v>
      </c>
      <c r="L783">
        <v>109349</v>
      </c>
      <c r="M783">
        <v>-101057</v>
      </c>
      <c r="N783">
        <v>118316</v>
      </c>
      <c r="O783" t="s">
        <v>801</v>
      </c>
      <c r="P783" s="9">
        <v>272456</v>
      </c>
      <c r="Q783" s="9">
        <v>51109</v>
      </c>
      <c r="R783" s="9">
        <v>323565</v>
      </c>
      <c r="S783" s="9">
        <v>-85299</v>
      </c>
      <c r="T783" s="10">
        <v>133239</v>
      </c>
      <c r="U783" s="10">
        <v>2269</v>
      </c>
    </row>
    <row r="784" spans="1:21" x14ac:dyDescent="0.35">
      <c r="A784" t="s">
        <v>15</v>
      </c>
      <c r="B784" t="s">
        <v>16</v>
      </c>
      <c r="C784" t="s">
        <v>21</v>
      </c>
      <c r="D784">
        <v>245635</v>
      </c>
      <c r="E784">
        <v>31960</v>
      </c>
      <c r="F784">
        <v>35669</v>
      </c>
      <c r="G784">
        <v>-206199</v>
      </c>
      <c r="H784">
        <v>107065</v>
      </c>
      <c r="I784">
        <v>101470</v>
      </c>
      <c r="J784">
        <v>2083</v>
      </c>
      <c r="K784">
        <v>890966</v>
      </c>
      <c r="L784">
        <v>124027</v>
      </c>
      <c r="M784">
        <v>-273076</v>
      </c>
      <c r="N784">
        <v>134190</v>
      </c>
      <c r="O784" t="s">
        <v>802</v>
      </c>
      <c r="P784" s="9">
        <v>220902</v>
      </c>
      <c r="Q784" s="9">
        <v>25309</v>
      </c>
      <c r="R784" s="9">
        <v>246211</v>
      </c>
      <c r="S784" s="9">
        <v>-142831</v>
      </c>
      <c r="T784" s="10">
        <v>67977</v>
      </c>
      <c r="U784" s="10">
        <v>1663</v>
      </c>
    </row>
    <row r="785" spans="1:21" x14ac:dyDescent="0.35">
      <c r="A785" t="s">
        <v>15</v>
      </c>
      <c r="B785" t="s">
        <v>20</v>
      </c>
      <c r="C785" t="s">
        <v>17</v>
      </c>
      <c r="D785">
        <v>223857</v>
      </c>
      <c r="E785">
        <v>43490</v>
      </c>
      <c r="F785">
        <v>23960</v>
      </c>
      <c r="G785">
        <v>-214182</v>
      </c>
      <c r="H785">
        <v>77125</v>
      </c>
      <c r="I785">
        <v>69851</v>
      </c>
      <c r="J785">
        <v>962</v>
      </c>
      <c r="K785">
        <v>739710</v>
      </c>
      <c r="L785">
        <v>126881</v>
      </c>
      <c r="M785">
        <v>-247600</v>
      </c>
      <c r="N785">
        <v>185416</v>
      </c>
      <c r="O785" t="s">
        <v>803</v>
      </c>
      <c r="P785" s="9">
        <v>274159</v>
      </c>
      <c r="Q785" s="9">
        <v>20353</v>
      </c>
      <c r="R785" s="9">
        <v>294512</v>
      </c>
      <c r="S785" s="9">
        <v>-112966</v>
      </c>
      <c r="T785" s="10">
        <v>75165</v>
      </c>
      <c r="U785" s="10">
        <v>1847</v>
      </c>
    </row>
    <row r="786" spans="1:21" x14ac:dyDescent="0.35">
      <c r="A786" t="s">
        <v>15</v>
      </c>
      <c r="B786" t="s">
        <v>16</v>
      </c>
      <c r="C786" t="s">
        <v>17</v>
      </c>
      <c r="D786">
        <v>211368</v>
      </c>
      <c r="E786">
        <v>36417</v>
      </c>
      <c r="F786">
        <v>44359</v>
      </c>
      <c r="G786">
        <v>-199467</v>
      </c>
      <c r="H786">
        <v>92677</v>
      </c>
      <c r="I786">
        <v>85846</v>
      </c>
      <c r="J786">
        <v>946</v>
      </c>
      <c r="K786">
        <v>628492</v>
      </c>
      <c r="L786">
        <v>196286</v>
      </c>
      <c r="M786">
        <v>-233894</v>
      </c>
      <c r="N786">
        <v>140046</v>
      </c>
      <c r="O786" t="s">
        <v>804</v>
      </c>
      <c r="P786" s="9">
        <v>256383</v>
      </c>
      <c r="Q786" s="9">
        <v>19218</v>
      </c>
      <c r="R786" s="9">
        <v>275601</v>
      </c>
      <c r="S786" s="9">
        <v>-76779</v>
      </c>
      <c r="T786" s="10">
        <v>69186</v>
      </c>
      <c r="U786" s="10">
        <v>1611</v>
      </c>
    </row>
    <row r="787" spans="1:21" x14ac:dyDescent="0.35">
      <c r="A787" t="s">
        <v>15</v>
      </c>
      <c r="B787" t="s">
        <v>16</v>
      </c>
      <c r="C787" t="s">
        <v>17</v>
      </c>
      <c r="D787">
        <v>251727</v>
      </c>
      <c r="E787">
        <v>21742</v>
      </c>
      <c r="F787">
        <v>29884</v>
      </c>
      <c r="G787">
        <v>-220816</v>
      </c>
      <c r="H787">
        <v>82537</v>
      </c>
      <c r="I787">
        <v>75458</v>
      </c>
      <c r="J787">
        <v>886</v>
      </c>
      <c r="K787">
        <v>677249</v>
      </c>
      <c r="L787">
        <v>238500</v>
      </c>
      <c r="M787">
        <v>-158975</v>
      </c>
      <c r="N787">
        <v>124527</v>
      </c>
      <c r="O787" t="s">
        <v>805</v>
      </c>
      <c r="P787" s="9">
        <v>258558</v>
      </c>
      <c r="Q787" s="9">
        <v>40532</v>
      </c>
      <c r="R787" s="9">
        <v>299090</v>
      </c>
      <c r="S787" s="9">
        <v>-178314</v>
      </c>
      <c r="T787" s="10">
        <v>73297</v>
      </c>
      <c r="U787" s="10">
        <v>1404</v>
      </c>
    </row>
    <row r="788" spans="1:21" x14ac:dyDescent="0.35">
      <c r="A788" t="s">
        <v>15</v>
      </c>
      <c r="B788" t="s">
        <v>16</v>
      </c>
      <c r="C788" t="s">
        <v>21</v>
      </c>
      <c r="D788">
        <v>263370</v>
      </c>
      <c r="E788">
        <v>44977</v>
      </c>
      <c r="F788">
        <v>32615</v>
      </c>
      <c r="G788">
        <v>-256406</v>
      </c>
      <c r="H788">
        <v>84556</v>
      </c>
      <c r="I788">
        <v>84726</v>
      </c>
      <c r="J788">
        <v>2311</v>
      </c>
      <c r="K788">
        <v>631595</v>
      </c>
      <c r="L788">
        <v>153454</v>
      </c>
      <c r="M788">
        <v>-148970</v>
      </c>
      <c r="N788">
        <v>206461</v>
      </c>
      <c r="O788" t="s">
        <v>806</v>
      </c>
      <c r="P788" s="9">
        <v>245763</v>
      </c>
      <c r="Q788" s="9">
        <v>38632</v>
      </c>
      <c r="R788" s="9">
        <v>284395</v>
      </c>
      <c r="S788" s="9">
        <v>-158230</v>
      </c>
      <c r="T788" s="10">
        <v>77203</v>
      </c>
      <c r="U788" s="10">
        <v>1484</v>
      </c>
    </row>
    <row r="789" spans="1:21" x14ac:dyDescent="0.35">
      <c r="A789" t="s">
        <v>15</v>
      </c>
      <c r="B789" t="s">
        <v>20</v>
      </c>
      <c r="C789" t="s">
        <v>17</v>
      </c>
      <c r="D789">
        <v>215869</v>
      </c>
      <c r="E789">
        <v>15651</v>
      </c>
      <c r="F789">
        <v>33046</v>
      </c>
      <c r="G789">
        <v>-198749</v>
      </c>
      <c r="H789">
        <v>65817</v>
      </c>
      <c r="I789">
        <v>60306</v>
      </c>
      <c r="J789">
        <v>930</v>
      </c>
      <c r="K789">
        <v>652221</v>
      </c>
      <c r="L789">
        <v>155305</v>
      </c>
      <c r="M789">
        <v>-115444</v>
      </c>
      <c r="N789">
        <v>163809</v>
      </c>
      <c r="O789" t="s">
        <v>807</v>
      </c>
      <c r="P789" s="9">
        <v>305692</v>
      </c>
      <c r="Q789" s="9">
        <v>30118</v>
      </c>
      <c r="R789" s="9">
        <v>335810</v>
      </c>
      <c r="S789" s="9">
        <v>-96252</v>
      </c>
      <c r="T789" s="10">
        <v>96128</v>
      </c>
      <c r="U789" s="10">
        <v>2370</v>
      </c>
    </row>
    <row r="790" spans="1:21" x14ac:dyDescent="0.35">
      <c r="A790" t="s">
        <v>15</v>
      </c>
      <c r="B790" t="s">
        <v>20</v>
      </c>
      <c r="C790" t="s">
        <v>21</v>
      </c>
      <c r="D790">
        <v>195739</v>
      </c>
      <c r="E790">
        <v>10099</v>
      </c>
      <c r="F790">
        <v>43175</v>
      </c>
      <c r="G790">
        <v>-189982</v>
      </c>
      <c r="H790">
        <v>59031</v>
      </c>
      <c r="I790">
        <v>60276</v>
      </c>
      <c r="J790">
        <v>826</v>
      </c>
      <c r="K790">
        <v>672896</v>
      </c>
      <c r="L790">
        <v>242207</v>
      </c>
      <c r="M790">
        <v>-216577</v>
      </c>
      <c r="N790">
        <v>64651</v>
      </c>
      <c r="O790" t="s">
        <v>808</v>
      </c>
      <c r="P790" s="9">
        <v>267612</v>
      </c>
      <c r="Q790" s="9">
        <v>42617</v>
      </c>
      <c r="R790" s="9">
        <v>310229</v>
      </c>
      <c r="S790" s="9">
        <v>-150419</v>
      </c>
      <c r="T790" s="10">
        <v>113567</v>
      </c>
      <c r="U790" s="10">
        <v>1520</v>
      </c>
    </row>
    <row r="791" spans="1:21" x14ac:dyDescent="0.35">
      <c r="A791" t="s">
        <v>15</v>
      </c>
      <c r="B791" t="s">
        <v>16</v>
      </c>
      <c r="C791" t="s">
        <v>21</v>
      </c>
      <c r="D791">
        <v>210935</v>
      </c>
      <c r="E791">
        <v>16183</v>
      </c>
      <c r="F791">
        <v>41360</v>
      </c>
      <c r="G791">
        <v>-181082</v>
      </c>
      <c r="H791">
        <v>87396</v>
      </c>
      <c r="I791">
        <v>83913</v>
      </c>
      <c r="J791">
        <v>1219</v>
      </c>
      <c r="K791">
        <v>570102</v>
      </c>
      <c r="L791">
        <v>247790</v>
      </c>
      <c r="M791">
        <v>-140472</v>
      </c>
      <c r="N791">
        <v>68885</v>
      </c>
      <c r="O791" t="s">
        <v>809</v>
      </c>
      <c r="P791" s="9">
        <v>265832</v>
      </c>
      <c r="Q791" s="9">
        <v>40800</v>
      </c>
      <c r="R791" s="9">
        <v>306632</v>
      </c>
      <c r="S791" s="9">
        <v>-176161</v>
      </c>
      <c r="T791" s="10">
        <v>116801</v>
      </c>
      <c r="U791" s="10">
        <v>3329</v>
      </c>
    </row>
    <row r="792" spans="1:21" x14ac:dyDescent="0.35">
      <c r="A792" t="s">
        <v>15</v>
      </c>
      <c r="B792" t="s">
        <v>16</v>
      </c>
      <c r="C792" t="s">
        <v>17</v>
      </c>
      <c r="D792">
        <v>287242</v>
      </c>
      <c r="E792">
        <v>50995</v>
      </c>
      <c r="F792">
        <v>31876</v>
      </c>
      <c r="G792">
        <v>-284900</v>
      </c>
      <c r="H792">
        <v>85213</v>
      </c>
      <c r="I792">
        <v>83355</v>
      </c>
      <c r="J792">
        <v>1020</v>
      </c>
      <c r="K792">
        <v>602411</v>
      </c>
      <c r="L792">
        <v>138166</v>
      </c>
      <c r="M792">
        <v>-99001</v>
      </c>
      <c r="N792">
        <v>166766</v>
      </c>
      <c r="O792" t="s">
        <v>810</v>
      </c>
      <c r="P792" s="9">
        <v>224216</v>
      </c>
      <c r="Q792" s="9">
        <v>37732</v>
      </c>
      <c r="R792" s="9">
        <v>261948</v>
      </c>
      <c r="S792" s="9">
        <v>-55464</v>
      </c>
      <c r="T792" s="10">
        <v>58823</v>
      </c>
      <c r="U792" s="10">
        <v>1334</v>
      </c>
    </row>
    <row r="793" spans="1:21" x14ac:dyDescent="0.35">
      <c r="A793" t="s">
        <v>15</v>
      </c>
      <c r="B793" t="s">
        <v>20</v>
      </c>
      <c r="C793" t="s">
        <v>21</v>
      </c>
      <c r="D793">
        <v>174616</v>
      </c>
      <c r="E793">
        <v>27291</v>
      </c>
      <c r="F793">
        <v>22158</v>
      </c>
      <c r="G793">
        <v>-144816</v>
      </c>
      <c r="H793">
        <v>79249</v>
      </c>
      <c r="I793">
        <v>77001</v>
      </c>
      <c r="J793">
        <v>844</v>
      </c>
      <c r="K793">
        <v>573400</v>
      </c>
      <c r="L793">
        <v>75522</v>
      </c>
      <c r="M793">
        <v>-166054</v>
      </c>
      <c r="N793">
        <v>55959</v>
      </c>
      <c r="O793" t="s">
        <v>811</v>
      </c>
      <c r="P793" s="9">
        <v>217222</v>
      </c>
      <c r="Q793" s="9">
        <v>16247</v>
      </c>
      <c r="R793" s="9">
        <v>233469</v>
      </c>
      <c r="S793" s="9">
        <v>-98139</v>
      </c>
      <c r="T793" s="10">
        <v>83542</v>
      </c>
      <c r="U793" s="10">
        <v>2247</v>
      </c>
    </row>
    <row r="794" spans="1:21" x14ac:dyDescent="0.35">
      <c r="A794" t="s">
        <v>15</v>
      </c>
      <c r="B794" t="s">
        <v>16</v>
      </c>
      <c r="C794" t="s">
        <v>21</v>
      </c>
      <c r="D794">
        <v>167769</v>
      </c>
      <c r="E794">
        <v>15635</v>
      </c>
      <c r="F794">
        <v>24394</v>
      </c>
      <c r="G794">
        <v>-138446</v>
      </c>
      <c r="H794">
        <v>69352</v>
      </c>
      <c r="I794">
        <v>72790</v>
      </c>
      <c r="J794">
        <v>988</v>
      </c>
      <c r="K794">
        <v>609012</v>
      </c>
      <c r="L794">
        <v>65945</v>
      </c>
      <c r="M794">
        <v>-227050</v>
      </c>
      <c r="N794">
        <v>126955</v>
      </c>
      <c r="O794" t="s">
        <v>812</v>
      </c>
      <c r="P794" s="9">
        <v>221628</v>
      </c>
      <c r="Q794" s="9">
        <v>20240</v>
      </c>
      <c r="R794" s="9">
        <v>241868</v>
      </c>
      <c r="S794" s="9">
        <v>-103565</v>
      </c>
      <c r="T794" s="10">
        <v>69685</v>
      </c>
      <c r="U794" s="10">
        <v>1767</v>
      </c>
    </row>
    <row r="795" spans="1:21" x14ac:dyDescent="0.35">
      <c r="A795" t="s">
        <v>15</v>
      </c>
      <c r="B795" t="s">
        <v>16</v>
      </c>
      <c r="C795" t="s">
        <v>21</v>
      </c>
      <c r="D795">
        <v>278024</v>
      </c>
      <c r="E795">
        <v>33468</v>
      </c>
      <c r="F795">
        <v>56984</v>
      </c>
      <c r="G795">
        <v>-241670</v>
      </c>
      <c r="H795">
        <v>126806</v>
      </c>
      <c r="I795">
        <v>132595</v>
      </c>
      <c r="J795">
        <v>1534</v>
      </c>
      <c r="K795">
        <v>726817</v>
      </c>
      <c r="L795">
        <v>172979</v>
      </c>
      <c r="M795">
        <v>-278748</v>
      </c>
      <c r="N795">
        <v>219084</v>
      </c>
      <c r="O795" t="s">
        <v>813</v>
      </c>
      <c r="P795" s="9">
        <v>178908</v>
      </c>
      <c r="Q795" s="9">
        <v>30061</v>
      </c>
      <c r="R795" s="9">
        <v>208969</v>
      </c>
      <c r="S795" s="9">
        <v>-101123</v>
      </c>
      <c r="T795" s="10">
        <v>89021</v>
      </c>
      <c r="U795" s="10">
        <v>1967</v>
      </c>
    </row>
    <row r="796" spans="1:21" x14ac:dyDescent="0.35">
      <c r="A796" t="s">
        <v>15</v>
      </c>
      <c r="B796" t="s">
        <v>20</v>
      </c>
      <c r="C796" t="s">
        <v>21</v>
      </c>
      <c r="D796">
        <v>205994</v>
      </c>
      <c r="E796">
        <v>14133</v>
      </c>
      <c r="F796">
        <v>49556</v>
      </c>
      <c r="G796">
        <v>-202257</v>
      </c>
      <c r="H796">
        <v>67426</v>
      </c>
      <c r="I796">
        <v>65008</v>
      </c>
      <c r="J796">
        <v>1073</v>
      </c>
      <c r="K796">
        <v>699637</v>
      </c>
      <c r="L796">
        <v>319079</v>
      </c>
      <c r="M796">
        <v>-178971</v>
      </c>
      <c r="N796">
        <v>116196</v>
      </c>
      <c r="O796" t="s">
        <v>814</v>
      </c>
      <c r="P796" s="9">
        <v>189221</v>
      </c>
      <c r="Q796" s="9">
        <v>28843</v>
      </c>
      <c r="R796" s="9">
        <v>218064</v>
      </c>
      <c r="S796" s="9">
        <v>-105924</v>
      </c>
      <c r="T796" s="10">
        <v>77933</v>
      </c>
      <c r="U796" s="10">
        <v>2151</v>
      </c>
    </row>
    <row r="797" spans="1:21" x14ac:dyDescent="0.35">
      <c r="A797" t="s">
        <v>15</v>
      </c>
      <c r="B797" t="s">
        <v>16</v>
      </c>
      <c r="C797" t="s">
        <v>21</v>
      </c>
      <c r="D797">
        <v>206952</v>
      </c>
      <c r="E797">
        <v>22175</v>
      </c>
      <c r="F797">
        <v>39155</v>
      </c>
      <c r="G797">
        <v>-178057</v>
      </c>
      <c r="H797">
        <v>90225</v>
      </c>
      <c r="I797">
        <v>88986</v>
      </c>
      <c r="J797">
        <v>915</v>
      </c>
      <c r="K797">
        <v>510998</v>
      </c>
      <c r="L797">
        <v>152747</v>
      </c>
      <c r="M797">
        <v>-131796</v>
      </c>
      <c r="N797">
        <v>97707</v>
      </c>
      <c r="O797" t="s">
        <v>815</v>
      </c>
      <c r="P797" s="9">
        <v>174707</v>
      </c>
      <c r="Q797" s="9">
        <v>33140</v>
      </c>
      <c r="R797" s="9">
        <v>207847</v>
      </c>
      <c r="S797" s="9">
        <v>-93330</v>
      </c>
      <c r="T797" s="10">
        <v>80720</v>
      </c>
      <c r="U797" s="10">
        <v>1142</v>
      </c>
    </row>
    <row r="798" spans="1:21" x14ac:dyDescent="0.35">
      <c r="A798" t="s">
        <v>15</v>
      </c>
      <c r="B798" t="s">
        <v>20</v>
      </c>
      <c r="C798" t="s">
        <v>17</v>
      </c>
      <c r="D798">
        <v>152703</v>
      </c>
      <c r="E798">
        <v>26099</v>
      </c>
      <c r="F798">
        <v>18068</v>
      </c>
      <c r="G798">
        <v>-134461</v>
      </c>
      <c r="H798">
        <v>62409</v>
      </c>
      <c r="I798">
        <v>58963</v>
      </c>
      <c r="J798">
        <v>1524</v>
      </c>
      <c r="K798">
        <v>359551</v>
      </c>
      <c r="L798">
        <v>100510</v>
      </c>
      <c r="M798">
        <v>-49826</v>
      </c>
      <c r="N798">
        <v>77471</v>
      </c>
      <c r="O798" t="s">
        <v>816</v>
      </c>
      <c r="P798" s="9">
        <v>213599</v>
      </c>
      <c r="Q798" s="9">
        <v>23765</v>
      </c>
      <c r="R798" s="9">
        <v>237364</v>
      </c>
      <c r="S798" s="9">
        <v>-70410</v>
      </c>
      <c r="T798" s="10">
        <v>83873</v>
      </c>
      <c r="U798" s="10">
        <v>1007</v>
      </c>
    </row>
    <row r="799" spans="1:21" x14ac:dyDescent="0.35">
      <c r="A799" t="s">
        <v>15</v>
      </c>
      <c r="B799" t="s">
        <v>20</v>
      </c>
      <c r="C799" t="s">
        <v>21</v>
      </c>
      <c r="D799">
        <v>167717</v>
      </c>
      <c r="E799">
        <v>11336</v>
      </c>
      <c r="F799">
        <v>37863</v>
      </c>
      <c r="G799">
        <v>-160159</v>
      </c>
      <c r="H799">
        <v>56757</v>
      </c>
      <c r="I799">
        <v>52530</v>
      </c>
      <c r="J799">
        <v>975</v>
      </c>
      <c r="K799">
        <v>538107</v>
      </c>
      <c r="L799">
        <v>263782</v>
      </c>
      <c r="M799">
        <v>-130961</v>
      </c>
      <c r="N799">
        <v>104852</v>
      </c>
      <c r="O799" t="s">
        <v>817</v>
      </c>
      <c r="P799" s="9">
        <v>229900</v>
      </c>
      <c r="Q799" s="9">
        <v>19289</v>
      </c>
      <c r="R799" s="9">
        <v>249189</v>
      </c>
      <c r="S799" s="9">
        <v>-123373</v>
      </c>
      <c r="T799" s="10">
        <v>65199</v>
      </c>
      <c r="U799" s="10">
        <v>774</v>
      </c>
    </row>
    <row r="800" spans="1:21" x14ac:dyDescent="0.35">
      <c r="A800" t="s">
        <v>15</v>
      </c>
      <c r="B800" t="s">
        <v>16</v>
      </c>
      <c r="C800" t="s">
        <v>21</v>
      </c>
      <c r="D800">
        <v>262279</v>
      </c>
      <c r="E800">
        <v>43116</v>
      </c>
      <c r="F800">
        <v>49893</v>
      </c>
      <c r="G800">
        <v>-260278</v>
      </c>
      <c r="H800">
        <v>95010</v>
      </c>
      <c r="I800">
        <v>94864</v>
      </c>
      <c r="J800">
        <v>1977</v>
      </c>
      <c r="K800">
        <v>761693</v>
      </c>
      <c r="L800">
        <v>260486</v>
      </c>
      <c r="M800">
        <v>-273510</v>
      </c>
      <c r="N800">
        <v>174334</v>
      </c>
      <c r="O800" t="s">
        <v>818</v>
      </c>
      <c r="P800" s="9">
        <v>283959</v>
      </c>
      <c r="Q800" s="9">
        <v>14419</v>
      </c>
      <c r="R800" s="9">
        <v>298378</v>
      </c>
      <c r="S800" s="9">
        <v>-136303</v>
      </c>
      <c r="T800" s="10">
        <v>90230</v>
      </c>
      <c r="U800" s="10">
        <v>2494</v>
      </c>
    </row>
    <row r="801" spans="1:21" x14ac:dyDescent="0.35">
      <c r="A801" t="s">
        <v>15</v>
      </c>
      <c r="B801" t="s">
        <v>16</v>
      </c>
      <c r="C801" t="s">
        <v>17</v>
      </c>
      <c r="D801">
        <v>213128</v>
      </c>
      <c r="E801">
        <v>21668</v>
      </c>
      <c r="F801">
        <v>29525</v>
      </c>
      <c r="G801">
        <v>-193540</v>
      </c>
      <c r="H801">
        <v>70781</v>
      </c>
      <c r="I801">
        <v>71191</v>
      </c>
      <c r="J801">
        <v>2048</v>
      </c>
      <c r="K801">
        <v>659580</v>
      </c>
      <c r="L801">
        <v>187593</v>
      </c>
      <c r="M801">
        <v>-239454</v>
      </c>
      <c r="N801">
        <v>190226</v>
      </c>
      <c r="O801" t="s">
        <v>819</v>
      </c>
      <c r="P801" s="9">
        <v>254023</v>
      </c>
      <c r="Q801" s="9">
        <v>33830</v>
      </c>
      <c r="R801" s="9">
        <v>287853</v>
      </c>
      <c r="S801" s="9">
        <v>-64766</v>
      </c>
      <c r="T801" s="10">
        <v>101895</v>
      </c>
      <c r="U801" s="10">
        <v>1812</v>
      </c>
    </row>
    <row r="802" spans="1:21" x14ac:dyDescent="0.35">
      <c r="A802" t="s">
        <v>15</v>
      </c>
      <c r="B802" t="s">
        <v>16</v>
      </c>
      <c r="C802" t="s">
        <v>21</v>
      </c>
      <c r="D802">
        <v>162339</v>
      </c>
      <c r="E802">
        <v>10745</v>
      </c>
      <c r="F802">
        <v>38631</v>
      </c>
      <c r="G802">
        <v>-150287</v>
      </c>
      <c r="H802">
        <v>61428</v>
      </c>
      <c r="I802">
        <v>62355</v>
      </c>
      <c r="J802">
        <v>881</v>
      </c>
      <c r="K802">
        <v>463214</v>
      </c>
      <c r="L802">
        <v>116616</v>
      </c>
      <c r="M802">
        <v>-117337</v>
      </c>
      <c r="N802">
        <v>106001</v>
      </c>
      <c r="O802" t="s">
        <v>820</v>
      </c>
      <c r="P802" s="9">
        <v>288988</v>
      </c>
      <c r="Q802" s="9">
        <v>23643</v>
      </c>
      <c r="R802" s="9">
        <v>312631</v>
      </c>
      <c r="S802" s="9">
        <v>-85872</v>
      </c>
      <c r="T802" s="10">
        <v>113118</v>
      </c>
      <c r="U802" s="10">
        <v>2553</v>
      </c>
    </row>
    <row r="803" spans="1:21" x14ac:dyDescent="0.35">
      <c r="A803" t="s">
        <v>15</v>
      </c>
      <c r="B803" t="s">
        <v>16</v>
      </c>
      <c r="C803" t="s">
        <v>21</v>
      </c>
      <c r="D803">
        <v>195910</v>
      </c>
      <c r="E803">
        <v>34258</v>
      </c>
      <c r="F803">
        <v>29762</v>
      </c>
      <c r="G803">
        <v>-165839</v>
      </c>
      <c r="H803">
        <v>94091</v>
      </c>
      <c r="I803">
        <v>98212</v>
      </c>
      <c r="J803">
        <v>1590</v>
      </c>
      <c r="K803">
        <v>723545</v>
      </c>
      <c r="L803">
        <v>108737</v>
      </c>
      <c r="M803">
        <v>-227168</v>
      </c>
      <c r="N803">
        <v>87442</v>
      </c>
      <c r="O803" t="s">
        <v>821</v>
      </c>
      <c r="P803" s="9">
        <v>258965</v>
      </c>
      <c r="Q803" s="9">
        <v>21399</v>
      </c>
      <c r="R803" s="9">
        <v>280364</v>
      </c>
      <c r="S803" s="9">
        <v>-57591</v>
      </c>
      <c r="T803" s="10">
        <v>100438</v>
      </c>
      <c r="U803" s="10">
        <v>2157</v>
      </c>
    </row>
    <row r="804" spans="1:21" x14ac:dyDescent="0.35">
      <c r="A804" t="s">
        <v>15</v>
      </c>
      <c r="B804" t="s">
        <v>16</v>
      </c>
      <c r="C804" t="s">
        <v>21</v>
      </c>
      <c r="D804">
        <v>163241</v>
      </c>
      <c r="E804">
        <v>20044</v>
      </c>
      <c r="F804">
        <v>19349</v>
      </c>
      <c r="G804">
        <v>-133476</v>
      </c>
      <c r="H804">
        <v>69158</v>
      </c>
      <c r="I804">
        <v>68075</v>
      </c>
      <c r="J804">
        <v>982</v>
      </c>
      <c r="K804">
        <v>422731</v>
      </c>
      <c r="L804">
        <v>105224</v>
      </c>
      <c r="M804">
        <v>-143156</v>
      </c>
      <c r="N804">
        <v>60276</v>
      </c>
      <c r="O804" t="s">
        <v>822</v>
      </c>
      <c r="P804" s="9">
        <v>209992</v>
      </c>
      <c r="Q804" s="9">
        <v>20243</v>
      </c>
      <c r="R804" s="9">
        <v>230235</v>
      </c>
      <c r="S804" s="9">
        <v>-57935</v>
      </c>
      <c r="T804" s="10">
        <v>66477</v>
      </c>
      <c r="U804" s="10">
        <v>1786</v>
      </c>
    </row>
    <row r="805" spans="1:21" x14ac:dyDescent="0.35">
      <c r="A805" t="s">
        <v>15</v>
      </c>
      <c r="B805" t="s">
        <v>16</v>
      </c>
      <c r="C805" t="s">
        <v>21</v>
      </c>
      <c r="D805">
        <v>296707</v>
      </c>
      <c r="E805">
        <v>18695</v>
      </c>
      <c r="F805">
        <v>65456</v>
      </c>
      <c r="G805">
        <v>-246983</v>
      </c>
      <c r="H805">
        <v>133875</v>
      </c>
      <c r="I805">
        <v>138517</v>
      </c>
      <c r="J805">
        <v>2402</v>
      </c>
      <c r="K805">
        <v>691198</v>
      </c>
      <c r="L805">
        <v>151336</v>
      </c>
      <c r="M805">
        <v>-222192</v>
      </c>
      <c r="N805">
        <v>137906</v>
      </c>
      <c r="O805" t="s">
        <v>823</v>
      </c>
      <c r="P805" s="9">
        <v>286369</v>
      </c>
      <c r="Q805" s="9">
        <v>42205</v>
      </c>
      <c r="R805" s="9">
        <v>328574</v>
      </c>
      <c r="S805" s="9">
        <v>-66216</v>
      </c>
      <c r="T805" s="10">
        <v>76340</v>
      </c>
      <c r="U805" s="10">
        <v>1308</v>
      </c>
    </row>
    <row r="806" spans="1:21" x14ac:dyDescent="0.35">
      <c r="A806" t="s">
        <v>15</v>
      </c>
      <c r="B806" t="s">
        <v>20</v>
      </c>
      <c r="C806" t="s">
        <v>17</v>
      </c>
      <c r="D806">
        <v>170744</v>
      </c>
      <c r="E806">
        <v>22283</v>
      </c>
      <c r="F806">
        <v>40409</v>
      </c>
      <c r="G806">
        <v>-144505</v>
      </c>
      <c r="H806">
        <v>88931</v>
      </c>
      <c r="I806">
        <v>87070</v>
      </c>
      <c r="J806">
        <v>1542</v>
      </c>
      <c r="K806">
        <v>406045</v>
      </c>
      <c r="L806">
        <v>42857</v>
      </c>
      <c r="M806">
        <v>-137890</v>
      </c>
      <c r="N806">
        <v>57106</v>
      </c>
      <c r="O806" t="s">
        <v>824</v>
      </c>
      <c r="P806" s="9">
        <v>222625</v>
      </c>
      <c r="Q806" s="9">
        <v>21585</v>
      </c>
      <c r="R806" s="9">
        <v>244210</v>
      </c>
      <c r="S806" s="9">
        <v>-102416</v>
      </c>
      <c r="T806" s="10">
        <v>55661</v>
      </c>
      <c r="U806" s="10">
        <v>736</v>
      </c>
    </row>
    <row r="807" spans="1:21" x14ac:dyDescent="0.35">
      <c r="A807" t="s">
        <v>15</v>
      </c>
      <c r="B807" t="s">
        <v>16</v>
      </c>
      <c r="C807" t="s">
        <v>17</v>
      </c>
      <c r="D807">
        <v>208485</v>
      </c>
      <c r="E807">
        <v>40610</v>
      </c>
      <c r="F807">
        <v>22945</v>
      </c>
      <c r="G807">
        <v>-198908</v>
      </c>
      <c r="H807">
        <v>73132</v>
      </c>
      <c r="I807">
        <v>66568</v>
      </c>
      <c r="J807">
        <v>1205</v>
      </c>
      <c r="K807">
        <v>534918</v>
      </c>
      <c r="L807">
        <v>212914</v>
      </c>
      <c r="M807">
        <v>-82394</v>
      </c>
      <c r="N807">
        <v>74544</v>
      </c>
      <c r="O807" t="s">
        <v>825</v>
      </c>
      <c r="P807" s="9">
        <v>253297</v>
      </c>
      <c r="Q807" s="9">
        <v>39983</v>
      </c>
      <c r="R807" s="9">
        <v>293280</v>
      </c>
      <c r="S807" s="9">
        <v>-84151</v>
      </c>
      <c r="T807" s="10">
        <v>153065</v>
      </c>
      <c r="U807" s="10">
        <v>1901</v>
      </c>
    </row>
    <row r="808" spans="1:21" x14ac:dyDescent="0.35">
      <c r="A808" t="s">
        <v>15</v>
      </c>
      <c r="B808" t="s">
        <v>16</v>
      </c>
      <c r="C808" t="s">
        <v>21</v>
      </c>
      <c r="D808">
        <v>298612</v>
      </c>
      <c r="E808">
        <v>43802</v>
      </c>
      <c r="F808">
        <v>37527</v>
      </c>
      <c r="G808">
        <v>-266726</v>
      </c>
      <c r="H808">
        <v>113215</v>
      </c>
      <c r="I808">
        <v>118215</v>
      </c>
      <c r="J808">
        <v>2100</v>
      </c>
      <c r="K808">
        <v>978508</v>
      </c>
      <c r="L808">
        <v>428815</v>
      </c>
      <c r="M808">
        <v>-334294</v>
      </c>
      <c r="N808">
        <v>115323</v>
      </c>
      <c r="O808" t="s">
        <v>826</v>
      </c>
      <c r="P808" s="9">
        <v>160176</v>
      </c>
      <c r="Q808" s="9">
        <v>31022</v>
      </c>
      <c r="R808" s="9">
        <v>191198</v>
      </c>
      <c r="S808" s="9">
        <v>-81517</v>
      </c>
      <c r="T808" s="10">
        <v>73364</v>
      </c>
      <c r="U808" s="10">
        <v>897</v>
      </c>
    </row>
    <row r="809" spans="1:21" x14ac:dyDescent="0.35">
      <c r="A809" t="s">
        <v>15</v>
      </c>
      <c r="B809" t="s">
        <v>16</v>
      </c>
      <c r="C809" t="s">
        <v>17</v>
      </c>
      <c r="D809">
        <v>150996</v>
      </c>
      <c r="E809">
        <v>27424</v>
      </c>
      <c r="F809">
        <v>24207</v>
      </c>
      <c r="G809">
        <v>-142853</v>
      </c>
      <c r="H809">
        <v>59774</v>
      </c>
      <c r="I809">
        <v>54672</v>
      </c>
      <c r="J809">
        <v>1456</v>
      </c>
      <c r="K809">
        <v>601676</v>
      </c>
      <c r="L809">
        <v>276452</v>
      </c>
      <c r="M809">
        <v>-79077</v>
      </c>
      <c r="N809">
        <v>88842</v>
      </c>
      <c r="O809" t="s">
        <v>827</v>
      </c>
      <c r="P809" s="9">
        <v>165002</v>
      </c>
      <c r="Q809" s="9">
        <v>11361</v>
      </c>
      <c r="R809" s="9">
        <v>176363</v>
      </c>
      <c r="S809" s="9">
        <v>-36908</v>
      </c>
      <c r="T809" s="10">
        <v>71132</v>
      </c>
      <c r="U809" s="10">
        <v>882</v>
      </c>
    </row>
    <row r="810" spans="1:21" x14ac:dyDescent="0.35">
      <c r="A810" t="s">
        <v>15</v>
      </c>
      <c r="B810" t="s">
        <v>16</v>
      </c>
      <c r="C810" t="s">
        <v>21</v>
      </c>
      <c r="D810">
        <v>192712</v>
      </c>
      <c r="E810">
        <v>37092</v>
      </c>
      <c r="F810">
        <v>24099</v>
      </c>
      <c r="G810">
        <v>-179214</v>
      </c>
      <c r="H810">
        <v>74689</v>
      </c>
      <c r="I810">
        <v>69828</v>
      </c>
      <c r="J810">
        <v>1589</v>
      </c>
      <c r="K810">
        <v>754620</v>
      </c>
      <c r="L810">
        <v>189082</v>
      </c>
      <c r="M810">
        <v>-266536</v>
      </c>
      <c r="N810">
        <v>99022</v>
      </c>
      <c r="O810" t="s">
        <v>828</v>
      </c>
      <c r="P810" s="9">
        <v>171503</v>
      </c>
      <c r="Q810" s="9">
        <v>13788</v>
      </c>
      <c r="R810" s="9">
        <v>185291</v>
      </c>
      <c r="S810" s="9">
        <v>-60512</v>
      </c>
      <c r="T810" s="10">
        <v>44327</v>
      </c>
      <c r="U810" s="10">
        <v>704</v>
      </c>
    </row>
    <row r="811" spans="1:21" x14ac:dyDescent="0.35">
      <c r="A811" t="s">
        <v>15</v>
      </c>
      <c r="B811" t="s">
        <v>20</v>
      </c>
      <c r="C811" t="s">
        <v>21</v>
      </c>
      <c r="D811">
        <v>174539</v>
      </c>
      <c r="E811">
        <v>16789</v>
      </c>
      <c r="F811">
        <v>37401</v>
      </c>
      <c r="G811">
        <v>-162793</v>
      </c>
      <c r="H811">
        <v>65936</v>
      </c>
      <c r="I811">
        <v>64986</v>
      </c>
      <c r="J811">
        <v>1483</v>
      </c>
      <c r="K811">
        <v>395109</v>
      </c>
      <c r="L811">
        <v>139414</v>
      </c>
      <c r="M811">
        <v>-154863</v>
      </c>
      <c r="N811">
        <v>73325</v>
      </c>
      <c r="O811" t="s">
        <v>829</v>
      </c>
      <c r="P811" s="9">
        <v>251345</v>
      </c>
      <c r="Q811" s="9">
        <v>53393</v>
      </c>
      <c r="R811" s="9">
        <v>304738</v>
      </c>
      <c r="S811" s="9">
        <v>-93787</v>
      </c>
      <c r="T811" s="10">
        <v>124245</v>
      </c>
      <c r="U811" s="10">
        <v>1421</v>
      </c>
    </row>
    <row r="812" spans="1:21" x14ac:dyDescent="0.35">
      <c r="A812" t="s">
        <v>15</v>
      </c>
      <c r="B812" t="s">
        <v>20</v>
      </c>
      <c r="C812" t="s">
        <v>21</v>
      </c>
      <c r="D812">
        <v>156662</v>
      </c>
      <c r="E812">
        <v>19473</v>
      </c>
      <c r="F812">
        <v>36820</v>
      </c>
      <c r="G812">
        <v>-133854</v>
      </c>
      <c r="H812">
        <v>79101</v>
      </c>
      <c r="I812">
        <v>75077</v>
      </c>
      <c r="J812">
        <v>1216</v>
      </c>
      <c r="K812">
        <v>617588</v>
      </c>
      <c r="L812">
        <v>217887</v>
      </c>
      <c r="M812">
        <v>-121416</v>
      </c>
      <c r="N812">
        <v>129986</v>
      </c>
      <c r="O812" t="s">
        <v>830</v>
      </c>
      <c r="P812" s="9">
        <v>203631</v>
      </c>
      <c r="Q812" s="9">
        <v>8854</v>
      </c>
      <c r="R812" s="9">
        <v>212485</v>
      </c>
      <c r="S812" s="9">
        <v>-52395</v>
      </c>
      <c r="T812" s="10">
        <v>35876</v>
      </c>
      <c r="U812" s="10">
        <v>418</v>
      </c>
    </row>
    <row r="813" spans="1:21" x14ac:dyDescent="0.35">
      <c r="A813" t="s">
        <v>15</v>
      </c>
      <c r="B813" t="s">
        <v>16</v>
      </c>
      <c r="C813" t="s">
        <v>17</v>
      </c>
      <c r="D813">
        <v>263637</v>
      </c>
      <c r="E813">
        <v>36114</v>
      </c>
      <c r="F813">
        <v>38720</v>
      </c>
      <c r="G813">
        <v>-253773</v>
      </c>
      <c r="H813">
        <v>84698</v>
      </c>
      <c r="I813">
        <v>86126</v>
      </c>
      <c r="J813">
        <v>1678</v>
      </c>
      <c r="K813">
        <v>918899</v>
      </c>
      <c r="L813">
        <v>335726</v>
      </c>
      <c r="M813">
        <v>-133409</v>
      </c>
      <c r="N813">
        <v>136716</v>
      </c>
      <c r="O813" t="s">
        <v>831</v>
      </c>
      <c r="P813" s="9">
        <v>240296</v>
      </c>
      <c r="Q813" s="9">
        <v>28511</v>
      </c>
      <c r="R813" s="9">
        <v>268807</v>
      </c>
      <c r="S813" s="9">
        <v>-82676</v>
      </c>
      <c r="T813" s="10">
        <v>105353</v>
      </c>
      <c r="U813" s="10">
        <v>2152</v>
      </c>
    </row>
    <row r="814" spans="1:21" x14ac:dyDescent="0.35">
      <c r="A814" t="s">
        <v>15</v>
      </c>
      <c r="B814" t="s">
        <v>16</v>
      </c>
      <c r="C814" t="s">
        <v>21</v>
      </c>
      <c r="D814">
        <v>198220</v>
      </c>
      <c r="E814">
        <v>39032</v>
      </c>
      <c r="F814">
        <v>31546</v>
      </c>
      <c r="G814">
        <v>-186925</v>
      </c>
      <c r="H814">
        <v>81873</v>
      </c>
      <c r="I814">
        <v>82667</v>
      </c>
      <c r="J814">
        <v>1472</v>
      </c>
      <c r="K814">
        <v>648899</v>
      </c>
      <c r="L814">
        <v>276857</v>
      </c>
      <c r="M814">
        <v>-87213</v>
      </c>
      <c r="N814">
        <v>115829</v>
      </c>
      <c r="O814" t="s">
        <v>832</v>
      </c>
      <c r="P814" s="9">
        <v>145310</v>
      </c>
      <c r="Q814" s="9">
        <v>14282</v>
      </c>
      <c r="R814" s="9">
        <v>159592</v>
      </c>
      <c r="S814" s="9">
        <v>-82359</v>
      </c>
      <c r="T814" s="10">
        <v>56145</v>
      </c>
      <c r="U814" s="10">
        <v>1050</v>
      </c>
    </row>
    <row r="815" spans="1:21" x14ac:dyDescent="0.35">
      <c r="A815" t="s">
        <v>15</v>
      </c>
      <c r="B815" t="s">
        <v>20</v>
      </c>
      <c r="C815" t="s">
        <v>21</v>
      </c>
      <c r="D815">
        <v>275722</v>
      </c>
      <c r="E815">
        <v>44987</v>
      </c>
      <c r="F815">
        <v>44514</v>
      </c>
      <c r="G815">
        <v>-257659</v>
      </c>
      <c r="H815">
        <v>107564</v>
      </c>
      <c r="I815">
        <v>112134</v>
      </c>
      <c r="J815">
        <v>1197</v>
      </c>
      <c r="K815">
        <v>814740</v>
      </c>
      <c r="L815">
        <v>156248</v>
      </c>
      <c r="M815">
        <v>-115316</v>
      </c>
      <c r="N815">
        <v>129068</v>
      </c>
      <c r="O815" t="s">
        <v>833</v>
      </c>
      <c r="P815" s="9">
        <v>271187</v>
      </c>
      <c r="Q815" s="9">
        <v>41402</v>
      </c>
      <c r="R815" s="9">
        <v>312589</v>
      </c>
      <c r="S815" s="9">
        <v>-101989</v>
      </c>
      <c r="T815" s="10">
        <v>134994</v>
      </c>
      <c r="U815" s="10">
        <v>1822</v>
      </c>
    </row>
    <row r="816" spans="1:21" x14ac:dyDescent="0.35">
      <c r="A816" t="s">
        <v>15</v>
      </c>
      <c r="B816" t="s">
        <v>16</v>
      </c>
      <c r="C816" t="s">
        <v>21</v>
      </c>
      <c r="D816">
        <v>170904</v>
      </c>
      <c r="E816">
        <v>14847</v>
      </c>
      <c r="F816">
        <v>37262</v>
      </c>
      <c r="G816">
        <v>-150837</v>
      </c>
      <c r="H816">
        <v>72176</v>
      </c>
      <c r="I816">
        <v>74261</v>
      </c>
      <c r="J816">
        <v>1691</v>
      </c>
      <c r="K816">
        <v>639259</v>
      </c>
      <c r="L816">
        <v>294328</v>
      </c>
      <c r="M816">
        <v>-103721</v>
      </c>
      <c r="N816">
        <v>97958</v>
      </c>
      <c r="O816" t="s">
        <v>834</v>
      </c>
      <c r="P816" s="9">
        <v>208222</v>
      </c>
      <c r="Q816" s="9">
        <v>15106</v>
      </c>
      <c r="R816" s="9">
        <v>223328</v>
      </c>
      <c r="S816" s="9">
        <v>-103008</v>
      </c>
      <c r="T816" s="10">
        <v>98033</v>
      </c>
      <c r="U816" s="10">
        <v>1914</v>
      </c>
    </row>
    <row r="817" spans="1:21" x14ac:dyDescent="0.35">
      <c r="A817" t="s">
        <v>15</v>
      </c>
      <c r="B817" t="s">
        <v>20</v>
      </c>
      <c r="C817" t="s">
        <v>21</v>
      </c>
      <c r="D817">
        <v>268951</v>
      </c>
      <c r="E817">
        <v>46305</v>
      </c>
      <c r="F817">
        <v>36897</v>
      </c>
      <c r="G817">
        <v>-265489</v>
      </c>
      <c r="H817">
        <v>86664</v>
      </c>
      <c r="I817">
        <v>88460</v>
      </c>
      <c r="J817">
        <v>2361</v>
      </c>
      <c r="K817">
        <v>605053</v>
      </c>
      <c r="L817">
        <v>289016</v>
      </c>
      <c r="M817">
        <v>-146065</v>
      </c>
      <c r="N817">
        <v>92170</v>
      </c>
      <c r="O817" t="s">
        <v>835</v>
      </c>
      <c r="P817" s="9">
        <v>224442</v>
      </c>
      <c r="Q817" s="9">
        <v>40619</v>
      </c>
      <c r="R817" s="9">
        <v>265061</v>
      </c>
      <c r="S817" s="9">
        <v>-64069</v>
      </c>
      <c r="T817" s="10">
        <v>121392</v>
      </c>
      <c r="U817" s="10">
        <v>1847</v>
      </c>
    </row>
    <row r="818" spans="1:21" x14ac:dyDescent="0.35">
      <c r="A818" t="s">
        <v>15</v>
      </c>
      <c r="B818" t="s">
        <v>16</v>
      </c>
      <c r="C818" t="s">
        <v>21</v>
      </c>
      <c r="D818">
        <v>159588</v>
      </c>
      <c r="E818">
        <v>21273</v>
      </c>
      <c r="F818">
        <v>34501</v>
      </c>
      <c r="G818">
        <v>-132980</v>
      </c>
      <c r="H818">
        <v>82382</v>
      </c>
      <c r="I818">
        <v>86185</v>
      </c>
      <c r="J818">
        <v>1963</v>
      </c>
      <c r="K818">
        <v>480301</v>
      </c>
      <c r="L818">
        <v>108376</v>
      </c>
      <c r="M818">
        <v>-63346</v>
      </c>
      <c r="N818">
        <v>141170</v>
      </c>
      <c r="O818" t="s">
        <v>836</v>
      </c>
      <c r="P818" s="9">
        <v>195702</v>
      </c>
      <c r="Q818" s="9">
        <v>17572</v>
      </c>
      <c r="R818" s="9">
        <v>213274</v>
      </c>
      <c r="S818" s="9">
        <v>-101312</v>
      </c>
      <c r="T818" s="10">
        <v>70999</v>
      </c>
      <c r="U818" s="10">
        <v>881</v>
      </c>
    </row>
    <row r="819" spans="1:21" x14ac:dyDescent="0.35">
      <c r="A819" t="s">
        <v>15</v>
      </c>
      <c r="B819" t="s">
        <v>16</v>
      </c>
      <c r="C819" t="s">
        <v>21</v>
      </c>
      <c r="D819">
        <v>215803</v>
      </c>
      <c r="E819">
        <v>38332</v>
      </c>
      <c r="F819">
        <v>40409</v>
      </c>
      <c r="G819">
        <v>-186613</v>
      </c>
      <c r="H819">
        <v>107931</v>
      </c>
      <c r="I819">
        <v>111123</v>
      </c>
      <c r="J819">
        <v>1502</v>
      </c>
      <c r="K819">
        <v>433535</v>
      </c>
      <c r="L819">
        <v>49765</v>
      </c>
      <c r="M819">
        <v>-50245</v>
      </c>
      <c r="N819">
        <v>142264</v>
      </c>
      <c r="O819" t="s">
        <v>837</v>
      </c>
      <c r="P819" s="9">
        <v>211088</v>
      </c>
      <c r="Q819" s="9">
        <v>39455</v>
      </c>
      <c r="R819" s="9">
        <v>250543</v>
      </c>
      <c r="S819" s="9">
        <v>-58403</v>
      </c>
      <c r="T819" s="10">
        <v>103942</v>
      </c>
      <c r="U819" s="10">
        <v>2546</v>
      </c>
    </row>
    <row r="820" spans="1:21" x14ac:dyDescent="0.35">
      <c r="A820" t="s">
        <v>15</v>
      </c>
      <c r="B820" t="s">
        <v>20</v>
      </c>
      <c r="C820" t="s">
        <v>21</v>
      </c>
      <c r="D820">
        <v>165133</v>
      </c>
      <c r="E820">
        <v>11482</v>
      </c>
      <c r="F820">
        <v>32229</v>
      </c>
      <c r="G820">
        <v>-149630</v>
      </c>
      <c r="H820">
        <v>59214</v>
      </c>
      <c r="I820">
        <v>61187</v>
      </c>
      <c r="J820">
        <v>1015</v>
      </c>
      <c r="K820">
        <v>343707</v>
      </c>
      <c r="L820">
        <v>108794</v>
      </c>
      <c r="M820">
        <v>-69795</v>
      </c>
      <c r="N820">
        <v>146030</v>
      </c>
      <c r="O820" t="s">
        <v>838</v>
      </c>
      <c r="P820" s="9">
        <v>304078</v>
      </c>
      <c r="Q820" s="9">
        <v>17869</v>
      </c>
      <c r="R820" s="9">
        <v>321947</v>
      </c>
      <c r="S820" s="9">
        <v>-122952</v>
      </c>
      <c r="T820" s="10">
        <v>109419</v>
      </c>
      <c r="U820" s="10">
        <v>2613</v>
      </c>
    </row>
    <row r="821" spans="1:21" x14ac:dyDescent="0.35">
      <c r="A821" t="s">
        <v>15</v>
      </c>
      <c r="B821" t="s">
        <v>16</v>
      </c>
      <c r="C821" t="s">
        <v>21</v>
      </c>
      <c r="D821">
        <v>169187</v>
      </c>
      <c r="E821">
        <v>10188</v>
      </c>
      <c r="F821">
        <v>30671</v>
      </c>
      <c r="G821">
        <v>-156922</v>
      </c>
      <c r="H821">
        <v>53124</v>
      </c>
      <c r="I821">
        <v>52256</v>
      </c>
      <c r="J821">
        <v>1420</v>
      </c>
      <c r="K821">
        <v>566666</v>
      </c>
      <c r="L821">
        <v>98143</v>
      </c>
      <c r="M821">
        <v>-131411</v>
      </c>
      <c r="N821">
        <v>52555</v>
      </c>
      <c r="O821" t="s">
        <v>839</v>
      </c>
      <c r="P821" s="9">
        <v>253874</v>
      </c>
      <c r="Q821" s="9">
        <v>46115</v>
      </c>
      <c r="R821" s="9">
        <v>299989</v>
      </c>
      <c r="S821" s="9">
        <v>-177370</v>
      </c>
      <c r="T821" s="10">
        <v>114216</v>
      </c>
      <c r="U821" s="10">
        <v>1677</v>
      </c>
    </row>
    <row r="822" spans="1:21" x14ac:dyDescent="0.35">
      <c r="A822" t="s">
        <v>15</v>
      </c>
      <c r="B822" t="s">
        <v>16</v>
      </c>
      <c r="C822" t="s">
        <v>17</v>
      </c>
      <c r="D822">
        <v>257120</v>
      </c>
      <c r="E822">
        <v>46680</v>
      </c>
      <c r="F822">
        <v>31917</v>
      </c>
      <c r="G822">
        <v>-246141</v>
      </c>
      <c r="H822">
        <v>89576</v>
      </c>
      <c r="I822">
        <v>91569</v>
      </c>
      <c r="J822">
        <v>1958</v>
      </c>
      <c r="K822">
        <v>930183</v>
      </c>
      <c r="L822">
        <v>454588</v>
      </c>
      <c r="M822">
        <v>-249438</v>
      </c>
      <c r="N822">
        <v>194469</v>
      </c>
      <c r="O822" t="s">
        <v>840</v>
      </c>
      <c r="P822" s="9">
        <v>194602</v>
      </c>
      <c r="Q822" s="9">
        <v>12191</v>
      </c>
      <c r="R822" s="9">
        <v>206793</v>
      </c>
      <c r="S822" s="9">
        <v>-54702</v>
      </c>
      <c r="T822" s="10">
        <v>39046</v>
      </c>
      <c r="U822" s="10">
        <v>591</v>
      </c>
    </row>
    <row r="823" spans="1:21" x14ac:dyDescent="0.35">
      <c r="A823" t="s">
        <v>15</v>
      </c>
      <c r="B823" t="s">
        <v>16</v>
      </c>
      <c r="C823" t="s">
        <v>17</v>
      </c>
      <c r="D823">
        <v>268496</v>
      </c>
      <c r="E823">
        <v>30660</v>
      </c>
      <c r="F823">
        <v>61634</v>
      </c>
      <c r="G823">
        <v>-267351</v>
      </c>
      <c r="H823">
        <v>93439</v>
      </c>
      <c r="I823">
        <v>92549</v>
      </c>
      <c r="J823">
        <v>1919</v>
      </c>
      <c r="K823">
        <v>975989</v>
      </c>
      <c r="L823">
        <v>396500</v>
      </c>
      <c r="M823">
        <v>-113145</v>
      </c>
      <c r="N823">
        <v>179200</v>
      </c>
      <c r="O823" t="s">
        <v>841</v>
      </c>
      <c r="P823" s="9">
        <v>187658</v>
      </c>
      <c r="Q823" s="9">
        <v>32814</v>
      </c>
      <c r="R823" s="9">
        <v>220472</v>
      </c>
      <c r="S823" s="9">
        <v>-121388</v>
      </c>
      <c r="T823" s="10">
        <v>69237</v>
      </c>
      <c r="U823" s="10">
        <v>1242</v>
      </c>
    </row>
    <row r="824" spans="1:21" x14ac:dyDescent="0.35">
      <c r="A824" t="s">
        <v>15</v>
      </c>
      <c r="B824" t="s">
        <v>16</v>
      </c>
      <c r="C824" t="s">
        <v>21</v>
      </c>
      <c r="D824">
        <v>282099</v>
      </c>
      <c r="E824">
        <v>30535</v>
      </c>
      <c r="F824">
        <v>47702</v>
      </c>
      <c r="G824">
        <v>-276669</v>
      </c>
      <c r="H824">
        <v>83667</v>
      </c>
      <c r="I824">
        <v>76815</v>
      </c>
      <c r="J824">
        <v>822</v>
      </c>
      <c r="K824">
        <v>959264</v>
      </c>
      <c r="L824">
        <v>325729</v>
      </c>
      <c r="M824">
        <v>-169764</v>
      </c>
      <c r="N824">
        <v>159528</v>
      </c>
      <c r="O824" t="s">
        <v>842</v>
      </c>
      <c r="P824" s="9">
        <v>247168</v>
      </c>
      <c r="Q824" s="9">
        <v>37998</v>
      </c>
      <c r="R824" s="9">
        <v>285166</v>
      </c>
      <c r="S824" s="9">
        <v>-129768</v>
      </c>
      <c r="T824" s="10">
        <v>80844</v>
      </c>
      <c r="U824" s="10">
        <v>1438</v>
      </c>
    </row>
    <row r="825" spans="1:21" x14ac:dyDescent="0.35">
      <c r="A825" t="s">
        <v>15</v>
      </c>
      <c r="B825" t="s">
        <v>16</v>
      </c>
      <c r="C825" t="s">
        <v>21</v>
      </c>
      <c r="D825">
        <v>294045</v>
      </c>
      <c r="E825">
        <v>53508</v>
      </c>
      <c r="F825">
        <v>70640</v>
      </c>
      <c r="G825">
        <v>-265580</v>
      </c>
      <c r="H825">
        <v>152613</v>
      </c>
      <c r="I825">
        <v>143409</v>
      </c>
      <c r="J825">
        <v>3413</v>
      </c>
      <c r="K825">
        <v>1160210</v>
      </c>
      <c r="L825">
        <v>535279</v>
      </c>
      <c r="M825">
        <v>-236479</v>
      </c>
      <c r="N825">
        <v>229210</v>
      </c>
      <c r="O825" t="s">
        <v>843</v>
      </c>
      <c r="P825" s="9">
        <v>230561</v>
      </c>
      <c r="Q825" s="9">
        <v>20158</v>
      </c>
      <c r="R825" s="9">
        <v>250719</v>
      </c>
      <c r="S825" s="9">
        <v>-97894</v>
      </c>
      <c r="T825" s="10">
        <v>57026</v>
      </c>
      <c r="U825" s="10">
        <v>768</v>
      </c>
    </row>
    <row r="826" spans="1:21" x14ac:dyDescent="0.35">
      <c r="A826" t="s">
        <v>15</v>
      </c>
      <c r="B826" t="s">
        <v>20</v>
      </c>
      <c r="C826" t="s">
        <v>21</v>
      </c>
      <c r="D826">
        <v>163096</v>
      </c>
      <c r="E826">
        <v>24387</v>
      </c>
      <c r="F826">
        <v>23911</v>
      </c>
      <c r="G826">
        <v>-161427</v>
      </c>
      <c r="H826">
        <v>49967</v>
      </c>
      <c r="I826">
        <v>51397</v>
      </c>
      <c r="J826">
        <v>1328</v>
      </c>
      <c r="K826">
        <v>447940</v>
      </c>
      <c r="L826">
        <v>208386</v>
      </c>
      <c r="M826">
        <v>-58260</v>
      </c>
      <c r="N826">
        <v>116629</v>
      </c>
      <c r="O826" t="s">
        <v>844</v>
      </c>
      <c r="P826" s="9">
        <v>283975</v>
      </c>
      <c r="Q826" s="9">
        <v>38858</v>
      </c>
      <c r="R826" s="9">
        <v>322833</v>
      </c>
      <c r="S826" s="9">
        <v>-72114</v>
      </c>
      <c r="T826" s="10">
        <v>112643</v>
      </c>
      <c r="U826" s="10">
        <v>2077</v>
      </c>
    </row>
    <row r="827" spans="1:21" x14ac:dyDescent="0.35">
      <c r="A827" t="s">
        <v>15</v>
      </c>
      <c r="B827" t="s">
        <v>16</v>
      </c>
      <c r="C827" t="s">
        <v>17</v>
      </c>
      <c r="D827">
        <v>241882</v>
      </c>
      <c r="E827">
        <v>37779</v>
      </c>
      <c r="F827">
        <v>31187</v>
      </c>
      <c r="G827">
        <v>-202390</v>
      </c>
      <c r="H827">
        <v>108458</v>
      </c>
      <c r="I827">
        <v>100673</v>
      </c>
      <c r="J827">
        <v>2247</v>
      </c>
      <c r="K827">
        <v>905831</v>
      </c>
      <c r="L827">
        <v>314430</v>
      </c>
      <c r="M827">
        <v>-130708</v>
      </c>
      <c r="N827">
        <v>158582</v>
      </c>
      <c r="O827" t="s">
        <v>845</v>
      </c>
      <c r="P827" s="9">
        <v>210767</v>
      </c>
      <c r="Q827" s="9">
        <v>32815</v>
      </c>
      <c r="R827" s="9">
        <v>243582</v>
      </c>
      <c r="S827" s="9">
        <v>-70850</v>
      </c>
      <c r="T827" s="10">
        <v>88340</v>
      </c>
      <c r="U827" s="10">
        <v>2356</v>
      </c>
    </row>
    <row r="828" spans="1:21" x14ac:dyDescent="0.35">
      <c r="A828" t="s">
        <v>15</v>
      </c>
      <c r="B828" t="s">
        <v>16</v>
      </c>
      <c r="C828" t="s">
        <v>21</v>
      </c>
      <c r="D828">
        <v>289493</v>
      </c>
      <c r="E828">
        <v>39193</v>
      </c>
      <c r="F828">
        <v>62730</v>
      </c>
      <c r="G828">
        <v>-244711</v>
      </c>
      <c r="H828">
        <v>146705</v>
      </c>
      <c r="I828">
        <v>149538</v>
      </c>
      <c r="J828">
        <v>4257</v>
      </c>
      <c r="K828">
        <v>1046211</v>
      </c>
      <c r="L828">
        <v>281022</v>
      </c>
      <c r="M828">
        <v>-297337</v>
      </c>
      <c r="N828">
        <v>139832</v>
      </c>
      <c r="O828" t="s">
        <v>846</v>
      </c>
      <c r="P828" s="9">
        <v>205369</v>
      </c>
      <c r="Q828" s="9">
        <v>23450</v>
      </c>
      <c r="R828" s="9">
        <v>228819</v>
      </c>
      <c r="S828" s="9">
        <v>-89739</v>
      </c>
      <c r="T828" s="10">
        <v>80246</v>
      </c>
      <c r="U828" s="10">
        <v>1397</v>
      </c>
    </row>
    <row r="829" spans="1:21" x14ac:dyDescent="0.35">
      <c r="A829" t="s">
        <v>15</v>
      </c>
      <c r="B829" t="s">
        <v>16</v>
      </c>
      <c r="C829" t="s">
        <v>21</v>
      </c>
      <c r="D829">
        <v>241447</v>
      </c>
      <c r="E829">
        <v>13784</v>
      </c>
      <c r="F829">
        <v>59546</v>
      </c>
      <c r="G829">
        <v>-207263</v>
      </c>
      <c r="H829">
        <v>107514</v>
      </c>
      <c r="I829">
        <v>99548</v>
      </c>
      <c r="J829">
        <v>1629</v>
      </c>
      <c r="K829">
        <v>663647</v>
      </c>
      <c r="L829">
        <v>175930</v>
      </c>
      <c r="M829">
        <v>-84726</v>
      </c>
      <c r="N829">
        <v>211998</v>
      </c>
      <c r="O829" t="s">
        <v>847</v>
      </c>
      <c r="P829" s="9">
        <v>310243</v>
      </c>
      <c r="Q829" s="9">
        <v>48033</v>
      </c>
      <c r="R829" s="9">
        <v>358276</v>
      </c>
      <c r="S829" s="9">
        <v>-135583</v>
      </c>
      <c r="T829" s="10">
        <v>117642</v>
      </c>
      <c r="U829" s="10">
        <v>1573</v>
      </c>
    </row>
    <row r="830" spans="1:21" x14ac:dyDescent="0.35">
      <c r="A830" t="s">
        <v>15</v>
      </c>
      <c r="B830" t="s">
        <v>20</v>
      </c>
      <c r="C830" t="s">
        <v>21</v>
      </c>
      <c r="D830">
        <v>205202</v>
      </c>
      <c r="E830">
        <v>30452</v>
      </c>
      <c r="F830">
        <v>45652</v>
      </c>
      <c r="G830">
        <v>-185727</v>
      </c>
      <c r="H830">
        <v>95579</v>
      </c>
      <c r="I830">
        <v>97014</v>
      </c>
      <c r="J830">
        <v>2615</v>
      </c>
      <c r="K830">
        <v>511029</v>
      </c>
      <c r="L830">
        <v>95680</v>
      </c>
      <c r="M830">
        <v>-114306</v>
      </c>
      <c r="N830">
        <v>179508</v>
      </c>
      <c r="O830" t="s">
        <v>848</v>
      </c>
      <c r="P830" s="9">
        <v>294817</v>
      </c>
      <c r="Q830" s="9">
        <v>44118</v>
      </c>
      <c r="R830" s="9">
        <v>338935</v>
      </c>
      <c r="S830" s="9">
        <v>-179748</v>
      </c>
      <c r="T830" s="10">
        <v>105231</v>
      </c>
      <c r="U830" s="10">
        <v>2409</v>
      </c>
    </row>
    <row r="831" spans="1:21" x14ac:dyDescent="0.35">
      <c r="A831" t="s">
        <v>15</v>
      </c>
      <c r="B831" t="s">
        <v>16</v>
      </c>
      <c r="C831" t="s">
        <v>21</v>
      </c>
      <c r="D831">
        <v>221563</v>
      </c>
      <c r="E831">
        <v>17711</v>
      </c>
      <c r="F831">
        <v>46936</v>
      </c>
      <c r="G831">
        <v>-181659</v>
      </c>
      <c r="H831">
        <v>104551</v>
      </c>
      <c r="I831">
        <v>107381</v>
      </c>
      <c r="J831">
        <v>3126</v>
      </c>
      <c r="K831">
        <v>855279</v>
      </c>
      <c r="L831">
        <v>103112</v>
      </c>
      <c r="M831">
        <v>-231792</v>
      </c>
      <c r="N831">
        <v>118810</v>
      </c>
      <c r="O831" t="s">
        <v>849</v>
      </c>
      <c r="P831" s="9">
        <v>245391</v>
      </c>
      <c r="Q831" s="9">
        <v>32353</v>
      </c>
      <c r="R831" s="9">
        <v>277744</v>
      </c>
      <c r="S831" s="9">
        <v>-69821</v>
      </c>
      <c r="T831" s="10">
        <v>87569</v>
      </c>
      <c r="U831" s="10">
        <v>1011</v>
      </c>
    </row>
    <row r="832" spans="1:21" x14ac:dyDescent="0.35">
      <c r="A832" t="s">
        <v>15</v>
      </c>
      <c r="B832" t="s">
        <v>20</v>
      </c>
      <c r="C832" t="s">
        <v>21</v>
      </c>
      <c r="D832">
        <v>284491</v>
      </c>
      <c r="E832">
        <v>20984</v>
      </c>
      <c r="F832">
        <v>41685</v>
      </c>
      <c r="G832">
        <v>-250033</v>
      </c>
      <c r="H832">
        <v>97127</v>
      </c>
      <c r="I832">
        <v>100259</v>
      </c>
      <c r="J832">
        <v>1034</v>
      </c>
      <c r="K832">
        <v>922140</v>
      </c>
      <c r="L832">
        <v>252068</v>
      </c>
      <c r="M832">
        <v>-205448</v>
      </c>
      <c r="N832">
        <v>114176</v>
      </c>
      <c r="O832" t="s">
        <v>850</v>
      </c>
      <c r="P832" s="9">
        <v>280307</v>
      </c>
      <c r="Q832" s="9">
        <v>51018</v>
      </c>
      <c r="R832" s="9">
        <v>331325</v>
      </c>
      <c r="S832" s="9">
        <v>-148634</v>
      </c>
      <c r="T832" s="10">
        <v>169898</v>
      </c>
      <c r="U832" s="10">
        <v>3507</v>
      </c>
    </row>
    <row r="833" spans="1:21" x14ac:dyDescent="0.35">
      <c r="A833" t="s">
        <v>15</v>
      </c>
      <c r="B833" t="s">
        <v>20</v>
      </c>
      <c r="C833" t="s">
        <v>17</v>
      </c>
      <c r="D833">
        <v>197931</v>
      </c>
      <c r="E833">
        <v>18731</v>
      </c>
      <c r="F833">
        <v>31964</v>
      </c>
      <c r="G833">
        <v>-184654</v>
      </c>
      <c r="H833">
        <v>63972</v>
      </c>
      <c r="I833">
        <v>62842</v>
      </c>
      <c r="J833">
        <v>1098</v>
      </c>
      <c r="K833">
        <v>782326</v>
      </c>
      <c r="L833">
        <v>291910</v>
      </c>
      <c r="M833">
        <v>-249272</v>
      </c>
      <c r="N833">
        <v>148774</v>
      </c>
      <c r="O833" t="s">
        <v>851</v>
      </c>
      <c r="P833" s="9">
        <v>248126</v>
      </c>
      <c r="Q833" s="9">
        <v>14835</v>
      </c>
      <c r="R833" s="9">
        <v>262961</v>
      </c>
      <c r="S833" s="9">
        <v>-85071</v>
      </c>
      <c r="T833" s="10">
        <v>89326</v>
      </c>
      <c r="U833" s="10">
        <v>2097</v>
      </c>
    </row>
    <row r="834" spans="1:21" x14ac:dyDescent="0.35">
      <c r="A834" t="s">
        <v>15</v>
      </c>
      <c r="B834" t="s">
        <v>16</v>
      </c>
      <c r="C834" t="s">
        <v>17</v>
      </c>
      <c r="D834">
        <v>157367</v>
      </c>
      <c r="E834">
        <v>19030</v>
      </c>
      <c r="F834">
        <v>16271</v>
      </c>
      <c r="G834">
        <v>-131152</v>
      </c>
      <c r="H834">
        <v>61516</v>
      </c>
      <c r="I834">
        <v>57638</v>
      </c>
      <c r="J834">
        <v>661</v>
      </c>
      <c r="K834">
        <v>384912</v>
      </c>
      <c r="L834">
        <v>100977</v>
      </c>
      <c r="M834">
        <v>-118917</v>
      </c>
      <c r="N834">
        <v>137120</v>
      </c>
      <c r="O834" t="s">
        <v>852</v>
      </c>
      <c r="P834" s="9">
        <v>232220</v>
      </c>
      <c r="Q834" s="9">
        <v>33307</v>
      </c>
      <c r="R834" s="9">
        <v>265527</v>
      </c>
      <c r="S834" s="9">
        <v>-129669</v>
      </c>
      <c r="T834" s="10">
        <v>115487</v>
      </c>
      <c r="U834" s="10">
        <v>2447</v>
      </c>
    </row>
    <row r="835" spans="1:21" x14ac:dyDescent="0.35">
      <c r="A835" t="s">
        <v>15</v>
      </c>
      <c r="B835" t="s">
        <v>20</v>
      </c>
      <c r="C835" t="s">
        <v>21</v>
      </c>
      <c r="D835">
        <v>237887</v>
      </c>
      <c r="E835">
        <v>12539</v>
      </c>
      <c r="F835">
        <v>54446</v>
      </c>
      <c r="G835">
        <v>-199764</v>
      </c>
      <c r="H835">
        <v>105108</v>
      </c>
      <c r="I835">
        <v>100025</v>
      </c>
      <c r="J835">
        <v>1567</v>
      </c>
      <c r="K835">
        <v>937053</v>
      </c>
      <c r="L835">
        <v>445005</v>
      </c>
      <c r="M835">
        <v>-301280</v>
      </c>
      <c r="N835">
        <v>138180</v>
      </c>
      <c r="O835" t="s">
        <v>853</v>
      </c>
      <c r="P835" s="9">
        <v>233378</v>
      </c>
      <c r="Q835" s="9">
        <v>46814</v>
      </c>
      <c r="R835" s="9">
        <v>280192</v>
      </c>
      <c r="S835" s="9">
        <v>-73120</v>
      </c>
      <c r="T835" s="10">
        <v>129241</v>
      </c>
      <c r="U835" s="10">
        <v>2298</v>
      </c>
    </row>
    <row r="836" spans="1:21" x14ac:dyDescent="0.35">
      <c r="A836" t="s">
        <v>15</v>
      </c>
      <c r="B836" t="s">
        <v>20</v>
      </c>
      <c r="C836" t="s">
        <v>21</v>
      </c>
      <c r="D836">
        <v>183032</v>
      </c>
      <c r="E836">
        <v>15762</v>
      </c>
      <c r="F836">
        <v>21493</v>
      </c>
      <c r="G836">
        <v>-165161</v>
      </c>
      <c r="H836">
        <v>55126</v>
      </c>
      <c r="I836">
        <v>57440</v>
      </c>
      <c r="J836">
        <v>996</v>
      </c>
      <c r="K836">
        <v>692182</v>
      </c>
      <c r="L836">
        <v>302459</v>
      </c>
      <c r="M836">
        <v>-240170</v>
      </c>
      <c r="N836">
        <v>104238</v>
      </c>
      <c r="O836" t="s">
        <v>854</v>
      </c>
      <c r="P836" s="9">
        <v>308551</v>
      </c>
      <c r="Q836" s="9">
        <v>45892</v>
      </c>
      <c r="R836" s="9">
        <v>354443</v>
      </c>
      <c r="S836" s="9">
        <v>-70933</v>
      </c>
      <c r="T836" s="10">
        <v>115038</v>
      </c>
      <c r="U836" s="10">
        <v>1365</v>
      </c>
    </row>
    <row r="837" spans="1:21" x14ac:dyDescent="0.35">
      <c r="A837" t="s">
        <v>15</v>
      </c>
      <c r="B837" t="s">
        <v>16</v>
      </c>
      <c r="C837" t="s">
        <v>21</v>
      </c>
      <c r="D837">
        <v>249600</v>
      </c>
      <c r="E837">
        <v>24578</v>
      </c>
      <c r="F837">
        <v>54052</v>
      </c>
      <c r="G837">
        <v>-247763</v>
      </c>
      <c r="H837">
        <v>80467</v>
      </c>
      <c r="I837">
        <v>80103</v>
      </c>
      <c r="J837">
        <v>1112</v>
      </c>
      <c r="K837">
        <v>980479</v>
      </c>
      <c r="L837">
        <v>245179</v>
      </c>
      <c r="M837">
        <v>-199838</v>
      </c>
      <c r="N837">
        <v>127731</v>
      </c>
      <c r="O837" t="s">
        <v>855</v>
      </c>
      <c r="P837" s="9">
        <v>227119</v>
      </c>
      <c r="Q837" s="9">
        <v>37719</v>
      </c>
      <c r="R837" s="9">
        <v>264838</v>
      </c>
      <c r="S837" s="9">
        <v>-58180</v>
      </c>
      <c r="T837" s="10">
        <v>130133</v>
      </c>
      <c r="U837" s="10">
        <v>3254</v>
      </c>
    </row>
    <row r="838" spans="1:21" x14ac:dyDescent="0.35">
      <c r="A838" t="s">
        <v>15</v>
      </c>
      <c r="B838" t="s">
        <v>16</v>
      </c>
      <c r="C838" t="s">
        <v>21</v>
      </c>
      <c r="D838">
        <v>195469</v>
      </c>
      <c r="E838">
        <v>25365</v>
      </c>
      <c r="F838">
        <v>48069</v>
      </c>
      <c r="G838">
        <v>-177333</v>
      </c>
      <c r="H838">
        <v>91570</v>
      </c>
      <c r="I838">
        <v>92758</v>
      </c>
      <c r="J838">
        <v>988</v>
      </c>
      <c r="K838">
        <v>568415</v>
      </c>
      <c r="L838">
        <v>152594</v>
      </c>
      <c r="M838">
        <v>-71264</v>
      </c>
      <c r="N838">
        <v>77048</v>
      </c>
      <c r="O838" t="s">
        <v>856</v>
      </c>
      <c r="P838" s="9">
        <v>195751</v>
      </c>
      <c r="Q838" s="9">
        <v>33670</v>
      </c>
      <c r="R838" s="9">
        <v>229421</v>
      </c>
      <c r="S838" s="9">
        <v>-137058</v>
      </c>
      <c r="T838" s="10">
        <v>77986</v>
      </c>
      <c r="U838" s="10">
        <v>1448</v>
      </c>
    </row>
    <row r="839" spans="1:21" x14ac:dyDescent="0.35">
      <c r="A839" t="s">
        <v>15</v>
      </c>
      <c r="B839" t="s">
        <v>16</v>
      </c>
      <c r="C839" t="s">
        <v>21</v>
      </c>
      <c r="D839">
        <v>277629</v>
      </c>
      <c r="E839">
        <v>21206</v>
      </c>
      <c r="F839">
        <v>67242</v>
      </c>
      <c r="G839">
        <v>-229799</v>
      </c>
      <c r="H839">
        <v>136278</v>
      </c>
      <c r="I839">
        <v>124955</v>
      </c>
      <c r="J839">
        <v>1590</v>
      </c>
      <c r="K839">
        <v>818154</v>
      </c>
      <c r="L839">
        <v>88052</v>
      </c>
      <c r="M839">
        <v>-264837</v>
      </c>
      <c r="N839">
        <v>219806</v>
      </c>
      <c r="O839" t="s">
        <v>857</v>
      </c>
      <c r="P839" s="9">
        <v>170241</v>
      </c>
      <c r="Q839" s="9">
        <v>24254</v>
      </c>
      <c r="R839" s="9">
        <v>194495</v>
      </c>
      <c r="S839" s="9">
        <v>-116573</v>
      </c>
      <c r="T839" s="10">
        <v>66042</v>
      </c>
      <c r="U839" s="10">
        <v>983</v>
      </c>
    </row>
    <row r="840" spans="1:21" x14ac:dyDescent="0.35">
      <c r="A840" t="s">
        <v>15</v>
      </c>
      <c r="B840" t="s">
        <v>20</v>
      </c>
      <c r="C840" t="s">
        <v>21</v>
      </c>
      <c r="D840">
        <v>222774</v>
      </c>
      <c r="E840">
        <v>35509</v>
      </c>
      <c r="F840">
        <v>31982</v>
      </c>
      <c r="G840">
        <v>-179106</v>
      </c>
      <c r="H840">
        <v>111159</v>
      </c>
      <c r="I840">
        <v>105081</v>
      </c>
      <c r="J840">
        <v>1627</v>
      </c>
      <c r="K840">
        <v>883575</v>
      </c>
      <c r="L840">
        <v>276967</v>
      </c>
      <c r="M840">
        <v>-144494</v>
      </c>
      <c r="N840">
        <v>124149</v>
      </c>
      <c r="O840" t="s">
        <v>858</v>
      </c>
      <c r="P840" s="9">
        <v>259521</v>
      </c>
      <c r="Q840" s="9">
        <v>45672</v>
      </c>
      <c r="R840" s="9">
        <v>305193</v>
      </c>
      <c r="S840" s="9">
        <v>-125514</v>
      </c>
      <c r="T840" s="10">
        <v>114352</v>
      </c>
      <c r="U840" s="10">
        <v>1164</v>
      </c>
    </row>
    <row r="841" spans="1:21" x14ac:dyDescent="0.35">
      <c r="A841" t="s">
        <v>15</v>
      </c>
      <c r="B841" t="s">
        <v>20</v>
      </c>
      <c r="C841" t="s">
        <v>21</v>
      </c>
      <c r="D841">
        <v>260476</v>
      </c>
      <c r="E841">
        <v>31847</v>
      </c>
      <c r="F841">
        <v>45776</v>
      </c>
      <c r="G841">
        <v>-215500</v>
      </c>
      <c r="H841">
        <v>122599</v>
      </c>
      <c r="I841">
        <v>127123</v>
      </c>
      <c r="J841">
        <v>3727</v>
      </c>
      <c r="K841">
        <v>798264</v>
      </c>
      <c r="L841">
        <v>320223</v>
      </c>
      <c r="M841">
        <v>-288879</v>
      </c>
      <c r="N841">
        <v>175357</v>
      </c>
      <c r="O841" t="s">
        <v>859</v>
      </c>
      <c r="P841" s="9">
        <v>272139</v>
      </c>
      <c r="Q841" s="9">
        <v>39905</v>
      </c>
      <c r="R841" s="9">
        <v>312044</v>
      </c>
      <c r="S841" s="9">
        <v>-158398</v>
      </c>
      <c r="T841" s="10">
        <v>115123</v>
      </c>
      <c r="U841" s="10">
        <v>1898</v>
      </c>
    </row>
    <row r="842" spans="1:21" x14ac:dyDescent="0.35">
      <c r="A842" t="s">
        <v>15</v>
      </c>
      <c r="B842" t="s">
        <v>16</v>
      </c>
      <c r="C842" t="s">
        <v>21</v>
      </c>
      <c r="D842">
        <v>285943</v>
      </c>
      <c r="E842">
        <v>28870</v>
      </c>
      <c r="F842">
        <v>46940</v>
      </c>
      <c r="G842">
        <v>-249103</v>
      </c>
      <c r="H842">
        <v>112650</v>
      </c>
      <c r="I842">
        <v>102026</v>
      </c>
      <c r="J842">
        <v>2915</v>
      </c>
      <c r="K842">
        <v>741178</v>
      </c>
      <c r="L842">
        <v>349613</v>
      </c>
      <c r="M842">
        <v>-245510</v>
      </c>
      <c r="N842">
        <v>209927</v>
      </c>
      <c r="O842" t="s">
        <v>860</v>
      </c>
      <c r="P842" s="9">
        <v>149053</v>
      </c>
      <c r="Q842" s="9">
        <v>15311</v>
      </c>
      <c r="R842" s="9">
        <v>164364</v>
      </c>
      <c r="S842" s="9">
        <v>-71923</v>
      </c>
      <c r="T842" s="10">
        <v>55774</v>
      </c>
      <c r="U842" s="10">
        <v>883</v>
      </c>
    </row>
    <row r="843" spans="1:21" x14ac:dyDescent="0.35">
      <c r="A843" t="s">
        <v>15</v>
      </c>
      <c r="B843" t="s">
        <v>16</v>
      </c>
      <c r="C843" t="s">
        <v>21</v>
      </c>
      <c r="D843">
        <v>190013</v>
      </c>
      <c r="E843">
        <v>21801</v>
      </c>
      <c r="F843">
        <v>30127</v>
      </c>
      <c r="G843">
        <v>-154587</v>
      </c>
      <c r="H843">
        <v>87354</v>
      </c>
      <c r="I843">
        <v>88009</v>
      </c>
      <c r="J843">
        <v>1225</v>
      </c>
      <c r="K843">
        <v>542294</v>
      </c>
      <c r="L843">
        <v>146619</v>
      </c>
      <c r="M843">
        <v>-113546</v>
      </c>
      <c r="N843">
        <v>160205</v>
      </c>
      <c r="O843" t="s">
        <v>861</v>
      </c>
      <c r="P843" s="9">
        <v>271334</v>
      </c>
      <c r="Q843" s="9">
        <v>37716</v>
      </c>
      <c r="R843" s="9">
        <v>309050</v>
      </c>
      <c r="S843" s="9">
        <v>-145353</v>
      </c>
      <c r="T843" s="10">
        <v>113153</v>
      </c>
      <c r="U843" s="10">
        <v>3389</v>
      </c>
    </row>
    <row r="844" spans="1:21" x14ac:dyDescent="0.35">
      <c r="A844" t="s">
        <v>15</v>
      </c>
      <c r="B844" t="s">
        <v>16</v>
      </c>
      <c r="C844" t="s">
        <v>21</v>
      </c>
      <c r="D844">
        <v>176154</v>
      </c>
      <c r="E844">
        <v>14259</v>
      </c>
      <c r="F844">
        <v>22894</v>
      </c>
      <c r="G844">
        <v>-170520</v>
      </c>
      <c r="H844">
        <v>42787</v>
      </c>
      <c r="I844">
        <v>41572</v>
      </c>
      <c r="J844">
        <v>834</v>
      </c>
      <c r="K844">
        <v>400517</v>
      </c>
      <c r="L844">
        <v>44822</v>
      </c>
      <c r="M844">
        <v>-108002</v>
      </c>
      <c r="N844">
        <v>116075</v>
      </c>
      <c r="O844" t="s">
        <v>862</v>
      </c>
      <c r="P844" s="9">
        <v>255829</v>
      </c>
      <c r="Q844" s="9">
        <v>36296</v>
      </c>
      <c r="R844" s="9">
        <v>292125</v>
      </c>
      <c r="S844" s="9">
        <v>-118878</v>
      </c>
      <c r="T844" s="10">
        <v>108342</v>
      </c>
      <c r="U844" s="10">
        <v>2756</v>
      </c>
    </row>
    <row r="845" spans="1:21" x14ac:dyDescent="0.35">
      <c r="A845" t="s">
        <v>15</v>
      </c>
      <c r="B845" t="s">
        <v>16</v>
      </c>
      <c r="C845" t="s">
        <v>21</v>
      </c>
      <c r="D845">
        <v>274355</v>
      </c>
      <c r="E845">
        <v>47148</v>
      </c>
      <c r="F845">
        <v>52771</v>
      </c>
      <c r="G845">
        <v>-249045</v>
      </c>
      <c r="H845">
        <v>125229</v>
      </c>
      <c r="I845">
        <v>117857</v>
      </c>
      <c r="J845">
        <v>3441</v>
      </c>
      <c r="K845">
        <v>1046716</v>
      </c>
      <c r="L845">
        <v>325868</v>
      </c>
      <c r="M845">
        <v>-242482</v>
      </c>
      <c r="N845">
        <v>98110</v>
      </c>
      <c r="O845" t="s">
        <v>863</v>
      </c>
      <c r="P845" s="9">
        <v>237268</v>
      </c>
      <c r="Q845" s="9">
        <v>16165</v>
      </c>
      <c r="R845" s="9">
        <v>253433</v>
      </c>
      <c r="S845" s="9">
        <v>-67013</v>
      </c>
      <c r="T845" s="10">
        <v>64775</v>
      </c>
      <c r="U845" s="10">
        <v>999</v>
      </c>
    </row>
    <row r="846" spans="1:21" x14ac:dyDescent="0.35">
      <c r="A846" t="s">
        <v>15</v>
      </c>
      <c r="B846" t="s">
        <v>16</v>
      </c>
      <c r="C846" t="s">
        <v>21</v>
      </c>
      <c r="D846">
        <v>201747</v>
      </c>
      <c r="E846">
        <v>11474</v>
      </c>
      <c r="F846">
        <v>39033</v>
      </c>
      <c r="G846">
        <v>-201204</v>
      </c>
      <c r="H846">
        <v>51050</v>
      </c>
      <c r="I846">
        <v>50199</v>
      </c>
      <c r="J846">
        <v>898</v>
      </c>
      <c r="K846">
        <v>507842</v>
      </c>
      <c r="L846">
        <v>177493</v>
      </c>
      <c r="M846">
        <v>-172936</v>
      </c>
      <c r="N846">
        <v>107373</v>
      </c>
      <c r="O846" t="s">
        <v>864</v>
      </c>
      <c r="P846" s="9">
        <v>200054</v>
      </c>
      <c r="Q846" s="9">
        <v>40425</v>
      </c>
      <c r="R846" s="9">
        <v>240479</v>
      </c>
      <c r="S846" s="9">
        <v>-124726</v>
      </c>
      <c r="T846" s="10">
        <v>102363</v>
      </c>
      <c r="U846" s="10">
        <v>2813</v>
      </c>
    </row>
    <row r="847" spans="1:21" x14ac:dyDescent="0.35">
      <c r="A847" t="s">
        <v>15</v>
      </c>
      <c r="B847" t="s">
        <v>20</v>
      </c>
      <c r="C847" t="s">
        <v>21</v>
      </c>
      <c r="D847">
        <v>209713</v>
      </c>
      <c r="E847">
        <v>41869</v>
      </c>
      <c r="F847">
        <v>49369</v>
      </c>
      <c r="G847">
        <v>-168521</v>
      </c>
      <c r="H847">
        <v>132430</v>
      </c>
      <c r="I847">
        <v>130858</v>
      </c>
      <c r="J847">
        <v>1347</v>
      </c>
      <c r="K847">
        <v>609891</v>
      </c>
      <c r="L847">
        <v>204282</v>
      </c>
      <c r="M847">
        <v>-122882</v>
      </c>
      <c r="N847">
        <v>129787</v>
      </c>
      <c r="O847" t="s">
        <v>865</v>
      </c>
      <c r="P847" s="9">
        <v>223144</v>
      </c>
      <c r="Q847" s="9">
        <v>33439</v>
      </c>
      <c r="R847" s="9">
        <v>256583</v>
      </c>
      <c r="S847" s="9">
        <v>-152659</v>
      </c>
      <c r="T847" s="10">
        <v>73822</v>
      </c>
      <c r="U847" s="10">
        <v>2118</v>
      </c>
    </row>
    <row r="848" spans="1:21" x14ac:dyDescent="0.35">
      <c r="A848" t="s">
        <v>15</v>
      </c>
      <c r="B848" t="s">
        <v>16</v>
      </c>
      <c r="C848" t="s">
        <v>21</v>
      </c>
      <c r="D848">
        <v>238917</v>
      </c>
      <c r="E848">
        <v>15221</v>
      </c>
      <c r="F848">
        <v>41696</v>
      </c>
      <c r="G848">
        <v>-214147</v>
      </c>
      <c r="H848">
        <v>81687</v>
      </c>
      <c r="I848">
        <v>75687</v>
      </c>
      <c r="J848">
        <v>821</v>
      </c>
      <c r="K848">
        <v>594208</v>
      </c>
      <c r="L848">
        <v>212839</v>
      </c>
      <c r="M848">
        <v>-197271</v>
      </c>
      <c r="N848">
        <v>196793</v>
      </c>
      <c r="O848" t="s">
        <v>866</v>
      </c>
      <c r="P848" s="9">
        <v>303630</v>
      </c>
      <c r="Q848" s="9">
        <v>37824</v>
      </c>
      <c r="R848" s="9">
        <v>341454</v>
      </c>
      <c r="S848" s="9">
        <v>-152253</v>
      </c>
      <c r="T848" s="10">
        <v>111815</v>
      </c>
      <c r="U848" s="10">
        <v>1295</v>
      </c>
    </row>
    <row r="849" spans="1:21" x14ac:dyDescent="0.35">
      <c r="A849" t="s">
        <v>15</v>
      </c>
      <c r="B849" t="s">
        <v>16</v>
      </c>
      <c r="C849" t="s">
        <v>21</v>
      </c>
      <c r="D849">
        <v>270610</v>
      </c>
      <c r="E849">
        <v>49460</v>
      </c>
      <c r="F849">
        <v>51077</v>
      </c>
      <c r="G849">
        <v>-233395</v>
      </c>
      <c r="H849">
        <v>137752</v>
      </c>
      <c r="I849">
        <v>126478</v>
      </c>
      <c r="J849">
        <v>3762</v>
      </c>
      <c r="K849">
        <v>1007563</v>
      </c>
      <c r="L849">
        <v>383767</v>
      </c>
      <c r="M849">
        <v>-375975</v>
      </c>
      <c r="N849">
        <v>168956</v>
      </c>
      <c r="O849" t="s">
        <v>867</v>
      </c>
      <c r="P849" s="9">
        <v>154356</v>
      </c>
      <c r="Q849" s="9">
        <v>26483</v>
      </c>
      <c r="R849" s="9">
        <v>180839</v>
      </c>
      <c r="S849" s="9">
        <v>-69131</v>
      </c>
      <c r="T849" s="10">
        <v>98066</v>
      </c>
      <c r="U849" s="10">
        <v>1774</v>
      </c>
    </row>
    <row r="850" spans="1:21" x14ac:dyDescent="0.35">
      <c r="A850" t="s">
        <v>15</v>
      </c>
      <c r="B850" t="s">
        <v>16</v>
      </c>
      <c r="C850" t="s">
        <v>21</v>
      </c>
      <c r="D850">
        <v>269545</v>
      </c>
      <c r="E850">
        <v>52009</v>
      </c>
      <c r="F850">
        <v>37053</v>
      </c>
      <c r="G850">
        <v>-228678</v>
      </c>
      <c r="H850">
        <v>129929</v>
      </c>
      <c r="I850">
        <v>124914</v>
      </c>
      <c r="J850">
        <v>2423</v>
      </c>
      <c r="K850">
        <v>656409</v>
      </c>
      <c r="L850">
        <v>112956</v>
      </c>
      <c r="M850">
        <v>-165896</v>
      </c>
      <c r="N850">
        <v>142267</v>
      </c>
      <c r="O850" t="s">
        <v>868</v>
      </c>
      <c r="P850" s="9">
        <v>293012</v>
      </c>
      <c r="Q850" s="9">
        <v>38137</v>
      </c>
      <c r="R850" s="9">
        <v>331149</v>
      </c>
      <c r="S850" s="9">
        <v>-146786</v>
      </c>
      <c r="T850" s="10">
        <v>120223</v>
      </c>
      <c r="U850" s="10">
        <v>3384</v>
      </c>
    </row>
    <row r="851" spans="1:21" x14ac:dyDescent="0.35">
      <c r="A851" t="s">
        <v>15</v>
      </c>
      <c r="B851" t="s">
        <v>20</v>
      </c>
      <c r="C851" t="s">
        <v>21</v>
      </c>
      <c r="D851">
        <v>254170</v>
      </c>
      <c r="E851">
        <v>13086</v>
      </c>
      <c r="F851">
        <v>41019</v>
      </c>
      <c r="G851">
        <v>-231577</v>
      </c>
      <c r="H851">
        <v>76698</v>
      </c>
      <c r="I851">
        <v>75130</v>
      </c>
      <c r="J851">
        <v>1019</v>
      </c>
      <c r="K851">
        <v>763864</v>
      </c>
      <c r="L851">
        <v>318037</v>
      </c>
      <c r="M851">
        <v>-154551</v>
      </c>
      <c r="N851">
        <v>190800</v>
      </c>
      <c r="O851" t="s">
        <v>869</v>
      </c>
      <c r="P851" s="9">
        <v>166591</v>
      </c>
      <c r="Q851" s="9">
        <v>15583</v>
      </c>
      <c r="R851" s="9">
        <v>182174</v>
      </c>
      <c r="S851" s="9">
        <v>-94005</v>
      </c>
      <c r="T851" s="10">
        <v>54106</v>
      </c>
      <c r="U851" s="10">
        <v>1435</v>
      </c>
    </row>
    <row r="852" spans="1:21" x14ac:dyDescent="0.35">
      <c r="A852" t="s">
        <v>15</v>
      </c>
      <c r="B852" t="s">
        <v>20</v>
      </c>
      <c r="C852" t="s">
        <v>21</v>
      </c>
      <c r="D852">
        <v>282939</v>
      </c>
      <c r="E852">
        <v>31180</v>
      </c>
      <c r="F852">
        <v>61541</v>
      </c>
      <c r="G852">
        <v>-230519</v>
      </c>
      <c r="H852">
        <v>145141</v>
      </c>
      <c r="I852">
        <v>139747</v>
      </c>
      <c r="J852">
        <v>1521</v>
      </c>
      <c r="K852">
        <v>758245</v>
      </c>
      <c r="L852">
        <v>273350</v>
      </c>
      <c r="M852">
        <v>-256879</v>
      </c>
      <c r="N852">
        <v>192937</v>
      </c>
      <c r="O852" t="s">
        <v>870</v>
      </c>
      <c r="P852" s="9">
        <v>227597</v>
      </c>
      <c r="Q852" s="9">
        <v>16504</v>
      </c>
      <c r="R852" s="9">
        <v>244101</v>
      </c>
      <c r="S852" s="9">
        <v>-132336</v>
      </c>
      <c r="T852" s="10">
        <v>63324</v>
      </c>
      <c r="U852" s="10">
        <v>1248</v>
      </c>
    </row>
    <row r="853" spans="1:21" x14ac:dyDescent="0.35">
      <c r="A853" t="s">
        <v>15</v>
      </c>
      <c r="B853" t="s">
        <v>16</v>
      </c>
      <c r="C853" t="s">
        <v>17</v>
      </c>
      <c r="D853">
        <v>168453</v>
      </c>
      <c r="E853">
        <v>25827</v>
      </c>
      <c r="F853">
        <v>31755</v>
      </c>
      <c r="G853">
        <v>-164095</v>
      </c>
      <c r="H853">
        <v>61940</v>
      </c>
      <c r="I853">
        <v>60842</v>
      </c>
      <c r="J853">
        <v>752</v>
      </c>
      <c r="K853">
        <v>394949</v>
      </c>
      <c r="L853">
        <v>178609</v>
      </c>
      <c r="M853">
        <v>-106938</v>
      </c>
      <c r="N853">
        <v>135662</v>
      </c>
      <c r="O853" t="s">
        <v>871</v>
      </c>
      <c r="P853" s="9">
        <v>184770</v>
      </c>
      <c r="Q853" s="9">
        <v>21286</v>
      </c>
      <c r="R853" s="9">
        <v>206056</v>
      </c>
      <c r="S853" s="9">
        <v>-90841</v>
      </c>
      <c r="T853" s="10">
        <v>79016</v>
      </c>
      <c r="U853" s="10">
        <v>1656</v>
      </c>
    </row>
    <row r="854" spans="1:21" x14ac:dyDescent="0.35">
      <c r="A854" t="s">
        <v>15</v>
      </c>
      <c r="B854" t="s">
        <v>16</v>
      </c>
      <c r="C854" t="s">
        <v>21</v>
      </c>
      <c r="D854">
        <v>238107</v>
      </c>
      <c r="E854">
        <v>21727</v>
      </c>
      <c r="F854">
        <v>33081</v>
      </c>
      <c r="G854">
        <v>-209609</v>
      </c>
      <c r="H854">
        <v>83306</v>
      </c>
      <c r="I854">
        <v>81180</v>
      </c>
      <c r="J854">
        <v>2114</v>
      </c>
      <c r="K854">
        <v>550525</v>
      </c>
      <c r="L854">
        <v>259607</v>
      </c>
      <c r="M854">
        <v>-208081</v>
      </c>
      <c r="N854">
        <v>113997</v>
      </c>
      <c r="O854" t="s">
        <v>872</v>
      </c>
      <c r="P854" s="9">
        <v>256611</v>
      </c>
      <c r="Q854" s="9">
        <v>43356</v>
      </c>
      <c r="R854" s="9">
        <v>299967</v>
      </c>
      <c r="S854" s="9">
        <v>-79466</v>
      </c>
      <c r="T854" s="10">
        <v>149815</v>
      </c>
      <c r="U854" s="10">
        <v>2765</v>
      </c>
    </row>
    <row r="855" spans="1:21" x14ac:dyDescent="0.35">
      <c r="A855" t="s">
        <v>15</v>
      </c>
      <c r="B855" t="s">
        <v>16</v>
      </c>
      <c r="C855" t="s">
        <v>21</v>
      </c>
      <c r="D855">
        <v>155563</v>
      </c>
      <c r="E855">
        <v>16983</v>
      </c>
      <c r="F855">
        <v>25003</v>
      </c>
      <c r="G855">
        <v>-127199</v>
      </c>
      <c r="H855">
        <v>70350</v>
      </c>
      <c r="I855">
        <v>73029</v>
      </c>
      <c r="J855">
        <v>1429</v>
      </c>
      <c r="K855">
        <v>529799</v>
      </c>
      <c r="L855">
        <v>237530</v>
      </c>
      <c r="M855">
        <v>-146303</v>
      </c>
      <c r="N855">
        <v>57166</v>
      </c>
      <c r="O855" t="s">
        <v>873</v>
      </c>
      <c r="P855" s="9">
        <v>161964</v>
      </c>
      <c r="Q855" s="9">
        <v>9768</v>
      </c>
      <c r="R855" s="9">
        <v>171732</v>
      </c>
      <c r="S855" s="9">
        <v>-96729</v>
      </c>
      <c r="T855" s="10">
        <v>47023</v>
      </c>
      <c r="U855" s="10">
        <v>1351</v>
      </c>
    </row>
    <row r="856" spans="1:21" x14ac:dyDescent="0.35">
      <c r="A856" t="s">
        <v>15</v>
      </c>
      <c r="B856" t="s">
        <v>20</v>
      </c>
      <c r="C856" t="s">
        <v>21</v>
      </c>
      <c r="D856">
        <v>268278</v>
      </c>
      <c r="E856">
        <v>43373</v>
      </c>
      <c r="F856">
        <v>32517</v>
      </c>
      <c r="G856">
        <v>-258538</v>
      </c>
      <c r="H856">
        <v>85630</v>
      </c>
      <c r="I856">
        <v>82577</v>
      </c>
      <c r="J856">
        <v>2102</v>
      </c>
      <c r="K856">
        <v>978825</v>
      </c>
      <c r="L856">
        <v>239716</v>
      </c>
      <c r="M856">
        <v>-298595</v>
      </c>
      <c r="N856">
        <v>136694</v>
      </c>
      <c r="O856" t="s">
        <v>874</v>
      </c>
      <c r="P856" s="9">
        <v>148885</v>
      </c>
      <c r="Q856" s="9">
        <v>29374</v>
      </c>
      <c r="R856" s="9">
        <v>178259</v>
      </c>
      <c r="S856" s="9">
        <v>-49273</v>
      </c>
      <c r="T856" s="10">
        <v>57946</v>
      </c>
      <c r="U856" s="10">
        <v>1228</v>
      </c>
    </row>
    <row r="857" spans="1:21" x14ac:dyDescent="0.35">
      <c r="A857" t="s">
        <v>15</v>
      </c>
      <c r="B857" t="s">
        <v>16</v>
      </c>
      <c r="C857" t="s">
        <v>21</v>
      </c>
      <c r="D857">
        <v>192107</v>
      </c>
      <c r="E857">
        <v>12396</v>
      </c>
      <c r="F857">
        <v>38060</v>
      </c>
      <c r="G857">
        <v>-166473</v>
      </c>
      <c r="H857">
        <v>76090</v>
      </c>
      <c r="I857">
        <v>75624</v>
      </c>
      <c r="J857">
        <v>1377</v>
      </c>
      <c r="K857">
        <v>390296</v>
      </c>
      <c r="L857">
        <v>45152</v>
      </c>
      <c r="M857">
        <v>-44131</v>
      </c>
      <c r="N857">
        <v>140792</v>
      </c>
      <c r="O857" t="s">
        <v>875</v>
      </c>
      <c r="P857" s="9">
        <v>157940</v>
      </c>
      <c r="Q857" s="9">
        <v>22868</v>
      </c>
      <c r="R857" s="9">
        <v>180808</v>
      </c>
      <c r="S857" s="9">
        <v>-44230</v>
      </c>
      <c r="T857" s="10">
        <v>94948</v>
      </c>
      <c r="U857" s="10">
        <v>2197</v>
      </c>
    </row>
    <row r="858" spans="1:21" x14ac:dyDescent="0.35">
      <c r="A858" t="s">
        <v>15</v>
      </c>
      <c r="B858" t="s">
        <v>16</v>
      </c>
      <c r="C858" t="s">
        <v>21</v>
      </c>
      <c r="D858">
        <v>174071</v>
      </c>
      <c r="E858">
        <v>27258</v>
      </c>
      <c r="F858">
        <v>19493</v>
      </c>
      <c r="G858">
        <v>-157129</v>
      </c>
      <c r="H858">
        <v>63693</v>
      </c>
      <c r="I858">
        <v>59533</v>
      </c>
      <c r="J858">
        <v>1054</v>
      </c>
      <c r="K858">
        <v>582544</v>
      </c>
      <c r="L858">
        <v>145595</v>
      </c>
      <c r="M858">
        <v>-194498</v>
      </c>
      <c r="N858">
        <v>143672</v>
      </c>
      <c r="O858" t="s">
        <v>876</v>
      </c>
      <c r="P858" s="9">
        <v>221824</v>
      </c>
      <c r="Q858" s="9">
        <v>11867</v>
      </c>
      <c r="R858" s="9">
        <v>233691</v>
      </c>
      <c r="S858" s="9">
        <v>-133980</v>
      </c>
      <c r="T858" s="10">
        <v>71245</v>
      </c>
      <c r="U858" s="10">
        <v>1685</v>
      </c>
    </row>
    <row r="859" spans="1:21" x14ac:dyDescent="0.35">
      <c r="A859" t="s">
        <v>15</v>
      </c>
      <c r="B859" t="s">
        <v>20</v>
      </c>
      <c r="C859" t="s">
        <v>17</v>
      </c>
      <c r="D859">
        <v>168391</v>
      </c>
      <c r="E859">
        <v>12541</v>
      </c>
      <c r="F859">
        <v>19914</v>
      </c>
      <c r="G859">
        <v>-143201</v>
      </c>
      <c r="H859">
        <v>57645</v>
      </c>
      <c r="I859">
        <v>57836</v>
      </c>
      <c r="J859">
        <v>871</v>
      </c>
      <c r="K859">
        <v>625951</v>
      </c>
      <c r="L859">
        <v>192388</v>
      </c>
      <c r="M859">
        <v>-85484</v>
      </c>
      <c r="N859">
        <v>123688</v>
      </c>
      <c r="O859" t="s">
        <v>877</v>
      </c>
      <c r="P859" s="9">
        <v>176929</v>
      </c>
      <c r="Q859" s="9">
        <v>29594</v>
      </c>
      <c r="R859" s="9">
        <v>206523</v>
      </c>
      <c r="S859" s="9">
        <v>-51485</v>
      </c>
      <c r="T859" s="10">
        <v>78644</v>
      </c>
      <c r="U859" s="10">
        <v>1440</v>
      </c>
    </row>
    <row r="860" spans="1:21" x14ac:dyDescent="0.35">
      <c r="A860" t="s">
        <v>15</v>
      </c>
      <c r="B860" t="s">
        <v>20</v>
      </c>
      <c r="C860" t="s">
        <v>21</v>
      </c>
      <c r="D860">
        <v>176343</v>
      </c>
      <c r="E860">
        <v>34379</v>
      </c>
      <c r="F860">
        <v>18626</v>
      </c>
      <c r="G860">
        <v>-144802</v>
      </c>
      <c r="H860">
        <v>84546</v>
      </c>
      <c r="I860">
        <v>79280</v>
      </c>
      <c r="J860">
        <v>2025</v>
      </c>
      <c r="K860">
        <v>577906</v>
      </c>
      <c r="L860">
        <v>274194</v>
      </c>
      <c r="M860">
        <v>-134904</v>
      </c>
      <c r="N860">
        <v>54232</v>
      </c>
      <c r="O860" t="s">
        <v>878</v>
      </c>
      <c r="P860" s="9">
        <v>310399</v>
      </c>
      <c r="Q860" s="9">
        <v>28871</v>
      </c>
      <c r="R860" s="9">
        <v>339270</v>
      </c>
      <c r="S860" s="9">
        <v>-146094</v>
      </c>
      <c r="T860" s="10">
        <v>113332</v>
      </c>
      <c r="U860" s="10">
        <v>2702</v>
      </c>
    </row>
    <row r="861" spans="1:21" x14ac:dyDescent="0.35">
      <c r="A861" t="s">
        <v>15</v>
      </c>
      <c r="B861" t="s">
        <v>20</v>
      </c>
      <c r="C861" t="s">
        <v>21</v>
      </c>
      <c r="D861">
        <v>258549</v>
      </c>
      <c r="E861">
        <v>38466</v>
      </c>
      <c r="F861">
        <v>30833</v>
      </c>
      <c r="G861">
        <v>-224339</v>
      </c>
      <c r="H861">
        <v>103509</v>
      </c>
      <c r="I861">
        <v>93823</v>
      </c>
      <c r="J861">
        <v>2667</v>
      </c>
      <c r="K861">
        <v>891214</v>
      </c>
      <c r="L861">
        <v>110745</v>
      </c>
      <c r="M861">
        <v>-183883</v>
      </c>
      <c r="N861">
        <v>103479</v>
      </c>
      <c r="O861" t="s">
        <v>879</v>
      </c>
      <c r="P861" s="9">
        <v>228413</v>
      </c>
      <c r="Q861" s="9">
        <v>39054</v>
      </c>
      <c r="R861" s="9">
        <v>267467</v>
      </c>
      <c r="S861" s="9">
        <v>-152594</v>
      </c>
      <c r="T861" s="10">
        <v>86803</v>
      </c>
      <c r="U861" s="10">
        <v>2398</v>
      </c>
    </row>
    <row r="862" spans="1:21" x14ac:dyDescent="0.35">
      <c r="A862" t="s">
        <v>15</v>
      </c>
      <c r="B862" t="s">
        <v>20</v>
      </c>
      <c r="C862" t="s">
        <v>21</v>
      </c>
      <c r="D862">
        <v>281849</v>
      </c>
      <c r="E862">
        <v>35268</v>
      </c>
      <c r="F862">
        <v>60443</v>
      </c>
      <c r="G862">
        <v>-263251</v>
      </c>
      <c r="H862">
        <v>114309</v>
      </c>
      <c r="I862">
        <v>108423</v>
      </c>
      <c r="J862">
        <v>3088</v>
      </c>
      <c r="K862">
        <v>862365</v>
      </c>
      <c r="L862">
        <v>144494</v>
      </c>
      <c r="M862">
        <v>-267931</v>
      </c>
      <c r="N862">
        <v>164637</v>
      </c>
      <c r="O862" t="s">
        <v>880</v>
      </c>
      <c r="P862" s="9">
        <v>177757</v>
      </c>
      <c r="Q862" s="9">
        <v>11816</v>
      </c>
      <c r="R862" s="9">
        <v>189573</v>
      </c>
      <c r="S862" s="9">
        <v>-45653</v>
      </c>
      <c r="T862" s="10">
        <v>68597</v>
      </c>
      <c r="U862" s="10">
        <v>958</v>
      </c>
    </row>
    <row r="863" spans="1:21" x14ac:dyDescent="0.35">
      <c r="A863" t="s">
        <v>15</v>
      </c>
      <c r="B863" t="s">
        <v>16</v>
      </c>
      <c r="C863" t="s">
        <v>21</v>
      </c>
      <c r="D863">
        <v>240343</v>
      </c>
      <c r="E863">
        <v>16441</v>
      </c>
      <c r="F863">
        <v>54435</v>
      </c>
      <c r="G863">
        <v>-234596</v>
      </c>
      <c r="H863">
        <v>76623</v>
      </c>
      <c r="I863">
        <v>75111</v>
      </c>
      <c r="J863">
        <v>2182</v>
      </c>
      <c r="K863">
        <v>797443</v>
      </c>
      <c r="L863">
        <v>119218</v>
      </c>
      <c r="M863">
        <v>-220537</v>
      </c>
      <c r="N863">
        <v>131072</v>
      </c>
      <c r="O863" t="s">
        <v>881</v>
      </c>
      <c r="P863" s="9">
        <v>259048</v>
      </c>
      <c r="Q863" s="9">
        <v>43273</v>
      </c>
      <c r="R863" s="9">
        <v>302321</v>
      </c>
      <c r="S863" s="9">
        <v>-130927</v>
      </c>
      <c r="T863" s="10">
        <v>163404</v>
      </c>
      <c r="U863" s="10">
        <v>2924</v>
      </c>
    </row>
    <row r="864" spans="1:21" x14ac:dyDescent="0.35">
      <c r="A864" t="s">
        <v>15</v>
      </c>
      <c r="B864" t="s">
        <v>20</v>
      </c>
      <c r="C864" t="s">
        <v>17</v>
      </c>
      <c r="D864">
        <v>258778</v>
      </c>
      <c r="E864">
        <v>25578</v>
      </c>
      <c r="F864">
        <v>63235</v>
      </c>
      <c r="G864">
        <v>-241957</v>
      </c>
      <c r="H864">
        <v>105634</v>
      </c>
      <c r="I864">
        <v>101369</v>
      </c>
      <c r="J864">
        <v>1526</v>
      </c>
      <c r="K864">
        <v>599272</v>
      </c>
      <c r="L864">
        <v>83990</v>
      </c>
      <c r="M864">
        <v>-71962</v>
      </c>
      <c r="N864">
        <v>173399</v>
      </c>
      <c r="O864" t="s">
        <v>882</v>
      </c>
      <c r="P864" s="9">
        <v>169043</v>
      </c>
      <c r="Q864" s="9">
        <v>30289</v>
      </c>
      <c r="R864" s="9">
        <v>199332</v>
      </c>
      <c r="S864" s="9">
        <v>-79694</v>
      </c>
      <c r="T864" s="10">
        <v>72308</v>
      </c>
      <c r="U864" s="10">
        <v>1448</v>
      </c>
    </row>
    <row r="865" spans="1:21" x14ac:dyDescent="0.35">
      <c r="A865" t="s">
        <v>15</v>
      </c>
      <c r="B865" t="s">
        <v>20</v>
      </c>
      <c r="C865" t="s">
        <v>17</v>
      </c>
      <c r="D865">
        <v>240522</v>
      </c>
      <c r="E865">
        <v>13677</v>
      </c>
      <c r="F865">
        <v>37178</v>
      </c>
      <c r="G865">
        <v>-205271</v>
      </c>
      <c r="H865">
        <v>86106</v>
      </c>
      <c r="I865">
        <v>90084</v>
      </c>
      <c r="J865">
        <v>1748</v>
      </c>
      <c r="K865">
        <v>530314</v>
      </c>
      <c r="L865">
        <v>134399</v>
      </c>
      <c r="M865">
        <v>-144787</v>
      </c>
      <c r="N865">
        <v>91343</v>
      </c>
      <c r="O865" t="s">
        <v>883</v>
      </c>
      <c r="P865" s="9">
        <v>242599</v>
      </c>
      <c r="Q865" s="9">
        <v>29328</v>
      </c>
      <c r="R865" s="9">
        <v>271927</v>
      </c>
      <c r="S865" s="9">
        <v>-93012</v>
      </c>
      <c r="T865" s="10">
        <v>100468</v>
      </c>
      <c r="U865" s="10">
        <v>1137</v>
      </c>
    </row>
    <row r="866" spans="1:21" x14ac:dyDescent="0.35">
      <c r="A866" t="s">
        <v>15</v>
      </c>
      <c r="B866" t="s">
        <v>16</v>
      </c>
      <c r="C866" t="s">
        <v>17</v>
      </c>
      <c r="D866">
        <v>172662</v>
      </c>
      <c r="E866">
        <v>20958</v>
      </c>
      <c r="F866">
        <v>19165</v>
      </c>
      <c r="G866">
        <v>-166434</v>
      </c>
      <c r="H866">
        <v>46351</v>
      </c>
      <c r="I866">
        <v>47931</v>
      </c>
      <c r="J866">
        <v>1324</v>
      </c>
      <c r="K866">
        <v>503402</v>
      </c>
      <c r="L866">
        <v>145887</v>
      </c>
      <c r="M866">
        <v>-177851</v>
      </c>
      <c r="N866">
        <v>52175</v>
      </c>
      <c r="O866" t="s">
        <v>884</v>
      </c>
      <c r="P866" s="9">
        <v>156734</v>
      </c>
      <c r="Q866" s="9">
        <v>32528</v>
      </c>
      <c r="R866" s="9">
        <v>189262</v>
      </c>
      <c r="S866" s="9">
        <v>-109826</v>
      </c>
      <c r="T866" s="10">
        <v>66946</v>
      </c>
      <c r="U866" s="10">
        <v>1961</v>
      </c>
    </row>
    <row r="867" spans="1:21" x14ac:dyDescent="0.35">
      <c r="A867" t="s">
        <v>15</v>
      </c>
      <c r="B867" t="s">
        <v>16</v>
      </c>
      <c r="C867" t="s">
        <v>21</v>
      </c>
      <c r="D867">
        <v>165893</v>
      </c>
      <c r="E867">
        <v>31492</v>
      </c>
      <c r="F867">
        <v>31913</v>
      </c>
      <c r="G867">
        <v>-163661</v>
      </c>
      <c r="H867">
        <v>65637</v>
      </c>
      <c r="I867">
        <v>64701</v>
      </c>
      <c r="J867">
        <v>1718</v>
      </c>
      <c r="K867">
        <v>457469</v>
      </c>
      <c r="L867">
        <v>214559</v>
      </c>
      <c r="M867">
        <v>-59511</v>
      </c>
      <c r="N867">
        <v>77458</v>
      </c>
      <c r="O867" t="s">
        <v>885</v>
      </c>
      <c r="P867" s="9">
        <v>274650</v>
      </c>
      <c r="Q867" s="9">
        <v>39439</v>
      </c>
      <c r="R867" s="9">
        <v>314089</v>
      </c>
      <c r="S867" s="9">
        <v>-130184</v>
      </c>
      <c r="T867" s="10">
        <v>125325</v>
      </c>
      <c r="U867" s="10">
        <v>3617</v>
      </c>
    </row>
    <row r="868" spans="1:21" x14ac:dyDescent="0.35">
      <c r="A868" t="s">
        <v>15</v>
      </c>
      <c r="B868" t="s">
        <v>20</v>
      </c>
      <c r="C868" t="s">
        <v>21</v>
      </c>
      <c r="D868">
        <v>227556</v>
      </c>
      <c r="E868">
        <v>13773</v>
      </c>
      <c r="F868">
        <v>39667</v>
      </c>
      <c r="G868">
        <v>-218012</v>
      </c>
      <c r="H868">
        <v>62984</v>
      </c>
      <c r="I868">
        <v>59836</v>
      </c>
      <c r="J868">
        <v>717</v>
      </c>
      <c r="K868">
        <v>702201</v>
      </c>
      <c r="L868">
        <v>134779</v>
      </c>
      <c r="M868">
        <v>-250857</v>
      </c>
      <c r="N868">
        <v>90853</v>
      </c>
      <c r="O868" t="s">
        <v>886</v>
      </c>
      <c r="P868" s="9">
        <v>149870</v>
      </c>
      <c r="Q868" s="9">
        <v>13209</v>
      </c>
      <c r="R868" s="9">
        <v>163079</v>
      </c>
      <c r="S868" s="9">
        <v>-41268</v>
      </c>
      <c r="T868" s="10">
        <v>45457</v>
      </c>
      <c r="U868" s="10">
        <v>908</v>
      </c>
    </row>
    <row r="869" spans="1:21" x14ac:dyDescent="0.35">
      <c r="A869" t="s">
        <v>15</v>
      </c>
      <c r="B869" t="s">
        <v>16</v>
      </c>
      <c r="C869" t="s">
        <v>21</v>
      </c>
      <c r="D869">
        <v>213612</v>
      </c>
      <c r="E869">
        <v>24477</v>
      </c>
      <c r="F869">
        <v>48519</v>
      </c>
      <c r="G869">
        <v>-195865</v>
      </c>
      <c r="H869">
        <v>90743</v>
      </c>
      <c r="I869">
        <v>87008</v>
      </c>
      <c r="J869">
        <v>1331</v>
      </c>
      <c r="K869">
        <v>643129</v>
      </c>
      <c r="L869">
        <v>93573</v>
      </c>
      <c r="M869">
        <v>-101119</v>
      </c>
      <c r="N869">
        <v>153386</v>
      </c>
      <c r="O869" t="s">
        <v>887</v>
      </c>
      <c r="P869" s="9">
        <v>211836</v>
      </c>
      <c r="Q869" s="9">
        <v>28456</v>
      </c>
      <c r="R869" s="9">
        <v>240292</v>
      </c>
      <c r="S869" s="9">
        <v>-80752</v>
      </c>
      <c r="T869" s="10">
        <v>97798</v>
      </c>
      <c r="U869" s="10">
        <v>1033</v>
      </c>
    </row>
    <row r="870" spans="1:21" x14ac:dyDescent="0.35">
      <c r="A870" t="s">
        <v>15</v>
      </c>
      <c r="B870" t="s">
        <v>16</v>
      </c>
      <c r="C870" t="s">
        <v>21</v>
      </c>
      <c r="D870">
        <v>187124</v>
      </c>
      <c r="E870">
        <v>35249</v>
      </c>
      <c r="F870">
        <v>30417</v>
      </c>
      <c r="G870">
        <v>-161594</v>
      </c>
      <c r="H870">
        <v>91196</v>
      </c>
      <c r="I870">
        <v>94106</v>
      </c>
      <c r="J870">
        <v>1816</v>
      </c>
      <c r="K870">
        <v>432930</v>
      </c>
      <c r="L870">
        <v>126584</v>
      </c>
      <c r="M870">
        <v>-146078</v>
      </c>
      <c r="N870">
        <v>111879</v>
      </c>
      <c r="O870" t="s">
        <v>888</v>
      </c>
      <c r="P870" s="9">
        <v>297764</v>
      </c>
      <c r="Q870" s="9">
        <v>44815</v>
      </c>
      <c r="R870" s="9">
        <v>342579</v>
      </c>
      <c r="S870" s="9">
        <v>-115000</v>
      </c>
      <c r="T870" s="10">
        <v>134659</v>
      </c>
      <c r="U870" s="10">
        <v>2236</v>
      </c>
    </row>
    <row r="871" spans="1:21" x14ac:dyDescent="0.35">
      <c r="A871" t="s">
        <v>15</v>
      </c>
      <c r="B871" t="s">
        <v>20</v>
      </c>
      <c r="C871" t="s">
        <v>17</v>
      </c>
      <c r="D871">
        <v>271069</v>
      </c>
      <c r="E871">
        <v>25597</v>
      </c>
      <c r="F871">
        <v>63496</v>
      </c>
      <c r="G871">
        <v>-235471</v>
      </c>
      <c r="H871">
        <v>124691</v>
      </c>
      <c r="I871">
        <v>119193</v>
      </c>
      <c r="J871">
        <v>2879</v>
      </c>
      <c r="K871">
        <v>1007090</v>
      </c>
      <c r="L871">
        <v>227493</v>
      </c>
      <c r="M871">
        <v>-172443</v>
      </c>
      <c r="N871">
        <v>94602</v>
      </c>
      <c r="O871" t="s">
        <v>889</v>
      </c>
      <c r="P871" s="9">
        <v>301061</v>
      </c>
      <c r="Q871" s="9">
        <v>32137</v>
      </c>
      <c r="R871" s="9">
        <v>333198</v>
      </c>
      <c r="S871" s="9">
        <v>-131895</v>
      </c>
      <c r="T871" s="10">
        <v>99266</v>
      </c>
      <c r="U871" s="10">
        <v>2281</v>
      </c>
    </row>
    <row r="872" spans="1:21" x14ac:dyDescent="0.35">
      <c r="A872" t="s">
        <v>15</v>
      </c>
      <c r="B872" t="s">
        <v>16</v>
      </c>
      <c r="C872" t="s">
        <v>21</v>
      </c>
      <c r="D872">
        <v>229293</v>
      </c>
      <c r="E872">
        <v>29511</v>
      </c>
      <c r="F872">
        <v>47582</v>
      </c>
      <c r="G872">
        <v>-208060</v>
      </c>
      <c r="H872">
        <v>98326</v>
      </c>
      <c r="I872">
        <v>99597</v>
      </c>
      <c r="J872">
        <v>2404</v>
      </c>
      <c r="K872">
        <v>589725</v>
      </c>
      <c r="L872">
        <v>226273</v>
      </c>
      <c r="M872">
        <v>-87076</v>
      </c>
      <c r="N872">
        <v>70054</v>
      </c>
      <c r="O872" t="s">
        <v>890</v>
      </c>
      <c r="P872" s="9">
        <v>199791</v>
      </c>
      <c r="Q872" s="9">
        <v>25323</v>
      </c>
      <c r="R872" s="9">
        <v>225114</v>
      </c>
      <c r="S872" s="9">
        <v>-67907</v>
      </c>
      <c r="T872" s="10">
        <v>85539</v>
      </c>
      <c r="U872" s="10">
        <v>950</v>
      </c>
    </row>
    <row r="873" spans="1:21" x14ac:dyDescent="0.35">
      <c r="A873" t="s">
        <v>15</v>
      </c>
      <c r="B873" t="s">
        <v>16</v>
      </c>
      <c r="C873" t="s">
        <v>17</v>
      </c>
      <c r="D873">
        <v>208030</v>
      </c>
      <c r="E873">
        <v>32343</v>
      </c>
      <c r="F873">
        <v>45013</v>
      </c>
      <c r="G873">
        <v>-180694</v>
      </c>
      <c r="H873">
        <v>104692</v>
      </c>
      <c r="I873">
        <v>105107</v>
      </c>
      <c r="J873">
        <v>1717</v>
      </c>
      <c r="K873">
        <v>531298</v>
      </c>
      <c r="L873">
        <v>61318</v>
      </c>
      <c r="M873">
        <v>-198416</v>
      </c>
      <c r="N873">
        <v>173562</v>
      </c>
      <c r="O873" t="s">
        <v>891</v>
      </c>
      <c r="P873" s="9">
        <v>280547</v>
      </c>
      <c r="Q873" s="9">
        <v>22348</v>
      </c>
      <c r="R873" s="9">
        <v>302895</v>
      </c>
      <c r="S873" s="9">
        <v>-154354</v>
      </c>
      <c r="T873" s="10">
        <v>93828</v>
      </c>
      <c r="U873" s="10">
        <v>2753</v>
      </c>
    </row>
    <row r="874" spans="1:21" x14ac:dyDescent="0.35">
      <c r="A874" t="s">
        <v>15</v>
      </c>
      <c r="B874" t="s">
        <v>16</v>
      </c>
      <c r="C874" t="s">
        <v>21</v>
      </c>
      <c r="D874">
        <v>192967</v>
      </c>
      <c r="E874">
        <v>26801</v>
      </c>
      <c r="F874">
        <v>24770</v>
      </c>
      <c r="G874">
        <v>-168833</v>
      </c>
      <c r="H874">
        <v>75705</v>
      </c>
      <c r="I874">
        <v>70643</v>
      </c>
      <c r="J874">
        <v>900</v>
      </c>
      <c r="K874">
        <v>531848</v>
      </c>
      <c r="L874">
        <v>157697</v>
      </c>
      <c r="M874">
        <v>-83023</v>
      </c>
      <c r="N874">
        <v>115639</v>
      </c>
      <c r="O874" t="s">
        <v>892</v>
      </c>
      <c r="P874" s="9">
        <v>236165</v>
      </c>
      <c r="Q874" s="9">
        <v>44299</v>
      </c>
      <c r="R874" s="9">
        <v>280464</v>
      </c>
      <c r="S874" s="9">
        <v>-76753</v>
      </c>
      <c r="T874" s="10">
        <v>96859</v>
      </c>
      <c r="U874" s="10">
        <v>2035</v>
      </c>
    </row>
    <row r="875" spans="1:21" x14ac:dyDescent="0.35">
      <c r="A875" t="s">
        <v>15</v>
      </c>
      <c r="B875" t="s">
        <v>20</v>
      </c>
      <c r="C875" t="s">
        <v>21</v>
      </c>
      <c r="D875">
        <v>225877</v>
      </c>
      <c r="E875">
        <v>13008</v>
      </c>
      <c r="F875">
        <v>43089</v>
      </c>
      <c r="G875">
        <v>-215046</v>
      </c>
      <c r="H875">
        <v>66928</v>
      </c>
      <c r="I875">
        <v>63308</v>
      </c>
      <c r="J875">
        <v>948</v>
      </c>
      <c r="K875">
        <v>823891</v>
      </c>
      <c r="L875">
        <v>153344</v>
      </c>
      <c r="M875">
        <v>-153001</v>
      </c>
      <c r="N875">
        <v>106932</v>
      </c>
      <c r="O875" t="s">
        <v>893</v>
      </c>
      <c r="P875" s="9">
        <v>190494</v>
      </c>
      <c r="Q875" s="9">
        <v>11366</v>
      </c>
      <c r="R875" s="9">
        <v>201860</v>
      </c>
      <c r="S875" s="9">
        <v>-111781</v>
      </c>
      <c r="T875" s="10">
        <v>48741</v>
      </c>
      <c r="U875" s="10">
        <v>1408</v>
      </c>
    </row>
    <row r="876" spans="1:21" x14ac:dyDescent="0.35">
      <c r="A876" t="s">
        <v>15</v>
      </c>
      <c r="B876" t="s">
        <v>16</v>
      </c>
      <c r="C876" t="s">
        <v>17</v>
      </c>
      <c r="D876">
        <v>230426</v>
      </c>
      <c r="E876">
        <v>20816</v>
      </c>
      <c r="F876">
        <v>51218</v>
      </c>
      <c r="G876">
        <v>-214813</v>
      </c>
      <c r="H876">
        <v>87647</v>
      </c>
      <c r="I876">
        <v>91196</v>
      </c>
      <c r="J876">
        <v>1798</v>
      </c>
      <c r="K876">
        <v>595913</v>
      </c>
      <c r="L876">
        <v>182605</v>
      </c>
      <c r="M876">
        <v>-114466</v>
      </c>
      <c r="N876">
        <v>202100</v>
      </c>
      <c r="O876" t="s">
        <v>894</v>
      </c>
      <c r="P876" s="9">
        <v>197104</v>
      </c>
      <c r="Q876" s="9">
        <v>18137</v>
      </c>
      <c r="R876" s="9">
        <v>215241</v>
      </c>
      <c r="S876" s="9">
        <v>-57826</v>
      </c>
      <c r="T876" s="10">
        <v>67790</v>
      </c>
      <c r="U876" s="10">
        <v>1218</v>
      </c>
    </row>
    <row r="877" spans="1:21" x14ac:dyDescent="0.35">
      <c r="A877" t="s">
        <v>15</v>
      </c>
      <c r="B877" t="s">
        <v>16</v>
      </c>
      <c r="C877" t="s">
        <v>21</v>
      </c>
      <c r="D877">
        <v>299380</v>
      </c>
      <c r="E877">
        <v>45934</v>
      </c>
      <c r="F877">
        <v>62688</v>
      </c>
      <c r="G877">
        <v>-243793</v>
      </c>
      <c r="H877">
        <v>164209</v>
      </c>
      <c r="I877">
        <v>159911</v>
      </c>
      <c r="J877">
        <v>2132</v>
      </c>
      <c r="K877">
        <v>1156756</v>
      </c>
      <c r="L877">
        <v>285374</v>
      </c>
      <c r="M877">
        <v>-124173</v>
      </c>
      <c r="N877">
        <v>208765</v>
      </c>
      <c r="O877" t="s">
        <v>895</v>
      </c>
      <c r="P877" s="9">
        <v>217178</v>
      </c>
      <c r="Q877" s="9">
        <v>14070</v>
      </c>
      <c r="R877" s="9">
        <v>231248</v>
      </c>
      <c r="S877" s="9">
        <v>-89963</v>
      </c>
      <c r="T877" s="10">
        <v>87616</v>
      </c>
      <c r="U877" s="10">
        <v>2535</v>
      </c>
    </row>
    <row r="878" spans="1:21" x14ac:dyDescent="0.35">
      <c r="A878" t="s">
        <v>15</v>
      </c>
      <c r="B878" t="s">
        <v>20</v>
      </c>
      <c r="C878" t="s">
        <v>21</v>
      </c>
      <c r="D878">
        <v>288482</v>
      </c>
      <c r="E878">
        <v>43300</v>
      </c>
      <c r="F878">
        <v>29630</v>
      </c>
      <c r="G878">
        <v>-277888</v>
      </c>
      <c r="H878">
        <v>83524</v>
      </c>
      <c r="I878">
        <v>85037</v>
      </c>
      <c r="J878">
        <v>1757</v>
      </c>
      <c r="K878">
        <v>580085</v>
      </c>
      <c r="L878">
        <v>184767</v>
      </c>
      <c r="M878">
        <v>-138397</v>
      </c>
      <c r="N878">
        <v>125319</v>
      </c>
      <c r="O878" t="s">
        <v>896</v>
      </c>
      <c r="P878" s="9">
        <v>201994</v>
      </c>
      <c r="Q878" s="9">
        <v>26318</v>
      </c>
      <c r="R878" s="9">
        <v>228312</v>
      </c>
      <c r="S878" s="9">
        <v>-47292</v>
      </c>
      <c r="T878" s="10">
        <v>87319</v>
      </c>
      <c r="U878" s="10">
        <v>2404</v>
      </c>
    </row>
    <row r="879" spans="1:21" x14ac:dyDescent="0.35">
      <c r="A879" t="s">
        <v>15</v>
      </c>
      <c r="B879" t="s">
        <v>20</v>
      </c>
      <c r="C879" t="s">
        <v>17</v>
      </c>
      <c r="D879">
        <v>173242</v>
      </c>
      <c r="E879">
        <v>28711</v>
      </c>
      <c r="F879">
        <v>38876</v>
      </c>
      <c r="G879">
        <v>-163652</v>
      </c>
      <c r="H879">
        <v>77177</v>
      </c>
      <c r="I879">
        <v>75886</v>
      </c>
      <c r="J879">
        <v>2110</v>
      </c>
      <c r="K879">
        <v>408215</v>
      </c>
      <c r="L879">
        <v>83174</v>
      </c>
      <c r="M879">
        <v>-100278</v>
      </c>
      <c r="N879">
        <v>65589</v>
      </c>
      <c r="O879" t="s">
        <v>897</v>
      </c>
      <c r="P879" s="9">
        <v>185215</v>
      </c>
      <c r="Q879" s="9">
        <v>22122</v>
      </c>
      <c r="R879" s="9">
        <v>207337</v>
      </c>
      <c r="S879" s="9">
        <v>-104566</v>
      </c>
      <c r="T879" s="10">
        <v>59230</v>
      </c>
      <c r="U879" s="10">
        <v>1393</v>
      </c>
    </row>
    <row r="880" spans="1:21" x14ac:dyDescent="0.35">
      <c r="A880" t="s">
        <v>15</v>
      </c>
      <c r="B880" t="s">
        <v>20</v>
      </c>
      <c r="C880" t="s">
        <v>21</v>
      </c>
      <c r="D880">
        <v>217735</v>
      </c>
      <c r="E880">
        <v>11782</v>
      </c>
      <c r="F880">
        <v>34289</v>
      </c>
      <c r="G880">
        <v>-193926</v>
      </c>
      <c r="H880">
        <v>69880</v>
      </c>
      <c r="I880">
        <v>65753</v>
      </c>
      <c r="J880">
        <v>1441</v>
      </c>
      <c r="K880">
        <v>862072</v>
      </c>
      <c r="L880">
        <v>229766</v>
      </c>
      <c r="M880">
        <v>-201647</v>
      </c>
      <c r="N880">
        <v>133864</v>
      </c>
      <c r="O880" t="s">
        <v>898</v>
      </c>
      <c r="P880" s="9">
        <v>204033</v>
      </c>
      <c r="Q880" s="9">
        <v>13703</v>
      </c>
      <c r="R880" s="9">
        <v>217736</v>
      </c>
      <c r="S880" s="9">
        <v>-116153</v>
      </c>
      <c r="T880" s="10">
        <v>85431</v>
      </c>
      <c r="U880" s="10">
        <v>1075</v>
      </c>
    </row>
    <row r="881" spans="1:21" x14ac:dyDescent="0.35">
      <c r="A881" t="s">
        <v>15</v>
      </c>
      <c r="B881" t="s">
        <v>20</v>
      </c>
      <c r="C881" t="s">
        <v>21</v>
      </c>
      <c r="D881">
        <v>223963</v>
      </c>
      <c r="E881">
        <v>25549</v>
      </c>
      <c r="F881">
        <v>52150</v>
      </c>
      <c r="G881">
        <v>-195670</v>
      </c>
      <c r="H881">
        <v>105992</v>
      </c>
      <c r="I881">
        <v>110292</v>
      </c>
      <c r="J881">
        <v>1454</v>
      </c>
      <c r="K881">
        <v>561705</v>
      </c>
      <c r="L881">
        <v>171128</v>
      </c>
      <c r="M881">
        <v>-176687</v>
      </c>
      <c r="N881">
        <v>194790</v>
      </c>
      <c r="O881" t="s">
        <v>899</v>
      </c>
      <c r="P881" s="9">
        <v>260245</v>
      </c>
      <c r="Q881" s="9">
        <v>41925</v>
      </c>
      <c r="R881" s="9">
        <v>302170</v>
      </c>
      <c r="S881" s="9">
        <v>-164505</v>
      </c>
      <c r="T881" s="10">
        <v>99036</v>
      </c>
      <c r="U881" s="10">
        <v>2301</v>
      </c>
    </row>
    <row r="882" spans="1:21" x14ac:dyDescent="0.35">
      <c r="A882" t="s">
        <v>15</v>
      </c>
      <c r="B882" t="s">
        <v>16</v>
      </c>
      <c r="C882" t="s">
        <v>21</v>
      </c>
      <c r="D882">
        <v>222037</v>
      </c>
      <c r="E882">
        <v>27606</v>
      </c>
      <c r="F882">
        <v>55157</v>
      </c>
      <c r="G882">
        <v>-192532</v>
      </c>
      <c r="H882">
        <v>112268</v>
      </c>
      <c r="I882">
        <v>102466</v>
      </c>
      <c r="J882">
        <v>1328</v>
      </c>
      <c r="K882">
        <v>804726</v>
      </c>
      <c r="L882">
        <v>376531</v>
      </c>
      <c r="M882">
        <v>-251141</v>
      </c>
      <c r="N882">
        <v>82149</v>
      </c>
      <c r="O882" t="s">
        <v>900</v>
      </c>
      <c r="P882" s="9">
        <v>178311</v>
      </c>
      <c r="Q882" s="9">
        <v>15361</v>
      </c>
      <c r="R882" s="9">
        <v>193672</v>
      </c>
      <c r="S882" s="9">
        <v>-77493</v>
      </c>
      <c r="T882" s="10">
        <v>56840</v>
      </c>
      <c r="U882" s="10">
        <v>1533</v>
      </c>
    </row>
    <row r="883" spans="1:21" x14ac:dyDescent="0.35">
      <c r="A883" t="s">
        <v>15</v>
      </c>
      <c r="B883" t="s">
        <v>16</v>
      </c>
      <c r="C883" t="s">
        <v>21</v>
      </c>
      <c r="D883">
        <v>209219</v>
      </c>
      <c r="E883">
        <v>30664</v>
      </c>
      <c r="F883">
        <v>33704</v>
      </c>
      <c r="G883">
        <v>-198285</v>
      </c>
      <c r="H883">
        <v>75302</v>
      </c>
      <c r="I883">
        <v>73199</v>
      </c>
      <c r="J883">
        <v>1994</v>
      </c>
      <c r="K883">
        <v>523911</v>
      </c>
      <c r="L883">
        <v>242944</v>
      </c>
      <c r="M883">
        <v>-120131</v>
      </c>
      <c r="N883">
        <v>171044</v>
      </c>
      <c r="O883" t="s">
        <v>901</v>
      </c>
      <c r="P883" s="9">
        <v>277016</v>
      </c>
      <c r="Q883" s="9">
        <v>44914</v>
      </c>
      <c r="R883" s="9">
        <v>321930</v>
      </c>
      <c r="S883" s="9">
        <v>-69270</v>
      </c>
      <c r="T883" s="10">
        <v>129337</v>
      </c>
      <c r="U883" s="10">
        <v>1899</v>
      </c>
    </row>
    <row r="884" spans="1:21" x14ac:dyDescent="0.35">
      <c r="A884" t="s">
        <v>15</v>
      </c>
      <c r="B884" t="s">
        <v>20</v>
      </c>
      <c r="C884" t="s">
        <v>17</v>
      </c>
      <c r="D884">
        <v>156349</v>
      </c>
      <c r="E884">
        <v>25985</v>
      </c>
      <c r="F884">
        <v>27436</v>
      </c>
      <c r="G884">
        <v>-153314</v>
      </c>
      <c r="H884">
        <v>56456</v>
      </c>
      <c r="I884">
        <v>57783</v>
      </c>
      <c r="J884">
        <v>1035</v>
      </c>
      <c r="K884">
        <v>456763</v>
      </c>
      <c r="L884">
        <v>115492</v>
      </c>
      <c r="M884">
        <v>-162765</v>
      </c>
      <c r="N884">
        <v>131611</v>
      </c>
      <c r="O884" t="s">
        <v>902</v>
      </c>
      <c r="P884" s="9">
        <v>236864</v>
      </c>
      <c r="Q884" s="9">
        <v>26154</v>
      </c>
      <c r="R884" s="9">
        <v>263018</v>
      </c>
      <c r="S884" s="9">
        <v>-67591</v>
      </c>
      <c r="T884" s="10">
        <v>62244</v>
      </c>
      <c r="U884" s="10">
        <v>1353</v>
      </c>
    </row>
    <row r="885" spans="1:21" x14ac:dyDescent="0.35">
      <c r="A885" t="s">
        <v>15</v>
      </c>
      <c r="B885" t="s">
        <v>20</v>
      </c>
      <c r="C885" t="s">
        <v>21</v>
      </c>
      <c r="D885">
        <v>254653</v>
      </c>
      <c r="E885">
        <v>20837</v>
      </c>
      <c r="F885">
        <v>51360</v>
      </c>
      <c r="G885">
        <v>-206890</v>
      </c>
      <c r="H885">
        <v>119960</v>
      </c>
      <c r="I885">
        <v>111850</v>
      </c>
      <c r="J885">
        <v>1847</v>
      </c>
      <c r="K885">
        <v>578186</v>
      </c>
      <c r="L885">
        <v>190745</v>
      </c>
      <c r="M885">
        <v>-180600</v>
      </c>
      <c r="N885">
        <v>188576</v>
      </c>
      <c r="O885" t="s">
        <v>903</v>
      </c>
      <c r="P885" s="9">
        <v>167244</v>
      </c>
      <c r="Q885" s="9">
        <v>18366</v>
      </c>
      <c r="R885" s="9">
        <v>185610</v>
      </c>
      <c r="S885" s="9">
        <v>-102607</v>
      </c>
      <c r="T885" s="10">
        <v>60244</v>
      </c>
      <c r="U885" s="10">
        <v>946</v>
      </c>
    </row>
    <row r="886" spans="1:21" x14ac:dyDescent="0.35">
      <c r="A886" t="s">
        <v>15</v>
      </c>
      <c r="B886" t="s">
        <v>20</v>
      </c>
      <c r="C886" t="s">
        <v>21</v>
      </c>
      <c r="D886">
        <v>201575</v>
      </c>
      <c r="E886">
        <v>18929</v>
      </c>
      <c r="F886">
        <v>25598</v>
      </c>
      <c r="G886">
        <v>-174838</v>
      </c>
      <c r="H886">
        <v>71264</v>
      </c>
      <c r="I886">
        <v>72674</v>
      </c>
      <c r="J886">
        <v>1698</v>
      </c>
      <c r="K886">
        <v>724878</v>
      </c>
      <c r="L886">
        <v>283923</v>
      </c>
      <c r="M886">
        <v>-177599</v>
      </c>
      <c r="N886">
        <v>113569</v>
      </c>
      <c r="O886" t="s">
        <v>904</v>
      </c>
      <c r="P886" s="9">
        <v>261552</v>
      </c>
      <c r="Q886" s="9">
        <v>24426</v>
      </c>
      <c r="R886" s="9">
        <v>285978</v>
      </c>
      <c r="S886" s="9">
        <v>-93844</v>
      </c>
      <c r="T886" s="10">
        <v>135377</v>
      </c>
      <c r="U886" s="10">
        <v>1566</v>
      </c>
    </row>
    <row r="887" spans="1:21" x14ac:dyDescent="0.35">
      <c r="A887" t="s">
        <v>15</v>
      </c>
      <c r="B887" t="s">
        <v>20</v>
      </c>
      <c r="C887" t="s">
        <v>17</v>
      </c>
      <c r="D887">
        <v>285074</v>
      </c>
      <c r="E887">
        <v>25352</v>
      </c>
      <c r="F887">
        <v>53304</v>
      </c>
      <c r="G887">
        <v>-254301</v>
      </c>
      <c r="H887">
        <v>109429</v>
      </c>
      <c r="I887">
        <v>104759</v>
      </c>
      <c r="J887">
        <v>1990</v>
      </c>
      <c r="K887">
        <v>673318</v>
      </c>
      <c r="L887">
        <v>324634</v>
      </c>
      <c r="M887">
        <v>-232803</v>
      </c>
      <c r="N887">
        <v>149992</v>
      </c>
      <c r="O887" t="s">
        <v>905</v>
      </c>
      <c r="P887" s="9">
        <v>197746</v>
      </c>
      <c r="Q887" s="9">
        <v>14670</v>
      </c>
      <c r="R887" s="9">
        <v>212416</v>
      </c>
      <c r="S887" s="9">
        <v>-49210</v>
      </c>
      <c r="T887" s="10">
        <v>67135</v>
      </c>
      <c r="U887" s="10">
        <v>2009</v>
      </c>
    </row>
    <row r="888" spans="1:21" x14ac:dyDescent="0.35">
      <c r="A888" t="s">
        <v>15</v>
      </c>
      <c r="B888" t="s">
        <v>16</v>
      </c>
      <c r="C888" t="s">
        <v>17</v>
      </c>
      <c r="D888">
        <v>229539</v>
      </c>
      <c r="E888">
        <v>22268</v>
      </c>
      <c r="F888">
        <v>23006</v>
      </c>
      <c r="G888">
        <v>-187028</v>
      </c>
      <c r="H888">
        <v>87785</v>
      </c>
      <c r="I888">
        <v>87957</v>
      </c>
      <c r="J888">
        <v>2511</v>
      </c>
      <c r="K888">
        <v>860517</v>
      </c>
      <c r="L888">
        <v>346533</v>
      </c>
      <c r="M888">
        <v>-273907</v>
      </c>
      <c r="N888">
        <v>151990</v>
      </c>
      <c r="O888" t="s">
        <v>906</v>
      </c>
      <c r="P888" s="9">
        <v>198456</v>
      </c>
      <c r="Q888" s="9">
        <v>40784</v>
      </c>
      <c r="R888" s="9">
        <v>239240</v>
      </c>
      <c r="S888" s="9">
        <v>-82236</v>
      </c>
      <c r="T888" s="10">
        <v>100172</v>
      </c>
      <c r="U888" s="10">
        <v>2780</v>
      </c>
    </row>
    <row r="889" spans="1:21" x14ac:dyDescent="0.35">
      <c r="A889" t="s">
        <v>15</v>
      </c>
      <c r="B889" t="s">
        <v>20</v>
      </c>
      <c r="C889" t="s">
        <v>17</v>
      </c>
      <c r="D889">
        <v>274498</v>
      </c>
      <c r="E889">
        <v>32444</v>
      </c>
      <c r="F889">
        <v>45219</v>
      </c>
      <c r="G889">
        <v>-219781</v>
      </c>
      <c r="H889">
        <v>132380</v>
      </c>
      <c r="I889">
        <v>121400</v>
      </c>
      <c r="J889">
        <v>1561</v>
      </c>
      <c r="K889">
        <v>655538</v>
      </c>
      <c r="L889">
        <v>173833</v>
      </c>
      <c r="M889">
        <v>-114224</v>
      </c>
      <c r="N889">
        <v>134083</v>
      </c>
      <c r="O889" t="s">
        <v>907</v>
      </c>
      <c r="P889" s="9">
        <v>208896</v>
      </c>
      <c r="Q889" s="9">
        <v>39112</v>
      </c>
      <c r="R889" s="9">
        <v>248008</v>
      </c>
      <c r="S889" s="9">
        <v>-96387</v>
      </c>
      <c r="T889" s="10">
        <v>98596</v>
      </c>
      <c r="U889" s="10">
        <v>1906</v>
      </c>
    </row>
    <row r="890" spans="1:21" x14ac:dyDescent="0.35">
      <c r="A890" t="s">
        <v>15</v>
      </c>
      <c r="B890" t="s">
        <v>20</v>
      </c>
      <c r="C890" t="s">
        <v>21</v>
      </c>
      <c r="D890">
        <v>165316</v>
      </c>
      <c r="E890">
        <v>22807</v>
      </c>
      <c r="F890">
        <v>24616</v>
      </c>
      <c r="G890">
        <v>-132857</v>
      </c>
      <c r="H890">
        <v>79882</v>
      </c>
      <c r="I890">
        <v>74591</v>
      </c>
      <c r="J890">
        <v>1396</v>
      </c>
      <c r="K890">
        <v>637654</v>
      </c>
      <c r="L890">
        <v>226333</v>
      </c>
      <c r="M890">
        <v>-139275</v>
      </c>
      <c r="N890">
        <v>148118</v>
      </c>
      <c r="O890" t="s">
        <v>908</v>
      </c>
      <c r="P890" s="9">
        <v>287199</v>
      </c>
      <c r="Q890" s="9">
        <v>35872</v>
      </c>
      <c r="R890" s="9">
        <v>323071</v>
      </c>
      <c r="S890" s="9">
        <v>-107782</v>
      </c>
      <c r="T890" s="10">
        <v>81744</v>
      </c>
      <c r="U890" s="10">
        <v>1938</v>
      </c>
    </row>
    <row r="891" spans="1:21" x14ac:dyDescent="0.35">
      <c r="A891" t="s">
        <v>15</v>
      </c>
      <c r="B891" t="s">
        <v>16</v>
      </c>
      <c r="C891" t="s">
        <v>17</v>
      </c>
      <c r="D891">
        <v>260103</v>
      </c>
      <c r="E891">
        <v>15720</v>
      </c>
      <c r="F891">
        <v>30652</v>
      </c>
      <c r="G891">
        <v>-233661</v>
      </c>
      <c r="H891">
        <v>72814</v>
      </c>
      <c r="I891">
        <v>68393</v>
      </c>
      <c r="J891">
        <v>933</v>
      </c>
      <c r="K891">
        <v>586130</v>
      </c>
      <c r="L891">
        <v>116272</v>
      </c>
      <c r="M891">
        <v>-197039</v>
      </c>
      <c r="N891">
        <v>195422</v>
      </c>
      <c r="O891" t="s">
        <v>909</v>
      </c>
      <c r="P891" s="9">
        <v>234041</v>
      </c>
      <c r="Q891" s="9">
        <v>16717</v>
      </c>
      <c r="R891" s="9">
        <v>250758</v>
      </c>
      <c r="S891" s="9">
        <v>-147768</v>
      </c>
      <c r="T891" s="10">
        <v>54815</v>
      </c>
      <c r="U891" s="10">
        <v>1419</v>
      </c>
    </row>
    <row r="892" spans="1:21" x14ac:dyDescent="0.35">
      <c r="A892" t="s">
        <v>15</v>
      </c>
      <c r="B892" t="s">
        <v>20</v>
      </c>
      <c r="C892" t="s">
        <v>21</v>
      </c>
      <c r="D892">
        <v>155051</v>
      </c>
      <c r="E892">
        <v>25328</v>
      </c>
      <c r="F892">
        <v>33624</v>
      </c>
      <c r="G892">
        <v>-144590</v>
      </c>
      <c r="H892">
        <v>69413</v>
      </c>
      <c r="I892">
        <v>72258</v>
      </c>
      <c r="J892">
        <v>1690</v>
      </c>
      <c r="K892">
        <v>544514</v>
      </c>
      <c r="L892">
        <v>164749</v>
      </c>
      <c r="M892">
        <v>-70733</v>
      </c>
      <c r="N892">
        <v>65003</v>
      </c>
      <c r="O892" t="s">
        <v>910</v>
      </c>
      <c r="P892" s="9">
        <v>215105</v>
      </c>
      <c r="Q892" s="9">
        <v>40341</v>
      </c>
      <c r="R892" s="9">
        <v>255446</v>
      </c>
      <c r="S892" s="9">
        <v>-137391</v>
      </c>
      <c r="T892" s="10">
        <v>81807</v>
      </c>
      <c r="U892" s="10">
        <v>2082</v>
      </c>
    </row>
    <row r="893" spans="1:21" x14ac:dyDescent="0.35">
      <c r="A893" t="s">
        <v>15</v>
      </c>
      <c r="B893" t="s">
        <v>20</v>
      </c>
      <c r="C893" t="s">
        <v>21</v>
      </c>
      <c r="D893">
        <v>192379</v>
      </c>
      <c r="E893">
        <v>36455</v>
      </c>
      <c r="F893">
        <v>19963</v>
      </c>
      <c r="G893">
        <v>-169223</v>
      </c>
      <c r="H893">
        <v>79574</v>
      </c>
      <c r="I893">
        <v>80644</v>
      </c>
      <c r="J893">
        <v>1312</v>
      </c>
      <c r="K893">
        <v>418994</v>
      </c>
      <c r="L893">
        <v>47734</v>
      </c>
      <c r="M893">
        <v>-74174</v>
      </c>
      <c r="N893">
        <v>62805</v>
      </c>
      <c r="O893" t="s">
        <v>911</v>
      </c>
      <c r="P893" s="9">
        <v>320116</v>
      </c>
      <c r="Q893" s="9">
        <v>19895</v>
      </c>
      <c r="R893" s="9">
        <v>340011</v>
      </c>
      <c r="S893" s="9">
        <v>-77063</v>
      </c>
      <c r="T893" s="10">
        <v>121004</v>
      </c>
      <c r="U893" s="10">
        <v>3354</v>
      </c>
    </row>
    <row r="894" spans="1:21" x14ac:dyDescent="0.35">
      <c r="A894" t="s">
        <v>15</v>
      </c>
      <c r="B894" t="s">
        <v>16</v>
      </c>
      <c r="C894" t="s">
        <v>21</v>
      </c>
      <c r="D894">
        <v>186082</v>
      </c>
      <c r="E894">
        <v>10622</v>
      </c>
      <c r="F894">
        <v>23052</v>
      </c>
      <c r="G894">
        <v>-154224</v>
      </c>
      <c r="H894">
        <v>65532</v>
      </c>
      <c r="I894">
        <v>60567</v>
      </c>
      <c r="J894">
        <v>1502</v>
      </c>
      <c r="K894">
        <v>422053</v>
      </c>
      <c r="L894">
        <v>183172</v>
      </c>
      <c r="M894">
        <v>-59164</v>
      </c>
      <c r="N894">
        <v>125591</v>
      </c>
      <c r="O894" t="s">
        <v>912</v>
      </c>
      <c r="P894" s="9">
        <v>178579</v>
      </c>
      <c r="Q894" s="9">
        <v>21575</v>
      </c>
      <c r="R894" s="9">
        <v>200154</v>
      </c>
      <c r="S894" s="9">
        <v>-97976</v>
      </c>
      <c r="T894" s="10">
        <v>82687</v>
      </c>
      <c r="U894" s="10">
        <v>2442</v>
      </c>
    </row>
    <row r="895" spans="1:21" x14ac:dyDescent="0.35">
      <c r="A895" t="s">
        <v>15</v>
      </c>
      <c r="B895" t="s">
        <v>16</v>
      </c>
      <c r="C895" t="s">
        <v>21</v>
      </c>
      <c r="D895">
        <v>268366</v>
      </c>
      <c r="E895">
        <v>52758</v>
      </c>
      <c r="F895">
        <v>33305</v>
      </c>
      <c r="G895">
        <v>-234498</v>
      </c>
      <c r="H895">
        <v>119931</v>
      </c>
      <c r="I895">
        <v>121984</v>
      </c>
      <c r="J895">
        <v>2322</v>
      </c>
      <c r="K895">
        <v>642519</v>
      </c>
      <c r="L895">
        <v>172482</v>
      </c>
      <c r="M895">
        <v>-74846</v>
      </c>
      <c r="N895">
        <v>192123</v>
      </c>
      <c r="O895" t="s">
        <v>913</v>
      </c>
      <c r="P895" s="9">
        <v>205969</v>
      </c>
      <c r="Q895" s="9">
        <v>12085</v>
      </c>
      <c r="R895" s="9">
        <v>218054</v>
      </c>
      <c r="S895" s="9">
        <v>-67764</v>
      </c>
      <c r="T895" s="10">
        <v>100257</v>
      </c>
      <c r="U895" s="10">
        <v>2761</v>
      </c>
    </row>
    <row r="896" spans="1:21" x14ac:dyDescent="0.35">
      <c r="A896" t="s">
        <v>15</v>
      </c>
      <c r="B896" t="s">
        <v>16</v>
      </c>
      <c r="C896" t="s">
        <v>21</v>
      </c>
      <c r="D896">
        <v>167793</v>
      </c>
      <c r="E896">
        <v>32880</v>
      </c>
      <c r="F896">
        <v>40978</v>
      </c>
      <c r="G896">
        <v>-165468</v>
      </c>
      <c r="H896">
        <v>76183</v>
      </c>
      <c r="I896">
        <v>74933</v>
      </c>
      <c r="J896">
        <v>1160</v>
      </c>
      <c r="K896">
        <v>341336</v>
      </c>
      <c r="L896">
        <v>49178</v>
      </c>
      <c r="M896">
        <v>-69308</v>
      </c>
      <c r="N896">
        <v>61422</v>
      </c>
      <c r="O896" t="s">
        <v>914</v>
      </c>
      <c r="P896" s="9">
        <v>265662</v>
      </c>
      <c r="Q896" s="9">
        <v>43853</v>
      </c>
      <c r="R896" s="9">
        <v>309515</v>
      </c>
      <c r="S896" s="9">
        <v>-167472</v>
      </c>
      <c r="T896" s="10">
        <v>123375</v>
      </c>
      <c r="U896" s="10">
        <v>2604</v>
      </c>
    </row>
    <row r="897" spans="1:21" x14ac:dyDescent="0.35">
      <c r="A897" t="s">
        <v>15</v>
      </c>
      <c r="B897" t="s">
        <v>16</v>
      </c>
      <c r="C897" t="s">
        <v>17</v>
      </c>
      <c r="D897">
        <v>211197</v>
      </c>
      <c r="E897">
        <v>28643</v>
      </c>
      <c r="F897">
        <v>22054</v>
      </c>
      <c r="G897">
        <v>-178718</v>
      </c>
      <c r="H897">
        <v>83176</v>
      </c>
      <c r="I897">
        <v>83360</v>
      </c>
      <c r="J897">
        <v>1212</v>
      </c>
      <c r="K897">
        <v>584805</v>
      </c>
      <c r="L897">
        <v>245808</v>
      </c>
      <c r="M897">
        <v>-194745</v>
      </c>
      <c r="N897">
        <v>120518</v>
      </c>
      <c r="O897" t="s">
        <v>915</v>
      </c>
      <c r="P897" s="9">
        <v>211327</v>
      </c>
      <c r="Q897" s="9">
        <v>15704</v>
      </c>
      <c r="R897" s="9">
        <v>227031</v>
      </c>
      <c r="S897" s="9">
        <v>-131019</v>
      </c>
      <c r="T897" s="10">
        <v>88817</v>
      </c>
      <c r="U897" s="10">
        <v>2427</v>
      </c>
    </row>
    <row r="898" spans="1:21" x14ac:dyDescent="0.35">
      <c r="A898" t="s">
        <v>15</v>
      </c>
      <c r="B898" t="s">
        <v>16</v>
      </c>
      <c r="C898" t="s">
        <v>21</v>
      </c>
      <c r="D898">
        <v>288907</v>
      </c>
      <c r="E898">
        <v>19452</v>
      </c>
      <c r="F898">
        <v>32913</v>
      </c>
      <c r="G898">
        <v>-284944</v>
      </c>
      <c r="H898">
        <v>56328</v>
      </c>
      <c r="I898">
        <v>58678</v>
      </c>
      <c r="J898">
        <v>605</v>
      </c>
      <c r="K898">
        <v>605528</v>
      </c>
      <c r="L898">
        <v>144786</v>
      </c>
      <c r="M898">
        <v>-188888</v>
      </c>
      <c r="N898">
        <v>100507</v>
      </c>
      <c r="O898" t="s">
        <v>916</v>
      </c>
      <c r="P898" s="9">
        <v>257568</v>
      </c>
      <c r="Q898" s="9">
        <v>52591</v>
      </c>
      <c r="R898" s="9">
        <v>310159</v>
      </c>
      <c r="S898" s="9">
        <v>-107207</v>
      </c>
      <c r="T898" s="10">
        <v>151889</v>
      </c>
      <c r="U898" s="10">
        <v>2885</v>
      </c>
    </row>
    <row r="899" spans="1:21" x14ac:dyDescent="0.35">
      <c r="A899" t="s">
        <v>15</v>
      </c>
      <c r="B899" t="s">
        <v>20</v>
      </c>
      <c r="C899" t="s">
        <v>21</v>
      </c>
      <c r="D899">
        <v>180834</v>
      </c>
      <c r="E899">
        <v>20234</v>
      </c>
      <c r="F899">
        <v>31717</v>
      </c>
      <c r="G899">
        <v>-164213</v>
      </c>
      <c r="H899">
        <v>68572</v>
      </c>
      <c r="I899">
        <v>70843</v>
      </c>
      <c r="J899">
        <v>2035</v>
      </c>
      <c r="K899">
        <v>388933</v>
      </c>
      <c r="L899">
        <v>184065</v>
      </c>
      <c r="M899">
        <v>-149366</v>
      </c>
      <c r="N899">
        <v>84577</v>
      </c>
      <c r="O899" t="s">
        <v>917</v>
      </c>
      <c r="P899" s="9">
        <v>217926</v>
      </c>
      <c r="Q899" s="9">
        <v>13826</v>
      </c>
      <c r="R899" s="9">
        <v>231752</v>
      </c>
      <c r="S899" s="9">
        <v>-135039</v>
      </c>
      <c r="T899" s="10">
        <v>62472</v>
      </c>
      <c r="U899" s="10">
        <v>1853</v>
      </c>
    </row>
    <row r="900" spans="1:21" x14ac:dyDescent="0.35">
      <c r="A900" t="s">
        <v>15</v>
      </c>
      <c r="B900" t="s">
        <v>20</v>
      </c>
      <c r="C900" t="s">
        <v>21</v>
      </c>
      <c r="D900">
        <v>261648</v>
      </c>
      <c r="E900">
        <v>51756</v>
      </c>
      <c r="F900">
        <v>55055</v>
      </c>
      <c r="G900">
        <v>-243316</v>
      </c>
      <c r="H900">
        <v>125143</v>
      </c>
      <c r="I900">
        <v>120341</v>
      </c>
      <c r="J900">
        <v>1558</v>
      </c>
      <c r="K900">
        <v>828363</v>
      </c>
      <c r="L900">
        <v>318354</v>
      </c>
      <c r="M900">
        <v>-198204</v>
      </c>
      <c r="N900">
        <v>180803</v>
      </c>
      <c r="O900" t="s">
        <v>918</v>
      </c>
      <c r="P900" s="9">
        <v>274119</v>
      </c>
      <c r="Q900" s="9">
        <v>16841</v>
      </c>
      <c r="R900" s="9">
        <v>290960</v>
      </c>
      <c r="S900" s="9">
        <v>-117400</v>
      </c>
      <c r="T900" s="10">
        <v>125332</v>
      </c>
      <c r="U900" s="10">
        <v>1500</v>
      </c>
    </row>
    <row r="901" spans="1:21" x14ac:dyDescent="0.35">
      <c r="A901" t="s">
        <v>15</v>
      </c>
      <c r="B901" t="s">
        <v>16</v>
      </c>
      <c r="C901" t="s">
        <v>17</v>
      </c>
      <c r="D901">
        <v>292888</v>
      </c>
      <c r="E901">
        <v>19951</v>
      </c>
      <c r="F901">
        <v>72732</v>
      </c>
      <c r="G901">
        <v>-256305</v>
      </c>
      <c r="H901">
        <v>129266</v>
      </c>
      <c r="I901">
        <v>126005</v>
      </c>
      <c r="J901">
        <v>1541</v>
      </c>
      <c r="K901">
        <v>980541</v>
      </c>
      <c r="L901">
        <v>426000</v>
      </c>
      <c r="M901">
        <v>-324921</v>
      </c>
      <c r="N901">
        <v>214427</v>
      </c>
      <c r="O901" t="s">
        <v>919</v>
      </c>
      <c r="P901" s="9">
        <v>274400</v>
      </c>
      <c r="Q901" s="9">
        <v>28427</v>
      </c>
      <c r="R901" s="9">
        <v>302827</v>
      </c>
      <c r="S901" s="9">
        <v>-111072</v>
      </c>
      <c r="T901" s="10">
        <v>68274</v>
      </c>
      <c r="U901" s="10">
        <v>1124</v>
      </c>
    </row>
    <row r="902" spans="1:21" x14ac:dyDescent="0.35">
      <c r="A902" t="s">
        <v>15</v>
      </c>
      <c r="B902" t="s">
        <v>16</v>
      </c>
      <c r="C902" t="s">
        <v>17</v>
      </c>
      <c r="D902">
        <v>195673</v>
      </c>
      <c r="E902">
        <v>34083</v>
      </c>
      <c r="F902">
        <v>31861</v>
      </c>
      <c r="G902">
        <v>-174123</v>
      </c>
      <c r="H902">
        <v>87494</v>
      </c>
      <c r="I902">
        <v>84342</v>
      </c>
      <c r="J902">
        <v>1465</v>
      </c>
      <c r="K902">
        <v>575790</v>
      </c>
      <c r="L902">
        <v>271978</v>
      </c>
      <c r="M902">
        <v>-119939</v>
      </c>
      <c r="N902">
        <v>162867</v>
      </c>
      <c r="O902" t="s">
        <v>920</v>
      </c>
      <c r="P902" s="9">
        <v>276951</v>
      </c>
      <c r="Q902" s="9">
        <v>15615</v>
      </c>
      <c r="R902" s="9">
        <v>292566</v>
      </c>
      <c r="S902" s="9">
        <v>-157524</v>
      </c>
      <c r="T902" s="10">
        <v>62862</v>
      </c>
      <c r="U902" s="10">
        <v>844</v>
      </c>
    </row>
    <row r="903" spans="1:21" x14ac:dyDescent="0.35">
      <c r="A903" t="s">
        <v>15</v>
      </c>
      <c r="B903" t="s">
        <v>20</v>
      </c>
      <c r="C903" t="s">
        <v>17</v>
      </c>
      <c r="D903">
        <v>293367</v>
      </c>
      <c r="E903">
        <v>16692</v>
      </c>
      <c r="F903">
        <v>55937</v>
      </c>
      <c r="G903">
        <v>-242000</v>
      </c>
      <c r="H903">
        <v>123996</v>
      </c>
      <c r="I903">
        <v>119657</v>
      </c>
      <c r="J903">
        <v>1566</v>
      </c>
      <c r="K903">
        <v>770459</v>
      </c>
      <c r="L903">
        <v>222902</v>
      </c>
      <c r="M903">
        <v>-110382</v>
      </c>
      <c r="N903">
        <v>238154</v>
      </c>
      <c r="O903" t="s">
        <v>921</v>
      </c>
      <c r="P903" s="9">
        <v>163067</v>
      </c>
      <c r="Q903" s="9">
        <v>22144</v>
      </c>
      <c r="R903" s="9">
        <v>185211</v>
      </c>
      <c r="S903" s="9">
        <v>-53835</v>
      </c>
      <c r="T903" s="10">
        <v>56258</v>
      </c>
      <c r="U903" s="10">
        <v>1474</v>
      </c>
    </row>
    <row r="904" spans="1:21" x14ac:dyDescent="0.35">
      <c r="A904" t="s">
        <v>15</v>
      </c>
      <c r="B904" t="s">
        <v>16</v>
      </c>
      <c r="C904" t="s">
        <v>17</v>
      </c>
      <c r="D904">
        <v>166724</v>
      </c>
      <c r="E904">
        <v>17442</v>
      </c>
      <c r="F904">
        <v>34339</v>
      </c>
      <c r="G904">
        <v>-149736</v>
      </c>
      <c r="H904">
        <v>68769</v>
      </c>
      <c r="I904">
        <v>71062</v>
      </c>
      <c r="J904">
        <v>747</v>
      </c>
      <c r="K904">
        <v>391208</v>
      </c>
      <c r="L904">
        <v>191536</v>
      </c>
      <c r="M904">
        <v>-62685</v>
      </c>
      <c r="N904">
        <v>81925</v>
      </c>
      <c r="O904" t="s">
        <v>922</v>
      </c>
      <c r="P904" s="9">
        <v>270672</v>
      </c>
      <c r="Q904" s="9">
        <v>24629</v>
      </c>
      <c r="R904" s="9">
        <v>295301</v>
      </c>
      <c r="S904" s="9">
        <v>-132549</v>
      </c>
      <c r="T904" s="10">
        <v>82857</v>
      </c>
      <c r="U904" s="10">
        <v>1704</v>
      </c>
    </row>
    <row r="905" spans="1:21" x14ac:dyDescent="0.35">
      <c r="A905" t="s">
        <v>15</v>
      </c>
      <c r="B905" t="s">
        <v>20</v>
      </c>
      <c r="C905" t="s">
        <v>17</v>
      </c>
      <c r="D905">
        <v>227782</v>
      </c>
      <c r="E905">
        <v>31090</v>
      </c>
      <c r="F905">
        <v>29914</v>
      </c>
      <c r="G905">
        <v>-218985</v>
      </c>
      <c r="H905">
        <v>69801</v>
      </c>
      <c r="I905">
        <v>64279</v>
      </c>
      <c r="J905">
        <v>1456</v>
      </c>
      <c r="K905">
        <v>788292</v>
      </c>
      <c r="L905">
        <v>284685</v>
      </c>
      <c r="M905">
        <v>-269136</v>
      </c>
      <c r="N905">
        <v>131927</v>
      </c>
      <c r="O905" t="s">
        <v>923</v>
      </c>
      <c r="P905" s="9">
        <v>173116</v>
      </c>
      <c r="Q905" s="9">
        <v>16011</v>
      </c>
      <c r="R905" s="9">
        <v>189127</v>
      </c>
      <c r="S905" s="9">
        <v>-45331</v>
      </c>
      <c r="T905" s="10">
        <v>76895</v>
      </c>
      <c r="U905" s="10">
        <v>1938</v>
      </c>
    </row>
    <row r="906" spans="1:21" x14ac:dyDescent="0.35">
      <c r="A906" t="s">
        <v>15</v>
      </c>
      <c r="B906" t="s">
        <v>16</v>
      </c>
      <c r="C906" t="s">
        <v>21</v>
      </c>
      <c r="D906">
        <v>275456</v>
      </c>
      <c r="E906">
        <v>28567</v>
      </c>
      <c r="F906">
        <v>36686</v>
      </c>
      <c r="G906">
        <v>-266286</v>
      </c>
      <c r="H906">
        <v>74423</v>
      </c>
      <c r="I906">
        <v>68727</v>
      </c>
      <c r="J906">
        <v>782</v>
      </c>
      <c r="K906">
        <v>939346</v>
      </c>
      <c r="L906">
        <v>134052</v>
      </c>
      <c r="M906">
        <v>-369623</v>
      </c>
      <c r="N906">
        <v>186826</v>
      </c>
      <c r="O906" t="s">
        <v>924</v>
      </c>
      <c r="P906" s="9">
        <v>174543</v>
      </c>
      <c r="Q906" s="9">
        <v>11666</v>
      </c>
      <c r="R906" s="9">
        <v>186209</v>
      </c>
      <c r="S906" s="9">
        <v>-92553</v>
      </c>
      <c r="T906" s="10">
        <v>76011</v>
      </c>
      <c r="U906" s="10">
        <v>1917</v>
      </c>
    </row>
    <row r="907" spans="1:21" x14ac:dyDescent="0.35">
      <c r="A907" t="s">
        <v>15</v>
      </c>
      <c r="B907" t="s">
        <v>16</v>
      </c>
      <c r="C907" t="s">
        <v>21</v>
      </c>
      <c r="D907">
        <v>265667</v>
      </c>
      <c r="E907">
        <v>38882</v>
      </c>
      <c r="F907">
        <v>27698</v>
      </c>
      <c r="G907">
        <v>-214102</v>
      </c>
      <c r="H907">
        <v>118145</v>
      </c>
      <c r="I907">
        <v>114713</v>
      </c>
      <c r="J907">
        <v>2519</v>
      </c>
      <c r="K907">
        <v>802186</v>
      </c>
      <c r="L907">
        <v>109671</v>
      </c>
      <c r="M907">
        <v>-319232</v>
      </c>
      <c r="N907">
        <v>235301</v>
      </c>
      <c r="O907" t="s">
        <v>925</v>
      </c>
      <c r="P907" s="9">
        <v>244706</v>
      </c>
      <c r="Q907" s="9">
        <v>23066</v>
      </c>
      <c r="R907" s="9">
        <v>267772</v>
      </c>
      <c r="S907" s="9">
        <v>-132756</v>
      </c>
      <c r="T907" s="10">
        <v>66629</v>
      </c>
      <c r="U907" s="10">
        <v>1793</v>
      </c>
    </row>
    <row r="908" spans="1:21" x14ac:dyDescent="0.35">
      <c r="A908" t="s">
        <v>15</v>
      </c>
      <c r="B908" t="s">
        <v>20</v>
      </c>
      <c r="C908" t="s">
        <v>21</v>
      </c>
      <c r="D908">
        <v>172207</v>
      </c>
      <c r="E908">
        <v>14888</v>
      </c>
      <c r="F908">
        <v>31589</v>
      </c>
      <c r="G908">
        <v>-152750</v>
      </c>
      <c r="H908">
        <v>65934</v>
      </c>
      <c r="I908">
        <v>64260</v>
      </c>
      <c r="J908">
        <v>1351</v>
      </c>
      <c r="K908">
        <v>435587</v>
      </c>
      <c r="L908">
        <v>128446</v>
      </c>
      <c r="M908">
        <v>-101610</v>
      </c>
      <c r="N908">
        <v>74467</v>
      </c>
      <c r="O908" t="s">
        <v>926</v>
      </c>
      <c r="P908" s="9">
        <v>267641</v>
      </c>
      <c r="Q908" s="9">
        <v>39325</v>
      </c>
      <c r="R908" s="9">
        <v>306966</v>
      </c>
      <c r="S908" s="9">
        <v>-171378</v>
      </c>
      <c r="T908" s="10">
        <v>124520</v>
      </c>
      <c r="U908" s="10">
        <v>2982</v>
      </c>
    </row>
    <row r="909" spans="1:21" x14ac:dyDescent="0.35">
      <c r="A909" t="s">
        <v>15</v>
      </c>
      <c r="B909" t="s">
        <v>20</v>
      </c>
      <c r="C909" t="s">
        <v>21</v>
      </c>
      <c r="D909">
        <v>189166</v>
      </c>
      <c r="E909">
        <v>20636</v>
      </c>
      <c r="F909">
        <v>34430</v>
      </c>
      <c r="G909">
        <v>-154097</v>
      </c>
      <c r="H909">
        <v>90135</v>
      </c>
      <c r="I909">
        <v>83252</v>
      </c>
      <c r="J909">
        <v>1208</v>
      </c>
      <c r="K909">
        <v>432588</v>
      </c>
      <c r="L909">
        <v>160173</v>
      </c>
      <c r="M909">
        <v>-115322</v>
      </c>
      <c r="N909">
        <v>97232</v>
      </c>
      <c r="O909" t="s">
        <v>927</v>
      </c>
      <c r="P909" s="9">
        <v>138690</v>
      </c>
      <c r="Q909" s="9">
        <v>25691</v>
      </c>
      <c r="R909" s="9">
        <v>164381</v>
      </c>
      <c r="S909" s="9">
        <v>-52650</v>
      </c>
      <c r="T909" s="10">
        <v>52483</v>
      </c>
      <c r="U909" s="10">
        <v>1254</v>
      </c>
    </row>
    <row r="910" spans="1:21" x14ac:dyDescent="0.35">
      <c r="A910" t="s">
        <v>15</v>
      </c>
      <c r="B910" t="s">
        <v>16</v>
      </c>
      <c r="C910" t="s">
        <v>17</v>
      </c>
      <c r="D910">
        <v>227227</v>
      </c>
      <c r="E910">
        <v>40709</v>
      </c>
      <c r="F910">
        <v>55085</v>
      </c>
      <c r="G910">
        <v>-183350</v>
      </c>
      <c r="H910">
        <v>139671</v>
      </c>
      <c r="I910">
        <v>140694</v>
      </c>
      <c r="J910">
        <v>1505</v>
      </c>
      <c r="K910">
        <v>813057</v>
      </c>
      <c r="L910">
        <v>113039</v>
      </c>
      <c r="M910">
        <v>-302318</v>
      </c>
      <c r="N910">
        <v>118289</v>
      </c>
      <c r="O910" t="s">
        <v>928</v>
      </c>
      <c r="P910" s="9">
        <v>217374</v>
      </c>
      <c r="Q910" s="9">
        <v>21906</v>
      </c>
      <c r="R910" s="9">
        <v>239280</v>
      </c>
      <c r="S910" s="9">
        <v>-62402</v>
      </c>
      <c r="T910" s="10">
        <v>77050</v>
      </c>
      <c r="U910" s="10">
        <v>1965</v>
      </c>
    </row>
    <row r="911" spans="1:21" x14ac:dyDescent="0.35">
      <c r="A911" t="s">
        <v>15</v>
      </c>
      <c r="B911" t="s">
        <v>16</v>
      </c>
      <c r="C911" t="s">
        <v>21</v>
      </c>
      <c r="D911">
        <v>216583</v>
      </c>
      <c r="E911">
        <v>16238</v>
      </c>
      <c r="F911">
        <v>29333</v>
      </c>
      <c r="G911">
        <v>-207088</v>
      </c>
      <c r="H911">
        <v>55066</v>
      </c>
      <c r="I911">
        <v>56578</v>
      </c>
      <c r="J911">
        <v>1006</v>
      </c>
      <c r="K911">
        <v>523310</v>
      </c>
      <c r="L911">
        <v>55698</v>
      </c>
      <c r="M911">
        <v>-195846</v>
      </c>
      <c r="N911">
        <v>91917</v>
      </c>
      <c r="O911" t="s">
        <v>929</v>
      </c>
      <c r="P911" s="9">
        <v>287483</v>
      </c>
      <c r="Q911" s="9">
        <v>40221</v>
      </c>
      <c r="R911" s="9">
        <v>327704</v>
      </c>
      <c r="S911" s="9">
        <v>-193094</v>
      </c>
      <c r="T911" s="10">
        <v>104521</v>
      </c>
      <c r="U911" s="10">
        <v>2760</v>
      </c>
    </row>
    <row r="912" spans="1:21" x14ac:dyDescent="0.35">
      <c r="A912" t="s">
        <v>15</v>
      </c>
      <c r="B912" t="s">
        <v>16</v>
      </c>
      <c r="C912" t="s">
        <v>21</v>
      </c>
      <c r="D912">
        <v>265861</v>
      </c>
      <c r="E912">
        <v>25701</v>
      </c>
      <c r="F912">
        <v>47927</v>
      </c>
      <c r="G912">
        <v>-246742</v>
      </c>
      <c r="H912">
        <v>92747</v>
      </c>
      <c r="I912">
        <v>90180</v>
      </c>
      <c r="J912">
        <v>1227</v>
      </c>
      <c r="K912">
        <v>812666</v>
      </c>
      <c r="L912">
        <v>295135</v>
      </c>
      <c r="M912">
        <v>-147129</v>
      </c>
      <c r="N912">
        <v>125639</v>
      </c>
      <c r="O912" t="s">
        <v>930</v>
      </c>
      <c r="P912" s="9">
        <v>163893</v>
      </c>
      <c r="Q912" s="9">
        <v>28119</v>
      </c>
      <c r="R912" s="9">
        <v>192012</v>
      </c>
      <c r="S912" s="9">
        <v>-45783</v>
      </c>
      <c r="T912" s="10">
        <v>79928</v>
      </c>
      <c r="U912" s="10">
        <v>2369</v>
      </c>
    </row>
    <row r="913" spans="1:21" x14ac:dyDescent="0.35">
      <c r="A913" t="s">
        <v>15</v>
      </c>
      <c r="B913" t="s">
        <v>16</v>
      </c>
      <c r="C913" t="s">
        <v>17</v>
      </c>
      <c r="D913">
        <v>242746</v>
      </c>
      <c r="E913">
        <v>47543</v>
      </c>
      <c r="F913">
        <v>43695</v>
      </c>
      <c r="G913">
        <v>-219028</v>
      </c>
      <c r="H913">
        <v>114956</v>
      </c>
      <c r="I913">
        <v>118488</v>
      </c>
      <c r="J913">
        <v>3382</v>
      </c>
      <c r="K913">
        <v>671498</v>
      </c>
      <c r="L913">
        <v>191064</v>
      </c>
      <c r="M913">
        <v>-246649</v>
      </c>
      <c r="N913">
        <v>158524</v>
      </c>
      <c r="O913" t="s">
        <v>931</v>
      </c>
      <c r="P913" s="9">
        <v>238134</v>
      </c>
      <c r="Q913" s="9">
        <v>29732</v>
      </c>
      <c r="R913" s="9">
        <v>267866</v>
      </c>
      <c r="S913" s="9">
        <v>-155248</v>
      </c>
      <c r="T913" s="10">
        <v>75437</v>
      </c>
      <c r="U913" s="10">
        <v>1549</v>
      </c>
    </row>
    <row r="914" spans="1:21" x14ac:dyDescent="0.35">
      <c r="A914" t="s">
        <v>15</v>
      </c>
      <c r="B914" t="s">
        <v>16</v>
      </c>
      <c r="C914" t="s">
        <v>17</v>
      </c>
      <c r="D914">
        <v>290286</v>
      </c>
      <c r="E914">
        <v>40484</v>
      </c>
      <c r="F914">
        <v>30589</v>
      </c>
      <c r="G914">
        <v>-246126</v>
      </c>
      <c r="H914">
        <v>115233</v>
      </c>
      <c r="I914">
        <v>119580</v>
      </c>
      <c r="J914">
        <v>1231</v>
      </c>
      <c r="K914">
        <v>926358</v>
      </c>
      <c r="L914">
        <v>152734</v>
      </c>
      <c r="M914">
        <v>-329655</v>
      </c>
      <c r="N914">
        <v>217067</v>
      </c>
      <c r="O914" t="s">
        <v>932</v>
      </c>
      <c r="P914" s="9">
        <v>247518</v>
      </c>
      <c r="Q914" s="9">
        <v>40873</v>
      </c>
      <c r="R914" s="9">
        <v>288391</v>
      </c>
      <c r="S914" s="9">
        <v>-166432</v>
      </c>
      <c r="T914" s="10">
        <v>69740</v>
      </c>
      <c r="U914" s="10">
        <v>1880</v>
      </c>
    </row>
    <row r="915" spans="1:21" x14ac:dyDescent="0.35">
      <c r="A915" t="s">
        <v>15</v>
      </c>
      <c r="B915" t="s">
        <v>16</v>
      </c>
      <c r="C915" t="s">
        <v>21</v>
      </c>
      <c r="D915">
        <v>262957</v>
      </c>
      <c r="E915">
        <v>17192</v>
      </c>
      <c r="F915">
        <v>59479</v>
      </c>
      <c r="G915">
        <v>-245483</v>
      </c>
      <c r="H915">
        <v>94145</v>
      </c>
      <c r="I915">
        <v>87685</v>
      </c>
      <c r="J915">
        <v>2486</v>
      </c>
      <c r="K915">
        <v>990270</v>
      </c>
      <c r="L915">
        <v>293631</v>
      </c>
      <c r="M915">
        <v>-195401</v>
      </c>
      <c r="N915">
        <v>234076</v>
      </c>
      <c r="O915" t="s">
        <v>933</v>
      </c>
      <c r="P915" s="9">
        <v>283409</v>
      </c>
      <c r="Q915" s="9">
        <v>41566</v>
      </c>
      <c r="R915" s="9">
        <v>324975</v>
      </c>
      <c r="S915" s="9">
        <v>-84887</v>
      </c>
      <c r="T915" s="10">
        <v>87719</v>
      </c>
      <c r="U915" s="10">
        <v>2371</v>
      </c>
    </row>
    <row r="916" spans="1:21" x14ac:dyDescent="0.35">
      <c r="A916" t="s">
        <v>15</v>
      </c>
      <c r="B916" t="s">
        <v>20</v>
      </c>
      <c r="C916" t="s">
        <v>21</v>
      </c>
      <c r="D916">
        <v>168597</v>
      </c>
      <c r="E916">
        <v>13093</v>
      </c>
      <c r="F916">
        <v>17688</v>
      </c>
      <c r="G916">
        <v>-160591</v>
      </c>
      <c r="H916">
        <v>38787</v>
      </c>
      <c r="I916">
        <v>38226</v>
      </c>
      <c r="J916">
        <v>846</v>
      </c>
      <c r="K916">
        <v>635308</v>
      </c>
      <c r="L916">
        <v>268808</v>
      </c>
      <c r="M916">
        <v>-108235</v>
      </c>
      <c r="N916">
        <v>130827</v>
      </c>
      <c r="O916" t="s">
        <v>934</v>
      </c>
      <c r="P916" s="9">
        <v>219284</v>
      </c>
      <c r="Q916" s="9">
        <v>13716</v>
      </c>
      <c r="R916" s="9">
        <v>233000</v>
      </c>
      <c r="S916" s="9">
        <v>-125741</v>
      </c>
      <c r="T916" s="10">
        <v>54561</v>
      </c>
      <c r="U916" s="10">
        <v>1573</v>
      </c>
    </row>
    <row r="917" spans="1:21" x14ac:dyDescent="0.35">
      <c r="A917" t="s">
        <v>15</v>
      </c>
      <c r="B917" t="s">
        <v>20</v>
      </c>
      <c r="C917" t="s">
        <v>21</v>
      </c>
      <c r="D917">
        <v>206333</v>
      </c>
      <c r="E917">
        <v>35511</v>
      </c>
      <c r="F917">
        <v>39748</v>
      </c>
      <c r="G917">
        <v>-178807</v>
      </c>
      <c r="H917">
        <v>102785</v>
      </c>
      <c r="I917">
        <v>102273</v>
      </c>
      <c r="J917">
        <v>2923</v>
      </c>
      <c r="K917">
        <v>741278</v>
      </c>
      <c r="L917">
        <v>266698</v>
      </c>
      <c r="M917">
        <v>-210097</v>
      </c>
      <c r="N917">
        <v>116099</v>
      </c>
      <c r="O917" t="s">
        <v>935</v>
      </c>
      <c r="P917" s="9">
        <v>271670</v>
      </c>
      <c r="Q917" s="9">
        <v>42554</v>
      </c>
      <c r="R917" s="9">
        <v>314224</v>
      </c>
      <c r="S917" s="9">
        <v>-179249</v>
      </c>
      <c r="T917" s="10">
        <v>110402</v>
      </c>
      <c r="U917" s="10">
        <v>2107</v>
      </c>
    </row>
    <row r="918" spans="1:21" x14ac:dyDescent="0.35">
      <c r="A918" t="s">
        <v>15</v>
      </c>
      <c r="B918" t="s">
        <v>16</v>
      </c>
      <c r="C918" t="s">
        <v>21</v>
      </c>
      <c r="D918">
        <v>239920</v>
      </c>
      <c r="E918">
        <v>45514</v>
      </c>
      <c r="F918">
        <v>28944</v>
      </c>
      <c r="G918">
        <v>-221361</v>
      </c>
      <c r="H918">
        <v>93017</v>
      </c>
      <c r="I918">
        <v>84271</v>
      </c>
      <c r="J918">
        <v>1121</v>
      </c>
      <c r="K918">
        <v>489217</v>
      </c>
      <c r="L918">
        <v>244359</v>
      </c>
      <c r="M918">
        <v>-88463</v>
      </c>
      <c r="N918">
        <v>135322</v>
      </c>
      <c r="O918" t="s">
        <v>936</v>
      </c>
      <c r="P918" s="9">
        <v>176155</v>
      </c>
      <c r="Q918" s="9">
        <v>18482</v>
      </c>
      <c r="R918" s="9">
        <v>194637</v>
      </c>
      <c r="S918" s="9">
        <v>-55990</v>
      </c>
      <c r="T918" s="10">
        <v>78674</v>
      </c>
      <c r="U918" s="10">
        <v>1567</v>
      </c>
    </row>
    <row r="919" spans="1:21" x14ac:dyDescent="0.35">
      <c r="A919" t="s">
        <v>15</v>
      </c>
      <c r="B919" t="s">
        <v>16</v>
      </c>
      <c r="C919" t="s">
        <v>21</v>
      </c>
      <c r="D919">
        <v>252926</v>
      </c>
      <c r="E919">
        <v>25548</v>
      </c>
      <c r="F919">
        <v>42399</v>
      </c>
      <c r="G919">
        <v>-232181</v>
      </c>
      <c r="H919">
        <v>88692</v>
      </c>
      <c r="I919">
        <v>79988</v>
      </c>
      <c r="J919">
        <v>2305</v>
      </c>
      <c r="K919">
        <v>906969</v>
      </c>
      <c r="L919">
        <v>274288</v>
      </c>
      <c r="M919">
        <v>-325152</v>
      </c>
      <c r="N919">
        <v>98851</v>
      </c>
      <c r="O919" t="s">
        <v>937</v>
      </c>
      <c r="P919" s="9">
        <v>233848</v>
      </c>
      <c r="Q919" s="9">
        <v>25215</v>
      </c>
      <c r="R919" s="9">
        <v>259063</v>
      </c>
      <c r="S919" s="9">
        <v>-52398</v>
      </c>
      <c r="T919" s="10">
        <v>111077</v>
      </c>
      <c r="U919" s="10">
        <v>2519</v>
      </c>
    </row>
    <row r="920" spans="1:21" x14ac:dyDescent="0.35">
      <c r="A920" t="s">
        <v>15</v>
      </c>
      <c r="B920" t="s">
        <v>20</v>
      </c>
      <c r="C920" t="s">
        <v>17</v>
      </c>
      <c r="D920">
        <v>277364</v>
      </c>
      <c r="E920">
        <v>53181</v>
      </c>
      <c r="F920">
        <v>38571</v>
      </c>
      <c r="G920">
        <v>-254593</v>
      </c>
      <c r="H920">
        <v>114523</v>
      </c>
      <c r="I920">
        <v>118813</v>
      </c>
      <c r="J920">
        <v>1328</v>
      </c>
      <c r="K920">
        <v>790539</v>
      </c>
      <c r="L920">
        <v>152474</v>
      </c>
      <c r="M920">
        <v>-109109</v>
      </c>
      <c r="N920">
        <v>112116</v>
      </c>
      <c r="O920" t="s">
        <v>938</v>
      </c>
      <c r="P920" s="9">
        <v>175086</v>
      </c>
      <c r="Q920" s="9">
        <v>22671</v>
      </c>
      <c r="R920" s="9">
        <v>197757</v>
      </c>
      <c r="S920" s="9">
        <v>-40004</v>
      </c>
      <c r="T920" s="10">
        <v>73122</v>
      </c>
      <c r="U920" s="10">
        <v>1786</v>
      </c>
    </row>
    <row r="921" spans="1:21" x14ac:dyDescent="0.35">
      <c r="A921" t="s">
        <v>15</v>
      </c>
      <c r="B921" t="s">
        <v>16</v>
      </c>
      <c r="C921" t="s">
        <v>17</v>
      </c>
      <c r="D921">
        <v>191419</v>
      </c>
      <c r="E921">
        <v>32347</v>
      </c>
      <c r="F921">
        <v>34838</v>
      </c>
      <c r="G921">
        <v>-185550</v>
      </c>
      <c r="H921">
        <v>73054</v>
      </c>
      <c r="I921">
        <v>67460</v>
      </c>
      <c r="J921">
        <v>1463</v>
      </c>
      <c r="K921">
        <v>544887</v>
      </c>
      <c r="L921">
        <v>104550</v>
      </c>
      <c r="M921">
        <v>-90246</v>
      </c>
      <c r="N921">
        <v>130006</v>
      </c>
      <c r="O921" t="s">
        <v>939</v>
      </c>
      <c r="P921" s="9">
        <v>226292</v>
      </c>
      <c r="Q921" s="9">
        <v>51056</v>
      </c>
      <c r="R921" s="9">
        <v>277348</v>
      </c>
      <c r="S921" s="9">
        <v>-62876</v>
      </c>
      <c r="T921" s="10">
        <v>103923</v>
      </c>
      <c r="U921" s="10">
        <v>2179</v>
      </c>
    </row>
    <row r="922" spans="1:21" x14ac:dyDescent="0.35">
      <c r="A922" t="s">
        <v>15</v>
      </c>
      <c r="B922" t="s">
        <v>20</v>
      </c>
      <c r="C922" t="s">
        <v>17</v>
      </c>
      <c r="D922">
        <v>281429</v>
      </c>
      <c r="E922">
        <v>40402</v>
      </c>
      <c r="F922">
        <v>50803</v>
      </c>
      <c r="G922">
        <v>-250937</v>
      </c>
      <c r="H922">
        <v>121697</v>
      </c>
      <c r="I922">
        <v>120707</v>
      </c>
      <c r="J922">
        <v>1466</v>
      </c>
      <c r="K922">
        <v>570564</v>
      </c>
      <c r="L922">
        <v>96649</v>
      </c>
      <c r="M922">
        <v>-151476</v>
      </c>
      <c r="N922">
        <v>91400</v>
      </c>
      <c r="O922" t="s">
        <v>940</v>
      </c>
      <c r="P922" s="9">
        <v>266834</v>
      </c>
      <c r="Q922" s="9">
        <v>44592</v>
      </c>
      <c r="R922" s="9">
        <v>311426</v>
      </c>
      <c r="S922" s="9">
        <v>-126128</v>
      </c>
      <c r="T922" s="10">
        <v>130230</v>
      </c>
      <c r="U922" s="10">
        <v>2797</v>
      </c>
    </row>
    <row r="923" spans="1:21" x14ac:dyDescent="0.35">
      <c r="A923" t="s">
        <v>15</v>
      </c>
      <c r="B923" t="s">
        <v>20</v>
      </c>
      <c r="C923" t="s">
        <v>21</v>
      </c>
      <c r="D923">
        <v>220569</v>
      </c>
      <c r="E923">
        <v>24207</v>
      </c>
      <c r="F923">
        <v>38442</v>
      </c>
      <c r="G923">
        <v>-205996</v>
      </c>
      <c r="H923">
        <v>77222</v>
      </c>
      <c r="I923">
        <v>77697</v>
      </c>
      <c r="J923">
        <v>1989</v>
      </c>
      <c r="K923">
        <v>553032</v>
      </c>
      <c r="L923">
        <v>142551</v>
      </c>
      <c r="M923">
        <v>-153847</v>
      </c>
      <c r="N923">
        <v>114149</v>
      </c>
      <c r="O923" t="s">
        <v>941</v>
      </c>
      <c r="P923" s="9">
        <v>294816</v>
      </c>
      <c r="Q923" s="9">
        <v>18320</v>
      </c>
      <c r="R923" s="9">
        <v>313136</v>
      </c>
      <c r="S923" s="9">
        <v>-185922</v>
      </c>
      <c r="T923" s="10">
        <v>86508</v>
      </c>
      <c r="U923" s="10">
        <v>2257</v>
      </c>
    </row>
    <row r="924" spans="1:21" x14ac:dyDescent="0.35">
      <c r="A924" t="s">
        <v>15</v>
      </c>
      <c r="B924" t="s">
        <v>20</v>
      </c>
      <c r="C924" t="s">
        <v>21</v>
      </c>
      <c r="D924">
        <v>298272</v>
      </c>
      <c r="E924">
        <v>40661</v>
      </c>
      <c r="F924">
        <v>48414</v>
      </c>
      <c r="G924">
        <v>-243716</v>
      </c>
      <c r="H924">
        <v>143631</v>
      </c>
      <c r="I924">
        <v>137573</v>
      </c>
      <c r="J924">
        <v>3278</v>
      </c>
      <c r="K924">
        <v>663318</v>
      </c>
      <c r="L924">
        <v>309147</v>
      </c>
      <c r="M924">
        <v>-217224</v>
      </c>
      <c r="N924">
        <v>263253</v>
      </c>
      <c r="O924" t="s">
        <v>942</v>
      </c>
      <c r="P924" s="9">
        <v>192880</v>
      </c>
      <c r="Q924" s="9">
        <v>26270</v>
      </c>
      <c r="R924" s="9">
        <v>219150</v>
      </c>
      <c r="S924" s="9">
        <v>-105742</v>
      </c>
      <c r="T924" s="10">
        <v>68205</v>
      </c>
      <c r="U924" s="10">
        <v>1888</v>
      </c>
    </row>
    <row r="925" spans="1:21" x14ac:dyDescent="0.35">
      <c r="A925" t="s">
        <v>15</v>
      </c>
      <c r="B925" t="s">
        <v>16</v>
      </c>
      <c r="C925" t="s">
        <v>21</v>
      </c>
      <c r="D925">
        <v>177822</v>
      </c>
      <c r="E925">
        <v>9318</v>
      </c>
      <c r="F925">
        <v>28993</v>
      </c>
      <c r="G925">
        <v>-145096</v>
      </c>
      <c r="H925">
        <v>71037</v>
      </c>
      <c r="I925">
        <v>74488</v>
      </c>
      <c r="J925">
        <v>1492</v>
      </c>
      <c r="K925">
        <v>382478</v>
      </c>
      <c r="L925">
        <v>82061</v>
      </c>
      <c r="M925">
        <v>-136946</v>
      </c>
      <c r="N925">
        <v>79421</v>
      </c>
      <c r="O925" t="s">
        <v>943</v>
      </c>
      <c r="P925" s="9">
        <v>209415</v>
      </c>
      <c r="Q925" s="9">
        <v>36884</v>
      </c>
      <c r="R925" s="9">
        <v>246299</v>
      </c>
      <c r="S925" s="9">
        <v>-61952</v>
      </c>
      <c r="T925" s="10">
        <v>100229</v>
      </c>
      <c r="U925" s="10">
        <v>1028</v>
      </c>
    </row>
    <row r="926" spans="1:21" x14ac:dyDescent="0.35">
      <c r="A926" t="s">
        <v>15</v>
      </c>
      <c r="B926" t="s">
        <v>16</v>
      </c>
      <c r="C926" t="s">
        <v>21</v>
      </c>
      <c r="D926">
        <v>248640</v>
      </c>
      <c r="E926">
        <v>25100</v>
      </c>
      <c r="F926">
        <v>33337</v>
      </c>
      <c r="G926">
        <v>-225774</v>
      </c>
      <c r="H926">
        <v>81303</v>
      </c>
      <c r="I926">
        <v>77328</v>
      </c>
      <c r="J926">
        <v>1920</v>
      </c>
      <c r="K926">
        <v>793337</v>
      </c>
      <c r="L926">
        <v>170437</v>
      </c>
      <c r="M926">
        <v>-99648</v>
      </c>
      <c r="N926">
        <v>89161</v>
      </c>
      <c r="O926" t="s">
        <v>944</v>
      </c>
      <c r="P926" s="9">
        <v>171530</v>
      </c>
      <c r="Q926" s="9">
        <v>29451</v>
      </c>
      <c r="R926" s="9">
        <v>200981</v>
      </c>
      <c r="S926" s="9">
        <v>-109475</v>
      </c>
      <c r="T926" s="10">
        <v>71304</v>
      </c>
      <c r="U926" s="10">
        <v>1152</v>
      </c>
    </row>
    <row r="927" spans="1:21" x14ac:dyDescent="0.35">
      <c r="A927" t="s">
        <v>15</v>
      </c>
      <c r="B927" t="s">
        <v>16</v>
      </c>
      <c r="C927" t="s">
        <v>17</v>
      </c>
      <c r="D927">
        <v>229647</v>
      </c>
      <c r="E927">
        <v>43391</v>
      </c>
      <c r="F927">
        <v>38313</v>
      </c>
      <c r="G927">
        <v>-192892</v>
      </c>
      <c r="H927">
        <v>118459</v>
      </c>
      <c r="I927">
        <v>121304</v>
      </c>
      <c r="J927">
        <v>2281</v>
      </c>
      <c r="K927">
        <v>792543</v>
      </c>
      <c r="L927">
        <v>254470</v>
      </c>
      <c r="M927">
        <v>-240460</v>
      </c>
      <c r="N927">
        <v>127995</v>
      </c>
      <c r="O927" t="s">
        <v>945</v>
      </c>
      <c r="P927" s="9">
        <v>303097</v>
      </c>
      <c r="Q927" s="9">
        <v>23443</v>
      </c>
      <c r="R927" s="9">
        <v>326540</v>
      </c>
      <c r="S927" s="9">
        <v>-108647</v>
      </c>
      <c r="T927" s="10">
        <v>100007</v>
      </c>
      <c r="U927" s="10">
        <v>2923</v>
      </c>
    </row>
    <row r="928" spans="1:21" x14ac:dyDescent="0.35">
      <c r="A928" t="s">
        <v>15</v>
      </c>
      <c r="B928" t="s">
        <v>16</v>
      </c>
      <c r="C928" t="s">
        <v>17</v>
      </c>
      <c r="D928">
        <v>210469</v>
      </c>
      <c r="E928">
        <v>17241</v>
      </c>
      <c r="F928">
        <v>21406</v>
      </c>
      <c r="G928">
        <v>-170278</v>
      </c>
      <c r="H928">
        <v>78838</v>
      </c>
      <c r="I928">
        <v>75475</v>
      </c>
      <c r="J928">
        <v>1502</v>
      </c>
      <c r="K928">
        <v>490876</v>
      </c>
      <c r="L928">
        <v>222934</v>
      </c>
      <c r="M928">
        <v>-147368</v>
      </c>
      <c r="N928">
        <v>115864</v>
      </c>
      <c r="O928" t="s">
        <v>946</v>
      </c>
      <c r="P928" s="9">
        <v>259847</v>
      </c>
      <c r="Q928" s="9">
        <v>48920</v>
      </c>
      <c r="R928" s="9">
        <v>308767</v>
      </c>
      <c r="S928" s="9">
        <v>-67285</v>
      </c>
      <c r="T928" s="10">
        <v>105948</v>
      </c>
      <c r="U928" s="10">
        <v>1554</v>
      </c>
    </row>
    <row r="929" spans="1:21" x14ac:dyDescent="0.35">
      <c r="A929" t="s">
        <v>15</v>
      </c>
      <c r="B929" t="s">
        <v>20</v>
      </c>
      <c r="C929" t="s">
        <v>17</v>
      </c>
      <c r="D929">
        <v>166040</v>
      </c>
      <c r="E929">
        <v>8655</v>
      </c>
      <c r="F929">
        <v>35925</v>
      </c>
      <c r="G929">
        <v>-162690</v>
      </c>
      <c r="H929">
        <v>47930</v>
      </c>
      <c r="I929">
        <v>49160</v>
      </c>
      <c r="J929">
        <v>1149</v>
      </c>
      <c r="K929">
        <v>632729</v>
      </c>
      <c r="L929">
        <v>92850</v>
      </c>
      <c r="M929">
        <v>-63758</v>
      </c>
      <c r="N929">
        <v>126826</v>
      </c>
      <c r="O929" t="s">
        <v>947</v>
      </c>
      <c r="P929" s="9">
        <v>283983</v>
      </c>
      <c r="Q929" s="9">
        <v>22888</v>
      </c>
      <c r="R929" s="9">
        <v>306871</v>
      </c>
      <c r="S929" s="9">
        <v>-128720</v>
      </c>
      <c r="T929" s="10">
        <v>77811</v>
      </c>
      <c r="U929" s="10">
        <v>1884</v>
      </c>
    </row>
    <row r="930" spans="1:21" x14ac:dyDescent="0.35">
      <c r="A930" t="s">
        <v>15</v>
      </c>
      <c r="B930" t="s">
        <v>16</v>
      </c>
      <c r="C930" t="s">
        <v>21</v>
      </c>
      <c r="D930">
        <v>208014</v>
      </c>
      <c r="E930">
        <v>33665</v>
      </c>
      <c r="F930">
        <v>22605</v>
      </c>
      <c r="G930">
        <v>-194951</v>
      </c>
      <c r="H930">
        <v>69333</v>
      </c>
      <c r="I930">
        <v>71577</v>
      </c>
      <c r="J930">
        <v>1819</v>
      </c>
      <c r="K930">
        <v>492678</v>
      </c>
      <c r="L930">
        <v>219436</v>
      </c>
      <c r="M930">
        <v>-51206</v>
      </c>
      <c r="N930">
        <v>96298</v>
      </c>
      <c r="O930" t="s">
        <v>948</v>
      </c>
      <c r="P930" s="9">
        <v>239951</v>
      </c>
      <c r="Q930" s="9">
        <v>23820</v>
      </c>
      <c r="R930" s="9">
        <v>263771</v>
      </c>
      <c r="S930" s="9">
        <v>-113669</v>
      </c>
      <c r="T930" s="10">
        <v>80325</v>
      </c>
      <c r="U930" s="10">
        <v>2303</v>
      </c>
    </row>
    <row r="931" spans="1:21" x14ac:dyDescent="0.35">
      <c r="A931" t="s">
        <v>15</v>
      </c>
      <c r="B931" t="s">
        <v>16</v>
      </c>
      <c r="C931" t="s">
        <v>17</v>
      </c>
      <c r="D931">
        <v>212041</v>
      </c>
      <c r="E931">
        <v>34410</v>
      </c>
      <c r="F931">
        <v>45480</v>
      </c>
      <c r="G931">
        <v>-207008</v>
      </c>
      <c r="H931">
        <v>84923</v>
      </c>
      <c r="I931">
        <v>83144</v>
      </c>
      <c r="J931">
        <v>1287</v>
      </c>
      <c r="K931">
        <v>507510</v>
      </c>
      <c r="L931">
        <v>158643</v>
      </c>
      <c r="M931">
        <v>-57337</v>
      </c>
      <c r="N931">
        <v>101057</v>
      </c>
      <c r="O931" t="s">
        <v>949</v>
      </c>
      <c r="P931" s="9">
        <v>165387</v>
      </c>
      <c r="Q931" s="9">
        <v>23698</v>
      </c>
      <c r="R931" s="9">
        <v>189085</v>
      </c>
      <c r="S931" s="9">
        <v>-92210</v>
      </c>
      <c r="T931" s="10">
        <v>81222</v>
      </c>
      <c r="U931" s="10">
        <v>2237</v>
      </c>
    </row>
    <row r="932" spans="1:21" x14ac:dyDescent="0.35">
      <c r="A932" t="s">
        <v>15</v>
      </c>
      <c r="B932" t="s">
        <v>16</v>
      </c>
      <c r="C932" t="s">
        <v>17</v>
      </c>
      <c r="D932">
        <v>262080</v>
      </c>
      <c r="E932">
        <v>46642</v>
      </c>
      <c r="F932">
        <v>38055</v>
      </c>
      <c r="G932">
        <v>-233067</v>
      </c>
      <c r="H932">
        <v>113710</v>
      </c>
      <c r="I932">
        <v>116820</v>
      </c>
      <c r="J932">
        <v>3113</v>
      </c>
      <c r="K932">
        <v>590866</v>
      </c>
      <c r="L932">
        <v>78794</v>
      </c>
      <c r="M932">
        <v>-159048</v>
      </c>
      <c r="N932">
        <v>152890</v>
      </c>
      <c r="O932" t="s">
        <v>950</v>
      </c>
      <c r="P932" s="9">
        <v>217905</v>
      </c>
      <c r="Q932" s="9">
        <v>43820</v>
      </c>
      <c r="R932" s="9">
        <v>261725</v>
      </c>
      <c r="S932" s="9">
        <v>-64979</v>
      </c>
      <c r="T932" s="10">
        <v>112010</v>
      </c>
      <c r="U932" s="10">
        <v>1696</v>
      </c>
    </row>
    <row r="933" spans="1:21" x14ac:dyDescent="0.35">
      <c r="A933" t="s">
        <v>15</v>
      </c>
      <c r="B933" t="s">
        <v>16</v>
      </c>
      <c r="C933" t="s">
        <v>21</v>
      </c>
      <c r="D933">
        <v>185424</v>
      </c>
      <c r="E933">
        <v>13233</v>
      </c>
      <c r="F933">
        <v>33575</v>
      </c>
      <c r="G933">
        <v>-174362</v>
      </c>
      <c r="H933">
        <v>57870</v>
      </c>
      <c r="I933">
        <v>53361</v>
      </c>
      <c r="J933">
        <v>1289</v>
      </c>
      <c r="K933">
        <v>471217</v>
      </c>
      <c r="L933">
        <v>87342</v>
      </c>
      <c r="M933">
        <v>-96906</v>
      </c>
      <c r="N933">
        <v>83525</v>
      </c>
      <c r="O933" t="s">
        <v>951</v>
      </c>
      <c r="P933" s="9">
        <v>150986</v>
      </c>
      <c r="Q933" s="9">
        <v>20195</v>
      </c>
      <c r="R933" s="9">
        <v>171181</v>
      </c>
      <c r="S933" s="9">
        <v>-47992</v>
      </c>
      <c r="T933" s="10">
        <v>53703</v>
      </c>
      <c r="U933" s="10">
        <v>959</v>
      </c>
    </row>
    <row r="934" spans="1:21" x14ac:dyDescent="0.35">
      <c r="A934" t="s">
        <v>15</v>
      </c>
      <c r="B934" t="s">
        <v>20</v>
      </c>
      <c r="C934" t="s">
        <v>17</v>
      </c>
      <c r="D934">
        <v>202539</v>
      </c>
      <c r="E934">
        <v>27759</v>
      </c>
      <c r="F934">
        <v>46052</v>
      </c>
      <c r="G934">
        <v>-189852</v>
      </c>
      <c r="H934">
        <v>86498</v>
      </c>
      <c r="I934">
        <v>78542</v>
      </c>
      <c r="J934">
        <v>2185</v>
      </c>
      <c r="K934">
        <v>514059</v>
      </c>
      <c r="L934">
        <v>83166</v>
      </c>
      <c r="M934">
        <v>-56278</v>
      </c>
      <c r="N934">
        <v>67998</v>
      </c>
      <c r="O934" t="s">
        <v>952</v>
      </c>
      <c r="P934" s="9">
        <v>260551</v>
      </c>
      <c r="Q934" s="9">
        <v>25215</v>
      </c>
      <c r="R934" s="9">
        <v>285766</v>
      </c>
      <c r="S934" s="9">
        <v>-126431</v>
      </c>
      <c r="T934" s="10">
        <v>108669</v>
      </c>
      <c r="U934" s="10">
        <v>2457</v>
      </c>
    </row>
    <row r="935" spans="1:21" x14ac:dyDescent="0.35">
      <c r="A935" t="s">
        <v>15</v>
      </c>
      <c r="B935" t="s">
        <v>20</v>
      </c>
      <c r="C935" t="s">
        <v>21</v>
      </c>
      <c r="D935">
        <v>242248</v>
      </c>
      <c r="E935">
        <v>32422</v>
      </c>
      <c r="F935">
        <v>51346</v>
      </c>
      <c r="G935">
        <v>-221886</v>
      </c>
      <c r="H935">
        <v>104130</v>
      </c>
      <c r="I935">
        <v>104043</v>
      </c>
      <c r="J935">
        <v>2168</v>
      </c>
      <c r="K935">
        <v>696940</v>
      </c>
      <c r="L935">
        <v>285502</v>
      </c>
      <c r="M935">
        <v>-149216</v>
      </c>
      <c r="N935">
        <v>89574</v>
      </c>
      <c r="O935" t="s">
        <v>953</v>
      </c>
      <c r="P935" s="9">
        <v>187858</v>
      </c>
      <c r="Q935" s="9">
        <v>10235</v>
      </c>
      <c r="R935" s="9">
        <v>198093</v>
      </c>
      <c r="S935" s="9">
        <v>-97037</v>
      </c>
      <c r="T935" s="10">
        <v>60673</v>
      </c>
      <c r="U935" s="10">
        <v>955</v>
      </c>
    </row>
    <row r="936" spans="1:21" x14ac:dyDescent="0.35">
      <c r="A936" t="s">
        <v>15</v>
      </c>
      <c r="B936" t="s">
        <v>20</v>
      </c>
      <c r="C936" t="s">
        <v>21</v>
      </c>
      <c r="D936">
        <v>215363</v>
      </c>
      <c r="E936">
        <v>15122</v>
      </c>
      <c r="F936">
        <v>42237</v>
      </c>
      <c r="G936">
        <v>-206975</v>
      </c>
      <c r="H936">
        <v>65747</v>
      </c>
      <c r="I936">
        <v>65958</v>
      </c>
      <c r="J936">
        <v>1664</v>
      </c>
      <c r="K936">
        <v>503776</v>
      </c>
      <c r="L936">
        <v>61254</v>
      </c>
      <c r="M936">
        <v>-129608</v>
      </c>
      <c r="N936">
        <v>176697</v>
      </c>
      <c r="O936" t="s">
        <v>954</v>
      </c>
      <c r="P936" s="9">
        <v>214899</v>
      </c>
      <c r="Q936" s="9">
        <v>33210</v>
      </c>
      <c r="R936" s="9">
        <v>248109</v>
      </c>
      <c r="S936" s="9">
        <v>-94355</v>
      </c>
      <c r="T936" s="10">
        <v>90074</v>
      </c>
      <c r="U936" s="10">
        <v>2607</v>
      </c>
    </row>
    <row r="937" spans="1:21" x14ac:dyDescent="0.35">
      <c r="A937" t="s">
        <v>15</v>
      </c>
      <c r="B937" t="s">
        <v>20</v>
      </c>
      <c r="C937" t="s">
        <v>21</v>
      </c>
      <c r="D937">
        <v>205965</v>
      </c>
      <c r="E937">
        <v>25770</v>
      </c>
      <c r="F937">
        <v>21477</v>
      </c>
      <c r="G937">
        <v>-205237</v>
      </c>
      <c r="H937">
        <v>47975</v>
      </c>
      <c r="I937">
        <v>50292</v>
      </c>
      <c r="J937">
        <v>519</v>
      </c>
      <c r="K937">
        <v>519305</v>
      </c>
      <c r="L937">
        <v>74101</v>
      </c>
      <c r="M937">
        <v>-80548</v>
      </c>
      <c r="N937">
        <v>137421</v>
      </c>
      <c r="O937" t="s">
        <v>955</v>
      </c>
      <c r="P937" s="9">
        <v>153708</v>
      </c>
      <c r="Q937" s="9">
        <v>16137</v>
      </c>
      <c r="R937" s="9">
        <v>169845</v>
      </c>
      <c r="S937" s="9">
        <v>-59189</v>
      </c>
      <c r="T937" s="10">
        <v>65187</v>
      </c>
      <c r="U937" s="10">
        <v>1732</v>
      </c>
    </row>
    <row r="938" spans="1:21" x14ac:dyDescent="0.35">
      <c r="A938" t="s">
        <v>15</v>
      </c>
      <c r="B938" t="s">
        <v>16</v>
      </c>
      <c r="C938" t="s">
        <v>21</v>
      </c>
      <c r="D938">
        <v>161359</v>
      </c>
      <c r="E938">
        <v>15712</v>
      </c>
      <c r="F938">
        <v>39228</v>
      </c>
      <c r="G938">
        <v>-143554</v>
      </c>
      <c r="H938">
        <v>72745</v>
      </c>
      <c r="I938">
        <v>65584</v>
      </c>
      <c r="J938">
        <v>1121</v>
      </c>
      <c r="K938">
        <v>552378</v>
      </c>
      <c r="L938">
        <v>206865</v>
      </c>
      <c r="M938">
        <v>-93877</v>
      </c>
      <c r="N938">
        <v>136239</v>
      </c>
      <c r="O938" t="s">
        <v>956</v>
      </c>
      <c r="P938" s="9">
        <v>163686</v>
      </c>
      <c r="Q938" s="9">
        <v>16166</v>
      </c>
      <c r="R938" s="9">
        <v>179852</v>
      </c>
      <c r="S938" s="9">
        <v>-96267</v>
      </c>
      <c r="T938" s="10">
        <v>65249</v>
      </c>
      <c r="U938" s="10">
        <v>1068</v>
      </c>
    </row>
    <row r="939" spans="1:21" x14ac:dyDescent="0.35">
      <c r="A939" t="s">
        <v>15</v>
      </c>
      <c r="B939" t="s">
        <v>16</v>
      </c>
      <c r="C939" t="s">
        <v>21</v>
      </c>
      <c r="D939">
        <v>254651</v>
      </c>
      <c r="E939">
        <v>34073</v>
      </c>
      <c r="F939">
        <v>25967</v>
      </c>
      <c r="G939">
        <v>-234610</v>
      </c>
      <c r="H939">
        <v>80081</v>
      </c>
      <c r="I939">
        <v>76755</v>
      </c>
      <c r="J939">
        <v>1611</v>
      </c>
      <c r="K939">
        <v>521748</v>
      </c>
      <c r="L939">
        <v>88920</v>
      </c>
      <c r="M939">
        <v>-155581</v>
      </c>
      <c r="N939">
        <v>208944</v>
      </c>
      <c r="O939" t="s">
        <v>957</v>
      </c>
      <c r="P939" s="9">
        <v>167022</v>
      </c>
      <c r="Q939" s="9">
        <v>20620</v>
      </c>
      <c r="R939" s="9">
        <v>187642</v>
      </c>
      <c r="S939" s="9">
        <v>-90627</v>
      </c>
      <c r="T939" s="10">
        <v>46913</v>
      </c>
      <c r="U939" s="10">
        <v>653</v>
      </c>
    </row>
    <row r="940" spans="1:21" x14ac:dyDescent="0.35">
      <c r="A940" t="s">
        <v>15</v>
      </c>
      <c r="B940" t="s">
        <v>16</v>
      </c>
      <c r="C940" t="s">
        <v>21</v>
      </c>
      <c r="D940">
        <v>232257</v>
      </c>
      <c r="E940">
        <v>42670</v>
      </c>
      <c r="F940">
        <v>57236</v>
      </c>
      <c r="G940">
        <v>-202475</v>
      </c>
      <c r="H940">
        <v>129688</v>
      </c>
      <c r="I940">
        <v>120326</v>
      </c>
      <c r="J940">
        <v>3294</v>
      </c>
      <c r="K940">
        <v>627862</v>
      </c>
      <c r="L940">
        <v>217536</v>
      </c>
      <c r="M940">
        <v>-141979</v>
      </c>
      <c r="N940">
        <v>90952</v>
      </c>
      <c r="O940" t="s">
        <v>958</v>
      </c>
      <c r="P940" s="9">
        <v>307718</v>
      </c>
      <c r="Q940" s="9">
        <v>31460</v>
      </c>
      <c r="R940" s="9">
        <v>339178</v>
      </c>
      <c r="S940" s="9">
        <v>-82336</v>
      </c>
      <c r="T940" s="10">
        <v>151701</v>
      </c>
      <c r="U940" s="10">
        <v>1904</v>
      </c>
    </row>
    <row r="941" spans="1:21" x14ac:dyDescent="0.35">
      <c r="A941" t="s">
        <v>15</v>
      </c>
      <c r="B941" t="s">
        <v>20</v>
      </c>
      <c r="C941" t="s">
        <v>21</v>
      </c>
      <c r="D941">
        <v>178004</v>
      </c>
      <c r="E941">
        <v>25704</v>
      </c>
      <c r="F941">
        <v>24227</v>
      </c>
      <c r="G941">
        <v>-155042</v>
      </c>
      <c r="H941">
        <v>72893</v>
      </c>
      <c r="I941">
        <v>75482</v>
      </c>
      <c r="J941">
        <v>1108</v>
      </c>
      <c r="K941">
        <v>671228</v>
      </c>
      <c r="L941">
        <v>194353</v>
      </c>
      <c r="M941">
        <v>-156467</v>
      </c>
      <c r="N941">
        <v>139783</v>
      </c>
      <c r="O941" t="s">
        <v>959</v>
      </c>
      <c r="P941" s="9">
        <v>151324</v>
      </c>
      <c r="Q941" s="9">
        <v>28384</v>
      </c>
      <c r="R941" s="9">
        <v>179708</v>
      </c>
      <c r="S941" s="9">
        <v>-73664</v>
      </c>
      <c r="T941" s="10">
        <v>57447</v>
      </c>
      <c r="U941" s="10">
        <v>956</v>
      </c>
    </row>
    <row r="942" spans="1:21" x14ac:dyDescent="0.35">
      <c r="A942" t="s">
        <v>15</v>
      </c>
      <c r="B942" t="s">
        <v>20</v>
      </c>
      <c r="C942" t="s">
        <v>21</v>
      </c>
      <c r="D942">
        <v>161578</v>
      </c>
      <c r="E942">
        <v>26194</v>
      </c>
      <c r="F942">
        <v>31615</v>
      </c>
      <c r="G942">
        <v>-156730</v>
      </c>
      <c r="H942">
        <v>62657</v>
      </c>
      <c r="I942">
        <v>59948</v>
      </c>
      <c r="J942">
        <v>1312</v>
      </c>
      <c r="K942">
        <v>622680</v>
      </c>
      <c r="L942">
        <v>93987</v>
      </c>
      <c r="M942">
        <v>-233965</v>
      </c>
      <c r="N942">
        <v>116042</v>
      </c>
      <c r="O942" t="s">
        <v>960</v>
      </c>
      <c r="P942" s="9">
        <v>319269</v>
      </c>
      <c r="Q942" s="9">
        <v>18722</v>
      </c>
      <c r="R942" s="9">
        <v>337991</v>
      </c>
      <c r="S942" s="9">
        <v>-182111</v>
      </c>
      <c r="T942" s="10">
        <v>70723</v>
      </c>
      <c r="U942" s="10">
        <v>2047</v>
      </c>
    </row>
    <row r="943" spans="1:21" x14ac:dyDescent="0.35">
      <c r="A943" t="s">
        <v>15</v>
      </c>
      <c r="B943" t="s">
        <v>16</v>
      </c>
      <c r="C943" t="s">
        <v>21</v>
      </c>
      <c r="D943">
        <v>289374</v>
      </c>
      <c r="E943">
        <v>27874</v>
      </c>
      <c r="F943">
        <v>71283</v>
      </c>
      <c r="G943">
        <v>-264669</v>
      </c>
      <c r="H943">
        <v>123862</v>
      </c>
      <c r="I943">
        <v>118659</v>
      </c>
      <c r="J943">
        <v>3290</v>
      </c>
      <c r="K943">
        <v>856993</v>
      </c>
      <c r="L943">
        <v>411606</v>
      </c>
      <c r="M943">
        <v>-93324</v>
      </c>
      <c r="N943">
        <v>191131</v>
      </c>
      <c r="O943" t="s">
        <v>961</v>
      </c>
      <c r="P943" s="9">
        <v>208170</v>
      </c>
      <c r="Q943" s="9">
        <v>19494</v>
      </c>
      <c r="R943" s="9">
        <v>227664</v>
      </c>
      <c r="S943" s="9">
        <v>-68222</v>
      </c>
      <c r="T943" s="10">
        <v>52379</v>
      </c>
      <c r="U943" s="10">
        <v>1020</v>
      </c>
    </row>
    <row r="944" spans="1:21" x14ac:dyDescent="0.35">
      <c r="A944" t="s">
        <v>15</v>
      </c>
      <c r="B944" t="s">
        <v>20</v>
      </c>
      <c r="C944" t="s">
        <v>21</v>
      </c>
      <c r="D944">
        <v>224240</v>
      </c>
      <c r="E944">
        <v>31934</v>
      </c>
      <c r="F944">
        <v>27277</v>
      </c>
      <c r="G944">
        <v>-197316</v>
      </c>
      <c r="H944">
        <v>86135</v>
      </c>
      <c r="I944">
        <v>81120</v>
      </c>
      <c r="J944">
        <v>991</v>
      </c>
      <c r="K944">
        <v>698778</v>
      </c>
      <c r="L944">
        <v>79741</v>
      </c>
      <c r="M944">
        <v>-277443</v>
      </c>
      <c r="N944">
        <v>165698</v>
      </c>
      <c r="O944" t="s">
        <v>962</v>
      </c>
      <c r="P944" s="9">
        <v>209772</v>
      </c>
      <c r="Q944" s="9">
        <v>41379</v>
      </c>
      <c r="R944" s="9">
        <v>251151</v>
      </c>
      <c r="S944" s="9">
        <v>-79962</v>
      </c>
      <c r="T944" s="10">
        <v>133489</v>
      </c>
      <c r="U944" s="10">
        <v>1604</v>
      </c>
    </row>
    <row r="945" spans="1:21" x14ac:dyDescent="0.35">
      <c r="A945" t="s">
        <v>15</v>
      </c>
      <c r="B945" t="s">
        <v>16</v>
      </c>
      <c r="C945" t="s">
        <v>17</v>
      </c>
      <c r="D945">
        <v>235289</v>
      </c>
      <c r="E945">
        <v>32725</v>
      </c>
      <c r="F945">
        <v>46004</v>
      </c>
      <c r="G945">
        <v>-210883</v>
      </c>
      <c r="H945">
        <v>103135</v>
      </c>
      <c r="I945">
        <v>104846</v>
      </c>
      <c r="J945">
        <v>2984</v>
      </c>
      <c r="K945">
        <v>537229</v>
      </c>
      <c r="L945">
        <v>195546</v>
      </c>
      <c r="M945">
        <v>-209711</v>
      </c>
      <c r="N945">
        <v>100870</v>
      </c>
      <c r="O945" t="s">
        <v>963</v>
      </c>
      <c r="P945" s="9">
        <v>304769</v>
      </c>
      <c r="Q945" s="9">
        <v>26907</v>
      </c>
      <c r="R945" s="9">
        <v>331676</v>
      </c>
      <c r="S945" s="9">
        <v>-170804</v>
      </c>
      <c r="T945" s="10">
        <v>127269</v>
      </c>
      <c r="U945" s="10">
        <v>3551</v>
      </c>
    </row>
    <row r="946" spans="1:21" x14ac:dyDescent="0.35">
      <c r="A946" t="s">
        <v>15</v>
      </c>
      <c r="B946" t="s">
        <v>16</v>
      </c>
      <c r="C946" t="s">
        <v>21</v>
      </c>
      <c r="D946">
        <v>169564</v>
      </c>
      <c r="E946">
        <v>14669</v>
      </c>
      <c r="F946">
        <v>23339</v>
      </c>
      <c r="G946">
        <v>-151820</v>
      </c>
      <c r="H946">
        <v>55752</v>
      </c>
      <c r="I946">
        <v>51938</v>
      </c>
      <c r="J946">
        <v>1136</v>
      </c>
      <c r="K946">
        <v>485887</v>
      </c>
      <c r="L946">
        <v>83949</v>
      </c>
      <c r="M946">
        <v>-180317</v>
      </c>
      <c r="N946">
        <v>128014</v>
      </c>
      <c r="O946" t="s">
        <v>964</v>
      </c>
      <c r="P946" s="9">
        <v>238088</v>
      </c>
      <c r="Q946" s="9">
        <v>34364</v>
      </c>
      <c r="R946" s="9">
        <v>272452</v>
      </c>
      <c r="S946" s="9">
        <v>-95410</v>
      </c>
      <c r="T946" s="10">
        <v>66121</v>
      </c>
      <c r="U946" s="10">
        <v>1420</v>
      </c>
    </row>
    <row r="947" spans="1:21" x14ac:dyDescent="0.35">
      <c r="A947" t="s">
        <v>15</v>
      </c>
      <c r="B947" t="s">
        <v>16</v>
      </c>
      <c r="C947" t="s">
        <v>17</v>
      </c>
      <c r="D947">
        <v>259660</v>
      </c>
      <c r="E947">
        <v>50720</v>
      </c>
      <c r="F947">
        <v>53153</v>
      </c>
      <c r="G947">
        <v>-257225</v>
      </c>
      <c r="H947">
        <v>106308</v>
      </c>
      <c r="I947">
        <v>110394</v>
      </c>
      <c r="J947">
        <v>1911</v>
      </c>
      <c r="K947">
        <v>868564</v>
      </c>
      <c r="L947">
        <v>424623</v>
      </c>
      <c r="M947">
        <v>-212882</v>
      </c>
      <c r="N947">
        <v>232801</v>
      </c>
      <c r="O947" t="s">
        <v>965</v>
      </c>
      <c r="P947" s="9">
        <v>201171</v>
      </c>
      <c r="Q947" s="9">
        <v>21967</v>
      </c>
      <c r="R947" s="9">
        <v>223138</v>
      </c>
      <c r="S947" s="9">
        <v>-87309</v>
      </c>
      <c r="T947" s="10">
        <v>70884</v>
      </c>
      <c r="U947" s="10">
        <v>1457</v>
      </c>
    </row>
    <row r="948" spans="1:21" x14ac:dyDescent="0.35">
      <c r="A948" t="s">
        <v>15</v>
      </c>
      <c r="B948" t="s">
        <v>20</v>
      </c>
      <c r="C948" t="s">
        <v>21</v>
      </c>
      <c r="D948">
        <v>256182</v>
      </c>
      <c r="E948">
        <v>46819</v>
      </c>
      <c r="F948">
        <v>38009</v>
      </c>
      <c r="G948">
        <v>-250200</v>
      </c>
      <c r="H948">
        <v>90810</v>
      </c>
      <c r="I948">
        <v>83762</v>
      </c>
      <c r="J948">
        <v>2098</v>
      </c>
      <c r="K948">
        <v>897810</v>
      </c>
      <c r="L948">
        <v>181308</v>
      </c>
      <c r="M948">
        <v>-258690</v>
      </c>
      <c r="N948">
        <v>186770</v>
      </c>
      <c r="O948" t="s">
        <v>966</v>
      </c>
      <c r="P948" s="9">
        <v>273999</v>
      </c>
      <c r="Q948" s="9">
        <v>29112</v>
      </c>
      <c r="R948" s="9">
        <v>303111</v>
      </c>
      <c r="S948" s="9">
        <v>-116948</v>
      </c>
      <c r="T948" s="10">
        <v>74542</v>
      </c>
      <c r="U948" s="10">
        <v>781</v>
      </c>
    </row>
    <row r="949" spans="1:21" x14ac:dyDescent="0.35">
      <c r="A949" t="s">
        <v>15</v>
      </c>
      <c r="B949" t="s">
        <v>20</v>
      </c>
      <c r="C949" t="s">
        <v>21</v>
      </c>
      <c r="D949">
        <v>254752</v>
      </c>
      <c r="E949">
        <v>37133</v>
      </c>
      <c r="F949">
        <v>59437</v>
      </c>
      <c r="G949">
        <v>-208469</v>
      </c>
      <c r="H949">
        <v>142853</v>
      </c>
      <c r="I949">
        <v>142002</v>
      </c>
      <c r="J949">
        <v>1745</v>
      </c>
      <c r="K949">
        <v>661913</v>
      </c>
      <c r="L949">
        <v>258738</v>
      </c>
      <c r="M949">
        <v>-79122</v>
      </c>
      <c r="N949">
        <v>186332</v>
      </c>
      <c r="O949" t="s">
        <v>967</v>
      </c>
      <c r="P949" s="9">
        <v>198066</v>
      </c>
      <c r="Q949" s="9">
        <v>28583</v>
      </c>
      <c r="R949" s="9">
        <v>226649</v>
      </c>
      <c r="S949" s="9">
        <v>-50696</v>
      </c>
      <c r="T949" s="10">
        <v>80811</v>
      </c>
      <c r="U949" s="10">
        <v>1177</v>
      </c>
    </row>
    <row r="950" spans="1:21" x14ac:dyDescent="0.35">
      <c r="A950" t="s">
        <v>15</v>
      </c>
      <c r="B950" t="s">
        <v>16</v>
      </c>
      <c r="C950" t="s">
        <v>21</v>
      </c>
      <c r="D950">
        <v>281191</v>
      </c>
      <c r="E950">
        <v>42340</v>
      </c>
      <c r="F950">
        <v>29798</v>
      </c>
      <c r="G950">
        <v>-263071</v>
      </c>
      <c r="H950">
        <v>90258</v>
      </c>
      <c r="I950">
        <v>81874</v>
      </c>
      <c r="J950">
        <v>2197</v>
      </c>
      <c r="K950">
        <v>663903</v>
      </c>
      <c r="L950">
        <v>182678</v>
      </c>
      <c r="M950">
        <v>-78435</v>
      </c>
      <c r="N950">
        <v>212130</v>
      </c>
      <c r="O950" t="s">
        <v>968</v>
      </c>
      <c r="P950" s="9">
        <v>235835</v>
      </c>
      <c r="Q950" s="9">
        <v>18473</v>
      </c>
      <c r="R950" s="9">
        <v>254308</v>
      </c>
      <c r="S950" s="9">
        <v>-54470</v>
      </c>
      <c r="T950" s="10">
        <v>112054</v>
      </c>
      <c r="U950" s="10">
        <v>2034</v>
      </c>
    </row>
    <row r="951" spans="1:21" x14ac:dyDescent="0.35">
      <c r="A951" t="s">
        <v>15</v>
      </c>
      <c r="B951" t="s">
        <v>20</v>
      </c>
      <c r="C951" t="s">
        <v>21</v>
      </c>
      <c r="D951">
        <v>169062</v>
      </c>
      <c r="E951">
        <v>16829</v>
      </c>
      <c r="F951">
        <v>25450</v>
      </c>
      <c r="G951">
        <v>-167857</v>
      </c>
      <c r="H951">
        <v>43484</v>
      </c>
      <c r="I951">
        <v>45634</v>
      </c>
      <c r="J951">
        <v>868</v>
      </c>
      <c r="K951">
        <v>550400</v>
      </c>
      <c r="L951">
        <v>147255</v>
      </c>
      <c r="M951">
        <v>-123553</v>
      </c>
      <c r="N951">
        <v>127443</v>
      </c>
      <c r="O951" t="s">
        <v>969</v>
      </c>
      <c r="P951" s="9">
        <v>194477</v>
      </c>
      <c r="Q951" s="9">
        <v>25483</v>
      </c>
      <c r="R951" s="9">
        <v>219960</v>
      </c>
      <c r="S951" s="9">
        <v>-118188</v>
      </c>
      <c r="T951" s="10">
        <v>85382</v>
      </c>
      <c r="U951" s="10">
        <v>2524</v>
      </c>
    </row>
    <row r="952" spans="1:21" x14ac:dyDescent="0.35">
      <c r="A952" t="s">
        <v>15</v>
      </c>
      <c r="B952" t="s">
        <v>20</v>
      </c>
      <c r="C952" t="s">
        <v>21</v>
      </c>
      <c r="D952">
        <v>220741</v>
      </c>
      <c r="E952">
        <v>27743</v>
      </c>
      <c r="F952">
        <v>30691</v>
      </c>
      <c r="G952">
        <v>-210848</v>
      </c>
      <c r="H952">
        <v>68327</v>
      </c>
      <c r="I952">
        <v>63649</v>
      </c>
      <c r="J952">
        <v>1293</v>
      </c>
      <c r="K952">
        <v>587025</v>
      </c>
      <c r="L952">
        <v>131422</v>
      </c>
      <c r="M952">
        <v>-102971</v>
      </c>
      <c r="N952">
        <v>139495</v>
      </c>
      <c r="O952" t="s">
        <v>970</v>
      </c>
      <c r="P952" s="9">
        <v>194141</v>
      </c>
      <c r="Q952" s="9">
        <v>14413</v>
      </c>
      <c r="R952" s="9">
        <v>208554</v>
      </c>
      <c r="S952" s="9">
        <v>-54545</v>
      </c>
      <c r="T952" s="10">
        <v>51603</v>
      </c>
      <c r="U952" s="10">
        <v>1456</v>
      </c>
    </row>
    <row r="953" spans="1:21" x14ac:dyDescent="0.35">
      <c r="A953" t="s">
        <v>15</v>
      </c>
      <c r="B953" t="s">
        <v>16</v>
      </c>
      <c r="C953" t="s">
        <v>17</v>
      </c>
      <c r="D953">
        <v>286121</v>
      </c>
      <c r="E953">
        <v>20620</v>
      </c>
      <c r="F953">
        <v>61250</v>
      </c>
      <c r="G953">
        <v>-277985</v>
      </c>
      <c r="H953">
        <v>90006</v>
      </c>
      <c r="I953">
        <v>85770</v>
      </c>
      <c r="J953">
        <v>1169</v>
      </c>
      <c r="K953">
        <v>619390</v>
      </c>
      <c r="L953">
        <v>282965</v>
      </c>
      <c r="M953">
        <v>-82922</v>
      </c>
      <c r="N953">
        <v>133990</v>
      </c>
      <c r="O953" t="s">
        <v>971</v>
      </c>
      <c r="P953" s="9">
        <v>289431</v>
      </c>
      <c r="Q953" s="9">
        <v>15632</v>
      </c>
      <c r="R953" s="9">
        <v>305063</v>
      </c>
      <c r="S953" s="9">
        <v>-113661</v>
      </c>
      <c r="T953" s="10">
        <v>81665</v>
      </c>
      <c r="U953" s="10">
        <v>1961</v>
      </c>
    </row>
    <row r="954" spans="1:21" x14ac:dyDescent="0.35">
      <c r="A954" t="s">
        <v>15</v>
      </c>
      <c r="B954" t="s">
        <v>16</v>
      </c>
      <c r="C954" t="s">
        <v>17</v>
      </c>
      <c r="D954">
        <v>190785</v>
      </c>
      <c r="E954">
        <v>12646</v>
      </c>
      <c r="F954">
        <v>29754</v>
      </c>
      <c r="G954">
        <v>-179650</v>
      </c>
      <c r="H954">
        <v>53535</v>
      </c>
      <c r="I954">
        <v>52473</v>
      </c>
      <c r="J954">
        <v>1511</v>
      </c>
      <c r="K954">
        <v>485074</v>
      </c>
      <c r="L954">
        <v>126664</v>
      </c>
      <c r="M954">
        <v>-109000</v>
      </c>
      <c r="N954">
        <v>153324</v>
      </c>
      <c r="O954" t="s">
        <v>972</v>
      </c>
      <c r="P954" s="9">
        <v>198083</v>
      </c>
      <c r="Q954" s="9">
        <v>20393</v>
      </c>
      <c r="R954" s="9">
        <v>218476</v>
      </c>
      <c r="S954" s="9">
        <v>-54704</v>
      </c>
      <c r="T954" s="10">
        <v>48796</v>
      </c>
      <c r="U954" s="10">
        <v>641</v>
      </c>
    </row>
    <row r="955" spans="1:21" x14ac:dyDescent="0.35">
      <c r="A955" t="s">
        <v>15</v>
      </c>
      <c r="B955" t="s">
        <v>16</v>
      </c>
      <c r="C955" t="s">
        <v>17</v>
      </c>
      <c r="D955">
        <v>290120</v>
      </c>
      <c r="E955">
        <v>18972</v>
      </c>
      <c r="F955">
        <v>39152</v>
      </c>
      <c r="G955">
        <v>-251210</v>
      </c>
      <c r="H955">
        <v>97034</v>
      </c>
      <c r="I955">
        <v>93894</v>
      </c>
      <c r="J955">
        <v>1004</v>
      </c>
      <c r="K955">
        <v>873156</v>
      </c>
      <c r="L955">
        <v>261537</v>
      </c>
      <c r="M955">
        <v>-256360</v>
      </c>
      <c r="N955">
        <v>242259</v>
      </c>
      <c r="O955" t="s">
        <v>973</v>
      </c>
      <c r="P955" s="9">
        <v>244836</v>
      </c>
      <c r="Q955" s="9">
        <v>28451</v>
      </c>
      <c r="R955" s="9">
        <v>273287</v>
      </c>
      <c r="S955" s="9">
        <v>-152492</v>
      </c>
      <c r="T955" s="10">
        <v>100638</v>
      </c>
      <c r="U955" s="10">
        <v>2910</v>
      </c>
    </row>
    <row r="956" spans="1:21" x14ac:dyDescent="0.35">
      <c r="A956" t="s">
        <v>15</v>
      </c>
      <c r="B956" t="s">
        <v>16</v>
      </c>
      <c r="C956" t="s">
        <v>17</v>
      </c>
      <c r="D956">
        <v>264964</v>
      </c>
      <c r="E956">
        <v>31134</v>
      </c>
      <c r="F956">
        <v>50032</v>
      </c>
      <c r="G956">
        <v>-228600</v>
      </c>
      <c r="H956">
        <v>117530</v>
      </c>
      <c r="I956">
        <v>109769</v>
      </c>
      <c r="J956">
        <v>2143</v>
      </c>
      <c r="K956">
        <v>605469</v>
      </c>
      <c r="L956">
        <v>205192</v>
      </c>
      <c r="M956">
        <v>-103206</v>
      </c>
      <c r="N956">
        <v>135121</v>
      </c>
      <c r="O956" t="s">
        <v>974</v>
      </c>
      <c r="P956" s="9">
        <v>227442</v>
      </c>
      <c r="Q956" s="9">
        <v>12412</v>
      </c>
      <c r="R956" s="9">
        <v>239854</v>
      </c>
      <c r="S956" s="9">
        <v>-86811</v>
      </c>
      <c r="T956" s="10">
        <v>58638</v>
      </c>
      <c r="U956" s="10">
        <v>1507</v>
      </c>
    </row>
    <row r="957" spans="1:21" x14ac:dyDescent="0.35">
      <c r="A957" t="s">
        <v>15</v>
      </c>
      <c r="B957" t="s">
        <v>16</v>
      </c>
      <c r="C957" t="s">
        <v>21</v>
      </c>
      <c r="D957">
        <v>277482</v>
      </c>
      <c r="E957">
        <v>37601</v>
      </c>
      <c r="F957">
        <v>58446</v>
      </c>
      <c r="G957">
        <v>-266104</v>
      </c>
      <c r="H957">
        <v>107425</v>
      </c>
      <c r="I957">
        <v>105756</v>
      </c>
      <c r="J957">
        <v>1517</v>
      </c>
      <c r="K957">
        <v>791492</v>
      </c>
      <c r="L957">
        <v>317402</v>
      </c>
      <c r="M957">
        <v>-88991</v>
      </c>
      <c r="N957">
        <v>129233</v>
      </c>
      <c r="O957" t="s">
        <v>975</v>
      </c>
      <c r="P957" s="9">
        <v>300855</v>
      </c>
      <c r="Q957" s="9">
        <v>24554</v>
      </c>
      <c r="R957" s="9">
        <v>325409</v>
      </c>
      <c r="S957" s="9">
        <v>-173377</v>
      </c>
      <c r="T957" s="10">
        <v>104861</v>
      </c>
      <c r="U957" s="10">
        <v>2587</v>
      </c>
    </row>
    <row r="958" spans="1:21" x14ac:dyDescent="0.35">
      <c r="A958" t="s">
        <v>15</v>
      </c>
      <c r="B958" t="s">
        <v>16</v>
      </c>
      <c r="C958" t="s">
        <v>21</v>
      </c>
      <c r="D958">
        <v>277658</v>
      </c>
      <c r="E958">
        <v>15331</v>
      </c>
      <c r="F958">
        <v>38139</v>
      </c>
      <c r="G958">
        <v>-275700</v>
      </c>
      <c r="H958">
        <v>55428</v>
      </c>
      <c r="I958">
        <v>52135</v>
      </c>
      <c r="J958">
        <v>1335</v>
      </c>
      <c r="K958">
        <v>683326</v>
      </c>
      <c r="L958">
        <v>297954</v>
      </c>
      <c r="M958">
        <v>-241937</v>
      </c>
      <c r="N958">
        <v>156113</v>
      </c>
      <c r="O958" t="s">
        <v>976</v>
      </c>
      <c r="P958" s="9">
        <v>250659</v>
      </c>
      <c r="Q958" s="9">
        <v>33668</v>
      </c>
      <c r="R958" s="9">
        <v>284327</v>
      </c>
      <c r="S958" s="9">
        <v>-151288</v>
      </c>
      <c r="T958" s="10">
        <v>74963</v>
      </c>
      <c r="U958" s="10">
        <v>2158</v>
      </c>
    </row>
    <row r="959" spans="1:21" x14ac:dyDescent="0.35">
      <c r="A959" t="s">
        <v>15</v>
      </c>
      <c r="B959" t="s">
        <v>16</v>
      </c>
      <c r="C959" t="s">
        <v>17</v>
      </c>
      <c r="D959">
        <v>279487</v>
      </c>
      <c r="E959">
        <v>36539</v>
      </c>
      <c r="F959">
        <v>53428</v>
      </c>
      <c r="G959">
        <v>-277067</v>
      </c>
      <c r="H959">
        <v>92387</v>
      </c>
      <c r="I959">
        <v>86852</v>
      </c>
      <c r="J959">
        <v>2066</v>
      </c>
      <c r="K959">
        <v>911245</v>
      </c>
      <c r="L959">
        <v>146015</v>
      </c>
      <c r="M959">
        <v>-91307</v>
      </c>
      <c r="N959">
        <v>215282</v>
      </c>
      <c r="O959" t="s">
        <v>977</v>
      </c>
      <c r="P959" s="9">
        <v>221087</v>
      </c>
      <c r="Q959" s="9">
        <v>35689</v>
      </c>
      <c r="R959" s="9">
        <v>256776</v>
      </c>
      <c r="S959" s="9">
        <v>-95340</v>
      </c>
      <c r="T959" s="10">
        <v>90871</v>
      </c>
      <c r="U959" s="10">
        <v>2416</v>
      </c>
    </row>
    <row r="960" spans="1:21" x14ac:dyDescent="0.35">
      <c r="A960" t="s">
        <v>15</v>
      </c>
      <c r="B960" t="s">
        <v>20</v>
      </c>
      <c r="C960" t="s">
        <v>21</v>
      </c>
      <c r="D960">
        <v>226561</v>
      </c>
      <c r="E960">
        <v>27637</v>
      </c>
      <c r="F960">
        <v>32951</v>
      </c>
      <c r="G960">
        <v>-191117</v>
      </c>
      <c r="H960">
        <v>96032</v>
      </c>
      <c r="I960">
        <v>97463</v>
      </c>
      <c r="J960">
        <v>1029</v>
      </c>
      <c r="K960">
        <v>467934</v>
      </c>
      <c r="L960">
        <v>128954</v>
      </c>
      <c r="M960">
        <v>-120406</v>
      </c>
      <c r="N960">
        <v>97184</v>
      </c>
      <c r="O960" t="s">
        <v>978</v>
      </c>
      <c r="P960" s="9">
        <v>258664</v>
      </c>
      <c r="Q960" s="9">
        <v>24553</v>
      </c>
      <c r="R960" s="9">
        <v>283217</v>
      </c>
      <c r="S960" s="9">
        <v>-102468</v>
      </c>
      <c r="T960" s="10">
        <v>101300</v>
      </c>
      <c r="U960" s="10">
        <v>1045</v>
      </c>
    </row>
    <row r="961" spans="1:21" x14ac:dyDescent="0.35">
      <c r="A961" t="s">
        <v>15</v>
      </c>
      <c r="B961" t="s">
        <v>20</v>
      </c>
      <c r="C961" t="s">
        <v>21</v>
      </c>
      <c r="D961">
        <v>278780</v>
      </c>
      <c r="E961">
        <v>20409</v>
      </c>
      <c r="F961">
        <v>38048</v>
      </c>
      <c r="G961">
        <v>-235549</v>
      </c>
      <c r="H961">
        <v>101688</v>
      </c>
      <c r="I961">
        <v>102063</v>
      </c>
      <c r="J961">
        <v>2156</v>
      </c>
      <c r="K961">
        <v>696151</v>
      </c>
      <c r="L961">
        <v>280050</v>
      </c>
      <c r="M961">
        <v>-126467</v>
      </c>
      <c r="N961">
        <v>250220</v>
      </c>
      <c r="O961" t="s">
        <v>979</v>
      </c>
      <c r="P961" s="9">
        <v>168046</v>
      </c>
      <c r="Q961" s="9">
        <v>14312</v>
      </c>
      <c r="R961" s="9">
        <v>182358</v>
      </c>
      <c r="S961" s="9">
        <v>-79000</v>
      </c>
      <c r="T961" s="10">
        <v>67679</v>
      </c>
      <c r="U961" s="10">
        <v>1731</v>
      </c>
    </row>
    <row r="962" spans="1:21" x14ac:dyDescent="0.35">
      <c r="A962" t="s">
        <v>15</v>
      </c>
      <c r="B962" t="s">
        <v>16</v>
      </c>
      <c r="C962" t="s">
        <v>17</v>
      </c>
      <c r="D962">
        <v>240809</v>
      </c>
      <c r="E962">
        <v>15304</v>
      </c>
      <c r="F962">
        <v>31031</v>
      </c>
      <c r="G962">
        <v>-214046</v>
      </c>
      <c r="H962">
        <v>73098</v>
      </c>
      <c r="I962">
        <v>75217</v>
      </c>
      <c r="J962">
        <v>778</v>
      </c>
      <c r="K962">
        <v>885093</v>
      </c>
      <c r="L962">
        <v>350793</v>
      </c>
      <c r="M962">
        <v>-251712</v>
      </c>
      <c r="N962">
        <v>136121</v>
      </c>
      <c r="O962" t="s">
        <v>980</v>
      </c>
      <c r="P962" s="9">
        <v>234205</v>
      </c>
      <c r="Q962" s="9">
        <v>25906</v>
      </c>
      <c r="R962" s="9">
        <v>260111</v>
      </c>
      <c r="S962" s="9">
        <v>-96622</v>
      </c>
      <c r="T962" s="10">
        <v>110872</v>
      </c>
      <c r="U962" s="10">
        <v>3080</v>
      </c>
    </row>
    <row r="963" spans="1:21" x14ac:dyDescent="0.35">
      <c r="A963" t="s">
        <v>15</v>
      </c>
      <c r="B963" t="s">
        <v>20</v>
      </c>
      <c r="C963" t="s">
        <v>17</v>
      </c>
      <c r="D963">
        <v>188599</v>
      </c>
      <c r="E963">
        <v>15723</v>
      </c>
      <c r="F963">
        <v>44896</v>
      </c>
      <c r="G963">
        <v>-171089</v>
      </c>
      <c r="H963">
        <v>78129</v>
      </c>
      <c r="I963">
        <v>76155</v>
      </c>
      <c r="J963">
        <v>1436</v>
      </c>
      <c r="K963">
        <v>482127</v>
      </c>
      <c r="L963">
        <v>119183</v>
      </c>
      <c r="M963">
        <v>-74807</v>
      </c>
      <c r="N963">
        <v>113453</v>
      </c>
      <c r="O963" t="s">
        <v>981</v>
      </c>
      <c r="P963" s="9">
        <v>207770</v>
      </c>
      <c r="Q963" s="9">
        <v>34862</v>
      </c>
      <c r="R963" s="9">
        <v>242632</v>
      </c>
      <c r="S963" s="9">
        <v>-84982</v>
      </c>
      <c r="T963" s="10">
        <v>91865</v>
      </c>
      <c r="U963" s="10">
        <v>1436</v>
      </c>
    </row>
    <row r="964" spans="1:21" x14ac:dyDescent="0.35">
      <c r="A964" t="s">
        <v>15</v>
      </c>
      <c r="B964" t="s">
        <v>16</v>
      </c>
      <c r="C964" t="s">
        <v>21</v>
      </c>
      <c r="D964">
        <v>290337</v>
      </c>
      <c r="E964">
        <v>47760</v>
      </c>
      <c r="F964">
        <v>31989</v>
      </c>
      <c r="G964">
        <v>-269899</v>
      </c>
      <c r="H964">
        <v>100187</v>
      </c>
      <c r="I964">
        <v>103234</v>
      </c>
      <c r="J964">
        <v>2168</v>
      </c>
      <c r="K964">
        <v>1073201</v>
      </c>
      <c r="L964">
        <v>279353</v>
      </c>
      <c r="M964">
        <v>-163738</v>
      </c>
      <c r="N964">
        <v>232344</v>
      </c>
      <c r="O964" t="s">
        <v>982</v>
      </c>
      <c r="P964" s="9">
        <v>138137</v>
      </c>
      <c r="Q964" s="9">
        <v>18007</v>
      </c>
      <c r="R964" s="9">
        <v>156144</v>
      </c>
      <c r="S964" s="9">
        <v>-53715</v>
      </c>
      <c r="T964" s="10">
        <v>47963</v>
      </c>
      <c r="U964" s="10">
        <v>1042</v>
      </c>
    </row>
    <row r="965" spans="1:21" x14ac:dyDescent="0.35">
      <c r="A965" t="s">
        <v>15</v>
      </c>
      <c r="B965" t="s">
        <v>20</v>
      </c>
      <c r="C965" t="s">
        <v>21</v>
      </c>
      <c r="D965">
        <v>168845</v>
      </c>
      <c r="E965">
        <v>24025</v>
      </c>
      <c r="F965">
        <v>19999</v>
      </c>
      <c r="G965">
        <v>-148502</v>
      </c>
      <c r="H965">
        <v>64367</v>
      </c>
      <c r="I965">
        <v>61600</v>
      </c>
      <c r="J965">
        <v>1806</v>
      </c>
      <c r="K965">
        <v>670959</v>
      </c>
      <c r="L965">
        <v>244081</v>
      </c>
      <c r="M965">
        <v>-261704</v>
      </c>
      <c r="N965">
        <v>117921</v>
      </c>
      <c r="O965" t="s">
        <v>983</v>
      </c>
      <c r="P965" s="9">
        <v>222280</v>
      </c>
      <c r="Q965" s="9">
        <v>14086</v>
      </c>
      <c r="R965" s="9">
        <v>236366</v>
      </c>
      <c r="S965" s="9">
        <v>-117808</v>
      </c>
      <c r="T965" s="10">
        <v>61258</v>
      </c>
      <c r="U965" s="10">
        <v>1224</v>
      </c>
    </row>
    <row r="966" spans="1:21" x14ac:dyDescent="0.35">
      <c r="A966" t="s">
        <v>15</v>
      </c>
      <c r="B966" t="s">
        <v>16</v>
      </c>
      <c r="C966" t="s">
        <v>21</v>
      </c>
      <c r="D966">
        <v>209410</v>
      </c>
      <c r="E966">
        <v>25087</v>
      </c>
      <c r="F966">
        <v>28596</v>
      </c>
      <c r="G966">
        <v>-168178</v>
      </c>
      <c r="H966">
        <v>94915</v>
      </c>
      <c r="I966">
        <v>96546</v>
      </c>
      <c r="J966">
        <v>1237</v>
      </c>
      <c r="K966">
        <v>781464</v>
      </c>
      <c r="L966">
        <v>213661</v>
      </c>
      <c r="M966">
        <v>-247877</v>
      </c>
      <c r="N966">
        <v>115373</v>
      </c>
      <c r="O966" t="s">
        <v>984</v>
      </c>
      <c r="P966" s="9">
        <v>183450</v>
      </c>
      <c r="Q966" s="9">
        <v>34626</v>
      </c>
      <c r="R966" s="9">
        <v>218076</v>
      </c>
      <c r="S966" s="9">
        <v>-107100</v>
      </c>
      <c r="T966" s="10">
        <v>90633</v>
      </c>
      <c r="U966" s="10">
        <v>1969</v>
      </c>
    </row>
    <row r="967" spans="1:21" x14ac:dyDescent="0.35">
      <c r="A967" t="s">
        <v>15</v>
      </c>
      <c r="B967" t="s">
        <v>20</v>
      </c>
      <c r="C967" t="s">
        <v>21</v>
      </c>
      <c r="D967">
        <v>287670</v>
      </c>
      <c r="E967">
        <v>23724</v>
      </c>
      <c r="F967">
        <v>37546</v>
      </c>
      <c r="G967">
        <v>-280577</v>
      </c>
      <c r="H967">
        <v>68363</v>
      </c>
      <c r="I967">
        <v>70883</v>
      </c>
      <c r="J967">
        <v>790</v>
      </c>
      <c r="K967">
        <v>813711</v>
      </c>
      <c r="L967">
        <v>124929</v>
      </c>
      <c r="M967">
        <v>-202541</v>
      </c>
      <c r="N967">
        <v>258669</v>
      </c>
      <c r="O967" t="s">
        <v>985</v>
      </c>
      <c r="P967" s="9">
        <v>189146</v>
      </c>
      <c r="Q967" s="9">
        <v>25237</v>
      </c>
      <c r="R967" s="9">
        <v>214383</v>
      </c>
      <c r="S967" s="9">
        <v>-46069</v>
      </c>
      <c r="T967" s="10">
        <v>79345</v>
      </c>
      <c r="U967" s="10">
        <v>1999</v>
      </c>
    </row>
    <row r="968" spans="1:21" x14ac:dyDescent="0.35">
      <c r="A968" t="s">
        <v>15</v>
      </c>
      <c r="B968" t="s">
        <v>16</v>
      </c>
      <c r="C968" t="s">
        <v>21</v>
      </c>
      <c r="D968">
        <v>158042</v>
      </c>
      <c r="E968">
        <v>24771</v>
      </c>
      <c r="F968">
        <v>18028</v>
      </c>
      <c r="G968">
        <v>-156042</v>
      </c>
      <c r="H968">
        <v>44799</v>
      </c>
      <c r="I968">
        <v>40777</v>
      </c>
      <c r="J968">
        <v>848</v>
      </c>
      <c r="K968">
        <v>485202</v>
      </c>
      <c r="L968">
        <v>230280</v>
      </c>
      <c r="M968">
        <v>-173525</v>
      </c>
      <c r="N968">
        <v>89681</v>
      </c>
      <c r="O968" t="s">
        <v>986</v>
      </c>
      <c r="P968" s="9">
        <v>234480</v>
      </c>
      <c r="Q968" s="9">
        <v>27386</v>
      </c>
      <c r="R968" s="9">
        <v>261866</v>
      </c>
      <c r="S968" s="9">
        <v>-140192</v>
      </c>
      <c r="T968" s="10">
        <v>99598</v>
      </c>
      <c r="U968" s="10">
        <v>1087</v>
      </c>
    </row>
    <row r="969" spans="1:21" x14ac:dyDescent="0.35">
      <c r="A969" t="s">
        <v>15</v>
      </c>
      <c r="B969" t="s">
        <v>16</v>
      </c>
      <c r="C969" t="s">
        <v>21</v>
      </c>
      <c r="D969">
        <v>238630</v>
      </c>
      <c r="E969">
        <v>14710</v>
      </c>
      <c r="F969">
        <v>37370</v>
      </c>
      <c r="G969">
        <v>-205690</v>
      </c>
      <c r="H969">
        <v>85020</v>
      </c>
      <c r="I969">
        <v>76775</v>
      </c>
      <c r="J969">
        <v>1289</v>
      </c>
      <c r="K969">
        <v>512743</v>
      </c>
      <c r="L969">
        <v>248421</v>
      </c>
      <c r="M969">
        <v>-198951</v>
      </c>
      <c r="N969">
        <v>142069</v>
      </c>
      <c r="O969" t="s">
        <v>987</v>
      </c>
      <c r="P969" s="9">
        <v>268226</v>
      </c>
      <c r="Q969" s="9">
        <v>29013</v>
      </c>
      <c r="R969" s="9">
        <v>297239</v>
      </c>
      <c r="S969" s="9">
        <v>-100770</v>
      </c>
      <c r="T969" s="10">
        <v>73633</v>
      </c>
      <c r="U969" s="10">
        <v>2050</v>
      </c>
    </row>
    <row r="970" spans="1:21" x14ac:dyDescent="0.35">
      <c r="A970" t="s">
        <v>15</v>
      </c>
      <c r="B970" t="s">
        <v>16</v>
      </c>
      <c r="C970" t="s">
        <v>21</v>
      </c>
      <c r="D970">
        <v>164375</v>
      </c>
      <c r="E970">
        <v>8273</v>
      </c>
      <c r="F970">
        <v>17952</v>
      </c>
      <c r="G970">
        <v>-141994</v>
      </c>
      <c r="H970">
        <v>48606</v>
      </c>
      <c r="I970">
        <v>47591</v>
      </c>
      <c r="J970">
        <v>636</v>
      </c>
      <c r="K970">
        <v>597939</v>
      </c>
      <c r="L970">
        <v>179133</v>
      </c>
      <c r="M970">
        <v>-188385</v>
      </c>
      <c r="N970">
        <v>111950</v>
      </c>
      <c r="O970" t="s">
        <v>988</v>
      </c>
      <c r="P970" s="9">
        <v>271977</v>
      </c>
      <c r="Q970" s="9">
        <v>29048</v>
      </c>
      <c r="R970" s="9">
        <v>301025</v>
      </c>
      <c r="S970" s="9">
        <v>-120679</v>
      </c>
      <c r="T970" s="10">
        <v>128401</v>
      </c>
      <c r="U970" s="10">
        <v>3030</v>
      </c>
    </row>
    <row r="971" spans="1:21" x14ac:dyDescent="0.35">
      <c r="A971" t="s">
        <v>15</v>
      </c>
      <c r="B971" t="s">
        <v>16</v>
      </c>
      <c r="C971" t="s">
        <v>21</v>
      </c>
      <c r="D971">
        <v>240169</v>
      </c>
      <c r="E971">
        <v>47852</v>
      </c>
      <c r="F971">
        <v>35852</v>
      </c>
      <c r="G971">
        <v>-225025</v>
      </c>
      <c r="H971">
        <v>98848</v>
      </c>
      <c r="I971">
        <v>92622</v>
      </c>
      <c r="J971">
        <v>1156</v>
      </c>
      <c r="K971">
        <v>942218</v>
      </c>
      <c r="L971">
        <v>239738</v>
      </c>
      <c r="M971">
        <v>-114410</v>
      </c>
      <c r="N971">
        <v>102200</v>
      </c>
      <c r="O971" t="s">
        <v>989</v>
      </c>
      <c r="P971" s="9">
        <v>212283</v>
      </c>
      <c r="Q971" s="9">
        <v>37299</v>
      </c>
      <c r="R971" s="9">
        <v>249582</v>
      </c>
      <c r="S971" s="9">
        <v>-63797</v>
      </c>
      <c r="T971" s="10">
        <v>106096</v>
      </c>
      <c r="U971" s="10">
        <v>1431</v>
      </c>
    </row>
    <row r="972" spans="1:21" x14ac:dyDescent="0.35">
      <c r="A972" t="s">
        <v>15</v>
      </c>
      <c r="B972" t="s">
        <v>16</v>
      </c>
      <c r="C972" t="s">
        <v>17</v>
      </c>
      <c r="D972">
        <v>280215</v>
      </c>
      <c r="E972">
        <v>28903</v>
      </c>
      <c r="F972">
        <v>30063</v>
      </c>
      <c r="G972">
        <v>-247916</v>
      </c>
      <c r="H972">
        <v>91265</v>
      </c>
      <c r="I972">
        <v>92813</v>
      </c>
      <c r="J972">
        <v>2213</v>
      </c>
      <c r="K972">
        <v>1021088</v>
      </c>
      <c r="L972">
        <v>380542</v>
      </c>
      <c r="M972">
        <v>-166028</v>
      </c>
      <c r="N972">
        <v>225608</v>
      </c>
      <c r="O972" t="s">
        <v>990</v>
      </c>
      <c r="P972" s="9">
        <v>305925</v>
      </c>
      <c r="Q972" s="9">
        <v>19783</v>
      </c>
      <c r="R972" s="9">
        <v>325708</v>
      </c>
      <c r="S972" s="9">
        <v>-166495</v>
      </c>
      <c r="T972" s="10">
        <v>125454</v>
      </c>
      <c r="U972" s="10">
        <v>2995</v>
      </c>
    </row>
    <row r="973" spans="1:21" x14ac:dyDescent="0.35">
      <c r="A973" t="s">
        <v>15</v>
      </c>
      <c r="B973" t="s">
        <v>20</v>
      </c>
      <c r="C973" t="s">
        <v>17</v>
      </c>
      <c r="D973">
        <v>238248</v>
      </c>
      <c r="E973">
        <v>40324</v>
      </c>
      <c r="F973">
        <v>36221</v>
      </c>
      <c r="G973">
        <v>-221077</v>
      </c>
      <c r="H973">
        <v>93716</v>
      </c>
      <c r="I973">
        <v>96820</v>
      </c>
      <c r="J973">
        <v>1026</v>
      </c>
      <c r="K973">
        <v>587922</v>
      </c>
      <c r="L973">
        <v>201658</v>
      </c>
      <c r="M973">
        <v>-64181</v>
      </c>
      <c r="N973">
        <v>107158</v>
      </c>
      <c r="O973" t="s">
        <v>991</v>
      </c>
      <c r="P973" s="9">
        <v>194320</v>
      </c>
      <c r="Q973" s="9">
        <v>20359</v>
      </c>
      <c r="R973" s="9">
        <v>214679</v>
      </c>
      <c r="S973" s="9">
        <v>-126270</v>
      </c>
      <c r="T973" s="10">
        <v>93725</v>
      </c>
      <c r="U973" s="10">
        <v>1618</v>
      </c>
    </row>
    <row r="974" spans="1:21" x14ac:dyDescent="0.35">
      <c r="A974" t="s">
        <v>15</v>
      </c>
      <c r="B974" t="s">
        <v>16</v>
      </c>
      <c r="C974" t="s">
        <v>21</v>
      </c>
      <c r="D974">
        <v>222465</v>
      </c>
      <c r="E974">
        <v>12986</v>
      </c>
      <c r="F974">
        <v>34320</v>
      </c>
      <c r="G974">
        <v>-206724</v>
      </c>
      <c r="H974">
        <v>63047</v>
      </c>
      <c r="I974">
        <v>57293</v>
      </c>
      <c r="J974">
        <v>959</v>
      </c>
      <c r="K974">
        <v>700167</v>
      </c>
      <c r="L974">
        <v>200918</v>
      </c>
      <c r="M974">
        <v>-127649</v>
      </c>
      <c r="N974">
        <v>153669</v>
      </c>
      <c r="O974" t="s">
        <v>992</v>
      </c>
      <c r="P974" s="9">
        <v>251902</v>
      </c>
      <c r="Q974" s="9">
        <v>13433</v>
      </c>
      <c r="R974" s="9">
        <v>265335</v>
      </c>
      <c r="S974" s="9">
        <v>-108104</v>
      </c>
      <c r="T974" s="10">
        <v>71556</v>
      </c>
      <c r="U974" s="10">
        <v>838</v>
      </c>
    </row>
    <row r="975" spans="1:21" x14ac:dyDescent="0.35">
      <c r="A975" t="s">
        <v>15</v>
      </c>
      <c r="B975" t="s">
        <v>16</v>
      </c>
      <c r="C975" t="s">
        <v>21</v>
      </c>
      <c r="D975">
        <v>298381</v>
      </c>
      <c r="E975">
        <v>58949</v>
      </c>
      <c r="F975">
        <v>43599</v>
      </c>
      <c r="G975">
        <v>-258424</v>
      </c>
      <c r="H975">
        <v>142505</v>
      </c>
      <c r="I975">
        <v>128706</v>
      </c>
      <c r="J975">
        <v>3497</v>
      </c>
      <c r="K975">
        <v>1139408</v>
      </c>
      <c r="L975">
        <v>153765</v>
      </c>
      <c r="M975">
        <v>-270285</v>
      </c>
      <c r="N975">
        <v>205487</v>
      </c>
      <c r="O975" t="s">
        <v>993</v>
      </c>
      <c r="P975" s="9">
        <v>239724</v>
      </c>
      <c r="Q975" s="9">
        <v>30656</v>
      </c>
      <c r="R975" s="9">
        <v>270380</v>
      </c>
      <c r="S975" s="9">
        <v>-71565</v>
      </c>
      <c r="T975" s="10">
        <v>69443</v>
      </c>
      <c r="U975" s="10">
        <v>1176</v>
      </c>
    </row>
    <row r="976" spans="1:21" x14ac:dyDescent="0.35">
      <c r="A976" t="s">
        <v>15</v>
      </c>
      <c r="B976" t="s">
        <v>16</v>
      </c>
      <c r="C976" t="s">
        <v>21</v>
      </c>
      <c r="D976">
        <v>256159</v>
      </c>
      <c r="E976">
        <v>38889</v>
      </c>
      <c r="F976">
        <v>34008</v>
      </c>
      <c r="G976">
        <v>-250374</v>
      </c>
      <c r="H976">
        <v>78682</v>
      </c>
      <c r="I976">
        <v>78318</v>
      </c>
      <c r="J976">
        <v>1472</v>
      </c>
      <c r="K976">
        <v>827842</v>
      </c>
      <c r="L976">
        <v>194911</v>
      </c>
      <c r="M976">
        <v>-324228</v>
      </c>
      <c r="N976">
        <v>95934</v>
      </c>
      <c r="O976" t="s">
        <v>994</v>
      </c>
      <c r="P976" s="9">
        <v>247211</v>
      </c>
      <c r="Q976" s="9">
        <v>25723</v>
      </c>
      <c r="R976" s="9">
        <v>272934</v>
      </c>
      <c r="S976" s="9">
        <v>-152341</v>
      </c>
      <c r="T976" s="10">
        <v>102091</v>
      </c>
      <c r="U976" s="10">
        <v>2713</v>
      </c>
    </row>
    <row r="977" spans="1:21" x14ac:dyDescent="0.35">
      <c r="A977" t="s">
        <v>15</v>
      </c>
      <c r="B977" t="s">
        <v>16</v>
      </c>
      <c r="C977" t="s">
        <v>21</v>
      </c>
      <c r="D977">
        <v>177853</v>
      </c>
      <c r="E977">
        <v>33748</v>
      </c>
      <c r="F977">
        <v>33950</v>
      </c>
      <c r="G977">
        <v>-172569</v>
      </c>
      <c r="H977">
        <v>72982</v>
      </c>
      <c r="I977">
        <v>69675</v>
      </c>
      <c r="J977">
        <v>766</v>
      </c>
      <c r="K977">
        <v>612466</v>
      </c>
      <c r="L977">
        <v>266172</v>
      </c>
      <c r="M977">
        <v>-195538</v>
      </c>
      <c r="N977">
        <v>79781</v>
      </c>
      <c r="O977" t="s">
        <v>995</v>
      </c>
      <c r="P977" s="9">
        <v>164235</v>
      </c>
      <c r="Q977" s="9">
        <v>21689</v>
      </c>
      <c r="R977" s="9">
        <v>185924</v>
      </c>
      <c r="S977" s="9">
        <v>-104196</v>
      </c>
      <c r="T977" s="10">
        <v>73054</v>
      </c>
      <c r="U977" s="10">
        <v>1254</v>
      </c>
    </row>
    <row r="978" spans="1:21" x14ac:dyDescent="0.35">
      <c r="A978" t="s">
        <v>15</v>
      </c>
      <c r="B978" t="s">
        <v>16</v>
      </c>
      <c r="C978" t="s">
        <v>17</v>
      </c>
      <c r="D978">
        <v>223133</v>
      </c>
      <c r="E978">
        <v>39921</v>
      </c>
      <c r="F978">
        <v>23552</v>
      </c>
      <c r="G978">
        <v>-209503</v>
      </c>
      <c r="H978">
        <v>77103</v>
      </c>
      <c r="I978">
        <v>75546</v>
      </c>
      <c r="J978">
        <v>2177</v>
      </c>
      <c r="K978">
        <v>747793</v>
      </c>
      <c r="L978">
        <v>321921</v>
      </c>
      <c r="M978">
        <v>-214739</v>
      </c>
      <c r="N978">
        <v>149127</v>
      </c>
      <c r="O978" t="s">
        <v>996</v>
      </c>
      <c r="P978" s="9">
        <v>300607</v>
      </c>
      <c r="Q978" s="9">
        <v>28892</v>
      </c>
      <c r="R978" s="9">
        <v>329499</v>
      </c>
      <c r="S978" s="9">
        <v>-86095</v>
      </c>
      <c r="T978" s="10">
        <v>114105</v>
      </c>
      <c r="U978" s="10">
        <v>2915</v>
      </c>
    </row>
    <row r="979" spans="1:21" x14ac:dyDescent="0.35">
      <c r="A979" t="s">
        <v>15</v>
      </c>
      <c r="B979" t="s">
        <v>20</v>
      </c>
      <c r="C979" t="s">
        <v>21</v>
      </c>
      <c r="D979">
        <v>238066</v>
      </c>
      <c r="E979">
        <v>46768</v>
      </c>
      <c r="F979">
        <v>30523</v>
      </c>
      <c r="G979">
        <v>-193621</v>
      </c>
      <c r="H979">
        <v>121736</v>
      </c>
      <c r="I979">
        <v>119821</v>
      </c>
      <c r="J979">
        <v>2588</v>
      </c>
      <c r="K979">
        <v>937250</v>
      </c>
      <c r="L979">
        <v>258506</v>
      </c>
      <c r="M979">
        <v>-202164</v>
      </c>
      <c r="N979">
        <v>145611</v>
      </c>
      <c r="O979" t="s">
        <v>997</v>
      </c>
      <c r="P979" s="9">
        <v>166530</v>
      </c>
      <c r="Q979" s="9">
        <v>9347</v>
      </c>
      <c r="R979" s="9">
        <v>175877</v>
      </c>
      <c r="S979" s="9">
        <v>-85247</v>
      </c>
      <c r="T979" s="10">
        <v>79856</v>
      </c>
      <c r="U979" s="10">
        <v>1899</v>
      </c>
    </row>
    <row r="980" spans="1:21" x14ac:dyDescent="0.35">
      <c r="A980" t="s">
        <v>15</v>
      </c>
      <c r="B980" t="s">
        <v>16</v>
      </c>
      <c r="C980" t="s">
        <v>17</v>
      </c>
      <c r="D980">
        <v>173700</v>
      </c>
      <c r="E980">
        <v>15678</v>
      </c>
      <c r="F980">
        <v>24888</v>
      </c>
      <c r="G980">
        <v>-144387</v>
      </c>
      <c r="H980">
        <v>69879</v>
      </c>
      <c r="I980">
        <v>67889</v>
      </c>
      <c r="J980">
        <v>1913</v>
      </c>
      <c r="K980">
        <v>678191</v>
      </c>
      <c r="L980">
        <v>255208</v>
      </c>
      <c r="M980">
        <v>-91963</v>
      </c>
      <c r="N980">
        <v>71769</v>
      </c>
      <c r="O980" t="s">
        <v>998</v>
      </c>
      <c r="P980" s="9">
        <v>273737</v>
      </c>
      <c r="Q980" s="9">
        <v>48246</v>
      </c>
      <c r="R980" s="9">
        <v>321983</v>
      </c>
      <c r="S980" s="9">
        <v>-190214</v>
      </c>
      <c r="T980" s="10">
        <v>112697</v>
      </c>
      <c r="U980" s="10">
        <v>2689</v>
      </c>
    </row>
    <row r="981" spans="1:21" x14ac:dyDescent="0.35">
      <c r="A981" t="s">
        <v>15</v>
      </c>
      <c r="B981" t="s">
        <v>16</v>
      </c>
      <c r="C981" t="s">
        <v>21</v>
      </c>
      <c r="D981">
        <v>229502</v>
      </c>
      <c r="E981">
        <v>23115</v>
      </c>
      <c r="F981">
        <v>27384</v>
      </c>
      <c r="G981">
        <v>-202593</v>
      </c>
      <c r="H981">
        <v>77408</v>
      </c>
      <c r="I981">
        <v>71254</v>
      </c>
      <c r="J981">
        <v>992</v>
      </c>
      <c r="K981">
        <v>821751</v>
      </c>
      <c r="L981">
        <v>181486</v>
      </c>
      <c r="M981">
        <v>-144765</v>
      </c>
      <c r="N981">
        <v>120814</v>
      </c>
      <c r="O981" t="s">
        <v>999</v>
      </c>
      <c r="P981" s="9">
        <v>192448</v>
      </c>
      <c r="Q981" s="9">
        <v>24547</v>
      </c>
      <c r="R981" s="9">
        <v>216995</v>
      </c>
      <c r="S981" s="9">
        <v>-110244</v>
      </c>
      <c r="T981" s="10">
        <v>58245</v>
      </c>
      <c r="U981" s="10">
        <v>1726</v>
      </c>
    </row>
    <row r="982" spans="1:21" x14ac:dyDescent="0.35">
      <c r="A982" t="s">
        <v>15</v>
      </c>
      <c r="B982" t="s">
        <v>20</v>
      </c>
      <c r="C982" t="s">
        <v>17</v>
      </c>
      <c r="D982">
        <v>246959</v>
      </c>
      <c r="E982">
        <v>12449</v>
      </c>
      <c r="F982">
        <v>33246</v>
      </c>
      <c r="G982">
        <v>-212324</v>
      </c>
      <c r="H982">
        <v>80330</v>
      </c>
      <c r="I982">
        <v>80575</v>
      </c>
      <c r="J982">
        <v>1951</v>
      </c>
      <c r="K982">
        <v>606462</v>
      </c>
      <c r="L982">
        <v>130660</v>
      </c>
      <c r="M982">
        <v>-143553</v>
      </c>
      <c r="N982">
        <v>108716</v>
      </c>
      <c r="O982" t="s">
        <v>1000</v>
      </c>
      <c r="P982" s="9">
        <v>281966</v>
      </c>
      <c r="Q982" s="9">
        <v>45179</v>
      </c>
      <c r="R982" s="9">
        <v>327145</v>
      </c>
      <c r="S982" s="9">
        <v>-159164</v>
      </c>
      <c r="T982" s="10">
        <v>85519</v>
      </c>
      <c r="U982" s="10">
        <v>1162</v>
      </c>
    </row>
    <row r="983" spans="1:21" x14ac:dyDescent="0.35">
      <c r="A983" t="s">
        <v>15</v>
      </c>
      <c r="B983" t="s">
        <v>20</v>
      </c>
      <c r="C983" t="s">
        <v>21</v>
      </c>
      <c r="D983">
        <v>240233</v>
      </c>
      <c r="E983">
        <v>17228</v>
      </c>
      <c r="F983">
        <v>50181</v>
      </c>
      <c r="G983">
        <v>-195288</v>
      </c>
      <c r="H983">
        <v>112354</v>
      </c>
      <c r="I983">
        <v>111899</v>
      </c>
      <c r="J983">
        <v>3083</v>
      </c>
      <c r="K983">
        <v>920368</v>
      </c>
      <c r="L983">
        <v>144932</v>
      </c>
      <c r="M983">
        <v>-333932</v>
      </c>
      <c r="N983">
        <v>105508</v>
      </c>
      <c r="O983" t="s">
        <v>1001</v>
      </c>
      <c r="P983" s="9">
        <v>277209</v>
      </c>
      <c r="Q983" s="9">
        <v>60312</v>
      </c>
      <c r="R983" s="9">
        <v>337521</v>
      </c>
      <c r="S983" s="9">
        <v>-125765</v>
      </c>
      <c r="T983" s="10">
        <v>127114</v>
      </c>
      <c r="U983" s="10">
        <v>1781</v>
      </c>
    </row>
    <row r="984" spans="1:21" x14ac:dyDescent="0.35">
      <c r="A984" t="s">
        <v>15</v>
      </c>
      <c r="B984" t="s">
        <v>16</v>
      </c>
      <c r="C984" t="s">
        <v>17</v>
      </c>
      <c r="D984">
        <v>251317</v>
      </c>
      <c r="E984">
        <v>43965</v>
      </c>
      <c r="F984">
        <v>36643</v>
      </c>
      <c r="G984">
        <v>-207581</v>
      </c>
      <c r="H984">
        <v>124344</v>
      </c>
      <c r="I984">
        <v>118156</v>
      </c>
      <c r="J984">
        <v>1363</v>
      </c>
      <c r="K984">
        <v>608235</v>
      </c>
      <c r="L984">
        <v>116001</v>
      </c>
      <c r="M984">
        <v>-108596</v>
      </c>
      <c r="N984">
        <v>162338</v>
      </c>
      <c r="O984" t="s">
        <v>1002</v>
      </c>
      <c r="P984" s="9">
        <v>248458</v>
      </c>
      <c r="Q984" s="9">
        <v>27139</v>
      </c>
      <c r="R984" s="9">
        <v>275597</v>
      </c>
      <c r="S984" s="9">
        <v>-95674</v>
      </c>
      <c r="T984" s="10">
        <v>83562</v>
      </c>
      <c r="U984" s="10">
        <v>2084</v>
      </c>
    </row>
    <row r="985" spans="1:21" x14ac:dyDescent="0.35">
      <c r="A985" t="s">
        <v>15</v>
      </c>
      <c r="B985" t="s">
        <v>16</v>
      </c>
      <c r="C985" t="s">
        <v>17</v>
      </c>
      <c r="D985">
        <v>196108</v>
      </c>
      <c r="E985">
        <v>27551</v>
      </c>
      <c r="F985">
        <v>36944</v>
      </c>
      <c r="G985">
        <v>-191475</v>
      </c>
      <c r="H985">
        <v>69128</v>
      </c>
      <c r="I985">
        <v>71282</v>
      </c>
      <c r="J985">
        <v>990</v>
      </c>
      <c r="K985">
        <v>514850</v>
      </c>
      <c r="L985">
        <v>64355</v>
      </c>
      <c r="M985">
        <v>-88420</v>
      </c>
      <c r="N985">
        <v>149439</v>
      </c>
      <c r="O985" t="s">
        <v>1003</v>
      </c>
      <c r="P985" s="9">
        <v>247626</v>
      </c>
      <c r="Q985" s="9">
        <v>25627</v>
      </c>
      <c r="R985" s="9">
        <v>273253</v>
      </c>
      <c r="S985" s="9">
        <v>-61660</v>
      </c>
      <c r="T985" s="10">
        <v>92531</v>
      </c>
      <c r="U985" s="10">
        <v>2455</v>
      </c>
    </row>
    <row r="986" spans="1:21" x14ac:dyDescent="0.35">
      <c r="A986" t="s">
        <v>15</v>
      </c>
      <c r="B986" t="s">
        <v>16</v>
      </c>
      <c r="C986" t="s">
        <v>21</v>
      </c>
      <c r="D986">
        <v>268109</v>
      </c>
      <c r="E986">
        <v>52958</v>
      </c>
      <c r="F986">
        <v>46435</v>
      </c>
      <c r="G986">
        <v>-238196</v>
      </c>
      <c r="H986">
        <v>129306</v>
      </c>
      <c r="I986">
        <v>116482</v>
      </c>
      <c r="J986">
        <v>2884</v>
      </c>
      <c r="K986">
        <v>753428</v>
      </c>
      <c r="L986">
        <v>180588</v>
      </c>
      <c r="M986">
        <v>-158255</v>
      </c>
      <c r="N986">
        <v>227587</v>
      </c>
      <c r="O986" t="s">
        <v>1004</v>
      </c>
      <c r="P986" s="9">
        <v>186009</v>
      </c>
      <c r="Q986" s="9">
        <v>28772</v>
      </c>
      <c r="R986" s="9">
        <v>214781</v>
      </c>
      <c r="S986" s="9">
        <v>-83103</v>
      </c>
      <c r="T986" s="10">
        <v>60677</v>
      </c>
      <c r="U986" s="10">
        <v>1704</v>
      </c>
    </row>
    <row r="987" spans="1:21" x14ac:dyDescent="0.35">
      <c r="A987" t="s">
        <v>15</v>
      </c>
      <c r="B987" t="s">
        <v>20</v>
      </c>
      <c r="C987" t="s">
        <v>17</v>
      </c>
      <c r="D987">
        <v>279703</v>
      </c>
      <c r="E987">
        <v>53164</v>
      </c>
      <c r="F987">
        <v>62994</v>
      </c>
      <c r="G987">
        <v>-276010</v>
      </c>
      <c r="H987">
        <v>119851</v>
      </c>
      <c r="I987">
        <v>122313</v>
      </c>
      <c r="J987">
        <v>2160</v>
      </c>
      <c r="K987">
        <v>690983</v>
      </c>
      <c r="L987">
        <v>222557</v>
      </c>
      <c r="M987">
        <v>-213381</v>
      </c>
      <c r="N987">
        <v>210750</v>
      </c>
      <c r="O987" t="s">
        <v>1005</v>
      </c>
      <c r="P987" s="9">
        <v>252278</v>
      </c>
      <c r="Q987" s="9">
        <v>40439</v>
      </c>
      <c r="R987" s="9">
        <v>292717</v>
      </c>
      <c r="S987" s="9">
        <v>-140790</v>
      </c>
      <c r="T987" s="10">
        <v>96786</v>
      </c>
      <c r="U987" s="10">
        <v>2001</v>
      </c>
    </row>
    <row r="988" spans="1:21" x14ac:dyDescent="0.35">
      <c r="A988" t="s">
        <v>15</v>
      </c>
      <c r="B988" t="s">
        <v>16</v>
      </c>
      <c r="C988" t="s">
        <v>21</v>
      </c>
      <c r="D988">
        <v>223827</v>
      </c>
      <c r="E988">
        <v>41190</v>
      </c>
      <c r="F988">
        <v>54106</v>
      </c>
      <c r="G988">
        <v>-205225</v>
      </c>
      <c r="H988">
        <v>113898</v>
      </c>
      <c r="I988">
        <v>111556</v>
      </c>
      <c r="J988">
        <v>2095</v>
      </c>
      <c r="K988">
        <v>822151</v>
      </c>
      <c r="L988">
        <v>319959</v>
      </c>
      <c r="M988">
        <v>-112578</v>
      </c>
      <c r="N988">
        <v>167343</v>
      </c>
      <c r="O988" t="s">
        <v>1006</v>
      </c>
      <c r="P988" s="9">
        <v>279219</v>
      </c>
      <c r="Q988" s="9">
        <v>19301</v>
      </c>
      <c r="R988" s="9">
        <v>298520</v>
      </c>
      <c r="S988" s="9">
        <v>-98060</v>
      </c>
      <c r="T988" s="10">
        <v>61811</v>
      </c>
      <c r="U988" s="10">
        <v>1406</v>
      </c>
    </row>
    <row r="989" spans="1:21" x14ac:dyDescent="0.35">
      <c r="A989" t="s">
        <v>15</v>
      </c>
      <c r="B989" t="s">
        <v>16</v>
      </c>
      <c r="C989" t="s">
        <v>17</v>
      </c>
      <c r="D989">
        <v>227607</v>
      </c>
      <c r="E989">
        <v>13013</v>
      </c>
      <c r="F989">
        <v>37760</v>
      </c>
      <c r="G989">
        <v>-225783</v>
      </c>
      <c r="H989">
        <v>52597</v>
      </c>
      <c r="I989">
        <v>52652</v>
      </c>
      <c r="J989">
        <v>1493</v>
      </c>
      <c r="K989">
        <v>472554</v>
      </c>
      <c r="L989">
        <v>125728</v>
      </c>
      <c r="M989">
        <v>-133656</v>
      </c>
      <c r="N989">
        <v>107417</v>
      </c>
      <c r="O989" t="s">
        <v>1007</v>
      </c>
      <c r="P989" s="9">
        <v>164535</v>
      </c>
      <c r="Q989" s="9">
        <v>10826</v>
      </c>
      <c r="R989" s="9">
        <v>175361</v>
      </c>
      <c r="S989" s="9">
        <v>-74845</v>
      </c>
      <c r="T989" s="10">
        <v>37914</v>
      </c>
      <c r="U989" s="10">
        <v>864</v>
      </c>
    </row>
    <row r="990" spans="1:21" x14ac:dyDescent="0.35">
      <c r="A990" t="s">
        <v>15</v>
      </c>
      <c r="B990" t="s">
        <v>20</v>
      </c>
      <c r="C990" t="s">
        <v>21</v>
      </c>
      <c r="D990">
        <v>258452</v>
      </c>
      <c r="E990">
        <v>24710</v>
      </c>
      <c r="F990">
        <v>52639</v>
      </c>
      <c r="G990">
        <v>-252449</v>
      </c>
      <c r="H990">
        <v>83352</v>
      </c>
      <c r="I990">
        <v>84639</v>
      </c>
      <c r="J990">
        <v>2464</v>
      </c>
      <c r="K990">
        <v>546419</v>
      </c>
      <c r="L990">
        <v>80369</v>
      </c>
      <c r="M990">
        <v>-76562</v>
      </c>
      <c r="N990">
        <v>120990</v>
      </c>
      <c r="O990" t="s">
        <v>1008</v>
      </c>
      <c r="P990" s="9">
        <v>177023</v>
      </c>
      <c r="Q990" s="9">
        <v>24504</v>
      </c>
      <c r="R990" s="9">
        <v>201527</v>
      </c>
      <c r="S990" s="9">
        <v>-53337</v>
      </c>
      <c r="T990" s="10">
        <v>82267</v>
      </c>
      <c r="U990" s="10">
        <v>2342</v>
      </c>
    </row>
    <row r="991" spans="1:21" x14ac:dyDescent="0.35">
      <c r="A991" t="s">
        <v>15</v>
      </c>
      <c r="B991" t="s">
        <v>16</v>
      </c>
      <c r="C991" t="s">
        <v>21</v>
      </c>
      <c r="D991">
        <v>231252</v>
      </c>
      <c r="E991">
        <v>45156</v>
      </c>
      <c r="F991">
        <v>38326</v>
      </c>
      <c r="G991">
        <v>-190703</v>
      </c>
      <c r="H991">
        <v>124031</v>
      </c>
      <c r="I991">
        <v>126455</v>
      </c>
      <c r="J991">
        <v>1860</v>
      </c>
      <c r="K991">
        <v>879285</v>
      </c>
      <c r="L991">
        <v>340031</v>
      </c>
      <c r="M991">
        <v>-282144</v>
      </c>
      <c r="N991">
        <v>146051</v>
      </c>
      <c r="O991" t="s">
        <v>1009</v>
      </c>
      <c r="P991" s="9">
        <v>250805</v>
      </c>
      <c r="Q991" s="9">
        <v>36503</v>
      </c>
      <c r="R991" s="9">
        <v>287308</v>
      </c>
      <c r="S991" s="9">
        <v>-116299</v>
      </c>
      <c r="T991" s="10">
        <v>103573</v>
      </c>
      <c r="U991" s="10">
        <v>3054</v>
      </c>
    </row>
    <row r="992" spans="1:21" x14ac:dyDescent="0.35">
      <c r="A992" t="s">
        <v>15</v>
      </c>
      <c r="B992" t="s">
        <v>20</v>
      </c>
      <c r="C992" t="s">
        <v>21</v>
      </c>
      <c r="D992">
        <v>168737</v>
      </c>
      <c r="E992">
        <v>25311</v>
      </c>
      <c r="F992">
        <v>34813</v>
      </c>
      <c r="G992">
        <v>-138805</v>
      </c>
      <c r="H992">
        <v>90056</v>
      </c>
      <c r="I992">
        <v>82904</v>
      </c>
      <c r="J992">
        <v>1159</v>
      </c>
      <c r="K992">
        <v>347569</v>
      </c>
      <c r="L992">
        <v>142864</v>
      </c>
      <c r="M992">
        <v>-134972</v>
      </c>
      <c r="N992">
        <v>136865</v>
      </c>
      <c r="O992" t="s">
        <v>1010</v>
      </c>
      <c r="P992" s="9">
        <v>243734</v>
      </c>
      <c r="Q992" s="9">
        <v>50751</v>
      </c>
      <c r="R992" s="9">
        <v>294485</v>
      </c>
      <c r="S992" s="9">
        <v>-145248</v>
      </c>
      <c r="T992" s="10">
        <v>94488</v>
      </c>
      <c r="U992" s="10">
        <v>2403</v>
      </c>
    </row>
    <row r="993" spans="1:21" x14ac:dyDescent="0.35">
      <c r="A993" t="s">
        <v>15</v>
      </c>
      <c r="B993" t="s">
        <v>20</v>
      </c>
      <c r="C993" t="s">
        <v>21</v>
      </c>
      <c r="D993">
        <v>253331</v>
      </c>
      <c r="E993">
        <v>41470</v>
      </c>
      <c r="F993">
        <v>32502</v>
      </c>
      <c r="G993">
        <v>-245680</v>
      </c>
      <c r="H993">
        <v>81623</v>
      </c>
      <c r="I993">
        <v>83773</v>
      </c>
      <c r="J993">
        <v>870</v>
      </c>
      <c r="K993">
        <v>867860</v>
      </c>
      <c r="L993">
        <v>213875</v>
      </c>
      <c r="M993">
        <v>-211663</v>
      </c>
      <c r="N993">
        <v>153399</v>
      </c>
      <c r="O993" t="s">
        <v>1011</v>
      </c>
      <c r="P993" s="9">
        <v>167367</v>
      </c>
      <c r="Q993" s="9">
        <v>9876</v>
      </c>
      <c r="R993" s="9">
        <v>177243</v>
      </c>
      <c r="S993" s="9">
        <v>-75626</v>
      </c>
      <c r="T993" s="10">
        <v>61515</v>
      </c>
      <c r="U993" s="10">
        <v>1014</v>
      </c>
    </row>
    <row r="994" spans="1:21" x14ac:dyDescent="0.35">
      <c r="A994" t="s">
        <v>15</v>
      </c>
      <c r="B994" t="s">
        <v>20</v>
      </c>
      <c r="C994" t="s">
        <v>21</v>
      </c>
      <c r="D994">
        <v>155152</v>
      </c>
      <c r="E994">
        <v>23406</v>
      </c>
      <c r="F994">
        <v>38756</v>
      </c>
      <c r="G994">
        <v>-147728</v>
      </c>
      <c r="H994">
        <v>69586</v>
      </c>
      <c r="I994">
        <v>67158</v>
      </c>
      <c r="J994">
        <v>1788</v>
      </c>
      <c r="K994">
        <v>408613</v>
      </c>
      <c r="L994">
        <v>168672</v>
      </c>
      <c r="M994">
        <v>-117142</v>
      </c>
      <c r="N994">
        <v>73189</v>
      </c>
      <c r="O994" t="s">
        <v>1012</v>
      </c>
      <c r="P994" s="9">
        <v>281468</v>
      </c>
      <c r="Q994" s="9">
        <v>22784</v>
      </c>
      <c r="R994" s="9">
        <v>304252</v>
      </c>
      <c r="S994" s="9">
        <v>-105593</v>
      </c>
      <c r="T994" s="10">
        <v>92179</v>
      </c>
      <c r="U994" s="10">
        <v>1319</v>
      </c>
    </row>
    <row r="995" spans="1:21" x14ac:dyDescent="0.35">
      <c r="A995" t="s">
        <v>15</v>
      </c>
      <c r="B995" t="s">
        <v>20</v>
      </c>
      <c r="C995" t="s">
        <v>21</v>
      </c>
      <c r="D995">
        <v>250619</v>
      </c>
      <c r="E995">
        <v>27873</v>
      </c>
      <c r="F995">
        <v>29775</v>
      </c>
      <c r="G995">
        <v>-226031</v>
      </c>
      <c r="H995">
        <v>82236</v>
      </c>
      <c r="I995">
        <v>74432</v>
      </c>
      <c r="J995">
        <v>1408</v>
      </c>
      <c r="K995">
        <v>814626</v>
      </c>
      <c r="L995">
        <v>292892</v>
      </c>
      <c r="M995">
        <v>-183455</v>
      </c>
      <c r="N995">
        <v>198236</v>
      </c>
      <c r="O995" t="s">
        <v>1013</v>
      </c>
      <c r="P995" s="9">
        <v>155843</v>
      </c>
      <c r="Q995" s="9">
        <v>11144</v>
      </c>
      <c r="R995" s="9">
        <v>166987</v>
      </c>
      <c r="S995" s="9">
        <v>-83189</v>
      </c>
      <c r="T995" s="10">
        <v>67271</v>
      </c>
      <c r="U995" s="10">
        <v>859</v>
      </c>
    </row>
    <row r="996" spans="1:21" x14ac:dyDescent="0.35">
      <c r="A996" t="s">
        <v>15</v>
      </c>
      <c r="B996" t="s">
        <v>16</v>
      </c>
      <c r="C996" t="s">
        <v>17</v>
      </c>
      <c r="D996">
        <v>269555</v>
      </c>
      <c r="E996">
        <v>17317</v>
      </c>
      <c r="F996">
        <v>36490</v>
      </c>
      <c r="G996">
        <v>-263518</v>
      </c>
      <c r="H996">
        <v>59844</v>
      </c>
      <c r="I996">
        <v>59539</v>
      </c>
      <c r="J996">
        <v>1118</v>
      </c>
      <c r="K996">
        <v>577453</v>
      </c>
      <c r="L996">
        <v>183820</v>
      </c>
      <c r="M996">
        <v>-128881</v>
      </c>
      <c r="N996">
        <v>197619</v>
      </c>
      <c r="O996" t="s">
        <v>1014</v>
      </c>
      <c r="P996" s="9">
        <v>171877</v>
      </c>
      <c r="Q996" s="9">
        <v>38799</v>
      </c>
      <c r="R996" s="9">
        <v>210676</v>
      </c>
      <c r="S996" s="9">
        <v>-113823</v>
      </c>
      <c r="T996" s="10">
        <v>82037</v>
      </c>
      <c r="U996" s="10">
        <v>1363</v>
      </c>
    </row>
    <row r="997" spans="1:21" x14ac:dyDescent="0.35">
      <c r="A997" t="s">
        <v>15</v>
      </c>
      <c r="B997" t="s">
        <v>16</v>
      </c>
      <c r="C997" t="s">
        <v>17</v>
      </c>
      <c r="D997">
        <v>287161</v>
      </c>
      <c r="E997">
        <v>16993</v>
      </c>
      <c r="F997">
        <v>43777</v>
      </c>
      <c r="G997">
        <v>-267462</v>
      </c>
      <c r="H997">
        <v>80469</v>
      </c>
      <c r="I997">
        <v>74059</v>
      </c>
      <c r="J997">
        <v>1259</v>
      </c>
      <c r="K997">
        <v>1078607</v>
      </c>
      <c r="L997">
        <v>279955</v>
      </c>
      <c r="M997">
        <v>-237516</v>
      </c>
      <c r="N997">
        <v>184404</v>
      </c>
      <c r="O997" t="s">
        <v>1015</v>
      </c>
      <c r="P997" s="9">
        <v>193189</v>
      </c>
      <c r="Q997" s="9">
        <v>32804</v>
      </c>
      <c r="R997" s="9">
        <v>225993</v>
      </c>
      <c r="S997" s="9">
        <v>-102679</v>
      </c>
      <c r="T997" s="10">
        <v>76355</v>
      </c>
      <c r="U997" s="10">
        <v>1032</v>
      </c>
    </row>
    <row r="998" spans="1:21" x14ac:dyDescent="0.35">
      <c r="A998" t="s">
        <v>15</v>
      </c>
      <c r="B998" t="s">
        <v>16</v>
      </c>
      <c r="C998" t="s">
        <v>21</v>
      </c>
      <c r="D998">
        <v>253090</v>
      </c>
      <c r="E998">
        <v>22208</v>
      </c>
      <c r="F998">
        <v>52795</v>
      </c>
      <c r="G998">
        <v>-243295</v>
      </c>
      <c r="H998">
        <v>84798</v>
      </c>
      <c r="I998">
        <v>88891</v>
      </c>
      <c r="J998">
        <v>1195</v>
      </c>
      <c r="K998">
        <v>857964</v>
      </c>
      <c r="L998">
        <v>333092</v>
      </c>
      <c r="M998">
        <v>-291952</v>
      </c>
      <c r="N998">
        <v>219476</v>
      </c>
      <c r="O998" t="s">
        <v>1016</v>
      </c>
      <c r="P998" s="9">
        <v>251047</v>
      </c>
      <c r="Q998" s="9">
        <v>34389</v>
      </c>
      <c r="R998" s="9">
        <v>285436</v>
      </c>
      <c r="S998" s="9">
        <v>-79082</v>
      </c>
      <c r="T998" s="10">
        <v>91033</v>
      </c>
      <c r="U998" s="10">
        <v>2103</v>
      </c>
    </row>
    <row r="999" spans="1:21" x14ac:dyDescent="0.35">
      <c r="A999" t="s">
        <v>15</v>
      </c>
      <c r="B999" t="s">
        <v>16</v>
      </c>
      <c r="C999" t="s">
        <v>21</v>
      </c>
      <c r="D999">
        <v>151604</v>
      </c>
      <c r="E999">
        <v>16917</v>
      </c>
      <c r="F999">
        <v>32842</v>
      </c>
      <c r="G999">
        <v>-148197</v>
      </c>
      <c r="H999">
        <v>53166</v>
      </c>
      <c r="I999">
        <v>52138</v>
      </c>
      <c r="J999">
        <v>687</v>
      </c>
      <c r="K999">
        <v>550355</v>
      </c>
      <c r="L999">
        <v>156337</v>
      </c>
      <c r="M999">
        <v>-173701</v>
      </c>
      <c r="N999">
        <v>117489</v>
      </c>
      <c r="O999" t="s">
        <v>1017</v>
      </c>
      <c r="P999" s="9">
        <v>285078</v>
      </c>
      <c r="Q999" s="9">
        <v>19380</v>
      </c>
      <c r="R999" s="9">
        <v>304458</v>
      </c>
      <c r="S999" s="9">
        <v>-113419</v>
      </c>
      <c r="T999" s="10">
        <v>91843</v>
      </c>
      <c r="U999" s="10">
        <v>2574</v>
      </c>
    </row>
    <row r="1000" spans="1:21" x14ac:dyDescent="0.35">
      <c r="A1000" t="s">
        <v>15</v>
      </c>
      <c r="B1000" t="s">
        <v>16</v>
      </c>
      <c r="C1000" t="s">
        <v>17</v>
      </c>
      <c r="D1000">
        <v>277647</v>
      </c>
      <c r="E1000">
        <v>33447</v>
      </c>
      <c r="F1000">
        <v>67711</v>
      </c>
      <c r="G1000">
        <v>-243565</v>
      </c>
      <c r="H1000">
        <v>135240</v>
      </c>
      <c r="I1000">
        <v>123128</v>
      </c>
      <c r="J1000">
        <v>1862</v>
      </c>
      <c r="K1000">
        <v>567218</v>
      </c>
      <c r="L1000">
        <v>200779</v>
      </c>
      <c r="M1000">
        <v>-98570</v>
      </c>
      <c r="N1000">
        <v>214616</v>
      </c>
      <c r="O1000" t="s">
        <v>1018</v>
      </c>
      <c r="P1000" s="9">
        <v>223656</v>
      </c>
      <c r="Q1000" s="9">
        <v>25946</v>
      </c>
      <c r="R1000" s="9">
        <v>249602</v>
      </c>
      <c r="S1000" s="9">
        <v>-97038</v>
      </c>
      <c r="T1000" s="10">
        <v>80801</v>
      </c>
      <c r="U1000" s="10">
        <v>2328</v>
      </c>
    </row>
    <row r="1001" spans="1:21" x14ac:dyDescent="0.35">
      <c r="A1001" t="s">
        <v>15</v>
      </c>
      <c r="B1001" t="s">
        <v>16</v>
      </c>
      <c r="C1001" t="s">
        <v>21</v>
      </c>
      <c r="D1001">
        <v>272994</v>
      </c>
      <c r="E1001">
        <v>47092</v>
      </c>
      <c r="F1001">
        <v>47381</v>
      </c>
      <c r="G1001">
        <v>-258134</v>
      </c>
      <c r="H1001">
        <v>109333</v>
      </c>
      <c r="I1001">
        <v>109146</v>
      </c>
      <c r="J1001">
        <v>1522</v>
      </c>
      <c r="K1001">
        <v>856814</v>
      </c>
      <c r="L1001">
        <v>136224</v>
      </c>
      <c r="M1001">
        <v>-217105</v>
      </c>
      <c r="N1001">
        <v>104627</v>
      </c>
      <c r="O1001" t="s">
        <v>1019</v>
      </c>
      <c r="P1001" s="9">
        <v>172948</v>
      </c>
      <c r="Q1001" s="9">
        <v>14987</v>
      </c>
      <c r="R1001" s="9">
        <v>187935</v>
      </c>
      <c r="S1001" s="9">
        <v>-66837</v>
      </c>
      <c r="T1001" s="10">
        <v>84410</v>
      </c>
      <c r="U1001" s="10">
        <v>2514</v>
      </c>
    </row>
    <row r="1002" spans="1:21" x14ac:dyDescent="0.35">
      <c r="A1002" t="s">
        <v>15</v>
      </c>
      <c r="B1002" t="s">
        <v>20</v>
      </c>
      <c r="C1002" t="s">
        <v>21</v>
      </c>
      <c r="D1002">
        <v>296318</v>
      </c>
      <c r="E1002">
        <v>20064</v>
      </c>
      <c r="F1002">
        <v>57712</v>
      </c>
      <c r="G1002">
        <v>-240075</v>
      </c>
      <c r="H1002">
        <v>134019</v>
      </c>
      <c r="I1002">
        <v>132126</v>
      </c>
      <c r="J1002">
        <v>2444</v>
      </c>
      <c r="K1002">
        <v>991798</v>
      </c>
      <c r="L1002">
        <v>266137</v>
      </c>
      <c r="M1002">
        <v>-360136</v>
      </c>
      <c r="N1002">
        <v>187381</v>
      </c>
      <c r="O1002" t="s">
        <v>1020</v>
      </c>
      <c r="P1002" s="9">
        <v>150792</v>
      </c>
      <c r="Q1002" s="9">
        <v>29769</v>
      </c>
      <c r="R1002" s="9">
        <v>180561</v>
      </c>
      <c r="S1002" s="9">
        <v>-103786</v>
      </c>
      <c r="T1002" s="10">
        <v>71668</v>
      </c>
      <c r="U1002" s="10">
        <v>1026</v>
      </c>
    </row>
    <row r="1003" spans="1:21" x14ac:dyDescent="0.35">
      <c r="A1003" t="s">
        <v>15</v>
      </c>
      <c r="B1003" t="s">
        <v>16</v>
      </c>
      <c r="C1003" t="s">
        <v>21</v>
      </c>
      <c r="D1003">
        <v>274522</v>
      </c>
      <c r="E1003">
        <v>20372</v>
      </c>
      <c r="F1003">
        <v>35896</v>
      </c>
      <c r="G1003">
        <v>-249390</v>
      </c>
      <c r="H1003">
        <v>81400</v>
      </c>
      <c r="I1003">
        <v>81909</v>
      </c>
      <c r="J1003">
        <v>1269</v>
      </c>
      <c r="K1003">
        <v>811473</v>
      </c>
      <c r="L1003">
        <v>141891</v>
      </c>
      <c r="M1003">
        <v>-212031</v>
      </c>
      <c r="N1003">
        <v>236150</v>
      </c>
      <c r="O1003" t="s">
        <v>1021</v>
      </c>
      <c r="P1003" s="9">
        <v>261856</v>
      </c>
      <c r="Q1003" s="9">
        <v>16010</v>
      </c>
      <c r="R1003" s="9">
        <v>277866</v>
      </c>
      <c r="S1003" s="9">
        <v>-88158</v>
      </c>
      <c r="T1003" s="10">
        <v>89325</v>
      </c>
      <c r="U1003" s="10">
        <v>2470</v>
      </c>
    </row>
    <row r="1004" spans="1:21" x14ac:dyDescent="0.35">
      <c r="A1004" t="s">
        <v>15</v>
      </c>
      <c r="B1004" t="s">
        <v>20</v>
      </c>
      <c r="C1004" t="s">
        <v>21</v>
      </c>
      <c r="D1004">
        <v>155088</v>
      </c>
      <c r="E1004">
        <v>14487</v>
      </c>
      <c r="F1004">
        <v>23212</v>
      </c>
      <c r="G1004">
        <v>-146662</v>
      </c>
      <c r="H1004">
        <v>46125</v>
      </c>
      <c r="I1004">
        <v>43583</v>
      </c>
      <c r="J1004">
        <v>862</v>
      </c>
      <c r="K1004">
        <v>347182</v>
      </c>
      <c r="L1004">
        <v>132586</v>
      </c>
      <c r="M1004">
        <v>-112694</v>
      </c>
      <c r="N1004">
        <v>120872</v>
      </c>
      <c r="O1004" t="s">
        <v>1022</v>
      </c>
      <c r="P1004" s="9">
        <v>271398</v>
      </c>
      <c r="Q1004" s="9">
        <v>31998</v>
      </c>
      <c r="R1004" s="9">
        <v>303396</v>
      </c>
      <c r="S1004" s="9">
        <v>-87890</v>
      </c>
      <c r="T1004" s="10">
        <v>85212</v>
      </c>
      <c r="U1004" s="10">
        <v>2240</v>
      </c>
    </row>
    <row r="1005" spans="1:21" x14ac:dyDescent="0.35">
      <c r="A1005" t="s">
        <v>15</v>
      </c>
      <c r="B1005" t="s">
        <v>16</v>
      </c>
      <c r="C1005" t="s">
        <v>21</v>
      </c>
      <c r="D1005">
        <v>243464</v>
      </c>
      <c r="E1005">
        <v>40452</v>
      </c>
      <c r="F1005">
        <v>25338</v>
      </c>
      <c r="G1005">
        <v>-240040</v>
      </c>
      <c r="H1005">
        <v>69214</v>
      </c>
      <c r="I1005">
        <v>71636</v>
      </c>
      <c r="J1005">
        <v>1545</v>
      </c>
      <c r="K1005">
        <v>748052</v>
      </c>
      <c r="L1005">
        <v>195808</v>
      </c>
      <c r="M1005">
        <v>-200394</v>
      </c>
      <c r="N1005">
        <v>157116</v>
      </c>
      <c r="O1005" t="s">
        <v>1023</v>
      </c>
      <c r="P1005" s="9">
        <v>260409</v>
      </c>
      <c r="Q1005" s="9">
        <v>32385</v>
      </c>
      <c r="R1005" s="9">
        <v>292794</v>
      </c>
      <c r="S1005" s="9">
        <v>-98892</v>
      </c>
      <c r="T1005" s="10">
        <v>101075</v>
      </c>
      <c r="U1005" s="10">
        <v>1047</v>
      </c>
    </row>
    <row r="1006" spans="1:21" x14ac:dyDescent="0.35">
      <c r="A1006" t="s">
        <v>15</v>
      </c>
      <c r="B1006" t="s">
        <v>20</v>
      </c>
      <c r="C1006" t="s">
        <v>17</v>
      </c>
      <c r="D1006">
        <v>193324</v>
      </c>
      <c r="E1006">
        <v>20714</v>
      </c>
      <c r="F1006">
        <v>31460</v>
      </c>
      <c r="G1006">
        <v>-163857</v>
      </c>
      <c r="H1006">
        <v>81641</v>
      </c>
      <c r="I1006">
        <v>80133</v>
      </c>
      <c r="J1006">
        <v>2068</v>
      </c>
      <c r="K1006">
        <v>761487</v>
      </c>
      <c r="L1006">
        <v>269255</v>
      </c>
      <c r="M1006">
        <v>-188178</v>
      </c>
      <c r="N1006">
        <v>159634</v>
      </c>
      <c r="O1006" t="s">
        <v>1024</v>
      </c>
      <c r="P1006" s="9">
        <v>178675</v>
      </c>
      <c r="Q1006" s="9">
        <v>29922</v>
      </c>
      <c r="R1006" s="9">
        <v>208597</v>
      </c>
      <c r="S1006" s="9">
        <v>-96908</v>
      </c>
      <c r="T1006" s="10">
        <v>89198</v>
      </c>
      <c r="U1006" s="10">
        <v>1278</v>
      </c>
    </row>
    <row r="1007" spans="1:21" x14ac:dyDescent="0.35">
      <c r="A1007" t="s">
        <v>15</v>
      </c>
      <c r="B1007" t="s">
        <v>16</v>
      </c>
      <c r="C1007" t="s">
        <v>21</v>
      </c>
      <c r="D1007">
        <v>280419</v>
      </c>
      <c r="E1007">
        <v>25952</v>
      </c>
      <c r="F1007">
        <v>45587</v>
      </c>
      <c r="G1007">
        <v>-225810</v>
      </c>
      <c r="H1007">
        <v>126148</v>
      </c>
      <c r="I1007">
        <v>126373</v>
      </c>
      <c r="J1007">
        <v>1949</v>
      </c>
      <c r="K1007">
        <v>736638</v>
      </c>
      <c r="L1007">
        <v>265503</v>
      </c>
      <c r="M1007">
        <v>-91610</v>
      </c>
      <c r="N1007">
        <v>250988</v>
      </c>
      <c r="O1007" t="s">
        <v>1025</v>
      </c>
      <c r="P1007" s="9">
        <v>239413</v>
      </c>
      <c r="Q1007" s="9">
        <v>41000</v>
      </c>
      <c r="R1007" s="9">
        <v>280413</v>
      </c>
      <c r="S1007" s="9">
        <v>-78872</v>
      </c>
      <c r="T1007" s="10">
        <v>119994</v>
      </c>
      <c r="U1007" s="10">
        <v>3566</v>
      </c>
    </row>
    <row r="1008" spans="1:21" x14ac:dyDescent="0.35">
      <c r="A1008" t="s">
        <v>15</v>
      </c>
      <c r="B1008" t="s">
        <v>20</v>
      </c>
      <c r="C1008" t="s">
        <v>17</v>
      </c>
      <c r="D1008">
        <v>152400</v>
      </c>
      <c r="E1008">
        <v>30091</v>
      </c>
      <c r="F1008">
        <v>19469</v>
      </c>
      <c r="G1008">
        <v>-124548</v>
      </c>
      <c r="H1008">
        <v>77412</v>
      </c>
      <c r="I1008">
        <v>76851</v>
      </c>
      <c r="J1008">
        <v>1806</v>
      </c>
      <c r="K1008">
        <v>462972</v>
      </c>
      <c r="L1008">
        <v>121680</v>
      </c>
      <c r="M1008">
        <v>-178086</v>
      </c>
      <c r="N1008">
        <v>116644</v>
      </c>
      <c r="O1008" t="s">
        <v>1026</v>
      </c>
      <c r="P1008" s="9">
        <v>293232</v>
      </c>
      <c r="Q1008" s="9">
        <v>40301</v>
      </c>
      <c r="R1008" s="9">
        <v>333533</v>
      </c>
      <c r="S1008" s="9">
        <v>-177998</v>
      </c>
      <c r="T1008" s="10">
        <v>116166</v>
      </c>
      <c r="U1008" s="10">
        <v>1531</v>
      </c>
    </row>
    <row r="1009" spans="1:21" x14ac:dyDescent="0.35">
      <c r="A1009" t="s">
        <v>15</v>
      </c>
      <c r="B1009" t="s">
        <v>16</v>
      </c>
      <c r="C1009" t="s">
        <v>21</v>
      </c>
      <c r="D1009">
        <v>183501</v>
      </c>
      <c r="E1009">
        <v>26005</v>
      </c>
      <c r="F1009">
        <v>30017</v>
      </c>
      <c r="G1009">
        <v>-163286</v>
      </c>
      <c r="H1009">
        <v>76237</v>
      </c>
      <c r="I1009">
        <v>71568</v>
      </c>
      <c r="J1009">
        <v>1033</v>
      </c>
      <c r="K1009">
        <v>397513</v>
      </c>
      <c r="L1009">
        <v>103294</v>
      </c>
      <c r="M1009">
        <v>-150666</v>
      </c>
      <c r="N1009">
        <v>114028</v>
      </c>
      <c r="O1009" t="s">
        <v>1027</v>
      </c>
      <c r="P1009" s="9">
        <v>277696</v>
      </c>
      <c r="Q1009" s="9">
        <v>17290</v>
      </c>
      <c r="R1009" s="9">
        <v>294986</v>
      </c>
      <c r="S1009" s="9">
        <v>-153470</v>
      </c>
      <c r="T1009" s="10">
        <v>97718</v>
      </c>
      <c r="U1009" s="10">
        <v>1491</v>
      </c>
    </row>
    <row r="1010" spans="1:21" x14ac:dyDescent="0.35">
      <c r="A1010" t="s">
        <v>15</v>
      </c>
      <c r="B1010" t="s">
        <v>20</v>
      </c>
      <c r="C1010" t="s">
        <v>21</v>
      </c>
      <c r="D1010">
        <v>195714</v>
      </c>
      <c r="E1010">
        <v>22556</v>
      </c>
      <c r="F1010">
        <v>36255</v>
      </c>
      <c r="G1010">
        <v>-178517</v>
      </c>
      <c r="H1010">
        <v>76008</v>
      </c>
      <c r="I1010">
        <v>79670</v>
      </c>
      <c r="J1010">
        <v>1638</v>
      </c>
      <c r="K1010">
        <v>397961</v>
      </c>
      <c r="L1010">
        <v>60947</v>
      </c>
      <c r="M1010">
        <v>-128036</v>
      </c>
      <c r="N1010">
        <v>102444</v>
      </c>
      <c r="O1010" t="s">
        <v>1028</v>
      </c>
      <c r="P1010" s="9">
        <v>146983</v>
      </c>
      <c r="Q1010" s="9">
        <v>9659</v>
      </c>
      <c r="R1010" s="9">
        <v>156642</v>
      </c>
      <c r="S1010" s="9">
        <v>-44015</v>
      </c>
      <c r="T1010" s="10">
        <v>45694</v>
      </c>
      <c r="U1010" s="10">
        <v>503</v>
      </c>
    </row>
    <row r="1011" spans="1:21" x14ac:dyDescent="0.35">
      <c r="A1011" t="s">
        <v>15</v>
      </c>
      <c r="B1011" t="s">
        <v>16</v>
      </c>
      <c r="C1011" t="s">
        <v>21</v>
      </c>
      <c r="D1011">
        <v>263677</v>
      </c>
      <c r="E1011">
        <v>26108</v>
      </c>
      <c r="F1011">
        <v>51324</v>
      </c>
      <c r="G1011">
        <v>-216596</v>
      </c>
      <c r="H1011">
        <v>124513</v>
      </c>
      <c r="I1011">
        <v>124540</v>
      </c>
      <c r="J1011">
        <v>3648</v>
      </c>
      <c r="K1011">
        <v>529316</v>
      </c>
      <c r="L1011">
        <v>248523</v>
      </c>
      <c r="M1011">
        <v>-151352</v>
      </c>
      <c r="N1011">
        <v>155356</v>
      </c>
      <c r="O1011" t="s">
        <v>1029</v>
      </c>
      <c r="P1011" s="9">
        <v>259486</v>
      </c>
      <c r="Q1011" s="9">
        <v>40292</v>
      </c>
      <c r="R1011" s="9">
        <v>299778</v>
      </c>
      <c r="S1011" s="9">
        <v>-65987</v>
      </c>
      <c r="T1011" s="10">
        <v>107581</v>
      </c>
      <c r="U1011" s="10">
        <v>2429</v>
      </c>
    </row>
    <row r="1012" spans="1:21" x14ac:dyDescent="0.35">
      <c r="A1012" t="s">
        <v>15</v>
      </c>
      <c r="B1012" t="s">
        <v>16</v>
      </c>
      <c r="C1012" t="s">
        <v>21</v>
      </c>
      <c r="D1012">
        <v>165362</v>
      </c>
      <c r="E1012">
        <v>23073</v>
      </c>
      <c r="F1012">
        <v>18103</v>
      </c>
      <c r="G1012">
        <v>-132873</v>
      </c>
      <c r="H1012">
        <v>73665</v>
      </c>
      <c r="I1012">
        <v>69595</v>
      </c>
      <c r="J1012">
        <v>952</v>
      </c>
      <c r="K1012">
        <v>404282</v>
      </c>
      <c r="L1012">
        <v>52969</v>
      </c>
      <c r="M1012">
        <v>-143905</v>
      </c>
      <c r="N1012">
        <v>135492</v>
      </c>
      <c r="O1012" t="s">
        <v>1030</v>
      </c>
      <c r="P1012" s="9">
        <v>148369</v>
      </c>
      <c r="Q1012" s="9">
        <v>28027</v>
      </c>
      <c r="R1012" s="9">
        <v>176396</v>
      </c>
      <c r="S1012" s="9">
        <v>-95616</v>
      </c>
      <c r="T1012" s="10">
        <v>73371</v>
      </c>
      <c r="U1012" s="10">
        <v>1731</v>
      </c>
    </row>
    <row r="1013" spans="1:21" x14ac:dyDescent="0.35">
      <c r="A1013" t="s">
        <v>15</v>
      </c>
      <c r="B1013" t="s">
        <v>16</v>
      </c>
      <c r="C1013" t="s">
        <v>17</v>
      </c>
      <c r="D1013">
        <v>264963</v>
      </c>
      <c r="E1013">
        <v>34707</v>
      </c>
      <c r="F1013">
        <v>37388</v>
      </c>
      <c r="G1013">
        <v>-256477</v>
      </c>
      <c r="H1013">
        <v>80581</v>
      </c>
      <c r="I1013">
        <v>73102</v>
      </c>
      <c r="J1013">
        <v>1392</v>
      </c>
      <c r="K1013">
        <v>536621</v>
      </c>
      <c r="L1013">
        <v>107983</v>
      </c>
      <c r="M1013">
        <v>-141947</v>
      </c>
      <c r="N1013">
        <v>204948</v>
      </c>
      <c r="O1013" t="s">
        <v>1031</v>
      </c>
      <c r="P1013" s="9">
        <v>158343</v>
      </c>
      <c r="Q1013" s="9">
        <v>23266</v>
      </c>
      <c r="R1013" s="9">
        <v>181609</v>
      </c>
      <c r="S1013" s="9">
        <v>-44464</v>
      </c>
      <c r="T1013" s="10">
        <v>40169</v>
      </c>
      <c r="U1013" s="10">
        <v>930</v>
      </c>
    </row>
    <row r="1014" spans="1:21" x14ac:dyDescent="0.35">
      <c r="A1014" t="s">
        <v>15</v>
      </c>
      <c r="B1014" t="s">
        <v>20</v>
      </c>
      <c r="C1014" t="s">
        <v>21</v>
      </c>
      <c r="D1014">
        <v>152932</v>
      </c>
      <c r="E1014">
        <v>9513</v>
      </c>
      <c r="F1014">
        <v>32136</v>
      </c>
      <c r="G1014">
        <v>-126587</v>
      </c>
      <c r="H1014">
        <v>67994</v>
      </c>
      <c r="I1014">
        <v>71085</v>
      </c>
      <c r="J1014">
        <v>858</v>
      </c>
      <c r="K1014">
        <v>503436</v>
      </c>
      <c r="L1014">
        <v>126992</v>
      </c>
      <c r="M1014">
        <v>-101866</v>
      </c>
      <c r="N1014">
        <v>95540</v>
      </c>
      <c r="O1014" t="s">
        <v>1032</v>
      </c>
      <c r="P1014" s="9">
        <v>214556</v>
      </c>
      <c r="Q1014" s="9">
        <v>34441</v>
      </c>
      <c r="R1014" s="9">
        <v>248997</v>
      </c>
      <c r="S1014" s="9">
        <v>-144231</v>
      </c>
      <c r="T1014" s="10">
        <v>90512</v>
      </c>
      <c r="U1014" s="10">
        <v>2157</v>
      </c>
    </row>
    <row r="1015" spans="1:21" x14ac:dyDescent="0.35">
      <c r="A1015" t="s">
        <v>15</v>
      </c>
      <c r="B1015" t="s">
        <v>20</v>
      </c>
      <c r="C1015" t="s">
        <v>17</v>
      </c>
      <c r="D1015">
        <v>271996</v>
      </c>
      <c r="E1015">
        <v>42588</v>
      </c>
      <c r="F1015">
        <v>32278</v>
      </c>
      <c r="G1015">
        <v>-265948</v>
      </c>
      <c r="H1015">
        <v>80914</v>
      </c>
      <c r="I1015">
        <v>83337</v>
      </c>
      <c r="J1015">
        <v>2269</v>
      </c>
      <c r="K1015">
        <v>679829</v>
      </c>
      <c r="L1015">
        <v>306142</v>
      </c>
      <c r="M1015">
        <v>-91593</v>
      </c>
      <c r="N1015">
        <v>166564</v>
      </c>
      <c r="O1015" t="s">
        <v>1033</v>
      </c>
      <c r="P1015" s="9">
        <v>193572</v>
      </c>
      <c r="Q1015" s="9">
        <v>13885</v>
      </c>
      <c r="R1015" s="9">
        <v>207457</v>
      </c>
      <c r="S1015" s="9">
        <v>-118998</v>
      </c>
      <c r="T1015" s="10">
        <v>62176</v>
      </c>
      <c r="U1015" s="10">
        <v>665</v>
      </c>
    </row>
    <row r="1016" spans="1:21" x14ac:dyDescent="0.35">
      <c r="A1016" t="s">
        <v>15</v>
      </c>
      <c r="B1016" t="s">
        <v>20</v>
      </c>
      <c r="C1016" t="s">
        <v>21</v>
      </c>
      <c r="D1016">
        <v>274706</v>
      </c>
      <c r="E1016">
        <v>49904</v>
      </c>
      <c r="F1016">
        <v>46333</v>
      </c>
      <c r="G1016">
        <v>-220280</v>
      </c>
      <c r="H1016">
        <v>150663</v>
      </c>
      <c r="I1016">
        <v>147597</v>
      </c>
      <c r="J1016">
        <v>4227</v>
      </c>
      <c r="K1016">
        <v>784749</v>
      </c>
      <c r="L1016">
        <v>358682</v>
      </c>
      <c r="M1016">
        <v>-287513</v>
      </c>
      <c r="N1016">
        <v>90737</v>
      </c>
      <c r="O1016" t="s">
        <v>1034</v>
      </c>
      <c r="P1016" s="9">
        <v>258020</v>
      </c>
      <c r="Q1016" s="9">
        <v>48279</v>
      </c>
      <c r="R1016" s="9">
        <v>306299</v>
      </c>
      <c r="S1016" s="9">
        <v>-81941</v>
      </c>
      <c r="T1016" s="10">
        <v>103427</v>
      </c>
      <c r="U1016" s="10">
        <v>2569</v>
      </c>
    </row>
    <row r="1017" spans="1:21" x14ac:dyDescent="0.35">
      <c r="A1017" t="s">
        <v>15</v>
      </c>
      <c r="B1017" t="s">
        <v>16</v>
      </c>
      <c r="C1017" t="s">
        <v>21</v>
      </c>
      <c r="D1017">
        <v>267890</v>
      </c>
      <c r="E1017">
        <v>44364</v>
      </c>
      <c r="F1017">
        <v>28665</v>
      </c>
      <c r="G1017">
        <v>-261604</v>
      </c>
      <c r="H1017">
        <v>79315</v>
      </c>
      <c r="I1017">
        <v>82570</v>
      </c>
      <c r="J1017">
        <v>872</v>
      </c>
      <c r="K1017">
        <v>1040264</v>
      </c>
      <c r="L1017">
        <v>143100</v>
      </c>
      <c r="M1017">
        <v>-321980</v>
      </c>
      <c r="N1017">
        <v>168424</v>
      </c>
      <c r="O1017" t="s">
        <v>1035</v>
      </c>
      <c r="P1017" s="9">
        <v>295712</v>
      </c>
      <c r="Q1017" s="9">
        <v>42107</v>
      </c>
      <c r="R1017" s="9">
        <v>337819</v>
      </c>
      <c r="S1017" s="9">
        <v>-170627</v>
      </c>
      <c r="T1017" s="10">
        <v>102056</v>
      </c>
      <c r="U1017" s="10">
        <v>2080</v>
      </c>
    </row>
    <row r="1018" spans="1:21" x14ac:dyDescent="0.35">
      <c r="A1018" t="s">
        <v>15</v>
      </c>
      <c r="B1018" t="s">
        <v>16</v>
      </c>
      <c r="C1018" t="s">
        <v>17</v>
      </c>
      <c r="D1018">
        <v>279794</v>
      </c>
      <c r="E1018">
        <v>55409</v>
      </c>
      <c r="F1018">
        <v>50960</v>
      </c>
      <c r="G1018">
        <v>-254289</v>
      </c>
      <c r="H1018">
        <v>131874</v>
      </c>
      <c r="I1018">
        <v>128827</v>
      </c>
      <c r="J1018">
        <v>3256</v>
      </c>
      <c r="K1018">
        <v>919082</v>
      </c>
      <c r="L1018">
        <v>432952</v>
      </c>
      <c r="M1018">
        <v>-329101</v>
      </c>
      <c r="N1018">
        <v>217560</v>
      </c>
      <c r="O1018" t="s">
        <v>1036</v>
      </c>
      <c r="P1018" s="9">
        <v>227601</v>
      </c>
      <c r="Q1018" s="9">
        <v>34063</v>
      </c>
      <c r="R1018" s="9">
        <v>261664</v>
      </c>
      <c r="S1018" s="9">
        <v>-151295</v>
      </c>
      <c r="T1018" s="10">
        <v>67359</v>
      </c>
      <c r="U1018" s="10">
        <v>1093</v>
      </c>
    </row>
    <row r="1019" spans="1:21" x14ac:dyDescent="0.35">
      <c r="A1019" t="s">
        <v>15</v>
      </c>
      <c r="B1019" t="s">
        <v>20</v>
      </c>
      <c r="C1019" t="s">
        <v>21</v>
      </c>
      <c r="D1019">
        <v>224068</v>
      </c>
      <c r="E1019">
        <v>20383</v>
      </c>
      <c r="F1019">
        <v>29036</v>
      </c>
      <c r="G1019">
        <v>-184865</v>
      </c>
      <c r="H1019">
        <v>88622</v>
      </c>
      <c r="I1019">
        <v>89630</v>
      </c>
      <c r="J1019">
        <v>1308</v>
      </c>
      <c r="K1019">
        <v>726182</v>
      </c>
      <c r="L1019">
        <v>214984</v>
      </c>
      <c r="M1019">
        <v>-262212</v>
      </c>
      <c r="N1019">
        <v>79189</v>
      </c>
      <c r="O1019" t="s">
        <v>1037</v>
      </c>
      <c r="P1019" s="9">
        <v>187514</v>
      </c>
      <c r="Q1019" s="9">
        <v>32130</v>
      </c>
      <c r="R1019" s="9">
        <v>219644</v>
      </c>
      <c r="S1019" s="9">
        <v>-69022</v>
      </c>
      <c r="T1019" s="10">
        <v>55012</v>
      </c>
      <c r="U1019" s="10">
        <v>567</v>
      </c>
    </row>
    <row r="1020" spans="1:21" x14ac:dyDescent="0.35">
      <c r="A1020" t="s">
        <v>15</v>
      </c>
      <c r="B1020" t="s">
        <v>16</v>
      </c>
      <c r="C1020" t="s">
        <v>17</v>
      </c>
      <c r="D1020">
        <v>245721</v>
      </c>
      <c r="E1020">
        <v>29570</v>
      </c>
      <c r="F1020">
        <v>37196</v>
      </c>
      <c r="G1020">
        <v>-205095</v>
      </c>
      <c r="H1020">
        <v>107392</v>
      </c>
      <c r="I1020">
        <v>100500</v>
      </c>
      <c r="J1020">
        <v>1154</v>
      </c>
      <c r="K1020">
        <v>954612</v>
      </c>
      <c r="L1020">
        <v>291238</v>
      </c>
      <c r="M1020">
        <v>-339522</v>
      </c>
      <c r="N1020">
        <v>79088</v>
      </c>
      <c r="O1020" t="s">
        <v>1038</v>
      </c>
      <c r="P1020" s="9">
        <v>238665</v>
      </c>
      <c r="Q1020" s="9">
        <v>18902</v>
      </c>
      <c r="R1020" s="9">
        <v>257567</v>
      </c>
      <c r="S1020" s="9">
        <v>-127776</v>
      </c>
      <c r="T1020" s="10">
        <v>98419</v>
      </c>
      <c r="U1020" s="10">
        <v>2023</v>
      </c>
    </row>
    <row r="1021" spans="1:21" x14ac:dyDescent="0.35">
      <c r="A1021" t="s">
        <v>15</v>
      </c>
      <c r="B1021" t="s">
        <v>16</v>
      </c>
      <c r="C1021" t="s">
        <v>17</v>
      </c>
      <c r="D1021">
        <v>171180</v>
      </c>
      <c r="E1021">
        <v>24737</v>
      </c>
      <c r="F1021">
        <v>37780</v>
      </c>
      <c r="G1021">
        <v>-160016</v>
      </c>
      <c r="H1021">
        <v>73681</v>
      </c>
      <c r="I1021">
        <v>71998</v>
      </c>
      <c r="J1021">
        <v>1546</v>
      </c>
      <c r="K1021">
        <v>441199</v>
      </c>
      <c r="L1021">
        <v>123786</v>
      </c>
      <c r="M1021">
        <v>-59562</v>
      </c>
      <c r="N1021">
        <v>138582</v>
      </c>
      <c r="O1021" t="s">
        <v>1039</v>
      </c>
      <c r="P1021" s="9">
        <v>276450</v>
      </c>
      <c r="Q1021" s="9">
        <v>50684</v>
      </c>
      <c r="R1021" s="9">
        <v>327134</v>
      </c>
      <c r="S1021" s="9">
        <v>-186081</v>
      </c>
      <c r="T1021" s="10">
        <v>114164</v>
      </c>
      <c r="U1021" s="10">
        <v>1185</v>
      </c>
    </row>
    <row r="1022" spans="1:21" x14ac:dyDescent="0.35">
      <c r="A1022" t="s">
        <v>15</v>
      </c>
      <c r="B1022" t="s">
        <v>16</v>
      </c>
      <c r="C1022" t="s">
        <v>21</v>
      </c>
      <c r="D1022">
        <v>179062</v>
      </c>
      <c r="E1022">
        <v>34119</v>
      </c>
      <c r="F1022">
        <v>33981</v>
      </c>
      <c r="G1022">
        <v>-154357</v>
      </c>
      <c r="H1022">
        <v>92805</v>
      </c>
      <c r="I1022">
        <v>92446</v>
      </c>
      <c r="J1022">
        <v>1102</v>
      </c>
      <c r="K1022">
        <v>425709</v>
      </c>
      <c r="L1022">
        <v>110528</v>
      </c>
      <c r="M1022">
        <v>-103602</v>
      </c>
      <c r="N1022">
        <v>114801</v>
      </c>
      <c r="O1022" t="s">
        <v>1040</v>
      </c>
      <c r="P1022" s="9">
        <v>206344</v>
      </c>
      <c r="Q1022" s="9">
        <v>15601</v>
      </c>
      <c r="R1022" s="9">
        <v>221945</v>
      </c>
      <c r="S1022" s="9">
        <v>-60312</v>
      </c>
      <c r="T1022" s="10">
        <v>74499</v>
      </c>
      <c r="U1022" s="10">
        <v>1907</v>
      </c>
    </row>
    <row r="1023" spans="1:21" x14ac:dyDescent="0.35">
      <c r="A1023" t="s">
        <v>15</v>
      </c>
      <c r="B1023" t="s">
        <v>16</v>
      </c>
      <c r="C1023" t="s">
        <v>21</v>
      </c>
      <c r="D1023">
        <v>251519</v>
      </c>
      <c r="E1023">
        <v>44856</v>
      </c>
      <c r="F1023">
        <v>45056</v>
      </c>
      <c r="G1023">
        <v>-214447</v>
      </c>
      <c r="H1023">
        <v>126984</v>
      </c>
      <c r="I1023">
        <v>130273</v>
      </c>
      <c r="J1023">
        <v>3539</v>
      </c>
      <c r="K1023">
        <v>689836</v>
      </c>
      <c r="L1023">
        <v>172576</v>
      </c>
      <c r="M1023">
        <v>-91350</v>
      </c>
      <c r="N1023">
        <v>105880</v>
      </c>
      <c r="O1023" t="s">
        <v>1041</v>
      </c>
      <c r="P1023" s="9">
        <v>216319</v>
      </c>
      <c r="Q1023" s="9">
        <v>16670</v>
      </c>
      <c r="R1023" s="9">
        <v>232989</v>
      </c>
      <c r="S1023" s="9">
        <v>-124326</v>
      </c>
      <c r="T1023" s="10">
        <v>48861</v>
      </c>
      <c r="U1023" s="10">
        <v>1139</v>
      </c>
    </row>
    <row r="1024" spans="1:21" x14ac:dyDescent="0.35">
      <c r="A1024" t="s">
        <v>15</v>
      </c>
      <c r="B1024" t="s">
        <v>20</v>
      </c>
      <c r="C1024" t="s">
        <v>17</v>
      </c>
      <c r="D1024">
        <v>281942</v>
      </c>
      <c r="E1024">
        <v>48635</v>
      </c>
      <c r="F1024">
        <v>46659</v>
      </c>
      <c r="G1024">
        <v>-264146</v>
      </c>
      <c r="H1024">
        <v>113090</v>
      </c>
      <c r="I1024">
        <v>103620</v>
      </c>
      <c r="J1024">
        <v>3066</v>
      </c>
      <c r="K1024">
        <v>591810</v>
      </c>
      <c r="L1024">
        <v>67445</v>
      </c>
      <c r="M1024">
        <v>-211795</v>
      </c>
      <c r="N1024">
        <v>85550</v>
      </c>
      <c r="O1024" t="s">
        <v>1042</v>
      </c>
      <c r="P1024" s="9">
        <v>198315</v>
      </c>
      <c r="Q1024" s="9">
        <v>20436</v>
      </c>
      <c r="R1024" s="9">
        <v>218751</v>
      </c>
      <c r="S1024" s="9">
        <v>-102828</v>
      </c>
      <c r="T1024" s="10">
        <v>48879</v>
      </c>
      <c r="U1024" s="10">
        <v>1340</v>
      </c>
    </row>
    <row r="1025" spans="1:21" x14ac:dyDescent="0.35">
      <c r="A1025" t="s">
        <v>15</v>
      </c>
      <c r="B1025" t="s">
        <v>20</v>
      </c>
      <c r="C1025" t="s">
        <v>17</v>
      </c>
      <c r="D1025">
        <v>154858</v>
      </c>
      <c r="E1025">
        <v>9182</v>
      </c>
      <c r="F1025">
        <v>20363</v>
      </c>
      <c r="G1025">
        <v>-128149</v>
      </c>
      <c r="H1025">
        <v>56254</v>
      </c>
      <c r="I1025">
        <v>52537</v>
      </c>
      <c r="J1025">
        <v>896</v>
      </c>
      <c r="K1025">
        <v>408376</v>
      </c>
      <c r="L1025">
        <v>121546</v>
      </c>
      <c r="M1025">
        <v>-158514</v>
      </c>
      <c r="N1025">
        <v>76602</v>
      </c>
      <c r="O1025" t="s">
        <v>1043</v>
      </c>
      <c r="P1025" s="9">
        <v>220799</v>
      </c>
      <c r="Q1025" s="9">
        <v>28629</v>
      </c>
      <c r="R1025" s="9">
        <v>249428</v>
      </c>
      <c r="S1025" s="9">
        <v>-123071</v>
      </c>
      <c r="T1025" s="10">
        <v>74357</v>
      </c>
      <c r="U1025" s="10">
        <v>1708</v>
      </c>
    </row>
    <row r="1026" spans="1:21" x14ac:dyDescent="0.35">
      <c r="A1026" t="s">
        <v>15</v>
      </c>
      <c r="B1026" t="s">
        <v>16</v>
      </c>
      <c r="C1026" t="s">
        <v>21</v>
      </c>
      <c r="D1026">
        <v>266874</v>
      </c>
      <c r="E1026">
        <v>49542</v>
      </c>
      <c r="F1026">
        <v>64501</v>
      </c>
      <c r="G1026">
        <v>-263416</v>
      </c>
      <c r="H1026">
        <v>117501</v>
      </c>
      <c r="I1026">
        <v>115370</v>
      </c>
      <c r="J1026">
        <v>3279</v>
      </c>
      <c r="K1026">
        <v>914598</v>
      </c>
      <c r="L1026">
        <v>293774</v>
      </c>
      <c r="M1026">
        <v>-267232</v>
      </c>
      <c r="N1026">
        <v>174622</v>
      </c>
      <c r="O1026" t="s">
        <v>1044</v>
      </c>
      <c r="P1026" s="9">
        <v>268432</v>
      </c>
      <c r="Q1026" s="9">
        <v>16771</v>
      </c>
      <c r="R1026" s="9">
        <v>285203</v>
      </c>
      <c r="S1026" s="9">
        <v>-145959</v>
      </c>
      <c r="T1026" s="10">
        <v>90802</v>
      </c>
      <c r="U1026" s="10">
        <v>1852</v>
      </c>
    </row>
    <row r="1027" spans="1:21" x14ac:dyDescent="0.35">
      <c r="A1027" t="s">
        <v>15</v>
      </c>
      <c r="B1027" t="s">
        <v>20</v>
      </c>
      <c r="C1027" t="s">
        <v>17</v>
      </c>
      <c r="D1027">
        <v>259737</v>
      </c>
      <c r="E1027">
        <v>29088</v>
      </c>
      <c r="F1027">
        <v>45628</v>
      </c>
      <c r="G1027">
        <v>-246547</v>
      </c>
      <c r="H1027">
        <v>87906</v>
      </c>
      <c r="I1027">
        <v>86492</v>
      </c>
      <c r="J1027">
        <v>1606</v>
      </c>
      <c r="K1027">
        <v>725300</v>
      </c>
      <c r="L1027">
        <v>209288</v>
      </c>
      <c r="M1027">
        <v>-270498</v>
      </c>
      <c r="N1027">
        <v>108627</v>
      </c>
      <c r="O1027" t="s">
        <v>1045</v>
      </c>
      <c r="P1027" s="9">
        <v>146557</v>
      </c>
      <c r="Q1027" s="9">
        <v>23642</v>
      </c>
      <c r="R1027" s="9">
        <v>170199</v>
      </c>
      <c r="S1027" s="9">
        <v>-60518</v>
      </c>
      <c r="T1027" s="10">
        <v>83833</v>
      </c>
      <c r="U1027" s="10">
        <v>1456</v>
      </c>
    </row>
    <row r="1028" spans="1:21" x14ac:dyDescent="0.35">
      <c r="A1028" t="s">
        <v>15</v>
      </c>
      <c r="B1028" t="s">
        <v>16</v>
      </c>
      <c r="C1028" t="s">
        <v>21</v>
      </c>
      <c r="D1028">
        <v>248207</v>
      </c>
      <c r="E1028">
        <v>24344</v>
      </c>
      <c r="F1028">
        <v>45708</v>
      </c>
      <c r="G1028">
        <v>-204180</v>
      </c>
      <c r="H1028">
        <v>114079</v>
      </c>
      <c r="I1028">
        <v>113664</v>
      </c>
      <c r="J1028">
        <v>2092</v>
      </c>
      <c r="K1028">
        <v>599635</v>
      </c>
      <c r="L1028">
        <v>170648</v>
      </c>
      <c r="M1028">
        <v>-176931</v>
      </c>
      <c r="N1028">
        <v>96645</v>
      </c>
      <c r="O1028" t="s">
        <v>1046</v>
      </c>
      <c r="P1028" s="9">
        <v>246408</v>
      </c>
      <c r="Q1028" s="9">
        <v>21046</v>
      </c>
      <c r="R1028" s="9">
        <v>267454</v>
      </c>
      <c r="S1028" s="9">
        <v>-132841</v>
      </c>
      <c r="T1028" s="10">
        <v>91714</v>
      </c>
      <c r="U1028" s="10">
        <v>2267</v>
      </c>
    </row>
    <row r="1029" spans="1:21" x14ac:dyDescent="0.35">
      <c r="A1029" t="s">
        <v>15</v>
      </c>
      <c r="B1029" t="s">
        <v>20</v>
      </c>
      <c r="C1029" t="s">
        <v>21</v>
      </c>
      <c r="D1029">
        <v>168308</v>
      </c>
      <c r="E1029">
        <v>19660</v>
      </c>
      <c r="F1029">
        <v>17538</v>
      </c>
      <c r="G1029">
        <v>-146234</v>
      </c>
      <c r="H1029">
        <v>59272</v>
      </c>
      <c r="I1029">
        <v>54127</v>
      </c>
      <c r="J1029">
        <v>1359</v>
      </c>
      <c r="K1029">
        <v>363454</v>
      </c>
      <c r="L1029">
        <v>94185</v>
      </c>
      <c r="M1029">
        <v>-41223</v>
      </c>
      <c r="N1029">
        <v>128871</v>
      </c>
      <c r="O1029" t="s">
        <v>1047</v>
      </c>
      <c r="P1029" s="9">
        <v>244540</v>
      </c>
      <c r="Q1029" s="9">
        <v>12240</v>
      </c>
      <c r="R1029" s="9">
        <v>256780</v>
      </c>
      <c r="S1029" s="9">
        <v>-126483</v>
      </c>
      <c r="T1029" s="10">
        <v>62224</v>
      </c>
      <c r="U1029" s="10">
        <v>1842</v>
      </c>
    </row>
    <row r="1030" spans="1:21" x14ac:dyDescent="0.35">
      <c r="A1030" t="s">
        <v>15</v>
      </c>
      <c r="B1030" t="s">
        <v>20</v>
      </c>
      <c r="C1030" t="s">
        <v>17</v>
      </c>
      <c r="D1030">
        <v>263410</v>
      </c>
      <c r="E1030">
        <v>39760</v>
      </c>
      <c r="F1030">
        <v>32962</v>
      </c>
      <c r="G1030">
        <v>-220945</v>
      </c>
      <c r="H1030">
        <v>115187</v>
      </c>
      <c r="I1030">
        <v>111897</v>
      </c>
      <c r="J1030">
        <v>2690</v>
      </c>
      <c r="K1030">
        <v>839689</v>
      </c>
      <c r="L1030">
        <v>279197</v>
      </c>
      <c r="M1030">
        <v>-140360</v>
      </c>
      <c r="N1030">
        <v>115833</v>
      </c>
      <c r="O1030" t="s">
        <v>1048</v>
      </c>
      <c r="P1030" s="9">
        <v>211152</v>
      </c>
      <c r="Q1030" s="9">
        <v>29164</v>
      </c>
      <c r="R1030" s="9">
        <v>240316</v>
      </c>
      <c r="S1030" s="9">
        <v>-92732</v>
      </c>
      <c r="T1030" s="10">
        <v>60539</v>
      </c>
      <c r="U1030" s="10">
        <v>1549</v>
      </c>
    </row>
    <row r="1031" spans="1:21" x14ac:dyDescent="0.35">
      <c r="A1031" t="s">
        <v>15</v>
      </c>
      <c r="B1031" t="s">
        <v>16</v>
      </c>
      <c r="C1031" t="s">
        <v>21</v>
      </c>
      <c r="D1031">
        <v>279092</v>
      </c>
      <c r="E1031">
        <v>22663</v>
      </c>
      <c r="F1031">
        <v>61776</v>
      </c>
      <c r="G1031">
        <v>-271672</v>
      </c>
      <c r="H1031">
        <v>91859</v>
      </c>
      <c r="I1031">
        <v>83317</v>
      </c>
      <c r="J1031">
        <v>2118</v>
      </c>
      <c r="K1031">
        <v>849096</v>
      </c>
      <c r="L1031">
        <v>332429</v>
      </c>
      <c r="M1031">
        <v>-202979</v>
      </c>
      <c r="N1031">
        <v>123106</v>
      </c>
      <c r="O1031" t="s">
        <v>1049</v>
      </c>
      <c r="P1031" s="9">
        <v>270648</v>
      </c>
      <c r="Q1031" s="9">
        <v>52241</v>
      </c>
      <c r="R1031" s="9">
        <v>322889</v>
      </c>
      <c r="S1031" s="9">
        <v>-105966</v>
      </c>
      <c r="T1031" s="10">
        <v>121666</v>
      </c>
      <c r="U1031" s="10">
        <v>1943</v>
      </c>
    </row>
    <row r="1032" spans="1:21" x14ac:dyDescent="0.35">
      <c r="A1032" t="s">
        <v>15</v>
      </c>
      <c r="B1032" t="s">
        <v>20</v>
      </c>
      <c r="C1032" t="s">
        <v>17</v>
      </c>
      <c r="D1032">
        <v>221635</v>
      </c>
      <c r="E1032">
        <v>25047</v>
      </c>
      <c r="F1032">
        <v>43253</v>
      </c>
      <c r="G1032">
        <v>-182934</v>
      </c>
      <c r="H1032">
        <v>107001</v>
      </c>
      <c r="I1032">
        <v>102690</v>
      </c>
      <c r="J1032">
        <v>2261</v>
      </c>
      <c r="K1032">
        <v>737687</v>
      </c>
      <c r="L1032">
        <v>202749</v>
      </c>
      <c r="M1032">
        <v>-81241</v>
      </c>
      <c r="N1032">
        <v>68176</v>
      </c>
      <c r="O1032" t="s">
        <v>1050</v>
      </c>
      <c r="P1032" s="9">
        <v>166870</v>
      </c>
      <c r="Q1032" s="9">
        <v>19015</v>
      </c>
      <c r="R1032" s="9">
        <v>185885</v>
      </c>
      <c r="S1032" s="9">
        <v>-93515</v>
      </c>
      <c r="T1032" s="10">
        <v>59816</v>
      </c>
      <c r="U1032" s="10">
        <v>1262</v>
      </c>
    </row>
    <row r="1033" spans="1:21" x14ac:dyDescent="0.35">
      <c r="A1033" t="s">
        <v>15</v>
      </c>
      <c r="B1033" t="s">
        <v>20</v>
      </c>
      <c r="C1033" t="s">
        <v>17</v>
      </c>
      <c r="D1033">
        <v>296863</v>
      </c>
      <c r="E1033">
        <v>22624</v>
      </c>
      <c r="F1033">
        <v>67142</v>
      </c>
      <c r="G1033">
        <v>-267376</v>
      </c>
      <c r="H1033">
        <v>119253</v>
      </c>
      <c r="I1033">
        <v>121832</v>
      </c>
      <c r="J1033">
        <v>3189</v>
      </c>
      <c r="K1033">
        <v>879062</v>
      </c>
      <c r="L1033">
        <v>403570</v>
      </c>
      <c r="M1033">
        <v>-227025</v>
      </c>
      <c r="N1033">
        <v>245128</v>
      </c>
      <c r="O1033" t="s">
        <v>1051</v>
      </c>
      <c r="P1033" s="9">
        <v>200505</v>
      </c>
      <c r="Q1033" s="9">
        <v>24636</v>
      </c>
      <c r="R1033" s="9">
        <v>225141</v>
      </c>
      <c r="S1033" s="9">
        <v>-71600</v>
      </c>
      <c r="T1033" s="10">
        <v>67009</v>
      </c>
      <c r="U1033" s="10">
        <v>1778</v>
      </c>
    </row>
    <row r="1034" spans="1:21" x14ac:dyDescent="0.35">
      <c r="A1034" t="s">
        <v>15</v>
      </c>
      <c r="B1034" t="s">
        <v>16</v>
      </c>
      <c r="C1034" t="s">
        <v>21</v>
      </c>
      <c r="D1034">
        <v>164995</v>
      </c>
      <c r="E1034">
        <v>21382</v>
      </c>
      <c r="F1034">
        <v>33532</v>
      </c>
      <c r="G1034">
        <v>-155892</v>
      </c>
      <c r="H1034">
        <v>64017</v>
      </c>
      <c r="I1034">
        <v>65066</v>
      </c>
      <c r="J1034">
        <v>1874</v>
      </c>
      <c r="K1034">
        <v>585479</v>
      </c>
      <c r="L1034">
        <v>287703</v>
      </c>
      <c r="M1034">
        <v>-204415</v>
      </c>
      <c r="N1034">
        <v>75188</v>
      </c>
      <c r="O1034" t="s">
        <v>1052</v>
      </c>
      <c r="P1034" s="9">
        <v>215652</v>
      </c>
      <c r="Q1034" s="9">
        <v>24638</v>
      </c>
      <c r="R1034" s="9">
        <v>240290</v>
      </c>
      <c r="S1034" s="9">
        <v>-121670</v>
      </c>
      <c r="T1034" s="10">
        <v>86732</v>
      </c>
      <c r="U1034" s="10">
        <v>2206</v>
      </c>
    </row>
    <row r="1035" spans="1:21" x14ac:dyDescent="0.35">
      <c r="A1035" t="s">
        <v>15</v>
      </c>
      <c r="B1035" t="s">
        <v>20</v>
      </c>
      <c r="C1035" t="s">
        <v>17</v>
      </c>
      <c r="D1035">
        <v>172766</v>
      </c>
      <c r="E1035">
        <v>26710</v>
      </c>
      <c r="F1035">
        <v>32062</v>
      </c>
      <c r="G1035">
        <v>-168289</v>
      </c>
      <c r="H1035">
        <v>63249</v>
      </c>
      <c r="I1035">
        <v>58215</v>
      </c>
      <c r="J1035">
        <v>1176</v>
      </c>
      <c r="K1035">
        <v>598121</v>
      </c>
      <c r="L1035">
        <v>170558</v>
      </c>
      <c r="M1035">
        <v>-84495</v>
      </c>
      <c r="N1035">
        <v>144536</v>
      </c>
      <c r="O1035" t="s">
        <v>1053</v>
      </c>
      <c r="P1035" s="9">
        <v>220513</v>
      </c>
      <c r="Q1035" s="9">
        <v>28245</v>
      </c>
      <c r="R1035" s="9">
        <v>248758</v>
      </c>
      <c r="S1035" s="9">
        <v>-135135</v>
      </c>
      <c r="T1035" s="10">
        <v>82075</v>
      </c>
      <c r="U1035" s="10">
        <v>2218</v>
      </c>
    </row>
    <row r="1036" spans="1:21" x14ac:dyDescent="0.35">
      <c r="A1036" t="s">
        <v>15</v>
      </c>
      <c r="B1036" t="s">
        <v>20</v>
      </c>
      <c r="C1036" t="s">
        <v>17</v>
      </c>
      <c r="D1036">
        <v>170774</v>
      </c>
      <c r="E1036">
        <v>11342</v>
      </c>
      <c r="F1036">
        <v>34880</v>
      </c>
      <c r="G1036">
        <v>-160795</v>
      </c>
      <c r="H1036">
        <v>56201</v>
      </c>
      <c r="I1036">
        <v>55795</v>
      </c>
      <c r="J1036">
        <v>1504</v>
      </c>
      <c r="K1036">
        <v>382445</v>
      </c>
      <c r="L1036">
        <v>133621</v>
      </c>
      <c r="M1036">
        <v>-102134</v>
      </c>
      <c r="N1036">
        <v>135217</v>
      </c>
      <c r="O1036" t="s">
        <v>1054</v>
      </c>
      <c r="P1036" s="9">
        <v>234624</v>
      </c>
      <c r="Q1036" s="9">
        <v>25807</v>
      </c>
      <c r="R1036" s="9">
        <v>260431</v>
      </c>
      <c r="S1036" s="9">
        <v>-125064</v>
      </c>
      <c r="T1036" s="10">
        <v>93822</v>
      </c>
      <c r="U1036" s="10">
        <v>1948</v>
      </c>
    </row>
    <row r="1037" spans="1:21" x14ac:dyDescent="0.35">
      <c r="A1037" t="s">
        <v>15</v>
      </c>
      <c r="B1037" t="s">
        <v>20</v>
      </c>
      <c r="C1037" t="s">
        <v>21</v>
      </c>
      <c r="D1037">
        <v>224572</v>
      </c>
      <c r="E1037">
        <v>18797</v>
      </c>
      <c r="F1037">
        <v>51967</v>
      </c>
      <c r="G1037">
        <v>-185622</v>
      </c>
      <c r="H1037">
        <v>109714</v>
      </c>
      <c r="I1037">
        <v>112718</v>
      </c>
      <c r="J1037">
        <v>3122</v>
      </c>
      <c r="K1037">
        <v>686006</v>
      </c>
      <c r="L1037">
        <v>316927</v>
      </c>
      <c r="M1037">
        <v>-95795</v>
      </c>
      <c r="N1037">
        <v>198001</v>
      </c>
      <c r="O1037" t="s">
        <v>1055</v>
      </c>
      <c r="P1037" s="9">
        <v>214028</v>
      </c>
      <c r="Q1037" s="9">
        <v>29408</v>
      </c>
      <c r="R1037" s="9">
        <v>243436</v>
      </c>
      <c r="S1037" s="9">
        <v>-85806</v>
      </c>
      <c r="T1037" s="10">
        <v>102191</v>
      </c>
      <c r="U1037" s="10">
        <v>1220</v>
      </c>
    </row>
    <row r="1038" spans="1:21" x14ac:dyDescent="0.35">
      <c r="A1038" t="s">
        <v>15</v>
      </c>
      <c r="B1038" t="s">
        <v>16</v>
      </c>
      <c r="C1038" t="s">
        <v>17</v>
      </c>
      <c r="D1038">
        <v>244217</v>
      </c>
      <c r="E1038">
        <v>17381</v>
      </c>
      <c r="F1038">
        <v>27536</v>
      </c>
      <c r="G1038">
        <v>-223940</v>
      </c>
      <c r="H1038">
        <v>65194</v>
      </c>
      <c r="I1038">
        <v>61115</v>
      </c>
      <c r="J1038">
        <v>1026</v>
      </c>
      <c r="K1038">
        <v>857476</v>
      </c>
      <c r="L1038">
        <v>96020</v>
      </c>
      <c r="M1038">
        <v>-170263</v>
      </c>
      <c r="N1038">
        <v>126675</v>
      </c>
      <c r="O1038" t="s">
        <v>1056</v>
      </c>
      <c r="P1038" s="9">
        <v>272530</v>
      </c>
      <c r="Q1038" s="9">
        <v>52041</v>
      </c>
      <c r="R1038" s="9">
        <v>324571</v>
      </c>
      <c r="S1038" s="9">
        <v>-117936</v>
      </c>
      <c r="T1038" s="10">
        <v>110954</v>
      </c>
      <c r="U1038" s="10">
        <v>1647</v>
      </c>
    </row>
    <row r="1039" spans="1:21" x14ac:dyDescent="0.35">
      <c r="A1039" t="s">
        <v>15</v>
      </c>
      <c r="B1039" t="s">
        <v>16</v>
      </c>
      <c r="C1039" t="s">
        <v>21</v>
      </c>
      <c r="D1039">
        <v>182699</v>
      </c>
      <c r="E1039">
        <v>25594</v>
      </c>
      <c r="F1039">
        <v>40614</v>
      </c>
      <c r="G1039">
        <v>-173933</v>
      </c>
      <c r="H1039">
        <v>74974</v>
      </c>
      <c r="I1039">
        <v>75471</v>
      </c>
      <c r="J1039">
        <v>1140</v>
      </c>
      <c r="K1039">
        <v>529455</v>
      </c>
      <c r="L1039">
        <v>134223</v>
      </c>
      <c r="M1039">
        <v>-75109</v>
      </c>
      <c r="N1039">
        <v>100650</v>
      </c>
      <c r="O1039" t="s">
        <v>1057</v>
      </c>
      <c r="P1039" s="9">
        <v>291210</v>
      </c>
      <c r="Q1039" s="9">
        <v>50692</v>
      </c>
      <c r="R1039" s="9">
        <v>341902</v>
      </c>
      <c r="S1039" s="9">
        <v>-114314</v>
      </c>
      <c r="T1039" s="10">
        <v>155779</v>
      </c>
      <c r="U1039" s="10">
        <v>3415</v>
      </c>
    </row>
    <row r="1040" spans="1:21" x14ac:dyDescent="0.35">
      <c r="A1040" t="s">
        <v>15</v>
      </c>
      <c r="B1040" t="s">
        <v>16</v>
      </c>
      <c r="C1040" t="s">
        <v>21</v>
      </c>
      <c r="D1040">
        <v>265781</v>
      </c>
      <c r="E1040">
        <v>13567</v>
      </c>
      <c r="F1040">
        <v>27368</v>
      </c>
      <c r="G1040">
        <v>-225400</v>
      </c>
      <c r="H1040">
        <v>81316</v>
      </c>
      <c r="I1040">
        <v>83282</v>
      </c>
      <c r="J1040">
        <v>2464</v>
      </c>
      <c r="K1040">
        <v>888975</v>
      </c>
      <c r="L1040">
        <v>365999</v>
      </c>
      <c r="M1040">
        <v>-124787</v>
      </c>
      <c r="N1040">
        <v>233962</v>
      </c>
      <c r="O1040" t="s">
        <v>1058</v>
      </c>
      <c r="P1040" s="9">
        <v>172476</v>
      </c>
      <c r="Q1040" s="9">
        <v>14934</v>
      </c>
      <c r="R1040" s="9">
        <v>187410</v>
      </c>
      <c r="S1040" s="9">
        <v>-43986</v>
      </c>
      <c r="T1040" s="10">
        <v>54621</v>
      </c>
      <c r="U1040" s="10">
        <v>618</v>
      </c>
    </row>
    <row r="1041" spans="1:21" x14ac:dyDescent="0.35">
      <c r="A1041" t="s">
        <v>15</v>
      </c>
      <c r="B1041" t="s">
        <v>16</v>
      </c>
      <c r="C1041" t="s">
        <v>17</v>
      </c>
      <c r="D1041">
        <v>267763</v>
      </c>
      <c r="E1041">
        <v>37650</v>
      </c>
      <c r="F1041">
        <v>34995</v>
      </c>
      <c r="G1041">
        <v>-256419</v>
      </c>
      <c r="H1041">
        <v>83989</v>
      </c>
      <c r="I1041">
        <v>77732</v>
      </c>
      <c r="J1041">
        <v>1222</v>
      </c>
      <c r="K1041">
        <v>782341</v>
      </c>
      <c r="L1041">
        <v>262425</v>
      </c>
      <c r="M1041">
        <v>-283821</v>
      </c>
      <c r="N1041">
        <v>176853</v>
      </c>
      <c r="O1041" t="s">
        <v>1059</v>
      </c>
      <c r="P1041" s="9">
        <v>236311</v>
      </c>
      <c r="Q1041" s="9">
        <v>26286</v>
      </c>
      <c r="R1041" s="9">
        <v>262597</v>
      </c>
      <c r="S1041" s="9">
        <v>-134918</v>
      </c>
      <c r="T1041" s="10">
        <v>105964</v>
      </c>
      <c r="U1041" s="10">
        <v>1179</v>
      </c>
    </row>
    <row r="1042" spans="1:21" x14ac:dyDescent="0.35">
      <c r="A1042" t="s">
        <v>15</v>
      </c>
      <c r="B1042" t="s">
        <v>20</v>
      </c>
      <c r="C1042" t="s">
        <v>21</v>
      </c>
      <c r="D1042">
        <v>181095</v>
      </c>
      <c r="E1042">
        <v>23022</v>
      </c>
      <c r="F1042">
        <v>30018</v>
      </c>
      <c r="G1042">
        <v>-175368</v>
      </c>
      <c r="H1042">
        <v>58767</v>
      </c>
      <c r="I1042">
        <v>53516</v>
      </c>
      <c r="J1042">
        <v>674</v>
      </c>
      <c r="K1042">
        <v>533703</v>
      </c>
      <c r="L1042">
        <v>185295</v>
      </c>
      <c r="M1042">
        <v>-107520</v>
      </c>
      <c r="N1042">
        <v>97494</v>
      </c>
      <c r="O1042" t="s">
        <v>1060</v>
      </c>
      <c r="P1042" s="9">
        <v>201736</v>
      </c>
      <c r="Q1042" s="9">
        <v>36164</v>
      </c>
      <c r="R1042" s="9">
        <v>237900</v>
      </c>
      <c r="S1042" s="9">
        <v>-63543</v>
      </c>
      <c r="T1042" s="10">
        <v>73956</v>
      </c>
      <c r="U1042" s="10">
        <v>1458</v>
      </c>
    </row>
    <row r="1043" spans="1:21" x14ac:dyDescent="0.35">
      <c r="A1043" t="s">
        <v>15</v>
      </c>
      <c r="B1043" t="s">
        <v>16</v>
      </c>
      <c r="C1043" t="s">
        <v>21</v>
      </c>
      <c r="D1043">
        <v>233002</v>
      </c>
      <c r="E1043">
        <v>15632</v>
      </c>
      <c r="F1043">
        <v>26920</v>
      </c>
      <c r="G1043">
        <v>-231806</v>
      </c>
      <c r="H1043">
        <v>43748</v>
      </c>
      <c r="I1043">
        <v>39647</v>
      </c>
      <c r="J1043">
        <v>1072</v>
      </c>
      <c r="K1043">
        <v>784225</v>
      </c>
      <c r="L1043">
        <v>130061</v>
      </c>
      <c r="M1043">
        <v>-84098</v>
      </c>
      <c r="N1043">
        <v>147278</v>
      </c>
      <c r="O1043" t="s">
        <v>1061</v>
      </c>
      <c r="P1043" s="9">
        <v>174255</v>
      </c>
      <c r="Q1043" s="9">
        <v>27819</v>
      </c>
      <c r="R1043" s="9">
        <v>202074</v>
      </c>
      <c r="S1043" s="9">
        <v>-63905</v>
      </c>
      <c r="T1043" s="10">
        <v>67250</v>
      </c>
      <c r="U1043" s="10">
        <v>2014</v>
      </c>
    </row>
    <row r="1044" spans="1:21" x14ac:dyDescent="0.35">
      <c r="A1044" t="s">
        <v>15</v>
      </c>
      <c r="B1044" t="s">
        <v>20</v>
      </c>
      <c r="C1044" t="s">
        <v>21</v>
      </c>
      <c r="D1044">
        <v>194066</v>
      </c>
      <c r="E1044">
        <v>27604</v>
      </c>
      <c r="F1044">
        <v>21765</v>
      </c>
      <c r="G1044">
        <v>-186737</v>
      </c>
      <c r="H1044">
        <v>56698</v>
      </c>
      <c r="I1044">
        <v>53884</v>
      </c>
      <c r="J1044">
        <v>1377</v>
      </c>
      <c r="K1044">
        <v>476974</v>
      </c>
      <c r="L1044">
        <v>222658</v>
      </c>
      <c r="M1044">
        <v>-176034</v>
      </c>
      <c r="N1044">
        <v>93641</v>
      </c>
      <c r="O1044" t="s">
        <v>1062</v>
      </c>
      <c r="P1044" s="9">
        <v>148666</v>
      </c>
      <c r="Q1044" s="9">
        <v>18557</v>
      </c>
      <c r="R1044" s="9">
        <v>167223</v>
      </c>
      <c r="S1044" s="9">
        <v>-95438</v>
      </c>
      <c r="T1044" s="10">
        <v>45399</v>
      </c>
      <c r="U1044" s="10">
        <v>1009</v>
      </c>
    </row>
    <row r="1045" spans="1:21" x14ac:dyDescent="0.35">
      <c r="A1045" t="s">
        <v>15</v>
      </c>
      <c r="B1045" t="s">
        <v>16</v>
      </c>
      <c r="C1045" t="s">
        <v>21</v>
      </c>
      <c r="D1045">
        <v>263268</v>
      </c>
      <c r="E1045">
        <v>46497</v>
      </c>
      <c r="F1045">
        <v>56599</v>
      </c>
      <c r="G1045">
        <v>-221854</v>
      </c>
      <c r="H1045">
        <v>144510</v>
      </c>
      <c r="I1045">
        <v>145277</v>
      </c>
      <c r="J1045">
        <v>4334</v>
      </c>
      <c r="K1045">
        <v>598321</v>
      </c>
      <c r="L1045">
        <v>132584</v>
      </c>
      <c r="M1045">
        <v>-73244</v>
      </c>
      <c r="N1045">
        <v>166332</v>
      </c>
      <c r="O1045" t="s">
        <v>1063</v>
      </c>
      <c r="P1045" s="9">
        <v>185639</v>
      </c>
      <c r="Q1045" s="9">
        <v>23088</v>
      </c>
      <c r="R1045" s="9">
        <v>208727</v>
      </c>
      <c r="S1045" s="9">
        <v>-120084</v>
      </c>
      <c r="T1045" s="10">
        <v>55272</v>
      </c>
      <c r="U1045" s="10">
        <v>823</v>
      </c>
    </row>
    <row r="1046" spans="1:21" x14ac:dyDescent="0.35">
      <c r="A1046" t="s">
        <v>15</v>
      </c>
      <c r="B1046" t="s">
        <v>16</v>
      </c>
      <c r="C1046" t="s">
        <v>17</v>
      </c>
      <c r="D1046">
        <v>226344</v>
      </c>
      <c r="E1046">
        <v>31795</v>
      </c>
      <c r="F1046">
        <v>29994</v>
      </c>
      <c r="G1046">
        <v>-190868</v>
      </c>
      <c r="H1046">
        <v>97265</v>
      </c>
      <c r="I1046">
        <v>98711</v>
      </c>
      <c r="J1046">
        <v>1677</v>
      </c>
      <c r="K1046">
        <v>853118</v>
      </c>
      <c r="L1046">
        <v>196794</v>
      </c>
      <c r="M1046">
        <v>-318642</v>
      </c>
      <c r="N1046">
        <v>77183</v>
      </c>
      <c r="O1046" t="s">
        <v>1064</v>
      </c>
      <c r="P1046" s="9">
        <v>255904</v>
      </c>
      <c r="Q1046" s="9">
        <v>47506</v>
      </c>
      <c r="R1046" s="9">
        <v>303410</v>
      </c>
      <c r="S1046" s="9">
        <v>-71840</v>
      </c>
      <c r="T1046" s="10">
        <v>140358</v>
      </c>
      <c r="U1046" s="10">
        <v>3812</v>
      </c>
    </row>
    <row r="1047" spans="1:21" x14ac:dyDescent="0.35">
      <c r="A1047" t="s">
        <v>15</v>
      </c>
      <c r="B1047" t="s">
        <v>16</v>
      </c>
      <c r="C1047" t="s">
        <v>21</v>
      </c>
      <c r="D1047">
        <v>200378</v>
      </c>
      <c r="E1047">
        <v>17744</v>
      </c>
      <c r="F1047">
        <v>48564</v>
      </c>
      <c r="G1047">
        <v>-189687</v>
      </c>
      <c r="H1047">
        <v>76999</v>
      </c>
      <c r="I1047">
        <v>70260</v>
      </c>
      <c r="J1047">
        <v>822</v>
      </c>
      <c r="K1047">
        <v>444613</v>
      </c>
      <c r="L1047">
        <v>209902</v>
      </c>
      <c r="M1047">
        <v>-94905</v>
      </c>
      <c r="N1047">
        <v>73772</v>
      </c>
      <c r="O1047" t="s">
        <v>1065</v>
      </c>
      <c r="P1047" s="9">
        <v>164286</v>
      </c>
      <c r="Q1047" s="9">
        <v>12046</v>
      </c>
      <c r="R1047" s="9">
        <v>176332</v>
      </c>
      <c r="S1047" s="9">
        <v>-67681</v>
      </c>
      <c r="T1047" s="10">
        <v>57885</v>
      </c>
      <c r="U1047" s="10">
        <v>1145</v>
      </c>
    </row>
    <row r="1048" spans="1:21" x14ac:dyDescent="0.35">
      <c r="A1048" t="s">
        <v>15</v>
      </c>
      <c r="B1048" t="s">
        <v>20</v>
      </c>
      <c r="C1048" t="s">
        <v>21</v>
      </c>
      <c r="D1048">
        <v>180264</v>
      </c>
      <c r="E1048">
        <v>34457</v>
      </c>
      <c r="F1048">
        <v>23691</v>
      </c>
      <c r="G1048">
        <v>-147024</v>
      </c>
      <c r="H1048">
        <v>91388</v>
      </c>
      <c r="I1048">
        <v>88494</v>
      </c>
      <c r="J1048">
        <v>2528</v>
      </c>
      <c r="K1048">
        <v>373932</v>
      </c>
      <c r="L1048">
        <v>137178</v>
      </c>
      <c r="M1048">
        <v>-122379</v>
      </c>
      <c r="N1048">
        <v>75614</v>
      </c>
      <c r="O1048" t="s">
        <v>1066</v>
      </c>
      <c r="P1048" s="9">
        <v>214230</v>
      </c>
      <c r="Q1048" s="9">
        <v>24196</v>
      </c>
      <c r="R1048" s="9">
        <v>238426</v>
      </c>
      <c r="S1048" s="9">
        <v>-89552</v>
      </c>
      <c r="T1048" s="10">
        <v>68146</v>
      </c>
      <c r="U1048" s="10">
        <v>1209</v>
      </c>
    </row>
    <row r="1049" spans="1:21" x14ac:dyDescent="0.35">
      <c r="A1049" t="s">
        <v>15</v>
      </c>
      <c r="B1049" t="s">
        <v>16</v>
      </c>
      <c r="C1049" t="s">
        <v>21</v>
      </c>
      <c r="D1049">
        <v>275750</v>
      </c>
      <c r="E1049">
        <v>49029</v>
      </c>
      <c r="F1049">
        <v>40539</v>
      </c>
      <c r="G1049">
        <v>-232274</v>
      </c>
      <c r="H1049">
        <v>133044</v>
      </c>
      <c r="I1049">
        <v>121121</v>
      </c>
      <c r="J1049">
        <v>1974</v>
      </c>
      <c r="K1049">
        <v>795700</v>
      </c>
      <c r="L1049">
        <v>283570</v>
      </c>
      <c r="M1049">
        <v>-287205</v>
      </c>
      <c r="N1049">
        <v>143020</v>
      </c>
      <c r="O1049" t="s">
        <v>1067</v>
      </c>
      <c r="P1049" s="9">
        <v>241211</v>
      </c>
      <c r="Q1049" s="9">
        <v>42739</v>
      </c>
      <c r="R1049" s="9">
        <v>283950</v>
      </c>
      <c r="S1049" s="9">
        <v>-57033</v>
      </c>
      <c r="T1049" s="10">
        <v>89708</v>
      </c>
      <c r="U1049" s="10">
        <v>2417</v>
      </c>
    </row>
    <row r="1050" spans="1:21" x14ac:dyDescent="0.35">
      <c r="A1050" t="s">
        <v>15</v>
      </c>
      <c r="B1050" t="s">
        <v>20</v>
      </c>
      <c r="C1050" t="s">
        <v>17</v>
      </c>
      <c r="D1050">
        <v>252795</v>
      </c>
      <c r="E1050">
        <v>35792</v>
      </c>
      <c r="F1050">
        <v>63044</v>
      </c>
      <c r="G1050">
        <v>-224544</v>
      </c>
      <c r="H1050">
        <v>127087</v>
      </c>
      <c r="I1050">
        <v>122798</v>
      </c>
      <c r="J1050">
        <v>2640</v>
      </c>
      <c r="K1050">
        <v>606435</v>
      </c>
      <c r="L1050">
        <v>77731</v>
      </c>
      <c r="M1050">
        <v>-221779</v>
      </c>
      <c r="N1050">
        <v>82958</v>
      </c>
      <c r="O1050" t="s">
        <v>1068</v>
      </c>
      <c r="P1050" s="9">
        <v>238813</v>
      </c>
      <c r="Q1050" s="9">
        <v>41920</v>
      </c>
      <c r="R1050" s="9">
        <v>280733</v>
      </c>
      <c r="S1050" s="9">
        <v>-93835</v>
      </c>
      <c r="T1050" s="10">
        <v>118903</v>
      </c>
      <c r="U1050" s="10">
        <v>1537</v>
      </c>
    </row>
    <row r="1051" spans="1:21" x14ac:dyDescent="0.35">
      <c r="A1051" t="s">
        <v>15</v>
      </c>
      <c r="B1051" t="s">
        <v>16</v>
      </c>
      <c r="C1051" t="s">
        <v>21</v>
      </c>
      <c r="D1051">
        <v>210627</v>
      </c>
      <c r="E1051">
        <v>16503</v>
      </c>
      <c r="F1051">
        <v>36652</v>
      </c>
      <c r="G1051">
        <v>-195050</v>
      </c>
      <c r="H1051">
        <v>68732</v>
      </c>
      <c r="I1051">
        <v>65336</v>
      </c>
      <c r="J1051">
        <v>1204</v>
      </c>
      <c r="K1051">
        <v>688539</v>
      </c>
      <c r="L1051">
        <v>339630</v>
      </c>
      <c r="M1051">
        <v>-225034</v>
      </c>
      <c r="N1051">
        <v>149828</v>
      </c>
      <c r="O1051" t="s">
        <v>1069</v>
      </c>
      <c r="P1051" s="9">
        <v>214277</v>
      </c>
      <c r="Q1051" s="9">
        <v>41529</v>
      </c>
      <c r="R1051" s="9">
        <v>255806</v>
      </c>
      <c r="S1051" s="9">
        <v>-56468</v>
      </c>
      <c r="T1051" s="10">
        <v>83028</v>
      </c>
      <c r="U1051" s="10">
        <v>1371</v>
      </c>
    </row>
    <row r="1052" spans="1:21" x14ac:dyDescent="0.35">
      <c r="A1052" t="s">
        <v>15</v>
      </c>
      <c r="B1052" t="s">
        <v>20</v>
      </c>
      <c r="C1052" t="s">
        <v>17</v>
      </c>
      <c r="D1052">
        <v>155084</v>
      </c>
      <c r="E1052">
        <v>21249</v>
      </c>
      <c r="F1052">
        <v>30565</v>
      </c>
      <c r="G1052">
        <v>-126067</v>
      </c>
      <c r="H1052">
        <v>80831</v>
      </c>
      <c r="I1052">
        <v>84683</v>
      </c>
      <c r="J1052">
        <v>996</v>
      </c>
      <c r="K1052">
        <v>341517</v>
      </c>
      <c r="L1052">
        <v>42049</v>
      </c>
      <c r="M1052">
        <v>-122661</v>
      </c>
      <c r="N1052">
        <v>65623</v>
      </c>
      <c r="O1052" t="s">
        <v>1070</v>
      </c>
      <c r="P1052" s="9">
        <v>217918</v>
      </c>
      <c r="Q1052" s="9">
        <v>37300</v>
      </c>
      <c r="R1052" s="9">
        <v>255218</v>
      </c>
      <c r="S1052" s="9">
        <v>-55764</v>
      </c>
      <c r="T1052" s="10">
        <v>108753</v>
      </c>
      <c r="U1052" s="10">
        <v>2956</v>
      </c>
    </row>
    <row r="1053" spans="1:21" x14ac:dyDescent="0.35">
      <c r="A1053" t="s">
        <v>15</v>
      </c>
      <c r="B1053" t="s">
        <v>16</v>
      </c>
      <c r="C1053" t="s">
        <v>21</v>
      </c>
      <c r="D1053">
        <v>176769</v>
      </c>
      <c r="E1053">
        <v>9067</v>
      </c>
      <c r="F1053">
        <v>30492</v>
      </c>
      <c r="G1053">
        <v>-143880</v>
      </c>
      <c r="H1053">
        <v>72448</v>
      </c>
      <c r="I1053">
        <v>69925</v>
      </c>
      <c r="J1053">
        <v>733</v>
      </c>
      <c r="K1053">
        <v>599138</v>
      </c>
      <c r="L1053">
        <v>162680</v>
      </c>
      <c r="M1053">
        <v>-123998</v>
      </c>
      <c r="N1053">
        <v>104143</v>
      </c>
      <c r="O1053" t="s">
        <v>1071</v>
      </c>
      <c r="P1053" s="9">
        <v>179453</v>
      </c>
      <c r="Q1053" s="9">
        <v>10428</v>
      </c>
      <c r="R1053" s="9">
        <v>189881</v>
      </c>
      <c r="S1053" s="9">
        <v>-42307</v>
      </c>
      <c r="T1053" s="10">
        <v>65058</v>
      </c>
      <c r="U1053" s="10">
        <v>1054</v>
      </c>
    </row>
    <row r="1054" spans="1:21" x14ac:dyDescent="0.35">
      <c r="A1054" t="s">
        <v>15</v>
      </c>
      <c r="B1054" t="s">
        <v>16</v>
      </c>
      <c r="C1054" t="s">
        <v>21</v>
      </c>
      <c r="D1054">
        <v>252902</v>
      </c>
      <c r="E1054">
        <v>43410</v>
      </c>
      <c r="F1054">
        <v>59173</v>
      </c>
      <c r="G1054">
        <v>-243454</v>
      </c>
      <c r="H1054">
        <v>112031</v>
      </c>
      <c r="I1054">
        <v>114761</v>
      </c>
      <c r="J1054">
        <v>3081</v>
      </c>
      <c r="K1054">
        <v>586849</v>
      </c>
      <c r="L1054">
        <v>206346</v>
      </c>
      <c r="M1054">
        <v>-178490</v>
      </c>
      <c r="N1054">
        <v>110770</v>
      </c>
      <c r="O1054" t="s">
        <v>1072</v>
      </c>
      <c r="P1054" s="9">
        <v>277059</v>
      </c>
      <c r="Q1054" s="9">
        <v>23128</v>
      </c>
      <c r="R1054" s="9">
        <v>300187</v>
      </c>
      <c r="S1054" s="9">
        <v>-91947</v>
      </c>
      <c r="T1054" s="10">
        <v>128870</v>
      </c>
      <c r="U1054" s="10">
        <v>2498</v>
      </c>
    </row>
    <row r="1055" spans="1:21" x14ac:dyDescent="0.35">
      <c r="A1055" t="s">
        <v>15</v>
      </c>
      <c r="B1055" t="s">
        <v>16</v>
      </c>
      <c r="C1055" t="s">
        <v>21</v>
      </c>
      <c r="D1055">
        <v>231138</v>
      </c>
      <c r="E1055">
        <v>43687</v>
      </c>
      <c r="F1055">
        <v>39083</v>
      </c>
      <c r="G1055">
        <v>-214081</v>
      </c>
      <c r="H1055">
        <v>99827</v>
      </c>
      <c r="I1055">
        <v>103124</v>
      </c>
      <c r="J1055">
        <v>2236</v>
      </c>
      <c r="K1055">
        <v>534783</v>
      </c>
      <c r="L1055">
        <v>242916</v>
      </c>
      <c r="M1055">
        <v>-87859</v>
      </c>
      <c r="N1055">
        <v>162963</v>
      </c>
      <c r="O1055" t="s">
        <v>1073</v>
      </c>
      <c r="P1055" s="9">
        <v>275649</v>
      </c>
      <c r="Q1055" s="9">
        <v>15953</v>
      </c>
      <c r="R1055" s="9">
        <v>291602</v>
      </c>
      <c r="S1055" s="9">
        <v>-171445</v>
      </c>
      <c r="T1055" s="10">
        <v>80762</v>
      </c>
      <c r="U1055" s="10">
        <v>916</v>
      </c>
    </row>
    <row r="1056" spans="1:21" x14ac:dyDescent="0.35">
      <c r="A1056" t="s">
        <v>15</v>
      </c>
      <c r="B1056" t="s">
        <v>16</v>
      </c>
      <c r="C1056" t="s">
        <v>21</v>
      </c>
      <c r="D1056">
        <v>248640</v>
      </c>
      <c r="E1056">
        <v>41969</v>
      </c>
      <c r="F1056">
        <v>29526</v>
      </c>
      <c r="G1056">
        <v>-234093</v>
      </c>
      <c r="H1056">
        <v>86042</v>
      </c>
      <c r="I1056">
        <v>79007</v>
      </c>
      <c r="J1056">
        <v>2218</v>
      </c>
      <c r="K1056">
        <v>966411</v>
      </c>
      <c r="L1056">
        <v>218983</v>
      </c>
      <c r="M1056">
        <v>-134276</v>
      </c>
      <c r="N1056">
        <v>85660</v>
      </c>
      <c r="O1056" t="s">
        <v>1074</v>
      </c>
      <c r="P1056" s="9">
        <v>240431</v>
      </c>
      <c r="Q1056" s="9">
        <v>21042</v>
      </c>
      <c r="R1056" s="9">
        <v>261473</v>
      </c>
      <c r="S1056" s="9">
        <v>-59981</v>
      </c>
      <c r="T1056" s="10">
        <v>102473</v>
      </c>
      <c r="U1056" s="10">
        <v>2167</v>
      </c>
    </row>
    <row r="1057" spans="1:21" x14ac:dyDescent="0.35">
      <c r="A1057" t="s">
        <v>15</v>
      </c>
      <c r="B1057" t="s">
        <v>16</v>
      </c>
      <c r="C1057" t="s">
        <v>21</v>
      </c>
      <c r="D1057">
        <v>193914</v>
      </c>
      <c r="E1057">
        <v>13775</v>
      </c>
      <c r="F1057">
        <v>41083</v>
      </c>
      <c r="G1057">
        <v>-183094</v>
      </c>
      <c r="H1057">
        <v>65678</v>
      </c>
      <c r="I1057">
        <v>66367</v>
      </c>
      <c r="J1057">
        <v>1950</v>
      </c>
      <c r="K1057">
        <v>429297</v>
      </c>
      <c r="L1057">
        <v>72922</v>
      </c>
      <c r="M1057">
        <v>-59416</v>
      </c>
      <c r="N1057">
        <v>88717</v>
      </c>
      <c r="O1057" t="s">
        <v>1075</v>
      </c>
      <c r="P1057" s="9">
        <v>190552</v>
      </c>
      <c r="Q1057" s="9">
        <v>12556</v>
      </c>
      <c r="R1057" s="9">
        <v>203108</v>
      </c>
      <c r="S1057" s="9">
        <v>-118528</v>
      </c>
      <c r="T1057" s="10">
        <v>77805</v>
      </c>
      <c r="U1057" s="10">
        <v>1885</v>
      </c>
    </row>
    <row r="1058" spans="1:21" x14ac:dyDescent="0.35">
      <c r="A1058" t="s">
        <v>15</v>
      </c>
      <c r="B1058" t="s">
        <v>16</v>
      </c>
      <c r="C1058" t="s">
        <v>21</v>
      </c>
      <c r="D1058">
        <v>236445</v>
      </c>
      <c r="E1058">
        <v>16155</v>
      </c>
      <c r="F1058">
        <v>36947</v>
      </c>
      <c r="G1058">
        <v>-218650</v>
      </c>
      <c r="H1058">
        <v>70897</v>
      </c>
      <c r="I1058">
        <v>69503</v>
      </c>
      <c r="J1058">
        <v>858</v>
      </c>
      <c r="K1058">
        <v>603761</v>
      </c>
      <c r="L1058">
        <v>245864</v>
      </c>
      <c r="M1058">
        <v>-68651</v>
      </c>
      <c r="N1058">
        <v>144332</v>
      </c>
      <c r="O1058" t="s">
        <v>1076</v>
      </c>
      <c r="P1058" s="9">
        <v>288979</v>
      </c>
      <c r="Q1058" s="9">
        <v>38775</v>
      </c>
      <c r="R1058" s="9">
        <v>327754</v>
      </c>
      <c r="S1058" s="9">
        <v>-182259</v>
      </c>
      <c r="T1058" s="10">
        <v>88030</v>
      </c>
      <c r="U1058" s="10">
        <v>1680</v>
      </c>
    </row>
    <row r="1059" spans="1:21" x14ac:dyDescent="0.35">
      <c r="A1059" t="s">
        <v>15</v>
      </c>
      <c r="B1059" t="s">
        <v>20</v>
      </c>
      <c r="C1059" t="s">
        <v>21</v>
      </c>
      <c r="D1059">
        <v>229649</v>
      </c>
      <c r="E1059">
        <v>31368</v>
      </c>
      <c r="F1059">
        <v>48695</v>
      </c>
      <c r="G1059">
        <v>-193535</v>
      </c>
      <c r="H1059">
        <v>116177</v>
      </c>
      <c r="I1059">
        <v>106081</v>
      </c>
      <c r="J1059">
        <v>1700</v>
      </c>
      <c r="K1059">
        <v>736646</v>
      </c>
      <c r="L1059">
        <v>78874</v>
      </c>
      <c r="M1059">
        <v>-230585</v>
      </c>
      <c r="N1059">
        <v>177477</v>
      </c>
      <c r="O1059" t="s">
        <v>1077</v>
      </c>
      <c r="P1059" s="9">
        <v>189487</v>
      </c>
      <c r="Q1059" s="9">
        <v>26399</v>
      </c>
      <c r="R1059" s="9">
        <v>215886</v>
      </c>
      <c r="S1059" s="9">
        <v>-48109</v>
      </c>
      <c r="T1059" s="10">
        <v>69960</v>
      </c>
      <c r="U1059" s="10">
        <v>1210</v>
      </c>
    </row>
    <row r="1060" spans="1:21" x14ac:dyDescent="0.35">
      <c r="A1060" t="s">
        <v>15</v>
      </c>
      <c r="B1060" t="s">
        <v>16</v>
      </c>
      <c r="C1060" t="s">
        <v>21</v>
      </c>
      <c r="D1060">
        <v>180206</v>
      </c>
      <c r="E1060">
        <v>24137</v>
      </c>
      <c r="F1060">
        <v>31065</v>
      </c>
      <c r="G1060">
        <v>-151383</v>
      </c>
      <c r="H1060">
        <v>84025</v>
      </c>
      <c r="I1060">
        <v>83554</v>
      </c>
      <c r="J1060">
        <v>963</v>
      </c>
      <c r="K1060">
        <v>473398</v>
      </c>
      <c r="L1060">
        <v>136811</v>
      </c>
      <c r="M1060">
        <v>-49213</v>
      </c>
      <c r="N1060">
        <v>69649</v>
      </c>
      <c r="O1060" t="s">
        <v>1078</v>
      </c>
      <c r="P1060" s="9">
        <v>213027</v>
      </c>
      <c r="Q1060" s="9">
        <v>35988</v>
      </c>
      <c r="R1060" s="9">
        <v>249015</v>
      </c>
      <c r="S1060" s="9">
        <v>-94765</v>
      </c>
      <c r="T1060" s="10">
        <v>81009</v>
      </c>
      <c r="U1060" s="10">
        <v>1806</v>
      </c>
    </row>
    <row r="1061" spans="1:21" x14ac:dyDescent="0.35">
      <c r="A1061" t="s">
        <v>15</v>
      </c>
      <c r="B1061" t="s">
        <v>16</v>
      </c>
      <c r="C1061" t="s">
        <v>17</v>
      </c>
      <c r="D1061">
        <v>283453</v>
      </c>
      <c r="E1061">
        <v>25393</v>
      </c>
      <c r="F1061">
        <v>65814</v>
      </c>
      <c r="G1061">
        <v>-261755</v>
      </c>
      <c r="H1061">
        <v>112905</v>
      </c>
      <c r="I1061">
        <v>109535</v>
      </c>
      <c r="J1061">
        <v>1129</v>
      </c>
      <c r="K1061">
        <v>632585</v>
      </c>
      <c r="L1061">
        <v>208517</v>
      </c>
      <c r="M1061">
        <v>-215415</v>
      </c>
      <c r="N1061">
        <v>241417</v>
      </c>
      <c r="O1061" t="s">
        <v>1079</v>
      </c>
      <c r="P1061" s="9">
        <v>153373</v>
      </c>
      <c r="Q1061" s="9">
        <v>9539</v>
      </c>
      <c r="R1061" s="9">
        <v>162912</v>
      </c>
      <c r="S1061" s="9">
        <v>-57083</v>
      </c>
      <c r="T1061" s="10">
        <v>49003</v>
      </c>
      <c r="U1061" s="10">
        <v>979</v>
      </c>
    </row>
    <row r="1062" spans="1:21" x14ac:dyDescent="0.35">
      <c r="A1062" t="s">
        <v>15</v>
      </c>
      <c r="B1062" t="s">
        <v>16</v>
      </c>
      <c r="C1062" t="s">
        <v>21</v>
      </c>
      <c r="D1062">
        <v>239936</v>
      </c>
      <c r="E1062">
        <v>13293</v>
      </c>
      <c r="F1062">
        <v>48045</v>
      </c>
      <c r="G1062">
        <v>-214424</v>
      </c>
      <c r="H1062">
        <v>86850</v>
      </c>
      <c r="I1062">
        <v>82837</v>
      </c>
      <c r="J1062">
        <v>1213</v>
      </c>
      <c r="K1062">
        <v>815422</v>
      </c>
      <c r="L1062">
        <v>193343</v>
      </c>
      <c r="M1062">
        <v>-319677</v>
      </c>
      <c r="N1062">
        <v>209254</v>
      </c>
      <c r="O1062" t="s">
        <v>1080</v>
      </c>
      <c r="P1062" s="9">
        <v>153316</v>
      </c>
      <c r="Q1062" s="9">
        <v>13913</v>
      </c>
      <c r="R1062" s="9">
        <v>167229</v>
      </c>
      <c r="S1062" s="9">
        <v>-78892</v>
      </c>
      <c r="T1062" s="10">
        <v>50324</v>
      </c>
      <c r="U1062" s="10">
        <v>709</v>
      </c>
    </row>
    <row r="1063" spans="1:21" x14ac:dyDescent="0.35">
      <c r="A1063" t="s">
        <v>15</v>
      </c>
      <c r="B1063" t="s">
        <v>20</v>
      </c>
      <c r="C1063" t="s">
        <v>17</v>
      </c>
      <c r="D1063">
        <v>283624</v>
      </c>
      <c r="E1063">
        <v>47676</v>
      </c>
      <c r="F1063">
        <v>55280</v>
      </c>
      <c r="G1063">
        <v>-271329</v>
      </c>
      <c r="H1063">
        <v>115251</v>
      </c>
      <c r="I1063">
        <v>120779</v>
      </c>
      <c r="J1063">
        <v>1254</v>
      </c>
      <c r="K1063">
        <v>782424</v>
      </c>
      <c r="L1063">
        <v>271536</v>
      </c>
      <c r="M1063">
        <v>-178537</v>
      </c>
      <c r="N1063">
        <v>216928</v>
      </c>
      <c r="O1063" t="s">
        <v>1081</v>
      </c>
      <c r="P1063" s="9">
        <v>204374</v>
      </c>
      <c r="Q1063" s="9">
        <v>21342</v>
      </c>
      <c r="R1063" s="9">
        <v>225716</v>
      </c>
      <c r="S1063" s="9">
        <v>-53869</v>
      </c>
      <c r="T1063" s="10">
        <v>101670</v>
      </c>
      <c r="U1063" s="10">
        <v>2324</v>
      </c>
    </row>
    <row r="1064" spans="1:21" x14ac:dyDescent="0.35">
      <c r="A1064" t="s">
        <v>15</v>
      </c>
      <c r="B1064" t="s">
        <v>20</v>
      </c>
      <c r="C1064" t="s">
        <v>21</v>
      </c>
      <c r="D1064">
        <v>267373</v>
      </c>
      <c r="E1064">
        <v>16947</v>
      </c>
      <c r="F1064">
        <v>37630</v>
      </c>
      <c r="G1064">
        <v>-214372</v>
      </c>
      <c r="H1064">
        <v>107578</v>
      </c>
      <c r="I1064">
        <v>96830</v>
      </c>
      <c r="J1064">
        <v>2710</v>
      </c>
      <c r="K1064">
        <v>820727</v>
      </c>
      <c r="L1064">
        <v>235505</v>
      </c>
      <c r="M1064">
        <v>-153364</v>
      </c>
      <c r="N1064">
        <v>197334</v>
      </c>
      <c r="O1064" t="s">
        <v>1082</v>
      </c>
      <c r="P1064" s="9">
        <v>157768</v>
      </c>
      <c r="Q1064" s="9">
        <v>18955</v>
      </c>
      <c r="R1064" s="9">
        <v>176723</v>
      </c>
      <c r="S1064" s="9">
        <v>-67094</v>
      </c>
      <c r="T1064" s="10">
        <v>50212</v>
      </c>
      <c r="U1064" s="10">
        <v>1331</v>
      </c>
    </row>
    <row r="1065" spans="1:21" x14ac:dyDescent="0.35">
      <c r="A1065" t="s">
        <v>15</v>
      </c>
      <c r="B1065" t="s">
        <v>20</v>
      </c>
      <c r="C1065" t="s">
        <v>21</v>
      </c>
      <c r="D1065">
        <v>294094</v>
      </c>
      <c r="E1065">
        <v>48604</v>
      </c>
      <c r="F1065">
        <v>31799</v>
      </c>
      <c r="G1065">
        <v>-264002</v>
      </c>
      <c r="H1065">
        <v>110495</v>
      </c>
      <c r="I1065">
        <v>111137</v>
      </c>
      <c r="J1065">
        <v>2963</v>
      </c>
      <c r="K1065">
        <v>1166182</v>
      </c>
      <c r="L1065">
        <v>152836</v>
      </c>
      <c r="M1065">
        <v>-192494</v>
      </c>
      <c r="N1065">
        <v>240061</v>
      </c>
      <c r="O1065" t="s">
        <v>1083</v>
      </c>
      <c r="P1065" s="9">
        <v>176681</v>
      </c>
      <c r="Q1065" s="9">
        <v>27051</v>
      </c>
      <c r="R1065" s="9">
        <v>203732</v>
      </c>
      <c r="S1065" s="9">
        <v>-46995</v>
      </c>
      <c r="T1065" s="10">
        <v>75369</v>
      </c>
      <c r="U1065" s="10">
        <v>1065</v>
      </c>
    </row>
    <row r="1066" spans="1:21" x14ac:dyDescent="0.35">
      <c r="A1066" t="s">
        <v>15</v>
      </c>
      <c r="B1066" t="s">
        <v>16</v>
      </c>
      <c r="C1066" t="s">
        <v>21</v>
      </c>
      <c r="D1066">
        <v>209264</v>
      </c>
      <c r="E1066">
        <v>34712</v>
      </c>
      <c r="F1066">
        <v>31618</v>
      </c>
      <c r="G1066">
        <v>-178276</v>
      </c>
      <c r="H1066">
        <v>97318</v>
      </c>
      <c r="I1066">
        <v>91433</v>
      </c>
      <c r="J1066">
        <v>1540</v>
      </c>
      <c r="K1066">
        <v>539305</v>
      </c>
      <c r="L1066">
        <v>179338</v>
      </c>
      <c r="M1066">
        <v>-118553</v>
      </c>
      <c r="N1066">
        <v>136458</v>
      </c>
      <c r="O1066" t="s">
        <v>1084</v>
      </c>
      <c r="P1066" s="9">
        <v>230480</v>
      </c>
      <c r="Q1066" s="9">
        <v>29831</v>
      </c>
      <c r="R1066" s="9">
        <v>260311</v>
      </c>
      <c r="S1066" s="9">
        <v>-76310</v>
      </c>
      <c r="T1066" s="10">
        <v>55606</v>
      </c>
      <c r="U1066" s="10">
        <v>1583</v>
      </c>
    </row>
    <row r="1067" spans="1:21" x14ac:dyDescent="0.35">
      <c r="A1067" t="s">
        <v>15</v>
      </c>
      <c r="B1067" t="s">
        <v>16</v>
      </c>
      <c r="C1067" t="s">
        <v>21</v>
      </c>
      <c r="D1067">
        <v>152808</v>
      </c>
      <c r="E1067">
        <v>20842</v>
      </c>
      <c r="F1067">
        <v>20757</v>
      </c>
      <c r="G1067">
        <v>-143111</v>
      </c>
      <c r="H1067">
        <v>51296</v>
      </c>
      <c r="I1067">
        <v>53764</v>
      </c>
      <c r="J1067">
        <v>1107</v>
      </c>
      <c r="K1067">
        <v>508030</v>
      </c>
      <c r="L1067">
        <v>215391</v>
      </c>
      <c r="M1067">
        <v>-92427</v>
      </c>
      <c r="N1067">
        <v>50419</v>
      </c>
      <c r="O1067" t="s">
        <v>1085</v>
      </c>
      <c r="P1067" s="9">
        <v>269726</v>
      </c>
      <c r="Q1067" s="9">
        <v>44569</v>
      </c>
      <c r="R1067" s="9">
        <v>314295</v>
      </c>
      <c r="S1067" s="9">
        <v>-93917</v>
      </c>
      <c r="T1067" s="10">
        <v>110861</v>
      </c>
      <c r="U1067" s="10">
        <v>2627</v>
      </c>
    </row>
    <row r="1068" spans="1:21" x14ac:dyDescent="0.35">
      <c r="A1068" t="s">
        <v>15</v>
      </c>
      <c r="B1068" t="s">
        <v>16</v>
      </c>
      <c r="C1068" t="s">
        <v>17</v>
      </c>
      <c r="D1068">
        <v>244271</v>
      </c>
      <c r="E1068">
        <v>14727</v>
      </c>
      <c r="F1068">
        <v>49660</v>
      </c>
      <c r="G1068">
        <v>-235640</v>
      </c>
      <c r="H1068">
        <v>73018</v>
      </c>
      <c r="I1068">
        <v>67961</v>
      </c>
      <c r="J1068">
        <v>985</v>
      </c>
      <c r="K1068">
        <v>824899</v>
      </c>
      <c r="L1068">
        <v>128696</v>
      </c>
      <c r="M1068">
        <v>-147978</v>
      </c>
      <c r="N1068">
        <v>140207</v>
      </c>
      <c r="O1068" t="s">
        <v>1086</v>
      </c>
      <c r="P1068" s="9">
        <v>178512</v>
      </c>
      <c r="Q1068" s="9">
        <v>28559</v>
      </c>
      <c r="R1068" s="9">
        <v>207071</v>
      </c>
      <c r="S1068" s="9">
        <v>-119019</v>
      </c>
      <c r="T1068" s="10">
        <v>58355</v>
      </c>
      <c r="U1068" s="10">
        <v>893</v>
      </c>
    </row>
    <row r="1069" spans="1:21" x14ac:dyDescent="0.35">
      <c r="A1069" t="s">
        <v>15</v>
      </c>
      <c r="B1069" t="s">
        <v>16</v>
      </c>
      <c r="C1069" t="s">
        <v>21</v>
      </c>
      <c r="D1069">
        <v>284088</v>
      </c>
      <c r="E1069">
        <v>18051</v>
      </c>
      <c r="F1069">
        <v>45866</v>
      </c>
      <c r="G1069">
        <v>-260285</v>
      </c>
      <c r="H1069">
        <v>87720</v>
      </c>
      <c r="I1069">
        <v>80111</v>
      </c>
      <c r="J1069">
        <v>1965</v>
      </c>
      <c r="K1069">
        <v>804010</v>
      </c>
      <c r="L1069">
        <v>233577</v>
      </c>
      <c r="M1069">
        <v>-280292</v>
      </c>
      <c r="N1069">
        <v>108851</v>
      </c>
      <c r="O1069" t="s">
        <v>1087</v>
      </c>
      <c r="P1069" s="9">
        <v>256353</v>
      </c>
      <c r="Q1069" s="9">
        <v>16917</v>
      </c>
      <c r="R1069" s="9">
        <v>273270</v>
      </c>
      <c r="S1069" s="9">
        <v>-68047</v>
      </c>
      <c r="T1069" s="10">
        <v>101725</v>
      </c>
      <c r="U1069" s="10">
        <v>1089</v>
      </c>
    </row>
    <row r="1070" spans="1:21" x14ac:dyDescent="0.35">
      <c r="A1070" t="s">
        <v>15</v>
      </c>
      <c r="B1070" t="s">
        <v>20</v>
      </c>
      <c r="C1070" t="s">
        <v>21</v>
      </c>
      <c r="D1070">
        <v>255928</v>
      </c>
      <c r="E1070">
        <v>33291</v>
      </c>
      <c r="F1070">
        <v>55424</v>
      </c>
      <c r="G1070">
        <v>-238637</v>
      </c>
      <c r="H1070">
        <v>106006</v>
      </c>
      <c r="I1070">
        <v>110769</v>
      </c>
      <c r="J1070">
        <v>2898</v>
      </c>
      <c r="K1070">
        <v>568624</v>
      </c>
      <c r="L1070">
        <v>201219</v>
      </c>
      <c r="M1070">
        <v>-138447</v>
      </c>
      <c r="N1070">
        <v>132055</v>
      </c>
      <c r="O1070" t="s">
        <v>1088</v>
      </c>
      <c r="P1070" s="9">
        <v>142321</v>
      </c>
      <c r="Q1070" s="9">
        <v>29783</v>
      </c>
      <c r="R1070" s="9">
        <v>172104</v>
      </c>
      <c r="S1070" s="9">
        <v>-43415</v>
      </c>
      <c r="T1070" s="10">
        <v>75008</v>
      </c>
      <c r="U1070" s="10">
        <v>1505</v>
      </c>
    </row>
    <row r="1071" spans="1:21" x14ac:dyDescent="0.35">
      <c r="A1071" t="s">
        <v>15</v>
      </c>
      <c r="B1071" t="s">
        <v>20</v>
      </c>
      <c r="C1071" t="s">
        <v>17</v>
      </c>
      <c r="D1071">
        <v>286781</v>
      </c>
      <c r="E1071">
        <v>35426</v>
      </c>
      <c r="F1071">
        <v>30254</v>
      </c>
      <c r="G1071">
        <v>-275555</v>
      </c>
      <c r="H1071">
        <v>76906</v>
      </c>
      <c r="I1071">
        <v>76725</v>
      </c>
      <c r="J1071">
        <v>1705</v>
      </c>
      <c r="K1071">
        <v>716989</v>
      </c>
      <c r="L1071">
        <v>270250</v>
      </c>
      <c r="M1071">
        <v>-91655</v>
      </c>
      <c r="N1071">
        <v>146008</v>
      </c>
      <c r="O1071" t="s">
        <v>1089</v>
      </c>
      <c r="P1071" s="9">
        <v>166133</v>
      </c>
      <c r="Q1071" s="9">
        <v>24198</v>
      </c>
      <c r="R1071" s="9">
        <v>190331</v>
      </c>
      <c r="S1071" s="9">
        <v>-60909</v>
      </c>
      <c r="T1071" s="10">
        <v>73414</v>
      </c>
      <c r="U1071" s="10">
        <v>2031</v>
      </c>
    </row>
    <row r="1072" spans="1:21" x14ac:dyDescent="0.35">
      <c r="A1072" t="s">
        <v>15</v>
      </c>
      <c r="B1072" t="s">
        <v>16</v>
      </c>
      <c r="C1072" t="s">
        <v>21</v>
      </c>
      <c r="D1072">
        <v>287672</v>
      </c>
      <c r="E1072">
        <v>50214</v>
      </c>
      <c r="F1072">
        <v>57259</v>
      </c>
      <c r="G1072">
        <v>-285978</v>
      </c>
      <c r="H1072">
        <v>109167</v>
      </c>
      <c r="I1072">
        <v>111408</v>
      </c>
      <c r="J1072">
        <v>1923</v>
      </c>
      <c r="K1072">
        <v>697318</v>
      </c>
      <c r="L1072">
        <v>145447</v>
      </c>
      <c r="M1072">
        <v>-166941</v>
      </c>
      <c r="N1072">
        <v>120646</v>
      </c>
      <c r="O1072" t="s">
        <v>1090</v>
      </c>
      <c r="P1072" s="9">
        <v>226720</v>
      </c>
      <c r="Q1072" s="9">
        <v>11877</v>
      </c>
      <c r="R1072" s="9">
        <v>238597</v>
      </c>
      <c r="S1072" s="9">
        <v>-140031</v>
      </c>
      <c r="T1072" s="10">
        <v>73437</v>
      </c>
      <c r="U1072" s="10">
        <v>1427</v>
      </c>
    </row>
    <row r="1073" spans="1:21" x14ac:dyDescent="0.35">
      <c r="A1073" t="s">
        <v>15</v>
      </c>
      <c r="B1073" t="s">
        <v>20</v>
      </c>
      <c r="C1073" t="s">
        <v>21</v>
      </c>
      <c r="D1073">
        <v>229181</v>
      </c>
      <c r="E1073">
        <v>30436</v>
      </c>
      <c r="F1073">
        <v>34883</v>
      </c>
      <c r="G1073">
        <v>-220511</v>
      </c>
      <c r="H1073">
        <v>73989</v>
      </c>
      <c r="I1073">
        <v>71403</v>
      </c>
      <c r="J1073">
        <v>907</v>
      </c>
      <c r="K1073">
        <v>671480</v>
      </c>
      <c r="L1073">
        <v>224803</v>
      </c>
      <c r="M1073">
        <v>-155670</v>
      </c>
      <c r="N1073">
        <v>109208</v>
      </c>
      <c r="O1073" t="s">
        <v>1091</v>
      </c>
      <c r="P1073" s="9">
        <v>198792</v>
      </c>
      <c r="Q1073" s="9">
        <v>13534</v>
      </c>
      <c r="R1073" s="9">
        <v>212326</v>
      </c>
      <c r="S1073" s="9">
        <v>-119312</v>
      </c>
      <c r="T1073" s="10">
        <v>47678</v>
      </c>
      <c r="U1073" s="10">
        <v>1277</v>
      </c>
    </row>
    <row r="1074" spans="1:21" x14ac:dyDescent="0.35">
      <c r="A1074" t="s">
        <v>15</v>
      </c>
      <c r="B1074" t="s">
        <v>20</v>
      </c>
      <c r="C1074" t="s">
        <v>17</v>
      </c>
      <c r="D1074">
        <v>203401</v>
      </c>
      <c r="E1074">
        <v>38805</v>
      </c>
      <c r="F1074">
        <v>42849</v>
      </c>
      <c r="G1074">
        <v>-179934</v>
      </c>
      <c r="H1074">
        <v>105121</v>
      </c>
      <c r="I1074">
        <v>105163</v>
      </c>
      <c r="J1074">
        <v>3019</v>
      </c>
      <c r="K1074">
        <v>457504</v>
      </c>
      <c r="L1074">
        <v>119725</v>
      </c>
      <c r="M1074">
        <v>-166078</v>
      </c>
      <c r="N1074">
        <v>125348</v>
      </c>
      <c r="O1074" t="s">
        <v>1092</v>
      </c>
      <c r="P1074" s="9">
        <v>248637</v>
      </c>
      <c r="Q1074" s="9">
        <v>21254</v>
      </c>
      <c r="R1074" s="9">
        <v>269891</v>
      </c>
      <c r="S1074" s="9">
        <v>-57779</v>
      </c>
      <c r="T1074" s="10">
        <v>68319</v>
      </c>
      <c r="U1074" s="10">
        <v>1381</v>
      </c>
    </row>
    <row r="1075" spans="1:21" x14ac:dyDescent="0.35">
      <c r="A1075" t="s">
        <v>15</v>
      </c>
      <c r="B1075" t="s">
        <v>16</v>
      </c>
      <c r="C1075" t="s">
        <v>21</v>
      </c>
      <c r="D1075">
        <v>222501</v>
      </c>
      <c r="E1075">
        <v>24335</v>
      </c>
      <c r="F1075">
        <v>38517</v>
      </c>
      <c r="G1075">
        <v>-212459</v>
      </c>
      <c r="H1075">
        <v>72894</v>
      </c>
      <c r="I1075">
        <v>73312</v>
      </c>
      <c r="J1075">
        <v>2015</v>
      </c>
      <c r="K1075">
        <v>811983</v>
      </c>
      <c r="L1075">
        <v>181627</v>
      </c>
      <c r="M1075">
        <v>-219295</v>
      </c>
      <c r="N1075">
        <v>168904</v>
      </c>
      <c r="O1075" t="s">
        <v>1093</v>
      </c>
      <c r="P1075" s="9">
        <v>289476</v>
      </c>
      <c r="Q1075" s="9">
        <v>44903</v>
      </c>
      <c r="R1075" s="9">
        <v>334379</v>
      </c>
      <c r="S1075" s="9">
        <v>-89405</v>
      </c>
      <c r="T1075" s="10">
        <v>101482</v>
      </c>
      <c r="U1075" s="10">
        <v>2262</v>
      </c>
    </row>
    <row r="1076" spans="1:21" x14ac:dyDescent="0.35">
      <c r="A1076" t="s">
        <v>15</v>
      </c>
      <c r="B1076" t="s">
        <v>16</v>
      </c>
      <c r="C1076" t="s">
        <v>17</v>
      </c>
      <c r="D1076">
        <v>184448</v>
      </c>
      <c r="E1076">
        <v>19460</v>
      </c>
      <c r="F1076">
        <v>22508</v>
      </c>
      <c r="G1076">
        <v>-175101</v>
      </c>
      <c r="H1076">
        <v>51315</v>
      </c>
      <c r="I1076">
        <v>50557</v>
      </c>
      <c r="J1076">
        <v>1404</v>
      </c>
      <c r="K1076">
        <v>508771</v>
      </c>
      <c r="L1076">
        <v>184447</v>
      </c>
      <c r="M1076">
        <v>-133080</v>
      </c>
      <c r="N1076">
        <v>84558</v>
      </c>
      <c r="O1076" t="s">
        <v>1094</v>
      </c>
      <c r="P1076" s="9">
        <v>212336</v>
      </c>
      <c r="Q1076" s="9">
        <v>46746</v>
      </c>
      <c r="R1076" s="9">
        <v>259082</v>
      </c>
      <c r="S1076" s="9">
        <v>-140964</v>
      </c>
      <c r="T1076" s="10">
        <v>120797</v>
      </c>
      <c r="U1076" s="10">
        <v>2080</v>
      </c>
    </row>
    <row r="1077" spans="1:21" x14ac:dyDescent="0.35">
      <c r="A1077" t="s">
        <v>15</v>
      </c>
      <c r="B1077" t="s">
        <v>16</v>
      </c>
      <c r="C1077" t="s">
        <v>21</v>
      </c>
      <c r="D1077">
        <v>279535</v>
      </c>
      <c r="E1077">
        <v>32290</v>
      </c>
      <c r="F1077">
        <v>54463</v>
      </c>
      <c r="G1077">
        <v>-272236</v>
      </c>
      <c r="H1077">
        <v>94052</v>
      </c>
      <c r="I1077">
        <v>91527</v>
      </c>
      <c r="J1077">
        <v>2580</v>
      </c>
      <c r="K1077">
        <v>710133</v>
      </c>
      <c r="L1077">
        <v>325801</v>
      </c>
      <c r="M1077">
        <v>-114095</v>
      </c>
      <c r="N1077">
        <v>220263</v>
      </c>
      <c r="O1077" t="s">
        <v>1095</v>
      </c>
      <c r="P1077" s="9">
        <v>253943</v>
      </c>
      <c r="Q1077" s="9">
        <v>16126</v>
      </c>
      <c r="R1077" s="9">
        <v>270069</v>
      </c>
      <c r="S1077" s="9">
        <v>-118293</v>
      </c>
      <c r="T1077" s="10">
        <v>110835</v>
      </c>
      <c r="U1077" s="10">
        <v>3222</v>
      </c>
    </row>
    <row r="1078" spans="1:21" x14ac:dyDescent="0.35">
      <c r="A1078" t="s">
        <v>15</v>
      </c>
      <c r="B1078" t="s">
        <v>20</v>
      </c>
      <c r="C1078" t="s">
        <v>21</v>
      </c>
      <c r="D1078">
        <v>208358</v>
      </c>
      <c r="E1078">
        <v>28303</v>
      </c>
      <c r="F1078">
        <v>26752</v>
      </c>
      <c r="G1078">
        <v>-174649</v>
      </c>
      <c r="H1078">
        <v>88764</v>
      </c>
      <c r="I1078">
        <v>83529</v>
      </c>
      <c r="J1078">
        <v>2095</v>
      </c>
      <c r="K1078">
        <v>434781</v>
      </c>
      <c r="L1078">
        <v>93736</v>
      </c>
      <c r="M1078">
        <v>-100473</v>
      </c>
      <c r="N1078">
        <v>111842</v>
      </c>
      <c r="O1078" t="s">
        <v>1096</v>
      </c>
      <c r="P1078" s="9">
        <v>291283</v>
      </c>
      <c r="Q1078" s="9">
        <v>22739</v>
      </c>
      <c r="R1078" s="9">
        <v>314022</v>
      </c>
      <c r="S1078" s="9">
        <v>-142133</v>
      </c>
      <c r="T1078" s="10">
        <v>98145</v>
      </c>
      <c r="U1078" s="10">
        <v>2094</v>
      </c>
    </row>
    <row r="1079" spans="1:21" x14ac:dyDescent="0.35">
      <c r="A1079" t="s">
        <v>15</v>
      </c>
      <c r="B1079" t="s">
        <v>20</v>
      </c>
      <c r="C1079" t="s">
        <v>21</v>
      </c>
      <c r="D1079">
        <v>186343</v>
      </c>
      <c r="E1079">
        <v>16161</v>
      </c>
      <c r="F1079">
        <v>22757</v>
      </c>
      <c r="G1079">
        <v>-150549</v>
      </c>
      <c r="H1079">
        <v>74712</v>
      </c>
      <c r="I1079">
        <v>68133</v>
      </c>
      <c r="J1079">
        <v>1725</v>
      </c>
      <c r="K1079">
        <v>507020</v>
      </c>
      <c r="L1079">
        <v>84781</v>
      </c>
      <c r="M1079">
        <v>-146745</v>
      </c>
      <c r="N1079">
        <v>98052</v>
      </c>
      <c r="O1079" t="s">
        <v>1097</v>
      </c>
      <c r="P1079" s="9">
        <v>266692</v>
      </c>
      <c r="Q1079" s="9">
        <v>35262</v>
      </c>
      <c r="R1079" s="9">
        <v>301954</v>
      </c>
      <c r="S1079" s="9">
        <v>-111013</v>
      </c>
      <c r="T1079" s="10">
        <v>111989</v>
      </c>
      <c r="U1079" s="10">
        <v>2823</v>
      </c>
    </row>
    <row r="1080" spans="1:21" x14ac:dyDescent="0.35">
      <c r="A1080" t="s">
        <v>15</v>
      </c>
      <c r="B1080" t="s">
        <v>20</v>
      </c>
      <c r="C1080" t="s">
        <v>17</v>
      </c>
      <c r="D1080">
        <v>286994</v>
      </c>
      <c r="E1080">
        <v>36958</v>
      </c>
      <c r="F1080">
        <v>58059</v>
      </c>
      <c r="G1080">
        <v>-240026</v>
      </c>
      <c r="H1080">
        <v>141985</v>
      </c>
      <c r="I1080">
        <v>129395</v>
      </c>
      <c r="J1080">
        <v>2121</v>
      </c>
      <c r="K1080">
        <v>667504</v>
      </c>
      <c r="L1080">
        <v>322004</v>
      </c>
      <c r="M1080">
        <v>-166698</v>
      </c>
      <c r="N1080">
        <v>256741</v>
      </c>
      <c r="O1080" t="s">
        <v>1098</v>
      </c>
      <c r="P1080" s="9">
        <v>208392</v>
      </c>
      <c r="Q1080" s="9">
        <v>11152</v>
      </c>
      <c r="R1080" s="9">
        <v>219544</v>
      </c>
      <c r="S1080" s="9">
        <v>-44376</v>
      </c>
      <c r="T1080" s="10">
        <v>44287</v>
      </c>
      <c r="U1080" s="10">
        <v>1172</v>
      </c>
    </row>
    <row r="1081" spans="1:21" x14ac:dyDescent="0.35">
      <c r="A1081" t="s">
        <v>15</v>
      </c>
      <c r="B1081" t="s">
        <v>16</v>
      </c>
      <c r="C1081" t="s">
        <v>17</v>
      </c>
      <c r="D1081">
        <v>199565</v>
      </c>
      <c r="E1081">
        <v>20534</v>
      </c>
      <c r="F1081">
        <v>45665</v>
      </c>
      <c r="G1081">
        <v>-186259</v>
      </c>
      <c r="H1081">
        <v>79505</v>
      </c>
      <c r="I1081">
        <v>72365</v>
      </c>
      <c r="J1081">
        <v>1664</v>
      </c>
      <c r="K1081">
        <v>774874</v>
      </c>
      <c r="L1081">
        <v>317345</v>
      </c>
      <c r="M1081">
        <v>-128507</v>
      </c>
      <c r="N1081">
        <v>142905</v>
      </c>
      <c r="O1081" t="s">
        <v>1099</v>
      </c>
      <c r="P1081" s="9">
        <v>190946</v>
      </c>
      <c r="Q1081" s="9">
        <v>27675</v>
      </c>
      <c r="R1081" s="9">
        <v>218621</v>
      </c>
      <c r="S1081" s="9">
        <v>-48248</v>
      </c>
      <c r="T1081" s="10">
        <v>86721</v>
      </c>
      <c r="U1081" s="10">
        <v>1848</v>
      </c>
    </row>
    <row r="1082" spans="1:21" x14ac:dyDescent="0.35">
      <c r="A1082" t="s">
        <v>15</v>
      </c>
      <c r="B1082" t="s">
        <v>16</v>
      </c>
      <c r="C1082" t="s">
        <v>17</v>
      </c>
      <c r="D1082">
        <v>191585</v>
      </c>
      <c r="E1082">
        <v>28271</v>
      </c>
      <c r="F1082">
        <v>20139</v>
      </c>
      <c r="G1082">
        <v>-155375</v>
      </c>
      <c r="H1082">
        <v>84620</v>
      </c>
      <c r="I1082">
        <v>80620</v>
      </c>
      <c r="J1082">
        <v>1417</v>
      </c>
      <c r="K1082">
        <v>404330</v>
      </c>
      <c r="L1082">
        <v>161128</v>
      </c>
      <c r="M1082">
        <v>-78011</v>
      </c>
      <c r="N1082">
        <v>120886</v>
      </c>
      <c r="O1082" t="s">
        <v>1100</v>
      </c>
      <c r="P1082" s="9">
        <v>167138</v>
      </c>
      <c r="Q1082" s="9">
        <v>29071</v>
      </c>
      <c r="R1082" s="9">
        <v>196209</v>
      </c>
      <c r="S1082" s="9">
        <v>-107294</v>
      </c>
      <c r="T1082" s="10">
        <v>83975</v>
      </c>
      <c r="U1082" s="10">
        <v>2345</v>
      </c>
    </row>
    <row r="1083" spans="1:21" x14ac:dyDescent="0.35">
      <c r="A1083" t="s">
        <v>15</v>
      </c>
      <c r="B1083" t="s">
        <v>16</v>
      </c>
      <c r="C1083" t="s">
        <v>17</v>
      </c>
      <c r="D1083">
        <v>237324</v>
      </c>
      <c r="E1083">
        <v>38335</v>
      </c>
      <c r="F1083">
        <v>30530</v>
      </c>
      <c r="G1083">
        <v>-224183</v>
      </c>
      <c r="H1083">
        <v>82006</v>
      </c>
      <c r="I1083">
        <v>79262</v>
      </c>
      <c r="J1083">
        <v>989</v>
      </c>
      <c r="K1083">
        <v>672859</v>
      </c>
      <c r="L1083">
        <v>330709</v>
      </c>
      <c r="M1083">
        <v>-237613</v>
      </c>
      <c r="N1083">
        <v>205861</v>
      </c>
      <c r="O1083" t="s">
        <v>1101</v>
      </c>
      <c r="P1083" s="9">
        <v>155796</v>
      </c>
      <c r="Q1083" s="9">
        <v>27325</v>
      </c>
      <c r="R1083" s="9">
        <v>183121</v>
      </c>
      <c r="S1083" s="9">
        <v>-91635</v>
      </c>
      <c r="T1083" s="10">
        <v>79405</v>
      </c>
      <c r="U1083" s="10">
        <v>996</v>
      </c>
    </row>
    <row r="1084" spans="1:21" x14ac:dyDescent="0.35">
      <c r="A1084" t="s">
        <v>15</v>
      </c>
      <c r="B1084" t="s">
        <v>16</v>
      </c>
      <c r="C1084" t="s">
        <v>17</v>
      </c>
      <c r="D1084">
        <v>296316</v>
      </c>
      <c r="E1084">
        <v>24159</v>
      </c>
      <c r="F1084">
        <v>62056</v>
      </c>
      <c r="G1084">
        <v>-237508</v>
      </c>
      <c r="H1084">
        <v>145023</v>
      </c>
      <c r="I1084">
        <v>138322</v>
      </c>
      <c r="J1084">
        <v>3336</v>
      </c>
      <c r="K1084">
        <v>1141171</v>
      </c>
      <c r="L1084">
        <v>307145</v>
      </c>
      <c r="M1084">
        <v>-180368</v>
      </c>
      <c r="N1084">
        <v>98915</v>
      </c>
      <c r="O1084" t="s">
        <v>1102</v>
      </c>
      <c r="P1084" s="9">
        <v>220891</v>
      </c>
      <c r="Q1084" s="9">
        <v>38565</v>
      </c>
      <c r="R1084" s="9">
        <v>259456</v>
      </c>
      <c r="S1084" s="9">
        <v>-120435</v>
      </c>
      <c r="T1084" s="10">
        <v>79449</v>
      </c>
      <c r="U1084" s="10">
        <v>1816</v>
      </c>
    </row>
    <row r="1085" spans="1:21" x14ac:dyDescent="0.35">
      <c r="A1085" t="s">
        <v>15</v>
      </c>
      <c r="B1085" t="s">
        <v>16</v>
      </c>
      <c r="C1085" t="s">
        <v>17</v>
      </c>
      <c r="D1085">
        <v>162056</v>
      </c>
      <c r="E1085">
        <v>32391</v>
      </c>
      <c r="F1085">
        <v>36859</v>
      </c>
      <c r="G1085">
        <v>-155469</v>
      </c>
      <c r="H1085">
        <v>75837</v>
      </c>
      <c r="I1085">
        <v>78836</v>
      </c>
      <c r="J1085">
        <v>1982</v>
      </c>
      <c r="K1085">
        <v>433556</v>
      </c>
      <c r="L1085">
        <v>60461</v>
      </c>
      <c r="M1085">
        <v>-122863</v>
      </c>
      <c r="N1085">
        <v>51990</v>
      </c>
      <c r="O1085" t="s">
        <v>1103</v>
      </c>
      <c r="P1085" s="9">
        <v>270931</v>
      </c>
      <c r="Q1085" s="9">
        <v>44014</v>
      </c>
      <c r="R1085" s="9">
        <v>314945</v>
      </c>
      <c r="S1085" s="9">
        <v>-76647</v>
      </c>
      <c r="T1085" s="10">
        <v>145452</v>
      </c>
      <c r="U1085" s="10">
        <v>2332</v>
      </c>
    </row>
    <row r="1086" spans="1:21" x14ac:dyDescent="0.35">
      <c r="A1086" t="s">
        <v>15</v>
      </c>
      <c r="B1086" t="s">
        <v>16</v>
      </c>
      <c r="C1086" t="s">
        <v>21</v>
      </c>
      <c r="D1086">
        <v>250085</v>
      </c>
      <c r="E1086">
        <v>21371</v>
      </c>
      <c r="F1086">
        <v>55047</v>
      </c>
      <c r="G1086">
        <v>-202077</v>
      </c>
      <c r="H1086">
        <v>124426</v>
      </c>
      <c r="I1086">
        <v>125653</v>
      </c>
      <c r="J1086">
        <v>2609</v>
      </c>
      <c r="K1086">
        <v>955219</v>
      </c>
      <c r="L1086">
        <v>370042</v>
      </c>
      <c r="M1086">
        <v>-137857</v>
      </c>
      <c r="N1086">
        <v>153767</v>
      </c>
      <c r="O1086" t="s">
        <v>1104</v>
      </c>
      <c r="P1086" s="9">
        <v>165600</v>
      </c>
      <c r="Q1086" s="9">
        <v>27707</v>
      </c>
      <c r="R1086" s="9">
        <v>193307</v>
      </c>
      <c r="S1086" s="9">
        <v>-67231</v>
      </c>
      <c r="T1086" s="10">
        <v>82467</v>
      </c>
      <c r="U1086" s="10">
        <v>1256</v>
      </c>
    </row>
    <row r="1087" spans="1:21" x14ac:dyDescent="0.35">
      <c r="A1087" t="s">
        <v>15</v>
      </c>
      <c r="B1087" t="s">
        <v>16</v>
      </c>
      <c r="C1087" t="s">
        <v>21</v>
      </c>
      <c r="D1087">
        <v>255410</v>
      </c>
      <c r="E1087">
        <v>39070</v>
      </c>
      <c r="F1087">
        <v>33617</v>
      </c>
      <c r="G1087">
        <v>-224787</v>
      </c>
      <c r="H1087">
        <v>103310</v>
      </c>
      <c r="I1087">
        <v>107327</v>
      </c>
      <c r="J1087">
        <v>1122</v>
      </c>
      <c r="K1087">
        <v>812220</v>
      </c>
      <c r="L1087">
        <v>184320</v>
      </c>
      <c r="M1087">
        <v>-244078</v>
      </c>
      <c r="N1087">
        <v>172856</v>
      </c>
      <c r="O1087" t="s">
        <v>1105</v>
      </c>
      <c r="P1087" s="9">
        <v>245189</v>
      </c>
      <c r="Q1087" s="9">
        <v>38867</v>
      </c>
      <c r="R1087" s="9">
        <v>284056</v>
      </c>
      <c r="S1087" s="9">
        <v>-125868</v>
      </c>
      <c r="T1087" s="10">
        <v>110061</v>
      </c>
      <c r="U1087" s="10">
        <v>1922</v>
      </c>
    </row>
    <row r="1088" spans="1:21" x14ac:dyDescent="0.35">
      <c r="A1088" t="s">
        <v>15</v>
      </c>
      <c r="B1088" t="s">
        <v>20</v>
      </c>
      <c r="C1088" t="s">
        <v>21</v>
      </c>
      <c r="D1088">
        <v>290094</v>
      </c>
      <c r="E1088">
        <v>44865</v>
      </c>
      <c r="F1088">
        <v>69160</v>
      </c>
      <c r="G1088">
        <v>-285508</v>
      </c>
      <c r="H1088">
        <v>118611</v>
      </c>
      <c r="I1088">
        <v>120700</v>
      </c>
      <c r="J1088">
        <v>2965</v>
      </c>
      <c r="K1088">
        <v>1154472</v>
      </c>
      <c r="L1088">
        <v>444458</v>
      </c>
      <c r="M1088">
        <v>-117896</v>
      </c>
      <c r="N1088">
        <v>192336</v>
      </c>
      <c r="O1088" t="s">
        <v>1106</v>
      </c>
      <c r="P1088" s="9">
        <v>187450</v>
      </c>
      <c r="Q1088" s="9">
        <v>36120</v>
      </c>
      <c r="R1088" s="9">
        <v>223570</v>
      </c>
      <c r="S1088" s="9">
        <v>-97819</v>
      </c>
      <c r="T1088" s="10">
        <v>93027</v>
      </c>
      <c r="U1088" s="10">
        <v>2465</v>
      </c>
    </row>
    <row r="1089" spans="1:21" x14ac:dyDescent="0.35">
      <c r="A1089" t="s">
        <v>15</v>
      </c>
      <c r="B1089" t="s">
        <v>20</v>
      </c>
      <c r="C1089" t="s">
        <v>21</v>
      </c>
      <c r="D1089">
        <v>201971</v>
      </c>
      <c r="E1089">
        <v>22859</v>
      </c>
      <c r="F1089">
        <v>49803</v>
      </c>
      <c r="G1089">
        <v>-196789</v>
      </c>
      <c r="H1089">
        <v>77844</v>
      </c>
      <c r="I1089">
        <v>75782</v>
      </c>
      <c r="J1089">
        <v>2023</v>
      </c>
      <c r="K1089">
        <v>475455</v>
      </c>
      <c r="L1089">
        <v>108888</v>
      </c>
      <c r="M1089">
        <v>-133843</v>
      </c>
      <c r="N1089">
        <v>79870</v>
      </c>
      <c r="O1089" t="s">
        <v>1107</v>
      </c>
      <c r="P1089" s="9">
        <v>222891</v>
      </c>
      <c r="Q1089" s="9">
        <v>13589</v>
      </c>
      <c r="R1089" s="9">
        <v>236480</v>
      </c>
      <c r="S1089" s="9">
        <v>-73102</v>
      </c>
      <c r="T1089" s="10">
        <v>87351</v>
      </c>
      <c r="U1089" s="10">
        <v>2155</v>
      </c>
    </row>
    <row r="1090" spans="1:21" x14ac:dyDescent="0.35">
      <c r="A1090" t="s">
        <v>15</v>
      </c>
      <c r="B1090" t="s">
        <v>16</v>
      </c>
      <c r="C1090" t="s">
        <v>17</v>
      </c>
      <c r="D1090">
        <v>271921</v>
      </c>
      <c r="E1090">
        <v>45401</v>
      </c>
      <c r="F1090">
        <v>36912</v>
      </c>
      <c r="G1090">
        <v>-218687</v>
      </c>
      <c r="H1090">
        <v>135547</v>
      </c>
      <c r="I1090">
        <v>123892</v>
      </c>
      <c r="J1090">
        <v>3083</v>
      </c>
      <c r="K1090">
        <v>917734</v>
      </c>
      <c r="L1090">
        <v>275902</v>
      </c>
      <c r="M1090">
        <v>-228095</v>
      </c>
      <c r="N1090">
        <v>232620</v>
      </c>
      <c r="O1090" t="s">
        <v>1108</v>
      </c>
      <c r="P1090" s="9">
        <v>195097</v>
      </c>
      <c r="Q1090" s="9">
        <v>37341</v>
      </c>
      <c r="R1090" s="9">
        <v>232438</v>
      </c>
      <c r="S1090" s="9">
        <v>-124399</v>
      </c>
      <c r="T1090" s="10">
        <v>96429</v>
      </c>
      <c r="U1090" s="10">
        <v>2647</v>
      </c>
    </row>
    <row r="1091" spans="1:21" x14ac:dyDescent="0.35">
      <c r="A1091" t="s">
        <v>15</v>
      </c>
      <c r="B1091" t="s">
        <v>20</v>
      </c>
      <c r="C1091" t="s">
        <v>21</v>
      </c>
      <c r="D1091">
        <v>231347</v>
      </c>
      <c r="E1091">
        <v>23201</v>
      </c>
      <c r="F1091">
        <v>36071</v>
      </c>
      <c r="G1091">
        <v>-187892</v>
      </c>
      <c r="H1091">
        <v>102727</v>
      </c>
      <c r="I1091">
        <v>98019</v>
      </c>
      <c r="J1091">
        <v>2325</v>
      </c>
      <c r="K1091">
        <v>770956</v>
      </c>
      <c r="L1091">
        <v>348962</v>
      </c>
      <c r="M1091">
        <v>-301179</v>
      </c>
      <c r="N1091">
        <v>120406</v>
      </c>
      <c r="O1091" t="s">
        <v>1109</v>
      </c>
      <c r="P1091" s="9">
        <v>231023</v>
      </c>
      <c r="Q1091" s="9">
        <v>44173</v>
      </c>
      <c r="R1091" s="9">
        <v>275196</v>
      </c>
      <c r="S1091" s="9">
        <v>-114407</v>
      </c>
      <c r="T1091" s="10">
        <v>119671</v>
      </c>
      <c r="U1091" s="10">
        <v>1209</v>
      </c>
    </row>
    <row r="1092" spans="1:21" x14ac:dyDescent="0.35">
      <c r="A1092" t="s">
        <v>15</v>
      </c>
      <c r="B1092" t="s">
        <v>20</v>
      </c>
      <c r="C1092" t="s">
        <v>21</v>
      </c>
      <c r="D1092">
        <v>239371</v>
      </c>
      <c r="E1092">
        <v>23712</v>
      </c>
      <c r="F1092">
        <v>54371</v>
      </c>
      <c r="G1092">
        <v>-227931</v>
      </c>
      <c r="H1092">
        <v>89523</v>
      </c>
      <c r="I1092">
        <v>93732</v>
      </c>
      <c r="J1092">
        <v>2090</v>
      </c>
      <c r="K1092">
        <v>769747</v>
      </c>
      <c r="L1092">
        <v>355021</v>
      </c>
      <c r="M1092">
        <v>-165170</v>
      </c>
      <c r="N1092">
        <v>132908</v>
      </c>
      <c r="O1092" t="s">
        <v>1110</v>
      </c>
      <c r="P1092" s="9">
        <v>195841</v>
      </c>
      <c r="Q1092" s="9">
        <v>11271</v>
      </c>
      <c r="R1092" s="9">
        <v>207112</v>
      </c>
      <c r="S1092" s="9">
        <v>-63140</v>
      </c>
      <c r="T1092" s="10">
        <v>66939</v>
      </c>
      <c r="U1092" s="10">
        <v>1074</v>
      </c>
    </row>
    <row r="1093" spans="1:21" x14ac:dyDescent="0.35">
      <c r="A1093" t="s">
        <v>15</v>
      </c>
      <c r="B1093" t="s">
        <v>16</v>
      </c>
      <c r="C1093" t="s">
        <v>21</v>
      </c>
      <c r="D1093">
        <v>227187</v>
      </c>
      <c r="E1093">
        <v>26001</v>
      </c>
      <c r="F1093">
        <v>56476</v>
      </c>
      <c r="G1093">
        <v>-226178</v>
      </c>
      <c r="H1093">
        <v>83486</v>
      </c>
      <c r="I1093">
        <v>79413</v>
      </c>
      <c r="J1093">
        <v>1751</v>
      </c>
      <c r="K1093">
        <v>853897</v>
      </c>
      <c r="L1093">
        <v>296734</v>
      </c>
      <c r="M1093">
        <v>-90391</v>
      </c>
      <c r="N1093">
        <v>146652</v>
      </c>
      <c r="O1093" t="s">
        <v>1111</v>
      </c>
      <c r="P1093" s="9">
        <v>163872</v>
      </c>
      <c r="Q1093" s="9">
        <v>25091</v>
      </c>
      <c r="R1093" s="9">
        <v>188963</v>
      </c>
      <c r="S1093" s="9">
        <v>-46241</v>
      </c>
      <c r="T1093" s="10">
        <v>68299</v>
      </c>
      <c r="U1093" s="10">
        <v>1029</v>
      </c>
    </row>
    <row r="1094" spans="1:21" x14ac:dyDescent="0.35">
      <c r="A1094" t="s">
        <v>15</v>
      </c>
      <c r="B1094" t="s">
        <v>20</v>
      </c>
      <c r="C1094" t="s">
        <v>21</v>
      </c>
      <c r="D1094">
        <v>178870</v>
      </c>
      <c r="E1094">
        <v>10313</v>
      </c>
      <c r="F1094">
        <v>32788</v>
      </c>
      <c r="G1094">
        <v>-157656</v>
      </c>
      <c r="H1094">
        <v>64315</v>
      </c>
      <c r="I1094">
        <v>67305</v>
      </c>
      <c r="J1094">
        <v>1201</v>
      </c>
      <c r="K1094">
        <v>475109</v>
      </c>
      <c r="L1094">
        <v>118401</v>
      </c>
      <c r="M1094">
        <v>-80576</v>
      </c>
      <c r="N1094">
        <v>114716</v>
      </c>
      <c r="O1094" t="s">
        <v>1112</v>
      </c>
      <c r="P1094" s="9">
        <v>149509</v>
      </c>
      <c r="Q1094" s="9">
        <v>21574</v>
      </c>
      <c r="R1094" s="9">
        <v>171083</v>
      </c>
      <c r="S1094" s="9">
        <v>-76618</v>
      </c>
      <c r="T1094" s="10">
        <v>73675</v>
      </c>
      <c r="U1094" s="10">
        <v>1627</v>
      </c>
    </row>
    <row r="1095" spans="1:21" x14ac:dyDescent="0.35">
      <c r="A1095" t="s">
        <v>15</v>
      </c>
      <c r="B1095" t="s">
        <v>20</v>
      </c>
      <c r="C1095" t="s">
        <v>21</v>
      </c>
      <c r="D1095">
        <v>256468</v>
      </c>
      <c r="E1095">
        <v>43457</v>
      </c>
      <c r="F1095">
        <v>53489</v>
      </c>
      <c r="G1095">
        <v>-221596</v>
      </c>
      <c r="H1095">
        <v>131818</v>
      </c>
      <c r="I1095">
        <v>134501</v>
      </c>
      <c r="J1095">
        <v>3767</v>
      </c>
      <c r="K1095">
        <v>933036</v>
      </c>
      <c r="L1095">
        <v>378808</v>
      </c>
      <c r="M1095">
        <v>-153965</v>
      </c>
      <c r="N1095">
        <v>164677</v>
      </c>
      <c r="O1095" t="s">
        <v>1113</v>
      </c>
      <c r="P1095" s="9">
        <v>258784</v>
      </c>
      <c r="Q1095" s="9">
        <v>20135</v>
      </c>
      <c r="R1095" s="9">
        <v>278919</v>
      </c>
      <c r="S1095" s="9">
        <v>-58146</v>
      </c>
      <c r="T1095" s="10">
        <v>97856</v>
      </c>
      <c r="U1095" s="10">
        <v>2888</v>
      </c>
    </row>
    <row r="1096" spans="1:21" x14ac:dyDescent="0.35">
      <c r="A1096" t="s">
        <v>15</v>
      </c>
      <c r="B1096" t="s">
        <v>16</v>
      </c>
      <c r="C1096" t="s">
        <v>21</v>
      </c>
      <c r="D1096">
        <v>299230</v>
      </c>
      <c r="E1096">
        <v>26288</v>
      </c>
      <c r="F1096">
        <v>56659</v>
      </c>
      <c r="G1096">
        <v>-295461</v>
      </c>
      <c r="H1096">
        <v>86716</v>
      </c>
      <c r="I1096">
        <v>84121</v>
      </c>
      <c r="J1096">
        <v>1365</v>
      </c>
      <c r="K1096">
        <v>926903</v>
      </c>
      <c r="L1096">
        <v>418303</v>
      </c>
      <c r="M1096">
        <v>-319672</v>
      </c>
      <c r="N1096">
        <v>207933</v>
      </c>
      <c r="O1096" t="s">
        <v>1114</v>
      </c>
      <c r="P1096" s="9">
        <v>149753</v>
      </c>
      <c r="Q1096" s="9">
        <v>23125</v>
      </c>
      <c r="R1096" s="9">
        <v>172878</v>
      </c>
      <c r="S1096" s="9">
        <v>-38970</v>
      </c>
      <c r="T1096" s="10">
        <v>74254</v>
      </c>
      <c r="U1096" s="10">
        <v>1384</v>
      </c>
    </row>
    <row r="1097" spans="1:21" x14ac:dyDescent="0.35">
      <c r="A1097" t="s">
        <v>15</v>
      </c>
      <c r="B1097" t="s">
        <v>16</v>
      </c>
      <c r="C1097" t="s">
        <v>17</v>
      </c>
      <c r="D1097">
        <v>272159</v>
      </c>
      <c r="E1097">
        <v>33475</v>
      </c>
      <c r="F1097">
        <v>54269</v>
      </c>
      <c r="G1097">
        <v>-222046</v>
      </c>
      <c r="H1097">
        <v>137857</v>
      </c>
      <c r="I1097">
        <v>127820</v>
      </c>
      <c r="J1097">
        <v>1328</v>
      </c>
      <c r="K1097">
        <v>1084615</v>
      </c>
      <c r="L1097">
        <v>297761</v>
      </c>
      <c r="M1097">
        <v>-431696</v>
      </c>
      <c r="N1097">
        <v>136247</v>
      </c>
      <c r="O1097" t="s">
        <v>1115</v>
      </c>
      <c r="P1097" s="9">
        <v>221314</v>
      </c>
      <c r="Q1097" s="9">
        <v>27251</v>
      </c>
      <c r="R1097" s="9">
        <v>248565</v>
      </c>
      <c r="S1097" s="9">
        <v>-108655</v>
      </c>
      <c r="T1097" s="10">
        <v>106130</v>
      </c>
      <c r="U1097" s="10">
        <v>2502</v>
      </c>
    </row>
    <row r="1098" spans="1:21" x14ac:dyDescent="0.35">
      <c r="A1098" t="s">
        <v>15</v>
      </c>
      <c r="B1098" t="s">
        <v>20</v>
      </c>
      <c r="C1098" t="s">
        <v>17</v>
      </c>
      <c r="D1098">
        <v>161647</v>
      </c>
      <c r="E1098">
        <v>17325</v>
      </c>
      <c r="F1098">
        <v>35381</v>
      </c>
      <c r="G1098">
        <v>-143241</v>
      </c>
      <c r="H1098">
        <v>71112</v>
      </c>
      <c r="I1098">
        <v>71615</v>
      </c>
      <c r="J1098">
        <v>1784</v>
      </c>
      <c r="K1098">
        <v>358311</v>
      </c>
      <c r="L1098">
        <v>51559</v>
      </c>
      <c r="M1098">
        <v>-114865</v>
      </c>
      <c r="N1098">
        <v>125837</v>
      </c>
      <c r="O1098" t="s">
        <v>1116</v>
      </c>
      <c r="P1098" s="9">
        <v>165641</v>
      </c>
      <c r="Q1098" s="9">
        <v>18992</v>
      </c>
      <c r="R1098" s="9">
        <v>184633</v>
      </c>
      <c r="S1098" s="9">
        <v>-108954</v>
      </c>
      <c r="T1098" s="10">
        <v>60434</v>
      </c>
      <c r="U1098" s="10">
        <v>944</v>
      </c>
    </row>
    <row r="1099" spans="1:21" x14ac:dyDescent="0.35">
      <c r="A1099" t="s">
        <v>15</v>
      </c>
      <c r="B1099" t="s">
        <v>16</v>
      </c>
      <c r="C1099" t="s">
        <v>21</v>
      </c>
      <c r="D1099">
        <v>219553</v>
      </c>
      <c r="E1099">
        <v>33005</v>
      </c>
      <c r="F1099">
        <v>41400</v>
      </c>
      <c r="G1099">
        <v>-213282</v>
      </c>
      <c r="H1099">
        <v>80676</v>
      </c>
      <c r="I1099">
        <v>77167</v>
      </c>
      <c r="J1099">
        <v>2175</v>
      </c>
      <c r="K1099">
        <v>803701</v>
      </c>
      <c r="L1099">
        <v>162015</v>
      </c>
      <c r="M1099">
        <v>-184461</v>
      </c>
      <c r="N1099">
        <v>76849</v>
      </c>
      <c r="O1099" t="s">
        <v>1117</v>
      </c>
      <c r="P1099" s="9">
        <v>194735</v>
      </c>
      <c r="Q1099" s="9">
        <v>19026</v>
      </c>
      <c r="R1099" s="9">
        <v>213761</v>
      </c>
      <c r="S1099" s="9">
        <v>-50026</v>
      </c>
      <c r="T1099" s="10">
        <v>64567</v>
      </c>
      <c r="U1099" s="10">
        <v>1157</v>
      </c>
    </row>
    <row r="1100" spans="1:21" x14ac:dyDescent="0.35">
      <c r="A1100" t="s">
        <v>15</v>
      </c>
      <c r="B1100" t="s">
        <v>20</v>
      </c>
      <c r="C1100" t="s">
        <v>17</v>
      </c>
      <c r="D1100">
        <v>167805</v>
      </c>
      <c r="E1100">
        <v>12612</v>
      </c>
      <c r="F1100">
        <v>16967</v>
      </c>
      <c r="G1100">
        <v>-137263</v>
      </c>
      <c r="H1100">
        <v>60121</v>
      </c>
      <c r="I1100">
        <v>59833</v>
      </c>
      <c r="J1100">
        <v>1049</v>
      </c>
      <c r="K1100">
        <v>553637</v>
      </c>
      <c r="L1100">
        <v>256940</v>
      </c>
      <c r="M1100">
        <v>-158956</v>
      </c>
      <c r="N1100">
        <v>94491</v>
      </c>
      <c r="O1100" t="s">
        <v>1118</v>
      </c>
      <c r="P1100" s="9">
        <v>242049</v>
      </c>
      <c r="Q1100" s="9">
        <v>51162</v>
      </c>
      <c r="R1100" s="9">
        <v>293211</v>
      </c>
      <c r="S1100" s="9">
        <v>-105849</v>
      </c>
      <c r="T1100" s="10">
        <v>124324</v>
      </c>
      <c r="U1100" s="10">
        <v>3579</v>
      </c>
    </row>
    <row r="1101" spans="1:21" x14ac:dyDescent="0.35">
      <c r="A1101" t="s">
        <v>15</v>
      </c>
      <c r="B1101" t="s">
        <v>20</v>
      </c>
      <c r="C1101" t="s">
        <v>21</v>
      </c>
      <c r="D1101">
        <v>204131</v>
      </c>
      <c r="E1101">
        <v>13102</v>
      </c>
      <c r="F1101">
        <v>25699</v>
      </c>
      <c r="G1101">
        <v>-192728</v>
      </c>
      <c r="H1101">
        <v>50204</v>
      </c>
      <c r="I1101">
        <v>51136</v>
      </c>
      <c r="J1101">
        <v>1274</v>
      </c>
      <c r="K1101">
        <v>437389</v>
      </c>
      <c r="L1101">
        <v>205571</v>
      </c>
      <c r="M1101">
        <v>-168744</v>
      </c>
      <c r="N1101">
        <v>65199</v>
      </c>
      <c r="O1101" t="s">
        <v>1119</v>
      </c>
      <c r="P1101" s="9">
        <v>259930</v>
      </c>
      <c r="Q1101" s="9">
        <v>23821</v>
      </c>
      <c r="R1101" s="9">
        <v>283751</v>
      </c>
      <c r="S1101" s="9">
        <v>-96705</v>
      </c>
      <c r="T1101" s="10">
        <v>98144</v>
      </c>
      <c r="U1101" s="10">
        <v>2922</v>
      </c>
    </row>
    <row r="1102" spans="1:21" x14ac:dyDescent="0.35">
      <c r="A1102" t="s">
        <v>15</v>
      </c>
      <c r="B1102" t="s">
        <v>16</v>
      </c>
      <c r="C1102" t="s">
        <v>17</v>
      </c>
      <c r="D1102">
        <v>249913</v>
      </c>
      <c r="E1102">
        <v>18661</v>
      </c>
      <c r="F1102">
        <v>35128</v>
      </c>
      <c r="G1102">
        <v>-243331</v>
      </c>
      <c r="H1102">
        <v>60371</v>
      </c>
      <c r="I1102">
        <v>62735</v>
      </c>
      <c r="J1102">
        <v>1699</v>
      </c>
      <c r="K1102">
        <v>684100</v>
      </c>
      <c r="L1102">
        <v>89277</v>
      </c>
      <c r="M1102">
        <v>-138695</v>
      </c>
      <c r="N1102">
        <v>100226</v>
      </c>
      <c r="O1102" t="s">
        <v>1120</v>
      </c>
      <c r="P1102" s="9">
        <v>290974</v>
      </c>
      <c r="Q1102" s="9">
        <v>41655</v>
      </c>
      <c r="R1102" s="9">
        <v>332629</v>
      </c>
      <c r="S1102" s="9">
        <v>-147347</v>
      </c>
      <c r="T1102" s="10">
        <v>123430</v>
      </c>
      <c r="U1102" s="10">
        <v>2098</v>
      </c>
    </row>
    <row r="1103" spans="1:21" x14ac:dyDescent="0.35">
      <c r="A1103" t="s">
        <v>15</v>
      </c>
      <c r="B1103" t="s">
        <v>16</v>
      </c>
      <c r="C1103" t="s">
        <v>21</v>
      </c>
      <c r="D1103">
        <v>162442</v>
      </c>
      <c r="E1103">
        <v>28709</v>
      </c>
      <c r="F1103">
        <v>32395</v>
      </c>
      <c r="G1103">
        <v>-136168</v>
      </c>
      <c r="H1103">
        <v>87378</v>
      </c>
      <c r="I1103">
        <v>82761</v>
      </c>
      <c r="J1103">
        <v>2047</v>
      </c>
      <c r="K1103">
        <v>622457</v>
      </c>
      <c r="L1103">
        <v>245484</v>
      </c>
      <c r="M1103">
        <v>-81559</v>
      </c>
      <c r="N1103">
        <v>92420</v>
      </c>
      <c r="O1103" t="s">
        <v>1121</v>
      </c>
      <c r="P1103" s="9">
        <v>240914</v>
      </c>
      <c r="Q1103" s="9">
        <v>18916</v>
      </c>
      <c r="R1103" s="9">
        <v>259830</v>
      </c>
      <c r="S1103" s="9">
        <v>-91828</v>
      </c>
      <c r="T1103" s="10">
        <v>83980</v>
      </c>
      <c r="U1103" s="10">
        <v>2426</v>
      </c>
    </row>
    <row r="1104" spans="1:21" x14ac:dyDescent="0.35">
      <c r="A1104" t="s">
        <v>15</v>
      </c>
      <c r="B1104" t="s">
        <v>16</v>
      </c>
      <c r="C1104" t="s">
        <v>21</v>
      </c>
      <c r="D1104">
        <v>222368</v>
      </c>
      <c r="E1104">
        <v>30754</v>
      </c>
      <c r="F1104">
        <v>37911</v>
      </c>
      <c r="G1104">
        <v>-180739</v>
      </c>
      <c r="H1104">
        <v>110294</v>
      </c>
      <c r="I1104">
        <v>99743</v>
      </c>
      <c r="J1104">
        <v>2301</v>
      </c>
      <c r="K1104">
        <v>453345</v>
      </c>
      <c r="L1104">
        <v>62360</v>
      </c>
      <c r="M1104">
        <v>-81540</v>
      </c>
      <c r="N1104">
        <v>72661</v>
      </c>
      <c r="O1104" t="s">
        <v>1122</v>
      </c>
      <c r="P1104" s="9">
        <v>203922</v>
      </c>
      <c r="Q1104" s="9">
        <v>13321</v>
      </c>
      <c r="R1104" s="9">
        <v>217243</v>
      </c>
      <c r="S1104" s="9">
        <v>-123391</v>
      </c>
      <c r="T1104" s="10">
        <v>66292</v>
      </c>
      <c r="U1104" s="10">
        <v>1358</v>
      </c>
    </row>
    <row r="1105" spans="1:21" x14ac:dyDescent="0.35">
      <c r="A1105" t="s">
        <v>15</v>
      </c>
      <c r="B1105" t="s">
        <v>16</v>
      </c>
      <c r="C1105" t="s">
        <v>21</v>
      </c>
      <c r="D1105">
        <v>174298</v>
      </c>
      <c r="E1105">
        <v>20677</v>
      </c>
      <c r="F1105">
        <v>19334</v>
      </c>
      <c r="G1105">
        <v>-145425</v>
      </c>
      <c r="H1105">
        <v>68884</v>
      </c>
      <c r="I1105">
        <v>63755</v>
      </c>
      <c r="J1105">
        <v>1626</v>
      </c>
      <c r="K1105">
        <v>460085</v>
      </c>
      <c r="L1105">
        <v>80082</v>
      </c>
      <c r="M1105">
        <v>-104740</v>
      </c>
      <c r="N1105">
        <v>132131</v>
      </c>
      <c r="O1105" t="s">
        <v>1123</v>
      </c>
      <c r="P1105" s="9">
        <v>268529</v>
      </c>
      <c r="Q1105" s="9">
        <v>49858</v>
      </c>
      <c r="R1105" s="9">
        <v>318387</v>
      </c>
      <c r="S1105" s="9">
        <v>-179670</v>
      </c>
      <c r="T1105" s="10">
        <v>74378</v>
      </c>
      <c r="U1105" s="10">
        <v>1344</v>
      </c>
    </row>
    <row r="1106" spans="1:21" x14ac:dyDescent="0.35">
      <c r="A1106" t="s">
        <v>15</v>
      </c>
      <c r="B1106" t="s">
        <v>16</v>
      </c>
      <c r="C1106" t="s">
        <v>21</v>
      </c>
      <c r="D1106">
        <v>207648</v>
      </c>
      <c r="E1106">
        <v>18589</v>
      </c>
      <c r="F1106">
        <v>36506</v>
      </c>
      <c r="G1106">
        <v>-206531</v>
      </c>
      <c r="H1106">
        <v>56212</v>
      </c>
      <c r="I1106">
        <v>57351</v>
      </c>
      <c r="J1106">
        <v>1665</v>
      </c>
      <c r="K1106">
        <v>744564</v>
      </c>
      <c r="L1106">
        <v>121276</v>
      </c>
      <c r="M1106">
        <v>-254942</v>
      </c>
      <c r="N1106">
        <v>160392</v>
      </c>
      <c r="O1106" t="s">
        <v>1124</v>
      </c>
      <c r="P1106" s="9">
        <v>261305</v>
      </c>
      <c r="Q1106" s="9">
        <v>14717</v>
      </c>
      <c r="R1106" s="9">
        <v>276022</v>
      </c>
      <c r="S1106" s="9">
        <v>-141614</v>
      </c>
      <c r="T1106" s="10">
        <v>76823</v>
      </c>
      <c r="U1106" s="10">
        <v>1180</v>
      </c>
    </row>
    <row r="1107" spans="1:21" x14ac:dyDescent="0.35">
      <c r="A1107" t="s">
        <v>15</v>
      </c>
      <c r="B1107" t="s">
        <v>16</v>
      </c>
      <c r="C1107" t="s">
        <v>21</v>
      </c>
      <c r="D1107">
        <v>169657</v>
      </c>
      <c r="E1107">
        <v>28600</v>
      </c>
      <c r="F1107">
        <v>20076</v>
      </c>
      <c r="G1107">
        <v>-158217</v>
      </c>
      <c r="H1107">
        <v>60116</v>
      </c>
      <c r="I1107">
        <v>54331</v>
      </c>
      <c r="J1107">
        <v>1352</v>
      </c>
      <c r="K1107">
        <v>623737</v>
      </c>
      <c r="L1107">
        <v>209888</v>
      </c>
      <c r="M1107">
        <v>-84444</v>
      </c>
      <c r="N1107">
        <v>117207</v>
      </c>
      <c r="O1107" t="s">
        <v>1125</v>
      </c>
      <c r="P1107" s="9">
        <v>225419</v>
      </c>
      <c r="Q1107" s="9">
        <v>30553</v>
      </c>
      <c r="R1107" s="9">
        <v>255972</v>
      </c>
      <c r="S1107" s="9">
        <v>-55295</v>
      </c>
      <c r="T1107" s="10">
        <v>69914</v>
      </c>
      <c r="U1107" s="10">
        <v>2064</v>
      </c>
    </row>
    <row r="1108" spans="1:21" x14ac:dyDescent="0.35">
      <c r="A1108" t="s">
        <v>15</v>
      </c>
      <c r="B1108" t="s">
        <v>16</v>
      </c>
      <c r="C1108" t="s">
        <v>21</v>
      </c>
      <c r="D1108">
        <v>196637</v>
      </c>
      <c r="E1108">
        <v>12850</v>
      </c>
      <c r="F1108">
        <v>31655</v>
      </c>
      <c r="G1108">
        <v>-158342</v>
      </c>
      <c r="H1108">
        <v>82800</v>
      </c>
      <c r="I1108">
        <v>82514</v>
      </c>
      <c r="J1108">
        <v>2234</v>
      </c>
      <c r="K1108">
        <v>500633</v>
      </c>
      <c r="L1108">
        <v>157987</v>
      </c>
      <c r="M1108">
        <v>-52871</v>
      </c>
      <c r="N1108">
        <v>138289</v>
      </c>
      <c r="O1108" t="s">
        <v>1126</v>
      </c>
      <c r="P1108" s="9">
        <v>233174</v>
      </c>
      <c r="Q1108" s="9">
        <v>21437</v>
      </c>
      <c r="R1108" s="9">
        <v>254611</v>
      </c>
      <c r="S1108" s="9">
        <v>-132113</v>
      </c>
      <c r="T1108" s="10">
        <v>82375</v>
      </c>
      <c r="U1108" s="10">
        <v>1261</v>
      </c>
    </row>
    <row r="1109" spans="1:21" x14ac:dyDescent="0.35">
      <c r="A1109" t="s">
        <v>15</v>
      </c>
      <c r="B1109" t="s">
        <v>16</v>
      </c>
      <c r="C1109" t="s">
        <v>21</v>
      </c>
      <c r="D1109">
        <v>171722</v>
      </c>
      <c r="E1109">
        <v>15247</v>
      </c>
      <c r="F1109">
        <v>24081</v>
      </c>
      <c r="G1109">
        <v>-142678</v>
      </c>
      <c r="H1109">
        <v>68372</v>
      </c>
      <c r="I1109">
        <v>66943</v>
      </c>
      <c r="J1109">
        <v>1167</v>
      </c>
      <c r="K1109">
        <v>575924</v>
      </c>
      <c r="L1109">
        <v>247424</v>
      </c>
      <c r="M1109">
        <v>-141429</v>
      </c>
      <c r="N1109">
        <v>143837</v>
      </c>
      <c r="O1109" t="s">
        <v>1127</v>
      </c>
      <c r="P1109" s="9">
        <v>272007</v>
      </c>
      <c r="Q1109" s="9">
        <v>28557</v>
      </c>
      <c r="R1109" s="9">
        <v>300564</v>
      </c>
      <c r="S1109" s="9">
        <v>-95444</v>
      </c>
      <c r="T1109" s="10">
        <v>119558</v>
      </c>
      <c r="U1109" s="10">
        <v>3228</v>
      </c>
    </row>
    <row r="1110" spans="1:21" x14ac:dyDescent="0.35">
      <c r="A1110" t="s">
        <v>15</v>
      </c>
      <c r="B1110" t="s">
        <v>20</v>
      </c>
      <c r="C1110" t="s">
        <v>17</v>
      </c>
      <c r="D1110">
        <v>226541</v>
      </c>
      <c r="E1110">
        <v>27674</v>
      </c>
      <c r="F1110">
        <v>23078</v>
      </c>
      <c r="G1110">
        <v>-183822</v>
      </c>
      <c r="H1110">
        <v>93471</v>
      </c>
      <c r="I1110">
        <v>93404</v>
      </c>
      <c r="J1110">
        <v>2260</v>
      </c>
      <c r="K1110">
        <v>904848</v>
      </c>
      <c r="L1110">
        <v>183262</v>
      </c>
      <c r="M1110">
        <v>-252639</v>
      </c>
      <c r="N1110">
        <v>154749</v>
      </c>
      <c r="O1110" t="s">
        <v>1128</v>
      </c>
      <c r="P1110" s="9">
        <v>199340</v>
      </c>
      <c r="Q1110" s="9">
        <v>21516</v>
      </c>
      <c r="R1110" s="9">
        <v>220856</v>
      </c>
      <c r="S1110" s="9">
        <v>-92601</v>
      </c>
      <c r="T1110" s="10">
        <v>79124</v>
      </c>
      <c r="U1110" s="10">
        <v>2038</v>
      </c>
    </row>
    <row r="1111" spans="1:21" x14ac:dyDescent="0.35">
      <c r="A1111" t="s">
        <v>15</v>
      </c>
      <c r="B1111" t="s">
        <v>16</v>
      </c>
      <c r="C1111" t="s">
        <v>21</v>
      </c>
      <c r="D1111">
        <v>177082</v>
      </c>
      <c r="E1111">
        <v>33474</v>
      </c>
      <c r="F1111">
        <v>39833</v>
      </c>
      <c r="G1111">
        <v>-149168</v>
      </c>
      <c r="H1111">
        <v>101221</v>
      </c>
      <c r="I1111">
        <v>95481</v>
      </c>
      <c r="J1111">
        <v>2728</v>
      </c>
      <c r="K1111">
        <v>474852</v>
      </c>
      <c r="L1111">
        <v>177120</v>
      </c>
      <c r="M1111">
        <v>-189468</v>
      </c>
      <c r="N1111">
        <v>121703</v>
      </c>
      <c r="O1111" t="s">
        <v>1129</v>
      </c>
      <c r="P1111" s="9">
        <v>249093</v>
      </c>
      <c r="Q1111" s="9">
        <v>54977</v>
      </c>
      <c r="R1111" s="9">
        <v>304070</v>
      </c>
      <c r="S1111" s="9">
        <v>-176185</v>
      </c>
      <c r="T1111" s="10">
        <v>84242</v>
      </c>
      <c r="U1111" s="10">
        <v>2111</v>
      </c>
    </row>
    <row r="1112" spans="1:21" x14ac:dyDescent="0.35">
      <c r="A1112" t="s">
        <v>15</v>
      </c>
      <c r="B1112" t="s">
        <v>16</v>
      </c>
      <c r="C1112" t="s">
        <v>21</v>
      </c>
      <c r="D1112">
        <v>221098</v>
      </c>
      <c r="E1112">
        <v>42994</v>
      </c>
      <c r="F1112">
        <v>46842</v>
      </c>
      <c r="G1112">
        <v>-179590</v>
      </c>
      <c r="H1112">
        <v>131344</v>
      </c>
      <c r="I1112">
        <v>133887</v>
      </c>
      <c r="J1112">
        <v>2853</v>
      </c>
      <c r="K1112">
        <v>551326</v>
      </c>
      <c r="L1112">
        <v>220555</v>
      </c>
      <c r="M1112">
        <v>-169619</v>
      </c>
      <c r="N1112">
        <v>80962</v>
      </c>
      <c r="O1112" t="s">
        <v>1130</v>
      </c>
      <c r="P1112" s="9">
        <v>225778</v>
      </c>
      <c r="Q1112" s="9">
        <v>26855</v>
      </c>
      <c r="R1112" s="9">
        <v>252633</v>
      </c>
      <c r="S1112" s="9">
        <v>-103373</v>
      </c>
      <c r="T1112" s="10">
        <v>106582</v>
      </c>
      <c r="U1112" s="10">
        <v>1164</v>
      </c>
    </row>
    <row r="1113" spans="1:21" x14ac:dyDescent="0.35">
      <c r="A1113" t="s">
        <v>15</v>
      </c>
      <c r="B1113" t="s">
        <v>20</v>
      </c>
      <c r="C1113" t="s">
        <v>17</v>
      </c>
      <c r="D1113">
        <v>249771</v>
      </c>
      <c r="E1113">
        <v>30311</v>
      </c>
      <c r="F1113">
        <v>39571</v>
      </c>
      <c r="G1113">
        <v>-237388</v>
      </c>
      <c r="H1113">
        <v>82265</v>
      </c>
      <c r="I1113">
        <v>75106</v>
      </c>
      <c r="J1113">
        <v>2094</v>
      </c>
      <c r="K1113">
        <v>567645</v>
      </c>
      <c r="L1113">
        <v>178557</v>
      </c>
      <c r="M1113">
        <v>-111696</v>
      </c>
      <c r="N1113">
        <v>120230</v>
      </c>
      <c r="O1113" t="s">
        <v>1131</v>
      </c>
      <c r="P1113" s="9">
        <v>216291</v>
      </c>
      <c r="Q1113" s="9">
        <v>29872</v>
      </c>
      <c r="R1113" s="9">
        <v>246163</v>
      </c>
      <c r="S1113" s="9">
        <v>-130015</v>
      </c>
      <c r="T1113" s="10">
        <v>102445</v>
      </c>
      <c r="U1113" s="10">
        <v>1228</v>
      </c>
    </row>
    <row r="1114" spans="1:21" x14ac:dyDescent="0.35">
      <c r="A1114" t="s">
        <v>15</v>
      </c>
      <c r="B1114" t="s">
        <v>16</v>
      </c>
      <c r="C1114" t="s">
        <v>21</v>
      </c>
      <c r="D1114">
        <v>270930</v>
      </c>
      <c r="E1114">
        <v>52166</v>
      </c>
      <c r="F1114">
        <v>61231</v>
      </c>
      <c r="G1114">
        <v>-269059</v>
      </c>
      <c r="H1114">
        <v>115268</v>
      </c>
      <c r="I1114">
        <v>111154</v>
      </c>
      <c r="J1114">
        <v>1201</v>
      </c>
      <c r="K1114">
        <v>966307</v>
      </c>
      <c r="L1114">
        <v>342428</v>
      </c>
      <c r="M1114">
        <v>-370760</v>
      </c>
      <c r="N1114">
        <v>83472</v>
      </c>
      <c r="O1114" t="s">
        <v>1132</v>
      </c>
      <c r="P1114" s="9">
        <v>161850</v>
      </c>
      <c r="Q1114" s="9">
        <v>16486</v>
      </c>
      <c r="R1114" s="9">
        <v>178336</v>
      </c>
      <c r="S1114" s="9">
        <v>-94629</v>
      </c>
      <c r="T1114" s="10">
        <v>50240</v>
      </c>
      <c r="U1114" s="10">
        <v>1046</v>
      </c>
    </row>
    <row r="1115" spans="1:21" x14ac:dyDescent="0.35">
      <c r="A1115" t="s">
        <v>15</v>
      </c>
      <c r="B1115" t="s">
        <v>16</v>
      </c>
      <c r="C1115" t="s">
        <v>21</v>
      </c>
      <c r="D1115">
        <v>228533</v>
      </c>
      <c r="E1115">
        <v>36847</v>
      </c>
      <c r="F1115">
        <v>25840</v>
      </c>
      <c r="G1115">
        <v>-199134</v>
      </c>
      <c r="H1115">
        <v>92086</v>
      </c>
      <c r="I1115">
        <v>89296</v>
      </c>
      <c r="J1115">
        <v>1526</v>
      </c>
      <c r="K1115">
        <v>717673</v>
      </c>
      <c r="L1115">
        <v>197478</v>
      </c>
      <c r="M1115">
        <v>-141604</v>
      </c>
      <c r="N1115">
        <v>70973</v>
      </c>
      <c r="O1115" t="s">
        <v>1133</v>
      </c>
      <c r="P1115" s="9">
        <v>266994</v>
      </c>
      <c r="Q1115" s="9">
        <v>14846</v>
      </c>
      <c r="R1115" s="9">
        <v>281840</v>
      </c>
      <c r="S1115" s="9">
        <v>-92334</v>
      </c>
      <c r="T1115" s="10">
        <v>53643</v>
      </c>
      <c r="U1115" s="10">
        <v>643</v>
      </c>
    </row>
    <row r="1116" spans="1:21" x14ac:dyDescent="0.35">
      <c r="A1116" t="s">
        <v>15</v>
      </c>
      <c r="B1116" t="s">
        <v>16</v>
      </c>
      <c r="C1116" t="s">
        <v>21</v>
      </c>
      <c r="D1116">
        <v>157237</v>
      </c>
      <c r="E1116">
        <v>11944</v>
      </c>
      <c r="F1116">
        <v>29266</v>
      </c>
      <c r="G1116">
        <v>-151115</v>
      </c>
      <c r="H1116">
        <v>47332</v>
      </c>
      <c r="I1116">
        <v>46104</v>
      </c>
      <c r="J1116">
        <v>897</v>
      </c>
      <c r="K1116">
        <v>543932</v>
      </c>
      <c r="L1116">
        <v>194186</v>
      </c>
      <c r="M1116">
        <v>-182460</v>
      </c>
      <c r="N1116">
        <v>76266</v>
      </c>
      <c r="O1116" t="s">
        <v>1134</v>
      </c>
      <c r="P1116" s="9">
        <v>202802</v>
      </c>
      <c r="Q1116" s="9">
        <v>33255</v>
      </c>
      <c r="R1116" s="9">
        <v>236057</v>
      </c>
      <c r="S1116" s="9">
        <v>-54134</v>
      </c>
      <c r="T1116" s="10">
        <v>75070</v>
      </c>
      <c r="U1116" s="10">
        <v>1319</v>
      </c>
    </row>
    <row r="1117" spans="1:21" x14ac:dyDescent="0.35">
      <c r="A1117" t="s">
        <v>15</v>
      </c>
      <c r="B1117" t="s">
        <v>20</v>
      </c>
      <c r="C1117" t="s">
        <v>21</v>
      </c>
      <c r="D1117">
        <v>194729</v>
      </c>
      <c r="E1117">
        <v>15134</v>
      </c>
      <c r="F1117">
        <v>38966</v>
      </c>
      <c r="G1117">
        <v>-167671</v>
      </c>
      <c r="H1117">
        <v>81158</v>
      </c>
      <c r="I1117">
        <v>78631</v>
      </c>
      <c r="J1117">
        <v>1876</v>
      </c>
      <c r="K1117">
        <v>446860</v>
      </c>
      <c r="L1117">
        <v>200864</v>
      </c>
      <c r="M1117">
        <v>-61172</v>
      </c>
      <c r="N1117">
        <v>79470</v>
      </c>
      <c r="O1117" t="s">
        <v>1135</v>
      </c>
      <c r="P1117" s="9">
        <v>243536</v>
      </c>
      <c r="Q1117" s="9">
        <v>18728</v>
      </c>
      <c r="R1117" s="9">
        <v>262264</v>
      </c>
      <c r="S1117" s="9">
        <v>-135971</v>
      </c>
      <c r="T1117" s="10">
        <v>89924</v>
      </c>
      <c r="U1117" s="10">
        <v>2604</v>
      </c>
    </row>
    <row r="1118" spans="1:21" x14ac:dyDescent="0.35">
      <c r="A1118" t="s">
        <v>15</v>
      </c>
      <c r="B1118" t="s">
        <v>20</v>
      </c>
      <c r="C1118" t="s">
        <v>21</v>
      </c>
      <c r="D1118">
        <v>206481</v>
      </c>
      <c r="E1118">
        <v>18323</v>
      </c>
      <c r="F1118">
        <v>43098</v>
      </c>
      <c r="G1118">
        <v>-169859</v>
      </c>
      <c r="H1118">
        <v>98043</v>
      </c>
      <c r="I1118">
        <v>91441</v>
      </c>
      <c r="J1118">
        <v>1330</v>
      </c>
      <c r="K1118">
        <v>777892</v>
      </c>
      <c r="L1118">
        <v>172156</v>
      </c>
      <c r="M1118">
        <v>-141860</v>
      </c>
      <c r="N1118">
        <v>63579</v>
      </c>
      <c r="O1118" t="s">
        <v>1136</v>
      </c>
      <c r="P1118" s="9">
        <v>157118</v>
      </c>
      <c r="Q1118" s="9">
        <v>19398</v>
      </c>
      <c r="R1118" s="9">
        <v>176516</v>
      </c>
      <c r="S1118" s="9">
        <v>-80687</v>
      </c>
      <c r="T1118" s="10">
        <v>58830</v>
      </c>
      <c r="U1118" s="10">
        <v>911</v>
      </c>
    </row>
    <row r="1119" spans="1:21" x14ac:dyDescent="0.35">
      <c r="A1119" t="s">
        <v>15</v>
      </c>
      <c r="B1119" t="s">
        <v>20</v>
      </c>
      <c r="C1119" t="s">
        <v>17</v>
      </c>
      <c r="D1119">
        <v>214346</v>
      </c>
      <c r="E1119">
        <v>14232</v>
      </c>
      <c r="F1119">
        <v>28395</v>
      </c>
      <c r="G1119">
        <v>-183606</v>
      </c>
      <c r="H1119">
        <v>73367</v>
      </c>
      <c r="I1119">
        <v>71812</v>
      </c>
      <c r="J1119">
        <v>1470</v>
      </c>
      <c r="K1119">
        <v>581691</v>
      </c>
      <c r="L1119">
        <v>233897</v>
      </c>
      <c r="M1119">
        <v>-66493</v>
      </c>
      <c r="N1119">
        <v>75572</v>
      </c>
      <c r="O1119" t="s">
        <v>1137</v>
      </c>
      <c r="P1119" s="9">
        <v>179308</v>
      </c>
      <c r="Q1119" s="9">
        <v>29061</v>
      </c>
      <c r="R1119" s="9">
        <v>208369</v>
      </c>
      <c r="S1119" s="9">
        <v>-124545</v>
      </c>
      <c r="T1119" s="10">
        <v>72366</v>
      </c>
      <c r="U1119" s="10">
        <v>1612</v>
      </c>
    </row>
    <row r="1120" spans="1:21" x14ac:dyDescent="0.35">
      <c r="A1120" t="s">
        <v>15</v>
      </c>
      <c r="B1120" t="s">
        <v>16</v>
      </c>
      <c r="C1120" t="s">
        <v>21</v>
      </c>
      <c r="D1120">
        <v>242728</v>
      </c>
      <c r="E1120">
        <v>37511</v>
      </c>
      <c r="F1120">
        <v>51727</v>
      </c>
      <c r="G1120">
        <v>-195067</v>
      </c>
      <c r="H1120">
        <v>136899</v>
      </c>
      <c r="I1120">
        <v>129371</v>
      </c>
      <c r="J1120">
        <v>1831</v>
      </c>
      <c r="K1120">
        <v>902142</v>
      </c>
      <c r="L1120">
        <v>188163</v>
      </c>
      <c r="M1120">
        <v>-111729</v>
      </c>
      <c r="N1120">
        <v>104325</v>
      </c>
      <c r="O1120" t="s">
        <v>1138</v>
      </c>
      <c r="P1120" s="9">
        <v>298788</v>
      </c>
      <c r="Q1120" s="9">
        <v>41653</v>
      </c>
      <c r="R1120" s="9">
        <v>340441</v>
      </c>
      <c r="S1120" s="9">
        <v>-72719</v>
      </c>
      <c r="T1120" s="10">
        <v>107232</v>
      </c>
      <c r="U1120" s="10">
        <v>2057</v>
      </c>
    </row>
    <row r="1121" spans="1:21" x14ac:dyDescent="0.35">
      <c r="A1121" t="s">
        <v>15</v>
      </c>
      <c r="B1121" t="s">
        <v>16</v>
      </c>
      <c r="C1121" t="s">
        <v>21</v>
      </c>
      <c r="D1121">
        <v>195470</v>
      </c>
      <c r="E1121">
        <v>14239</v>
      </c>
      <c r="F1121">
        <v>42061</v>
      </c>
      <c r="G1121">
        <v>-186713</v>
      </c>
      <c r="H1121">
        <v>65057</v>
      </c>
      <c r="I1121">
        <v>65464</v>
      </c>
      <c r="J1121">
        <v>1907</v>
      </c>
      <c r="K1121">
        <v>648468</v>
      </c>
      <c r="L1121">
        <v>163045</v>
      </c>
      <c r="M1121">
        <v>-178014</v>
      </c>
      <c r="N1121">
        <v>149921</v>
      </c>
      <c r="O1121" t="s">
        <v>1139</v>
      </c>
      <c r="P1121" s="9">
        <v>253053</v>
      </c>
      <c r="Q1121" s="9">
        <v>24865</v>
      </c>
      <c r="R1121" s="9">
        <v>277918</v>
      </c>
      <c r="S1121" s="9">
        <v>-165830</v>
      </c>
      <c r="T1121" s="10">
        <v>118937</v>
      </c>
      <c r="U1121" s="10">
        <v>3084</v>
      </c>
    </row>
    <row r="1122" spans="1:21" x14ac:dyDescent="0.35">
      <c r="A1122" t="s">
        <v>15</v>
      </c>
      <c r="B1122" t="s">
        <v>20</v>
      </c>
      <c r="C1122" t="s">
        <v>21</v>
      </c>
      <c r="D1122">
        <v>182644</v>
      </c>
      <c r="E1122">
        <v>31998</v>
      </c>
      <c r="F1122">
        <v>43457</v>
      </c>
      <c r="G1122">
        <v>-175452</v>
      </c>
      <c r="H1122">
        <v>82647</v>
      </c>
      <c r="I1122">
        <v>74905</v>
      </c>
      <c r="J1122">
        <v>2152</v>
      </c>
      <c r="K1122">
        <v>400142</v>
      </c>
      <c r="L1122">
        <v>127785</v>
      </c>
      <c r="M1122">
        <v>-151966</v>
      </c>
      <c r="N1122">
        <v>103162</v>
      </c>
      <c r="O1122" t="s">
        <v>1140</v>
      </c>
      <c r="P1122" s="9">
        <v>165274</v>
      </c>
      <c r="Q1122" s="9">
        <v>19918</v>
      </c>
      <c r="R1122" s="9">
        <v>185192</v>
      </c>
      <c r="S1122" s="9">
        <v>-52489</v>
      </c>
      <c r="T1122" s="10">
        <v>55883</v>
      </c>
      <c r="U1122" s="10">
        <v>1515</v>
      </c>
    </row>
    <row r="1123" spans="1:21" x14ac:dyDescent="0.35">
      <c r="A1123" t="s">
        <v>15</v>
      </c>
      <c r="B1123" t="s">
        <v>16</v>
      </c>
      <c r="C1123" t="s">
        <v>17</v>
      </c>
      <c r="D1123">
        <v>216513</v>
      </c>
      <c r="E1123">
        <v>41903</v>
      </c>
      <c r="F1123">
        <v>46468</v>
      </c>
      <c r="G1123">
        <v>-186957</v>
      </c>
      <c r="H1123">
        <v>117927</v>
      </c>
      <c r="I1123">
        <v>123307</v>
      </c>
      <c r="J1123">
        <v>3417</v>
      </c>
      <c r="K1123">
        <v>630337</v>
      </c>
      <c r="L1123">
        <v>255507</v>
      </c>
      <c r="M1123">
        <v>-182307</v>
      </c>
      <c r="N1123">
        <v>174985</v>
      </c>
      <c r="O1123" t="s">
        <v>1141</v>
      </c>
      <c r="P1123" s="9">
        <v>206464</v>
      </c>
      <c r="Q1123" s="9">
        <v>11362</v>
      </c>
      <c r="R1123" s="9">
        <v>217826</v>
      </c>
      <c r="S1123" s="9">
        <v>-96730</v>
      </c>
      <c r="T1123" s="10">
        <v>83469</v>
      </c>
      <c r="U1123" s="10">
        <v>1765</v>
      </c>
    </row>
    <row r="1124" spans="1:21" x14ac:dyDescent="0.35">
      <c r="A1124" t="s">
        <v>15</v>
      </c>
      <c r="B1124" t="s">
        <v>20</v>
      </c>
      <c r="C1124" t="s">
        <v>21</v>
      </c>
      <c r="D1124">
        <v>235321</v>
      </c>
      <c r="E1124">
        <v>20834</v>
      </c>
      <c r="F1124">
        <v>53695</v>
      </c>
      <c r="G1124">
        <v>-203573</v>
      </c>
      <c r="H1124">
        <v>106277</v>
      </c>
      <c r="I1124">
        <v>97567</v>
      </c>
      <c r="J1124">
        <v>1310</v>
      </c>
      <c r="K1124">
        <v>639079</v>
      </c>
      <c r="L1124">
        <v>313395</v>
      </c>
      <c r="M1124">
        <v>-132815</v>
      </c>
      <c r="N1124">
        <v>148814</v>
      </c>
      <c r="O1124" t="s">
        <v>1142</v>
      </c>
      <c r="P1124" s="9">
        <v>274773</v>
      </c>
      <c r="Q1124" s="9">
        <v>17580</v>
      </c>
      <c r="R1124" s="9">
        <v>292353</v>
      </c>
      <c r="S1124" s="9">
        <v>-162062</v>
      </c>
      <c r="T1124" s="10">
        <v>102352</v>
      </c>
      <c r="U1124" s="10">
        <v>1840</v>
      </c>
    </row>
    <row r="1125" spans="1:21" x14ac:dyDescent="0.35">
      <c r="A1125" t="s">
        <v>15</v>
      </c>
      <c r="B1125" t="s">
        <v>16</v>
      </c>
      <c r="C1125" t="s">
        <v>17</v>
      </c>
      <c r="D1125">
        <v>296717</v>
      </c>
      <c r="E1125">
        <v>15181</v>
      </c>
      <c r="F1125">
        <v>68671</v>
      </c>
      <c r="G1125">
        <v>-245092</v>
      </c>
      <c r="H1125">
        <v>135477</v>
      </c>
      <c r="I1125">
        <v>124870</v>
      </c>
      <c r="J1125">
        <v>1378</v>
      </c>
      <c r="K1125">
        <v>1112023</v>
      </c>
      <c r="L1125">
        <v>261719</v>
      </c>
      <c r="M1125">
        <v>-286384</v>
      </c>
      <c r="N1125">
        <v>144355</v>
      </c>
      <c r="O1125" t="s">
        <v>1143</v>
      </c>
      <c r="P1125" s="9">
        <v>261194</v>
      </c>
      <c r="Q1125" s="9">
        <v>27182</v>
      </c>
      <c r="R1125" s="9">
        <v>288376</v>
      </c>
      <c r="S1125" s="9">
        <v>-92073</v>
      </c>
      <c r="T1125" s="10">
        <v>104306</v>
      </c>
      <c r="U1125" s="10">
        <v>2387</v>
      </c>
    </row>
    <row r="1126" spans="1:21" x14ac:dyDescent="0.35">
      <c r="A1126" t="s">
        <v>15</v>
      </c>
      <c r="B1126" t="s">
        <v>20</v>
      </c>
      <c r="C1126" t="s">
        <v>21</v>
      </c>
      <c r="D1126">
        <v>238922</v>
      </c>
      <c r="E1126">
        <v>33972</v>
      </c>
      <c r="F1126">
        <v>35524</v>
      </c>
      <c r="G1126">
        <v>-233715</v>
      </c>
      <c r="H1126">
        <v>74703</v>
      </c>
      <c r="I1126">
        <v>78271</v>
      </c>
      <c r="J1126">
        <v>1270</v>
      </c>
      <c r="K1126">
        <v>621971</v>
      </c>
      <c r="L1126">
        <v>263253</v>
      </c>
      <c r="M1126">
        <v>-154339</v>
      </c>
      <c r="N1126">
        <v>197674</v>
      </c>
      <c r="O1126" t="s">
        <v>1144</v>
      </c>
      <c r="P1126" s="9">
        <v>182382</v>
      </c>
      <c r="Q1126" s="9">
        <v>34511</v>
      </c>
      <c r="R1126" s="9">
        <v>216893</v>
      </c>
      <c r="S1126" s="9">
        <v>-52629</v>
      </c>
      <c r="T1126" s="10">
        <v>105219</v>
      </c>
      <c r="U1126" s="10">
        <v>1167</v>
      </c>
    </row>
    <row r="1127" spans="1:21" x14ac:dyDescent="0.35">
      <c r="A1127" t="s">
        <v>15</v>
      </c>
      <c r="B1127" t="s">
        <v>20</v>
      </c>
      <c r="C1127" t="s">
        <v>17</v>
      </c>
      <c r="D1127">
        <v>170558</v>
      </c>
      <c r="E1127">
        <v>16894</v>
      </c>
      <c r="F1127">
        <v>34705</v>
      </c>
      <c r="G1127">
        <v>-155325</v>
      </c>
      <c r="H1127">
        <v>66832</v>
      </c>
      <c r="I1127">
        <v>64770</v>
      </c>
      <c r="J1127">
        <v>888</v>
      </c>
      <c r="K1127">
        <v>438809</v>
      </c>
      <c r="L1127">
        <v>209254</v>
      </c>
      <c r="M1127">
        <v>-56044</v>
      </c>
      <c r="N1127">
        <v>80920</v>
      </c>
      <c r="O1127" t="s">
        <v>1145</v>
      </c>
      <c r="P1127" s="9">
        <v>296686</v>
      </c>
      <c r="Q1127" s="9">
        <v>17428</v>
      </c>
      <c r="R1127" s="9">
        <v>314114</v>
      </c>
      <c r="S1127" s="9">
        <v>-148125</v>
      </c>
      <c r="T1127" s="10">
        <v>79406</v>
      </c>
      <c r="U1127" s="10">
        <v>1947</v>
      </c>
    </row>
    <row r="1128" spans="1:21" x14ac:dyDescent="0.35">
      <c r="A1128" t="s">
        <v>15</v>
      </c>
      <c r="B1128" t="s">
        <v>20</v>
      </c>
      <c r="C1128" t="s">
        <v>21</v>
      </c>
      <c r="D1128">
        <v>231670</v>
      </c>
      <c r="E1128">
        <v>42818</v>
      </c>
      <c r="F1128">
        <v>33766</v>
      </c>
      <c r="G1128">
        <v>-197807</v>
      </c>
      <c r="H1128">
        <v>110447</v>
      </c>
      <c r="I1128">
        <v>110864</v>
      </c>
      <c r="J1128">
        <v>1661</v>
      </c>
      <c r="K1128">
        <v>702598</v>
      </c>
      <c r="L1128">
        <v>168579</v>
      </c>
      <c r="M1128">
        <v>-126614</v>
      </c>
      <c r="N1128">
        <v>127804</v>
      </c>
      <c r="O1128" t="s">
        <v>1146</v>
      </c>
      <c r="P1128" s="9">
        <v>166272</v>
      </c>
      <c r="Q1128" s="9">
        <v>26477</v>
      </c>
      <c r="R1128" s="9">
        <v>192749</v>
      </c>
      <c r="S1128" s="9">
        <v>-65458</v>
      </c>
      <c r="T1128" s="10">
        <v>77802</v>
      </c>
      <c r="U1128" s="10">
        <v>1395</v>
      </c>
    </row>
    <row r="1129" spans="1:21" x14ac:dyDescent="0.35">
      <c r="A1129" t="s">
        <v>15</v>
      </c>
      <c r="B1129" t="s">
        <v>16</v>
      </c>
      <c r="C1129" t="s">
        <v>21</v>
      </c>
      <c r="D1129">
        <v>298156</v>
      </c>
      <c r="E1129">
        <v>28404</v>
      </c>
      <c r="F1129">
        <v>33385</v>
      </c>
      <c r="G1129">
        <v>-295322</v>
      </c>
      <c r="H1129">
        <v>64623</v>
      </c>
      <c r="I1129">
        <v>60240</v>
      </c>
      <c r="J1129">
        <v>1541</v>
      </c>
      <c r="K1129">
        <v>1109490</v>
      </c>
      <c r="L1129">
        <v>126158</v>
      </c>
      <c r="M1129">
        <v>-283731</v>
      </c>
      <c r="N1129">
        <v>247322</v>
      </c>
      <c r="O1129" t="s">
        <v>1147</v>
      </c>
      <c r="P1129" s="9">
        <v>266318</v>
      </c>
      <c r="Q1129" s="9">
        <v>14471</v>
      </c>
      <c r="R1129" s="9">
        <v>280789</v>
      </c>
      <c r="S1129" s="9">
        <v>-82631</v>
      </c>
      <c r="T1129" s="10">
        <v>115240</v>
      </c>
      <c r="U1129" s="10">
        <v>2954</v>
      </c>
    </row>
    <row r="1130" spans="1:21" x14ac:dyDescent="0.35">
      <c r="A1130" t="s">
        <v>15</v>
      </c>
      <c r="B1130" t="s">
        <v>16</v>
      </c>
      <c r="C1130" t="s">
        <v>21</v>
      </c>
      <c r="D1130">
        <v>178504</v>
      </c>
      <c r="E1130">
        <v>16225</v>
      </c>
      <c r="F1130">
        <v>38794</v>
      </c>
      <c r="G1130">
        <v>-176860</v>
      </c>
      <c r="H1130">
        <v>56663</v>
      </c>
      <c r="I1130">
        <v>57129</v>
      </c>
      <c r="J1130">
        <v>681</v>
      </c>
      <c r="K1130">
        <v>362195</v>
      </c>
      <c r="L1130">
        <v>142335</v>
      </c>
      <c r="M1130">
        <v>-89573</v>
      </c>
      <c r="N1130">
        <v>87385</v>
      </c>
      <c r="O1130" t="s">
        <v>1148</v>
      </c>
      <c r="P1130" s="9">
        <v>176594</v>
      </c>
      <c r="Q1130" s="9">
        <v>24400</v>
      </c>
      <c r="R1130" s="9">
        <v>200994</v>
      </c>
      <c r="S1130" s="9">
        <v>-59742</v>
      </c>
      <c r="T1130" s="10">
        <v>68481</v>
      </c>
      <c r="U1130" s="10">
        <v>1885</v>
      </c>
    </row>
    <row r="1131" spans="1:21" x14ac:dyDescent="0.35">
      <c r="A1131" t="s">
        <v>15</v>
      </c>
      <c r="B1131" t="s">
        <v>20</v>
      </c>
      <c r="C1131" t="s">
        <v>17</v>
      </c>
      <c r="D1131">
        <v>216903</v>
      </c>
      <c r="E1131">
        <v>21337</v>
      </c>
      <c r="F1131">
        <v>22750</v>
      </c>
      <c r="G1131">
        <v>-180399</v>
      </c>
      <c r="H1131">
        <v>80591</v>
      </c>
      <c r="I1131">
        <v>81776</v>
      </c>
      <c r="J1131">
        <v>1081</v>
      </c>
      <c r="K1131">
        <v>496527</v>
      </c>
      <c r="L1131">
        <v>160959</v>
      </c>
      <c r="M1131">
        <v>-195547</v>
      </c>
      <c r="N1131">
        <v>143824</v>
      </c>
      <c r="O1131" t="s">
        <v>1149</v>
      </c>
      <c r="P1131" s="9">
        <v>176984</v>
      </c>
      <c r="Q1131" s="9">
        <v>26521</v>
      </c>
      <c r="R1131" s="9">
        <v>203505</v>
      </c>
      <c r="S1131" s="9">
        <v>-68924</v>
      </c>
      <c r="T1131" s="10">
        <v>66173</v>
      </c>
      <c r="U1131" s="10">
        <v>1057</v>
      </c>
    </row>
    <row r="1132" spans="1:21" x14ac:dyDescent="0.35">
      <c r="A1132" t="s">
        <v>15</v>
      </c>
      <c r="B1132" t="s">
        <v>16</v>
      </c>
      <c r="C1132" t="s">
        <v>21</v>
      </c>
      <c r="D1132">
        <v>274824</v>
      </c>
      <c r="E1132">
        <v>22066</v>
      </c>
      <c r="F1132">
        <v>43354</v>
      </c>
      <c r="G1132">
        <v>-250511</v>
      </c>
      <c r="H1132">
        <v>89733</v>
      </c>
      <c r="I1132">
        <v>88991</v>
      </c>
      <c r="J1132">
        <v>1406</v>
      </c>
      <c r="K1132">
        <v>732535</v>
      </c>
      <c r="L1132">
        <v>112512</v>
      </c>
      <c r="M1132">
        <v>-205176</v>
      </c>
      <c r="N1132">
        <v>224355</v>
      </c>
      <c r="O1132" t="s">
        <v>1150</v>
      </c>
      <c r="P1132" s="9">
        <v>217578</v>
      </c>
      <c r="Q1132" s="9">
        <v>33736</v>
      </c>
      <c r="R1132" s="9">
        <v>251314</v>
      </c>
      <c r="S1132" s="9">
        <v>-92888</v>
      </c>
      <c r="T1132" s="10">
        <v>71748</v>
      </c>
      <c r="U1132" s="10">
        <v>1837</v>
      </c>
    </row>
    <row r="1133" spans="1:21" x14ac:dyDescent="0.35">
      <c r="A1133" t="s">
        <v>15</v>
      </c>
      <c r="B1133" t="s">
        <v>16</v>
      </c>
      <c r="C1133" t="s">
        <v>21</v>
      </c>
      <c r="D1133">
        <v>262592</v>
      </c>
      <c r="E1133">
        <v>22017</v>
      </c>
      <c r="F1133">
        <v>27003</v>
      </c>
      <c r="G1133">
        <v>-233713</v>
      </c>
      <c r="H1133">
        <v>77899</v>
      </c>
      <c r="I1133">
        <v>78716</v>
      </c>
      <c r="J1133">
        <v>1625</v>
      </c>
      <c r="K1133">
        <v>757834</v>
      </c>
      <c r="L1133">
        <v>90816</v>
      </c>
      <c r="M1133">
        <v>-105817</v>
      </c>
      <c r="N1133">
        <v>117775</v>
      </c>
      <c r="O1133" t="s">
        <v>1151</v>
      </c>
      <c r="P1133" s="9">
        <v>260353</v>
      </c>
      <c r="Q1133" s="9">
        <v>38091</v>
      </c>
      <c r="R1133" s="9">
        <v>298444</v>
      </c>
      <c r="S1133" s="9">
        <v>-169908</v>
      </c>
      <c r="T1133" s="10">
        <v>96784</v>
      </c>
      <c r="U1133" s="10">
        <v>2044</v>
      </c>
    </row>
    <row r="1134" spans="1:21" x14ac:dyDescent="0.35">
      <c r="A1134" t="s">
        <v>15</v>
      </c>
      <c r="B1134" t="s">
        <v>20</v>
      </c>
      <c r="C1134" t="s">
        <v>21</v>
      </c>
      <c r="D1134">
        <v>229652</v>
      </c>
      <c r="E1134">
        <v>43273</v>
      </c>
      <c r="F1134">
        <v>28504</v>
      </c>
      <c r="G1134">
        <v>-200322</v>
      </c>
      <c r="H1134">
        <v>101107</v>
      </c>
      <c r="I1134">
        <v>95490</v>
      </c>
      <c r="J1134">
        <v>1906</v>
      </c>
      <c r="K1134">
        <v>703577</v>
      </c>
      <c r="L1134">
        <v>160370</v>
      </c>
      <c r="M1134">
        <v>-270731</v>
      </c>
      <c r="N1134">
        <v>188217</v>
      </c>
      <c r="O1134" t="s">
        <v>1152</v>
      </c>
      <c r="P1134" s="9">
        <v>209910</v>
      </c>
      <c r="Q1134" s="9">
        <v>20884</v>
      </c>
      <c r="R1134" s="9">
        <v>230794</v>
      </c>
      <c r="S1134" s="9">
        <v>-104271</v>
      </c>
      <c r="T1134" s="10">
        <v>95380</v>
      </c>
      <c r="U1134" s="10">
        <v>2453</v>
      </c>
    </row>
    <row r="1135" spans="1:21" x14ac:dyDescent="0.35">
      <c r="A1135" t="s">
        <v>15</v>
      </c>
      <c r="B1135" t="s">
        <v>20</v>
      </c>
      <c r="C1135" t="s">
        <v>21</v>
      </c>
      <c r="D1135">
        <v>230379</v>
      </c>
      <c r="E1135">
        <v>43323</v>
      </c>
      <c r="F1135">
        <v>25589</v>
      </c>
      <c r="G1135">
        <v>-199166</v>
      </c>
      <c r="H1135">
        <v>100125</v>
      </c>
      <c r="I1135">
        <v>92278</v>
      </c>
      <c r="J1135">
        <v>2621</v>
      </c>
      <c r="K1135">
        <v>916682</v>
      </c>
      <c r="L1135">
        <v>279244</v>
      </c>
      <c r="M1135">
        <v>-163910</v>
      </c>
      <c r="N1135">
        <v>142840</v>
      </c>
      <c r="O1135" t="s">
        <v>1153</v>
      </c>
      <c r="P1135" s="9">
        <v>215312</v>
      </c>
      <c r="Q1135" s="9">
        <v>18357</v>
      </c>
      <c r="R1135" s="9">
        <v>233669</v>
      </c>
      <c r="S1135" s="9">
        <v>-126902</v>
      </c>
      <c r="T1135" s="10">
        <v>95008</v>
      </c>
      <c r="U1135" s="10">
        <v>1530</v>
      </c>
    </row>
    <row r="1136" spans="1:21" x14ac:dyDescent="0.35">
      <c r="A1136" t="s">
        <v>15</v>
      </c>
      <c r="B1136" t="s">
        <v>16</v>
      </c>
      <c r="C1136" t="s">
        <v>21</v>
      </c>
      <c r="D1136">
        <v>278880</v>
      </c>
      <c r="E1136">
        <v>18724</v>
      </c>
      <c r="F1136">
        <v>68555</v>
      </c>
      <c r="G1136">
        <v>-264437</v>
      </c>
      <c r="H1136">
        <v>101722</v>
      </c>
      <c r="I1136">
        <v>99924</v>
      </c>
      <c r="J1136">
        <v>1408</v>
      </c>
      <c r="K1136">
        <v>1020653</v>
      </c>
      <c r="L1136">
        <v>363084</v>
      </c>
      <c r="M1136">
        <v>-263971</v>
      </c>
      <c r="N1136">
        <v>157082</v>
      </c>
      <c r="O1136" t="s">
        <v>1154</v>
      </c>
      <c r="P1136" s="9">
        <v>254581</v>
      </c>
      <c r="Q1136" s="9">
        <v>49627</v>
      </c>
      <c r="R1136" s="9">
        <v>304208</v>
      </c>
      <c r="S1136" s="9">
        <v>-156856</v>
      </c>
      <c r="T1136" s="10">
        <v>99342</v>
      </c>
      <c r="U1136" s="10">
        <v>2187</v>
      </c>
    </row>
    <row r="1137" spans="1:21" x14ac:dyDescent="0.35">
      <c r="A1137" t="s">
        <v>15</v>
      </c>
      <c r="B1137" t="s">
        <v>16</v>
      </c>
      <c r="C1137" t="s">
        <v>21</v>
      </c>
      <c r="D1137">
        <v>233479</v>
      </c>
      <c r="E1137">
        <v>23219</v>
      </c>
      <c r="F1137">
        <v>34745</v>
      </c>
      <c r="G1137">
        <v>-199118</v>
      </c>
      <c r="H1137">
        <v>92325</v>
      </c>
      <c r="I1137">
        <v>89936</v>
      </c>
      <c r="J1137">
        <v>1145</v>
      </c>
      <c r="K1137">
        <v>695113</v>
      </c>
      <c r="L1137">
        <v>219901</v>
      </c>
      <c r="M1137">
        <v>-149430</v>
      </c>
      <c r="N1137">
        <v>111128</v>
      </c>
      <c r="O1137" t="s">
        <v>1155</v>
      </c>
      <c r="P1137" s="9">
        <v>229592</v>
      </c>
      <c r="Q1137" s="9">
        <v>36799</v>
      </c>
      <c r="R1137" s="9">
        <v>266391</v>
      </c>
      <c r="S1137" s="9">
        <v>-144129</v>
      </c>
      <c r="T1137" s="10">
        <v>91496</v>
      </c>
      <c r="U1137" s="10">
        <v>2149</v>
      </c>
    </row>
    <row r="1138" spans="1:21" x14ac:dyDescent="0.35">
      <c r="A1138" t="s">
        <v>15</v>
      </c>
      <c r="B1138" t="s">
        <v>16</v>
      </c>
      <c r="C1138" t="s">
        <v>17</v>
      </c>
      <c r="D1138">
        <v>286450</v>
      </c>
      <c r="E1138">
        <v>27409</v>
      </c>
      <c r="F1138">
        <v>46101</v>
      </c>
      <c r="G1138">
        <v>-273127</v>
      </c>
      <c r="H1138">
        <v>86833</v>
      </c>
      <c r="I1138">
        <v>81062</v>
      </c>
      <c r="J1138">
        <v>1786</v>
      </c>
      <c r="K1138">
        <v>981434</v>
      </c>
      <c r="L1138">
        <v>338786</v>
      </c>
      <c r="M1138">
        <v>-356687</v>
      </c>
      <c r="N1138">
        <v>236772</v>
      </c>
      <c r="O1138" t="s">
        <v>1156</v>
      </c>
      <c r="P1138" s="9">
        <v>184423</v>
      </c>
      <c r="Q1138" s="9">
        <v>24709</v>
      </c>
      <c r="R1138" s="9">
        <v>209132</v>
      </c>
      <c r="S1138" s="9">
        <v>-51711</v>
      </c>
      <c r="T1138" s="10">
        <v>58628</v>
      </c>
      <c r="U1138" s="10">
        <v>1493</v>
      </c>
    </row>
    <row r="1139" spans="1:21" x14ac:dyDescent="0.35">
      <c r="A1139" t="s">
        <v>15</v>
      </c>
      <c r="B1139" t="s">
        <v>16</v>
      </c>
      <c r="C1139" t="s">
        <v>17</v>
      </c>
      <c r="D1139">
        <v>260807</v>
      </c>
      <c r="E1139">
        <v>39166</v>
      </c>
      <c r="F1139">
        <v>45940</v>
      </c>
      <c r="G1139">
        <v>-251903</v>
      </c>
      <c r="H1139">
        <v>94010</v>
      </c>
      <c r="I1139">
        <v>96278</v>
      </c>
      <c r="J1139">
        <v>2019</v>
      </c>
      <c r="K1139">
        <v>577018</v>
      </c>
      <c r="L1139">
        <v>166331</v>
      </c>
      <c r="M1139">
        <v>-165047</v>
      </c>
      <c r="N1139">
        <v>203770</v>
      </c>
      <c r="O1139" t="s">
        <v>1157</v>
      </c>
      <c r="P1139" s="9">
        <v>181471</v>
      </c>
      <c r="Q1139" s="9">
        <v>25562</v>
      </c>
      <c r="R1139" s="9">
        <v>207033</v>
      </c>
      <c r="S1139" s="9">
        <v>-98245</v>
      </c>
      <c r="T1139" s="10">
        <v>58475</v>
      </c>
      <c r="U1139" s="10">
        <v>714</v>
      </c>
    </row>
    <row r="1140" spans="1:21" x14ac:dyDescent="0.35">
      <c r="A1140" t="s">
        <v>15</v>
      </c>
      <c r="B1140" t="s">
        <v>16</v>
      </c>
      <c r="C1140" t="s">
        <v>21</v>
      </c>
      <c r="D1140">
        <v>282077</v>
      </c>
      <c r="E1140">
        <v>52258</v>
      </c>
      <c r="F1140">
        <v>37029</v>
      </c>
      <c r="G1140">
        <v>-237512</v>
      </c>
      <c r="H1140">
        <v>133852</v>
      </c>
      <c r="I1140">
        <v>140028</v>
      </c>
      <c r="J1140">
        <v>1633</v>
      </c>
      <c r="K1140">
        <v>864501</v>
      </c>
      <c r="L1140">
        <v>126701</v>
      </c>
      <c r="M1140">
        <v>-88091</v>
      </c>
      <c r="N1140">
        <v>231518</v>
      </c>
      <c r="O1140" t="s">
        <v>1158</v>
      </c>
      <c r="P1140" s="9">
        <v>227342</v>
      </c>
      <c r="Q1140" s="9">
        <v>33576</v>
      </c>
      <c r="R1140" s="9">
        <v>260918</v>
      </c>
      <c r="S1140" s="9">
        <v>-132194</v>
      </c>
      <c r="T1140" s="10">
        <v>92582</v>
      </c>
      <c r="U1140" s="10">
        <v>2122</v>
      </c>
    </row>
    <row r="1141" spans="1:21" x14ac:dyDescent="0.35">
      <c r="A1141" t="s">
        <v>15</v>
      </c>
      <c r="B1141" t="s">
        <v>16</v>
      </c>
      <c r="C1141" t="s">
        <v>21</v>
      </c>
      <c r="D1141">
        <v>174945</v>
      </c>
      <c r="E1141">
        <v>19608</v>
      </c>
      <c r="F1141">
        <v>28537</v>
      </c>
      <c r="G1141">
        <v>-166090</v>
      </c>
      <c r="H1141">
        <v>57000</v>
      </c>
      <c r="I1141">
        <v>55807</v>
      </c>
      <c r="J1141">
        <v>1230</v>
      </c>
      <c r="K1141">
        <v>457552</v>
      </c>
      <c r="L1141">
        <v>222918</v>
      </c>
      <c r="M1141">
        <v>-56226</v>
      </c>
      <c r="N1141">
        <v>103712</v>
      </c>
      <c r="O1141" t="s">
        <v>1159</v>
      </c>
      <c r="P1141" s="9">
        <v>194346</v>
      </c>
      <c r="Q1141" s="9">
        <v>20309</v>
      </c>
      <c r="R1141" s="9">
        <v>214655</v>
      </c>
      <c r="S1141" s="9">
        <v>-66634</v>
      </c>
      <c r="T1141" s="10">
        <v>54613</v>
      </c>
      <c r="U1141" s="10">
        <v>941</v>
      </c>
    </row>
    <row r="1142" spans="1:21" x14ac:dyDescent="0.35">
      <c r="A1142" t="s">
        <v>15</v>
      </c>
      <c r="B1142" t="s">
        <v>20</v>
      </c>
      <c r="C1142" t="s">
        <v>17</v>
      </c>
      <c r="D1142">
        <v>219353</v>
      </c>
      <c r="E1142">
        <v>22873</v>
      </c>
      <c r="F1142">
        <v>48168</v>
      </c>
      <c r="G1142">
        <v>-198873</v>
      </c>
      <c r="H1142">
        <v>91521</v>
      </c>
      <c r="I1142">
        <v>93707</v>
      </c>
      <c r="J1142">
        <v>1738</v>
      </c>
      <c r="K1142">
        <v>673100</v>
      </c>
      <c r="L1142">
        <v>281503</v>
      </c>
      <c r="M1142">
        <v>-238995</v>
      </c>
      <c r="N1142">
        <v>101016</v>
      </c>
      <c r="O1142" t="s">
        <v>1160</v>
      </c>
      <c r="P1142" s="9">
        <v>260685</v>
      </c>
      <c r="Q1142" s="9">
        <v>37570</v>
      </c>
      <c r="R1142" s="9">
        <v>298255</v>
      </c>
      <c r="S1142" s="9">
        <v>-143100</v>
      </c>
      <c r="T1142" s="10">
        <v>69782</v>
      </c>
      <c r="U1142" s="10">
        <v>813</v>
      </c>
    </row>
    <row r="1143" spans="1:21" x14ac:dyDescent="0.35">
      <c r="A1143" t="s">
        <v>15</v>
      </c>
      <c r="B1143" t="s">
        <v>16</v>
      </c>
      <c r="C1143" t="s">
        <v>17</v>
      </c>
      <c r="D1143">
        <v>260435</v>
      </c>
      <c r="E1143">
        <v>18638</v>
      </c>
      <c r="F1143">
        <v>32319</v>
      </c>
      <c r="G1143">
        <v>-226253</v>
      </c>
      <c r="H1143">
        <v>85139</v>
      </c>
      <c r="I1143">
        <v>77996</v>
      </c>
      <c r="J1143">
        <v>1774</v>
      </c>
      <c r="K1143">
        <v>530892</v>
      </c>
      <c r="L1143">
        <v>142992</v>
      </c>
      <c r="M1143">
        <v>-186405</v>
      </c>
      <c r="N1143">
        <v>198946</v>
      </c>
      <c r="O1143" t="s">
        <v>1161</v>
      </c>
      <c r="P1143" s="9">
        <v>191287</v>
      </c>
      <c r="Q1143" s="9">
        <v>23149</v>
      </c>
      <c r="R1143" s="9">
        <v>214436</v>
      </c>
      <c r="S1143" s="9">
        <v>-122693</v>
      </c>
      <c r="T1143" s="10">
        <v>56844</v>
      </c>
      <c r="U1143" s="10">
        <v>654</v>
      </c>
    </row>
    <row r="1144" spans="1:21" x14ac:dyDescent="0.35">
      <c r="A1144" t="s">
        <v>15</v>
      </c>
      <c r="B1144" t="s">
        <v>16</v>
      </c>
      <c r="C1144" t="s">
        <v>21</v>
      </c>
      <c r="D1144">
        <v>272150</v>
      </c>
      <c r="E1144">
        <v>39781</v>
      </c>
      <c r="F1144">
        <v>57082</v>
      </c>
      <c r="G1144">
        <v>-239179</v>
      </c>
      <c r="H1144">
        <v>129834</v>
      </c>
      <c r="I1144">
        <v>125372</v>
      </c>
      <c r="J1144">
        <v>1726</v>
      </c>
      <c r="K1144">
        <v>871412</v>
      </c>
      <c r="L1144">
        <v>174692</v>
      </c>
      <c r="M1144">
        <v>-204579</v>
      </c>
      <c r="N1144">
        <v>160435</v>
      </c>
      <c r="O1144" t="s">
        <v>1162</v>
      </c>
      <c r="P1144" s="9">
        <v>161275</v>
      </c>
      <c r="Q1144" s="9">
        <v>14560</v>
      </c>
      <c r="R1144" s="9">
        <v>175835</v>
      </c>
      <c r="S1144" s="9">
        <v>-48754</v>
      </c>
      <c r="T1144" s="10">
        <v>80063</v>
      </c>
      <c r="U1144" s="10">
        <v>1736</v>
      </c>
    </row>
    <row r="1145" spans="1:21" x14ac:dyDescent="0.35">
      <c r="A1145" t="s">
        <v>15</v>
      </c>
      <c r="B1145" t="s">
        <v>16</v>
      </c>
      <c r="C1145" t="s">
        <v>21</v>
      </c>
      <c r="D1145">
        <v>180784</v>
      </c>
      <c r="E1145">
        <v>18489</v>
      </c>
      <c r="F1145">
        <v>34303</v>
      </c>
      <c r="G1145">
        <v>-145877</v>
      </c>
      <c r="H1145">
        <v>87699</v>
      </c>
      <c r="I1145">
        <v>82778</v>
      </c>
      <c r="J1145">
        <v>1298</v>
      </c>
      <c r="K1145">
        <v>559463</v>
      </c>
      <c r="L1145">
        <v>134182</v>
      </c>
      <c r="M1145">
        <v>-219294</v>
      </c>
      <c r="N1145">
        <v>67244</v>
      </c>
      <c r="O1145" t="s">
        <v>1163</v>
      </c>
      <c r="P1145" s="9">
        <v>221309</v>
      </c>
      <c r="Q1145" s="9">
        <v>33746</v>
      </c>
      <c r="R1145" s="9">
        <v>255055</v>
      </c>
      <c r="S1145" s="9">
        <v>-90521</v>
      </c>
      <c r="T1145" s="10">
        <v>114052</v>
      </c>
      <c r="U1145" s="10">
        <v>2284</v>
      </c>
    </row>
    <row r="1146" spans="1:21" x14ac:dyDescent="0.35">
      <c r="A1146" t="s">
        <v>15</v>
      </c>
      <c r="B1146" t="s">
        <v>16</v>
      </c>
      <c r="C1146" t="s">
        <v>21</v>
      </c>
      <c r="D1146">
        <v>291185</v>
      </c>
      <c r="E1146">
        <v>37090</v>
      </c>
      <c r="F1146">
        <v>68468</v>
      </c>
      <c r="G1146">
        <v>-243950</v>
      </c>
      <c r="H1146">
        <v>152793</v>
      </c>
      <c r="I1146">
        <v>149981</v>
      </c>
      <c r="J1146">
        <v>3714</v>
      </c>
      <c r="K1146">
        <v>614660</v>
      </c>
      <c r="L1146">
        <v>87654</v>
      </c>
      <c r="M1146">
        <v>-104126</v>
      </c>
      <c r="N1146">
        <v>214919</v>
      </c>
      <c r="O1146" t="s">
        <v>1164</v>
      </c>
      <c r="P1146" s="9">
        <v>223425</v>
      </c>
      <c r="Q1146" s="9">
        <v>11689</v>
      </c>
      <c r="R1146" s="9">
        <v>235114</v>
      </c>
      <c r="S1146" s="9">
        <v>-76223</v>
      </c>
      <c r="T1146" s="10">
        <v>83236</v>
      </c>
      <c r="U1146" s="10">
        <v>1876</v>
      </c>
    </row>
    <row r="1147" spans="1:21" x14ac:dyDescent="0.35">
      <c r="A1147" t="s">
        <v>15</v>
      </c>
      <c r="B1147" t="s">
        <v>16</v>
      </c>
      <c r="C1147" t="s">
        <v>21</v>
      </c>
      <c r="D1147">
        <v>272965</v>
      </c>
      <c r="E1147">
        <v>31312</v>
      </c>
      <c r="F1147">
        <v>64028</v>
      </c>
      <c r="G1147">
        <v>-266021</v>
      </c>
      <c r="H1147">
        <v>102284</v>
      </c>
      <c r="I1147">
        <v>103155</v>
      </c>
      <c r="J1147">
        <v>2521</v>
      </c>
      <c r="K1147">
        <v>566959</v>
      </c>
      <c r="L1147">
        <v>254716</v>
      </c>
      <c r="M1147">
        <v>-62161</v>
      </c>
      <c r="N1147">
        <v>179052</v>
      </c>
      <c r="O1147" t="s">
        <v>1165</v>
      </c>
      <c r="P1147" s="9">
        <v>230866</v>
      </c>
      <c r="Q1147" s="9">
        <v>23151</v>
      </c>
      <c r="R1147" s="9">
        <v>254017</v>
      </c>
      <c r="S1147" s="9">
        <v>-53259</v>
      </c>
      <c r="T1147" s="10">
        <v>101429</v>
      </c>
      <c r="U1147" s="10">
        <v>3011</v>
      </c>
    </row>
    <row r="1148" spans="1:21" x14ac:dyDescent="0.35">
      <c r="A1148" t="s">
        <v>15</v>
      </c>
      <c r="B1148" t="s">
        <v>16</v>
      </c>
      <c r="C1148" t="s">
        <v>17</v>
      </c>
      <c r="D1148">
        <v>173991</v>
      </c>
      <c r="E1148">
        <v>23247</v>
      </c>
      <c r="F1148">
        <v>31473</v>
      </c>
      <c r="G1148">
        <v>-163843</v>
      </c>
      <c r="H1148">
        <v>64868</v>
      </c>
      <c r="I1148">
        <v>60723</v>
      </c>
      <c r="J1148">
        <v>1305</v>
      </c>
      <c r="K1148">
        <v>532622</v>
      </c>
      <c r="L1148">
        <v>64225</v>
      </c>
      <c r="M1148">
        <v>-206757</v>
      </c>
      <c r="N1148">
        <v>150541</v>
      </c>
      <c r="O1148" t="s">
        <v>1166</v>
      </c>
      <c r="P1148" s="9">
        <v>238730</v>
      </c>
      <c r="Q1148" s="9">
        <v>40522</v>
      </c>
      <c r="R1148" s="9">
        <v>279252</v>
      </c>
      <c r="S1148" s="9">
        <v>-96982</v>
      </c>
      <c r="T1148" s="10">
        <v>144632</v>
      </c>
      <c r="U1148" s="10">
        <v>2626</v>
      </c>
    </row>
    <row r="1149" spans="1:21" x14ac:dyDescent="0.35">
      <c r="A1149" t="s">
        <v>15</v>
      </c>
      <c r="B1149" t="s">
        <v>20</v>
      </c>
      <c r="C1149" t="s">
        <v>21</v>
      </c>
      <c r="D1149">
        <v>249207</v>
      </c>
      <c r="E1149">
        <v>43440</v>
      </c>
      <c r="F1149">
        <v>35606</v>
      </c>
      <c r="G1149">
        <v>-205459</v>
      </c>
      <c r="H1149">
        <v>122794</v>
      </c>
      <c r="I1149">
        <v>118176</v>
      </c>
      <c r="J1149">
        <v>3498</v>
      </c>
      <c r="K1149">
        <v>933923</v>
      </c>
      <c r="L1149">
        <v>283241</v>
      </c>
      <c r="M1149">
        <v>-164178</v>
      </c>
      <c r="N1149">
        <v>77257</v>
      </c>
      <c r="O1149" t="s">
        <v>1167</v>
      </c>
      <c r="P1149" s="9">
        <v>213643</v>
      </c>
      <c r="Q1149" s="9">
        <v>15304</v>
      </c>
      <c r="R1149" s="9">
        <v>228947</v>
      </c>
      <c r="S1149" s="9">
        <v>-86969</v>
      </c>
      <c r="T1149" s="10">
        <v>71950</v>
      </c>
      <c r="U1149" s="10">
        <v>913</v>
      </c>
    </row>
    <row r="1150" spans="1:21" x14ac:dyDescent="0.35">
      <c r="A1150" t="s">
        <v>15</v>
      </c>
      <c r="B1150" t="s">
        <v>20</v>
      </c>
      <c r="C1150" t="s">
        <v>21</v>
      </c>
      <c r="D1150">
        <v>259415</v>
      </c>
      <c r="E1150">
        <v>17864</v>
      </c>
      <c r="F1150">
        <v>35441</v>
      </c>
      <c r="G1150">
        <v>-255474</v>
      </c>
      <c r="H1150">
        <v>57246</v>
      </c>
      <c r="I1150">
        <v>56599</v>
      </c>
      <c r="J1150">
        <v>1611</v>
      </c>
      <c r="K1150">
        <v>643336</v>
      </c>
      <c r="L1150">
        <v>267205</v>
      </c>
      <c r="M1150">
        <v>-232587</v>
      </c>
      <c r="N1150">
        <v>224016</v>
      </c>
      <c r="O1150" t="s">
        <v>1168</v>
      </c>
      <c r="P1150" s="9">
        <v>209119</v>
      </c>
      <c r="Q1150" s="9">
        <v>35920</v>
      </c>
      <c r="R1150" s="9">
        <v>245039</v>
      </c>
      <c r="S1150" s="9">
        <v>-116323</v>
      </c>
      <c r="T1150" s="10">
        <v>106343</v>
      </c>
      <c r="U1150" s="10">
        <v>1426</v>
      </c>
    </row>
    <row r="1151" spans="1:21" x14ac:dyDescent="0.35">
      <c r="A1151" t="s">
        <v>15</v>
      </c>
      <c r="B1151" t="s">
        <v>16</v>
      </c>
      <c r="C1151" t="s">
        <v>21</v>
      </c>
      <c r="D1151">
        <v>263897</v>
      </c>
      <c r="E1151">
        <v>32002</v>
      </c>
      <c r="F1151">
        <v>30069</v>
      </c>
      <c r="G1151">
        <v>-259002</v>
      </c>
      <c r="H1151">
        <v>66966</v>
      </c>
      <c r="I1151">
        <v>64670</v>
      </c>
      <c r="J1151">
        <v>752</v>
      </c>
      <c r="K1151">
        <v>541392</v>
      </c>
      <c r="L1151">
        <v>196164</v>
      </c>
      <c r="M1151">
        <v>-153522</v>
      </c>
      <c r="N1151">
        <v>148412</v>
      </c>
      <c r="O1151" t="s">
        <v>1169</v>
      </c>
      <c r="P1151" s="9">
        <v>184846</v>
      </c>
      <c r="Q1151" s="9">
        <v>33388</v>
      </c>
      <c r="R1151" s="9">
        <v>218234</v>
      </c>
      <c r="S1151" s="9">
        <v>-76455</v>
      </c>
      <c r="T1151" s="10">
        <v>113369</v>
      </c>
      <c r="U1151" s="10">
        <v>1426</v>
      </c>
    </row>
    <row r="1152" spans="1:21" x14ac:dyDescent="0.35">
      <c r="A1152" t="s">
        <v>15</v>
      </c>
      <c r="B1152" t="s">
        <v>16</v>
      </c>
      <c r="C1152" t="s">
        <v>21</v>
      </c>
      <c r="D1152">
        <v>166605</v>
      </c>
      <c r="E1152">
        <v>25940</v>
      </c>
      <c r="F1152">
        <v>32899</v>
      </c>
      <c r="G1152">
        <v>-146216</v>
      </c>
      <c r="H1152">
        <v>79228</v>
      </c>
      <c r="I1152">
        <v>74307</v>
      </c>
      <c r="J1152">
        <v>1632</v>
      </c>
      <c r="K1152">
        <v>528113</v>
      </c>
      <c r="L1152">
        <v>59258</v>
      </c>
      <c r="M1152">
        <v>-145170</v>
      </c>
      <c r="N1152">
        <v>61219</v>
      </c>
      <c r="O1152" t="s">
        <v>1170</v>
      </c>
      <c r="P1152" s="9">
        <v>198713</v>
      </c>
      <c r="Q1152" s="9">
        <v>14455</v>
      </c>
      <c r="R1152" s="9">
        <v>213168</v>
      </c>
      <c r="S1152" s="9">
        <v>-45671</v>
      </c>
      <c r="T1152" s="10">
        <v>94661</v>
      </c>
      <c r="U1152" s="10">
        <v>1780</v>
      </c>
    </row>
    <row r="1153" spans="1:21" x14ac:dyDescent="0.35">
      <c r="A1153" t="s">
        <v>15</v>
      </c>
      <c r="B1153" t="s">
        <v>16</v>
      </c>
      <c r="C1153" t="s">
        <v>21</v>
      </c>
      <c r="D1153">
        <v>224667</v>
      </c>
      <c r="E1153">
        <v>13265</v>
      </c>
      <c r="F1153">
        <v>38174</v>
      </c>
      <c r="G1153">
        <v>-220045</v>
      </c>
      <c r="H1153">
        <v>56061</v>
      </c>
      <c r="I1153">
        <v>51181</v>
      </c>
      <c r="J1153">
        <v>556</v>
      </c>
      <c r="K1153">
        <v>600290</v>
      </c>
      <c r="L1153">
        <v>67426</v>
      </c>
      <c r="M1153">
        <v>-163501</v>
      </c>
      <c r="N1153">
        <v>182028</v>
      </c>
      <c r="O1153" t="s">
        <v>1171</v>
      </c>
      <c r="P1153" s="9">
        <v>175338</v>
      </c>
      <c r="Q1153" s="9">
        <v>11361</v>
      </c>
      <c r="R1153" s="9">
        <v>186699</v>
      </c>
      <c r="S1153" s="9">
        <v>-92645</v>
      </c>
      <c r="T1153" s="10">
        <v>61230</v>
      </c>
      <c r="U1153" s="10">
        <v>801</v>
      </c>
    </row>
    <row r="1154" spans="1:21" x14ac:dyDescent="0.35">
      <c r="A1154" t="s">
        <v>15</v>
      </c>
      <c r="B1154" t="s">
        <v>20</v>
      </c>
      <c r="C1154" t="s">
        <v>21</v>
      </c>
      <c r="D1154">
        <v>254739</v>
      </c>
      <c r="E1154">
        <v>39499</v>
      </c>
      <c r="F1154">
        <v>26400</v>
      </c>
      <c r="G1154">
        <v>-208521</v>
      </c>
      <c r="H1154">
        <v>112117</v>
      </c>
      <c r="I1154">
        <v>111248</v>
      </c>
      <c r="J1154">
        <v>2269</v>
      </c>
      <c r="K1154">
        <v>627540</v>
      </c>
      <c r="L1154">
        <v>212368</v>
      </c>
      <c r="M1154">
        <v>-182772</v>
      </c>
      <c r="N1154">
        <v>85175</v>
      </c>
      <c r="O1154" t="s">
        <v>1172</v>
      </c>
      <c r="P1154" s="9">
        <v>220717</v>
      </c>
      <c r="Q1154" s="9">
        <v>26785</v>
      </c>
      <c r="R1154" s="9">
        <v>247502</v>
      </c>
      <c r="S1154" s="9">
        <v>-50452</v>
      </c>
      <c r="T1154" s="10">
        <v>78776</v>
      </c>
      <c r="U1154" s="10">
        <v>1126</v>
      </c>
    </row>
    <row r="1155" spans="1:21" x14ac:dyDescent="0.35">
      <c r="A1155" t="s">
        <v>15</v>
      </c>
      <c r="B1155" t="s">
        <v>20</v>
      </c>
      <c r="C1155" t="s">
        <v>21</v>
      </c>
      <c r="D1155">
        <v>164149</v>
      </c>
      <c r="E1155">
        <v>30878</v>
      </c>
      <c r="F1155">
        <v>36459</v>
      </c>
      <c r="G1155">
        <v>-163935</v>
      </c>
      <c r="H1155">
        <v>67551</v>
      </c>
      <c r="I1155">
        <v>61521</v>
      </c>
      <c r="J1155">
        <v>1698</v>
      </c>
      <c r="K1155">
        <v>390020</v>
      </c>
      <c r="L1155">
        <v>156527</v>
      </c>
      <c r="M1155">
        <v>-142706</v>
      </c>
      <c r="N1155">
        <v>129240</v>
      </c>
      <c r="O1155" t="s">
        <v>1173</v>
      </c>
      <c r="P1155" s="9">
        <v>244823</v>
      </c>
      <c r="Q1155" s="9">
        <v>47743</v>
      </c>
      <c r="R1155" s="9">
        <v>292566</v>
      </c>
      <c r="S1155" s="9">
        <v>-151627</v>
      </c>
      <c r="T1155" s="10">
        <v>111200</v>
      </c>
      <c r="U1155" s="10">
        <v>1309</v>
      </c>
    </row>
    <row r="1156" spans="1:21" x14ac:dyDescent="0.35">
      <c r="A1156" t="s">
        <v>15</v>
      </c>
      <c r="B1156" t="s">
        <v>16</v>
      </c>
      <c r="C1156" t="s">
        <v>21</v>
      </c>
      <c r="D1156">
        <v>236833</v>
      </c>
      <c r="E1156">
        <v>21526</v>
      </c>
      <c r="F1156">
        <v>52384</v>
      </c>
      <c r="G1156">
        <v>-223901</v>
      </c>
      <c r="H1156">
        <v>86842</v>
      </c>
      <c r="I1156">
        <v>84051</v>
      </c>
      <c r="J1156">
        <v>1915</v>
      </c>
      <c r="K1156">
        <v>708757</v>
      </c>
      <c r="L1156">
        <v>160892</v>
      </c>
      <c r="M1156">
        <v>-73485</v>
      </c>
      <c r="N1156">
        <v>122874</v>
      </c>
      <c r="O1156" t="s">
        <v>1174</v>
      </c>
      <c r="P1156" s="9">
        <v>292845</v>
      </c>
      <c r="Q1156" s="9">
        <v>32951</v>
      </c>
      <c r="R1156" s="9">
        <v>325796</v>
      </c>
      <c r="S1156" s="9">
        <v>-148119</v>
      </c>
      <c r="T1156" s="10">
        <v>65832</v>
      </c>
      <c r="U1156" s="10">
        <v>1058</v>
      </c>
    </row>
    <row r="1157" spans="1:21" x14ac:dyDescent="0.35">
      <c r="A1157" t="s">
        <v>15</v>
      </c>
      <c r="B1157" t="s">
        <v>16</v>
      </c>
      <c r="C1157" t="s">
        <v>21</v>
      </c>
      <c r="D1157">
        <v>161345</v>
      </c>
      <c r="E1157">
        <v>12688</v>
      </c>
      <c r="F1157">
        <v>39338</v>
      </c>
      <c r="G1157">
        <v>-155014</v>
      </c>
      <c r="H1157">
        <v>58357</v>
      </c>
      <c r="I1157">
        <v>56719</v>
      </c>
      <c r="J1157">
        <v>1352</v>
      </c>
      <c r="K1157">
        <v>615198</v>
      </c>
      <c r="L1157">
        <v>182934</v>
      </c>
      <c r="M1157">
        <v>-144008</v>
      </c>
      <c r="N1157">
        <v>95297</v>
      </c>
      <c r="O1157" t="s">
        <v>1175</v>
      </c>
      <c r="P1157" s="9">
        <v>183805</v>
      </c>
      <c r="Q1157" s="9">
        <v>16502</v>
      </c>
      <c r="R1157" s="9">
        <v>200307</v>
      </c>
      <c r="S1157" s="9">
        <v>-75635</v>
      </c>
      <c r="T1157" s="10">
        <v>63777</v>
      </c>
      <c r="U1157" s="10">
        <v>1338</v>
      </c>
    </row>
    <row r="1158" spans="1:21" x14ac:dyDescent="0.35">
      <c r="A1158" t="s">
        <v>15</v>
      </c>
      <c r="B1158" t="s">
        <v>20</v>
      </c>
      <c r="C1158" t="s">
        <v>17</v>
      </c>
      <c r="D1158">
        <v>289361</v>
      </c>
      <c r="E1158">
        <v>54594</v>
      </c>
      <c r="F1158">
        <v>40805</v>
      </c>
      <c r="G1158">
        <v>-248553</v>
      </c>
      <c r="H1158">
        <v>136207</v>
      </c>
      <c r="I1158">
        <v>125275</v>
      </c>
      <c r="J1158">
        <v>2388</v>
      </c>
      <c r="K1158">
        <v>695076</v>
      </c>
      <c r="L1158">
        <v>211980</v>
      </c>
      <c r="M1158">
        <v>-133077</v>
      </c>
      <c r="N1158">
        <v>180575</v>
      </c>
      <c r="O1158" t="s">
        <v>1176</v>
      </c>
      <c r="P1158" s="9">
        <v>186700</v>
      </c>
      <c r="Q1158" s="9">
        <v>22347</v>
      </c>
      <c r="R1158" s="9">
        <v>209047</v>
      </c>
      <c r="S1158" s="9">
        <v>-49463</v>
      </c>
      <c r="T1158" s="10">
        <v>66868</v>
      </c>
      <c r="U1158" s="10">
        <v>802</v>
      </c>
    </row>
    <row r="1159" spans="1:21" x14ac:dyDescent="0.35">
      <c r="A1159" t="s">
        <v>15</v>
      </c>
      <c r="B1159" t="s">
        <v>20</v>
      </c>
      <c r="C1159" t="s">
        <v>21</v>
      </c>
      <c r="D1159">
        <v>254534</v>
      </c>
      <c r="E1159">
        <v>39992</v>
      </c>
      <c r="F1159">
        <v>30010</v>
      </c>
      <c r="G1159">
        <v>-204605</v>
      </c>
      <c r="H1159">
        <v>119931</v>
      </c>
      <c r="I1159">
        <v>115738</v>
      </c>
      <c r="J1159">
        <v>1442</v>
      </c>
      <c r="K1159">
        <v>655504</v>
      </c>
      <c r="L1159">
        <v>106066</v>
      </c>
      <c r="M1159">
        <v>-259751</v>
      </c>
      <c r="N1159">
        <v>148271</v>
      </c>
      <c r="O1159" t="s">
        <v>1177</v>
      </c>
      <c r="P1159" s="9">
        <v>192157</v>
      </c>
      <c r="Q1159" s="9">
        <v>16990</v>
      </c>
      <c r="R1159" s="9">
        <v>209147</v>
      </c>
      <c r="S1159" s="9">
        <v>-78083</v>
      </c>
      <c r="T1159" s="10">
        <v>51157</v>
      </c>
      <c r="U1159" s="10">
        <v>539</v>
      </c>
    </row>
    <row r="1160" spans="1:21" x14ac:dyDescent="0.35">
      <c r="A1160" t="s">
        <v>15</v>
      </c>
      <c r="B1160" t="s">
        <v>16</v>
      </c>
      <c r="C1160" t="s">
        <v>21</v>
      </c>
      <c r="D1160">
        <v>187633</v>
      </c>
      <c r="E1160">
        <v>12547</v>
      </c>
      <c r="F1160">
        <v>33967</v>
      </c>
      <c r="G1160">
        <v>-178632</v>
      </c>
      <c r="H1160">
        <v>55515</v>
      </c>
      <c r="I1160">
        <v>51247</v>
      </c>
      <c r="J1160">
        <v>1133</v>
      </c>
      <c r="K1160">
        <v>561057</v>
      </c>
      <c r="L1160">
        <v>60537</v>
      </c>
      <c r="M1160">
        <v>-162104</v>
      </c>
      <c r="N1160">
        <v>105233</v>
      </c>
      <c r="O1160" t="s">
        <v>1178</v>
      </c>
      <c r="P1160" s="9">
        <v>164477</v>
      </c>
      <c r="Q1160" s="9">
        <v>13391</v>
      </c>
      <c r="R1160" s="9">
        <v>177868</v>
      </c>
      <c r="S1160" s="9">
        <v>-49894</v>
      </c>
      <c r="T1160" s="10">
        <v>71984</v>
      </c>
      <c r="U1160" s="10">
        <v>894</v>
      </c>
    </row>
    <row r="1161" spans="1:21" x14ac:dyDescent="0.35">
      <c r="A1161" t="s">
        <v>15</v>
      </c>
      <c r="B1161" t="s">
        <v>16</v>
      </c>
      <c r="C1161" t="s">
        <v>17</v>
      </c>
      <c r="D1161">
        <v>188879</v>
      </c>
      <c r="E1161">
        <v>30739</v>
      </c>
      <c r="F1161">
        <v>35303</v>
      </c>
      <c r="G1161">
        <v>-165009</v>
      </c>
      <c r="H1161">
        <v>89912</v>
      </c>
      <c r="I1161">
        <v>86994</v>
      </c>
      <c r="J1161">
        <v>1895</v>
      </c>
      <c r="K1161">
        <v>680738</v>
      </c>
      <c r="L1161">
        <v>262960</v>
      </c>
      <c r="M1161">
        <v>-172543</v>
      </c>
      <c r="N1161">
        <v>82538</v>
      </c>
      <c r="O1161" t="s">
        <v>1179</v>
      </c>
      <c r="P1161" s="9">
        <v>280708</v>
      </c>
      <c r="Q1161" s="9">
        <v>37553</v>
      </c>
      <c r="R1161" s="9">
        <v>318261</v>
      </c>
      <c r="S1161" s="9">
        <v>-150842</v>
      </c>
      <c r="T1161" s="10">
        <v>130986</v>
      </c>
      <c r="U1161" s="10">
        <v>2400</v>
      </c>
    </row>
    <row r="1162" spans="1:21" x14ac:dyDescent="0.35">
      <c r="A1162" t="s">
        <v>15</v>
      </c>
      <c r="B1162" t="s">
        <v>20</v>
      </c>
      <c r="C1162" t="s">
        <v>17</v>
      </c>
      <c r="D1162">
        <v>186502</v>
      </c>
      <c r="E1162">
        <v>18600</v>
      </c>
      <c r="F1162">
        <v>45932</v>
      </c>
      <c r="G1162">
        <v>-164937</v>
      </c>
      <c r="H1162">
        <v>86097</v>
      </c>
      <c r="I1162">
        <v>82804</v>
      </c>
      <c r="J1162">
        <v>1484</v>
      </c>
      <c r="K1162">
        <v>679223</v>
      </c>
      <c r="L1162">
        <v>104322</v>
      </c>
      <c r="M1162">
        <v>-88458</v>
      </c>
      <c r="N1162">
        <v>56821</v>
      </c>
      <c r="O1162" t="s">
        <v>1180</v>
      </c>
      <c r="P1162" s="9">
        <v>276201</v>
      </c>
      <c r="Q1162" s="9">
        <v>54729</v>
      </c>
      <c r="R1162" s="9">
        <v>330930</v>
      </c>
      <c r="S1162" s="9">
        <v>-117660</v>
      </c>
      <c r="T1162" s="10">
        <v>98294</v>
      </c>
      <c r="U1162" s="10">
        <v>1787</v>
      </c>
    </row>
    <row r="1163" spans="1:21" x14ac:dyDescent="0.35">
      <c r="A1163" t="s">
        <v>15</v>
      </c>
      <c r="B1163" t="s">
        <v>16</v>
      </c>
      <c r="C1163" t="s">
        <v>21</v>
      </c>
      <c r="D1163">
        <v>183469</v>
      </c>
      <c r="E1163">
        <v>24194</v>
      </c>
      <c r="F1163">
        <v>42043</v>
      </c>
      <c r="G1163">
        <v>-181269</v>
      </c>
      <c r="H1163">
        <v>68437</v>
      </c>
      <c r="I1163">
        <v>70025</v>
      </c>
      <c r="J1163">
        <v>732</v>
      </c>
      <c r="K1163">
        <v>443598</v>
      </c>
      <c r="L1163">
        <v>140960</v>
      </c>
      <c r="M1163">
        <v>-172296</v>
      </c>
      <c r="N1163">
        <v>72091</v>
      </c>
      <c r="O1163" t="s">
        <v>1181</v>
      </c>
      <c r="P1163" s="9">
        <v>269425</v>
      </c>
      <c r="Q1163" s="9">
        <v>18312</v>
      </c>
      <c r="R1163" s="9">
        <v>287737</v>
      </c>
      <c r="S1163" s="9">
        <v>-149297</v>
      </c>
      <c r="T1163" s="10">
        <v>79349</v>
      </c>
      <c r="U1163" s="10">
        <v>2269</v>
      </c>
    </row>
    <row r="1164" spans="1:21" x14ac:dyDescent="0.35">
      <c r="A1164" t="s">
        <v>15</v>
      </c>
      <c r="B1164" t="s">
        <v>16</v>
      </c>
      <c r="C1164" t="s">
        <v>17</v>
      </c>
      <c r="D1164">
        <v>276113</v>
      </c>
      <c r="E1164">
        <v>36010</v>
      </c>
      <c r="F1164">
        <v>58930</v>
      </c>
      <c r="G1164">
        <v>-234557</v>
      </c>
      <c r="H1164">
        <v>136496</v>
      </c>
      <c r="I1164">
        <v>127836</v>
      </c>
      <c r="J1164">
        <v>2811</v>
      </c>
      <c r="K1164">
        <v>846744</v>
      </c>
      <c r="L1164">
        <v>295889</v>
      </c>
      <c r="M1164">
        <v>-156220</v>
      </c>
      <c r="N1164">
        <v>201703</v>
      </c>
      <c r="O1164" t="s">
        <v>1182</v>
      </c>
      <c r="P1164" s="9">
        <v>288045</v>
      </c>
      <c r="Q1164" s="9">
        <v>34857</v>
      </c>
      <c r="R1164" s="9">
        <v>322902</v>
      </c>
      <c r="S1164" s="9">
        <v>-65765</v>
      </c>
      <c r="T1164" s="10">
        <v>79979</v>
      </c>
      <c r="U1164" s="10">
        <v>1031</v>
      </c>
    </row>
    <row r="1165" spans="1:21" x14ac:dyDescent="0.35">
      <c r="A1165" t="s">
        <v>15</v>
      </c>
      <c r="B1165" t="s">
        <v>16</v>
      </c>
      <c r="C1165" t="s">
        <v>21</v>
      </c>
      <c r="D1165">
        <v>201293</v>
      </c>
      <c r="E1165">
        <v>38519</v>
      </c>
      <c r="F1165">
        <v>27216</v>
      </c>
      <c r="G1165">
        <v>-163135</v>
      </c>
      <c r="H1165">
        <v>103893</v>
      </c>
      <c r="I1165">
        <v>108698</v>
      </c>
      <c r="J1165">
        <v>2782</v>
      </c>
      <c r="K1165">
        <v>511467</v>
      </c>
      <c r="L1165">
        <v>77584</v>
      </c>
      <c r="M1165">
        <v>-99835</v>
      </c>
      <c r="N1165">
        <v>148410</v>
      </c>
      <c r="O1165" t="s">
        <v>1183</v>
      </c>
      <c r="P1165" s="9">
        <v>195355</v>
      </c>
      <c r="Q1165" s="9">
        <v>29000</v>
      </c>
      <c r="R1165" s="9">
        <v>224355</v>
      </c>
      <c r="S1165" s="9">
        <v>-76322</v>
      </c>
      <c r="T1165" s="10">
        <v>80071</v>
      </c>
      <c r="U1165" s="10">
        <v>2236</v>
      </c>
    </row>
    <row r="1166" spans="1:21" x14ac:dyDescent="0.35">
      <c r="A1166" t="s">
        <v>15</v>
      </c>
      <c r="B1166" t="s">
        <v>20</v>
      </c>
      <c r="C1166" t="s">
        <v>21</v>
      </c>
      <c r="D1166">
        <v>207325</v>
      </c>
      <c r="E1166">
        <v>30151</v>
      </c>
      <c r="F1166">
        <v>32619</v>
      </c>
      <c r="G1166">
        <v>-181067</v>
      </c>
      <c r="H1166">
        <v>89028</v>
      </c>
      <c r="I1166">
        <v>92766</v>
      </c>
      <c r="J1166">
        <v>2760</v>
      </c>
      <c r="K1166">
        <v>672610</v>
      </c>
      <c r="L1166">
        <v>76810</v>
      </c>
      <c r="M1166">
        <v>-188965</v>
      </c>
      <c r="N1166">
        <v>140571</v>
      </c>
      <c r="O1166" t="s">
        <v>1184</v>
      </c>
      <c r="P1166" s="9">
        <v>154513</v>
      </c>
      <c r="Q1166" s="9">
        <v>18820</v>
      </c>
      <c r="R1166" s="9">
        <v>173333</v>
      </c>
      <c r="S1166" s="9">
        <v>-45340</v>
      </c>
      <c r="T1166" s="10">
        <v>59372</v>
      </c>
      <c r="U1166" s="10">
        <v>1139</v>
      </c>
    </row>
    <row r="1167" spans="1:21" x14ac:dyDescent="0.35">
      <c r="A1167" t="s">
        <v>15</v>
      </c>
      <c r="B1167" t="s">
        <v>16</v>
      </c>
      <c r="C1167" t="s">
        <v>21</v>
      </c>
      <c r="D1167">
        <v>174572</v>
      </c>
      <c r="E1167">
        <v>15354</v>
      </c>
      <c r="F1167">
        <v>20885</v>
      </c>
      <c r="G1167">
        <v>-171044</v>
      </c>
      <c r="H1167">
        <v>39767</v>
      </c>
      <c r="I1167">
        <v>40993</v>
      </c>
      <c r="J1167">
        <v>420</v>
      </c>
      <c r="K1167">
        <v>477546</v>
      </c>
      <c r="L1167">
        <v>104776</v>
      </c>
      <c r="M1167">
        <v>-129945</v>
      </c>
      <c r="N1167">
        <v>141858</v>
      </c>
      <c r="O1167" t="s">
        <v>1185</v>
      </c>
      <c r="P1167" s="9">
        <v>228213</v>
      </c>
      <c r="Q1167" s="9">
        <v>31038</v>
      </c>
      <c r="R1167" s="9">
        <v>259251</v>
      </c>
      <c r="S1167" s="9">
        <v>-149276</v>
      </c>
      <c r="T1167" s="10">
        <v>76737</v>
      </c>
      <c r="U1167" s="10">
        <v>813</v>
      </c>
    </row>
    <row r="1168" spans="1:21" x14ac:dyDescent="0.35">
      <c r="A1168" t="s">
        <v>15</v>
      </c>
      <c r="B1168" t="s">
        <v>20</v>
      </c>
      <c r="C1168" t="s">
        <v>21</v>
      </c>
      <c r="D1168">
        <v>247086</v>
      </c>
      <c r="E1168">
        <v>24480</v>
      </c>
      <c r="F1168">
        <v>58740</v>
      </c>
      <c r="G1168">
        <v>-229025</v>
      </c>
      <c r="H1168">
        <v>101281</v>
      </c>
      <c r="I1168">
        <v>91451</v>
      </c>
      <c r="J1168">
        <v>2337</v>
      </c>
      <c r="K1168">
        <v>813657</v>
      </c>
      <c r="L1168">
        <v>157804</v>
      </c>
      <c r="M1168">
        <v>-160549</v>
      </c>
      <c r="N1168">
        <v>215084</v>
      </c>
      <c r="O1168" t="s">
        <v>1186</v>
      </c>
      <c r="P1168" s="9">
        <v>315214</v>
      </c>
      <c r="Q1168" s="9">
        <v>41498</v>
      </c>
      <c r="R1168" s="9">
        <v>356712</v>
      </c>
      <c r="S1168" s="9">
        <v>-164672</v>
      </c>
      <c r="T1168" s="10">
        <v>151375</v>
      </c>
      <c r="U1168" s="10">
        <v>3411</v>
      </c>
    </row>
    <row r="1169" spans="1:21" x14ac:dyDescent="0.35">
      <c r="A1169" t="s">
        <v>15</v>
      </c>
      <c r="B1169" t="s">
        <v>20</v>
      </c>
      <c r="C1169" t="s">
        <v>21</v>
      </c>
      <c r="D1169">
        <v>153906</v>
      </c>
      <c r="E1169">
        <v>13936</v>
      </c>
      <c r="F1169">
        <v>30911</v>
      </c>
      <c r="G1169">
        <v>-135105</v>
      </c>
      <c r="H1169">
        <v>63648</v>
      </c>
      <c r="I1169">
        <v>61565</v>
      </c>
      <c r="J1169">
        <v>1024</v>
      </c>
      <c r="K1169">
        <v>492222</v>
      </c>
      <c r="L1169">
        <v>135896</v>
      </c>
      <c r="M1169">
        <v>-193477</v>
      </c>
      <c r="N1169">
        <v>49627</v>
      </c>
      <c r="O1169" t="s">
        <v>1187</v>
      </c>
      <c r="P1169" s="9">
        <v>235960</v>
      </c>
      <c r="Q1169" s="9">
        <v>14051</v>
      </c>
      <c r="R1169" s="9">
        <v>250011</v>
      </c>
      <c r="S1169" s="9">
        <v>-140658</v>
      </c>
      <c r="T1169" s="10">
        <v>82502</v>
      </c>
      <c r="U1169" s="10">
        <v>1067</v>
      </c>
    </row>
    <row r="1170" spans="1:21" x14ac:dyDescent="0.35">
      <c r="A1170" t="s">
        <v>15</v>
      </c>
      <c r="B1170" t="s">
        <v>20</v>
      </c>
      <c r="C1170" t="s">
        <v>17</v>
      </c>
      <c r="D1170">
        <v>188934</v>
      </c>
      <c r="E1170">
        <v>23794</v>
      </c>
      <c r="F1170">
        <v>28129</v>
      </c>
      <c r="G1170">
        <v>-163765</v>
      </c>
      <c r="H1170">
        <v>77092</v>
      </c>
      <c r="I1170">
        <v>72566</v>
      </c>
      <c r="J1170">
        <v>929</v>
      </c>
      <c r="K1170">
        <v>507405</v>
      </c>
      <c r="L1170">
        <v>125710</v>
      </c>
      <c r="M1170">
        <v>-191864</v>
      </c>
      <c r="N1170">
        <v>112847</v>
      </c>
      <c r="O1170" t="s">
        <v>1188</v>
      </c>
      <c r="P1170" s="9">
        <v>312686</v>
      </c>
      <c r="Q1170" s="9">
        <v>53395</v>
      </c>
      <c r="R1170" s="9">
        <v>366081</v>
      </c>
      <c r="S1170" s="9">
        <v>-186443</v>
      </c>
      <c r="T1170" s="10">
        <v>130721</v>
      </c>
      <c r="U1170" s="10">
        <v>1522</v>
      </c>
    </row>
    <row r="1171" spans="1:21" x14ac:dyDescent="0.35">
      <c r="A1171" t="s">
        <v>15</v>
      </c>
      <c r="B1171" t="s">
        <v>20</v>
      </c>
      <c r="C1171" t="s">
        <v>21</v>
      </c>
      <c r="D1171">
        <v>267256</v>
      </c>
      <c r="E1171">
        <v>25744</v>
      </c>
      <c r="F1171">
        <v>32918</v>
      </c>
      <c r="G1171">
        <v>-216707</v>
      </c>
      <c r="H1171">
        <v>109211</v>
      </c>
      <c r="I1171">
        <v>114617</v>
      </c>
      <c r="J1171">
        <v>1285</v>
      </c>
      <c r="K1171">
        <v>922460</v>
      </c>
      <c r="L1171">
        <v>338362</v>
      </c>
      <c r="M1171">
        <v>-157927</v>
      </c>
      <c r="N1171">
        <v>231991</v>
      </c>
      <c r="O1171" t="s">
        <v>1189</v>
      </c>
      <c r="P1171" s="9">
        <v>211845</v>
      </c>
      <c r="Q1171" s="9">
        <v>40942</v>
      </c>
      <c r="R1171" s="9">
        <v>252787</v>
      </c>
      <c r="S1171" s="9">
        <v>-52884</v>
      </c>
      <c r="T1171" s="10">
        <v>107218</v>
      </c>
      <c r="U1171" s="10">
        <v>1341</v>
      </c>
    </row>
    <row r="1172" spans="1:21" x14ac:dyDescent="0.35">
      <c r="A1172" t="s">
        <v>15</v>
      </c>
      <c r="B1172" t="s">
        <v>16</v>
      </c>
      <c r="C1172" t="s">
        <v>21</v>
      </c>
      <c r="D1172">
        <v>179942</v>
      </c>
      <c r="E1172">
        <v>20130</v>
      </c>
      <c r="F1172">
        <v>39434</v>
      </c>
      <c r="G1172">
        <v>-168786</v>
      </c>
      <c r="H1172">
        <v>70720</v>
      </c>
      <c r="I1172">
        <v>71736</v>
      </c>
      <c r="J1172">
        <v>1846</v>
      </c>
      <c r="K1172">
        <v>573770</v>
      </c>
      <c r="L1172">
        <v>67292</v>
      </c>
      <c r="M1172">
        <v>-204267</v>
      </c>
      <c r="N1172">
        <v>103243</v>
      </c>
      <c r="O1172" t="s">
        <v>1190</v>
      </c>
      <c r="P1172" s="9">
        <v>305094</v>
      </c>
      <c r="Q1172" s="9">
        <v>21313</v>
      </c>
      <c r="R1172" s="9">
        <v>326407</v>
      </c>
      <c r="S1172" s="9">
        <v>-155218</v>
      </c>
      <c r="T1172" s="10">
        <v>118000</v>
      </c>
      <c r="U1172" s="10">
        <v>2548</v>
      </c>
    </row>
    <row r="1173" spans="1:21" x14ac:dyDescent="0.35">
      <c r="A1173" t="s">
        <v>15</v>
      </c>
      <c r="B1173" t="s">
        <v>16</v>
      </c>
      <c r="C1173" t="s">
        <v>21</v>
      </c>
      <c r="D1173">
        <v>191866</v>
      </c>
      <c r="E1173">
        <v>25045</v>
      </c>
      <c r="F1173">
        <v>28718</v>
      </c>
      <c r="G1173">
        <v>-163650</v>
      </c>
      <c r="H1173">
        <v>81979</v>
      </c>
      <c r="I1173">
        <v>82944</v>
      </c>
      <c r="J1173">
        <v>1926</v>
      </c>
      <c r="K1173">
        <v>695986</v>
      </c>
      <c r="L1173">
        <v>215976</v>
      </c>
      <c r="M1173">
        <v>-84299</v>
      </c>
      <c r="N1173">
        <v>166326</v>
      </c>
      <c r="O1173" t="s">
        <v>1191</v>
      </c>
      <c r="P1173" s="9">
        <v>249115</v>
      </c>
      <c r="Q1173" s="9">
        <v>50728</v>
      </c>
      <c r="R1173" s="9">
        <v>299843</v>
      </c>
      <c r="S1173" s="9">
        <v>-141092</v>
      </c>
      <c r="T1173" s="10">
        <v>108585</v>
      </c>
      <c r="U1173" s="10">
        <v>2080</v>
      </c>
    </row>
    <row r="1174" spans="1:21" x14ac:dyDescent="0.35">
      <c r="A1174" t="s">
        <v>15</v>
      </c>
      <c r="B1174" t="s">
        <v>16</v>
      </c>
      <c r="C1174" t="s">
        <v>21</v>
      </c>
      <c r="D1174">
        <v>275384</v>
      </c>
      <c r="E1174">
        <v>24248</v>
      </c>
      <c r="F1174">
        <v>39635</v>
      </c>
      <c r="G1174">
        <v>-236547</v>
      </c>
      <c r="H1174">
        <v>102720</v>
      </c>
      <c r="I1174">
        <v>101870</v>
      </c>
      <c r="J1174">
        <v>2154</v>
      </c>
      <c r="K1174">
        <v>746168</v>
      </c>
      <c r="L1174">
        <v>334884</v>
      </c>
      <c r="M1174">
        <v>-87212</v>
      </c>
      <c r="N1174">
        <v>195863</v>
      </c>
      <c r="O1174" t="s">
        <v>1192</v>
      </c>
      <c r="P1174" s="9">
        <v>290941</v>
      </c>
      <c r="Q1174" s="9">
        <v>51129</v>
      </c>
      <c r="R1174" s="9">
        <v>342070</v>
      </c>
      <c r="S1174" s="9">
        <v>-119167</v>
      </c>
      <c r="T1174" s="10">
        <v>134422</v>
      </c>
      <c r="U1174" s="10">
        <v>2410</v>
      </c>
    </row>
    <row r="1175" spans="1:21" x14ac:dyDescent="0.35">
      <c r="A1175" t="s">
        <v>15</v>
      </c>
      <c r="B1175" t="s">
        <v>16</v>
      </c>
      <c r="C1175" t="s">
        <v>21</v>
      </c>
      <c r="D1175">
        <v>280875</v>
      </c>
      <c r="E1175">
        <v>32939</v>
      </c>
      <c r="F1175">
        <v>46346</v>
      </c>
      <c r="G1175">
        <v>-237143</v>
      </c>
      <c r="H1175">
        <v>123017</v>
      </c>
      <c r="I1175">
        <v>126452</v>
      </c>
      <c r="J1175">
        <v>2376</v>
      </c>
      <c r="K1175">
        <v>628347</v>
      </c>
      <c r="L1175">
        <v>203473</v>
      </c>
      <c r="M1175">
        <v>-194951</v>
      </c>
      <c r="N1175">
        <v>126055</v>
      </c>
      <c r="O1175" t="s">
        <v>1193</v>
      </c>
      <c r="P1175" s="9">
        <v>159099</v>
      </c>
      <c r="Q1175" s="9">
        <v>27951</v>
      </c>
      <c r="R1175" s="9">
        <v>187050</v>
      </c>
      <c r="S1175" s="9">
        <v>-73034</v>
      </c>
      <c r="T1175" s="10">
        <v>61122</v>
      </c>
      <c r="U1175" s="10">
        <v>813</v>
      </c>
    </row>
    <row r="1176" spans="1:21" x14ac:dyDescent="0.35">
      <c r="A1176" t="s">
        <v>15</v>
      </c>
      <c r="B1176" t="s">
        <v>20</v>
      </c>
      <c r="C1176" t="s">
        <v>17</v>
      </c>
      <c r="D1176">
        <v>249993</v>
      </c>
      <c r="E1176">
        <v>45026</v>
      </c>
      <c r="F1176">
        <v>26405</v>
      </c>
      <c r="G1176">
        <v>-213093</v>
      </c>
      <c r="H1176">
        <v>108331</v>
      </c>
      <c r="I1176">
        <v>100133</v>
      </c>
      <c r="J1176">
        <v>1810</v>
      </c>
      <c r="K1176">
        <v>541424</v>
      </c>
      <c r="L1176">
        <v>131814</v>
      </c>
      <c r="M1176">
        <v>-111678</v>
      </c>
      <c r="N1176">
        <v>161970</v>
      </c>
      <c r="O1176" t="s">
        <v>1194</v>
      </c>
      <c r="P1176" s="9">
        <v>249560</v>
      </c>
      <c r="Q1176" s="9">
        <v>16150</v>
      </c>
      <c r="R1176" s="9">
        <v>265710</v>
      </c>
      <c r="S1176" s="9">
        <v>-87651</v>
      </c>
      <c r="T1176" s="10">
        <v>65001</v>
      </c>
      <c r="U1176" s="10">
        <v>1547</v>
      </c>
    </row>
    <row r="1177" spans="1:21" x14ac:dyDescent="0.35">
      <c r="A1177" t="s">
        <v>15</v>
      </c>
      <c r="B1177" t="s">
        <v>20</v>
      </c>
      <c r="C1177" t="s">
        <v>21</v>
      </c>
      <c r="D1177">
        <v>262429</v>
      </c>
      <c r="E1177">
        <v>40921</v>
      </c>
      <c r="F1177">
        <v>27061</v>
      </c>
      <c r="G1177">
        <v>-221873</v>
      </c>
      <c r="H1177">
        <v>108538</v>
      </c>
      <c r="I1177">
        <v>102596</v>
      </c>
      <c r="J1177">
        <v>1618</v>
      </c>
      <c r="K1177">
        <v>633035</v>
      </c>
      <c r="L1177">
        <v>300253</v>
      </c>
      <c r="M1177">
        <v>-221141</v>
      </c>
      <c r="N1177">
        <v>207542</v>
      </c>
      <c r="O1177" t="s">
        <v>1195</v>
      </c>
      <c r="P1177" s="9">
        <v>212023</v>
      </c>
      <c r="Q1177" s="9">
        <v>31366</v>
      </c>
      <c r="R1177" s="9">
        <v>243389</v>
      </c>
      <c r="S1177" s="9">
        <v>-98859</v>
      </c>
      <c r="T1177" s="10">
        <v>101633</v>
      </c>
      <c r="U1177" s="10">
        <v>1232</v>
      </c>
    </row>
    <row r="1178" spans="1:21" x14ac:dyDescent="0.35">
      <c r="A1178" t="s">
        <v>15</v>
      </c>
      <c r="B1178" t="s">
        <v>20</v>
      </c>
      <c r="C1178" t="s">
        <v>21</v>
      </c>
      <c r="D1178">
        <v>152324</v>
      </c>
      <c r="E1178">
        <v>24817</v>
      </c>
      <c r="F1178">
        <v>23469</v>
      </c>
      <c r="G1178">
        <v>-132961</v>
      </c>
      <c r="H1178">
        <v>67649</v>
      </c>
      <c r="I1178">
        <v>66118</v>
      </c>
      <c r="J1178">
        <v>1942</v>
      </c>
      <c r="K1178">
        <v>475218</v>
      </c>
      <c r="L1178">
        <v>228072</v>
      </c>
      <c r="M1178">
        <v>-95811</v>
      </c>
      <c r="N1178">
        <v>113915</v>
      </c>
      <c r="O1178" t="s">
        <v>1196</v>
      </c>
      <c r="P1178" s="9">
        <v>216698</v>
      </c>
      <c r="Q1178" s="9">
        <v>28066</v>
      </c>
      <c r="R1178" s="9">
        <v>244764</v>
      </c>
      <c r="S1178" s="9">
        <v>-137244</v>
      </c>
      <c r="T1178" s="10">
        <v>90776</v>
      </c>
      <c r="U1178" s="10">
        <v>2485</v>
      </c>
    </row>
    <row r="1179" spans="1:21" x14ac:dyDescent="0.35">
      <c r="A1179" t="s">
        <v>15</v>
      </c>
      <c r="B1179" t="s">
        <v>20</v>
      </c>
      <c r="C1179" t="s">
        <v>17</v>
      </c>
      <c r="D1179">
        <v>260234</v>
      </c>
      <c r="E1179">
        <v>16172</v>
      </c>
      <c r="F1179">
        <v>61138</v>
      </c>
      <c r="G1179">
        <v>-239826</v>
      </c>
      <c r="H1179">
        <v>97718</v>
      </c>
      <c r="I1179">
        <v>92523</v>
      </c>
      <c r="J1179">
        <v>2125</v>
      </c>
      <c r="K1179">
        <v>603110</v>
      </c>
      <c r="L1179">
        <v>115211</v>
      </c>
      <c r="M1179">
        <v>-124812</v>
      </c>
      <c r="N1179">
        <v>225344</v>
      </c>
      <c r="O1179" t="s">
        <v>1197</v>
      </c>
      <c r="P1179" s="9">
        <v>192092</v>
      </c>
      <c r="Q1179" s="9">
        <v>30839</v>
      </c>
      <c r="R1179" s="9">
        <v>222931</v>
      </c>
      <c r="S1179" s="9">
        <v>-96795</v>
      </c>
      <c r="T1179" s="10">
        <v>109309</v>
      </c>
      <c r="U1179" s="10">
        <v>3246</v>
      </c>
    </row>
    <row r="1180" spans="1:21" x14ac:dyDescent="0.35">
      <c r="A1180" t="s">
        <v>15</v>
      </c>
      <c r="B1180" t="s">
        <v>16</v>
      </c>
      <c r="C1180" t="s">
        <v>21</v>
      </c>
      <c r="D1180">
        <v>290286</v>
      </c>
      <c r="E1180">
        <v>49737</v>
      </c>
      <c r="F1180">
        <v>70396</v>
      </c>
      <c r="G1180">
        <v>-252162</v>
      </c>
      <c r="H1180">
        <v>158257</v>
      </c>
      <c r="I1180">
        <v>146945</v>
      </c>
      <c r="J1180">
        <v>3262</v>
      </c>
      <c r="K1180">
        <v>1009394</v>
      </c>
      <c r="L1180">
        <v>461219</v>
      </c>
      <c r="M1180">
        <v>-347280</v>
      </c>
      <c r="N1180">
        <v>260354</v>
      </c>
      <c r="O1180" t="s">
        <v>1198</v>
      </c>
      <c r="P1180" s="9">
        <v>270977</v>
      </c>
      <c r="Q1180" s="9">
        <v>50583</v>
      </c>
      <c r="R1180" s="9">
        <v>321560</v>
      </c>
      <c r="S1180" s="9">
        <v>-136279</v>
      </c>
      <c r="T1180" s="10">
        <v>124433</v>
      </c>
      <c r="U1180" s="10">
        <v>1476</v>
      </c>
    </row>
    <row r="1181" spans="1:21" x14ac:dyDescent="0.35">
      <c r="A1181" t="s">
        <v>15</v>
      </c>
      <c r="B1181" t="s">
        <v>20</v>
      </c>
      <c r="C1181" t="s">
        <v>21</v>
      </c>
      <c r="D1181">
        <v>203209</v>
      </c>
      <c r="E1181">
        <v>36148</v>
      </c>
      <c r="F1181">
        <v>41502</v>
      </c>
      <c r="G1181">
        <v>-165314</v>
      </c>
      <c r="H1181">
        <v>115545</v>
      </c>
      <c r="I1181">
        <v>119585</v>
      </c>
      <c r="J1181">
        <v>1753</v>
      </c>
      <c r="K1181">
        <v>781960</v>
      </c>
      <c r="L1181">
        <v>166484</v>
      </c>
      <c r="M1181">
        <v>-190863</v>
      </c>
      <c r="N1181">
        <v>95172</v>
      </c>
      <c r="O1181" t="s">
        <v>1199</v>
      </c>
      <c r="P1181" s="9">
        <v>238143</v>
      </c>
      <c r="Q1181" s="9">
        <v>45819</v>
      </c>
      <c r="R1181" s="9">
        <v>283962</v>
      </c>
      <c r="S1181" s="9">
        <v>-72470</v>
      </c>
      <c r="T1181" s="10">
        <v>96345</v>
      </c>
      <c r="U1181" s="10">
        <v>1985</v>
      </c>
    </row>
    <row r="1182" spans="1:21" x14ac:dyDescent="0.35">
      <c r="A1182" t="s">
        <v>15</v>
      </c>
      <c r="B1182" t="s">
        <v>16</v>
      </c>
      <c r="C1182" t="s">
        <v>17</v>
      </c>
      <c r="D1182">
        <v>282397</v>
      </c>
      <c r="E1182">
        <v>54996</v>
      </c>
      <c r="F1182">
        <v>50892</v>
      </c>
      <c r="G1182">
        <v>-271553</v>
      </c>
      <c r="H1182">
        <v>116732</v>
      </c>
      <c r="I1182">
        <v>115783</v>
      </c>
      <c r="J1182">
        <v>2497</v>
      </c>
      <c r="K1182">
        <v>671638</v>
      </c>
      <c r="L1182">
        <v>231770</v>
      </c>
      <c r="M1182">
        <v>-93684</v>
      </c>
      <c r="N1182">
        <v>159107</v>
      </c>
      <c r="O1182" t="s">
        <v>1200</v>
      </c>
      <c r="P1182" s="9">
        <v>181594</v>
      </c>
      <c r="Q1182" s="9">
        <v>29398</v>
      </c>
      <c r="R1182" s="9">
        <v>210992</v>
      </c>
      <c r="S1182" s="9">
        <v>-125016</v>
      </c>
      <c r="T1182" s="10">
        <v>90095</v>
      </c>
      <c r="U1182" s="10">
        <v>2672</v>
      </c>
    </row>
    <row r="1183" spans="1:21" x14ac:dyDescent="0.35">
      <c r="A1183" t="s">
        <v>15</v>
      </c>
      <c r="B1183" t="s">
        <v>16</v>
      </c>
      <c r="C1183" t="s">
        <v>21</v>
      </c>
      <c r="D1183">
        <v>251327</v>
      </c>
      <c r="E1183">
        <v>21753</v>
      </c>
      <c r="F1183">
        <v>55250</v>
      </c>
      <c r="G1183">
        <v>-250127</v>
      </c>
      <c r="H1183">
        <v>78203</v>
      </c>
      <c r="I1183">
        <v>79812</v>
      </c>
      <c r="J1183">
        <v>1538</v>
      </c>
      <c r="K1183">
        <v>858353</v>
      </c>
      <c r="L1183">
        <v>315254</v>
      </c>
      <c r="M1183">
        <v>-207426</v>
      </c>
      <c r="N1183">
        <v>184546</v>
      </c>
      <c r="O1183" t="s">
        <v>1201</v>
      </c>
      <c r="P1183" s="9">
        <v>305914</v>
      </c>
      <c r="Q1183" s="9">
        <v>40277</v>
      </c>
      <c r="R1183" s="9">
        <v>346191</v>
      </c>
      <c r="S1183" s="9">
        <v>-160862</v>
      </c>
      <c r="T1183" s="10">
        <v>91809</v>
      </c>
      <c r="U1183" s="10">
        <v>1231</v>
      </c>
    </row>
    <row r="1184" spans="1:21" x14ac:dyDescent="0.35">
      <c r="A1184" t="s">
        <v>15</v>
      </c>
      <c r="B1184" t="s">
        <v>20</v>
      </c>
      <c r="C1184" t="s">
        <v>21</v>
      </c>
      <c r="D1184">
        <v>205895</v>
      </c>
      <c r="E1184">
        <v>16565</v>
      </c>
      <c r="F1184">
        <v>42784</v>
      </c>
      <c r="G1184">
        <v>-180422</v>
      </c>
      <c r="H1184">
        <v>84822</v>
      </c>
      <c r="I1184">
        <v>78170</v>
      </c>
      <c r="J1184">
        <v>1343</v>
      </c>
      <c r="K1184">
        <v>638420</v>
      </c>
      <c r="L1184">
        <v>284236</v>
      </c>
      <c r="M1184">
        <v>-217091</v>
      </c>
      <c r="N1184">
        <v>64111</v>
      </c>
      <c r="O1184" t="s">
        <v>1202</v>
      </c>
      <c r="P1184" s="9">
        <v>304450</v>
      </c>
      <c r="Q1184" s="9">
        <v>48020</v>
      </c>
      <c r="R1184" s="9">
        <v>352470</v>
      </c>
      <c r="S1184" s="9">
        <v>-211316</v>
      </c>
      <c r="T1184" s="10">
        <v>119007</v>
      </c>
      <c r="U1184" s="10">
        <v>3164</v>
      </c>
    </row>
    <row r="1185" spans="1:21" x14ac:dyDescent="0.35">
      <c r="A1185" t="s">
        <v>15</v>
      </c>
      <c r="B1185" t="s">
        <v>16</v>
      </c>
      <c r="C1185" t="s">
        <v>21</v>
      </c>
      <c r="D1185">
        <v>176819</v>
      </c>
      <c r="E1185">
        <v>33996</v>
      </c>
      <c r="F1185">
        <v>32659</v>
      </c>
      <c r="G1185">
        <v>-160249</v>
      </c>
      <c r="H1185">
        <v>83225</v>
      </c>
      <c r="I1185">
        <v>82712</v>
      </c>
      <c r="J1185">
        <v>2242</v>
      </c>
      <c r="K1185">
        <v>496811</v>
      </c>
      <c r="L1185">
        <v>50667</v>
      </c>
      <c r="M1185">
        <v>-178371</v>
      </c>
      <c r="N1185">
        <v>68056</v>
      </c>
      <c r="O1185" t="s">
        <v>1203</v>
      </c>
      <c r="P1185" s="9">
        <v>176324</v>
      </c>
      <c r="Q1185" s="9">
        <v>34997</v>
      </c>
      <c r="R1185" s="9">
        <v>211321</v>
      </c>
      <c r="S1185" s="9">
        <v>-66510</v>
      </c>
      <c r="T1185" s="10">
        <v>112660</v>
      </c>
      <c r="U1185" s="10">
        <v>2753</v>
      </c>
    </row>
    <row r="1186" spans="1:21" x14ac:dyDescent="0.35">
      <c r="A1186" t="s">
        <v>15</v>
      </c>
      <c r="B1186" t="s">
        <v>16</v>
      </c>
      <c r="C1186" t="s">
        <v>21</v>
      </c>
      <c r="D1186">
        <v>222168</v>
      </c>
      <c r="E1186">
        <v>16799</v>
      </c>
      <c r="F1186">
        <v>33574</v>
      </c>
      <c r="G1186">
        <v>-179902</v>
      </c>
      <c r="H1186">
        <v>92639</v>
      </c>
      <c r="I1186">
        <v>89535</v>
      </c>
      <c r="J1186">
        <v>1228</v>
      </c>
      <c r="K1186">
        <v>793951</v>
      </c>
      <c r="L1186">
        <v>143818</v>
      </c>
      <c r="M1186">
        <v>-227190</v>
      </c>
      <c r="N1186">
        <v>164102</v>
      </c>
      <c r="O1186" t="s">
        <v>1204</v>
      </c>
      <c r="P1186" s="9">
        <v>271922</v>
      </c>
      <c r="Q1186" s="9">
        <v>27855</v>
      </c>
      <c r="R1186" s="9">
        <v>299777</v>
      </c>
      <c r="S1186" s="9">
        <v>-105692</v>
      </c>
      <c r="T1186" s="10">
        <v>67020</v>
      </c>
      <c r="U1186" s="10">
        <v>1061</v>
      </c>
    </row>
    <row r="1187" spans="1:21" x14ac:dyDescent="0.35">
      <c r="A1187" t="s">
        <v>15</v>
      </c>
      <c r="B1187" t="s">
        <v>20</v>
      </c>
      <c r="C1187" t="s">
        <v>21</v>
      </c>
      <c r="D1187">
        <v>196541</v>
      </c>
      <c r="E1187">
        <v>24401</v>
      </c>
      <c r="F1187">
        <v>24539</v>
      </c>
      <c r="G1187">
        <v>-158485</v>
      </c>
      <c r="H1187">
        <v>86996</v>
      </c>
      <c r="I1187">
        <v>86137</v>
      </c>
      <c r="J1187">
        <v>1588</v>
      </c>
      <c r="K1187">
        <v>770840</v>
      </c>
      <c r="L1187">
        <v>120620</v>
      </c>
      <c r="M1187">
        <v>-219657</v>
      </c>
      <c r="N1187">
        <v>170676</v>
      </c>
      <c r="O1187" t="s">
        <v>1205</v>
      </c>
      <c r="P1187" s="9">
        <v>208339</v>
      </c>
      <c r="Q1187" s="9">
        <v>36726</v>
      </c>
      <c r="R1187" s="9">
        <v>245065</v>
      </c>
      <c r="S1187" s="9">
        <v>-136205</v>
      </c>
      <c r="T1187" s="10">
        <v>89250</v>
      </c>
      <c r="U1187" s="10">
        <v>1981</v>
      </c>
    </row>
    <row r="1188" spans="1:21" x14ac:dyDescent="0.35">
      <c r="A1188" t="s">
        <v>15</v>
      </c>
      <c r="B1188" t="s">
        <v>16</v>
      </c>
      <c r="C1188" t="s">
        <v>21</v>
      </c>
      <c r="D1188">
        <v>219825</v>
      </c>
      <c r="E1188">
        <v>19674</v>
      </c>
      <c r="F1188">
        <v>31529</v>
      </c>
      <c r="G1188">
        <v>-215043</v>
      </c>
      <c r="H1188">
        <v>55985</v>
      </c>
      <c r="I1188">
        <v>57767</v>
      </c>
      <c r="J1188">
        <v>1667</v>
      </c>
      <c r="K1188">
        <v>648120</v>
      </c>
      <c r="L1188">
        <v>256144</v>
      </c>
      <c r="M1188">
        <v>-192549</v>
      </c>
      <c r="N1188">
        <v>116067</v>
      </c>
      <c r="O1188" t="s">
        <v>1206</v>
      </c>
      <c r="P1188" s="9">
        <v>223213</v>
      </c>
      <c r="Q1188" s="9">
        <v>35499</v>
      </c>
      <c r="R1188" s="9">
        <v>258712</v>
      </c>
      <c r="S1188" s="9">
        <v>-145951</v>
      </c>
      <c r="T1188" s="10">
        <v>75941</v>
      </c>
      <c r="U1188" s="10">
        <v>1466</v>
      </c>
    </row>
    <row r="1189" spans="1:21" x14ac:dyDescent="0.35">
      <c r="A1189" t="s">
        <v>15</v>
      </c>
      <c r="B1189" t="s">
        <v>16</v>
      </c>
      <c r="C1189" t="s">
        <v>21</v>
      </c>
      <c r="D1189">
        <v>193292</v>
      </c>
      <c r="E1189">
        <v>26364</v>
      </c>
      <c r="F1189">
        <v>34582</v>
      </c>
      <c r="G1189">
        <v>-181882</v>
      </c>
      <c r="H1189">
        <v>72356</v>
      </c>
      <c r="I1189">
        <v>65555</v>
      </c>
      <c r="J1189">
        <v>1214</v>
      </c>
      <c r="K1189">
        <v>463889</v>
      </c>
      <c r="L1189">
        <v>136506</v>
      </c>
      <c r="M1189">
        <v>-73784</v>
      </c>
      <c r="N1189">
        <v>125364</v>
      </c>
      <c r="O1189" t="s">
        <v>1207</v>
      </c>
      <c r="P1189" s="9">
        <v>190162</v>
      </c>
      <c r="Q1189" s="9">
        <v>29061</v>
      </c>
      <c r="R1189" s="9">
        <v>219223</v>
      </c>
      <c r="S1189" s="9">
        <v>-66017</v>
      </c>
      <c r="T1189" s="10">
        <v>61227</v>
      </c>
      <c r="U1189" s="10">
        <v>1149</v>
      </c>
    </row>
    <row r="1190" spans="1:21" x14ac:dyDescent="0.35">
      <c r="A1190" t="s">
        <v>15</v>
      </c>
      <c r="B1190" t="s">
        <v>20</v>
      </c>
      <c r="C1190" t="s">
        <v>17</v>
      </c>
      <c r="D1190">
        <v>249842</v>
      </c>
      <c r="E1190">
        <v>47602</v>
      </c>
      <c r="F1190">
        <v>49757</v>
      </c>
      <c r="G1190">
        <v>-223180</v>
      </c>
      <c r="H1190">
        <v>124021</v>
      </c>
      <c r="I1190">
        <v>129276</v>
      </c>
      <c r="J1190">
        <v>1814</v>
      </c>
      <c r="K1190">
        <v>534731</v>
      </c>
      <c r="L1190">
        <v>141787</v>
      </c>
      <c r="M1190">
        <v>-150236</v>
      </c>
      <c r="N1190">
        <v>110826</v>
      </c>
      <c r="O1190" t="s">
        <v>1208</v>
      </c>
      <c r="P1190" s="9">
        <v>202591</v>
      </c>
      <c r="Q1190" s="9">
        <v>21873</v>
      </c>
      <c r="R1190" s="9">
        <v>224464</v>
      </c>
      <c r="S1190" s="9">
        <v>-89164</v>
      </c>
      <c r="T1190" s="10">
        <v>67263</v>
      </c>
      <c r="U1190" s="10">
        <v>1660</v>
      </c>
    </row>
    <row r="1191" spans="1:21" x14ac:dyDescent="0.35">
      <c r="A1191" t="s">
        <v>15</v>
      </c>
      <c r="B1191" t="s">
        <v>20</v>
      </c>
      <c r="C1191" t="s">
        <v>21</v>
      </c>
      <c r="D1191">
        <v>263955</v>
      </c>
      <c r="E1191">
        <v>26054</v>
      </c>
      <c r="F1191">
        <v>34093</v>
      </c>
      <c r="G1191">
        <v>-212004</v>
      </c>
      <c r="H1191">
        <v>112098</v>
      </c>
      <c r="I1191">
        <v>102106</v>
      </c>
      <c r="J1191">
        <v>1820</v>
      </c>
      <c r="K1191">
        <v>916678</v>
      </c>
      <c r="L1191">
        <v>238866</v>
      </c>
      <c r="M1191">
        <v>-143128</v>
      </c>
      <c r="N1191">
        <v>230513</v>
      </c>
      <c r="O1191" t="s">
        <v>1209</v>
      </c>
      <c r="P1191" s="9">
        <v>252513</v>
      </c>
      <c r="Q1191" s="9">
        <v>15692</v>
      </c>
      <c r="R1191" s="9">
        <v>268205</v>
      </c>
      <c r="S1191" s="9">
        <v>-93640</v>
      </c>
      <c r="T1191" s="10">
        <v>63911</v>
      </c>
      <c r="U1191" s="10">
        <v>1227</v>
      </c>
    </row>
    <row r="1192" spans="1:21" x14ac:dyDescent="0.35">
      <c r="A1192" t="s">
        <v>15</v>
      </c>
      <c r="B1192" t="s">
        <v>20</v>
      </c>
      <c r="C1192" t="s">
        <v>17</v>
      </c>
      <c r="D1192">
        <v>230413</v>
      </c>
      <c r="E1192">
        <v>14446</v>
      </c>
      <c r="F1192">
        <v>45313</v>
      </c>
      <c r="G1192">
        <v>-206002</v>
      </c>
      <c r="H1192">
        <v>84170</v>
      </c>
      <c r="I1192">
        <v>86954</v>
      </c>
      <c r="J1192">
        <v>1812</v>
      </c>
      <c r="K1192">
        <v>505341</v>
      </c>
      <c r="L1192">
        <v>95090</v>
      </c>
      <c r="M1192">
        <v>-63070</v>
      </c>
      <c r="N1192">
        <v>110791</v>
      </c>
      <c r="O1192" t="s">
        <v>1210</v>
      </c>
      <c r="P1192" s="9">
        <v>193696</v>
      </c>
      <c r="Q1192" s="9">
        <v>31315</v>
      </c>
      <c r="R1192" s="9">
        <v>225011</v>
      </c>
      <c r="S1192" s="9">
        <v>-97600</v>
      </c>
      <c r="T1192" s="10">
        <v>78542</v>
      </c>
      <c r="U1192" s="10">
        <v>1787</v>
      </c>
    </row>
    <row r="1193" spans="1:21" x14ac:dyDescent="0.35">
      <c r="A1193" t="s">
        <v>15</v>
      </c>
      <c r="B1193" t="s">
        <v>20</v>
      </c>
      <c r="C1193" t="s">
        <v>21</v>
      </c>
      <c r="D1193">
        <v>292405</v>
      </c>
      <c r="E1193">
        <v>21442</v>
      </c>
      <c r="F1193">
        <v>51299</v>
      </c>
      <c r="G1193">
        <v>-237589</v>
      </c>
      <c r="H1193">
        <v>127557</v>
      </c>
      <c r="I1193">
        <v>115410</v>
      </c>
      <c r="J1193">
        <v>1573</v>
      </c>
      <c r="K1193">
        <v>891765</v>
      </c>
      <c r="L1193">
        <v>325729</v>
      </c>
      <c r="M1193">
        <v>-325631</v>
      </c>
      <c r="N1193">
        <v>234766</v>
      </c>
      <c r="O1193" t="s">
        <v>1211</v>
      </c>
      <c r="P1193" s="9">
        <v>253885</v>
      </c>
      <c r="Q1193" s="9">
        <v>14312</v>
      </c>
      <c r="R1193" s="9">
        <v>268197</v>
      </c>
      <c r="S1193" s="9">
        <v>-66572</v>
      </c>
      <c r="T1193" s="10">
        <v>84785</v>
      </c>
      <c r="U1193" s="10">
        <v>1496</v>
      </c>
    </row>
    <row r="1194" spans="1:21" x14ac:dyDescent="0.35">
      <c r="A1194" t="s">
        <v>15</v>
      </c>
      <c r="B1194" t="s">
        <v>20</v>
      </c>
      <c r="C1194" t="s">
        <v>21</v>
      </c>
      <c r="D1194">
        <v>214433</v>
      </c>
      <c r="E1194">
        <v>24146</v>
      </c>
      <c r="F1194">
        <v>43299</v>
      </c>
      <c r="G1194">
        <v>-197634</v>
      </c>
      <c r="H1194">
        <v>84244</v>
      </c>
      <c r="I1194">
        <v>82219</v>
      </c>
      <c r="J1194">
        <v>2161</v>
      </c>
      <c r="K1194">
        <v>738177</v>
      </c>
      <c r="L1194">
        <v>271872</v>
      </c>
      <c r="M1194">
        <v>-129812</v>
      </c>
      <c r="N1194">
        <v>162915</v>
      </c>
      <c r="O1194" t="s">
        <v>1212</v>
      </c>
      <c r="P1194" s="9">
        <v>223413</v>
      </c>
      <c r="Q1194" s="9">
        <v>46416</v>
      </c>
      <c r="R1194" s="9">
        <v>269829</v>
      </c>
      <c r="S1194" s="9">
        <v>-111258</v>
      </c>
      <c r="T1194" s="10">
        <v>99188</v>
      </c>
      <c r="U1194" s="10">
        <v>1210</v>
      </c>
    </row>
    <row r="1195" spans="1:21" x14ac:dyDescent="0.35">
      <c r="A1195" t="s">
        <v>15</v>
      </c>
      <c r="B1195" t="s">
        <v>16</v>
      </c>
      <c r="C1195" t="s">
        <v>21</v>
      </c>
      <c r="D1195">
        <v>239726</v>
      </c>
      <c r="E1195">
        <v>28429</v>
      </c>
      <c r="F1195">
        <v>41668</v>
      </c>
      <c r="G1195">
        <v>-214091</v>
      </c>
      <c r="H1195">
        <v>95732</v>
      </c>
      <c r="I1195">
        <v>96129</v>
      </c>
      <c r="J1195">
        <v>2567</v>
      </c>
      <c r="K1195">
        <v>778342</v>
      </c>
      <c r="L1195">
        <v>307052</v>
      </c>
      <c r="M1195">
        <v>-183176</v>
      </c>
      <c r="N1195">
        <v>140778</v>
      </c>
      <c r="O1195" t="s">
        <v>1213</v>
      </c>
      <c r="P1195" s="9">
        <v>218521</v>
      </c>
      <c r="Q1195" s="9">
        <v>42181</v>
      </c>
      <c r="R1195" s="9">
        <v>260702</v>
      </c>
      <c r="S1195" s="9">
        <v>-93813</v>
      </c>
      <c r="T1195" s="10">
        <v>105674</v>
      </c>
      <c r="U1195" s="10">
        <v>2032</v>
      </c>
    </row>
    <row r="1196" spans="1:21" x14ac:dyDescent="0.35">
      <c r="A1196" t="s">
        <v>15</v>
      </c>
      <c r="B1196" t="s">
        <v>16</v>
      </c>
      <c r="C1196" t="s">
        <v>21</v>
      </c>
      <c r="D1196">
        <v>248021</v>
      </c>
      <c r="E1196">
        <v>46870</v>
      </c>
      <c r="F1196">
        <v>50574</v>
      </c>
      <c r="G1196">
        <v>-245326</v>
      </c>
      <c r="H1196">
        <v>100139</v>
      </c>
      <c r="I1196">
        <v>102249</v>
      </c>
      <c r="J1196">
        <v>1258</v>
      </c>
      <c r="K1196">
        <v>586723</v>
      </c>
      <c r="L1196">
        <v>177287</v>
      </c>
      <c r="M1196">
        <v>-197640</v>
      </c>
      <c r="N1196">
        <v>125302</v>
      </c>
      <c r="O1196" t="s">
        <v>1214</v>
      </c>
      <c r="P1196" s="9">
        <v>184053</v>
      </c>
      <c r="Q1196" s="9">
        <v>10700</v>
      </c>
      <c r="R1196" s="9">
        <v>194753</v>
      </c>
      <c r="S1196" s="9">
        <v>-74977</v>
      </c>
      <c r="T1196" s="10">
        <v>75286</v>
      </c>
      <c r="U1196" s="10">
        <v>957</v>
      </c>
    </row>
    <row r="1197" spans="1:21" x14ac:dyDescent="0.35">
      <c r="A1197" t="s">
        <v>15</v>
      </c>
      <c r="B1197" t="s">
        <v>16</v>
      </c>
      <c r="C1197" t="s">
        <v>21</v>
      </c>
      <c r="D1197">
        <v>213448</v>
      </c>
      <c r="E1197">
        <v>28983</v>
      </c>
      <c r="F1197">
        <v>22265</v>
      </c>
      <c r="G1197">
        <v>-195257</v>
      </c>
      <c r="H1197">
        <v>69439</v>
      </c>
      <c r="I1197">
        <v>63690</v>
      </c>
      <c r="J1197">
        <v>1458</v>
      </c>
      <c r="K1197">
        <v>544658</v>
      </c>
      <c r="L1197">
        <v>170486</v>
      </c>
      <c r="M1197">
        <v>-178802</v>
      </c>
      <c r="N1197">
        <v>98082</v>
      </c>
      <c r="O1197" t="s">
        <v>1215</v>
      </c>
      <c r="P1197" s="9">
        <v>230605</v>
      </c>
      <c r="Q1197" s="9">
        <v>21575</v>
      </c>
      <c r="R1197" s="9">
        <v>252180</v>
      </c>
      <c r="S1197" s="9">
        <v>-91993</v>
      </c>
      <c r="T1197" s="10">
        <v>84693</v>
      </c>
      <c r="U1197" s="10">
        <v>914</v>
      </c>
    </row>
    <row r="1198" spans="1:21" x14ac:dyDescent="0.35">
      <c r="A1198" t="s">
        <v>15</v>
      </c>
      <c r="B1198" t="s">
        <v>16</v>
      </c>
      <c r="C1198" t="s">
        <v>21</v>
      </c>
      <c r="D1198">
        <v>294515</v>
      </c>
      <c r="E1198">
        <v>56594</v>
      </c>
      <c r="F1198">
        <v>56496</v>
      </c>
      <c r="G1198">
        <v>-284187</v>
      </c>
      <c r="H1198">
        <v>123418</v>
      </c>
      <c r="I1198">
        <v>118616</v>
      </c>
      <c r="J1198">
        <v>2280</v>
      </c>
      <c r="K1198">
        <v>772638</v>
      </c>
      <c r="L1198">
        <v>218214</v>
      </c>
      <c r="M1198">
        <v>-243561</v>
      </c>
      <c r="N1198">
        <v>201248</v>
      </c>
      <c r="O1198" t="s">
        <v>1216</v>
      </c>
      <c r="P1198" s="9">
        <v>314204</v>
      </c>
      <c r="Q1198" s="9">
        <v>31100</v>
      </c>
      <c r="R1198" s="9">
        <v>345304</v>
      </c>
      <c r="S1198" s="9">
        <v>-126927</v>
      </c>
      <c r="T1198" s="10">
        <v>94645</v>
      </c>
      <c r="U1198" s="10">
        <v>1116</v>
      </c>
    </row>
    <row r="1199" spans="1:21" x14ac:dyDescent="0.35">
      <c r="A1199" t="s">
        <v>15</v>
      </c>
      <c r="B1199" t="s">
        <v>20</v>
      </c>
      <c r="C1199" t="s">
        <v>21</v>
      </c>
      <c r="D1199">
        <v>293332</v>
      </c>
      <c r="E1199">
        <v>50059</v>
      </c>
      <c r="F1199">
        <v>30908</v>
      </c>
      <c r="G1199">
        <v>-252168</v>
      </c>
      <c r="H1199">
        <v>122131</v>
      </c>
      <c r="I1199">
        <v>118557</v>
      </c>
      <c r="J1199">
        <v>1511</v>
      </c>
      <c r="K1199">
        <v>827553</v>
      </c>
      <c r="L1199">
        <v>329919</v>
      </c>
      <c r="M1199">
        <v>-178346</v>
      </c>
      <c r="N1199">
        <v>232176</v>
      </c>
      <c r="O1199" t="s">
        <v>1217</v>
      </c>
      <c r="P1199" s="9">
        <v>179436</v>
      </c>
      <c r="Q1199" s="9">
        <v>33583</v>
      </c>
      <c r="R1199" s="9">
        <v>213019</v>
      </c>
      <c r="S1199" s="9">
        <v>-74403</v>
      </c>
      <c r="T1199" s="10">
        <v>52716</v>
      </c>
      <c r="U1199" s="10">
        <v>698</v>
      </c>
    </row>
    <row r="1200" spans="1:21" x14ac:dyDescent="0.35">
      <c r="A1200" t="s">
        <v>15</v>
      </c>
      <c r="B1200" t="s">
        <v>16</v>
      </c>
      <c r="C1200" t="s">
        <v>21</v>
      </c>
      <c r="D1200">
        <v>194619</v>
      </c>
      <c r="E1200">
        <v>24436</v>
      </c>
      <c r="F1200">
        <v>34594</v>
      </c>
      <c r="G1200">
        <v>-164957</v>
      </c>
      <c r="H1200">
        <v>88692</v>
      </c>
      <c r="I1200">
        <v>84411</v>
      </c>
      <c r="J1200">
        <v>2352</v>
      </c>
      <c r="K1200">
        <v>749982</v>
      </c>
      <c r="L1200">
        <v>139699</v>
      </c>
      <c r="M1200">
        <v>-109114</v>
      </c>
      <c r="N1200">
        <v>86058</v>
      </c>
      <c r="O1200" t="s">
        <v>1218</v>
      </c>
      <c r="P1200" s="9">
        <v>279895</v>
      </c>
      <c r="Q1200" s="9">
        <v>50234</v>
      </c>
      <c r="R1200" s="9">
        <v>330129</v>
      </c>
      <c r="S1200" s="9">
        <v>-155364</v>
      </c>
      <c r="T1200" s="10">
        <v>136239</v>
      </c>
      <c r="U1200" s="10">
        <v>4011</v>
      </c>
    </row>
    <row r="1201" spans="1:21" x14ac:dyDescent="0.35">
      <c r="A1201" t="s">
        <v>15</v>
      </c>
      <c r="B1201" t="s">
        <v>20</v>
      </c>
      <c r="C1201" t="s">
        <v>21</v>
      </c>
      <c r="D1201">
        <v>230173</v>
      </c>
      <c r="E1201">
        <v>37860</v>
      </c>
      <c r="F1201">
        <v>51557</v>
      </c>
      <c r="G1201">
        <v>-202048</v>
      </c>
      <c r="H1201">
        <v>117542</v>
      </c>
      <c r="I1201">
        <v>108733</v>
      </c>
      <c r="J1201">
        <v>2255</v>
      </c>
      <c r="K1201">
        <v>489628</v>
      </c>
      <c r="L1201">
        <v>198906</v>
      </c>
      <c r="M1201">
        <v>-79217</v>
      </c>
      <c r="N1201">
        <v>69072</v>
      </c>
      <c r="O1201" t="s">
        <v>1219</v>
      </c>
      <c r="P1201" s="9">
        <v>181206</v>
      </c>
      <c r="Q1201" s="9">
        <v>24584</v>
      </c>
      <c r="R1201" s="9">
        <v>205790</v>
      </c>
      <c r="S1201" s="9">
        <v>-51835</v>
      </c>
      <c r="T1201" s="10">
        <v>82639</v>
      </c>
      <c r="U1201" s="10">
        <v>2129</v>
      </c>
    </row>
    <row r="1202" spans="1:21" x14ac:dyDescent="0.35">
      <c r="A1202" t="s">
        <v>15</v>
      </c>
      <c r="B1202" t="s">
        <v>20</v>
      </c>
      <c r="C1202" t="s">
        <v>21</v>
      </c>
      <c r="D1202">
        <v>296204</v>
      </c>
      <c r="E1202">
        <v>20428</v>
      </c>
      <c r="F1202">
        <v>71734</v>
      </c>
      <c r="G1202">
        <v>-278284</v>
      </c>
      <c r="H1202">
        <v>110082</v>
      </c>
      <c r="I1202">
        <v>110651</v>
      </c>
      <c r="J1202">
        <v>2802</v>
      </c>
      <c r="K1202">
        <v>906324</v>
      </c>
      <c r="L1202">
        <v>357592</v>
      </c>
      <c r="M1202">
        <v>-225703</v>
      </c>
      <c r="N1202">
        <v>220332</v>
      </c>
      <c r="O1202" t="s">
        <v>1220</v>
      </c>
      <c r="P1202" s="9">
        <v>202182</v>
      </c>
      <c r="Q1202" s="9">
        <v>24613</v>
      </c>
      <c r="R1202" s="9">
        <v>226795</v>
      </c>
      <c r="S1202" s="9">
        <v>-92963</v>
      </c>
      <c r="T1202" s="10">
        <v>70798</v>
      </c>
      <c r="U1202" s="10">
        <v>2023</v>
      </c>
    </row>
    <row r="1203" spans="1:21" x14ac:dyDescent="0.35">
      <c r="A1203" t="s">
        <v>15</v>
      </c>
      <c r="B1203" t="s">
        <v>20</v>
      </c>
      <c r="C1203" t="s">
        <v>21</v>
      </c>
      <c r="D1203">
        <v>153081</v>
      </c>
      <c r="E1203">
        <v>19307</v>
      </c>
      <c r="F1203">
        <v>24271</v>
      </c>
      <c r="G1203">
        <v>-135608</v>
      </c>
      <c r="H1203">
        <v>61051</v>
      </c>
      <c r="I1203">
        <v>60992</v>
      </c>
      <c r="J1203">
        <v>957</v>
      </c>
      <c r="K1203">
        <v>368073</v>
      </c>
      <c r="L1203">
        <v>148238</v>
      </c>
      <c r="M1203">
        <v>-97463</v>
      </c>
      <c r="N1203">
        <v>93643</v>
      </c>
      <c r="O1203" t="s">
        <v>1221</v>
      </c>
      <c r="P1203" s="9">
        <v>189686</v>
      </c>
      <c r="Q1203" s="9">
        <v>19384</v>
      </c>
      <c r="R1203" s="9">
        <v>209070</v>
      </c>
      <c r="S1203" s="9">
        <v>-85940</v>
      </c>
      <c r="T1203" s="10">
        <v>76765</v>
      </c>
      <c r="U1203" s="10">
        <v>1593</v>
      </c>
    </row>
    <row r="1204" spans="1:21" x14ac:dyDescent="0.35">
      <c r="A1204" t="s">
        <v>15</v>
      </c>
      <c r="B1204" t="s">
        <v>20</v>
      </c>
      <c r="C1204" t="s">
        <v>21</v>
      </c>
      <c r="D1204">
        <v>290084</v>
      </c>
      <c r="E1204">
        <v>37815</v>
      </c>
      <c r="F1204">
        <v>34635</v>
      </c>
      <c r="G1204">
        <v>-264953</v>
      </c>
      <c r="H1204">
        <v>97581</v>
      </c>
      <c r="I1204">
        <v>88980</v>
      </c>
      <c r="J1204">
        <v>2133</v>
      </c>
      <c r="K1204">
        <v>1084827</v>
      </c>
      <c r="L1204">
        <v>386984</v>
      </c>
      <c r="M1204">
        <v>-204068</v>
      </c>
      <c r="N1204">
        <v>110257</v>
      </c>
      <c r="O1204" t="s">
        <v>1222</v>
      </c>
      <c r="P1204" s="9">
        <v>166286</v>
      </c>
      <c r="Q1204" s="9">
        <v>19266</v>
      </c>
      <c r="R1204" s="9">
        <v>185552</v>
      </c>
      <c r="S1204" s="9">
        <v>-56560</v>
      </c>
      <c r="T1204" s="10">
        <v>58726</v>
      </c>
      <c r="U1204" s="10">
        <v>1482</v>
      </c>
    </row>
    <row r="1205" spans="1:21" x14ac:dyDescent="0.35">
      <c r="A1205" t="s">
        <v>15</v>
      </c>
      <c r="B1205" t="s">
        <v>16</v>
      </c>
      <c r="C1205" t="s">
        <v>21</v>
      </c>
      <c r="D1205">
        <v>236911</v>
      </c>
      <c r="E1205">
        <v>37404</v>
      </c>
      <c r="F1205">
        <v>39691</v>
      </c>
      <c r="G1205">
        <v>-223617</v>
      </c>
      <c r="H1205">
        <v>90389</v>
      </c>
      <c r="I1205">
        <v>84270</v>
      </c>
      <c r="J1205">
        <v>1597</v>
      </c>
      <c r="K1205">
        <v>608186</v>
      </c>
      <c r="L1205">
        <v>77477</v>
      </c>
      <c r="M1205">
        <v>-126134</v>
      </c>
      <c r="N1205">
        <v>77978</v>
      </c>
      <c r="O1205" t="s">
        <v>1223</v>
      </c>
      <c r="P1205" s="9">
        <v>256993</v>
      </c>
      <c r="Q1205" s="9">
        <v>13375</v>
      </c>
      <c r="R1205" s="9">
        <v>270368</v>
      </c>
      <c r="S1205" s="9">
        <v>-108135</v>
      </c>
      <c r="T1205" s="10">
        <v>64559</v>
      </c>
      <c r="U1205" s="10">
        <v>1786</v>
      </c>
    </row>
    <row r="1206" spans="1:21" x14ac:dyDescent="0.35">
      <c r="A1206" t="s">
        <v>15</v>
      </c>
      <c r="B1206" t="s">
        <v>16</v>
      </c>
      <c r="C1206" t="s">
        <v>21</v>
      </c>
      <c r="D1206">
        <v>223758</v>
      </c>
      <c r="E1206">
        <v>31762</v>
      </c>
      <c r="F1206">
        <v>33126</v>
      </c>
      <c r="G1206">
        <v>-210540</v>
      </c>
      <c r="H1206">
        <v>78106</v>
      </c>
      <c r="I1206">
        <v>70475</v>
      </c>
      <c r="J1206">
        <v>945</v>
      </c>
      <c r="K1206">
        <v>611038</v>
      </c>
      <c r="L1206">
        <v>296598</v>
      </c>
      <c r="M1206">
        <v>-180308</v>
      </c>
      <c r="N1206">
        <v>157673</v>
      </c>
      <c r="O1206" t="s">
        <v>1224</v>
      </c>
      <c r="P1206" s="9">
        <v>280574</v>
      </c>
      <c r="Q1206" s="9">
        <v>19465</v>
      </c>
      <c r="R1206" s="9">
        <v>300039</v>
      </c>
      <c r="S1206" s="9">
        <v>-139145</v>
      </c>
      <c r="T1206" s="10">
        <v>72092</v>
      </c>
      <c r="U1206" s="10">
        <v>1895</v>
      </c>
    </row>
    <row r="1207" spans="1:21" x14ac:dyDescent="0.35">
      <c r="A1207" t="s">
        <v>15</v>
      </c>
      <c r="B1207" t="s">
        <v>16</v>
      </c>
      <c r="C1207" t="s">
        <v>21</v>
      </c>
      <c r="D1207">
        <v>233289</v>
      </c>
      <c r="E1207">
        <v>40564</v>
      </c>
      <c r="F1207">
        <v>34064</v>
      </c>
      <c r="G1207">
        <v>-201229</v>
      </c>
      <c r="H1207">
        <v>106688</v>
      </c>
      <c r="I1207">
        <v>104671</v>
      </c>
      <c r="J1207">
        <v>2666</v>
      </c>
      <c r="K1207">
        <v>523153</v>
      </c>
      <c r="L1207">
        <v>211184</v>
      </c>
      <c r="M1207">
        <v>-174629</v>
      </c>
      <c r="N1207">
        <v>130436</v>
      </c>
      <c r="O1207" t="s">
        <v>1225</v>
      </c>
      <c r="P1207" s="9">
        <v>235579</v>
      </c>
      <c r="Q1207" s="9">
        <v>24923</v>
      </c>
      <c r="R1207" s="9">
        <v>260502</v>
      </c>
      <c r="S1207" s="9">
        <v>-122468</v>
      </c>
      <c r="T1207" s="10">
        <v>75940</v>
      </c>
      <c r="U1207" s="10">
        <v>1631</v>
      </c>
    </row>
    <row r="1208" spans="1:21" x14ac:dyDescent="0.35">
      <c r="A1208" t="s">
        <v>15</v>
      </c>
      <c r="B1208" t="s">
        <v>20</v>
      </c>
      <c r="C1208" t="s">
        <v>21</v>
      </c>
      <c r="D1208">
        <v>249184</v>
      </c>
      <c r="E1208">
        <v>23079</v>
      </c>
      <c r="F1208">
        <v>35961</v>
      </c>
      <c r="G1208">
        <v>-246407</v>
      </c>
      <c r="H1208">
        <v>61817</v>
      </c>
      <c r="I1208">
        <v>59726</v>
      </c>
      <c r="J1208">
        <v>1557</v>
      </c>
      <c r="K1208">
        <v>528331</v>
      </c>
      <c r="L1208">
        <v>87672</v>
      </c>
      <c r="M1208">
        <v>-142826</v>
      </c>
      <c r="N1208">
        <v>124266</v>
      </c>
      <c r="O1208" t="s">
        <v>1226</v>
      </c>
      <c r="P1208" s="9">
        <v>298547</v>
      </c>
      <c r="Q1208" s="9">
        <v>19802</v>
      </c>
      <c r="R1208" s="9">
        <v>318349</v>
      </c>
      <c r="S1208" s="9">
        <v>-186585</v>
      </c>
      <c r="T1208" s="10">
        <v>138194</v>
      </c>
      <c r="U1208" s="10">
        <v>3438</v>
      </c>
    </row>
    <row r="1209" spans="1:21" x14ac:dyDescent="0.35">
      <c r="A1209" t="s">
        <v>15</v>
      </c>
      <c r="B1209" t="s">
        <v>16</v>
      </c>
      <c r="C1209" t="s">
        <v>21</v>
      </c>
      <c r="D1209">
        <v>211002</v>
      </c>
      <c r="E1209">
        <v>26450</v>
      </c>
      <c r="F1209">
        <v>50419</v>
      </c>
      <c r="G1209">
        <v>-207126</v>
      </c>
      <c r="H1209">
        <v>80745</v>
      </c>
      <c r="I1209">
        <v>72690</v>
      </c>
      <c r="J1209">
        <v>1526</v>
      </c>
      <c r="K1209">
        <v>786678</v>
      </c>
      <c r="L1209">
        <v>172258</v>
      </c>
      <c r="M1209">
        <v>-226975</v>
      </c>
      <c r="N1209">
        <v>95159</v>
      </c>
      <c r="O1209" t="s">
        <v>1227</v>
      </c>
      <c r="P1209" s="9">
        <v>173682</v>
      </c>
      <c r="Q1209" s="9">
        <v>10207</v>
      </c>
      <c r="R1209" s="9">
        <v>183889</v>
      </c>
      <c r="S1209" s="9">
        <v>-44322</v>
      </c>
      <c r="T1209" s="10">
        <v>55413</v>
      </c>
      <c r="U1209" s="10">
        <v>1602</v>
      </c>
    </row>
    <row r="1210" spans="1:21" x14ac:dyDescent="0.35">
      <c r="A1210" t="s">
        <v>15</v>
      </c>
      <c r="B1210" t="s">
        <v>20</v>
      </c>
      <c r="C1210" t="s">
        <v>17</v>
      </c>
      <c r="D1210">
        <v>200931</v>
      </c>
      <c r="E1210">
        <v>22713</v>
      </c>
      <c r="F1210">
        <v>34456</v>
      </c>
      <c r="G1210">
        <v>-181272</v>
      </c>
      <c r="H1210">
        <v>76828</v>
      </c>
      <c r="I1210">
        <v>77542</v>
      </c>
      <c r="J1210">
        <v>1101</v>
      </c>
      <c r="K1210">
        <v>481207</v>
      </c>
      <c r="L1210">
        <v>137543</v>
      </c>
      <c r="M1210">
        <v>-162481</v>
      </c>
      <c r="N1210">
        <v>157301</v>
      </c>
      <c r="O1210" t="s">
        <v>1228</v>
      </c>
      <c r="P1210" s="9">
        <v>319013</v>
      </c>
      <c r="Q1210" s="9">
        <v>60065</v>
      </c>
      <c r="R1210" s="9">
        <v>379078</v>
      </c>
      <c r="S1210" s="9">
        <v>-177445</v>
      </c>
      <c r="T1210" s="10">
        <v>149259</v>
      </c>
      <c r="U1210" s="10">
        <v>3158</v>
      </c>
    </row>
    <row r="1211" spans="1:21" x14ac:dyDescent="0.35">
      <c r="A1211" t="s">
        <v>15</v>
      </c>
      <c r="B1211" t="s">
        <v>20</v>
      </c>
      <c r="C1211" t="s">
        <v>21</v>
      </c>
      <c r="D1211">
        <v>281943</v>
      </c>
      <c r="E1211">
        <v>14716</v>
      </c>
      <c r="F1211">
        <v>62290</v>
      </c>
      <c r="G1211">
        <v>-256555</v>
      </c>
      <c r="H1211">
        <v>102394</v>
      </c>
      <c r="I1211">
        <v>107128</v>
      </c>
      <c r="J1211">
        <v>1080</v>
      </c>
      <c r="K1211">
        <v>940705</v>
      </c>
      <c r="L1211">
        <v>425940</v>
      </c>
      <c r="M1211">
        <v>-189353</v>
      </c>
      <c r="N1211">
        <v>181056</v>
      </c>
      <c r="O1211" t="s">
        <v>1229</v>
      </c>
      <c r="P1211" s="9">
        <v>299258</v>
      </c>
      <c r="Q1211" s="9">
        <v>24345</v>
      </c>
      <c r="R1211" s="9">
        <v>323603</v>
      </c>
      <c r="S1211" s="9">
        <v>-158819</v>
      </c>
      <c r="T1211" s="10">
        <v>94514</v>
      </c>
      <c r="U1211" s="10">
        <v>2647</v>
      </c>
    </row>
    <row r="1212" spans="1:21" x14ac:dyDescent="0.35">
      <c r="A1212" t="s">
        <v>15</v>
      </c>
      <c r="B1212" t="s">
        <v>20</v>
      </c>
      <c r="C1212" t="s">
        <v>21</v>
      </c>
      <c r="D1212">
        <v>154623</v>
      </c>
      <c r="E1212">
        <v>28195</v>
      </c>
      <c r="F1212">
        <v>23014</v>
      </c>
      <c r="G1212">
        <v>-129333</v>
      </c>
      <c r="H1212">
        <v>76499</v>
      </c>
      <c r="I1212">
        <v>73326</v>
      </c>
      <c r="J1212">
        <v>2180</v>
      </c>
      <c r="K1212">
        <v>504958</v>
      </c>
      <c r="L1212">
        <v>142967</v>
      </c>
      <c r="M1212">
        <v>-178436</v>
      </c>
      <c r="N1212">
        <v>56868</v>
      </c>
      <c r="O1212" t="s">
        <v>1230</v>
      </c>
      <c r="P1212" s="9">
        <v>297794</v>
      </c>
      <c r="Q1212" s="9">
        <v>25598</v>
      </c>
      <c r="R1212" s="9">
        <v>323392</v>
      </c>
      <c r="S1212" s="9">
        <v>-122407</v>
      </c>
      <c r="T1212" s="10">
        <v>89162</v>
      </c>
      <c r="U1212" s="10">
        <v>1554</v>
      </c>
    </row>
    <row r="1213" spans="1:21" x14ac:dyDescent="0.35">
      <c r="A1213" t="s">
        <v>15</v>
      </c>
      <c r="B1213" t="s">
        <v>20</v>
      </c>
      <c r="C1213" t="s">
        <v>21</v>
      </c>
      <c r="D1213">
        <v>275264</v>
      </c>
      <c r="E1213">
        <v>34789</v>
      </c>
      <c r="F1213">
        <v>46349</v>
      </c>
      <c r="G1213">
        <v>-224533</v>
      </c>
      <c r="H1213">
        <v>131869</v>
      </c>
      <c r="I1213">
        <v>131896</v>
      </c>
      <c r="J1213">
        <v>2088</v>
      </c>
      <c r="K1213">
        <v>830460</v>
      </c>
      <c r="L1213">
        <v>206537</v>
      </c>
      <c r="M1213">
        <v>-155886</v>
      </c>
      <c r="N1213">
        <v>204395</v>
      </c>
      <c r="O1213" t="s">
        <v>1231</v>
      </c>
      <c r="P1213" s="9">
        <v>238213</v>
      </c>
      <c r="Q1213" s="9">
        <v>38511</v>
      </c>
      <c r="R1213" s="9">
        <v>276724</v>
      </c>
      <c r="S1213" s="9">
        <v>-106906</v>
      </c>
      <c r="T1213" s="10">
        <v>125786</v>
      </c>
      <c r="U1213" s="10">
        <v>2317</v>
      </c>
    </row>
    <row r="1214" spans="1:21" x14ac:dyDescent="0.35">
      <c r="A1214" t="s">
        <v>15</v>
      </c>
      <c r="B1214" t="s">
        <v>16</v>
      </c>
      <c r="C1214" t="s">
        <v>17</v>
      </c>
      <c r="D1214">
        <v>157059</v>
      </c>
      <c r="E1214">
        <v>16226</v>
      </c>
      <c r="F1214">
        <v>25380</v>
      </c>
      <c r="G1214">
        <v>-126706</v>
      </c>
      <c r="H1214">
        <v>71959</v>
      </c>
      <c r="I1214">
        <v>73988</v>
      </c>
      <c r="J1214">
        <v>1858</v>
      </c>
      <c r="K1214">
        <v>515062</v>
      </c>
      <c r="L1214">
        <v>100639</v>
      </c>
      <c r="M1214">
        <v>-82851</v>
      </c>
      <c r="N1214">
        <v>74153</v>
      </c>
      <c r="O1214" t="s">
        <v>1232</v>
      </c>
      <c r="P1214" s="9">
        <v>273808</v>
      </c>
      <c r="Q1214" s="9">
        <v>43416</v>
      </c>
      <c r="R1214" s="9">
        <v>317224</v>
      </c>
      <c r="S1214" s="9">
        <v>-144896</v>
      </c>
      <c r="T1214" s="10">
        <v>109604</v>
      </c>
      <c r="U1214" s="10">
        <v>2264</v>
      </c>
    </row>
    <row r="1215" spans="1:21" x14ac:dyDescent="0.35">
      <c r="A1215" t="s">
        <v>15</v>
      </c>
      <c r="B1215" t="s">
        <v>20</v>
      </c>
      <c r="C1215" t="s">
        <v>17</v>
      </c>
      <c r="D1215">
        <v>287540</v>
      </c>
      <c r="E1215">
        <v>43744</v>
      </c>
      <c r="F1215">
        <v>69255</v>
      </c>
      <c r="G1215">
        <v>-278322</v>
      </c>
      <c r="H1215">
        <v>122217</v>
      </c>
      <c r="I1215">
        <v>114429</v>
      </c>
      <c r="J1215">
        <v>3101</v>
      </c>
      <c r="K1215">
        <v>942155</v>
      </c>
      <c r="L1215">
        <v>231226</v>
      </c>
      <c r="M1215">
        <v>-196954</v>
      </c>
      <c r="N1215">
        <v>195329</v>
      </c>
      <c r="O1215" t="s">
        <v>1233</v>
      </c>
      <c r="P1215" s="9">
        <v>181119</v>
      </c>
      <c r="Q1215" s="9">
        <v>21673</v>
      </c>
      <c r="R1215" s="9">
        <v>202792</v>
      </c>
      <c r="S1215" s="9">
        <v>-91380</v>
      </c>
      <c r="T1215" s="10">
        <v>71065</v>
      </c>
      <c r="U1215" s="10">
        <v>1660</v>
      </c>
    </row>
    <row r="1216" spans="1:21" x14ac:dyDescent="0.35">
      <c r="A1216" t="s">
        <v>15</v>
      </c>
      <c r="B1216" t="s">
        <v>16</v>
      </c>
      <c r="C1216" t="s">
        <v>21</v>
      </c>
      <c r="D1216">
        <v>295191</v>
      </c>
      <c r="E1216">
        <v>50818</v>
      </c>
      <c r="F1216">
        <v>35644</v>
      </c>
      <c r="G1216">
        <v>-262302</v>
      </c>
      <c r="H1216">
        <v>119351</v>
      </c>
      <c r="I1216">
        <v>119814</v>
      </c>
      <c r="J1216">
        <v>1952</v>
      </c>
      <c r="K1216">
        <v>1052862</v>
      </c>
      <c r="L1216">
        <v>149111</v>
      </c>
      <c r="M1216">
        <v>-390988</v>
      </c>
      <c r="N1216">
        <v>235865</v>
      </c>
      <c r="O1216" t="s">
        <v>1234</v>
      </c>
      <c r="P1216" s="9">
        <v>213790</v>
      </c>
      <c r="Q1216" s="9">
        <v>34545</v>
      </c>
      <c r="R1216" s="9">
        <v>248335</v>
      </c>
      <c r="S1216" s="9">
        <v>-71350</v>
      </c>
      <c r="T1216" s="10">
        <v>83006</v>
      </c>
      <c r="U1216" s="10">
        <v>1976</v>
      </c>
    </row>
    <row r="1217" spans="1:21" x14ac:dyDescent="0.35">
      <c r="A1217" t="s">
        <v>15</v>
      </c>
      <c r="B1217" t="s">
        <v>20</v>
      </c>
      <c r="C1217" t="s">
        <v>21</v>
      </c>
      <c r="D1217">
        <v>248401</v>
      </c>
      <c r="E1217">
        <v>43278</v>
      </c>
      <c r="F1217">
        <v>47611</v>
      </c>
      <c r="G1217">
        <v>-234663</v>
      </c>
      <c r="H1217">
        <v>104627</v>
      </c>
      <c r="I1217">
        <v>98671</v>
      </c>
      <c r="J1217">
        <v>1772</v>
      </c>
      <c r="K1217">
        <v>698099</v>
      </c>
      <c r="L1217">
        <v>124363</v>
      </c>
      <c r="M1217">
        <v>-81456</v>
      </c>
      <c r="N1217">
        <v>153375</v>
      </c>
      <c r="O1217" t="s">
        <v>1235</v>
      </c>
      <c r="P1217" s="9">
        <v>231592</v>
      </c>
      <c r="Q1217" s="9">
        <v>28449</v>
      </c>
      <c r="R1217" s="9">
        <v>260041</v>
      </c>
      <c r="S1217" s="9">
        <v>-137323</v>
      </c>
      <c r="T1217" s="10">
        <v>58063</v>
      </c>
      <c r="U1217" s="10">
        <v>1454</v>
      </c>
    </row>
    <row r="1218" spans="1:21" x14ac:dyDescent="0.35">
      <c r="A1218" t="s">
        <v>15</v>
      </c>
      <c r="B1218" t="s">
        <v>20</v>
      </c>
      <c r="C1218" t="s">
        <v>21</v>
      </c>
      <c r="D1218">
        <v>229767</v>
      </c>
      <c r="E1218">
        <v>31390</v>
      </c>
      <c r="F1218">
        <v>48004</v>
      </c>
      <c r="G1218">
        <v>-219117</v>
      </c>
      <c r="H1218">
        <v>90044</v>
      </c>
      <c r="I1218">
        <v>91804</v>
      </c>
      <c r="J1218">
        <v>1425</v>
      </c>
      <c r="K1218">
        <v>512375</v>
      </c>
      <c r="L1218">
        <v>162693</v>
      </c>
      <c r="M1218">
        <v>-98415</v>
      </c>
      <c r="N1218">
        <v>175885</v>
      </c>
      <c r="O1218" t="s">
        <v>1236</v>
      </c>
      <c r="P1218" s="9">
        <v>151159</v>
      </c>
      <c r="Q1218" s="9">
        <v>21402</v>
      </c>
      <c r="R1218" s="9">
        <v>172561</v>
      </c>
      <c r="S1218" s="9">
        <v>-69274</v>
      </c>
      <c r="T1218" s="10">
        <v>43727</v>
      </c>
      <c r="U1218" s="10">
        <v>784</v>
      </c>
    </row>
    <row r="1219" spans="1:21" x14ac:dyDescent="0.35">
      <c r="A1219" t="s">
        <v>15</v>
      </c>
      <c r="B1219" t="s">
        <v>20</v>
      </c>
      <c r="C1219" t="s">
        <v>17</v>
      </c>
      <c r="D1219">
        <v>278763</v>
      </c>
      <c r="E1219">
        <v>38685</v>
      </c>
      <c r="F1219">
        <v>63499</v>
      </c>
      <c r="G1219">
        <v>-234842</v>
      </c>
      <c r="H1219">
        <v>146105</v>
      </c>
      <c r="I1219">
        <v>147595</v>
      </c>
      <c r="J1219">
        <v>1762</v>
      </c>
      <c r="K1219">
        <v>994678</v>
      </c>
      <c r="L1219">
        <v>167087</v>
      </c>
      <c r="M1219">
        <v>-332941</v>
      </c>
      <c r="N1219">
        <v>170781</v>
      </c>
      <c r="O1219" t="s">
        <v>1237</v>
      </c>
      <c r="P1219" s="9">
        <v>170654</v>
      </c>
      <c r="Q1219" s="9">
        <v>26110</v>
      </c>
      <c r="R1219" s="9">
        <v>196764</v>
      </c>
      <c r="S1219" s="9">
        <v>-68640</v>
      </c>
      <c r="T1219" s="10">
        <v>75419</v>
      </c>
      <c r="U1219" s="10">
        <v>1208</v>
      </c>
    </row>
    <row r="1220" spans="1:21" x14ac:dyDescent="0.35">
      <c r="A1220" t="s">
        <v>15</v>
      </c>
      <c r="B1220" t="s">
        <v>20</v>
      </c>
      <c r="C1220" t="s">
        <v>17</v>
      </c>
      <c r="D1220">
        <v>223442</v>
      </c>
      <c r="E1220">
        <v>12696</v>
      </c>
      <c r="F1220">
        <v>45126</v>
      </c>
      <c r="G1220">
        <v>-215604</v>
      </c>
      <c r="H1220">
        <v>65660</v>
      </c>
      <c r="I1220">
        <v>67700</v>
      </c>
      <c r="J1220">
        <v>986</v>
      </c>
      <c r="K1220">
        <v>489767</v>
      </c>
      <c r="L1220">
        <v>136183</v>
      </c>
      <c r="M1220">
        <v>-50378</v>
      </c>
      <c r="N1220">
        <v>75540</v>
      </c>
      <c r="O1220" t="s">
        <v>1238</v>
      </c>
      <c r="P1220" s="9">
        <v>262212</v>
      </c>
      <c r="Q1220" s="9">
        <v>21418</v>
      </c>
      <c r="R1220" s="9">
        <v>283630</v>
      </c>
      <c r="S1220" s="9">
        <v>-125976</v>
      </c>
      <c r="T1220" s="10">
        <v>96188</v>
      </c>
      <c r="U1220" s="10">
        <v>2218</v>
      </c>
    </row>
    <row r="1221" spans="1:21" x14ac:dyDescent="0.35">
      <c r="A1221" t="s">
        <v>15</v>
      </c>
      <c r="B1221" t="s">
        <v>20</v>
      </c>
      <c r="C1221" t="s">
        <v>21</v>
      </c>
      <c r="D1221">
        <v>271457</v>
      </c>
      <c r="E1221">
        <v>41774</v>
      </c>
      <c r="F1221">
        <v>40133</v>
      </c>
      <c r="G1221">
        <v>-268630</v>
      </c>
      <c r="H1221">
        <v>84734</v>
      </c>
      <c r="I1221">
        <v>83141</v>
      </c>
      <c r="J1221">
        <v>2094</v>
      </c>
      <c r="K1221">
        <v>831861</v>
      </c>
      <c r="L1221">
        <v>299782</v>
      </c>
      <c r="M1221">
        <v>-161038</v>
      </c>
      <c r="N1221">
        <v>181987</v>
      </c>
      <c r="O1221" t="s">
        <v>1239</v>
      </c>
      <c r="P1221" s="9">
        <v>233248</v>
      </c>
      <c r="Q1221" s="9">
        <v>18513</v>
      </c>
      <c r="R1221" s="9">
        <v>251761</v>
      </c>
      <c r="S1221" s="9">
        <v>-121895</v>
      </c>
      <c r="T1221" s="10">
        <v>68797</v>
      </c>
      <c r="U1221" s="10">
        <v>1733</v>
      </c>
    </row>
    <row r="1222" spans="1:21" x14ac:dyDescent="0.35">
      <c r="A1222" t="s">
        <v>15</v>
      </c>
      <c r="B1222" t="s">
        <v>16</v>
      </c>
      <c r="C1222" t="s">
        <v>21</v>
      </c>
      <c r="D1222">
        <v>244667</v>
      </c>
      <c r="E1222">
        <v>18314</v>
      </c>
      <c r="F1222">
        <v>41618</v>
      </c>
      <c r="G1222">
        <v>-240984</v>
      </c>
      <c r="H1222">
        <v>63615</v>
      </c>
      <c r="I1222">
        <v>65049</v>
      </c>
      <c r="J1222">
        <v>946</v>
      </c>
      <c r="K1222">
        <v>775982</v>
      </c>
      <c r="L1222">
        <v>199407</v>
      </c>
      <c r="M1222">
        <v>-77862</v>
      </c>
      <c r="N1222">
        <v>133503</v>
      </c>
      <c r="O1222" t="s">
        <v>1240</v>
      </c>
      <c r="P1222" s="9">
        <v>188856</v>
      </c>
      <c r="Q1222" s="9">
        <v>23709</v>
      </c>
      <c r="R1222" s="9">
        <v>212565</v>
      </c>
      <c r="S1222" s="9">
        <v>-123917</v>
      </c>
      <c r="T1222" s="10">
        <v>65082</v>
      </c>
      <c r="U1222" s="10">
        <v>1734</v>
      </c>
    </row>
    <row r="1223" spans="1:21" x14ac:dyDescent="0.35">
      <c r="A1223" t="s">
        <v>15</v>
      </c>
      <c r="B1223" t="s">
        <v>16</v>
      </c>
      <c r="C1223" t="s">
        <v>17</v>
      </c>
      <c r="D1223">
        <v>232917</v>
      </c>
      <c r="E1223">
        <v>35266</v>
      </c>
      <c r="F1223">
        <v>26604</v>
      </c>
      <c r="G1223">
        <v>-206400</v>
      </c>
      <c r="H1223">
        <v>88387</v>
      </c>
      <c r="I1223">
        <v>89908</v>
      </c>
      <c r="J1223">
        <v>1054</v>
      </c>
      <c r="K1223">
        <v>842180</v>
      </c>
      <c r="L1223">
        <v>235746</v>
      </c>
      <c r="M1223">
        <v>-299562</v>
      </c>
      <c r="N1223">
        <v>164959</v>
      </c>
      <c r="O1223" t="s">
        <v>1241</v>
      </c>
      <c r="P1223" s="9">
        <v>223556</v>
      </c>
      <c r="Q1223" s="9">
        <v>38047</v>
      </c>
      <c r="R1223" s="9">
        <v>261603</v>
      </c>
      <c r="S1223" s="9">
        <v>-122353</v>
      </c>
      <c r="T1223" s="10">
        <v>89941</v>
      </c>
      <c r="U1223" s="10">
        <v>2377</v>
      </c>
    </row>
    <row r="1224" spans="1:21" x14ac:dyDescent="0.35">
      <c r="A1224" t="s">
        <v>15</v>
      </c>
      <c r="B1224" t="s">
        <v>16</v>
      </c>
      <c r="C1224" t="s">
        <v>21</v>
      </c>
      <c r="D1224">
        <v>183251</v>
      </c>
      <c r="E1224">
        <v>18304</v>
      </c>
      <c r="F1224">
        <v>23552</v>
      </c>
      <c r="G1224">
        <v>-163518</v>
      </c>
      <c r="H1224">
        <v>61589</v>
      </c>
      <c r="I1224">
        <v>57000</v>
      </c>
      <c r="J1224">
        <v>1497</v>
      </c>
      <c r="K1224">
        <v>455265</v>
      </c>
      <c r="L1224">
        <v>205169</v>
      </c>
      <c r="M1224">
        <v>-81702</v>
      </c>
      <c r="N1224">
        <v>143258</v>
      </c>
      <c r="O1224" t="s">
        <v>1242</v>
      </c>
      <c r="P1224" s="9">
        <v>154839</v>
      </c>
      <c r="Q1224" s="9">
        <v>29008</v>
      </c>
      <c r="R1224" s="9">
        <v>183847</v>
      </c>
      <c r="S1224" s="9">
        <v>-85479</v>
      </c>
      <c r="T1224" s="10">
        <v>71757</v>
      </c>
      <c r="U1224" s="10">
        <v>1636</v>
      </c>
    </row>
    <row r="1225" spans="1:21" x14ac:dyDescent="0.35">
      <c r="A1225" t="s">
        <v>15</v>
      </c>
      <c r="B1225" t="s">
        <v>16</v>
      </c>
      <c r="C1225" t="s">
        <v>21</v>
      </c>
      <c r="D1225">
        <v>202820</v>
      </c>
      <c r="E1225">
        <v>30675</v>
      </c>
      <c r="F1225">
        <v>25996</v>
      </c>
      <c r="G1225">
        <v>-186214</v>
      </c>
      <c r="H1225">
        <v>73277</v>
      </c>
      <c r="I1225">
        <v>71528</v>
      </c>
      <c r="J1225">
        <v>1259</v>
      </c>
      <c r="K1225">
        <v>603443</v>
      </c>
      <c r="L1225">
        <v>135056</v>
      </c>
      <c r="M1225">
        <v>-84723</v>
      </c>
      <c r="N1225">
        <v>129350</v>
      </c>
      <c r="O1225" t="s">
        <v>1243</v>
      </c>
      <c r="P1225" s="9">
        <v>186276</v>
      </c>
      <c r="Q1225" s="9">
        <v>15978</v>
      </c>
      <c r="R1225" s="9">
        <v>202254</v>
      </c>
      <c r="S1225" s="9">
        <v>-71150</v>
      </c>
      <c r="T1225" s="10">
        <v>46234</v>
      </c>
      <c r="U1225" s="10">
        <v>846</v>
      </c>
    </row>
    <row r="1226" spans="1:21" x14ac:dyDescent="0.35">
      <c r="A1226" t="s">
        <v>15</v>
      </c>
      <c r="B1226" t="s">
        <v>16</v>
      </c>
      <c r="C1226" t="s">
        <v>17</v>
      </c>
      <c r="D1226">
        <v>222156</v>
      </c>
      <c r="E1226">
        <v>18943</v>
      </c>
      <c r="F1226">
        <v>23412</v>
      </c>
      <c r="G1226">
        <v>-212080</v>
      </c>
      <c r="H1226">
        <v>52431</v>
      </c>
      <c r="I1226">
        <v>54614</v>
      </c>
      <c r="J1226">
        <v>1025</v>
      </c>
      <c r="K1226">
        <v>776548</v>
      </c>
      <c r="L1226">
        <v>204603</v>
      </c>
      <c r="M1226">
        <v>-290298</v>
      </c>
      <c r="N1226">
        <v>103549</v>
      </c>
      <c r="O1226" t="s">
        <v>1244</v>
      </c>
      <c r="P1226" s="9">
        <v>234447</v>
      </c>
      <c r="Q1226" s="9">
        <v>19632</v>
      </c>
      <c r="R1226" s="9">
        <v>254079</v>
      </c>
      <c r="S1226" s="9">
        <v>-115410</v>
      </c>
      <c r="T1226" s="10">
        <v>73071</v>
      </c>
      <c r="U1226" s="10">
        <v>896</v>
      </c>
    </row>
    <row r="1227" spans="1:21" x14ac:dyDescent="0.35">
      <c r="A1227" t="s">
        <v>15</v>
      </c>
      <c r="B1227" t="s">
        <v>16</v>
      </c>
      <c r="C1227" t="s">
        <v>21</v>
      </c>
      <c r="D1227">
        <v>221237</v>
      </c>
      <c r="E1227">
        <v>15175</v>
      </c>
      <c r="F1227">
        <v>26117</v>
      </c>
      <c r="G1227">
        <v>-187808</v>
      </c>
      <c r="H1227">
        <v>74721</v>
      </c>
      <c r="I1227">
        <v>69715</v>
      </c>
      <c r="J1227">
        <v>1409</v>
      </c>
      <c r="K1227">
        <v>545657</v>
      </c>
      <c r="L1227">
        <v>129533</v>
      </c>
      <c r="M1227">
        <v>-86092</v>
      </c>
      <c r="N1227">
        <v>184125</v>
      </c>
      <c r="O1227" t="s">
        <v>1245</v>
      </c>
      <c r="P1227" s="9">
        <v>299417</v>
      </c>
      <c r="Q1227" s="9">
        <v>52656</v>
      </c>
      <c r="R1227" s="9">
        <v>352073</v>
      </c>
      <c r="S1227" s="9">
        <v>-105480</v>
      </c>
      <c r="T1227" s="10">
        <v>145780</v>
      </c>
      <c r="U1227" s="10">
        <v>3095</v>
      </c>
    </row>
    <row r="1228" spans="1:21" x14ac:dyDescent="0.35">
      <c r="A1228" t="s">
        <v>15</v>
      </c>
      <c r="B1228" t="s">
        <v>16</v>
      </c>
      <c r="C1228" t="s">
        <v>21</v>
      </c>
      <c r="D1228">
        <v>192702</v>
      </c>
      <c r="E1228">
        <v>18858</v>
      </c>
      <c r="F1228">
        <v>40059</v>
      </c>
      <c r="G1228">
        <v>-178697</v>
      </c>
      <c r="H1228">
        <v>72922</v>
      </c>
      <c r="I1228">
        <v>66725</v>
      </c>
      <c r="J1228">
        <v>1076</v>
      </c>
      <c r="K1228">
        <v>402429</v>
      </c>
      <c r="L1228">
        <v>134421</v>
      </c>
      <c r="M1228">
        <v>-70825</v>
      </c>
      <c r="N1228">
        <v>151856</v>
      </c>
      <c r="O1228" t="s">
        <v>1246</v>
      </c>
      <c r="P1228" s="9">
        <v>274116</v>
      </c>
      <c r="Q1228" s="9">
        <v>22407</v>
      </c>
      <c r="R1228" s="9">
        <v>296523</v>
      </c>
      <c r="S1228" s="9">
        <v>-109206</v>
      </c>
      <c r="T1228" s="10">
        <v>93989</v>
      </c>
      <c r="U1228" s="10">
        <v>2148</v>
      </c>
    </row>
    <row r="1229" spans="1:21" x14ac:dyDescent="0.35">
      <c r="A1229" t="s">
        <v>15</v>
      </c>
      <c r="B1229" t="s">
        <v>20</v>
      </c>
      <c r="C1229" t="s">
        <v>21</v>
      </c>
      <c r="D1229">
        <v>216598</v>
      </c>
      <c r="E1229">
        <v>15916</v>
      </c>
      <c r="F1229">
        <v>29520</v>
      </c>
      <c r="G1229">
        <v>-174415</v>
      </c>
      <c r="H1229">
        <v>87619</v>
      </c>
      <c r="I1229">
        <v>91953</v>
      </c>
      <c r="J1229">
        <v>2255</v>
      </c>
      <c r="K1229">
        <v>669153</v>
      </c>
      <c r="L1229">
        <v>321334</v>
      </c>
      <c r="M1229">
        <v>-248124</v>
      </c>
      <c r="N1229">
        <v>171778</v>
      </c>
      <c r="O1229" t="s">
        <v>1247</v>
      </c>
      <c r="P1229" s="9">
        <v>249197</v>
      </c>
      <c r="Q1229" s="9">
        <v>34350</v>
      </c>
      <c r="R1229" s="9">
        <v>283547</v>
      </c>
      <c r="S1229" s="9">
        <v>-169288</v>
      </c>
      <c r="T1229" s="10">
        <v>94038</v>
      </c>
      <c r="U1229" s="10">
        <v>2610</v>
      </c>
    </row>
    <row r="1230" spans="1:21" x14ac:dyDescent="0.35">
      <c r="A1230" t="s">
        <v>15</v>
      </c>
      <c r="B1230" t="s">
        <v>16</v>
      </c>
      <c r="C1230" t="s">
        <v>21</v>
      </c>
      <c r="D1230">
        <v>279757</v>
      </c>
      <c r="E1230">
        <v>27335</v>
      </c>
      <c r="F1230">
        <v>69796</v>
      </c>
      <c r="G1230">
        <v>-256089</v>
      </c>
      <c r="H1230">
        <v>120799</v>
      </c>
      <c r="I1230">
        <v>113008</v>
      </c>
      <c r="J1230">
        <v>3390</v>
      </c>
      <c r="K1230">
        <v>959924</v>
      </c>
      <c r="L1230">
        <v>307141</v>
      </c>
      <c r="M1230">
        <v>-148564</v>
      </c>
      <c r="N1230">
        <v>238878</v>
      </c>
      <c r="O1230" t="s">
        <v>1248</v>
      </c>
      <c r="P1230" s="9">
        <v>231511</v>
      </c>
      <c r="Q1230" s="9">
        <v>42706</v>
      </c>
      <c r="R1230" s="9">
        <v>274217</v>
      </c>
      <c r="S1230" s="9">
        <v>-64716</v>
      </c>
      <c r="T1230" s="10">
        <v>116362</v>
      </c>
      <c r="U1230" s="10">
        <v>1684</v>
      </c>
    </row>
    <row r="1231" spans="1:21" x14ac:dyDescent="0.35">
      <c r="A1231" t="s">
        <v>15</v>
      </c>
      <c r="B1231" t="s">
        <v>16</v>
      </c>
      <c r="C1231" t="s">
        <v>21</v>
      </c>
      <c r="D1231">
        <v>187692</v>
      </c>
      <c r="E1231">
        <v>10558</v>
      </c>
      <c r="F1231">
        <v>27035</v>
      </c>
      <c r="G1231">
        <v>-183741</v>
      </c>
      <c r="H1231">
        <v>41544</v>
      </c>
      <c r="I1231">
        <v>38985</v>
      </c>
      <c r="J1231">
        <v>849</v>
      </c>
      <c r="K1231">
        <v>451428</v>
      </c>
      <c r="L1231">
        <v>224885</v>
      </c>
      <c r="M1231">
        <v>-116986</v>
      </c>
      <c r="N1231">
        <v>101894</v>
      </c>
      <c r="O1231" t="s">
        <v>1249</v>
      </c>
      <c r="P1231" s="9">
        <v>181814</v>
      </c>
      <c r="Q1231" s="9">
        <v>17551</v>
      </c>
      <c r="R1231" s="9">
        <v>199365</v>
      </c>
      <c r="S1231" s="9">
        <v>-115494</v>
      </c>
      <c r="T1231" s="10">
        <v>62143</v>
      </c>
      <c r="U1231" s="10">
        <v>1513</v>
      </c>
    </row>
    <row r="1232" spans="1:21" x14ac:dyDescent="0.35">
      <c r="A1232" t="s">
        <v>15</v>
      </c>
      <c r="B1232" t="s">
        <v>20</v>
      </c>
      <c r="C1232" t="s">
        <v>17</v>
      </c>
      <c r="D1232">
        <v>192414</v>
      </c>
      <c r="E1232">
        <v>38476</v>
      </c>
      <c r="F1232">
        <v>45811</v>
      </c>
      <c r="G1232">
        <v>-181764</v>
      </c>
      <c r="H1232">
        <v>94937</v>
      </c>
      <c r="I1232">
        <v>86068</v>
      </c>
      <c r="J1232">
        <v>1521</v>
      </c>
      <c r="K1232">
        <v>470386</v>
      </c>
      <c r="L1232">
        <v>180485</v>
      </c>
      <c r="M1232">
        <v>-53795</v>
      </c>
      <c r="N1232">
        <v>80316</v>
      </c>
      <c r="O1232" t="s">
        <v>1250</v>
      </c>
      <c r="P1232" s="9">
        <v>233542</v>
      </c>
      <c r="Q1232" s="9">
        <v>52670</v>
      </c>
      <c r="R1232" s="9">
        <v>286212</v>
      </c>
      <c r="S1232" s="9">
        <v>-76754</v>
      </c>
      <c r="T1232" s="10">
        <v>143621</v>
      </c>
      <c r="U1232" s="10">
        <v>3946</v>
      </c>
    </row>
    <row r="1233" spans="1:21" x14ac:dyDescent="0.35">
      <c r="A1233" t="s">
        <v>15</v>
      </c>
      <c r="B1233" t="s">
        <v>20</v>
      </c>
      <c r="C1233" t="s">
        <v>17</v>
      </c>
      <c r="D1233">
        <v>262898</v>
      </c>
      <c r="E1233">
        <v>32480</v>
      </c>
      <c r="F1233">
        <v>63829</v>
      </c>
      <c r="G1233">
        <v>-224982</v>
      </c>
      <c r="H1233">
        <v>134225</v>
      </c>
      <c r="I1233">
        <v>128143</v>
      </c>
      <c r="J1233">
        <v>1624</v>
      </c>
      <c r="K1233">
        <v>630163</v>
      </c>
      <c r="L1233">
        <v>240774</v>
      </c>
      <c r="M1233">
        <v>-208964</v>
      </c>
      <c r="N1233">
        <v>106939</v>
      </c>
      <c r="O1233" t="s">
        <v>1251</v>
      </c>
      <c r="P1233" s="9">
        <v>198523</v>
      </c>
      <c r="Q1233" s="9">
        <v>35133</v>
      </c>
      <c r="R1233" s="9">
        <v>233656</v>
      </c>
      <c r="S1233" s="9">
        <v>-113863</v>
      </c>
      <c r="T1233" s="10">
        <v>102162</v>
      </c>
      <c r="U1233" s="10">
        <v>2133</v>
      </c>
    </row>
    <row r="1234" spans="1:21" x14ac:dyDescent="0.35">
      <c r="A1234" t="s">
        <v>15</v>
      </c>
      <c r="B1234" t="s">
        <v>16</v>
      </c>
      <c r="C1234" t="s">
        <v>17</v>
      </c>
      <c r="D1234">
        <v>296424</v>
      </c>
      <c r="E1234">
        <v>21564</v>
      </c>
      <c r="F1234">
        <v>72878</v>
      </c>
      <c r="G1234">
        <v>-251057</v>
      </c>
      <c r="H1234">
        <v>139809</v>
      </c>
      <c r="I1234">
        <v>136335</v>
      </c>
      <c r="J1234">
        <v>1835</v>
      </c>
      <c r="K1234">
        <v>870951</v>
      </c>
      <c r="L1234">
        <v>232163</v>
      </c>
      <c r="M1234">
        <v>-88175</v>
      </c>
      <c r="N1234">
        <v>156113</v>
      </c>
      <c r="O1234" t="s">
        <v>1252</v>
      </c>
      <c r="P1234" s="9">
        <v>277931</v>
      </c>
      <c r="Q1234" s="9">
        <v>13890</v>
      </c>
      <c r="R1234" s="9">
        <v>291821</v>
      </c>
      <c r="S1234" s="9">
        <v>-157078</v>
      </c>
      <c r="T1234" s="10">
        <v>67027</v>
      </c>
      <c r="U1234" s="10">
        <v>1069</v>
      </c>
    </row>
    <row r="1235" spans="1:21" x14ac:dyDescent="0.35">
      <c r="A1235" t="s">
        <v>15</v>
      </c>
      <c r="B1235" t="s">
        <v>16</v>
      </c>
      <c r="C1235" t="s">
        <v>21</v>
      </c>
      <c r="D1235">
        <v>170478</v>
      </c>
      <c r="E1235">
        <v>25220</v>
      </c>
      <c r="F1235">
        <v>30188</v>
      </c>
      <c r="G1235">
        <v>-164826</v>
      </c>
      <c r="H1235">
        <v>61060</v>
      </c>
      <c r="I1235">
        <v>60586</v>
      </c>
      <c r="J1235">
        <v>865</v>
      </c>
      <c r="K1235">
        <v>442726</v>
      </c>
      <c r="L1235">
        <v>171486</v>
      </c>
      <c r="M1235">
        <v>-68991</v>
      </c>
      <c r="N1235">
        <v>105385</v>
      </c>
      <c r="O1235" t="s">
        <v>1253</v>
      </c>
      <c r="P1235" s="9">
        <v>200098</v>
      </c>
      <c r="Q1235" s="9">
        <v>40639</v>
      </c>
      <c r="R1235" s="9">
        <v>240737</v>
      </c>
      <c r="S1235" s="9">
        <v>-71371</v>
      </c>
      <c r="T1235" s="10">
        <v>105391</v>
      </c>
      <c r="U1235" s="10">
        <v>2568</v>
      </c>
    </row>
    <row r="1236" spans="1:21" x14ac:dyDescent="0.35">
      <c r="A1236" t="s">
        <v>15</v>
      </c>
      <c r="B1236" t="s">
        <v>16</v>
      </c>
      <c r="C1236" t="s">
        <v>17</v>
      </c>
      <c r="D1236">
        <v>197763</v>
      </c>
      <c r="E1236">
        <v>33875</v>
      </c>
      <c r="F1236">
        <v>45723</v>
      </c>
      <c r="G1236">
        <v>-166633</v>
      </c>
      <c r="H1236">
        <v>110728</v>
      </c>
      <c r="I1236">
        <v>110124</v>
      </c>
      <c r="J1236">
        <v>1787</v>
      </c>
      <c r="K1236">
        <v>635979</v>
      </c>
      <c r="L1236">
        <v>157228</v>
      </c>
      <c r="M1236">
        <v>-213000</v>
      </c>
      <c r="N1236">
        <v>143948</v>
      </c>
      <c r="O1236" t="s">
        <v>1254</v>
      </c>
      <c r="P1236" s="9">
        <v>226416</v>
      </c>
      <c r="Q1236" s="9">
        <v>21268</v>
      </c>
      <c r="R1236" s="9">
        <v>247684</v>
      </c>
      <c r="S1236" s="9">
        <v>-136325</v>
      </c>
      <c r="T1236" s="10">
        <v>85114</v>
      </c>
      <c r="U1236" s="10">
        <v>915</v>
      </c>
    </row>
    <row r="1237" spans="1:21" x14ac:dyDescent="0.35">
      <c r="A1237" t="s">
        <v>15</v>
      </c>
      <c r="B1237" t="s">
        <v>20</v>
      </c>
      <c r="C1237" t="s">
        <v>21</v>
      </c>
      <c r="D1237">
        <v>157863</v>
      </c>
      <c r="E1237">
        <v>25103</v>
      </c>
      <c r="F1237">
        <v>32458</v>
      </c>
      <c r="G1237">
        <v>-134538</v>
      </c>
      <c r="H1237">
        <v>80886</v>
      </c>
      <c r="I1237">
        <v>74670</v>
      </c>
      <c r="J1237">
        <v>1942</v>
      </c>
      <c r="K1237">
        <v>610480</v>
      </c>
      <c r="L1237">
        <v>216933</v>
      </c>
      <c r="M1237">
        <v>-101053</v>
      </c>
      <c r="N1237">
        <v>79310</v>
      </c>
      <c r="O1237" t="s">
        <v>1255</v>
      </c>
      <c r="P1237" s="9">
        <v>293683</v>
      </c>
      <c r="Q1237" s="9">
        <v>26040</v>
      </c>
      <c r="R1237" s="9">
        <v>319723</v>
      </c>
      <c r="S1237" s="9">
        <v>-144966</v>
      </c>
      <c r="T1237" s="10">
        <v>123968</v>
      </c>
      <c r="U1237" s="10">
        <v>2301</v>
      </c>
    </row>
    <row r="1238" spans="1:21" x14ac:dyDescent="0.35">
      <c r="A1238" t="s">
        <v>15</v>
      </c>
      <c r="B1238" t="s">
        <v>16</v>
      </c>
      <c r="C1238" t="s">
        <v>21</v>
      </c>
      <c r="D1238">
        <v>279245</v>
      </c>
      <c r="E1238">
        <v>50267</v>
      </c>
      <c r="F1238">
        <v>50437</v>
      </c>
      <c r="G1238">
        <v>-258928</v>
      </c>
      <c r="H1238">
        <v>121021</v>
      </c>
      <c r="I1238">
        <v>113487</v>
      </c>
      <c r="J1238">
        <v>2732</v>
      </c>
      <c r="K1238">
        <v>908363</v>
      </c>
      <c r="L1238">
        <v>283788</v>
      </c>
      <c r="M1238">
        <v>-153889</v>
      </c>
      <c r="N1238">
        <v>112415</v>
      </c>
      <c r="O1238" t="s">
        <v>1256</v>
      </c>
      <c r="P1238" s="9">
        <v>177702</v>
      </c>
      <c r="Q1238" s="9">
        <v>27359</v>
      </c>
      <c r="R1238" s="9">
        <v>205061</v>
      </c>
      <c r="S1238" s="9">
        <v>-65337</v>
      </c>
      <c r="T1238" s="10">
        <v>56605</v>
      </c>
      <c r="U1238" s="10">
        <v>1617</v>
      </c>
    </row>
    <row r="1239" spans="1:21" x14ac:dyDescent="0.35">
      <c r="A1239" t="s">
        <v>15</v>
      </c>
      <c r="B1239" t="s">
        <v>16</v>
      </c>
      <c r="C1239" t="s">
        <v>21</v>
      </c>
      <c r="D1239">
        <v>204599</v>
      </c>
      <c r="E1239">
        <v>14574</v>
      </c>
      <c r="F1239">
        <v>47859</v>
      </c>
      <c r="G1239">
        <v>-194315</v>
      </c>
      <c r="H1239">
        <v>72717</v>
      </c>
      <c r="I1239">
        <v>67089</v>
      </c>
      <c r="J1239">
        <v>1323</v>
      </c>
      <c r="K1239">
        <v>471456</v>
      </c>
      <c r="L1239">
        <v>105129</v>
      </c>
      <c r="M1239">
        <v>-186414</v>
      </c>
      <c r="N1239">
        <v>169989</v>
      </c>
      <c r="O1239" t="s">
        <v>1257</v>
      </c>
      <c r="P1239" s="9">
        <v>211926</v>
      </c>
      <c r="Q1239" s="9">
        <v>13539</v>
      </c>
      <c r="R1239" s="9">
        <v>225465</v>
      </c>
      <c r="S1239" s="9">
        <v>-60817</v>
      </c>
      <c r="T1239" s="10">
        <v>61876</v>
      </c>
      <c r="U1239" s="10">
        <v>1388</v>
      </c>
    </row>
    <row r="1240" spans="1:21" x14ac:dyDescent="0.35">
      <c r="A1240" t="s">
        <v>15</v>
      </c>
      <c r="B1240" t="s">
        <v>16</v>
      </c>
      <c r="C1240" t="s">
        <v>21</v>
      </c>
      <c r="D1240">
        <v>191203</v>
      </c>
      <c r="E1240">
        <v>22976</v>
      </c>
      <c r="F1240">
        <v>39363</v>
      </c>
      <c r="G1240">
        <v>-179064</v>
      </c>
      <c r="H1240">
        <v>74478</v>
      </c>
      <c r="I1240">
        <v>69989</v>
      </c>
      <c r="J1240">
        <v>2004</v>
      </c>
      <c r="K1240">
        <v>641744</v>
      </c>
      <c r="L1240">
        <v>128875</v>
      </c>
      <c r="M1240">
        <v>-162472</v>
      </c>
      <c r="N1240">
        <v>138697</v>
      </c>
      <c r="O1240" t="s">
        <v>1258</v>
      </c>
      <c r="P1240" s="9">
        <v>143949</v>
      </c>
      <c r="Q1240" s="9">
        <v>11333</v>
      </c>
      <c r="R1240" s="9">
        <v>155282</v>
      </c>
      <c r="S1240" s="9">
        <v>-59839</v>
      </c>
      <c r="T1240" s="10">
        <v>51841</v>
      </c>
      <c r="U1240" s="10">
        <v>1280</v>
      </c>
    </row>
    <row r="1241" spans="1:21" x14ac:dyDescent="0.35">
      <c r="A1241" t="s">
        <v>15</v>
      </c>
      <c r="B1241" t="s">
        <v>20</v>
      </c>
      <c r="C1241" t="s">
        <v>21</v>
      </c>
      <c r="D1241">
        <v>173013</v>
      </c>
      <c r="E1241">
        <v>11656</v>
      </c>
      <c r="F1241">
        <v>18434</v>
      </c>
      <c r="G1241">
        <v>-157646</v>
      </c>
      <c r="H1241">
        <v>45457</v>
      </c>
      <c r="I1241">
        <v>45874</v>
      </c>
      <c r="J1241">
        <v>513</v>
      </c>
      <c r="K1241">
        <v>494034</v>
      </c>
      <c r="L1241">
        <v>202389</v>
      </c>
      <c r="M1241">
        <v>-81805</v>
      </c>
      <c r="N1241">
        <v>68148</v>
      </c>
      <c r="O1241" t="s">
        <v>1259</v>
      </c>
      <c r="P1241" s="9">
        <v>313522</v>
      </c>
      <c r="Q1241" s="9">
        <v>44940</v>
      </c>
      <c r="R1241" s="9">
        <v>358462</v>
      </c>
      <c r="S1241" s="9">
        <v>-91921</v>
      </c>
      <c r="T1241" s="10">
        <v>108935</v>
      </c>
      <c r="U1241" s="10">
        <v>2262</v>
      </c>
    </row>
    <row r="1242" spans="1:21" x14ac:dyDescent="0.35">
      <c r="A1242" t="s">
        <v>15</v>
      </c>
      <c r="B1242" t="s">
        <v>16</v>
      </c>
      <c r="C1242" t="s">
        <v>21</v>
      </c>
      <c r="D1242">
        <v>199706</v>
      </c>
      <c r="E1242">
        <v>22759</v>
      </c>
      <c r="F1242">
        <v>24457</v>
      </c>
      <c r="G1242">
        <v>-199617</v>
      </c>
      <c r="H1242">
        <v>47305</v>
      </c>
      <c r="I1242">
        <v>44169</v>
      </c>
      <c r="J1242">
        <v>1112</v>
      </c>
      <c r="K1242">
        <v>488184</v>
      </c>
      <c r="L1242">
        <v>72566</v>
      </c>
      <c r="M1242">
        <v>-132094</v>
      </c>
      <c r="N1242">
        <v>120776</v>
      </c>
      <c r="O1242" t="s">
        <v>1260</v>
      </c>
      <c r="P1242" s="9">
        <v>199370</v>
      </c>
      <c r="Q1242" s="9">
        <v>32011</v>
      </c>
      <c r="R1242" s="9">
        <v>231381</v>
      </c>
      <c r="S1242" s="9">
        <v>-113064</v>
      </c>
      <c r="T1242" s="10">
        <v>112384</v>
      </c>
      <c r="U1242" s="10">
        <v>3132</v>
      </c>
    </row>
    <row r="1243" spans="1:21" x14ac:dyDescent="0.35">
      <c r="A1243" t="s">
        <v>15</v>
      </c>
      <c r="B1243" t="s">
        <v>20</v>
      </c>
      <c r="C1243" t="s">
        <v>21</v>
      </c>
      <c r="D1243">
        <v>165268</v>
      </c>
      <c r="E1243">
        <v>17550</v>
      </c>
      <c r="F1243">
        <v>39828</v>
      </c>
      <c r="G1243">
        <v>-136099</v>
      </c>
      <c r="H1243">
        <v>86547</v>
      </c>
      <c r="I1243">
        <v>89817</v>
      </c>
      <c r="J1243">
        <v>1830</v>
      </c>
      <c r="K1243">
        <v>558658</v>
      </c>
      <c r="L1243">
        <v>135076</v>
      </c>
      <c r="M1243">
        <v>-204967</v>
      </c>
      <c r="N1243">
        <v>127594</v>
      </c>
      <c r="O1243" t="s">
        <v>1261</v>
      </c>
      <c r="P1243" s="9">
        <v>178308</v>
      </c>
      <c r="Q1243" s="9">
        <v>34950</v>
      </c>
      <c r="R1243" s="9">
        <v>213258</v>
      </c>
      <c r="S1243" s="9">
        <v>-69817</v>
      </c>
      <c r="T1243" s="10">
        <v>86746</v>
      </c>
      <c r="U1243" s="10">
        <v>2390</v>
      </c>
    </row>
    <row r="1244" spans="1:21" x14ac:dyDescent="0.35">
      <c r="A1244" t="s">
        <v>15</v>
      </c>
      <c r="B1244" t="s">
        <v>16</v>
      </c>
      <c r="C1244" t="s">
        <v>21</v>
      </c>
      <c r="D1244">
        <v>231916</v>
      </c>
      <c r="E1244">
        <v>11998</v>
      </c>
      <c r="F1244">
        <v>43809</v>
      </c>
      <c r="G1244">
        <v>-194302</v>
      </c>
      <c r="H1244">
        <v>93421</v>
      </c>
      <c r="I1244">
        <v>85964</v>
      </c>
      <c r="J1244">
        <v>1897</v>
      </c>
      <c r="K1244">
        <v>676953</v>
      </c>
      <c r="L1244">
        <v>216756</v>
      </c>
      <c r="M1244">
        <v>-105625</v>
      </c>
      <c r="N1244">
        <v>79680</v>
      </c>
      <c r="O1244" t="s">
        <v>1262</v>
      </c>
      <c r="P1244" s="9">
        <v>196276</v>
      </c>
      <c r="Q1244" s="9">
        <v>38918</v>
      </c>
      <c r="R1244" s="9">
        <v>235194</v>
      </c>
      <c r="S1244" s="9">
        <v>-128427</v>
      </c>
      <c r="T1244" s="10">
        <v>73433</v>
      </c>
      <c r="U1244" s="10">
        <v>1079</v>
      </c>
    </row>
    <row r="1245" spans="1:21" x14ac:dyDescent="0.35">
      <c r="A1245" t="s">
        <v>15</v>
      </c>
      <c r="B1245" t="s">
        <v>16</v>
      </c>
      <c r="C1245" t="s">
        <v>21</v>
      </c>
      <c r="D1245">
        <v>227988</v>
      </c>
      <c r="E1245">
        <v>43456</v>
      </c>
      <c r="F1245">
        <v>34063</v>
      </c>
      <c r="G1245">
        <v>-197753</v>
      </c>
      <c r="H1245">
        <v>107754</v>
      </c>
      <c r="I1245">
        <v>99465</v>
      </c>
      <c r="J1245">
        <v>1963</v>
      </c>
      <c r="K1245">
        <v>535571</v>
      </c>
      <c r="L1245">
        <v>114138</v>
      </c>
      <c r="M1245">
        <v>-170753</v>
      </c>
      <c r="N1245">
        <v>201194</v>
      </c>
      <c r="O1245" t="s">
        <v>1263</v>
      </c>
      <c r="P1245" s="9">
        <v>226057</v>
      </c>
      <c r="Q1245" s="9">
        <v>19098</v>
      </c>
      <c r="R1245" s="9">
        <v>245155</v>
      </c>
      <c r="S1245" s="9">
        <v>-133489</v>
      </c>
      <c r="T1245" s="10">
        <v>67063</v>
      </c>
      <c r="U1245" s="10">
        <v>1465</v>
      </c>
    </row>
    <row r="1246" spans="1:21" x14ac:dyDescent="0.35">
      <c r="A1246" t="s">
        <v>15</v>
      </c>
      <c r="B1246" t="s">
        <v>20</v>
      </c>
      <c r="C1246" t="s">
        <v>17</v>
      </c>
      <c r="D1246">
        <v>219195</v>
      </c>
      <c r="E1246">
        <v>32215</v>
      </c>
      <c r="F1246">
        <v>40624</v>
      </c>
      <c r="G1246">
        <v>-211832</v>
      </c>
      <c r="H1246">
        <v>80202</v>
      </c>
      <c r="I1246">
        <v>75202</v>
      </c>
      <c r="J1246">
        <v>1669</v>
      </c>
      <c r="K1246">
        <v>681614</v>
      </c>
      <c r="L1246">
        <v>314143</v>
      </c>
      <c r="M1246">
        <v>-214393</v>
      </c>
      <c r="N1246">
        <v>187763</v>
      </c>
      <c r="O1246" t="s">
        <v>1264</v>
      </c>
      <c r="P1246" s="9">
        <v>198518</v>
      </c>
      <c r="Q1246" s="9">
        <v>14603</v>
      </c>
      <c r="R1246" s="9">
        <v>213121</v>
      </c>
      <c r="S1246" s="9">
        <v>-78875</v>
      </c>
      <c r="T1246" s="10">
        <v>61233</v>
      </c>
      <c r="U1246" s="10">
        <v>1701</v>
      </c>
    </row>
    <row r="1247" spans="1:21" x14ac:dyDescent="0.35">
      <c r="A1247" t="s">
        <v>15</v>
      </c>
      <c r="B1247" t="s">
        <v>20</v>
      </c>
      <c r="C1247" t="s">
        <v>21</v>
      </c>
      <c r="D1247">
        <v>173411</v>
      </c>
      <c r="E1247">
        <v>11599</v>
      </c>
      <c r="F1247">
        <v>23186</v>
      </c>
      <c r="G1247">
        <v>-173030</v>
      </c>
      <c r="H1247">
        <v>35166</v>
      </c>
      <c r="I1247">
        <v>33000</v>
      </c>
      <c r="J1247">
        <v>913</v>
      </c>
      <c r="K1247">
        <v>364100</v>
      </c>
      <c r="L1247">
        <v>65559</v>
      </c>
      <c r="M1247">
        <v>-93816</v>
      </c>
      <c r="N1247">
        <v>108047</v>
      </c>
      <c r="O1247" t="s">
        <v>1265</v>
      </c>
      <c r="P1247" s="9">
        <v>261215</v>
      </c>
      <c r="Q1247" s="9">
        <v>48965</v>
      </c>
      <c r="R1247" s="9">
        <v>310180</v>
      </c>
      <c r="S1247" s="9">
        <v>-125245</v>
      </c>
      <c r="T1247" s="10">
        <v>95069</v>
      </c>
      <c r="U1247" s="10">
        <v>1924</v>
      </c>
    </row>
    <row r="1248" spans="1:21" x14ac:dyDescent="0.35">
      <c r="A1248" t="s">
        <v>15</v>
      </c>
      <c r="B1248" t="s">
        <v>20</v>
      </c>
      <c r="C1248" t="s">
        <v>21</v>
      </c>
      <c r="D1248">
        <v>277259</v>
      </c>
      <c r="E1248">
        <v>33263</v>
      </c>
      <c r="F1248">
        <v>59958</v>
      </c>
      <c r="G1248">
        <v>-233109</v>
      </c>
      <c r="H1248">
        <v>137371</v>
      </c>
      <c r="I1248">
        <v>138833</v>
      </c>
      <c r="J1248">
        <v>2531</v>
      </c>
      <c r="K1248">
        <v>738830</v>
      </c>
      <c r="L1248">
        <v>238322</v>
      </c>
      <c r="M1248">
        <v>-283054</v>
      </c>
      <c r="N1248">
        <v>162318</v>
      </c>
      <c r="O1248" t="s">
        <v>1266</v>
      </c>
      <c r="P1248" s="9">
        <v>265963</v>
      </c>
      <c r="Q1248" s="9">
        <v>43422</v>
      </c>
      <c r="R1248" s="9">
        <v>309385</v>
      </c>
      <c r="S1248" s="9">
        <v>-172775</v>
      </c>
      <c r="T1248" s="10">
        <v>103779</v>
      </c>
      <c r="U1248" s="10">
        <v>2588</v>
      </c>
    </row>
    <row r="1249" spans="1:21" x14ac:dyDescent="0.35">
      <c r="A1249" t="s">
        <v>15</v>
      </c>
      <c r="B1249" t="s">
        <v>16</v>
      </c>
      <c r="C1249" t="s">
        <v>21</v>
      </c>
      <c r="D1249">
        <v>202918</v>
      </c>
      <c r="E1249">
        <v>30311</v>
      </c>
      <c r="F1249">
        <v>35965</v>
      </c>
      <c r="G1249">
        <v>-191551</v>
      </c>
      <c r="H1249">
        <v>77643</v>
      </c>
      <c r="I1249">
        <v>73046</v>
      </c>
      <c r="J1249">
        <v>890</v>
      </c>
      <c r="K1249">
        <v>593232</v>
      </c>
      <c r="L1249">
        <v>191393</v>
      </c>
      <c r="M1249">
        <v>-63777</v>
      </c>
      <c r="N1249">
        <v>65975</v>
      </c>
      <c r="O1249" t="s">
        <v>1267</v>
      </c>
      <c r="P1249" s="9">
        <v>166477</v>
      </c>
      <c r="Q1249" s="9">
        <v>13031</v>
      </c>
      <c r="R1249" s="9">
        <v>179508</v>
      </c>
      <c r="S1249" s="9">
        <v>-67580</v>
      </c>
      <c r="T1249" s="10">
        <v>74314</v>
      </c>
      <c r="U1249" s="10">
        <v>1555</v>
      </c>
    </row>
    <row r="1250" spans="1:21" x14ac:dyDescent="0.35">
      <c r="A1250" t="s">
        <v>15</v>
      </c>
      <c r="B1250" t="s">
        <v>20</v>
      </c>
      <c r="C1250" t="s">
        <v>17</v>
      </c>
      <c r="D1250">
        <v>277060</v>
      </c>
      <c r="E1250">
        <v>26671</v>
      </c>
      <c r="F1250">
        <v>40809</v>
      </c>
      <c r="G1250">
        <v>-235299</v>
      </c>
      <c r="H1250">
        <v>109241</v>
      </c>
      <c r="I1250">
        <v>110110</v>
      </c>
      <c r="J1250">
        <v>2083</v>
      </c>
      <c r="K1250">
        <v>736757</v>
      </c>
      <c r="L1250">
        <v>215127</v>
      </c>
      <c r="M1250">
        <v>-284638</v>
      </c>
      <c r="N1250">
        <v>195085</v>
      </c>
      <c r="O1250" t="s">
        <v>1268</v>
      </c>
      <c r="P1250" s="9">
        <v>268039</v>
      </c>
      <c r="Q1250" s="9">
        <v>36012</v>
      </c>
      <c r="R1250" s="9">
        <v>304051</v>
      </c>
      <c r="S1250" s="9">
        <v>-133201</v>
      </c>
      <c r="T1250" s="10">
        <v>102818</v>
      </c>
      <c r="U1250" s="10">
        <v>2540</v>
      </c>
    </row>
    <row r="1251" spans="1:21" x14ac:dyDescent="0.35">
      <c r="A1251" t="s">
        <v>15</v>
      </c>
      <c r="B1251" t="s">
        <v>16</v>
      </c>
      <c r="C1251" t="s">
        <v>21</v>
      </c>
      <c r="D1251">
        <v>234685</v>
      </c>
      <c r="E1251">
        <v>43929</v>
      </c>
      <c r="F1251">
        <v>26852</v>
      </c>
      <c r="G1251">
        <v>-190147</v>
      </c>
      <c r="H1251">
        <v>115319</v>
      </c>
      <c r="I1251">
        <v>113069</v>
      </c>
      <c r="J1251">
        <v>2165</v>
      </c>
      <c r="K1251">
        <v>719386</v>
      </c>
      <c r="L1251">
        <v>312195</v>
      </c>
      <c r="M1251">
        <v>-201886</v>
      </c>
      <c r="N1251">
        <v>204699</v>
      </c>
      <c r="O1251" t="s">
        <v>1269</v>
      </c>
      <c r="P1251" s="9">
        <v>281276</v>
      </c>
      <c r="Q1251" s="9">
        <v>20076</v>
      </c>
      <c r="R1251" s="9">
        <v>301352</v>
      </c>
      <c r="S1251" s="9">
        <v>-155231</v>
      </c>
      <c r="T1251" s="10">
        <v>95097</v>
      </c>
      <c r="U1251" s="10">
        <v>1191</v>
      </c>
    </row>
    <row r="1252" spans="1:21" x14ac:dyDescent="0.35">
      <c r="A1252" t="s">
        <v>15</v>
      </c>
      <c r="B1252" t="s">
        <v>16</v>
      </c>
      <c r="C1252" t="s">
        <v>17</v>
      </c>
      <c r="D1252">
        <v>191030</v>
      </c>
      <c r="E1252">
        <v>21567</v>
      </c>
      <c r="F1252">
        <v>24017</v>
      </c>
      <c r="G1252">
        <v>-166397</v>
      </c>
      <c r="H1252">
        <v>70217</v>
      </c>
      <c r="I1252">
        <v>73243</v>
      </c>
      <c r="J1252">
        <v>1903</v>
      </c>
      <c r="K1252">
        <v>558778</v>
      </c>
      <c r="L1252">
        <v>217990</v>
      </c>
      <c r="M1252">
        <v>-115527</v>
      </c>
      <c r="N1252">
        <v>162995</v>
      </c>
      <c r="O1252" t="s">
        <v>1270</v>
      </c>
      <c r="P1252" s="9">
        <v>211928</v>
      </c>
      <c r="Q1252" s="9">
        <v>39528</v>
      </c>
      <c r="R1252" s="9">
        <v>251456</v>
      </c>
      <c r="S1252" s="9">
        <v>-83551</v>
      </c>
      <c r="T1252" s="10">
        <v>75075</v>
      </c>
      <c r="U1252" s="10">
        <v>1428</v>
      </c>
    </row>
    <row r="1253" spans="1:21" x14ac:dyDescent="0.35">
      <c r="A1253" t="s">
        <v>15</v>
      </c>
      <c r="B1253" t="s">
        <v>20</v>
      </c>
      <c r="C1253" t="s">
        <v>21</v>
      </c>
      <c r="D1253">
        <v>238915</v>
      </c>
      <c r="E1253">
        <v>37063</v>
      </c>
      <c r="F1253">
        <v>40875</v>
      </c>
      <c r="G1253">
        <v>-236940</v>
      </c>
      <c r="H1253">
        <v>79913</v>
      </c>
      <c r="I1253">
        <v>80856</v>
      </c>
      <c r="J1253">
        <v>1775</v>
      </c>
      <c r="K1253">
        <v>489098</v>
      </c>
      <c r="L1253">
        <v>162929</v>
      </c>
      <c r="M1253">
        <v>-123843</v>
      </c>
      <c r="N1253">
        <v>180329</v>
      </c>
      <c r="O1253" t="s">
        <v>1271</v>
      </c>
      <c r="P1253" s="9">
        <v>268732</v>
      </c>
      <c r="Q1253" s="9">
        <v>46711</v>
      </c>
      <c r="R1253" s="9">
        <v>315443</v>
      </c>
      <c r="S1253" s="9">
        <v>-158691</v>
      </c>
      <c r="T1253" s="10">
        <v>86017</v>
      </c>
      <c r="U1253" s="10">
        <v>1361</v>
      </c>
    </row>
    <row r="1254" spans="1:21" x14ac:dyDescent="0.35">
      <c r="A1254" t="s">
        <v>15</v>
      </c>
      <c r="B1254" t="s">
        <v>20</v>
      </c>
      <c r="C1254" t="s">
        <v>21</v>
      </c>
      <c r="D1254">
        <v>177364</v>
      </c>
      <c r="E1254">
        <v>25082</v>
      </c>
      <c r="F1254">
        <v>39990</v>
      </c>
      <c r="G1254">
        <v>-169639</v>
      </c>
      <c r="H1254">
        <v>72797</v>
      </c>
      <c r="I1254">
        <v>74521</v>
      </c>
      <c r="J1254">
        <v>1642</v>
      </c>
      <c r="K1254">
        <v>505723</v>
      </c>
      <c r="L1254">
        <v>147288</v>
      </c>
      <c r="M1254">
        <v>-96153</v>
      </c>
      <c r="N1254">
        <v>117248</v>
      </c>
      <c r="O1254" t="s">
        <v>1272</v>
      </c>
      <c r="P1254" s="9">
        <v>209347</v>
      </c>
      <c r="Q1254" s="9">
        <v>33281</v>
      </c>
      <c r="R1254" s="9">
        <v>242628</v>
      </c>
      <c r="S1254" s="9">
        <v>-68018</v>
      </c>
      <c r="T1254" s="10">
        <v>96057</v>
      </c>
      <c r="U1254" s="10">
        <v>2828</v>
      </c>
    </row>
    <row r="1255" spans="1:21" x14ac:dyDescent="0.35">
      <c r="A1255" t="s">
        <v>15</v>
      </c>
      <c r="B1255" t="s">
        <v>16</v>
      </c>
      <c r="C1255" t="s">
        <v>17</v>
      </c>
      <c r="D1255">
        <v>229345</v>
      </c>
      <c r="E1255">
        <v>26329</v>
      </c>
      <c r="F1255">
        <v>33538</v>
      </c>
      <c r="G1255">
        <v>-227426</v>
      </c>
      <c r="H1255">
        <v>61786</v>
      </c>
      <c r="I1255">
        <v>58011</v>
      </c>
      <c r="J1255">
        <v>1033</v>
      </c>
      <c r="K1255">
        <v>816429</v>
      </c>
      <c r="L1255">
        <v>106621</v>
      </c>
      <c r="M1255">
        <v>-100809</v>
      </c>
      <c r="N1255">
        <v>202289</v>
      </c>
      <c r="O1255" t="s">
        <v>1273</v>
      </c>
      <c r="P1255" s="9">
        <v>255870</v>
      </c>
      <c r="Q1255" s="9">
        <v>18161</v>
      </c>
      <c r="R1255" s="9">
        <v>274031</v>
      </c>
      <c r="S1255" s="9">
        <v>-149910</v>
      </c>
      <c r="T1255" s="10">
        <v>46863</v>
      </c>
      <c r="U1255" s="10">
        <v>769</v>
      </c>
    </row>
    <row r="1256" spans="1:21" x14ac:dyDescent="0.35">
      <c r="A1256" t="s">
        <v>15</v>
      </c>
      <c r="B1256" t="s">
        <v>20</v>
      </c>
      <c r="C1256" t="s">
        <v>21</v>
      </c>
      <c r="D1256">
        <v>216913</v>
      </c>
      <c r="E1256">
        <v>37878</v>
      </c>
      <c r="F1256">
        <v>40109</v>
      </c>
      <c r="G1256">
        <v>-197210</v>
      </c>
      <c r="H1256">
        <v>97690</v>
      </c>
      <c r="I1256">
        <v>100617</v>
      </c>
      <c r="J1256">
        <v>2581</v>
      </c>
      <c r="K1256">
        <v>751253</v>
      </c>
      <c r="L1256">
        <v>118624</v>
      </c>
      <c r="M1256">
        <v>-173459</v>
      </c>
      <c r="N1256">
        <v>88411</v>
      </c>
      <c r="O1256" t="s">
        <v>1274</v>
      </c>
      <c r="P1256" s="9">
        <v>291749</v>
      </c>
      <c r="Q1256" s="9">
        <v>13575</v>
      </c>
      <c r="R1256" s="9">
        <v>305324</v>
      </c>
      <c r="S1256" s="9">
        <v>-63921</v>
      </c>
      <c r="T1256" s="10">
        <v>87992</v>
      </c>
      <c r="U1256" s="10">
        <v>1084</v>
      </c>
    </row>
    <row r="1257" spans="1:21" x14ac:dyDescent="0.35">
      <c r="A1257" t="s">
        <v>15</v>
      </c>
      <c r="B1257" t="s">
        <v>16</v>
      </c>
      <c r="C1257" t="s">
        <v>21</v>
      </c>
      <c r="D1257">
        <v>265764</v>
      </c>
      <c r="E1257">
        <v>26471</v>
      </c>
      <c r="F1257">
        <v>27582</v>
      </c>
      <c r="G1257">
        <v>-248293</v>
      </c>
      <c r="H1257">
        <v>71524</v>
      </c>
      <c r="I1257">
        <v>72859</v>
      </c>
      <c r="J1257">
        <v>803</v>
      </c>
      <c r="K1257">
        <v>978471</v>
      </c>
      <c r="L1257">
        <v>350337</v>
      </c>
      <c r="M1257">
        <v>-201794</v>
      </c>
      <c r="N1257">
        <v>164224</v>
      </c>
      <c r="O1257" t="s">
        <v>1275</v>
      </c>
      <c r="P1257" s="9">
        <v>174167</v>
      </c>
      <c r="Q1257" s="9">
        <v>21020</v>
      </c>
      <c r="R1257" s="9">
        <v>195187</v>
      </c>
      <c r="S1257" s="9">
        <v>-102944</v>
      </c>
      <c r="T1257" s="10">
        <v>72356</v>
      </c>
      <c r="U1257" s="10">
        <v>1433</v>
      </c>
    </row>
    <row r="1258" spans="1:21" x14ac:dyDescent="0.35">
      <c r="A1258" t="s">
        <v>15</v>
      </c>
      <c r="B1258" t="s">
        <v>16</v>
      </c>
      <c r="C1258" t="s">
        <v>21</v>
      </c>
      <c r="D1258">
        <v>177191</v>
      </c>
      <c r="E1258">
        <v>33246</v>
      </c>
      <c r="F1258">
        <v>30891</v>
      </c>
      <c r="G1258">
        <v>-152546</v>
      </c>
      <c r="H1258">
        <v>88782</v>
      </c>
      <c r="I1258">
        <v>82244</v>
      </c>
      <c r="J1258">
        <v>1406</v>
      </c>
      <c r="K1258">
        <v>476480</v>
      </c>
      <c r="L1258">
        <v>159789</v>
      </c>
      <c r="M1258">
        <v>-174040</v>
      </c>
      <c r="N1258">
        <v>57522</v>
      </c>
      <c r="O1258" t="s">
        <v>1276</v>
      </c>
      <c r="P1258" s="9">
        <v>196150</v>
      </c>
      <c r="Q1258" s="9">
        <v>12336</v>
      </c>
      <c r="R1258" s="9">
        <v>208486</v>
      </c>
      <c r="S1258" s="9">
        <v>-97961</v>
      </c>
      <c r="T1258" s="10">
        <v>66681</v>
      </c>
      <c r="U1258" s="10">
        <v>936</v>
      </c>
    </row>
    <row r="1259" spans="1:21" x14ac:dyDescent="0.35">
      <c r="A1259" t="s">
        <v>15</v>
      </c>
      <c r="B1259" t="s">
        <v>16</v>
      </c>
      <c r="C1259" t="s">
        <v>21</v>
      </c>
      <c r="D1259">
        <v>298474</v>
      </c>
      <c r="E1259">
        <v>43248</v>
      </c>
      <c r="F1259">
        <v>63340</v>
      </c>
      <c r="G1259">
        <v>-238937</v>
      </c>
      <c r="H1259">
        <v>166125</v>
      </c>
      <c r="I1259">
        <v>153487</v>
      </c>
      <c r="J1259">
        <v>1858</v>
      </c>
      <c r="K1259">
        <v>787007</v>
      </c>
      <c r="L1259">
        <v>321791</v>
      </c>
      <c r="M1259">
        <v>-274912</v>
      </c>
      <c r="N1259">
        <v>239735</v>
      </c>
      <c r="O1259" t="s">
        <v>1277</v>
      </c>
      <c r="P1259" s="9">
        <v>150526</v>
      </c>
      <c r="Q1259" s="9">
        <v>29017</v>
      </c>
      <c r="R1259" s="9">
        <v>179543</v>
      </c>
      <c r="S1259" s="9">
        <v>-41296</v>
      </c>
      <c r="T1259" s="10">
        <v>74275</v>
      </c>
      <c r="U1259" s="10">
        <v>1974</v>
      </c>
    </row>
    <row r="1260" spans="1:21" x14ac:dyDescent="0.35">
      <c r="A1260" t="s">
        <v>15</v>
      </c>
      <c r="B1260" t="s">
        <v>16</v>
      </c>
      <c r="C1260" t="s">
        <v>17</v>
      </c>
      <c r="D1260">
        <v>151425</v>
      </c>
      <c r="E1260">
        <v>28154</v>
      </c>
      <c r="F1260">
        <v>29798</v>
      </c>
      <c r="G1260">
        <v>-121149</v>
      </c>
      <c r="H1260">
        <v>88228</v>
      </c>
      <c r="I1260">
        <v>81667</v>
      </c>
      <c r="J1260">
        <v>1272</v>
      </c>
      <c r="K1260">
        <v>458352</v>
      </c>
      <c r="L1260">
        <v>210065</v>
      </c>
      <c r="M1260">
        <v>-112993</v>
      </c>
      <c r="N1260">
        <v>59412</v>
      </c>
      <c r="O1260" t="s">
        <v>1278</v>
      </c>
      <c r="P1260" s="9">
        <v>251477</v>
      </c>
      <c r="Q1260" s="9">
        <v>44031</v>
      </c>
      <c r="R1260" s="9">
        <v>295508</v>
      </c>
      <c r="S1260" s="9">
        <v>-96575</v>
      </c>
      <c r="T1260" s="10">
        <v>145127</v>
      </c>
      <c r="U1260" s="10">
        <v>2178</v>
      </c>
    </row>
    <row r="1261" spans="1:21" x14ac:dyDescent="0.35">
      <c r="A1261" t="s">
        <v>15</v>
      </c>
      <c r="B1261" t="s">
        <v>16</v>
      </c>
      <c r="C1261" t="s">
        <v>17</v>
      </c>
      <c r="D1261">
        <v>243768</v>
      </c>
      <c r="E1261">
        <v>27786</v>
      </c>
      <c r="F1261">
        <v>40864</v>
      </c>
      <c r="G1261">
        <v>-227125</v>
      </c>
      <c r="H1261">
        <v>85293</v>
      </c>
      <c r="I1261">
        <v>84851</v>
      </c>
      <c r="J1261">
        <v>2204</v>
      </c>
      <c r="K1261">
        <v>899922</v>
      </c>
      <c r="L1261">
        <v>299599</v>
      </c>
      <c r="M1261">
        <v>-320948</v>
      </c>
      <c r="N1261">
        <v>99009</v>
      </c>
      <c r="O1261" t="s">
        <v>1279</v>
      </c>
      <c r="P1261" s="9">
        <v>298698</v>
      </c>
      <c r="Q1261" s="9">
        <v>20816</v>
      </c>
      <c r="R1261" s="9">
        <v>319514</v>
      </c>
      <c r="S1261" s="9">
        <v>-165195</v>
      </c>
      <c r="T1261" s="10">
        <v>88167</v>
      </c>
      <c r="U1261" s="10">
        <v>1261</v>
      </c>
    </row>
    <row r="1262" spans="1:21" x14ac:dyDescent="0.35">
      <c r="A1262" t="s">
        <v>15</v>
      </c>
      <c r="B1262" t="s">
        <v>20</v>
      </c>
      <c r="C1262" t="s">
        <v>21</v>
      </c>
      <c r="D1262">
        <v>273661</v>
      </c>
      <c r="E1262">
        <v>48577</v>
      </c>
      <c r="F1262">
        <v>64628</v>
      </c>
      <c r="G1262">
        <v>-227597</v>
      </c>
      <c r="H1262">
        <v>159269</v>
      </c>
      <c r="I1262">
        <v>147775</v>
      </c>
      <c r="J1262">
        <v>2647</v>
      </c>
      <c r="K1262">
        <v>705431</v>
      </c>
      <c r="L1262">
        <v>228854</v>
      </c>
      <c r="M1262">
        <v>-255451</v>
      </c>
      <c r="N1262">
        <v>108259</v>
      </c>
      <c r="O1262" t="s">
        <v>1280</v>
      </c>
      <c r="P1262" s="9">
        <v>284731</v>
      </c>
      <c r="Q1262" s="9">
        <v>42020</v>
      </c>
      <c r="R1262" s="9">
        <v>326751</v>
      </c>
      <c r="S1262" s="9">
        <v>-85123</v>
      </c>
      <c r="T1262" s="10">
        <v>119808</v>
      </c>
      <c r="U1262" s="10">
        <v>3265</v>
      </c>
    </row>
    <row r="1263" spans="1:21" x14ac:dyDescent="0.35">
      <c r="A1263" t="s">
        <v>15</v>
      </c>
      <c r="B1263" t="s">
        <v>16</v>
      </c>
      <c r="C1263" t="s">
        <v>21</v>
      </c>
      <c r="D1263">
        <v>268006</v>
      </c>
      <c r="E1263">
        <v>45490</v>
      </c>
      <c r="F1263">
        <v>47125</v>
      </c>
      <c r="G1263">
        <v>-215299</v>
      </c>
      <c r="H1263">
        <v>145322</v>
      </c>
      <c r="I1263">
        <v>148831</v>
      </c>
      <c r="J1263">
        <v>1686</v>
      </c>
      <c r="K1263">
        <v>638445</v>
      </c>
      <c r="L1263">
        <v>274594</v>
      </c>
      <c r="M1263">
        <v>-138543</v>
      </c>
      <c r="N1263">
        <v>95157</v>
      </c>
      <c r="O1263" t="s">
        <v>1281</v>
      </c>
      <c r="P1263" s="9">
        <v>200353</v>
      </c>
      <c r="Q1263" s="9">
        <v>17687</v>
      </c>
      <c r="R1263" s="9">
        <v>218040</v>
      </c>
      <c r="S1263" s="9">
        <v>-83301</v>
      </c>
      <c r="T1263" s="10">
        <v>64267</v>
      </c>
      <c r="U1263" s="10">
        <v>1282</v>
      </c>
    </row>
    <row r="1264" spans="1:21" x14ac:dyDescent="0.35">
      <c r="A1264" t="s">
        <v>15</v>
      </c>
      <c r="B1264" t="s">
        <v>16</v>
      </c>
      <c r="C1264" t="s">
        <v>21</v>
      </c>
      <c r="D1264">
        <v>171225</v>
      </c>
      <c r="E1264">
        <v>30070</v>
      </c>
      <c r="F1264">
        <v>17247</v>
      </c>
      <c r="G1264">
        <v>-160074</v>
      </c>
      <c r="H1264">
        <v>58468</v>
      </c>
      <c r="I1264">
        <v>61186</v>
      </c>
      <c r="J1264">
        <v>1707</v>
      </c>
      <c r="K1264">
        <v>504012</v>
      </c>
      <c r="L1264">
        <v>97313</v>
      </c>
      <c r="M1264">
        <v>-155630</v>
      </c>
      <c r="N1264">
        <v>121332</v>
      </c>
      <c r="O1264" t="s">
        <v>1282</v>
      </c>
      <c r="P1264" s="9">
        <v>293115</v>
      </c>
      <c r="Q1264" s="9">
        <v>25924</v>
      </c>
      <c r="R1264" s="9">
        <v>319039</v>
      </c>
      <c r="S1264" s="9">
        <v>-96689</v>
      </c>
      <c r="T1264" s="10">
        <v>86594</v>
      </c>
      <c r="U1264" s="10">
        <v>940</v>
      </c>
    </row>
    <row r="1265" spans="1:21" x14ac:dyDescent="0.35">
      <c r="A1265" t="s">
        <v>15</v>
      </c>
      <c r="B1265" t="s">
        <v>20</v>
      </c>
      <c r="C1265" t="s">
        <v>17</v>
      </c>
      <c r="D1265">
        <v>293032</v>
      </c>
      <c r="E1265">
        <v>35340</v>
      </c>
      <c r="F1265">
        <v>30599</v>
      </c>
      <c r="G1265">
        <v>-292476</v>
      </c>
      <c r="H1265">
        <v>66495</v>
      </c>
      <c r="I1265">
        <v>67966</v>
      </c>
      <c r="J1265">
        <v>1728</v>
      </c>
      <c r="K1265">
        <v>788338</v>
      </c>
      <c r="L1265">
        <v>164010</v>
      </c>
      <c r="M1265">
        <v>-108777</v>
      </c>
      <c r="N1265">
        <v>215181</v>
      </c>
      <c r="O1265" t="s">
        <v>1283</v>
      </c>
      <c r="P1265" s="9">
        <v>193505</v>
      </c>
      <c r="Q1265" s="9">
        <v>22552</v>
      </c>
      <c r="R1265" s="9">
        <v>216057</v>
      </c>
      <c r="S1265" s="9">
        <v>-99961</v>
      </c>
      <c r="T1265" s="10">
        <v>70540</v>
      </c>
      <c r="U1265" s="10">
        <v>990</v>
      </c>
    </row>
    <row r="1266" spans="1:21" x14ac:dyDescent="0.35">
      <c r="A1266" t="s">
        <v>15</v>
      </c>
      <c r="B1266" t="s">
        <v>20</v>
      </c>
      <c r="C1266" t="s">
        <v>21</v>
      </c>
      <c r="D1266">
        <v>257873</v>
      </c>
      <c r="E1266">
        <v>36778</v>
      </c>
      <c r="F1266">
        <v>51640</v>
      </c>
      <c r="G1266">
        <v>-237749</v>
      </c>
      <c r="H1266">
        <v>108542</v>
      </c>
      <c r="I1266">
        <v>112613</v>
      </c>
      <c r="J1266">
        <v>2060</v>
      </c>
      <c r="K1266">
        <v>886928</v>
      </c>
      <c r="L1266">
        <v>277053</v>
      </c>
      <c r="M1266">
        <v>-115600</v>
      </c>
      <c r="N1266">
        <v>152937</v>
      </c>
      <c r="O1266" t="s">
        <v>1284</v>
      </c>
      <c r="P1266" s="9">
        <v>243226</v>
      </c>
      <c r="Q1266" s="9">
        <v>19192</v>
      </c>
      <c r="R1266" s="9">
        <v>262418</v>
      </c>
      <c r="S1266" s="9">
        <v>-149604</v>
      </c>
      <c r="T1266" s="10">
        <v>66136</v>
      </c>
      <c r="U1266" s="10">
        <v>1822</v>
      </c>
    </row>
    <row r="1267" spans="1:21" x14ac:dyDescent="0.35">
      <c r="A1267" t="s">
        <v>15</v>
      </c>
      <c r="B1267" t="s">
        <v>16</v>
      </c>
      <c r="C1267" t="s">
        <v>21</v>
      </c>
      <c r="D1267">
        <v>223495</v>
      </c>
      <c r="E1267">
        <v>42207</v>
      </c>
      <c r="F1267">
        <v>24821</v>
      </c>
      <c r="G1267">
        <v>-221285</v>
      </c>
      <c r="H1267">
        <v>69238</v>
      </c>
      <c r="I1267">
        <v>66991</v>
      </c>
      <c r="J1267">
        <v>1380</v>
      </c>
      <c r="K1267">
        <v>674013</v>
      </c>
      <c r="L1267">
        <v>157607</v>
      </c>
      <c r="M1267">
        <v>-219271</v>
      </c>
      <c r="N1267">
        <v>74961</v>
      </c>
      <c r="O1267" t="s">
        <v>1285</v>
      </c>
      <c r="P1267" s="9">
        <v>258222</v>
      </c>
      <c r="Q1267" s="9">
        <v>25380</v>
      </c>
      <c r="R1267" s="9">
        <v>283602</v>
      </c>
      <c r="S1267" s="9">
        <v>-144701</v>
      </c>
      <c r="T1267" s="10">
        <v>82120</v>
      </c>
      <c r="U1267" s="10">
        <v>1916</v>
      </c>
    </row>
    <row r="1268" spans="1:21" x14ac:dyDescent="0.35">
      <c r="A1268" t="s">
        <v>15</v>
      </c>
      <c r="B1268" t="s">
        <v>20</v>
      </c>
      <c r="C1268" t="s">
        <v>21</v>
      </c>
      <c r="D1268">
        <v>299992</v>
      </c>
      <c r="E1268">
        <v>55740</v>
      </c>
      <c r="F1268">
        <v>49352</v>
      </c>
      <c r="G1268">
        <v>-264098</v>
      </c>
      <c r="H1268">
        <v>140986</v>
      </c>
      <c r="I1268">
        <v>137167</v>
      </c>
      <c r="J1268">
        <v>2586</v>
      </c>
      <c r="K1268">
        <v>1001672</v>
      </c>
      <c r="L1268">
        <v>343335</v>
      </c>
      <c r="M1268">
        <v>-147840</v>
      </c>
      <c r="N1268">
        <v>129867</v>
      </c>
      <c r="O1268" t="s">
        <v>1286</v>
      </c>
      <c r="P1268" s="9">
        <v>163654</v>
      </c>
      <c r="Q1268" s="9">
        <v>31401</v>
      </c>
      <c r="R1268" s="9">
        <v>195055</v>
      </c>
      <c r="S1268" s="9">
        <v>-111300</v>
      </c>
      <c r="T1268" s="10">
        <v>79148</v>
      </c>
      <c r="U1268" s="10">
        <v>916</v>
      </c>
    </row>
    <row r="1269" spans="1:21" x14ac:dyDescent="0.35">
      <c r="A1269" t="s">
        <v>15</v>
      </c>
      <c r="B1269" t="s">
        <v>20</v>
      </c>
      <c r="C1269" t="s">
        <v>21</v>
      </c>
      <c r="D1269">
        <v>151817</v>
      </c>
      <c r="E1269">
        <v>22787</v>
      </c>
      <c r="F1269">
        <v>33780</v>
      </c>
      <c r="G1269">
        <v>-150690</v>
      </c>
      <c r="H1269">
        <v>57694</v>
      </c>
      <c r="I1269">
        <v>59939</v>
      </c>
      <c r="J1269">
        <v>723</v>
      </c>
      <c r="K1269">
        <v>584619</v>
      </c>
      <c r="L1269">
        <v>136177</v>
      </c>
      <c r="M1269">
        <v>-204075</v>
      </c>
      <c r="N1269">
        <v>69598</v>
      </c>
      <c r="O1269" t="s">
        <v>1287</v>
      </c>
      <c r="P1269" s="9">
        <v>230947</v>
      </c>
      <c r="Q1269" s="9">
        <v>21569</v>
      </c>
      <c r="R1269" s="9">
        <v>252516</v>
      </c>
      <c r="S1269" s="9">
        <v>-126955</v>
      </c>
      <c r="T1269" s="10">
        <v>104860</v>
      </c>
      <c r="U1269" s="10">
        <v>2047</v>
      </c>
    </row>
    <row r="1270" spans="1:21" x14ac:dyDescent="0.35">
      <c r="A1270" t="s">
        <v>15</v>
      </c>
      <c r="B1270" t="s">
        <v>16</v>
      </c>
      <c r="C1270" t="s">
        <v>17</v>
      </c>
      <c r="D1270">
        <v>284859</v>
      </c>
      <c r="E1270">
        <v>46654</v>
      </c>
      <c r="F1270">
        <v>69891</v>
      </c>
      <c r="G1270">
        <v>-280207</v>
      </c>
      <c r="H1270">
        <v>121197</v>
      </c>
      <c r="I1270">
        <v>126259</v>
      </c>
      <c r="J1270">
        <v>2102</v>
      </c>
      <c r="K1270">
        <v>1076884</v>
      </c>
      <c r="L1270">
        <v>478436</v>
      </c>
      <c r="M1270">
        <v>-409711</v>
      </c>
      <c r="N1270">
        <v>164441</v>
      </c>
      <c r="O1270" t="s">
        <v>1288</v>
      </c>
      <c r="P1270" s="9">
        <v>205139</v>
      </c>
      <c r="Q1270" s="9">
        <v>28495</v>
      </c>
      <c r="R1270" s="9">
        <v>233634</v>
      </c>
      <c r="S1270" s="9">
        <v>-137400</v>
      </c>
      <c r="T1270" s="10">
        <v>67921</v>
      </c>
      <c r="U1270" s="10">
        <v>1818</v>
      </c>
    </row>
    <row r="1271" spans="1:21" x14ac:dyDescent="0.35">
      <c r="A1271" t="s">
        <v>15</v>
      </c>
      <c r="B1271" t="s">
        <v>16</v>
      </c>
      <c r="C1271" t="s">
        <v>17</v>
      </c>
      <c r="D1271">
        <v>287049</v>
      </c>
      <c r="E1271">
        <v>30703</v>
      </c>
      <c r="F1271">
        <v>29162</v>
      </c>
      <c r="G1271">
        <v>-255405</v>
      </c>
      <c r="H1271">
        <v>91509</v>
      </c>
      <c r="I1271">
        <v>83493</v>
      </c>
      <c r="J1271">
        <v>1849</v>
      </c>
      <c r="K1271">
        <v>931879</v>
      </c>
      <c r="L1271">
        <v>340675</v>
      </c>
      <c r="M1271">
        <v>-251643</v>
      </c>
      <c r="N1271">
        <v>116064</v>
      </c>
      <c r="O1271" t="s">
        <v>1289</v>
      </c>
      <c r="P1271" s="9">
        <v>227887</v>
      </c>
      <c r="Q1271" s="9">
        <v>45128</v>
      </c>
      <c r="R1271" s="9">
        <v>273015</v>
      </c>
      <c r="S1271" s="9">
        <v>-107503</v>
      </c>
      <c r="T1271" s="10">
        <v>88416</v>
      </c>
      <c r="U1271" s="10">
        <v>1298</v>
      </c>
    </row>
    <row r="1272" spans="1:21" x14ac:dyDescent="0.35">
      <c r="A1272" t="s">
        <v>15</v>
      </c>
      <c r="B1272" t="s">
        <v>20</v>
      </c>
      <c r="C1272" t="s">
        <v>21</v>
      </c>
      <c r="D1272">
        <v>158164</v>
      </c>
      <c r="E1272">
        <v>11803</v>
      </c>
      <c r="F1272">
        <v>23169</v>
      </c>
      <c r="G1272">
        <v>-146659</v>
      </c>
      <c r="H1272">
        <v>46477</v>
      </c>
      <c r="I1272">
        <v>45678</v>
      </c>
      <c r="J1272">
        <v>948</v>
      </c>
      <c r="K1272">
        <v>322921</v>
      </c>
      <c r="L1272">
        <v>86690</v>
      </c>
      <c r="M1272">
        <v>-32689</v>
      </c>
      <c r="N1272">
        <v>70688</v>
      </c>
      <c r="O1272" t="s">
        <v>1290</v>
      </c>
      <c r="P1272" s="9">
        <v>241133</v>
      </c>
      <c r="Q1272" s="9">
        <v>17596</v>
      </c>
      <c r="R1272" s="9">
        <v>258729</v>
      </c>
      <c r="S1272" s="9">
        <v>-86951</v>
      </c>
      <c r="T1272" s="10">
        <v>75647</v>
      </c>
      <c r="U1272" s="10">
        <v>1980</v>
      </c>
    </row>
    <row r="1273" spans="1:21" x14ac:dyDescent="0.35">
      <c r="A1273" t="s">
        <v>15</v>
      </c>
      <c r="B1273" t="s">
        <v>16</v>
      </c>
      <c r="C1273" t="s">
        <v>21</v>
      </c>
      <c r="D1273">
        <v>178577</v>
      </c>
      <c r="E1273">
        <v>26628</v>
      </c>
      <c r="F1273">
        <v>31751</v>
      </c>
      <c r="G1273">
        <v>-162881</v>
      </c>
      <c r="H1273">
        <v>74075</v>
      </c>
      <c r="I1273">
        <v>70521</v>
      </c>
      <c r="J1273">
        <v>1397</v>
      </c>
      <c r="K1273">
        <v>702917</v>
      </c>
      <c r="L1273">
        <v>77687</v>
      </c>
      <c r="M1273">
        <v>-181736</v>
      </c>
      <c r="N1273">
        <v>100160</v>
      </c>
      <c r="O1273" t="s">
        <v>1291</v>
      </c>
      <c r="P1273" s="9">
        <v>183404</v>
      </c>
      <c r="Q1273" s="9">
        <v>30456</v>
      </c>
      <c r="R1273" s="9">
        <v>213860</v>
      </c>
      <c r="S1273" s="9">
        <v>-97773</v>
      </c>
      <c r="T1273" s="10">
        <v>83020</v>
      </c>
      <c r="U1273" s="10">
        <v>1707</v>
      </c>
    </row>
    <row r="1274" spans="1:21" x14ac:dyDescent="0.35">
      <c r="A1274" t="s">
        <v>15</v>
      </c>
      <c r="B1274" t="s">
        <v>20</v>
      </c>
      <c r="C1274" t="s">
        <v>17</v>
      </c>
      <c r="D1274">
        <v>160985</v>
      </c>
      <c r="E1274">
        <v>19601</v>
      </c>
      <c r="F1274">
        <v>38226</v>
      </c>
      <c r="G1274">
        <v>-130870</v>
      </c>
      <c r="H1274">
        <v>87942</v>
      </c>
      <c r="I1274">
        <v>91884</v>
      </c>
      <c r="J1274">
        <v>1865</v>
      </c>
      <c r="K1274">
        <v>485383</v>
      </c>
      <c r="L1274">
        <v>129638</v>
      </c>
      <c r="M1274">
        <v>-148261</v>
      </c>
      <c r="N1274">
        <v>125050</v>
      </c>
      <c r="O1274" t="s">
        <v>1292</v>
      </c>
      <c r="P1274" s="9">
        <v>251347</v>
      </c>
      <c r="Q1274" s="9">
        <v>32195</v>
      </c>
      <c r="R1274" s="9">
        <v>283542</v>
      </c>
      <c r="S1274" s="9">
        <v>-74404</v>
      </c>
      <c r="T1274" s="10">
        <v>114436</v>
      </c>
      <c r="U1274" s="10">
        <v>3185</v>
      </c>
    </row>
    <row r="1275" spans="1:21" x14ac:dyDescent="0.35">
      <c r="A1275" t="s">
        <v>15</v>
      </c>
      <c r="B1275" t="s">
        <v>16</v>
      </c>
      <c r="C1275" t="s">
        <v>17</v>
      </c>
      <c r="D1275">
        <v>157806</v>
      </c>
      <c r="E1275">
        <v>10772</v>
      </c>
      <c r="F1275">
        <v>35590</v>
      </c>
      <c r="G1275">
        <v>-145891</v>
      </c>
      <c r="H1275">
        <v>58277</v>
      </c>
      <c r="I1275">
        <v>52870</v>
      </c>
      <c r="J1275">
        <v>627</v>
      </c>
      <c r="K1275">
        <v>626821</v>
      </c>
      <c r="L1275">
        <v>248431</v>
      </c>
      <c r="M1275">
        <v>-129858</v>
      </c>
      <c r="N1275">
        <v>86826</v>
      </c>
      <c r="O1275" t="s">
        <v>1293</v>
      </c>
      <c r="P1275" s="9">
        <v>231536</v>
      </c>
      <c r="Q1275" s="9">
        <v>11117</v>
      </c>
      <c r="R1275" s="9">
        <v>242653</v>
      </c>
      <c r="S1275" s="9">
        <v>-83604</v>
      </c>
      <c r="T1275" s="10">
        <v>97713</v>
      </c>
      <c r="U1275" s="10">
        <v>2118</v>
      </c>
    </row>
    <row r="1276" spans="1:21" x14ac:dyDescent="0.35">
      <c r="A1276" t="s">
        <v>15</v>
      </c>
      <c r="B1276" t="s">
        <v>16</v>
      </c>
      <c r="C1276" t="s">
        <v>17</v>
      </c>
      <c r="D1276">
        <v>213280</v>
      </c>
      <c r="E1276">
        <v>35733</v>
      </c>
      <c r="F1276">
        <v>25003</v>
      </c>
      <c r="G1276">
        <v>-181601</v>
      </c>
      <c r="H1276">
        <v>92415</v>
      </c>
      <c r="I1276">
        <v>84365</v>
      </c>
      <c r="J1276">
        <v>2492</v>
      </c>
      <c r="K1276">
        <v>460933</v>
      </c>
      <c r="L1276">
        <v>84293</v>
      </c>
      <c r="M1276">
        <v>-129455</v>
      </c>
      <c r="N1276">
        <v>140138</v>
      </c>
      <c r="O1276" t="s">
        <v>1294</v>
      </c>
      <c r="P1276" s="9">
        <v>282993</v>
      </c>
      <c r="Q1276" s="9">
        <v>37434</v>
      </c>
      <c r="R1276" s="9">
        <v>320427</v>
      </c>
      <c r="S1276" s="9">
        <v>-162212</v>
      </c>
      <c r="T1276" s="10">
        <v>127807</v>
      </c>
      <c r="U1276" s="10">
        <v>1766</v>
      </c>
    </row>
    <row r="1277" spans="1:21" x14ac:dyDescent="0.35">
      <c r="A1277" t="s">
        <v>15</v>
      </c>
      <c r="B1277" t="s">
        <v>16</v>
      </c>
      <c r="C1277" t="s">
        <v>21</v>
      </c>
      <c r="D1277">
        <v>188913</v>
      </c>
      <c r="E1277">
        <v>12521</v>
      </c>
      <c r="F1277">
        <v>38104</v>
      </c>
      <c r="G1277">
        <v>-151866</v>
      </c>
      <c r="H1277">
        <v>87672</v>
      </c>
      <c r="I1277">
        <v>85402</v>
      </c>
      <c r="J1277">
        <v>2217</v>
      </c>
      <c r="K1277">
        <v>408629</v>
      </c>
      <c r="L1277">
        <v>148612</v>
      </c>
      <c r="M1277">
        <v>-60837</v>
      </c>
      <c r="N1277">
        <v>110222</v>
      </c>
      <c r="O1277" t="s">
        <v>1295</v>
      </c>
      <c r="P1277" s="9">
        <v>260974</v>
      </c>
      <c r="Q1277" s="9">
        <v>16650</v>
      </c>
      <c r="R1277" s="9">
        <v>277624</v>
      </c>
      <c r="S1277" s="9">
        <v>-104388</v>
      </c>
      <c r="T1277" s="10">
        <v>79661</v>
      </c>
      <c r="U1277" s="10">
        <v>808</v>
      </c>
    </row>
    <row r="1278" spans="1:21" x14ac:dyDescent="0.35">
      <c r="A1278" t="s">
        <v>15</v>
      </c>
      <c r="B1278" t="s">
        <v>20</v>
      </c>
      <c r="C1278" t="s">
        <v>21</v>
      </c>
      <c r="D1278">
        <v>255555</v>
      </c>
      <c r="E1278">
        <v>24064</v>
      </c>
      <c r="F1278">
        <v>57351</v>
      </c>
      <c r="G1278">
        <v>-253492</v>
      </c>
      <c r="H1278">
        <v>83478</v>
      </c>
      <c r="I1278">
        <v>81109</v>
      </c>
      <c r="J1278">
        <v>1307</v>
      </c>
      <c r="K1278">
        <v>558155</v>
      </c>
      <c r="L1278">
        <v>215746</v>
      </c>
      <c r="M1278">
        <v>-133629</v>
      </c>
      <c r="N1278">
        <v>200282</v>
      </c>
      <c r="O1278" t="s">
        <v>1296</v>
      </c>
      <c r="P1278" s="9">
        <v>214290</v>
      </c>
      <c r="Q1278" s="9">
        <v>15035</v>
      </c>
      <c r="R1278" s="9">
        <v>229325</v>
      </c>
      <c r="S1278" s="9">
        <v>-62995</v>
      </c>
      <c r="T1278" s="10">
        <v>61587</v>
      </c>
      <c r="U1278" s="10">
        <v>1549</v>
      </c>
    </row>
    <row r="1279" spans="1:21" x14ac:dyDescent="0.35">
      <c r="A1279" t="s">
        <v>15</v>
      </c>
      <c r="B1279" t="s">
        <v>16</v>
      </c>
      <c r="C1279" t="s">
        <v>21</v>
      </c>
      <c r="D1279">
        <v>154006</v>
      </c>
      <c r="E1279">
        <v>28289</v>
      </c>
      <c r="F1279">
        <v>16006</v>
      </c>
      <c r="G1279">
        <v>-151730</v>
      </c>
      <c r="H1279">
        <v>46571</v>
      </c>
      <c r="I1279">
        <v>47185</v>
      </c>
      <c r="J1279">
        <v>891</v>
      </c>
      <c r="K1279">
        <v>615778</v>
      </c>
      <c r="L1279">
        <v>270389</v>
      </c>
      <c r="M1279">
        <v>-227192</v>
      </c>
      <c r="N1279">
        <v>128792</v>
      </c>
      <c r="O1279" t="s">
        <v>1297</v>
      </c>
      <c r="P1279" s="9">
        <v>256663</v>
      </c>
      <c r="Q1279" s="9">
        <v>15852</v>
      </c>
      <c r="R1279" s="9">
        <v>272515</v>
      </c>
      <c r="S1279" s="9">
        <v>-104196</v>
      </c>
      <c r="T1279" s="10">
        <v>107162</v>
      </c>
      <c r="U1279" s="10">
        <v>2016</v>
      </c>
    </row>
    <row r="1280" spans="1:21" x14ac:dyDescent="0.35">
      <c r="A1280" t="s">
        <v>15</v>
      </c>
      <c r="B1280" t="s">
        <v>20</v>
      </c>
      <c r="C1280" t="s">
        <v>17</v>
      </c>
      <c r="D1280">
        <v>177886</v>
      </c>
      <c r="E1280">
        <v>21683</v>
      </c>
      <c r="F1280">
        <v>32141</v>
      </c>
      <c r="G1280">
        <v>-174353</v>
      </c>
      <c r="H1280">
        <v>57357</v>
      </c>
      <c r="I1280">
        <v>52054</v>
      </c>
      <c r="J1280">
        <v>632</v>
      </c>
      <c r="K1280">
        <v>556460</v>
      </c>
      <c r="L1280">
        <v>149133</v>
      </c>
      <c r="M1280">
        <v>-87550</v>
      </c>
      <c r="N1280">
        <v>108924</v>
      </c>
      <c r="O1280" t="s">
        <v>1298</v>
      </c>
      <c r="P1280" s="9">
        <v>248168</v>
      </c>
      <c r="Q1280" s="9">
        <v>46754</v>
      </c>
      <c r="R1280" s="9">
        <v>294922</v>
      </c>
      <c r="S1280" s="9">
        <v>-143546</v>
      </c>
      <c r="T1280" s="10">
        <v>132088</v>
      </c>
      <c r="U1280" s="10">
        <v>2742</v>
      </c>
    </row>
    <row r="1281" spans="1:21" x14ac:dyDescent="0.35">
      <c r="A1281" t="s">
        <v>15</v>
      </c>
      <c r="B1281" t="s">
        <v>16</v>
      </c>
      <c r="C1281" t="s">
        <v>21</v>
      </c>
      <c r="D1281">
        <v>150521</v>
      </c>
      <c r="E1281">
        <v>24710</v>
      </c>
      <c r="F1281">
        <v>26991</v>
      </c>
      <c r="G1281">
        <v>-149257</v>
      </c>
      <c r="H1281">
        <v>52965</v>
      </c>
      <c r="I1281">
        <v>53639</v>
      </c>
      <c r="J1281">
        <v>1585</v>
      </c>
      <c r="K1281">
        <v>514224</v>
      </c>
      <c r="L1281">
        <v>188581</v>
      </c>
      <c r="M1281">
        <v>-97658</v>
      </c>
      <c r="N1281">
        <v>98291</v>
      </c>
      <c r="O1281" t="s">
        <v>1299</v>
      </c>
      <c r="P1281" s="9">
        <v>193673</v>
      </c>
      <c r="Q1281" s="9">
        <v>12458</v>
      </c>
      <c r="R1281" s="9">
        <v>206131</v>
      </c>
      <c r="S1281" s="9">
        <v>-84114</v>
      </c>
      <c r="T1281" s="10">
        <v>37372</v>
      </c>
      <c r="U1281" s="10">
        <v>423</v>
      </c>
    </row>
    <row r="1282" spans="1:21" x14ac:dyDescent="0.35">
      <c r="A1282" t="s">
        <v>15</v>
      </c>
      <c r="B1282" t="s">
        <v>20</v>
      </c>
      <c r="C1282" t="s">
        <v>21</v>
      </c>
      <c r="D1282">
        <v>243751</v>
      </c>
      <c r="E1282">
        <v>33310</v>
      </c>
      <c r="F1282">
        <v>32703</v>
      </c>
      <c r="G1282">
        <v>-243450</v>
      </c>
      <c r="H1282">
        <v>66314</v>
      </c>
      <c r="I1282">
        <v>62368</v>
      </c>
      <c r="J1282">
        <v>1468</v>
      </c>
      <c r="K1282">
        <v>577648</v>
      </c>
      <c r="L1282">
        <v>196273</v>
      </c>
      <c r="M1282">
        <v>-96158</v>
      </c>
      <c r="N1282">
        <v>206143</v>
      </c>
      <c r="O1282" t="s">
        <v>1300</v>
      </c>
      <c r="P1282" s="9">
        <v>248399</v>
      </c>
      <c r="Q1282" s="9">
        <v>33301</v>
      </c>
      <c r="R1282" s="9">
        <v>281700</v>
      </c>
      <c r="S1282" s="9">
        <v>-74843</v>
      </c>
      <c r="T1282" s="10">
        <v>98895</v>
      </c>
      <c r="U1282" s="10">
        <v>1575</v>
      </c>
    </row>
    <row r="1283" spans="1:21" x14ac:dyDescent="0.35">
      <c r="A1283" t="s">
        <v>15</v>
      </c>
      <c r="B1283" t="s">
        <v>16</v>
      </c>
      <c r="C1283" t="s">
        <v>21</v>
      </c>
      <c r="D1283">
        <v>291505</v>
      </c>
      <c r="E1283">
        <v>40166</v>
      </c>
      <c r="F1283">
        <v>48033</v>
      </c>
      <c r="G1283">
        <v>-246198</v>
      </c>
      <c r="H1283">
        <v>133506</v>
      </c>
      <c r="I1283">
        <v>122549</v>
      </c>
      <c r="J1283">
        <v>1296</v>
      </c>
      <c r="K1283">
        <v>925698</v>
      </c>
      <c r="L1283">
        <v>452241</v>
      </c>
      <c r="M1283">
        <v>-356130</v>
      </c>
      <c r="N1283">
        <v>230445</v>
      </c>
      <c r="O1283" t="s">
        <v>1301</v>
      </c>
      <c r="P1283" s="9">
        <v>244622</v>
      </c>
      <c r="Q1283" s="9">
        <v>56307</v>
      </c>
      <c r="R1283" s="9">
        <v>300929</v>
      </c>
      <c r="S1283" s="9">
        <v>-78965</v>
      </c>
      <c r="T1283" s="10">
        <v>126792</v>
      </c>
      <c r="U1283" s="10">
        <v>3291</v>
      </c>
    </row>
    <row r="1284" spans="1:21" x14ac:dyDescent="0.35">
      <c r="A1284" t="s">
        <v>15</v>
      </c>
      <c r="B1284" t="s">
        <v>20</v>
      </c>
      <c r="C1284" t="s">
        <v>21</v>
      </c>
      <c r="D1284">
        <v>190163</v>
      </c>
      <c r="E1284">
        <v>37509</v>
      </c>
      <c r="F1284">
        <v>27488</v>
      </c>
      <c r="G1284">
        <v>-158424</v>
      </c>
      <c r="H1284">
        <v>96736</v>
      </c>
      <c r="I1284">
        <v>92120</v>
      </c>
      <c r="J1284">
        <v>1277</v>
      </c>
      <c r="K1284">
        <v>405231</v>
      </c>
      <c r="L1284">
        <v>53726</v>
      </c>
      <c r="M1284">
        <v>-127248</v>
      </c>
      <c r="N1284">
        <v>98557</v>
      </c>
      <c r="O1284" t="s">
        <v>1302</v>
      </c>
      <c r="P1284" s="9">
        <v>202305</v>
      </c>
      <c r="Q1284" s="9">
        <v>43809</v>
      </c>
      <c r="R1284" s="9">
        <v>246114</v>
      </c>
      <c r="S1284" s="9">
        <v>-63879</v>
      </c>
      <c r="T1284" s="10">
        <v>104919</v>
      </c>
      <c r="U1284" s="10">
        <v>1581</v>
      </c>
    </row>
    <row r="1285" spans="1:21" x14ac:dyDescent="0.35">
      <c r="A1285" t="s">
        <v>15</v>
      </c>
      <c r="B1285" t="s">
        <v>16</v>
      </c>
      <c r="C1285" t="s">
        <v>21</v>
      </c>
      <c r="D1285">
        <v>155040</v>
      </c>
      <c r="E1285">
        <v>30767</v>
      </c>
      <c r="F1285">
        <v>38320</v>
      </c>
      <c r="G1285">
        <v>-137570</v>
      </c>
      <c r="H1285">
        <v>86557</v>
      </c>
      <c r="I1285">
        <v>81966</v>
      </c>
      <c r="J1285">
        <v>1553</v>
      </c>
      <c r="K1285">
        <v>323259</v>
      </c>
      <c r="L1285">
        <v>107619</v>
      </c>
      <c r="M1285">
        <v>-37871</v>
      </c>
      <c r="N1285">
        <v>128751</v>
      </c>
      <c r="O1285" t="s">
        <v>1303</v>
      </c>
      <c r="P1285" s="9">
        <v>283218</v>
      </c>
      <c r="Q1285" s="9">
        <v>43580</v>
      </c>
      <c r="R1285" s="9">
        <v>326798</v>
      </c>
      <c r="S1285" s="9">
        <v>-117774</v>
      </c>
      <c r="T1285" s="10">
        <v>151798</v>
      </c>
      <c r="U1285" s="10">
        <v>3671</v>
      </c>
    </row>
    <row r="1286" spans="1:21" x14ac:dyDescent="0.35">
      <c r="A1286" t="s">
        <v>15</v>
      </c>
      <c r="B1286" t="s">
        <v>16</v>
      </c>
      <c r="C1286" t="s">
        <v>21</v>
      </c>
      <c r="D1286">
        <v>237537</v>
      </c>
      <c r="E1286">
        <v>29571</v>
      </c>
      <c r="F1286">
        <v>25050</v>
      </c>
      <c r="G1286">
        <v>-228649</v>
      </c>
      <c r="H1286">
        <v>63509</v>
      </c>
      <c r="I1286">
        <v>60846</v>
      </c>
      <c r="J1286">
        <v>865</v>
      </c>
      <c r="K1286">
        <v>941798</v>
      </c>
      <c r="L1286">
        <v>245397</v>
      </c>
      <c r="M1286">
        <v>-346270</v>
      </c>
      <c r="N1286">
        <v>104389</v>
      </c>
      <c r="O1286" t="s">
        <v>1304</v>
      </c>
      <c r="P1286" s="9">
        <v>216427</v>
      </c>
      <c r="Q1286" s="9">
        <v>40536</v>
      </c>
      <c r="R1286" s="9">
        <v>256963</v>
      </c>
      <c r="S1286" s="9">
        <v>-107857</v>
      </c>
      <c r="T1286" s="10">
        <v>79483</v>
      </c>
      <c r="U1286" s="10">
        <v>2357</v>
      </c>
    </row>
    <row r="1287" spans="1:21" x14ac:dyDescent="0.35">
      <c r="A1287" t="s">
        <v>15</v>
      </c>
      <c r="B1287" t="s">
        <v>16</v>
      </c>
      <c r="C1287" t="s">
        <v>21</v>
      </c>
      <c r="D1287">
        <v>200813</v>
      </c>
      <c r="E1287">
        <v>23389</v>
      </c>
      <c r="F1287">
        <v>27976</v>
      </c>
      <c r="G1287">
        <v>-193680</v>
      </c>
      <c r="H1287">
        <v>58498</v>
      </c>
      <c r="I1287">
        <v>53322</v>
      </c>
      <c r="J1287">
        <v>1282</v>
      </c>
      <c r="K1287">
        <v>644412</v>
      </c>
      <c r="L1287">
        <v>264926</v>
      </c>
      <c r="M1287">
        <v>-164671</v>
      </c>
      <c r="N1287">
        <v>118240</v>
      </c>
      <c r="O1287" t="s">
        <v>1305</v>
      </c>
      <c r="P1287" s="9">
        <v>176417</v>
      </c>
      <c r="Q1287" s="9">
        <v>34331</v>
      </c>
      <c r="R1287" s="9">
        <v>210748</v>
      </c>
      <c r="S1287" s="9">
        <v>-114893</v>
      </c>
      <c r="T1287" s="10">
        <v>67083</v>
      </c>
      <c r="U1287" s="10">
        <v>1845</v>
      </c>
    </row>
    <row r="1288" spans="1:21" x14ac:dyDescent="0.35">
      <c r="A1288" t="s">
        <v>15</v>
      </c>
      <c r="B1288" t="s">
        <v>16</v>
      </c>
      <c r="C1288" t="s">
        <v>21</v>
      </c>
      <c r="D1288">
        <v>178804</v>
      </c>
      <c r="E1288">
        <v>20354</v>
      </c>
      <c r="F1288">
        <v>30854</v>
      </c>
      <c r="G1288">
        <v>-161299</v>
      </c>
      <c r="H1288">
        <v>68713</v>
      </c>
      <c r="I1288">
        <v>62865</v>
      </c>
      <c r="J1288">
        <v>1865</v>
      </c>
      <c r="K1288">
        <v>574648</v>
      </c>
      <c r="L1288">
        <v>122976</v>
      </c>
      <c r="M1288">
        <v>-143599</v>
      </c>
      <c r="N1288">
        <v>151397</v>
      </c>
      <c r="O1288" t="s">
        <v>1306</v>
      </c>
      <c r="P1288" s="9">
        <v>177725</v>
      </c>
      <c r="Q1288" s="9">
        <v>15193</v>
      </c>
      <c r="R1288" s="9">
        <v>192918</v>
      </c>
      <c r="S1288" s="9">
        <v>-112100</v>
      </c>
      <c r="T1288" s="10">
        <v>67285</v>
      </c>
      <c r="U1288" s="10">
        <v>1732</v>
      </c>
    </row>
    <row r="1289" spans="1:21" x14ac:dyDescent="0.35">
      <c r="A1289" t="s">
        <v>15</v>
      </c>
      <c r="B1289" t="s">
        <v>16</v>
      </c>
      <c r="C1289" t="s">
        <v>21</v>
      </c>
      <c r="D1289">
        <v>243218</v>
      </c>
      <c r="E1289">
        <v>27488</v>
      </c>
      <c r="F1289">
        <v>40929</v>
      </c>
      <c r="G1289">
        <v>-216335</v>
      </c>
      <c r="H1289">
        <v>95300</v>
      </c>
      <c r="I1289">
        <v>90722</v>
      </c>
      <c r="J1289">
        <v>908</v>
      </c>
      <c r="K1289">
        <v>836219</v>
      </c>
      <c r="L1289">
        <v>146945</v>
      </c>
      <c r="M1289">
        <v>-157349</v>
      </c>
      <c r="N1289">
        <v>192596</v>
      </c>
      <c r="O1289" t="s">
        <v>1307</v>
      </c>
      <c r="P1289" s="9">
        <v>273785</v>
      </c>
      <c r="Q1289" s="9">
        <v>40814</v>
      </c>
      <c r="R1289" s="9">
        <v>314599</v>
      </c>
      <c r="S1289" s="9">
        <v>-135231</v>
      </c>
      <c r="T1289" s="10">
        <v>113494</v>
      </c>
      <c r="U1289" s="10">
        <v>1425</v>
      </c>
    </row>
    <row r="1290" spans="1:21" x14ac:dyDescent="0.35">
      <c r="A1290" t="s">
        <v>15</v>
      </c>
      <c r="B1290" t="s">
        <v>20</v>
      </c>
      <c r="C1290" t="s">
        <v>21</v>
      </c>
      <c r="D1290">
        <v>240824</v>
      </c>
      <c r="E1290">
        <v>33687</v>
      </c>
      <c r="F1290">
        <v>53493</v>
      </c>
      <c r="G1290">
        <v>-215014</v>
      </c>
      <c r="H1290">
        <v>112990</v>
      </c>
      <c r="I1290">
        <v>102900</v>
      </c>
      <c r="J1290">
        <v>2749</v>
      </c>
      <c r="K1290">
        <v>647875</v>
      </c>
      <c r="L1290">
        <v>176329</v>
      </c>
      <c r="M1290">
        <v>-125909</v>
      </c>
      <c r="N1290">
        <v>192436</v>
      </c>
      <c r="O1290" t="s">
        <v>1308</v>
      </c>
      <c r="P1290" s="9">
        <v>267831</v>
      </c>
      <c r="Q1290" s="9">
        <v>52440</v>
      </c>
      <c r="R1290" s="9">
        <v>320271</v>
      </c>
      <c r="S1290" s="9">
        <v>-110531</v>
      </c>
      <c r="T1290" s="10">
        <v>125048</v>
      </c>
      <c r="U1290" s="10">
        <v>1820</v>
      </c>
    </row>
    <row r="1291" spans="1:21" x14ac:dyDescent="0.35">
      <c r="A1291" t="s">
        <v>15</v>
      </c>
      <c r="B1291" t="s">
        <v>20</v>
      </c>
      <c r="C1291" t="s">
        <v>21</v>
      </c>
      <c r="D1291">
        <v>239863</v>
      </c>
      <c r="E1291">
        <v>30298</v>
      </c>
      <c r="F1291">
        <v>43390</v>
      </c>
      <c r="G1291">
        <v>-197084</v>
      </c>
      <c r="H1291">
        <v>116467</v>
      </c>
      <c r="I1291">
        <v>107611</v>
      </c>
      <c r="J1291">
        <v>2498</v>
      </c>
      <c r="K1291">
        <v>663323</v>
      </c>
      <c r="L1291">
        <v>277321</v>
      </c>
      <c r="M1291">
        <v>-86938</v>
      </c>
      <c r="N1291">
        <v>110414</v>
      </c>
      <c r="O1291" t="s">
        <v>1309</v>
      </c>
      <c r="P1291" s="9">
        <v>249392</v>
      </c>
      <c r="Q1291" s="9">
        <v>39915</v>
      </c>
      <c r="R1291" s="9">
        <v>289307</v>
      </c>
      <c r="S1291" s="9">
        <v>-113529</v>
      </c>
      <c r="T1291" s="10">
        <v>117582</v>
      </c>
      <c r="U1291" s="10">
        <v>1415</v>
      </c>
    </row>
    <row r="1292" spans="1:21" x14ac:dyDescent="0.35">
      <c r="A1292" t="s">
        <v>15</v>
      </c>
      <c r="B1292" t="s">
        <v>20</v>
      </c>
      <c r="C1292" t="s">
        <v>21</v>
      </c>
      <c r="D1292">
        <v>288309</v>
      </c>
      <c r="E1292">
        <v>28909</v>
      </c>
      <c r="F1292">
        <v>37831</v>
      </c>
      <c r="G1292">
        <v>-286910</v>
      </c>
      <c r="H1292">
        <v>68139</v>
      </c>
      <c r="I1292">
        <v>70285</v>
      </c>
      <c r="J1292">
        <v>2065</v>
      </c>
      <c r="K1292">
        <v>959917</v>
      </c>
      <c r="L1292">
        <v>346905</v>
      </c>
      <c r="M1292">
        <v>-370244</v>
      </c>
      <c r="N1292">
        <v>234850</v>
      </c>
      <c r="O1292" t="s">
        <v>1310</v>
      </c>
      <c r="P1292" s="9">
        <v>193175</v>
      </c>
      <c r="Q1292" s="9">
        <v>34440</v>
      </c>
      <c r="R1292" s="9">
        <v>227615</v>
      </c>
      <c r="S1292" s="9">
        <v>-135515</v>
      </c>
      <c r="T1292" s="10">
        <v>101196</v>
      </c>
      <c r="U1292" s="10">
        <v>2825</v>
      </c>
    </row>
    <row r="1293" spans="1:21" x14ac:dyDescent="0.35">
      <c r="A1293" t="s">
        <v>15</v>
      </c>
      <c r="B1293" t="s">
        <v>16</v>
      </c>
      <c r="C1293" t="s">
        <v>21</v>
      </c>
      <c r="D1293">
        <v>261543</v>
      </c>
      <c r="E1293">
        <v>45743</v>
      </c>
      <c r="F1293">
        <v>60528</v>
      </c>
      <c r="G1293">
        <v>-257094</v>
      </c>
      <c r="H1293">
        <v>110720</v>
      </c>
      <c r="I1293">
        <v>103997</v>
      </c>
      <c r="J1293">
        <v>2316</v>
      </c>
      <c r="K1293">
        <v>957424</v>
      </c>
      <c r="L1293">
        <v>202616</v>
      </c>
      <c r="M1293">
        <v>-161985</v>
      </c>
      <c r="N1293">
        <v>170309</v>
      </c>
      <c r="O1293" t="s">
        <v>1311</v>
      </c>
      <c r="P1293" s="9">
        <v>196361</v>
      </c>
      <c r="Q1293" s="9">
        <v>44936</v>
      </c>
      <c r="R1293" s="9">
        <v>241297</v>
      </c>
      <c r="S1293" s="9">
        <v>-139438</v>
      </c>
      <c r="T1293" s="10">
        <v>74754</v>
      </c>
      <c r="U1293" s="10">
        <v>824</v>
      </c>
    </row>
    <row r="1294" spans="1:21" x14ac:dyDescent="0.35">
      <c r="A1294" t="s">
        <v>15</v>
      </c>
      <c r="B1294" t="s">
        <v>16</v>
      </c>
      <c r="C1294" t="s">
        <v>21</v>
      </c>
      <c r="D1294">
        <v>156323</v>
      </c>
      <c r="E1294">
        <v>23641</v>
      </c>
      <c r="F1294">
        <v>27115</v>
      </c>
      <c r="G1294">
        <v>-155062</v>
      </c>
      <c r="H1294">
        <v>52017</v>
      </c>
      <c r="I1294">
        <v>48073</v>
      </c>
      <c r="J1294">
        <v>1141</v>
      </c>
      <c r="K1294">
        <v>568615</v>
      </c>
      <c r="L1294">
        <v>105684</v>
      </c>
      <c r="M1294">
        <v>-209348</v>
      </c>
      <c r="N1294">
        <v>127963</v>
      </c>
      <c r="O1294" t="s">
        <v>1312</v>
      </c>
      <c r="P1294" s="9">
        <v>242008</v>
      </c>
      <c r="Q1294" s="9">
        <v>34411</v>
      </c>
      <c r="R1294" s="9">
        <v>276419</v>
      </c>
      <c r="S1294" s="9">
        <v>-149324</v>
      </c>
      <c r="T1294" s="10">
        <v>95012</v>
      </c>
      <c r="U1294" s="10">
        <v>1200</v>
      </c>
    </row>
    <row r="1295" spans="1:21" x14ac:dyDescent="0.35">
      <c r="A1295" t="s">
        <v>15</v>
      </c>
      <c r="B1295" t="s">
        <v>16</v>
      </c>
      <c r="C1295" t="s">
        <v>21</v>
      </c>
      <c r="D1295">
        <v>240485</v>
      </c>
      <c r="E1295">
        <v>30648</v>
      </c>
      <c r="F1295">
        <v>57944</v>
      </c>
      <c r="G1295">
        <v>-203711</v>
      </c>
      <c r="H1295">
        <v>125366</v>
      </c>
      <c r="I1295">
        <v>113854</v>
      </c>
      <c r="J1295">
        <v>2271</v>
      </c>
      <c r="K1295">
        <v>492716</v>
      </c>
      <c r="L1295">
        <v>244983</v>
      </c>
      <c r="M1295">
        <v>-135188</v>
      </c>
      <c r="N1295">
        <v>201085</v>
      </c>
      <c r="O1295" t="s">
        <v>1313</v>
      </c>
      <c r="P1295" s="9">
        <v>146396</v>
      </c>
      <c r="Q1295" s="9">
        <v>15946</v>
      </c>
      <c r="R1295" s="9">
        <v>162342</v>
      </c>
      <c r="S1295" s="9">
        <v>-82246</v>
      </c>
      <c r="T1295" s="10">
        <v>49588</v>
      </c>
      <c r="U1295" s="10">
        <v>1053</v>
      </c>
    </row>
    <row r="1296" spans="1:21" x14ac:dyDescent="0.35">
      <c r="A1296" t="s">
        <v>15</v>
      </c>
      <c r="B1296" t="s">
        <v>20</v>
      </c>
      <c r="C1296" t="s">
        <v>21</v>
      </c>
      <c r="D1296">
        <v>255674</v>
      </c>
      <c r="E1296">
        <v>16459</v>
      </c>
      <c r="F1296">
        <v>48145</v>
      </c>
      <c r="G1296">
        <v>-236635</v>
      </c>
      <c r="H1296">
        <v>83643</v>
      </c>
      <c r="I1296">
        <v>86192</v>
      </c>
      <c r="J1296">
        <v>2366</v>
      </c>
      <c r="K1296">
        <v>513868</v>
      </c>
      <c r="L1296">
        <v>59882</v>
      </c>
      <c r="M1296">
        <v>-134051</v>
      </c>
      <c r="N1296">
        <v>170887</v>
      </c>
      <c r="O1296" t="s">
        <v>1314</v>
      </c>
      <c r="P1296" s="9">
        <v>291519</v>
      </c>
      <c r="Q1296" s="9">
        <v>47832</v>
      </c>
      <c r="R1296" s="9">
        <v>339351</v>
      </c>
      <c r="S1296" s="9">
        <v>-82690</v>
      </c>
      <c r="T1296" s="10">
        <v>124796</v>
      </c>
      <c r="U1296" s="10">
        <v>2678</v>
      </c>
    </row>
    <row r="1297" spans="1:21" x14ac:dyDescent="0.35">
      <c r="A1297" t="s">
        <v>15</v>
      </c>
      <c r="B1297" t="s">
        <v>20</v>
      </c>
      <c r="C1297" t="s">
        <v>17</v>
      </c>
      <c r="D1297">
        <v>193327</v>
      </c>
      <c r="E1297">
        <v>34809</v>
      </c>
      <c r="F1297">
        <v>31723</v>
      </c>
      <c r="G1297">
        <v>-156112</v>
      </c>
      <c r="H1297">
        <v>103747</v>
      </c>
      <c r="I1297">
        <v>102011</v>
      </c>
      <c r="J1297">
        <v>2124</v>
      </c>
      <c r="K1297">
        <v>726920</v>
      </c>
      <c r="L1297">
        <v>215856</v>
      </c>
      <c r="M1297">
        <v>-134969</v>
      </c>
      <c r="N1297">
        <v>152969</v>
      </c>
      <c r="O1297" t="s">
        <v>1315</v>
      </c>
      <c r="P1297" s="9">
        <v>245659</v>
      </c>
      <c r="Q1297" s="9">
        <v>15726</v>
      </c>
      <c r="R1297" s="9">
        <v>261385</v>
      </c>
      <c r="S1297" s="9">
        <v>-134972</v>
      </c>
      <c r="T1297" s="10">
        <v>48183</v>
      </c>
      <c r="U1297" s="10">
        <v>1139</v>
      </c>
    </row>
    <row r="1298" spans="1:21" x14ac:dyDescent="0.35">
      <c r="A1298" t="s">
        <v>15</v>
      </c>
      <c r="B1298" t="s">
        <v>20</v>
      </c>
      <c r="C1298" t="s">
        <v>21</v>
      </c>
      <c r="D1298">
        <v>201170</v>
      </c>
      <c r="E1298">
        <v>39809</v>
      </c>
      <c r="F1298">
        <v>29787</v>
      </c>
      <c r="G1298">
        <v>-171414</v>
      </c>
      <c r="H1298">
        <v>99352</v>
      </c>
      <c r="I1298">
        <v>103833</v>
      </c>
      <c r="J1298">
        <v>2872</v>
      </c>
      <c r="K1298">
        <v>412118</v>
      </c>
      <c r="L1298">
        <v>48617</v>
      </c>
      <c r="M1298">
        <v>-56896</v>
      </c>
      <c r="N1298">
        <v>90750</v>
      </c>
      <c r="O1298" t="s">
        <v>1316</v>
      </c>
      <c r="P1298" s="9">
        <v>216451</v>
      </c>
      <c r="Q1298" s="9">
        <v>33282</v>
      </c>
      <c r="R1298" s="9">
        <v>249733</v>
      </c>
      <c r="S1298" s="9">
        <v>-142202</v>
      </c>
      <c r="T1298" s="10">
        <v>91419</v>
      </c>
      <c r="U1298" s="10">
        <v>2177</v>
      </c>
    </row>
    <row r="1299" spans="1:21" x14ac:dyDescent="0.35">
      <c r="A1299" t="s">
        <v>15</v>
      </c>
      <c r="B1299" t="s">
        <v>20</v>
      </c>
      <c r="C1299" t="s">
        <v>21</v>
      </c>
      <c r="D1299">
        <v>232701</v>
      </c>
      <c r="E1299">
        <v>32812</v>
      </c>
      <c r="F1299">
        <v>47923</v>
      </c>
      <c r="G1299">
        <v>-211659</v>
      </c>
      <c r="H1299">
        <v>101777</v>
      </c>
      <c r="I1299">
        <v>96981</v>
      </c>
      <c r="J1299">
        <v>2255</v>
      </c>
      <c r="K1299">
        <v>831740</v>
      </c>
      <c r="L1299">
        <v>289666</v>
      </c>
      <c r="M1299">
        <v>-107787</v>
      </c>
      <c r="N1299">
        <v>208205</v>
      </c>
      <c r="O1299" t="s">
        <v>1317</v>
      </c>
      <c r="P1299" s="9">
        <v>209412</v>
      </c>
      <c r="Q1299" s="9">
        <v>24853</v>
      </c>
      <c r="R1299" s="9">
        <v>234265</v>
      </c>
      <c r="S1299" s="9">
        <v>-133364</v>
      </c>
      <c r="T1299" s="10">
        <v>62633</v>
      </c>
      <c r="U1299" s="10">
        <v>1756</v>
      </c>
    </row>
    <row r="1300" spans="1:21" x14ac:dyDescent="0.35">
      <c r="A1300" t="s">
        <v>15</v>
      </c>
      <c r="B1300" t="s">
        <v>16</v>
      </c>
      <c r="C1300" t="s">
        <v>21</v>
      </c>
      <c r="D1300">
        <v>195323</v>
      </c>
      <c r="E1300">
        <v>17292</v>
      </c>
      <c r="F1300">
        <v>23164</v>
      </c>
      <c r="G1300">
        <v>-190056</v>
      </c>
      <c r="H1300">
        <v>45723</v>
      </c>
      <c r="I1300">
        <v>42572</v>
      </c>
      <c r="J1300">
        <v>820</v>
      </c>
      <c r="K1300">
        <v>469821</v>
      </c>
      <c r="L1300">
        <v>217363</v>
      </c>
      <c r="M1300">
        <v>-54937</v>
      </c>
      <c r="N1300">
        <v>65716</v>
      </c>
      <c r="O1300" t="s">
        <v>1318</v>
      </c>
      <c r="P1300" s="9">
        <v>278075</v>
      </c>
      <c r="Q1300" s="9">
        <v>20542</v>
      </c>
      <c r="R1300" s="9">
        <v>298617</v>
      </c>
      <c r="S1300" s="9">
        <v>-177650</v>
      </c>
      <c r="T1300" s="10">
        <v>100292</v>
      </c>
      <c r="U1300" s="10">
        <v>2380</v>
      </c>
    </row>
    <row r="1301" spans="1:21" x14ac:dyDescent="0.35">
      <c r="A1301" t="s">
        <v>15</v>
      </c>
      <c r="B1301" t="s">
        <v>16</v>
      </c>
      <c r="C1301" t="s">
        <v>21</v>
      </c>
      <c r="D1301">
        <v>247329</v>
      </c>
      <c r="E1301">
        <v>23256</v>
      </c>
      <c r="F1301">
        <v>25280</v>
      </c>
      <c r="G1301">
        <v>-245946</v>
      </c>
      <c r="H1301">
        <v>49919</v>
      </c>
      <c r="I1301">
        <v>50208</v>
      </c>
      <c r="J1301">
        <v>1296</v>
      </c>
      <c r="K1301">
        <v>979326</v>
      </c>
      <c r="L1301">
        <v>176601</v>
      </c>
      <c r="M1301">
        <v>-204045</v>
      </c>
      <c r="N1301">
        <v>158611</v>
      </c>
      <c r="O1301" t="s">
        <v>1319</v>
      </c>
      <c r="P1301" s="9">
        <v>209498</v>
      </c>
      <c r="Q1301" s="9">
        <v>23191</v>
      </c>
      <c r="R1301" s="9">
        <v>232689</v>
      </c>
      <c r="S1301" s="9">
        <v>-109442</v>
      </c>
      <c r="T1301" s="10">
        <v>122406</v>
      </c>
      <c r="U1301" s="10">
        <v>2810</v>
      </c>
    </row>
    <row r="1302" spans="1:21" x14ac:dyDescent="0.35">
      <c r="A1302" t="s">
        <v>15</v>
      </c>
      <c r="B1302" t="s">
        <v>20</v>
      </c>
      <c r="C1302" t="s">
        <v>17</v>
      </c>
      <c r="D1302">
        <v>165890</v>
      </c>
      <c r="E1302">
        <v>10739</v>
      </c>
      <c r="F1302">
        <v>22675</v>
      </c>
      <c r="G1302">
        <v>-150510</v>
      </c>
      <c r="H1302">
        <v>48794</v>
      </c>
      <c r="I1302">
        <v>45039</v>
      </c>
      <c r="J1302">
        <v>718</v>
      </c>
      <c r="K1302">
        <v>337106</v>
      </c>
      <c r="L1302">
        <v>48500</v>
      </c>
      <c r="M1302">
        <v>-130544</v>
      </c>
      <c r="N1302">
        <v>124176</v>
      </c>
      <c r="O1302" t="s">
        <v>1320</v>
      </c>
      <c r="P1302" s="9">
        <v>236817</v>
      </c>
      <c r="Q1302" s="9">
        <v>39319</v>
      </c>
      <c r="R1302" s="9">
        <v>276136</v>
      </c>
      <c r="S1302" s="9">
        <v>-67332</v>
      </c>
      <c r="T1302" s="10">
        <v>119909</v>
      </c>
      <c r="U1302" s="10">
        <v>1774</v>
      </c>
    </row>
    <row r="1303" spans="1:21" x14ac:dyDescent="0.35">
      <c r="A1303" t="s">
        <v>15</v>
      </c>
      <c r="B1303" t="s">
        <v>16</v>
      </c>
      <c r="C1303" t="s">
        <v>21</v>
      </c>
      <c r="D1303">
        <v>175226</v>
      </c>
      <c r="E1303">
        <v>8956</v>
      </c>
      <c r="F1303">
        <v>26037</v>
      </c>
      <c r="G1303">
        <v>-155694</v>
      </c>
      <c r="H1303">
        <v>54525</v>
      </c>
      <c r="I1303">
        <v>51708</v>
      </c>
      <c r="J1303">
        <v>1224</v>
      </c>
      <c r="K1303">
        <v>671554</v>
      </c>
      <c r="L1303">
        <v>136019</v>
      </c>
      <c r="M1303">
        <v>-216157</v>
      </c>
      <c r="N1303">
        <v>78727</v>
      </c>
      <c r="O1303" t="s">
        <v>1321</v>
      </c>
      <c r="P1303" s="9">
        <v>269804</v>
      </c>
      <c r="Q1303" s="9">
        <v>16586</v>
      </c>
      <c r="R1303" s="9">
        <v>286390</v>
      </c>
      <c r="S1303" s="9">
        <v>-122455</v>
      </c>
      <c r="T1303" s="10">
        <v>88337</v>
      </c>
      <c r="U1303" s="10">
        <v>1349</v>
      </c>
    </row>
    <row r="1304" spans="1:21" x14ac:dyDescent="0.35">
      <c r="A1304" t="s">
        <v>15</v>
      </c>
      <c r="B1304" t="s">
        <v>16</v>
      </c>
      <c r="C1304" t="s">
        <v>21</v>
      </c>
      <c r="D1304">
        <v>160047</v>
      </c>
      <c r="E1304">
        <v>13493</v>
      </c>
      <c r="F1304">
        <v>33233</v>
      </c>
      <c r="G1304">
        <v>-141833</v>
      </c>
      <c r="H1304">
        <v>64940</v>
      </c>
      <c r="I1304">
        <v>63836</v>
      </c>
      <c r="J1304">
        <v>1464</v>
      </c>
      <c r="K1304">
        <v>418823</v>
      </c>
      <c r="L1304">
        <v>209215</v>
      </c>
      <c r="M1304">
        <v>-73107</v>
      </c>
      <c r="N1304">
        <v>90471</v>
      </c>
      <c r="O1304" t="s">
        <v>1322</v>
      </c>
      <c r="P1304" s="9">
        <v>311358</v>
      </c>
      <c r="Q1304" s="9">
        <v>29138</v>
      </c>
      <c r="R1304" s="9">
        <v>340496</v>
      </c>
      <c r="S1304" s="9">
        <v>-145633</v>
      </c>
      <c r="T1304" s="10">
        <v>131558</v>
      </c>
      <c r="U1304" s="10">
        <v>3077</v>
      </c>
    </row>
    <row r="1305" spans="1:21" x14ac:dyDescent="0.35">
      <c r="A1305" t="s">
        <v>15</v>
      </c>
      <c r="B1305" t="s">
        <v>16</v>
      </c>
      <c r="C1305" t="s">
        <v>21</v>
      </c>
      <c r="D1305">
        <v>276578</v>
      </c>
      <c r="E1305">
        <v>53886</v>
      </c>
      <c r="F1305">
        <v>49836</v>
      </c>
      <c r="G1305">
        <v>-244629</v>
      </c>
      <c r="H1305">
        <v>135671</v>
      </c>
      <c r="I1305">
        <v>134100</v>
      </c>
      <c r="J1305">
        <v>2319</v>
      </c>
      <c r="K1305">
        <v>900514</v>
      </c>
      <c r="L1305">
        <v>365128</v>
      </c>
      <c r="M1305">
        <v>-156114</v>
      </c>
      <c r="N1305">
        <v>98815</v>
      </c>
      <c r="O1305" t="s">
        <v>1323</v>
      </c>
      <c r="P1305" s="9">
        <v>290148</v>
      </c>
      <c r="Q1305" s="9">
        <v>52382</v>
      </c>
      <c r="R1305" s="9">
        <v>342530</v>
      </c>
      <c r="S1305" s="9">
        <v>-132114</v>
      </c>
      <c r="T1305" s="10">
        <v>90508</v>
      </c>
      <c r="U1305" s="10">
        <v>2392</v>
      </c>
    </row>
    <row r="1306" spans="1:21" x14ac:dyDescent="0.35">
      <c r="A1306" t="s">
        <v>15</v>
      </c>
      <c r="B1306" t="s">
        <v>20</v>
      </c>
      <c r="C1306" t="s">
        <v>21</v>
      </c>
      <c r="D1306">
        <v>268160</v>
      </c>
      <c r="E1306">
        <v>32423</v>
      </c>
      <c r="F1306">
        <v>45090</v>
      </c>
      <c r="G1306">
        <v>-231378</v>
      </c>
      <c r="H1306">
        <v>114295</v>
      </c>
      <c r="I1306">
        <v>118820</v>
      </c>
      <c r="J1306">
        <v>3068</v>
      </c>
      <c r="K1306">
        <v>638334</v>
      </c>
      <c r="L1306">
        <v>152871</v>
      </c>
      <c r="M1306">
        <v>-81963</v>
      </c>
      <c r="N1306">
        <v>201706</v>
      </c>
      <c r="O1306" t="s">
        <v>1324</v>
      </c>
      <c r="P1306" s="9">
        <v>214044</v>
      </c>
      <c r="Q1306" s="9">
        <v>39200</v>
      </c>
      <c r="R1306" s="9">
        <v>253244</v>
      </c>
      <c r="S1306" s="9">
        <v>-66444</v>
      </c>
      <c r="T1306" s="10">
        <v>93363</v>
      </c>
      <c r="U1306" s="10">
        <v>2698</v>
      </c>
    </row>
    <row r="1307" spans="1:21" x14ac:dyDescent="0.35">
      <c r="A1307" t="s">
        <v>15</v>
      </c>
      <c r="B1307" t="s">
        <v>20</v>
      </c>
      <c r="C1307" t="s">
        <v>21</v>
      </c>
      <c r="D1307">
        <v>211811</v>
      </c>
      <c r="E1307">
        <v>39946</v>
      </c>
      <c r="F1307">
        <v>49417</v>
      </c>
      <c r="G1307">
        <v>-199048</v>
      </c>
      <c r="H1307">
        <v>102126</v>
      </c>
      <c r="I1307">
        <v>105503</v>
      </c>
      <c r="J1307">
        <v>1888</v>
      </c>
      <c r="K1307">
        <v>501913</v>
      </c>
      <c r="L1307">
        <v>126980</v>
      </c>
      <c r="M1307">
        <v>-127367</v>
      </c>
      <c r="N1307">
        <v>118562</v>
      </c>
      <c r="O1307" t="s">
        <v>1325</v>
      </c>
      <c r="P1307" s="9">
        <v>317193</v>
      </c>
      <c r="Q1307" s="9">
        <v>16143</v>
      </c>
      <c r="R1307" s="9">
        <v>333336</v>
      </c>
      <c r="S1307" s="9">
        <v>-129626</v>
      </c>
      <c r="T1307" s="10">
        <v>93037</v>
      </c>
      <c r="U1307" s="10">
        <v>2107</v>
      </c>
    </row>
    <row r="1308" spans="1:21" x14ac:dyDescent="0.35">
      <c r="A1308" t="s">
        <v>15</v>
      </c>
      <c r="B1308" t="s">
        <v>16</v>
      </c>
      <c r="C1308" t="s">
        <v>21</v>
      </c>
      <c r="D1308">
        <v>170879</v>
      </c>
      <c r="E1308">
        <v>9736</v>
      </c>
      <c r="F1308">
        <v>24539</v>
      </c>
      <c r="G1308">
        <v>-146620</v>
      </c>
      <c r="H1308">
        <v>58534</v>
      </c>
      <c r="I1308">
        <v>54990</v>
      </c>
      <c r="J1308">
        <v>1034</v>
      </c>
      <c r="K1308">
        <v>412584</v>
      </c>
      <c r="L1308">
        <v>80600</v>
      </c>
      <c r="M1308">
        <v>-43595</v>
      </c>
      <c r="N1308">
        <v>98245</v>
      </c>
      <c r="O1308" t="s">
        <v>1326</v>
      </c>
      <c r="P1308" s="9">
        <v>242346</v>
      </c>
      <c r="Q1308" s="9">
        <v>25373</v>
      </c>
      <c r="R1308" s="9">
        <v>267719</v>
      </c>
      <c r="S1308" s="9">
        <v>-127291</v>
      </c>
      <c r="T1308" s="10">
        <v>82931</v>
      </c>
      <c r="U1308" s="10">
        <v>1163</v>
      </c>
    </row>
    <row r="1309" spans="1:21" x14ac:dyDescent="0.35">
      <c r="A1309" t="s">
        <v>15</v>
      </c>
      <c r="B1309" t="s">
        <v>16</v>
      </c>
      <c r="C1309" t="s">
        <v>21</v>
      </c>
      <c r="D1309">
        <v>213229</v>
      </c>
      <c r="E1309">
        <v>29026</v>
      </c>
      <c r="F1309">
        <v>21505</v>
      </c>
      <c r="G1309">
        <v>-174819</v>
      </c>
      <c r="H1309">
        <v>88941</v>
      </c>
      <c r="I1309">
        <v>89523</v>
      </c>
      <c r="J1309">
        <v>1678</v>
      </c>
      <c r="K1309">
        <v>491055</v>
      </c>
      <c r="L1309">
        <v>114211</v>
      </c>
      <c r="M1309">
        <v>-136565</v>
      </c>
      <c r="N1309">
        <v>90130</v>
      </c>
      <c r="O1309" t="s">
        <v>1327</v>
      </c>
      <c r="P1309" s="9">
        <v>158117</v>
      </c>
      <c r="Q1309" s="9">
        <v>17115</v>
      </c>
      <c r="R1309" s="9">
        <v>175232</v>
      </c>
      <c r="S1309" s="9">
        <v>-76916</v>
      </c>
      <c r="T1309" s="10">
        <v>68919</v>
      </c>
      <c r="U1309" s="10">
        <v>2032</v>
      </c>
    </row>
    <row r="1310" spans="1:21" x14ac:dyDescent="0.35">
      <c r="A1310" t="s">
        <v>15</v>
      </c>
      <c r="B1310" t="s">
        <v>20</v>
      </c>
      <c r="C1310" t="s">
        <v>21</v>
      </c>
      <c r="D1310">
        <v>178169</v>
      </c>
      <c r="E1310">
        <v>27138</v>
      </c>
      <c r="F1310">
        <v>42366</v>
      </c>
      <c r="G1310">
        <v>-175549</v>
      </c>
      <c r="H1310">
        <v>72124</v>
      </c>
      <c r="I1310">
        <v>75472</v>
      </c>
      <c r="J1310">
        <v>1148</v>
      </c>
      <c r="K1310">
        <v>477148</v>
      </c>
      <c r="L1310">
        <v>66559</v>
      </c>
      <c r="M1310">
        <v>-117498</v>
      </c>
      <c r="N1310">
        <v>77980</v>
      </c>
      <c r="O1310" t="s">
        <v>1328</v>
      </c>
      <c r="P1310" s="9">
        <v>268016</v>
      </c>
      <c r="Q1310" s="9">
        <v>32561</v>
      </c>
      <c r="R1310" s="9">
        <v>300577</v>
      </c>
      <c r="S1310" s="9">
        <v>-143499</v>
      </c>
      <c r="T1310" s="10">
        <v>122065</v>
      </c>
      <c r="U1310" s="10">
        <v>3659</v>
      </c>
    </row>
    <row r="1311" spans="1:21" x14ac:dyDescent="0.35">
      <c r="A1311" t="s">
        <v>15</v>
      </c>
      <c r="B1311" t="s">
        <v>20</v>
      </c>
      <c r="C1311" t="s">
        <v>21</v>
      </c>
      <c r="D1311">
        <v>260981</v>
      </c>
      <c r="E1311">
        <v>44377</v>
      </c>
      <c r="F1311">
        <v>56970</v>
      </c>
      <c r="G1311">
        <v>-219840</v>
      </c>
      <c r="H1311">
        <v>142488</v>
      </c>
      <c r="I1311">
        <v>140325</v>
      </c>
      <c r="J1311">
        <v>1603</v>
      </c>
      <c r="K1311">
        <v>581148</v>
      </c>
      <c r="L1311">
        <v>230817</v>
      </c>
      <c r="M1311">
        <v>-187943</v>
      </c>
      <c r="N1311">
        <v>216973</v>
      </c>
      <c r="O1311" t="s">
        <v>1329</v>
      </c>
      <c r="P1311" s="9">
        <v>280311</v>
      </c>
      <c r="Q1311" s="9">
        <v>50971</v>
      </c>
      <c r="R1311" s="9">
        <v>331282</v>
      </c>
      <c r="S1311" s="9">
        <v>-145556</v>
      </c>
      <c r="T1311" s="10">
        <v>94674</v>
      </c>
      <c r="U1311" s="10">
        <v>1056</v>
      </c>
    </row>
    <row r="1312" spans="1:21" x14ac:dyDescent="0.35">
      <c r="A1312" t="s">
        <v>15</v>
      </c>
      <c r="B1312" t="s">
        <v>16</v>
      </c>
      <c r="C1312" t="s">
        <v>17</v>
      </c>
      <c r="D1312">
        <v>161462</v>
      </c>
      <c r="E1312">
        <v>22950</v>
      </c>
      <c r="F1312">
        <v>21111</v>
      </c>
      <c r="G1312">
        <v>-158755</v>
      </c>
      <c r="H1312">
        <v>46768</v>
      </c>
      <c r="I1312">
        <v>45549</v>
      </c>
      <c r="J1312">
        <v>508</v>
      </c>
      <c r="K1312">
        <v>467172</v>
      </c>
      <c r="L1312">
        <v>159922</v>
      </c>
      <c r="M1312">
        <v>-124881</v>
      </c>
      <c r="N1312">
        <v>56853</v>
      </c>
      <c r="O1312" t="s">
        <v>1330</v>
      </c>
      <c r="P1312" s="9">
        <v>229373</v>
      </c>
      <c r="Q1312" s="9">
        <v>45017</v>
      </c>
      <c r="R1312" s="9">
        <v>274390</v>
      </c>
      <c r="S1312" s="9">
        <v>-140590</v>
      </c>
      <c r="T1312" s="10">
        <v>108707</v>
      </c>
      <c r="U1312" s="10">
        <v>1292</v>
      </c>
    </row>
    <row r="1313" spans="1:21" x14ac:dyDescent="0.35">
      <c r="A1313" t="s">
        <v>15</v>
      </c>
      <c r="B1313" t="s">
        <v>16</v>
      </c>
      <c r="C1313" t="s">
        <v>21</v>
      </c>
      <c r="D1313">
        <v>223159</v>
      </c>
      <c r="E1313">
        <v>19340</v>
      </c>
      <c r="F1313">
        <v>47930</v>
      </c>
      <c r="G1313">
        <v>-196535</v>
      </c>
      <c r="H1313">
        <v>93894</v>
      </c>
      <c r="I1313">
        <v>93734</v>
      </c>
      <c r="J1313">
        <v>1871</v>
      </c>
      <c r="K1313">
        <v>493562</v>
      </c>
      <c r="L1313">
        <v>239023</v>
      </c>
      <c r="M1313">
        <v>-163265</v>
      </c>
      <c r="N1313">
        <v>189229</v>
      </c>
      <c r="O1313" t="s">
        <v>1331</v>
      </c>
      <c r="P1313" s="9">
        <v>244083</v>
      </c>
      <c r="Q1313" s="9">
        <v>28722</v>
      </c>
      <c r="R1313" s="9">
        <v>272805</v>
      </c>
      <c r="S1313" s="9">
        <v>-100365</v>
      </c>
      <c r="T1313" s="10">
        <v>96500</v>
      </c>
      <c r="U1313" s="10">
        <v>2627</v>
      </c>
    </row>
    <row r="1314" spans="1:21" x14ac:dyDescent="0.35">
      <c r="A1314" t="s">
        <v>15</v>
      </c>
      <c r="B1314" t="s">
        <v>20</v>
      </c>
      <c r="C1314" t="s">
        <v>17</v>
      </c>
      <c r="D1314">
        <v>286166</v>
      </c>
      <c r="E1314">
        <v>51080</v>
      </c>
      <c r="F1314">
        <v>33382</v>
      </c>
      <c r="G1314">
        <v>-261540</v>
      </c>
      <c r="H1314">
        <v>109088</v>
      </c>
      <c r="I1314">
        <v>106752</v>
      </c>
      <c r="J1314">
        <v>1233</v>
      </c>
      <c r="K1314">
        <v>942811</v>
      </c>
      <c r="L1314">
        <v>376918</v>
      </c>
      <c r="M1314">
        <v>-165335</v>
      </c>
      <c r="N1314">
        <v>177462</v>
      </c>
      <c r="O1314" t="s">
        <v>1332</v>
      </c>
      <c r="P1314" s="9">
        <v>268267</v>
      </c>
      <c r="Q1314" s="9">
        <v>43164</v>
      </c>
      <c r="R1314" s="9">
        <v>311431</v>
      </c>
      <c r="S1314" s="9">
        <v>-78499</v>
      </c>
      <c r="T1314" s="10">
        <v>102036</v>
      </c>
      <c r="U1314" s="10">
        <v>2109</v>
      </c>
    </row>
    <row r="1315" spans="1:21" x14ac:dyDescent="0.35">
      <c r="A1315" t="s">
        <v>15</v>
      </c>
      <c r="B1315" t="s">
        <v>16</v>
      </c>
      <c r="C1315" t="s">
        <v>21</v>
      </c>
      <c r="D1315">
        <v>246445</v>
      </c>
      <c r="E1315">
        <v>36371</v>
      </c>
      <c r="F1315">
        <v>43661</v>
      </c>
      <c r="G1315">
        <v>-214749</v>
      </c>
      <c r="H1315">
        <v>111728</v>
      </c>
      <c r="I1315">
        <v>111757</v>
      </c>
      <c r="J1315">
        <v>1545</v>
      </c>
      <c r="K1315">
        <v>888985</v>
      </c>
      <c r="L1315">
        <v>114273</v>
      </c>
      <c r="M1315">
        <v>-227234</v>
      </c>
      <c r="N1315">
        <v>113395</v>
      </c>
      <c r="O1315" t="s">
        <v>1333</v>
      </c>
      <c r="P1315" s="9">
        <v>261217</v>
      </c>
      <c r="Q1315" s="9">
        <v>57459</v>
      </c>
      <c r="R1315" s="9">
        <v>318676</v>
      </c>
      <c r="S1315" s="9">
        <v>-122394</v>
      </c>
      <c r="T1315" s="10">
        <v>124146</v>
      </c>
      <c r="U1315" s="10">
        <v>1593</v>
      </c>
    </row>
    <row r="1316" spans="1:21" x14ac:dyDescent="0.35">
      <c r="A1316" t="s">
        <v>15</v>
      </c>
      <c r="B1316" t="s">
        <v>16</v>
      </c>
      <c r="C1316" t="s">
        <v>21</v>
      </c>
      <c r="D1316">
        <v>273964</v>
      </c>
      <c r="E1316">
        <v>27351</v>
      </c>
      <c r="F1316">
        <v>53507</v>
      </c>
      <c r="G1316">
        <v>-257995</v>
      </c>
      <c r="H1316">
        <v>96827</v>
      </c>
      <c r="I1316">
        <v>91705</v>
      </c>
      <c r="J1316">
        <v>1919</v>
      </c>
      <c r="K1316">
        <v>732260</v>
      </c>
      <c r="L1316">
        <v>355589</v>
      </c>
      <c r="M1316">
        <v>-182976</v>
      </c>
      <c r="N1316">
        <v>243228</v>
      </c>
      <c r="O1316" t="s">
        <v>1334</v>
      </c>
      <c r="P1316" s="9">
        <v>281664</v>
      </c>
      <c r="Q1316" s="9">
        <v>42407</v>
      </c>
      <c r="R1316" s="9">
        <v>324071</v>
      </c>
      <c r="S1316" s="9">
        <v>-71349</v>
      </c>
      <c r="T1316" s="10">
        <v>91721</v>
      </c>
      <c r="U1316" s="10">
        <v>1207</v>
      </c>
    </row>
    <row r="1317" spans="1:21" x14ac:dyDescent="0.35">
      <c r="A1317" t="s">
        <v>15</v>
      </c>
      <c r="B1317" t="s">
        <v>16</v>
      </c>
      <c r="C1317" t="s">
        <v>17</v>
      </c>
      <c r="D1317">
        <v>179910</v>
      </c>
      <c r="E1317">
        <v>22793</v>
      </c>
      <c r="F1317">
        <v>34694</v>
      </c>
      <c r="G1317">
        <v>-144253</v>
      </c>
      <c r="H1317">
        <v>93144</v>
      </c>
      <c r="I1317">
        <v>96801</v>
      </c>
      <c r="J1317">
        <v>2159</v>
      </c>
      <c r="K1317">
        <v>664292</v>
      </c>
      <c r="L1317">
        <v>288738</v>
      </c>
      <c r="M1317">
        <v>-219705</v>
      </c>
      <c r="N1317">
        <v>79952</v>
      </c>
      <c r="O1317" t="s">
        <v>1335</v>
      </c>
      <c r="P1317" s="9">
        <v>167094</v>
      </c>
      <c r="Q1317" s="9">
        <v>19280</v>
      </c>
      <c r="R1317" s="9">
        <v>186374</v>
      </c>
      <c r="S1317" s="9">
        <v>-104155</v>
      </c>
      <c r="T1317" s="10">
        <v>61209</v>
      </c>
      <c r="U1317" s="10">
        <v>1343</v>
      </c>
    </row>
    <row r="1318" spans="1:21" x14ac:dyDescent="0.35">
      <c r="A1318" t="s">
        <v>15</v>
      </c>
      <c r="B1318" t="s">
        <v>16</v>
      </c>
      <c r="C1318" t="s">
        <v>21</v>
      </c>
      <c r="D1318">
        <v>237976</v>
      </c>
      <c r="E1318">
        <v>32657</v>
      </c>
      <c r="F1318">
        <v>42411</v>
      </c>
      <c r="G1318">
        <v>-194829</v>
      </c>
      <c r="H1318">
        <v>118215</v>
      </c>
      <c r="I1318">
        <v>107300</v>
      </c>
      <c r="J1318">
        <v>1203</v>
      </c>
      <c r="K1318">
        <v>480988</v>
      </c>
      <c r="L1318">
        <v>178967</v>
      </c>
      <c r="M1318">
        <v>-176987</v>
      </c>
      <c r="N1318">
        <v>122888</v>
      </c>
      <c r="O1318" t="s">
        <v>1336</v>
      </c>
      <c r="P1318" s="9">
        <v>264778</v>
      </c>
      <c r="Q1318" s="9">
        <v>48505</v>
      </c>
      <c r="R1318" s="9">
        <v>313283</v>
      </c>
      <c r="S1318" s="9">
        <v>-98638</v>
      </c>
      <c r="T1318" s="10">
        <v>119673</v>
      </c>
      <c r="U1318" s="10">
        <v>3447</v>
      </c>
    </row>
    <row r="1319" spans="1:21" x14ac:dyDescent="0.35">
      <c r="A1319" t="s">
        <v>15</v>
      </c>
      <c r="B1319" t="s">
        <v>16</v>
      </c>
      <c r="C1319" t="s">
        <v>17</v>
      </c>
      <c r="D1319">
        <v>265096</v>
      </c>
      <c r="E1319">
        <v>27949</v>
      </c>
      <c r="F1319">
        <v>26829</v>
      </c>
      <c r="G1319">
        <v>-254131</v>
      </c>
      <c r="H1319">
        <v>65743</v>
      </c>
      <c r="I1319">
        <v>63250</v>
      </c>
      <c r="J1319">
        <v>1133</v>
      </c>
      <c r="K1319">
        <v>725733</v>
      </c>
      <c r="L1319">
        <v>82655</v>
      </c>
      <c r="M1319">
        <v>-200687</v>
      </c>
      <c r="N1319">
        <v>128631</v>
      </c>
      <c r="O1319" t="s">
        <v>1337</v>
      </c>
      <c r="P1319" s="9">
        <v>182788</v>
      </c>
      <c r="Q1319" s="9">
        <v>16242</v>
      </c>
      <c r="R1319" s="9">
        <v>199030</v>
      </c>
      <c r="S1319" s="9">
        <v>-59988</v>
      </c>
      <c r="T1319" s="10">
        <v>54706</v>
      </c>
      <c r="U1319" s="10">
        <v>1557</v>
      </c>
    </row>
    <row r="1320" spans="1:21" x14ac:dyDescent="0.35">
      <c r="A1320" t="s">
        <v>15</v>
      </c>
      <c r="B1320" t="s">
        <v>20</v>
      </c>
      <c r="C1320" t="s">
        <v>21</v>
      </c>
      <c r="D1320">
        <v>162048</v>
      </c>
      <c r="E1320">
        <v>18192</v>
      </c>
      <c r="F1320">
        <v>40124</v>
      </c>
      <c r="G1320">
        <v>-134954</v>
      </c>
      <c r="H1320">
        <v>85410</v>
      </c>
      <c r="I1320">
        <v>83654</v>
      </c>
      <c r="J1320">
        <v>1623</v>
      </c>
      <c r="K1320">
        <v>472981</v>
      </c>
      <c r="L1320">
        <v>99111</v>
      </c>
      <c r="M1320">
        <v>-47325</v>
      </c>
      <c r="N1320">
        <v>81036</v>
      </c>
      <c r="O1320" t="s">
        <v>1338</v>
      </c>
      <c r="P1320" s="9">
        <v>234222</v>
      </c>
      <c r="Q1320" s="9">
        <v>19744</v>
      </c>
      <c r="R1320" s="9">
        <v>253966</v>
      </c>
      <c r="S1320" s="9">
        <v>-76826</v>
      </c>
      <c r="T1320" s="10">
        <v>84716</v>
      </c>
      <c r="U1320" s="10">
        <v>2436</v>
      </c>
    </row>
    <row r="1321" spans="1:21" x14ac:dyDescent="0.35">
      <c r="A1321" t="s">
        <v>15</v>
      </c>
      <c r="B1321" t="s">
        <v>16</v>
      </c>
      <c r="C1321" t="s">
        <v>21</v>
      </c>
      <c r="D1321">
        <v>174180</v>
      </c>
      <c r="E1321">
        <v>25414</v>
      </c>
      <c r="F1321">
        <v>35177</v>
      </c>
      <c r="G1321">
        <v>-146522</v>
      </c>
      <c r="H1321">
        <v>88249</v>
      </c>
      <c r="I1321">
        <v>89897</v>
      </c>
      <c r="J1321">
        <v>1396</v>
      </c>
      <c r="K1321">
        <v>565183</v>
      </c>
      <c r="L1321">
        <v>160880</v>
      </c>
      <c r="M1321">
        <v>-91589</v>
      </c>
      <c r="N1321">
        <v>143831</v>
      </c>
      <c r="O1321" t="s">
        <v>1339</v>
      </c>
      <c r="P1321" s="9">
        <v>257132</v>
      </c>
      <c r="Q1321" s="9">
        <v>37362</v>
      </c>
      <c r="R1321" s="9">
        <v>294494</v>
      </c>
      <c r="S1321" s="9">
        <v>-107632</v>
      </c>
      <c r="T1321" s="10">
        <v>84428</v>
      </c>
      <c r="U1321" s="10">
        <v>1318</v>
      </c>
    </row>
    <row r="1322" spans="1:21" x14ac:dyDescent="0.35">
      <c r="A1322" t="s">
        <v>15</v>
      </c>
      <c r="B1322" t="s">
        <v>16</v>
      </c>
      <c r="C1322" t="s">
        <v>21</v>
      </c>
      <c r="D1322">
        <v>235940</v>
      </c>
      <c r="E1322">
        <v>19420</v>
      </c>
      <c r="F1322">
        <v>30265</v>
      </c>
      <c r="G1322">
        <v>-223636</v>
      </c>
      <c r="H1322">
        <v>61989</v>
      </c>
      <c r="I1322">
        <v>62348</v>
      </c>
      <c r="J1322">
        <v>819</v>
      </c>
      <c r="K1322">
        <v>673893</v>
      </c>
      <c r="L1322">
        <v>233203</v>
      </c>
      <c r="M1322">
        <v>-253065</v>
      </c>
      <c r="N1322">
        <v>171326</v>
      </c>
      <c r="O1322" t="s">
        <v>1340</v>
      </c>
      <c r="P1322" s="9">
        <v>167037</v>
      </c>
      <c r="Q1322" s="9">
        <v>15882</v>
      </c>
      <c r="R1322" s="9">
        <v>182919</v>
      </c>
      <c r="S1322" s="9">
        <v>-69767</v>
      </c>
      <c r="T1322" s="10">
        <v>64552</v>
      </c>
      <c r="U1322" s="10">
        <v>1838</v>
      </c>
    </row>
    <row r="1323" spans="1:21" x14ac:dyDescent="0.35">
      <c r="A1323" t="s">
        <v>15</v>
      </c>
      <c r="B1323" t="s">
        <v>20</v>
      </c>
      <c r="C1323" t="s">
        <v>21</v>
      </c>
      <c r="D1323">
        <v>176872</v>
      </c>
      <c r="E1323">
        <v>10831</v>
      </c>
      <c r="F1323">
        <v>36837</v>
      </c>
      <c r="G1323">
        <v>-158192</v>
      </c>
      <c r="H1323">
        <v>66348</v>
      </c>
      <c r="I1323">
        <v>61107</v>
      </c>
      <c r="J1323">
        <v>1412</v>
      </c>
      <c r="K1323">
        <v>557954</v>
      </c>
      <c r="L1323">
        <v>256529</v>
      </c>
      <c r="M1323">
        <v>-164153</v>
      </c>
      <c r="N1323">
        <v>130557</v>
      </c>
      <c r="O1323" t="s">
        <v>1341</v>
      </c>
      <c r="P1323" s="9">
        <v>264162</v>
      </c>
      <c r="Q1323" s="9">
        <v>53542</v>
      </c>
      <c r="R1323" s="9">
        <v>317704</v>
      </c>
      <c r="S1323" s="9">
        <v>-149969</v>
      </c>
      <c r="T1323" s="10">
        <v>139135</v>
      </c>
      <c r="U1323" s="10">
        <v>2539</v>
      </c>
    </row>
    <row r="1324" spans="1:21" x14ac:dyDescent="0.35">
      <c r="A1324" t="s">
        <v>15</v>
      </c>
      <c r="B1324" t="s">
        <v>20</v>
      </c>
      <c r="C1324" t="s">
        <v>21</v>
      </c>
      <c r="D1324">
        <v>280473</v>
      </c>
      <c r="E1324">
        <v>23836</v>
      </c>
      <c r="F1324">
        <v>64229</v>
      </c>
      <c r="G1324">
        <v>-245312</v>
      </c>
      <c r="H1324">
        <v>123226</v>
      </c>
      <c r="I1324">
        <v>116041</v>
      </c>
      <c r="J1324">
        <v>1486</v>
      </c>
      <c r="K1324">
        <v>673823</v>
      </c>
      <c r="L1324">
        <v>331998</v>
      </c>
      <c r="M1324">
        <v>-153573</v>
      </c>
      <c r="N1324">
        <v>111663</v>
      </c>
      <c r="O1324" t="s">
        <v>1342</v>
      </c>
      <c r="P1324" s="9">
        <v>180151</v>
      </c>
      <c r="Q1324" s="9">
        <v>26675</v>
      </c>
      <c r="R1324" s="9">
        <v>206826</v>
      </c>
      <c r="S1324" s="9">
        <v>-85919</v>
      </c>
      <c r="T1324" s="10">
        <v>104061</v>
      </c>
      <c r="U1324" s="10">
        <v>1815</v>
      </c>
    </row>
    <row r="1325" spans="1:21" x14ac:dyDescent="0.35">
      <c r="A1325" t="s">
        <v>15</v>
      </c>
      <c r="B1325" t="s">
        <v>20</v>
      </c>
      <c r="C1325" t="s">
        <v>21</v>
      </c>
      <c r="D1325">
        <v>280818</v>
      </c>
      <c r="E1325">
        <v>41430</v>
      </c>
      <c r="F1325">
        <v>49213</v>
      </c>
      <c r="G1325">
        <v>-276895</v>
      </c>
      <c r="H1325">
        <v>94566</v>
      </c>
      <c r="I1325">
        <v>85396</v>
      </c>
      <c r="J1325">
        <v>2292</v>
      </c>
      <c r="K1325">
        <v>994724</v>
      </c>
      <c r="L1325">
        <v>166319</v>
      </c>
      <c r="M1325">
        <v>-246982</v>
      </c>
      <c r="N1325">
        <v>204032</v>
      </c>
      <c r="O1325" t="s">
        <v>1343</v>
      </c>
      <c r="P1325" s="9">
        <v>228949</v>
      </c>
      <c r="Q1325" s="9">
        <v>12390</v>
      </c>
      <c r="R1325" s="9">
        <v>241339</v>
      </c>
      <c r="S1325" s="9">
        <v>-61523</v>
      </c>
      <c r="T1325" s="10">
        <v>101427</v>
      </c>
      <c r="U1325" s="10">
        <v>1760</v>
      </c>
    </row>
    <row r="1326" spans="1:21" x14ac:dyDescent="0.35">
      <c r="A1326" t="s">
        <v>15</v>
      </c>
      <c r="B1326" t="s">
        <v>20</v>
      </c>
      <c r="C1326" t="s">
        <v>21</v>
      </c>
      <c r="D1326">
        <v>204347</v>
      </c>
      <c r="E1326">
        <v>34117</v>
      </c>
      <c r="F1326">
        <v>46345</v>
      </c>
      <c r="G1326">
        <v>-171185</v>
      </c>
      <c r="H1326">
        <v>113624</v>
      </c>
      <c r="I1326">
        <v>106849</v>
      </c>
      <c r="J1326">
        <v>1242</v>
      </c>
      <c r="K1326">
        <v>817162</v>
      </c>
      <c r="L1326">
        <v>316952</v>
      </c>
      <c r="M1326">
        <v>-120780</v>
      </c>
      <c r="N1326">
        <v>129126</v>
      </c>
      <c r="O1326" t="s">
        <v>1344</v>
      </c>
      <c r="P1326" s="9">
        <v>195115</v>
      </c>
      <c r="Q1326" s="9">
        <v>9487</v>
      </c>
      <c r="R1326" s="9">
        <v>204602</v>
      </c>
      <c r="S1326" s="9">
        <v>-93955</v>
      </c>
      <c r="T1326" s="10">
        <v>66467</v>
      </c>
      <c r="U1326" s="10">
        <v>854</v>
      </c>
    </row>
    <row r="1327" spans="1:21" x14ac:dyDescent="0.35">
      <c r="A1327" t="s">
        <v>15</v>
      </c>
      <c r="B1327" t="s">
        <v>20</v>
      </c>
      <c r="C1327" t="s">
        <v>21</v>
      </c>
      <c r="D1327">
        <v>187839</v>
      </c>
      <c r="E1327">
        <v>18750</v>
      </c>
      <c r="F1327">
        <v>27078</v>
      </c>
      <c r="G1327">
        <v>-165451</v>
      </c>
      <c r="H1327">
        <v>68216</v>
      </c>
      <c r="I1327">
        <v>65115</v>
      </c>
      <c r="J1327">
        <v>1713</v>
      </c>
      <c r="K1327">
        <v>595596</v>
      </c>
      <c r="L1327">
        <v>145132</v>
      </c>
      <c r="M1327">
        <v>-116234</v>
      </c>
      <c r="N1327">
        <v>140901</v>
      </c>
      <c r="O1327" t="s">
        <v>1345</v>
      </c>
      <c r="P1327" s="9">
        <v>170729</v>
      </c>
      <c r="Q1327" s="9">
        <v>33919</v>
      </c>
      <c r="R1327" s="9">
        <v>204648</v>
      </c>
      <c r="S1327" s="9">
        <v>-97538</v>
      </c>
      <c r="T1327" s="10">
        <v>105301</v>
      </c>
      <c r="U1327" s="10">
        <v>1747</v>
      </c>
    </row>
    <row r="1328" spans="1:21" x14ac:dyDescent="0.35">
      <c r="A1328" t="s">
        <v>15</v>
      </c>
      <c r="B1328" t="s">
        <v>20</v>
      </c>
      <c r="C1328" t="s">
        <v>17</v>
      </c>
      <c r="D1328">
        <v>212699</v>
      </c>
      <c r="E1328">
        <v>31760</v>
      </c>
      <c r="F1328">
        <v>39953</v>
      </c>
      <c r="G1328">
        <v>-212513</v>
      </c>
      <c r="H1328">
        <v>71899</v>
      </c>
      <c r="I1328">
        <v>73035</v>
      </c>
      <c r="J1328">
        <v>853</v>
      </c>
      <c r="K1328">
        <v>679541</v>
      </c>
      <c r="L1328">
        <v>112589</v>
      </c>
      <c r="M1328">
        <v>-84203</v>
      </c>
      <c r="N1328">
        <v>172159</v>
      </c>
      <c r="O1328" t="s">
        <v>1346</v>
      </c>
      <c r="P1328" s="9">
        <v>262287</v>
      </c>
      <c r="Q1328" s="9">
        <v>17762</v>
      </c>
      <c r="R1328" s="9">
        <v>280049</v>
      </c>
      <c r="S1328" s="9">
        <v>-81404</v>
      </c>
      <c r="T1328" s="10">
        <v>127018</v>
      </c>
      <c r="U1328" s="10">
        <v>3287</v>
      </c>
    </row>
    <row r="1329" spans="1:21" x14ac:dyDescent="0.35">
      <c r="A1329" t="s">
        <v>15</v>
      </c>
      <c r="B1329" t="s">
        <v>20</v>
      </c>
      <c r="C1329" t="s">
        <v>21</v>
      </c>
      <c r="D1329">
        <v>236808</v>
      </c>
      <c r="E1329">
        <v>44988</v>
      </c>
      <c r="F1329">
        <v>32398</v>
      </c>
      <c r="G1329">
        <v>-202975</v>
      </c>
      <c r="H1329">
        <v>111219</v>
      </c>
      <c r="I1329">
        <v>103945</v>
      </c>
      <c r="J1329">
        <v>1445</v>
      </c>
      <c r="K1329">
        <v>479660</v>
      </c>
      <c r="L1329">
        <v>195857</v>
      </c>
      <c r="M1329">
        <v>-51456</v>
      </c>
      <c r="N1329">
        <v>118264</v>
      </c>
      <c r="O1329" t="s">
        <v>1347</v>
      </c>
      <c r="P1329" s="9">
        <v>252370</v>
      </c>
      <c r="Q1329" s="9">
        <v>27413</v>
      </c>
      <c r="R1329" s="9">
        <v>279783</v>
      </c>
      <c r="S1329" s="9">
        <v>-97185</v>
      </c>
      <c r="T1329" s="10">
        <v>105657</v>
      </c>
      <c r="U1329" s="10">
        <v>1205</v>
      </c>
    </row>
    <row r="1330" spans="1:21" x14ac:dyDescent="0.35">
      <c r="A1330" t="s">
        <v>15</v>
      </c>
      <c r="B1330" t="s">
        <v>16</v>
      </c>
      <c r="C1330" t="s">
        <v>17</v>
      </c>
      <c r="D1330">
        <v>167780</v>
      </c>
      <c r="E1330">
        <v>21671</v>
      </c>
      <c r="F1330">
        <v>29382</v>
      </c>
      <c r="G1330">
        <v>-148720</v>
      </c>
      <c r="H1330">
        <v>70113</v>
      </c>
      <c r="I1330">
        <v>65763</v>
      </c>
      <c r="J1330">
        <v>1320</v>
      </c>
      <c r="K1330">
        <v>493616</v>
      </c>
      <c r="L1330">
        <v>158249</v>
      </c>
      <c r="M1330">
        <v>-165397</v>
      </c>
      <c r="N1330">
        <v>77024</v>
      </c>
      <c r="O1330" t="s">
        <v>1348</v>
      </c>
      <c r="P1330" s="9">
        <v>158547</v>
      </c>
      <c r="Q1330" s="9">
        <v>8527</v>
      </c>
      <c r="R1330" s="9">
        <v>167074</v>
      </c>
      <c r="S1330" s="9">
        <v>-78675</v>
      </c>
      <c r="T1330" s="10">
        <v>58799</v>
      </c>
      <c r="U1330" s="10">
        <v>1593</v>
      </c>
    </row>
    <row r="1331" spans="1:21" x14ac:dyDescent="0.35">
      <c r="A1331" t="s">
        <v>15</v>
      </c>
      <c r="B1331" t="s">
        <v>16</v>
      </c>
      <c r="C1331" t="s">
        <v>21</v>
      </c>
      <c r="D1331">
        <v>262244</v>
      </c>
      <c r="E1331">
        <v>34540</v>
      </c>
      <c r="F1331">
        <v>54065</v>
      </c>
      <c r="G1331">
        <v>-257227</v>
      </c>
      <c r="H1331">
        <v>93622</v>
      </c>
      <c r="I1331">
        <v>97430</v>
      </c>
      <c r="J1331">
        <v>1457</v>
      </c>
      <c r="K1331">
        <v>668910</v>
      </c>
      <c r="L1331">
        <v>276758</v>
      </c>
      <c r="M1331">
        <v>-123319</v>
      </c>
      <c r="N1331">
        <v>182639</v>
      </c>
      <c r="O1331" t="s">
        <v>1349</v>
      </c>
      <c r="P1331" s="9">
        <v>221612</v>
      </c>
      <c r="Q1331" s="9">
        <v>46188</v>
      </c>
      <c r="R1331" s="9">
        <v>267800</v>
      </c>
      <c r="S1331" s="9">
        <v>-113850</v>
      </c>
      <c r="T1331" s="10">
        <v>86926</v>
      </c>
      <c r="U1331" s="10">
        <v>2039</v>
      </c>
    </row>
    <row r="1332" spans="1:21" x14ac:dyDescent="0.35">
      <c r="A1332" t="s">
        <v>15</v>
      </c>
      <c r="B1332" t="s">
        <v>20</v>
      </c>
      <c r="C1332" t="s">
        <v>17</v>
      </c>
      <c r="D1332">
        <v>219777</v>
      </c>
      <c r="E1332">
        <v>28980</v>
      </c>
      <c r="F1332">
        <v>38562</v>
      </c>
      <c r="G1332">
        <v>-206116</v>
      </c>
      <c r="H1332">
        <v>81203</v>
      </c>
      <c r="I1332">
        <v>83350</v>
      </c>
      <c r="J1332">
        <v>1313</v>
      </c>
      <c r="K1332">
        <v>562440</v>
      </c>
      <c r="L1332">
        <v>247670</v>
      </c>
      <c r="M1332">
        <v>-186556</v>
      </c>
      <c r="N1332">
        <v>168361</v>
      </c>
      <c r="O1332" t="s">
        <v>1350</v>
      </c>
      <c r="P1332" s="9">
        <v>210823</v>
      </c>
      <c r="Q1332" s="9">
        <v>18424</v>
      </c>
      <c r="R1332" s="9">
        <v>229247</v>
      </c>
      <c r="S1332" s="9">
        <v>-129608</v>
      </c>
      <c r="T1332" s="10">
        <v>85645</v>
      </c>
      <c r="U1332" s="10">
        <v>1575</v>
      </c>
    </row>
    <row r="1333" spans="1:21" x14ac:dyDescent="0.35">
      <c r="A1333" t="s">
        <v>15</v>
      </c>
      <c r="B1333" t="s">
        <v>16</v>
      </c>
      <c r="C1333" t="s">
        <v>21</v>
      </c>
      <c r="D1333">
        <v>241741</v>
      </c>
      <c r="E1333">
        <v>25723</v>
      </c>
      <c r="F1333">
        <v>34520</v>
      </c>
      <c r="G1333">
        <v>-216353</v>
      </c>
      <c r="H1333">
        <v>85631</v>
      </c>
      <c r="I1333">
        <v>77533</v>
      </c>
      <c r="J1333">
        <v>1636</v>
      </c>
      <c r="K1333">
        <v>899656</v>
      </c>
      <c r="L1333">
        <v>222681</v>
      </c>
      <c r="M1333">
        <v>-113931</v>
      </c>
      <c r="N1333">
        <v>137648</v>
      </c>
      <c r="O1333" t="s">
        <v>1351</v>
      </c>
      <c r="P1333" s="9">
        <v>218667</v>
      </c>
      <c r="Q1333" s="9">
        <v>30607</v>
      </c>
      <c r="R1333" s="9">
        <v>249274</v>
      </c>
      <c r="S1333" s="9">
        <v>-122942</v>
      </c>
      <c r="T1333" s="10">
        <v>91931</v>
      </c>
      <c r="U1333" s="10">
        <v>2752</v>
      </c>
    </row>
    <row r="1334" spans="1:21" x14ac:dyDescent="0.35">
      <c r="A1334" t="s">
        <v>15</v>
      </c>
      <c r="B1334" t="s">
        <v>16</v>
      </c>
      <c r="C1334" t="s">
        <v>21</v>
      </c>
      <c r="D1334">
        <v>266412</v>
      </c>
      <c r="E1334">
        <v>46743</v>
      </c>
      <c r="F1334">
        <v>43143</v>
      </c>
      <c r="G1334">
        <v>-237538</v>
      </c>
      <c r="H1334">
        <v>118760</v>
      </c>
      <c r="I1334">
        <v>113850</v>
      </c>
      <c r="J1334">
        <v>2523</v>
      </c>
      <c r="K1334">
        <v>678437</v>
      </c>
      <c r="L1334">
        <v>327772</v>
      </c>
      <c r="M1334">
        <v>-196483</v>
      </c>
      <c r="N1334">
        <v>198695</v>
      </c>
      <c r="O1334" t="s">
        <v>1352</v>
      </c>
      <c r="P1334" s="9">
        <v>166946</v>
      </c>
      <c r="Q1334" s="9">
        <v>17860</v>
      </c>
      <c r="R1334" s="9">
        <v>184806</v>
      </c>
      <c r="S1334" s="9">
        <v>-97806</v>
      </c>
      <c r="T1334" s="10">
        <v>73565</v>
      </c>
      <c r="U1334" s="10">
        <v>1821</v>
      </c>
    </row>
    <row r="1335" spans="1:21" x14ac:dyDescent="0.35">
      <c r="A1335" t="s">
        <v>15</v>
      </c>
      <c r="B1335" t="s">
        <v>20</v>
      </c>
      <c r="C1335" t="s">
        <v>21</v>
      </c>
      <c r="D1335">
        <v>251840</v>
      </c>
      <c r="E1335">
        <v>26906</v>
      </c>
      <c r="F1335">
        <v>43289</v>
      </c>
      <c r="G1335">
        <v>-227671</v>
      </c>
      <c r="H1335">
        <v>94364</v>
      </c>
      <c r="I1335">
        <v>90772</v>
      </c>
      <c r="J1335">
        <v>2645</v>
      </c>
      <c r="K1335">
        <v>505643</v>
      </c>
      <c r="L1335">
        <v>110526</v>
      </c>
      <c r="M1335">
        <v>-155705</v>
      </c>
      <c r="N1335">
        <v>202683</v>
      </c>
      <c r="O1335" t="s">
        <v>1353</v>
      </c>
      <c r="P1335" s="9">
        <v>190797</v>
      </c>
      <c r="Q1335" s="9">
        <v>22919</v>
      </c>
      <c r="R1335" s="9">
        <v>213716</v>
      </c>
      <c r="S1335" s="9">
        <v>-117872</v>
      </c>
      <c r="T1335" s="10">
        <v>66918</v>
      </c>
      <c r="U1335" s="10">
        <v>1297</v>
      </c>
    </row>
    <row r="1336" spans="1:21" x14ac:dyDescent="0.35">
      <c r="A1336" t="s">
        <v>15</v>
      </c>
      <c r="B1336" t="s">
        <v>16</v>
      </c>
      <c r="C1336" t="s">
        <v>17</v>
      </c>
      <c r="D1336">
        <v>256966</v>
      </c>
      <c r="E1336">
        <v>46353</v>
      </c>
      <c r="F1336">
        <v>47264</v>
      </c>
      <c r="G1336">
        <v>-233081</v>
      </c>
      <c r="H1336">
        <v>117502</v>
      </c>
      <c r="I1336">
        <v>116908</v>
      </c>
      <c r="J1336">
        <v>2021</v>
      </c>
      <c r="K1336">
        <v>849834</v>
      </c>
      <c r="L1336">
        <v>262873</v>
      </c>
      <c r="M1336">
        <v>-118284</v>
      </c>
      <c r="N1336">
        <v>179592</v>
      </c>
      <c r="O1336" t="s">
        <v>1354</v>
      </c>
      <c r="P1336" s="9">
        <v>242138</v>
      </c>
      <c r="Q1336" s="9">
        <v>30122</v>
      </c>
      <c r="R1336" s="9">
        <v>272260</v>
      </c>
      <c r="S1336" s="9">
        <v>-61064</v>
      </c>
      <c r="T1336" s="10">
        <v>93745</v>
      </c>
      <c r="U1336" s="10">
        <v>2023</v>
      </c>
    </row>
    <row r="1337" spans="1:21" x14ac:dyDescent="0.35">
      <c r="A1337" t="s">
        <v>15</v>
      </c>
      <c r="B1337" t="s">
        <v>16</v>
      </c>
      <c r="C1337" t="s">
        <v>21</v>
      </c>
      <c r="D1337">
        <v>256415</v>
      </c>
      <c r="E1337">
        <v>15745</v>
      </c>
      <c r="F1337">
        <v>34162</v>
      </c>
      <c r="G1337">
        <v>-228279</v>
      </c>
      <c r="H1337">
        <v>78043</v>
      </c>
      <c r="I1337">
        <v>76364</v>
      </c>
      <c r="J1337">
        <v>928</v>
      </c>
      <c r="K1337">
        <v>806416</v>
      </c>
      <c r="L1337">
        <v>160758</v>
      </c>
      <c r="M1337">
        <v>-315571</v>
      </c>
      <c r="N1337">
        <v>206396</v>
      </c>
      <c r="O1337" t="s">
        <v>1355</v>
      </c>
      <c r="P1337" s="9">
        <v>198464</v>
      </c>
      <c r="Q1337" s="9">
        <v>37737</v>
      </c>
      <c r="R1337" s="9">
        <v>236201</v>
      </c>
      <c r="S1337" s="9">
        <v>-90096</v>
      </c>
      <c r="T1337" s="10">
        <v>123239</v>
      </c>
      <c r="U1337" s="10">
        <v>1364</v>
      </c>
    </row>
    <row r="1338" spans="1:21" x14ac:dyDescent="0.35">
      <c r="A1338" t="s">
        <v>15</v>
      </c>
      <c r="B1338" t="s">
        <v>16</v>
      </c>
      <c r="C1338" t="s">
        <v>21</v>
      </c>
      <c r="D1338">
        <v>182775</v>
      </c>
      <c r="E1338">
        <v>14293</v>
      </c>
      <c r="F1338">
        <v>35470</v>
      </c>
      <c r="G1338">
        <v>-176258</v>
      </c>
      <c r="H1338">
        <v>56280</v>
      </c>
      <c r="I1338">
        <v>56487</v>
      </c>
      <c r="J1338">
        <v>1311</v>
      </c>
      <c r="K1338">
        <v>380377</v>
      </c>
      <c r="L1338">
        <v>67430</v>
      </c>
      <c r="M1338">
        <v>-71747</v>
      </c>
      <c r="N1338">
        <v>70720</v>
      </c>
      <c r="O1338" t="s">
        <v>1356</v>
      </c>
      <c r="P1338" s="9">
        <v>260369</v>
      </c>
      <c r="Q1338" s="9">
        <v>33562</v>
      </c>
      <c r="R1338" s="9">
        <v>293931</v>
      </c>
      <c r="S1338" s="9">
        <v>-115410</v>
      </c>
      <c r="T1338" s="10">
        <v>71091</v>
      </c>
      <c r="U1338" s="10">
        <v>1149</v>
      </c>
    </row>
    <row r="1339" spans="1:21" x14ac:dyDescent="0.35">
      <c r="A1339" t="s">
        <v>15</v>
      </c>
      <c r="B1339" t="s">
        <v>16</v>
      </c>
      <c r="C1339" t="s">
        <v>21</v>
      </c>
      <c r="D1339">
        <v>161298</v>
      </c>
      <c r="E1339">
        <v>19792</v>
      </c>
      <c r="F1339">
        <v>36417</v>
      </c>
      <c r="G1339">
        <v>-152378</v>
      </c>
      <c r="H1339">
        <v>65129</v>
      </c>
      <c r="I1339">
        <v>60306</v>
      </c>
      <c r="J1339">
        <v>752</v>
      </c>
      <c r="K1339">
        <v>617702</v>
      </c>
      <c r="L1339">
        <v>262018</v>
      </c>
      <c r="M1339">
        <v>-226945</v>
      </c>
      <c r="N1339">
        <v>136350</v>
      </c>
      <c r="O1339" t="s">
        <v>1357</v>
      </c>
      <c r="P1339" s="9">
        <v>191338</v>
      </c>
      <c r="Q1339" s="9">
        <v>11992</v>
      </c>
      <c r="R1339" s="9">
        <v>203330</v>
      </c>
      <c r="S1339" s="9">
        <v>-50641</v>
      </c>
      <c r="T1339" s="10">
        <v>70170</v>
      </c>
      <c r="U1339" s="10">
        <v>1318</v>
      </c>
    </row>
    <row r="1340" spans="1:21" x14ac:dyDescent="0.35">
      <c r="A1340" t="s">
        <v>15</v>
      </c>
      <c r="B1340" t="s">
        <v>16</v>
      </c>
      <c r="C1340" t="s">
        <v>17</v>
      </c>
      <c r="D1340">
        <v>179034</v>
      </c>
      <c r="E1340">
        <v>15477</v>
      </c>
      <c r="F1340">
        <v>24796</v>
      </c>
      <c r="G1340">
        <v>-171634</v>
      </c>
      <c r="H1340">
        <v>47673</v>
      </c>
      <c r="I1340">
        <v>48693</v>
      </c>
      <c r="J1340">
        <v>1040</v>
      </c>
      <c r="K1340">
        <v>401666</v>
      </c>
      <c r="L1340">
        <v>195843</v>
      </c>
      <c r="M1340">
        <v>-157749</v>
      </c>
      <c r="N1340">
        <v>117823</v>
      </c>
      <c r="O1340" t="s">
        <v>1358</v>
      </c>
      <c r="P1340" s="9">
        <v>190888</v>
      </c>
      <c r="Q1340" s="9">
        <v>30548</v>
      </c>
      <c r="R1340" s="9">
        <v>221436</v>
      </c>
      <c r="S1340" s="9">
        <v>-48634</v>
      </c>
      <c r="T1340" s="10">
        <v>52633</v>
      </c>
      <c r="U1340" s="10">
        <v>993</v>
      </c>
    </row>
    <row r="1341" spans="1:21" x14ac:dyDescent="0.35">
      <c r="A1341" t="s">
        <v>15</v>
      </c>
      <c r="B1341" t="s">
        <v>16</v>
      </c>
      <c r="C1341" t="s">
        <v>21</v>
      </c>
      <c r="D1341">
        <v>150004</v>
      </c>
      <c r="E1341">
        <v>21828</v>
      </c>
      <c r="F1341">
        <v>18379</v>
      </c>
      <c r="G1341">
        <v>-130572</v>
      </c>
      <c r="H1341">
        <v>59639</v>
      </c>
      <c r="I1341">
        <v>60673</v>
      </c>
      <c r="J1341">
        <v>787</v>
      </c>
      <c r="K1341">
        <v>594800</v>
      </c>
      <c r="L1341">
        <v>274020</v>
      </c>
      <c r="M1341">
        <v>-69178</v>
      </c>
      <c r="N1341">
        <v>116790</v>
      </c>
      <c r="O1341" t="s">
        <v>1359</v>
      </c>
      <c r="P1341" s="9">
        <v>228690</v>
      </c>
      <c r="Q1341" s="9">
        <v>24147</v>
      </c>
      <c r="R1341" s="9">
        <v>252837</v>
      </c>
      <c r="S1341" s="9">
        <v>-53315</v>
      </c>
      <c r="T1341" s="10">
        <v>58747</v>
      </c>
      <c r="U1341" s="10">
        <v>1124</v>
      </c>
    </row>
    <row r="1342" spans="1:21" x14ac:dyDescent="0.35">
      <c r="A1342" t="s">
        <v>15</v>
      </c>
      <c r="B1342" t="s">
        <v>20</v>
      </c>
      <c r="C1342" t="s">
        <v>17</v>
      </c>
      <c r="D1342">
        <v>227807</v>
      </c>
      <c r="E1342">
        <v>42393</v>
      </c>
      <c r="F1342">
        <v>38181</v>
      </c>
      <c r="G1342">
        <v>-202560</v>
      </c>
      <c r="H1342">
        <v>105821</v>
      </c>
      <c r="I1342">
        <v>96496</v>
      </c>
      <c r="J1342">
        <v>1970</v>
      </c>
      <c r="K1342">
        <v>894238</v>
      </c>
      <c r="L1342">
        <v>402641</v>
      </c>
      <c r="M1342">
        <v>-259221</v>
      </c>
      <c r="N1342">
        <v>116505</v>
      </c>
      <c r="O1342" t="s">
        <v>1360</v>
      </c>
      <c r="P1342" s="9">
        <v>204927</v>
      </c>
      <c r="Q1342" s="9">
        <v>32248</v>
      </c>
      <c r="R1342" s="9">
        <v>237175</v>
      </c>
      <c r="S1342" s="9">
        <v>-112397</v>
      </c>
      <c r="T1342" s="10">
        <v>79037</v>
      </c>
      <c r="U1342" s="10">
        <v>817</v>
      </c>
    </row>
    <row r="1343" spans="1:21" x14ac:dyDescent="0.35">
      <c r="A1343" t="s">
        <v>15</v>
      </c>
      <c r="B1343" t="s">
        <v>20</v>
      </c>
      <c r="C1343" t="s">
        <v>21</v>
      </c>
      <c r="D1343">
        <v>192210</v>
      </c>
      <c r="E1343">
        <v>28043</v>
      </c>
      <c r="F1343">
        <v>43284</v>
      </c>
      <c r="G1343">
        <v>-162261</v>
      </c>
      <c r="H1343">
        <v>101276</v>
      </c>
      <c r="I1343">
        <v>94650</v>
      </c>
      <c r="J1343">
        <v>1707</v>
      </c>
      <c r="K1343">
        <v>557330</v>
      </c>
      <c r="L1343">
        <v>179864</v>
      </c>
      <c r="M1343">
        <v>-163506</v>
      </c>
      <c r="N1343">
        <v>147549</v>
      </c>
      <c r="O1343" t="s">
        <v>1361</v>
      </c>
      <c r="P1343" s="9">
        <v>228014</v>
      </c>
      <c r="Q1343" s="9">
        <v>49722</v>
      </c>
      <c r="R1343" s="9">
        <v>277736</v>
      </c>
      <c r="S1343" s="9">
        <v>-143249</v>
      </c>
      <c r="T1343" s="10">
        <v>140093</v>
      </c>
      <c r="U1343" s="10">
        <v>2640</v>
      </c>
    </row>
    <row r="1344" spans="1:21" x14ac:dyDescent="0.35">
      <c r="A1344" t="s">
        <v>15</v>
      </c>
      <c r="B1344" t="s">
        <v>20</v>
      </c>
      <c r="C1344" t="s">
        <v>21</v>
      </c>
      <c r="D1344">
        <v>177310</v>
      </c>
      <c r="E1344">
        <v>17638</v>
      </c>
      <c r="F1344">
        <v>24051</v>
      </c>
      <c r="G1344">
        <v>-145277</v>
      </c>
      <c r="H1344">
        <v>73722</v>
      </c>
      <c r="I1344">
        <v>67337</v>
      </c>
      <c r="J1344">
        <v>786</v>
      </c>
      <c r="K1344">
        <v>453284</v>
      </c>
      <c r="L1344">
        <v>157579</v>
      </c>
      <c r="M1344">
        <v>-116472</v>
      </c>
      <c r="N1344">
        <v>70228</v>
      </c>
      <c r="O1344" t="s">
        <v>1362</v>
      </c>
      <c r="P1344" s="9">
        <v>200843</v>
      </c>
      <c r="Q1344" s="9">
        <v>16432</v>
      </c>
      <c r="R1344" s="9">
        <v>217275</v>
      </c>
      <c r="S1344" s="9">
        <v>-110006</v>
      </c>
      <c r="T1344" s="10">
        <v>58213</v>
      </c>
      <c r="U1344" s="10">
        <v>611</v>
      </c>
    </row>
    <row r="1345" spans="1:21" x14ac:dyDescent="0.35">
      <c r="A1345" t="s">
        <v>15</v>
      </c>
      <c r="B1345" t="s">
        <v>16</v>
      </c>
      <c r="C1345" t="s">
        <v>21</v>
      </c>
      <c r="D1345">
        <v>256122</v>
      </c>
      <c r="E1345">
        <v>49727</v>
      </c>
      <c r="F1345">
        <v>45613</v>
      </c>
      <c r="G1345">
        <v>-205157</v>
      </c>
      <c r="H1345">
        <v>146305</v>
      </c>
      <c r="I1345">
        <v>132626</v>
      </c>
      <c r="J1345">
        <v>1372</v>
      </c>
      <c r="K1345">
        <v>615144</v>
      </c>
      <c r="L1345">
        <v>159742</v>
      </c>
      <c r="M1345">
        <v>-89969</v>
      </c>
      <c r="N1345">
        <v>168978</v>
      </c>
      <c r="O1345" t="s">
        <v>1363</v>
      </c>
      <c r="P1345" s="9">
        <v>258313</v>
      </c>
      <c r="Q1345" s="9">
        <v>57159</v>
      </c>
      <c r="R1345" s="9">
        <v>315472</v>
      </c>
      <c r="S1345" s="9">
        <v>-82159</v>
      </c>
      <c r="T1345" s="10">
        <v>147595</v>
      </c>
      <c r="U1345" s="10">
        <v>3484</v>
      </c>
    </row>
    <row r="1346" spans="1:21" x14ac:dyDescent="0.35">
      <c r="A1346" t="s">
        <v>15</v>
      </c>
      <c r="B1346" t="s">
        <v>16</v>
      </c>
      <c r="C1346" t="s">
        <v>21</v>
      </c>
      <c r="D1346">
        <v>201739</v>
      </c>
      <c r="E1346">
        <v>24253</v>
      </c>
      <c r="F1346">
        <v>39489</v>
      </c>
      <c r="G1346">
        <v>-173056</v>
      </c>
      <c r="H1346">
        <v>92425</v>
      </c>
      <c r="I1346">
        <v>86178</v>
      </c>
      <c r="J1346">
        <v>1325</v>
      </c>
      <c r="K1346">
        <v>767281</v>
      </c>
      <c r="L1346">
        <v>298299</v>
      </c>
      <c r="M1346">
        <v>-282314</v>
      </c>
      <c r="N1346">
        <v>68331</v>
      </c>
      <c r="O1346" t="s">
        <v>1364</v>
      </c>
      <c r="P1346" s="9">
        <v>227154</v>
      </c>
      <c r="Q1346" s="9">
        <v>48330</v>
      </c>
      <c r="R1346" s="9">
        <v>275484</v>
      </c>
      <c r="S1346" s="9">
        <v>-122813</v>
      </c>
      <c r="T1346" s="10">
        <v>95770</v>
      </c>
      <c r="U1346" s="10">
        <v>1507</v>
      </c>
    </row>
    <row r="1347" spans="1:21" x14ac:dyDescent="0.35">
      <c r="A1347" t="s">
        <v>15</v>
      </c>
      <c r="B1347" t="s">
        <v>16</v>
      </c>
      <c r="C1347" t="s">
        <v>21</v>
      </c>
      <c r="D1347">
        <v>164450</v>
      </c>
      <c r="E1347">
        <v>31642</v>
      </c>
      <c r="F1347">
        <v>35991</v>
      </c>
      <c r="G1347">
        <v>-150697</v>
      </c>
      <c r="H1347">
        <v>81386</v>
      </c>
      <c r="I1347">
        <v>76761</v>
      </c>
      <c r="J1347">
        <v>1817</v>
      </c>
      <c r="K1347">
        <v>401943</v>
      </c>
      <c r="L1347">
        <v>59736</v>
      </c>
      <c r="M1347">
        <v>-136365</v>
      </c>
      <c r="N1347">
        <v>124024</v>
      </c>
      <c r="O1347" t="s">
        <v>1365</v>
      </c>
      <c r="P1347" s="9">
        <v>234608</v>
      </c>
      <c r="Q1347" s="9">
        <v>45879</v>
      </c>
      <c r="R1347" s="9">
        <v>280487</v>
      </c>
      <c r="S1347" s="9">
        <v>-145592</v>
      </c>
      <c r="T1347" s="10">
        <v>103249</v>
      </c>
      <c r="U1347" s="10">
        <v>2647</v>
      </c>
    </row>
    <row r="1348" spans="1:21" x14ac:dyDescent="0.35">
      <c r="A1348" t="s">
        <v>15</v>
      </c>
      <c r="B1348" t="s">
        <v>16</v>
      </c>
      <c r="C1348" t="s">
        <v>21</v>
      </c>
      <c r="D1348">
        <v>218435</v>
      </c>
      <c r="E1348">
        <v>20150</v>
      </c>
      <c r="F1348">
        <v>47246</v>
      </c>
      <c r="G1348">
        <v>-180610</v>
      </c>
      <c r="H1348">
        <v>105221</v>
      </c>
      <c r="I1348">
        <v>107503</v>
      </c>
      <c r="J1348">
        <v>1965</v>
      </c>
      <c r="K1348">
        <v>525681</v>
      </c>
      <c r="L1348">
        <v>91487</v>
      </c>
      <c r="M1348">
        <v>-92337</v>
      </c>
      <c r="N1348">
        <v>130382</v>
      </c>
      <c r="O1348" t="s">
        <v>1366</v>
      </c>
      <c r="P1348" s="9">
        <v>173758</v>
      </c>
      <c r="Q1348" s="9">
        <v>18979</v>
      </c>
      <c r="R1348" s="9">
        <v>192737</v>
      </c>
      <c r="S1348" s="9">
        <v>-67646</v>
      </c>
      <c r="T1348" s="10">
        <v>64363</v>
      </c>
      <c r="U1348" s="10">
        <v>718</v>
      </c>
    </row>
    <row r="1349" spans="1:21" x14ac:dyDescent="0.35">
      <c r="A1349" t="s">
        <v>15</v>
      </c>
      <c r="B1349" t="s">
        <v>16</v>
      </c>
      <c r="C1349" t="s">
        <v>21</v>
      </c>
      <c r="D1349">
        <v>252391</v>
      </c>
      <c r="E1349">
        <v>32730</v>
      </c>
      <c r="F1349">
        <v>53999</v>
      </c>
      <c r="G1349">
        <v>-217225</v>
      </c>
      <c r="H1349">
        <v>121895</v>
      </c>
      <c r="I1349">
        <v>121850</v>
      </c>
      <c r="J1349">
        <v>2966</v>
      </c>
      <c r="K1349">
        <v>837691</v>
      </c>
      <c r="L1349">
        <v>366036</v>
      </c>
      <c r="M1349">
        <v>-158564</v>
      </c>
      <c r="N1349">
        <v>178607</v>
      </c>
      <c r="O1349" t="s">
        <v>1367</v>
      </c>
      <c r="P1349" s="9">
        <v>186652</v>
      </c>
      <c r="Q1349" s="9">
        <v>19890</v>
      </c>
      <c r="R1349" s="9">
        <v>206542</v>
      </c>
      <c r="S1349" s="9">
        <v>-116456</v>
      </c>
      <c r="T1349" s="10">
        <v>71826</v>
      </c>
      <c r="U1349" s="10">
        <v>959</v>
      </c>
    </row>
    <row r="1350" spans="1:21" x14ac:dyDescent="0.35">
      <c r="A1350" t="s">
        <v>15</v>
      </c>
      <c r="B1350" t="s">
        <v>16</v>
      </c>
      <c r="C1350" t="s">
        <v>21</v>
      </c>
      <c r="D1350">
        <v>178456</v>
      </c>
      <c r="E1350">
        <v>32019</v>
      </c>
      <c r="F1350">
        <v>23015</v>
      </c>
      <c r="G1350">
        <v>-165604</v>
      </c>
      <c r="H1350">
        <v>67886</v>
      </c>
      <c r="I1350">
        <v>63465</v>
      </c>
      <c r="J1350">
        <v>910</v>
      </c>
      <c r="K1350">
        <v>609448</v>
      </c>
      <c r="L1350">
        <v>299337</v>
      </c>
      <c r="M1350">
        <v>-131796</v>
      </c>
      <c r="N1350">
        <v>104617</v>
      </c>
      <c r="O1350" t="s">
        <v>1368</v>
      </c>
      <c r="P1350" s="9">
        <v>273386</v>
      </c>
      <c r="Q1350" s="9">
        <v>28588</v>
      </c>
      <c r="R1350" s="9">
        <v>301974</v>
      </c>
      <c r="S1350" s="9">
        <v>-139096</v>
      </c>
      <c r="T1350" s="10">
        <v>127088</v>
      </c>
      <c r="U1350" s="10">
        <v>3415</v>
      </c>
    </row>
    <row r="1351" spans="1:21" x14ac:dyDescent="0.35">
      <c r="A1351" t="s">
        <v>15</v>
      </c>
      <c r="B1351" t="s">
        <v>20</v>
      </c>
      <c r="C1351" t="s">
        <v>17</v>
      </c>
      <c r="D1351">
        <v>208164</v>
      </c>
      <c r="E1351">
        <v>37872</v>
      </c>
      <c r="F1351">
        <v>35203</v>
      </c>
      <c r="G1351">
        <v>-181571</v>
      </c>
      <c r="H1351">
        <v>99668</v>
      </c>
      <c r="I1351">
        <v>97126</v>
      </c>
      <c r="J1351">
        <v>1398</v>
      </c>
      <c r="K1351">
        <v>604303</v>
      </c>
      <c r="L1351">
        <v>201731</v>
      </c>
      <c r="M1351">
        <v>-148736</v>
      </c>
      <c r="N1351">
        <v>105640</v>
      </c>
      <c r="O1351" t="s">
        <v>1369</v>
      </c>
      <c r="P1351" s="9">
        <v>173649</v>
      </c>
      <c r="Q1351" s="9">
        <v>19645</v>
      </c>
      <c r="R1351" s="9">
        <v>193294</v>
      </c>
      <c r="S1351" s="9">
        <v>-105564</v>
      </c>
      <c r="T1351" s="10">
        <v>66117</v>
      </c>
      <c r="U1351" s="10">
        <v>818</v>
      </c>
    </row>
    <row r="1352" spans="1:21" x14ac:dyDescent="0.35">
      <c r="A1352" t="s">
        <v>15</v>
      </c>
      <c r="B1352" t="s">
        <v>16</v>
      </c>
      <c r="C1352" t="s">
        <v>21</v>
      </c>
      <c r="D1352">
        <v>274861</v>
      </c>
      <c r="E1352">
        <v>22950</v>
      </c>
      <c r="F1352">
        <v>30451</v>
      </c>
      <c r="G1352">
        <v>-242446</v>
      </c>
      <c r="H1352">
        <v>85816</v>
      </c>
      <c r="I1352">
        <v>79088</v>
      </c>
      <c r="J1352">
        <v>1143</v>
      </c>
      <c r="K1352">
        <v>755720</v>
      </c>
      <c r="L1352">
        <v>110500</v>
      </c>
      <c r="M1352">
        <v>-210980</v>
      </c>
      <c r="N1352">
        <v>131687</v>
      </c>
      <c r="O1352" t="s">
        <v>1370</v>
      </c>
      <c r="P1352" s="9">
        <v>290840</v>
      </c>
      <c r="Q1352" s="9">
        <v>35647</v>
      </c>
      <c r="R1352" s="9">
        <v>326487</v>
      </c>
      <c r="S1352" s="9">
        <v>-94153</v>
      </c>
      <c r="T1352" s="10">
        <v>132409</v>
      </c>
      <c r="U1352" s="10">
        <v>1974</v>
      </c>
    </row>
    <row r="1353" spans="1:21" x14ac:dyDescent="0.35">
      <c r="A1353" t="s">
        <v>15</v>
      </c>
      <c r="B1353" t="s">
        <v>16</v>
      </c>
      <c r="C1353" t="s">
        <v>17</v>
      </c>
      <c r="D1353">
        <v>179078</v>
      </c>
      <c r="E1353">
        <v>24840</v>
      </c>
      <c r="F1353">
        <v>28399</v>
      </c>
      <c r="G1353">
        <v>-155780</v>
      </c>
      <c r="H1353">
        <v>76537</v>
      </c>
      <c r="I1353">
        <v>69191</v>
      </c>
      <c r="J1353">
        <v>1020</v>
      </c>
      <c r="K1353">
        <v>548139</v>
      </c>
      <c r="L1353">
        <v>154419</v>
      </c>
      <c r="M1353">
        <v>-193217</v>
      </c>
      <c r="N1353">
        <v>116389</v>
      </c>
      <c r="O1353" t="s">
        <v>1371</v>
      </c>
      <c r="P1353" s="9">
        <v>286138</v>
      </c>
      <c r="Q1353" s="9">
        <v>45329</v>
      </c>
      <c r="R1353" s="9">
        <v>331467</v>
      </c>
      <c r="S1353" s="9">
        <v>-101175</v>
      </c>
      <c r="T1353" s="10">
        <v>112994</v>
      </c>
      <c r="U1353" s="10">
        <v>2477</v>
      </c>
    </row>
    <row r="1354" spans="1:21" x14ac:dyDescent="0.35">
      <c r="A1354" t="s">
        <v>15</v>
      </c>
      <c r="B1354" t="s">
        <v>16</v>
      </c>
      <c r="C1354" t="s">
        <v>17</v>
      </c>
      <c r="D1354">
        <v>278719</v>
      </c>
      <c r="E1354">
        <v>48505</v>
      </c>
      <c r="F1354">
        <v>29009</v>
      </c>
      <c r="G1354">
        <v>-248239</v>
      </c>
      <c r="H1354">
        <v>107994</v>
      </c>
      <c r="I1354">
        <v>108422</v>
      </c>
      <c r="J1354">
        <v>1860</v>
      </c>
      <c r="K1354">
        <v>593815</v>
      </c>
      <c r="L1354">
        <v>94755</v>
      </c>
      <c r="M1354">
        <v>-200663</v>
      </c>
      <c r="N1354">
        <v>196152</v>
      </c>
      <c r="O1354" t="s">
        <v>1372</v>
      </c>
      <c r="P1354" s="9">
        <v>285792</v>
      </c>
      <c r="Q1354" s="9">
        <v>53930</v>
      </c>
      <c r="R1354" s="9">
        <v>339722</v>
      </c>
      <c r="S1354" s="9">
        <v>-189820</v>
      </c>
      <c r="T1354" s="10">
        <v>126457</v>
      </c>
      <c r="U1354" s="10">
        <v>3341</v>
      </c>
    </row>
    <row r="1355" spans="1:21" x14ac:dyDescent="0.35">
      <c r="A1355" t="s">
        <v>15</v>
      </c>
      <c r="B1355" t="s">
        <v>20</v>
      </c>
      <c r="C1355" t="s">
        <v>21</v>
      </c>
      <c r="D1355">
        <v>161709</v>
      </c>
      <c r="E1355">
        <v>23315</v>
      </c>
      <c r="F1355">
        <v>31805</v>
      </c>
      <c r="G1355">
        <v>-150899</v>
      </c>
      <c r="H1355">
        <v>65930</v>
      </c>
      <c r="I1355">
        <v>68240</v>
      </c>
      <c r="J1355">
        <v>1743</v>
      </c>
      <c r="K1355">
        <v>523857</v>
      </c>
      <c r="L1355">
        <v>214899</v>
      </c>
      <c r="M1355">
        <v>-65571</v>
      </c>
      <c r="N1355">
        <v>79487</v>
      </c>
      <c r="O1355" t="s">
        <v>1373</v>
      </c>
      <c r="P1355" s="9">
        <v>184645</v>
      </c>
      <c r="Q1355" s="9">
        <v>12940</v>
      </c>
      <c r="R1355" s="9">
        <v>197585</v>
      </c>
      <c r="S1355" s="9">
        <v>-106220</v>
      </c>
      <c r="T1355" s="10">
        <v>52450</v>
      </c>
      <c r="U1355" s="10">
        <v>863</v>
      </c>
    </row>
    <row r="1356" spans="1:21" x14ac:dyDescent="0.35">
      <c r="A1356" t="s">
        <v>15</v>
      </c>
      <c r="B1356" t="s">
        <v>16</v>
      </c>
      <c r="C1356" t="s">
        <v>21</v>
      </c>
      <c r="D1356">
        <v>280508</v>
      </c>
      <c r="E1356">
        <v>38698</v>
      </c>
      <c r="F1356">
        <v>45074</v>
      </c>
      <c r="G1356">
        <v>-274818</v>
      </c>
      <c r="H1356">
        <v>89462</v>
      </c>
      <c r="I1356">
        <v>90216</v>
      </c>
      <c r="J1356">
        <v>1406</v>
      </c>
      <c r="K1356">
        <v>1112984</v>
      </c>
      <c r="L1356">
        <v>207939</v>
      </c>
      <c r="M1356">
        <v>-151041</v>
      </c>
      <c r="N1356">
        <v>184354</v>
      </c>
      <c r="O1356" t="s">
        <v>1374</v>
      </c>
      <c r="P1356" s="9">
        <v>278648</v>
      </c>
      <c r="Q1356" s="9">
        <v>32478</v>
      </c>
      <c r="R1356" s="9">
        <v>311126</v>
      </c>
      <c r="S1356" s="9">
        <v>-109696</v>
      </c>
      <c r="T1356" s="10">
        <v>87614</v>
      </c>
      <c r="U1356" s="10">
        <v>1863</v>
      </c>
    </row>
    <row r="1357" spans="1:21" x14ac:dyDescent="0.35">
      <c r="A1357" t="s">
        <v>15</v>
      </c>
      <c r="B1357" t="s">
        <v>16</v>
      </c>
      <c r="C1357" t="s">
        <v>21</v>
      </c>
      <c r="D1357">
        <v>150957</v>
      </c>
      <c r="E1357">
        <v>20258</v>
      </c>
      <c r="F1357">
        <v>31394</v>
      </c>
      <c r="G1357">
        <v>-136502</v>
      </c>
      <c r="H1357">
        <v>66107</v>
      </c>
      <c r="I1357">
        <v>62810</v>
      </c>
      <c r="J1357">
        <v>917</v>
      </c>
      <c r="K1357">
        <v>543915</v>
      </c>
      <c r="L1357">
        <v>80072</v>
      </c>
      <c r="M1357">
        <v>-103900</v>
      </c>
      <c r="N1357">
        <v>125169</v>
      </c>
      <c r="O1357" t="s">
        <v>1375</v>
      </c>
      <c r="P1357" s="9">
        <v>180925</v>
      </c>
      <c r="Q1357" s="9">
        <v>24734</v>
      </c>
      <c r="R1357" s="9">
        <v>205659</v>
      </c>
      <c r="S1357" s="9">
        <v>-56784</v>
      </c>
      <c r="T1357" s="10">
        <v>67842</v>
      </c>
      <c r="U1357" s="10">
        <v>791</v>
      </c>
    </row>
    <row r="1358" spans="1:21" x14ac:dyDescent="0.35">
      <c r="A1358" t="s">
        <v>15</v>
      </c>
      <c r="B1358" t="s">
        <v>16</v>
      </c>
      <c r="C1358" t="s">
        <v>21</v>
      </c>
      <c r="D1358">
        <v>167669</v>
      </c>
      <c r="E1358">
        <v>31840</v>
      </c>
      <c r="F1358">
        <v>16793</v>
      </c>
      <c r="G1358">
        <v>-139540</v>
      </c>
      <c r="H1358">
        <v>76762</v>
      </c>
      <c r="I1358">
        <v>76495</v>
      </c>
      <c r="J1358">
        <v>805</v>
      </c>
      <c r="K1358">
        <v>481231</v>
      </c>
      <c r="L1358">
        <v>97670</v>
      </c>
      <c r="M1358">
        <v>-72481</v>
      </c>
      <c r="N1358">
        <v>146934</v>
      </c>
      <c r="O1358" t="s">
        <v>1376</v>
      </c>
      <c r="P1358" s="9">
        <v>275672</v>
      </c>
      <c r="Q1358" s="9">
        <v>29979</v>
      </c>
      <c r="R1358" s="9">
        <v>305651</v>
      </c>
      <c r="S1358" s="9">
        <v>-141569</v>
      </c>
      <c r="T1358" s="10">
        <v>94784</v>
      </c>
      <c r="U1358" s="10">
        <v>2816</v>
      </c>
    </row>
    <row r="1359" spans="1:21" x14ac:dyDescent="0.35">
      <c r="A1359" t="s">
        <v>15</v>
      </c>
      <c r="B1359" t="s">
        <v>16</v>
      </c>
      <c r="C1359" t="s">
        <v>21</v>
      </c>
      <c r="D1359">
        <v>151674</v>
      </c>
      <c r="E1359">
        <v>18597</v>
      </c>
      <c r="F1359">
        <v>19916</v>
      </c>
      <c r="G1359">
        <v>-142436</v>
      </c>
      <c r="H1359">
        <v>47751</v>
      </c>
      <c r="I1359">
        <v>47408</v>
      </c>
      <c r="J1359">
        <v>1098</v>
      </c>
      <c r="K1359">
        <v>523262</v>
      </c>
      <c r="L1359">
        <v>166172</v>
      </c>
      <c r="M1359">
        <v>-195350</v>
      </c>
      <c r="N1359">
        <v>110319</v>
      </c>
      <c r="O1359" t="s">
        <v>1377</v>
      </c>
      <c r="P1359" s="9">
        <v>188726</v>
      </c>
      <c r="Q1359" s="9">
        <v>36377</v>
      </c>
      <c r="R1359" s="9">
        <v>225103</v>
      </c>
      <c r="S1359" s="9">
        <v>-55757</v>
      </c>
      <c r="T1359" s="10">
        <v>95691</v>
      </c>
      <c r="U1359" s="10">
        <v>2506</v>
      </c>
    </row>
    <row r="1360" spans="1:21" x14ac:dyDescent="0.35">
      <c r="A1360" t="s">
        <v>15</v>
      </c>
      <c r="B1360" t="s">
        <v>20</v>
      </c>
      <c r="C1360" t="s">
        <v>21</v>
      </c>
      <c r="D1360">
        <v>174757</v>
      </c>
      <c r="E1360">
        <v>22376</v>
      </c>
      <c r="F1360">
        <v>26504</v>
      </c>
      <c r="G1360">
        <v>-157508</v>
      </c>
      <c r="H1360">
        <v>66129</v>
      </c>
      <c r="I1360">
        <v>68558</v>
      </c>
      <c r="J1360">
        <v>1216</v>
      </c>
      <c r="K1360">
        <v>569892</v>
      </c>
      <c r="L1360">
        <v>251852</v>
      </c>
      <c r="M1360">
        <v>-133071</v>
      </c>
      <c r="N1360">
        <v>97332</v>
      </c>
      <c r="O1360" t="s">
        <v>1378</v>
      </c>
      <c r="P1360" s="9">
        <v>184226</v>
      </c>
      <c r="Q1360" s="9">
        <v>17329</v>
      </c>
      <c r="R1360" s="9">
        <v>201555</v>
      </c>
      <c r="S1360" s="9">
        <v>-113282</v>
      </c>
      <c r="T1360" s="10">
        <v>68318</v>
      </c>
      <c r="U1360" s="10">
        <v>1132</v>
      </c>
    </row>
    <row r="1361" spans="1:21" x14ac:dyDescent="0.35">
      <c r="A1361" t="s">
        <v>15</v>
      </c>
      <c r="B1361" t="s">
        <v>16</v>
      </c>
      <c r="C1361" t="s">
        <v>21</v>
      </c>
      <c r="D1361">
        <v>273462</v>
      </c>
      <c r="E1361">
        <v>27478</v>
      </c>
      <c r="F1361">
        <v>50846</v>
      </c>
      <c r="G1361">
        <v>-227650</v>
      </c>
      <c r="H1361">
        <v>124136</v>
      </c>
      <c r="I1361">
        <v>118578</v>
      </c>
      <c r="J1361">
        <v>2479</v>
      </c>
      <c r="K1361">
        <v>764844</v>
      </c>
      <c r="L1361">
        <v>241386</v>
      </c>
      <c r="M1361">
        <v>-103034</v>
      </c>
      <c r="N1361">
        <v>138306</v>
      </c>
      <c r="O1361" t="s">
        <v>1379</v>
      </c>
      <c r="P1361" s="9">
        <v>227701</v>
      </c>
      <c r="Q1361" s="9">
        <v>20954</v>
      </c>
      <c r="R1361" s="9">
        <v>248655</v>
      </c>
      <c r="S1361" s="9">
        <v>-131180</v>
      </c>
      <c r="T1361" s="10">
        <v>89393</v>
      </c>
      <c r="U1361" s="10">
        <v>1841</v>
      </c>
    </row>
    <row r="1362" spans="1:21" x14ac:dyDescent="0.35">
      <c r="A1362" t="s">
        <v>15</v>
      </c>
      <c r="B1362" t="s">
        <v>20</v>
      </c>
      <c r="C1362" t="s">
        <v>21</v>
      </c>
      <c r="D1362">
        <v>205735</v>
      </c>
      <c r="E1362">
        <v>18411</v>
      </c>
      <c r="F1362">
        <v>51054</v>
      </c>
      <c r="G1362">
        <v>-186480</v>
      </c>
      <c r="H1362">
        <v>88720</v>
      </c>
      <c r="I1362">
        <v>89283</v>
      </c>
      <c r="J1362">
        <v>1853</v>
      </c>
      <c r="K1362">
        <v>474645</v>
      </c>
      <c r="L1362">
        <v>194913</v>
      </c>
      <c r="M1362">
        <v>-58468</v>
      </c>
      <c r="N1362">
        <v>111457</v>
      </c>
      <c r="O1362" t="s">
        <v>1380</v>
      </c>
      <c r="P1362" s="9">
        <v>187113</v>
      </c>
      <c r="Q1362" s="9">
        <v>35199</v>
      </c>
      <c r="R1362" s="9">
        <v>222312</v>
      </c>
      <c r="S1362" s="9">
        <v>-59104</v>
      </c>
      <c r="T1362" s="10">
        <v>86389</v>
      </c>
      <c r="U1362" s="10">
        <v>1819</v>
      </c>
    </row>
    <row r="1363" spans="1:21" x14ac:dyDescent="0.35">
      <c r="A1363" t="s">
        <v>15</v>
      </c>
      <c r="B1363" t="s">
        <v>20</v>
      </c>
      <c r="C1363" t="s">
        <v>17</v>
      </c>
      <c r="D1363">
        <v>209436</v>
      </c>
      <c r="E1363">
        <v>27480</v>
      </c>
      <c r="F1363">
        <v>29743</v>
      </c>
      <c r="G1363">
        <v>-201450</v>
      </c>
      <c r="H1363">
        <v>65209</v>
      </c>
      <c r="I1363">
        <v>64880</v>
      </c>
      <c r="J1363">
        <v>909</v>
      </c>
      <c r="K1363">
        <v>540111</v>
      </c>
      <c r="L1363">
        <v>159355</v>
      </c>
      <c r="M1363">
        <v>-214570</v>
      </c>
      <c r="N1363">
        <v>163612</v>
      </c>
      <c r="O1363" t="s">
        <v>1381</v>
      </c>
      <c r="P1363" s="9">
        <v>178319</v>
      </c>
      <c r="Q1363" s="9">
        <v>12425</v>
      </c>
      <c r="R1363" s="9">
        <v>190744</v>
      </c>
      <c r="S1363" s="9">
        <v>-51531</v>
      </c>
      <c r="T1363" s="10">
        <v>53181</v>
      </c>
      <c r="U1363" s="10">
        <v>950</v>
      </c>
    </row>
    <row r="1364" spans="1:21" x14ac:dyDescent="0.35">
      <c r="A1364" t="s">
        <v>15</v>
      </c>
      <c r="B1364" t="s">
        <v>16</v>
      </c>
      <c r="C1364" t="s">
        <v>17</v>
      </c>
      <c r="D1364">
        <v>156783</v>
      </c>
      <c r="E1364">
        <v>12987</v>
      </c>
      <c r="F1364">
        <v>37857</v>
      </c>
      <c r="G1364">
        <v>-136006</v>
      </c>
      <c r="H1364">
        <v>71621</v>
      </c>
      <c r="I1364">
        <v>68530</v>
      </c>
      <c r="J1364">
        <v>1591</v>
      </c>
      <c r="K1364">
        <v>593675</v>
      </c>
      <c r="L1364">
        <v>188150</v>
      </c>
      <c r="M1364">
        <v>-73654</v>
      </c>
      <c r="N1364">
        <v>135298</v>
      </c>
      <c r="O1364" t="s">
        <v>1382</v>
      </c>
      <c r="P1364" s="9">
        <v>213726</v>
      </c>
      <c r="Q1364" s="9">
        <v>28763</v>
      </c>
      <c r="R1364" s="9">
        <v>242489</v>
      </c>
      <c r="S1364" s="9">
        <v>-89281</v>
      </c>
      <c r="T1364" s="10">
        <v>106395</v>
      </c>
      <c r="U1364" s="10">
        <v>2638</v>
      </c>
    </row>
    <row r="1365" spans="1:21" x14ac:dyDescent="0.35">
      <c r="A1365" t="s">
        <v>15</v>
      </c>
      <c r="B1365" t="s">
        <v>16</v>
      </c>
      <c r="C1365" t="s">
        <v>17</v>
      </c>
      <c r="D1365">
        <v>232261</v>
      </c>
      <c r="E1365">
        <v>35925</v>
      </c>
      <c r="F1365">
        <v>32402</v>
      </c>
      <c r="G1365">
        <v>-218487</v>
      </c>
      <c r="H1365">
        <v>82101</v>
      </c>
      <c r="I1365">
        <v>75856</v>
      </c>
      <c r="J1365">
        <v>1942</v>
      </c>
      <c r="K1365">
        <v>808520</v>
      </c>
      <c r="L1365">
        <v>116564</v>
      </c>
      <c r="M1365">
        <v>-232335</v>
      </c>
      <c r="N1365">
        <v>130568</v>
      </c>
      <c r="O1365" t="s">
        <v>1383</v>
      </c>
      <c r="P1365" s="9">
        <v>186678</v>
      </c>
      <c r="Q1365" s="9">
        <v>33070</v>
      </c>
      <c r="R1365" s="9">
        <v>219748</v>
      </c>
      <c r="S1365" s="9">
        <v>-111886</v>
      </c>
      <c r="T1365" s="10">
        <v>74097</v>
      </c>
      <c r="U1365" s="10">
        <v>1709</v>
      </c>
    </row>
    <row r="1366" spans="1:21" x14ac:dyDescent="0.35">
      <c r="A1366" t="s">
        <v>15</v>
      </c>
      <c r="B1366" t="s">
        <v>16</v>
      </c>
      <c r="C1366" t="s">
        <v>21</v>
      </c>
      <c r="D1366">
        <v>286005</v>
      </c>
      <c r="E1366">
        <v>46375</v>
      </c>
      <c r="F1366">
        <v>70994</v>
      </c>
      <c r="G1366">
        <v>-229701</v>
      </c>
      <c r="H1366">
        <v>173673</v>
      </c>
      <c r="I1366">
        <v>163901</v>
      </c>
      <c r="J1366">
        <v>4510</v>
      </c>
      <c r="K1366">
        <v>761328</v>
      </c>
      <c r="L1366">
        <v>170181</v>
      </c>
      <c r="M1366">
        <v>-101705</v>
      </c>
      <c r="N1366">
        <v>93801</v>
      </c>
      <c r="O1366" t="s">
        <v>1384</v>
      </c>
      <c r="P1366" s="9">
        <v>221811</v>
      </c>
      <c r="Q1366" s="9">
        <v>27814</v>
      </c>
      <c r="R1366" s="9">
        <v>249625</v>
      </c>
      <c r="S1366" s="9">
        <v>-56216</v>
      </c>
      <c r="T1366" s="10">
        <v>80075</v>
      </c>
      <c r="U1366" s="10">
        <v>1180</v>
      </c>
    </row>
    <row r="1367" spans="1:21" x14ac:dyDescent="0.35">
      <c r="A1367" t="s">
        <v>15</v>
      </c>
      <c r="B1367" t="s">
        <v>16</v>
      </c>
      <c r="C1367" t="s">
        <v>21</v>
      </c>
      <c r="D1367">
        <v>200684</v>
      </c>
      <c r="E1367">
        <v>36985</v>
      </c>
      <c r="F1367">
        <v>27600</v>
      </c>
      <c r="G1367">
        <v>-199471</v>
      </c>
      <c r="H1367">
        <v>65798</v>
      </c>
      <c r="I1367">
        <v>63255</v>
      </c>
      <c r="J1367">
        <v>1414</v>
      </c>
      <c r="K1367">
        <v>764727</v>
      </c>
      <c r="L1367">
        <v>229037</v>
      </c>
      <c r="M1367">
        <v>-178291</v>
      </c>
      <c r="N1367">
        <v>79747</v>
      </c>
      <c r="O1367" t="s">
        <v>1385</v>
      </c>
      <c r="P1367" s="9">
        <v>198347</v>
      </c>
      <c r="Q1367" s="9">
        <v>20386</v>
      </c>
      <c r="R1367" s="9">
        <v>218733</v>
      </c>
      <c r="S1367" s="9">
        <v>-67175</v>
      </c>
      <c r="T1367" s="10">
        <v>58399</v>
      </c>
      <c r="U1367" s="10">
        <v>1719</v>
      </c>
    </row>
    <row r="1368" spans="1:21" x14ac:dyDescent="0.35">
      <c r="A1368" t="s">
        <v>15</v>
      </c>
      <c r="B1368" t="s">
        <v>20</v>
      </c>
      <c r="C1368" t="s">
        <v>21</v>
      </c>
      <c r="D1368">
        <v>168959</v>
      </c>
      <c r="E1368">
        <v>16484</v>
      </c>
      <c r="F1368">
        <v>19624</v>
      </c>
      <c r="G1368">
        <v>-160100</v>
      </c>
      <c r="H1368">
        <v>44967</v>
      </c>
      <c r="I1368">
        <v>42676</v>
      </c>
      <c r="J1368">
        <v>718</v>
      </c>
      <c r="K1368">
        <v>602585</v>
      </c>
      <c r="L1368">
        <v>111799</v>
      </c>
      <c r="M1368">
        <v>-234778</v>
      </c>
      <c r="N1368">
        <v>83977</v>
      </c>
      <c r="O1368" t="s">
        <v>1386</v>
      </c>
      <c r="P1368" s="9">
        <v>222020</v>
      </c>
      <c r="Q1368" s="9">
        <v>40902</v>
      </c>
      <c r="R1368" s="9">
        <v>262922</v>
      </c>
      <c r="S1368" s="9">
        <v>-66882</v>
      </c>
      <c r="T1368" s="10">
        <v>95826</v>
      </c>
      <c r="U1368" s="10">
        <v>2454</v>
      </c>
    </row>
    <row r="1369" spans="1:21" x14ac:dyDescent="0.35">
      <c r="A1369" t="s">
        <v>15</v>
      </c>
      <c r="B1369" t="s">
        <v>20</v>
      </c>
      <c r="C1369" t="s">
        <v>17</v>
      </c>
      <c r="D1369">
        <v>259995</v>
      </c>
      <c r="E1369">
        <v>24271</v>
      </c>
      <c r="F1369">
        <v>45218</v>
      </c>
      <c r="G1369">
        <v>-259884</v>
      </c>
      <c r="H1369">
        <v>69600</v>
      </c>
      <c r="I1369">
        <v>63072</v>
      </c>
      <c r="J1369">
        <v>1262</v>
      </c>
      <c r="K1369">
        <v>562976</v>
      </c>
      <c r="L1369">
        <v>134006</v>
      </c>
      <c r="M1369">
        <v>-127675</v>
      </c>
      <c r="N1369">
        <v>99927</v>
      </c>
      <c r="O1369" t="s">
        <v>1387</v>
      </c>
      <c r="P1369" s="9">
        <v>163657</v>
      </c>
      <c r="Q1369" s="9">
        <v>14065</v>
      </c>
      <c r="R1369" s="9">
        <v>177722</v>
      </c>
      <c r="S1369" s="9">
        <v>-104413</v>
      </c>
      <c r="T1369" s="10">
        <v>75355</v>
      </c>
      <c r="U1369" s="10">
        <v>1456</v>
      </c>
    </row>
    <row r="1370" spans="1:21" x14ac:dyDescent="0.35">
      <c r="A1370" t="s">
        <v>15</v>
      </c>
      <c r="B1370" t="s">
        <v>16</v>
      </c>
      <c r="C1370" t="s">
        <v>21</v>
      </c>
      <c r="D1370">
        <v>163135</v>
      </c>
      <c r="E1370">
        <v>10573</v>
      </c>
      <c r="F1370">
        <v>19533</v>
      </c>
      <c r="G1370">
        <v>-154772</v>
      </c>
      <c r="H1370">
        <v>38469</v>
      </c>
      <c r="I1370">
        <v>34661</v>
      </c>
      <c r="J1370">
        <v>728</v>
      </c>
      <c r="K1370">
        <v>434211</v>
      </c>
      <c r="L1370">
        <v>70415</v>
      </c>
      <c r="M1370">
        <v>-118763</v>
      </c>
      <c r="N1370">
        <v>84655</v>
      </c>
      <c r="O1370" t="s">
        <v>1388</v>
      </c>
      <c r="P1370" s="9">
        <v>319924</v>
      </c>
      <c r="Q1370" s="9">
        <v>18963</v>
      </c>
      <c r="R1370" s="9">
        <v>338887</v>
      </c>
      <c r="S1370" s="9">
        <v>-156630</v>
      </c>
      <c r="T1370" s="10">
        <v>104541</v>
      </c>
      <c r="U1370" s="10">
        <v>2227</v>
      </c>
    </row>
    <row r="1371" spans="1:21" x14ac:dyDescent="0.35">
      <c r="A1371" t="s">
        <v>15</v>
      </c>
      <c r="B1371" t="s">
        <v>20</v>
      </c>
      <c r="C1371" t="s">
        <v>21</v>
      </c>
      <c r="D1371">
        <v>241613</v>
      </c>
      <c r="E1371">
        <v>23321</v>
      </c>
      <c r="F1371">
        <v>40018</v>
      </c>
      <c r="G1371">
        <v>-194415</v>
      </c>
      <c r="H1371">
        <v>110537</v>
      </c>
      <c r="I1371">
        <v>108759</v>
      </c>
      <c r="J1371">
        <v>1392</v>
      </c>
      <c r="K1371">
        <v>966218</v>
      </c>
      <c r="L1371">
        <v>150398</v>
      </c>
      <c r="M1371">
        <v>-193010</v>
      </c>
      <c r="N1371">
        <v>197451</v>
      </c>
      <c r="O1371" t="s">
        <v>1389</v>
      </c>
      <c r="P1371" s="9">
        <v>264600</v>
      </c>
      <c r="Q1371" s="9">
        <v>30285</v>
      </c>
      <c r="R1371" s="9">
        <v>294885</v>
      </c>
      <c r="S1371" s="9">
        <v>-160140</v>
      </c>
      <c r="T1371" s="10">
        <v>131147</v>
      </c>
      <c r="U1371" s="10">
        <v>2489</v>
      </c>
    </row>
    <row r="1372" spans="1:21" x14ac:dyDescent="0.35">
      <c r="A1372" t="s">
        <v>15</v>
      </c>
      <c r="B1372" t="s">
        <v>16</v>
      </c>
      <c r="C1372" t="s">
        <v>21</v>
      </c>
      <c r="D1372">
        <v>244006</v>
      </c>
      <c r="E1372">
        <v>18831</v>
      </c>
      <c r="F1372">
        <v>36390</v>
      </c>
      <c r="G1372">
        <v>-224995</v>
      </c>
      <c r="H1372">
        <v>74232</v>
      </c>
      <c r="I1372">
        <v>67703</v>
      </c>
      <c r="J1372">
        <v>1838</v>
      </c>
      <c r="K1372">
        <v>919479</v>
      </c>
      <c r="L1372">
        <v>229372</v>
      </c>
      <c r="M1372">
        <v>-162698</v>
      </c>
      <c r="N1372">
        <v>101935</v>
      </c>
      <c r="O1372" t="s">
        <v>1390</v>
      </c>
      <c r="P1372" s="9">
        <v>249451</v>
      </c>
      <c r="Q1372" s="9">
        <v>31363</v>
      </c>
      <c r="R1372" s="9">
        <v>280814</v>
      </c>
      <c r="S1372" s="9">
        <v>-97715</v>
      </c>
      <c r="T1372" s="10">
        <v>96424</v>
      </c>
      <c r="U1372" s="10">
        <v>2175</v>
      </c>
    </row>
    <row r="1373" spans="1:21" x14ac:dyDescent="0.35">
      <c r="A1373" t="s">
        <v>15</v>
      </c>
      <c r="B1373" t="s">
        <v>16</v>
      </c>
      <c r="C1373" t="s">
        <v>21</v>
      </c>
      <c r="D1373">
        <v>152293</v>
      </c>
      <c r="E1373">
        <v>25024</v>
      </c>
      <c r="F1373">
        <v>31484</v>
      </c>
      <c r="G1373">
        <v>-134673</v>
      </c>
      <c r="H1373">
        <v>74128</v>
      </c>
      <c r="I1373">
        <v>69744</v>
      </c>
      <c r="J1373">
        <v>1050</v>
      </c>
      <c r="K1373">
        <v>543398</v>
      </c>
      <c r="L1373">
        <v>182841</v>
      </c>
      <c r="M1373">
        <v>-131536</v>
      </c>
      <c r="N1373">
        <v>96187</v>
      </c>
      <c r="O1373" t="s">
        <v>1391</v>
      </c>
      <c r="P1373" s="9">
        <v>254230</v>
      </c>
      <c r="Q1373" s="9">
        <v>45370</v>
      </c>
      <c r="R1373" s="9">
        <v>299600</v>
      </c>
      <c r="S1373" s="9">
        <v>-155573</v>
      </c>
      <c r="T1373" s="10">
        <v>105785</v>
      </c>
      <c r="U1373" s="10">
        <v>1395</v>
      </c>
    </row>
    <row r="1374" spans="1:21" x14ac:dyDescent="0.35">
      <c r="A1374" t="s">
        <v>15</v>
      </c>
      <c r="B1374" t="s">
        <v>16</v>
      </c>
      <c r="C1374" t="s">
        <v>21</v>
      </c>
      <c r="D1374">
        <v>245668</v>
      </c>
      <c r="E1374">
        <v>35502</v>
      </c>
      <c r="F1374">
        <v>57830</v>
      </c>
      <c r="G1374">
        <v>-217875</v>
      </c>
      <c r="H1374">
        <v>121125</v>
      </c>
      <c r="I1374">
        <v>118067</v>
      </c>
      <c r="J1374">
        <v>1493</v>
      </c>
      <c r="K1374">
        <v>862011</v>
      </c>
      <c r="L1374">
        <v>245760</v>
      </c>
      <c r="M1374">
        <v>-291136</v>
      </c>
      <c r="N1374">
        <v>149049</v>
      </c>
      <c r="O1374" t="s">
        <v>1392</v>
      </c>
      <c r="P1374" s="9">
        <v>247502</v>
      </c>
      <c r="Q1374" s="9">
        <v>37536</v>
      </c>
      <c r="R1374" s="9">
        <v>285038</v>
      </c>
      <c r="S1374" s="9">
        <v>-109020</v>
      </c>
      <c r="T1374" s="10">
        <v>116629</v>
      </c>
      <c r="U1374" s="10">
        <v>1619</v>
      </c>
    </row>
    <row r="1375" spans="1:21" x14ac:dyDescent="0.35">
      <c r="A1375" t="s">
        <v>15</v>
      </c>
      <c r="B1375" t="s">
        <v>16</v>
      </c>
      <c r="C1375" t="s">
        <v>21</v>
      </c>
      <c r="D1375">
        <v>164934</v>
      </c>
      <c r="E1375">
        <v>20953</v>
      </c>
      <c r="F1375">
        <v>25789</v>
      </c>
      <c r="G1375">
        <v>-163223</v>
      </c>
      <c r="H1375">
        <v>48453</v>
      </c>
      <c r="I1375">
        <v>47799</v>
      </c>
      <c r="J1375">
        <v>1428</v>
      </c>
      <c r="K1375">
        <v>499726</v>
      </c>
      <c r="L1375">
        <v>217061</v>
      </c>
      <c r="M1375">
        <v>-53131</v>
      </c>
      <c r="N1375">
        <v>53994</v>
      </c>
      <c r="O1375" t="s">
        <v>1393</v>
      </c>
      <c r="P1375" s="9">
        <v>282137</v>
      </c>
      <c r="Q1375" s="9">
        <v>32616</v>
      </c>
      <c r="R1375" s="9">
        <v>314753</v>
      </c>
      <c r="S1375" s="9">
        <v>-178207</v>
      </c>
      <c r="T1375" s="10">
        <v>116793</v>
      </c>
      <c r="U1375" s="10">
        <v>3043</v>
      </c>
    </row>
    <row r="1376" spans="1:21" x14ac:dyDescent="0.35">
      <c r="A1376" t="s">
        <v>15</v>
      </c>
      <c r="B1376" t="s">
        <v>16</v>
      </c>
      <c r="C1376" t="s">
        <v>17</v>
      </c>
      <c r="D1376">
        <v>173767</v>
      </c>
      <c r="E1376">
        <v>30184</v>
      </c>
      <c r="F1376">
        <v>40839</v>
      </c>
      <c r="G1376">
        <v>-141372</v>
      </c>
      <c r="H1376">
        <v>103418</v>
      </c>
      <c r="I1376">
        <v>93613</v>
      </c>
      <c r="J1376">
        <v>2405</v>
      </c>
      <c r="K1376">
        <v>526558</v>
      </c>
      <c r="L1376">
        <v>132387</v>
      </c>
      <c r="M1376">
        <v>-114417</v>
      </c>
      <c r="N1376">
        <v>142987</v>
      </c>
      <c r="O1376" t="s">
        <v>1394</v>
      </c>
      <c r="P1376" s="9">
        <v>249618</v>
      </c>
      <c r="Q1376" s="9">
        <v>44581</v>
      </c>
      <c r="R1376" s="9">
        <v>294199</v>
      </c>
      <c r="S1376" s="9">
        <v>-137260</v>
      </c>
      <c r="T1376" s="10">
        <v>81577</v>
      </c>
      <c r="U1376" s="10">
        <v>1665</v>
      </c>
    </row>
    <row r="1377" spans="1:21" x14ac:dyDescent="0.35">
      <c r="A1377" t="s">
        <v>15</v>
      </c>
      <c r="B1377" t="s">
        <v>16</v>
      </c>
      <c r="C1377" t="s">
        <v>21</v>
      </c>
      <c r="D1377">
        <v>262403</v>
      </c>
      <c r="E1377">
        <v>46187</v>
      </c>
      <c r="F1377">
        <v>44012</v>
      </c>
      <c r="G1377">
        <v>-248458</v>
      </c>
      <c r="H1377">
        <v>104144</v>
      </c>
      <c r="I1377">
        <v>105904</v>
      </c>
      <c r="J1377">
        <v>2876</v>
      </c>
      <c r="K1377">
        <v>1035714</v>
      </c>
      <c r="L1377">
        <v>256085</v>
      </c>
      <c r="M1377">
        <v>-167846</v>
      </c>
      <c r="N1377">
        <v>185943</v>
      </c>
      <c r="O1377" t="s">
        <v>1395</v>
      </c>
      <c r="P1377" s="9">
        <v>174179</v>
      </c>
      <c r="Q1377" s="9">
        <v>32656</v>
      </c>
      <c r="R1377" s="9">
        <v>206835</v>
      </c>
      <c r="S1377" s="9">
        <v>-72005</v>
      </c>
      <c r="T1377" s="10">
        <v>67153</v>
      </c>
      <c r="U1377" s="10">
        <v>1999</v>
      </c>
    </row>
    <row r="1378" spans="1:21" x14ac:dyDescent="0.35">
      <c r="A1378" t="s">
        <v>15</v>
      </c>
      <c r="B1378" t="s">
        <v>20</v>
      </c>
      <c r="C1378" t="s">
        <v>21</v>
      </c>
      <c r="D1378">
        <v>163293</v>
      </c>
      <c r="E1378">
        <v>15544</v>
      </c>
      <c r="F1378">
        <v>29835</v>
      </c>
      <c r="G1378">
        <v>-161493</v>
      </c>
      <c r="H1378">
        <v>47179</v>
      </c>
      <c r="I1378">
        <v>48182</v>
      </c>
      <c r="J1378">
        <v>928</v>
      </c>
      <c r="K1378">
        <v>439451</v>
      </c>
      <c r="L1378">
        <v>130685</v>
      </c>
      <c r="M1378">
        <v>-140938</v>
      </c>
      <c r="N1378">
        <v>56921</v>
      </c>
      <c r="O1378" t="s">
        <v>1396</v>
      </c>
      <c r="P1378" s="9">
        <v>199639</v>
      </c>
      <c r="Q1378" s="9">
        <v>24342</v>
      </c>
      <c r="R1378" s="9">
        <v>223981</v>
      </c>
      <c r="S1378" s="9">
        <v>-49259</v>
      </c>
      <c r="T1378" s="10">
        <v>92423</v>
      </c>
      <c r="U1378" s="10">
        <v>1455</v>
      </c>
    </row>
    <row r="1379" spans="1:21" x14ac:dyDescent="0.35">
      <c r="A1379" t="s">
        <v>15</v>
      </c>
      <c r="B1379" t="s">
        <v>20</v>
      </c>
      <c r="C1379" t="s">
        <v>21</v>
      </c>
      <c r="D1379">
        <v>201351</v>
      </c>
      <c r="E1379">
        <v>13315</v>
      </c>
      <c r="F1379">
        <v>31929</v>
      </c>
      <c r="G1379">
        <v>-190331</v>
      </c>
      <c r="H1379">
        <v>56264</v>
      </c>
      <c r="I1379">
        <v>53269</v>
      </c>
      <c r="J1379">
        <v>1528</v>
      </c>
      <c r="K1379">
        <v>484468</v>
      </c>
      <c r="L1379">
        <v>175061</v>
      </c>
      <c r="M1379">
        <v>-176686</v>
      </c>
      <c r="N1379">
        <v>158902</v>
      </c>
      <c r="O1379" t="s">
        <v>1397</v>
      </c>
      <c r="P1379" s="9">
        <v>221119</v>
      </c>
      <c r="Q1379" s="9">
        <v>24278</v>
      </c>
      <c r="R1379" s="9">
        <v>245397</v>
      </c>
      <c r="S1379" s="9">
        <v>-143634</v>
      </c>
      <c r="T1379" s="10">
        <v>79261</v>
      </c>
      <c r="U1379" s="10">
        <v>1798</v>
      </c>
    </row>
    <row r="1380" spans="1:21" x14ac:dyDescent="0.35">
      <c r="A1380" t="s">
        <v>15</v>
      </c>
      <c r="B1380" t="s">
        <v>16</v>
      </c>
      <c r="C1380" t="s">
        <v>17</v>
      </c>
      <c r="D1380">
        <v>227979</v>
      </c>
      <c r="E1380">
        <v>24769</v>
      </c>
      <c r="F1380">
        <v>33433</v>
      </c>
      <c r="G1380">
        <v>-221228</v>
      </c>
      <c r="H1380">
        <v>64953</v>
      </c>
      <c r="I1380">
        <v>63247</v>
      </c>
      <c r="J1380">
        <v>1347</v>
      </c>
      <c r="K1380">
        <v>550922</v>
      </c>
      <c r="L1380">
        <v>144922</v>
      </c>
      <c r="M1380">
        <v>-103608</v>
      </c>
      <c r="N1380">
        <v>114054</v>
      </c>
      <c r="O1380" t="s">
        <v>1398</v>
      </c>
      <c r="P1380" s="9">
        <v>187936</v>
      </c>
      <c r="Q1380" s="9">
        <v>14319</v>
      </c>
      <c r="R1380" s="9">
        <v>202255</v>
      </c>
      <c r="S1380" s="9">
        <v>-81251</v>
      </c>
      <c r="T1380" s="10">
        <v>85869</v>
      </c>
      <c r="U1380" s="10">
        <v>1454</v>
      </c>
    </row>
    <row r="1381" spans="1:21" x14ac:dyDescent="0.35">
      <c r="A1381" t="s">
        <v>15</v>
      </c>
      <c r="B1381" t="s">
        <v>16</v>
      </c>
      <c r="C1381" t="s">
        <v>21</v>
      </c>
      <c r="D1381">
        <v>205071</v>
      </c>
      <c r="E1381">
        <v>28042</v>
      </c>
      <c r="F1381">
        <v>45196</v>
      </c>
      <c r="G1381">
        <v>-171740</v>
      </c>
      <c r="H1381">
        <v>106569</v>
      </c>
      <c r="I1381">
        <v>107631</v>
      </c>
      <c r="J1381">
        <v>2254</v>
      </c>
      <c r="K1381">
        <v>542581</v>
      </c>
      <c r="L1381">
        <v>146480</v>
      </c>
      <c r="M1381">
        <v>-134921</v>
      </c>
      <c r="N1381">
        <v>151411</v>
      </c>
      <c r="O1381" t="s">
        <v>1399</v>
      </c>
      <c r="P1381" s="9">
        <v>300381</v>
      </c>
      <c r="Q1381" s="9">
        <v>32028</v>
      </c>
      <c r="R1381" s="9">
        <v>332409</v>
      </c>
      <c r="S1381" s="9">
        <v>-190626</v>
      </c>
      <c r="T1381" s="10">
        <v>96459</v>
      </c>
      <c r="U1381" s="10">
        <v>2695</v>
      </c>
    </row>
    <row r="1382" spans="1:21" x14ac:dyDescent="0.35">
      <c r="A1382" t="s">
        <v>15</v>
      </c>
      <c r="B1382" t="s">
        <v>16</v>
      </c>
      <c r="C1382" t="s">
        <v>17</v>
      </c>
      <c r="D1382">
        <v>207430</v>
      </c>
      <c r="E1382">
        <v>16544</v>
      </c>
      <c r="F1382">
        <v>49082</v>
      </c>
      <c r="G1382">
        <v>-201555</v>
      </c>
      <c r="H1382">
        <v>71501</v>
      </c>
      <c r="I1382">
        <v>64552</v>
      </c>
      <c r="J1382">
        <v>838</v>
      </c>
      <c r="K1382">
        <v>727871</v>
      </c>
      <c r="L1382">
        <v>161045</v>
      </c>
      <c r="M1382">
        <v>-231306</v>
      </c>
      <c r="N1382">
        <v>66677</v>
      </c>
      <c r="O1382" t="s">
        <v>1400</v>
      </c>
      <c r="P1382" s="9">
        <v>189118</v>
      </c>
      <c r="Q1382" s="9">
        <v>39869</v>
      </c>
      <c r="R1382" s="9">
        <v>228987</v>
      </c>
      <c r="S1382" s="9">
        <v>-128338</v>
      </c>
      <c r="T1382" s="10">
        <v>103982</v>
      </c>
      <c r="U1382" s="10">
        <v>1814</v>
      </c>
    </row>
    <row r="1383" spans="1:21" x14ac:dyDescent="0.35">
      <c r="A1383" t="s">
        <v>15</v>
      </c>
      <c r="B1383" t="s">
        <v>16</v>
      </c>
      <c r="C1383" t="s">
        <v>17</v>
      </c>
      <c r="D1383">
        <v>223890</v>
      </c>
      <c r="E1383">
        <v>12417</v>
      </c>
      <c r="F1383">
        <v>49632</v>
      </c>
      <c r="G1383">
        <v>-184175</v>
      </c>
      <c r="H1383">
        <v>101764</v>
      </c>
      <c r="I1383">
        <v>95421</v>
      </c>
      <c r="J1383">
        <v>2212</v>
      </c>
      <c r="K1383">
        <v>780140</v>
      </c>
      <c r="L1383">
        <v>362902</v>
      </c>
      <c r="M1383">
        <v>-92662</v>
      </c>
      <c r="N1383">
        <v>74422</v>
      </c>
      <c r="O1383" t="s">
        <v>1401</v>
      </c>
      <c r="P1383" s="9">
        <v>274347</v>
      </c>
      <c r="Q1383" s="9">
        <v>30165</v>
      </c>
      <c r="R1383" s="9">
        <v>304512</v>
      </c>
      <c r="S1383" s="9">
        <v>-126442</v>
      </c>
      <c r="T1383" s="10">
        <v>117256</v>
      </c>
      <c r="U1383" s="10">
        <v>2551</v>
      </c>
    </row>
    <row r="1384" spans="1:21" x14ac:dyDescent="0.35">
      <c r="A1384" t="s">
        <v>15</v>
      </c>
      <c r="B1384" t="s">
        <v>16</v>
      </c>
      <c r="C1384" t="s">
        <v>17</v>
      </c>
      <c r="D1384">
        <v>163830</v>
      </c>
      <c r="E1384">
        <v>22966</v>
      </c>
      <c r="F1384">
        <v>22713</v>
      </c>
      <c r="G1384">
        <v>-136063</v>
      </c>
      <c r="H1384">
        <v>73446</v>
      </c>
      <c r="I1384">
        <v>73569</v>
      </c>
      <c r="J1384">
        <v>1170</v>
      </c>
      <c r="K1384">
        <v>638010</v>
      </c>
      <c r="L1384">
        <v>274130</v>
      </c>
      <c r="M1384">
        <v>-178285</v>
      </c>
      <c r="N1384">
        <v>137605</v>
      </c>
      <c r="O1384" t="s">
        <v>1402</v>
      </c>
      <c r="P1384" s="9">
        <v>278371</v>
      </c>
      <c r="Q1384" s="9">
        <v>37842</v>
      </c>
      <c r="R1384" s="9">
        <v>316213</v>
      </c>
      <c r="S1384" s="9">
        <v>-73577</v>
      </c>
      <c r="T1384" s="10">
        <v>119172</v>
      </c>
      <c r="U1384" s="10">
        <v>1933</v>
      </c>
    </row>
    <row r="1385" spans="1:21" x14ac:dyDescent="0.35">
      <c r="A1385" t="s">
        <v>15</v>
      </c>
      <c r="B1385" t="s">
        <v>16</v>
      </c>
      <c r="C1385" t="s">
        <v>21</v>
      </c>
      <c r="D1385">
        <v>262163</v>
      </c>
      <c r="E1385">
        <v>20981</v>
      </c>
      <c r="F1385">
        <v>31448</v>
      </c>
      <c r="G1385">
        <v>-258958</v>
      </c>
      <c r="H1385">
        <v>55634</v>
      </c>
      <c r="I1385">
        <v>52007</v>
      </c>
      <c r="J1385">
        <v>1360</v>
      </c>
      <c r="K1385">
        <v>692090</v>
      </c>
      <c r="L1385">
        <v>190188</v>
      </c>
      <c r="M1385">
        <v>-261455</v>
      </c>
      <c r="N1385">
        <v>162640</v>
      </c>
      <c r="O1385" t="s">
        <v>1403</v>
      </c>
      <c r="P1385" s="9">
        <v>201236</v>
      </c>
      <c r="Q1385" s="9">
        <v>23277</v>
      </c>
      <c r="R1385" s="9">
        <v>224513</v>
      </c>
      <c r="S1385" s="9">
        <v>-101867</v>
      </c>
      <c r="T1385" s="10">
        <v>82637</v>
      </c>
      <c r="U1385" s="10">
        <v>1156</v>
      </c>
    </row>
    <row r="1386" spans="1:21" x14ac:dyDescent="0.35">
      <c r="A1386" t="s">
        <v>15</v>
      </c>
      <c r="B1386" t="s">
        <v>16</v>
      </c>
      <c r="C1386" t="s">
        <v>17</v>
      </c>
      <c r="D1386">
        <v>181832</v>
      </c>
      <c r="E1386">
        <v>26890</v>
      </c>
      <c r="F1386">
        <v>42829</v>
      </c>
      <c r="G1386">
        <v>-154702</v>
      </c>
      <c r="H1386">
        <v>96849</v>
      </c>
      <c r="I1386">
        <v>92167</v>
      </c>
      <c r="J1386">
        <v>2294</v>
      </c>
      <c r="K1386">
        <v>682651</v>
      </c>
      <c r="L1386">
        <v>228817</v>
      </c>
      <c r="M1386">
        <v>-78808</v>
      </c>
      <c r="N1386">
        <v>120700</v>
      </c>
      <c r="O1386" t="s">
        <v>1404</v>
      </c>
      <c r="P1386" s="9">
        <v>294147</v>
      </c>
      <c r="Q1386" s="9">
        <v>19329</v>
      </c>
      <c r="R1386" s="9">
        <v>313476</v>
      </c>
      <c r="S1386" s="9">
        <v>-121304</v>
      </c>
      <c r="T1386" s="10">
        <v>104104</v>
      </c>
      <c r="U1386" s="10">
        <v>3051</v>
      </c>
    </row>
    <row r="1387" spans="1:21" x14ac:dyDescent="0.35">
      <c r="A1387" t="s">
        <v>15</v>
      </c>
      <c r="B1387" t="s">
        <v>16</v>
      </c>
      <c r="C1387" t="s">
        <v>21</v>
      </c>
      <c r="D1387">
        <v>186083</v>
      </c>
      <c r="E1387">
        <v>33377</v>
      </c>
      <c r="F1387">
        <v>30762</v>
      </c>
      <c r="G1387">
        <v>-175843</v>
      </c>
      <c r="H1387">
        <v>74379</v>
      </c>
      <c r="I1387">
        <v>71759</v>
      </c>
      <c r="J1387">
        <v>1778</v>
      </c>
      <c r="K1387">
        <v>555010</v>
      </c>
      <c r="L1387">
        <v>158623</v>
      </c>
      <c r="M1387">
        <v>-137220</v>
      </c>
      <c r="N1387">
        <v>58186</v>
      </c>
      <c r="O1387" t="s">
        <v>1405</v>
      </c>
      <c r="P1387" s="9">
        <v>231792</v>
      </c>
      <c r="Q1387" s="9">
        <v>12156</v>
      </c>
      <c r="R1387" s="9">
        <v>243948</v>
      </c>
      <c r="S1387" s="9">
        <v>-101125</v>
      </c>
      <c r="T1387" s="10">
        <v>71937</v>
      </c>
      <c r="U1387" s="10">
        <v>1727</v>
      </c>
    </row>
    <row r="1388" spans="1:21" x14ac:dyDescent="0.35">
      <c r="A1388" t="s">
        <v>15</v>
      </c>
      <c r="B1388" t="s">
        <v>16</v>
      </c>
      <c r="C1388" t="s">
        <v>21</v>
      </c>
      <c r="D1388">
        <v>153577</v>
      </c>
      <c r="E1388">
        <v>23878</v>
      </c>
      <c r="F1388">
        <v>36961</v>
      </c>
      <c r="G1388">
        <v>-139611</v>
      </c>
      <c r="H1388">
        <v>74805</v>
      </c>
      <c r="I1388">
        <v>76902</v>
      </c>
      <c r="J1388">
        <v>1264</v>
      </c>
      <c r="K1388">
        <v>362871</v>
      </c>
      <c r="L1388">
        <v>173756</v>
      </c>
      <c r="M1388">
        <v>-45570</v>
      </c>
      <c r="N1388">
        <v>106759</v>
      </c>
      <c r="O1388" t="s">
        <v>1406</v>
      </c>
      <c r="P1388" s="9">
        <v>269894</v>
      </c>
      <c r="Q1388" s="9">
        <v>16760</v>
      </c>
      <c r="R1388" s="9">
        <v>286654</v>
      </c>
      <c r="S1388" s="9">
        <v>-154481</v>
      </c>
      <c r="T1388" s="10">
        <v>95946</v>
      </c>
      <c r="U1388" s="10">
        <v>1207</v>
      </c>
    </row>
    <row r="1389" spans="1:21" x14ac:dyDescent="0.35">
      <c r="A1389" t="s">
        <v>15</v>
      </c>
      <c r="B1389" t="s">
        <v>20</v>
      </c>
      <c r="C1389" t="s">
        <v>21</v>
      </c>
      <c r="D1389">
        <v>267672</v>
      </c>
      <c r="E1389">
        <v>53402</v>
      </c>
      <c r="F1389">
        <v>33386</v>
      </c>
      <c r="G1389">
        <v>-223854</v>
      </c>
      <c r="H1389">
        <v>130606</v>
      </c>
      <c r="I1389">
        <v>126227</v>
      </c>
      <c r="J1389">
        <v>1422</v>
      </c>
      <c r="K1389">
        <v>660245</v>
      </c>
      <c r="L1389">
        <v>165593</v>
      </c>
      <c r="M1389">
        <v>-216875</v>
      </c>
      <c r="N1389">
        <v>86883</v>
      </c>
      <c r="O1389" t="s">
        <v>1407</v>
      </c>
      <c r="P1389" s="9">
        <v>259437</v>
      </c>
      <c r="Q1389" s="9">
        <v>36170</v>
      </c>
      <c r="R1389" s="9">
        <v>295607</v>
      </c>
      <c r="S1389" s="9">
        <v>-134459</v>
      </c>
      <c r="T1389" s="10">
        <v>86871</v>
      </c>
      <c r="U1389" s="10">
        <v>1265</v>
      </c>
    </row>
    <row r="1390" spans="1:21" x14ac:dyDescent="0.35">
      <c r="A1390" t="s">
        <v>15</v>
      </c>
      <c r="B1390" t="s">
        <v>20</v>
      </c>
      <c r="C1390" t="s">
        <v>21</v>
      </c>
      <c r="D1390">
        <v>218306</v>
      </c>
      <c r="E1390">
        <v>11775</v>
      </c>
      <c r="F1390">
        <v>41818</v>
      </c>
      <c r="G1390">
        <v>-196833</v>
      </c>
      <c r="H1390">
        <v>75066</v>
      </c>
      <c r="I1390">
        <v>75106</v>
      </c>
      <c r="J1390">
        <v>1491</v>
      </c>
      <c r="K1390">
        <v>506659</v>
      </c>
      <c r="L1390">
        <v>212116</v>
      </c>
      <c r="M1390">
        <v>-126113</v>
      </c>
      <c r="N1390">
        <v>178579</v>
      </c>
      <c r="O1390" t="s">
        <v>1408</v>
      </c>
      <c r="P1390" s="9">
        <v>243734</v>
      </c>
      <c r="Q1390" s="9">
        <v>17394</v>
      </c>
      <c r="R1390" s="9">
        <v>261128</v>
      </c>
      <c r="S1390" s="9">
        <v>-155456</v>
      </c>
      <c r="T1390" s="10">
        <v>89461</v>
      </c>
      <c r="U1390" s="10">
        <v>1154</v>
      </c>
    </row>
    <row r="1391" spans="1:21" x14ac:dyDescent="0.35">
      <c r="A1391" t="s">
        <v>15</v>
      </c>
      <c r="B1391" t="s">
        <v>20</v>
      </c>
      <c r="C1391" t="s">
        <v>21</v>
      </c>
      <c r="D1391">
        <v>214369</v>
      </c>
      <c r="E1391">
        <v>20728</v>
      </c>
      <c r="F1391">
        <v>28230</v>
      </c>
      <c r="G1391">
        <v>-206281</v>
      </c>
      <c r="H1391">
        <v>57046</v>
      </c>
      <c r="I1391">
        <v>59610</v>
      </c>
      <c r="J1391">
        <v>911</v>
      </c>
      <c r="K1391">
        <v>832993</v>
      </c>
      <c r="L1391">
        <v>89420</v>
      </c>
      <c r="M1391">
        <v>-289270</v>
      </c>
      <c r="N1391">
        <v>101470</v>
      </c>
      <c r="O1391" t="s">
        <v>1409</v>
      </c>
      <c r="P1391" s="9">
        <v>238351</v>
      </c>
      <c r="Q1391" s="9">
        <v>12477</v>
      </c>
      <c r="R1391" s="9">
        <v>250828</v>
      </c>
      <c r="S1391" s="9">
        <v>-116984</v>
      </c>
      <c r="T1391" s="10">
        <v>63341</v>
      </c>
      <c r="U1391" s="10">
        <v>1886</v>
      </c>
    </row>
    <row r="1392" spans="1:21" x14ac:dyDescent="0.35">
      <c r="A1392" t="s">
        <v>15</v>
      </c>
      <c r="B1392" t="s">
        <v>16</v>
      </c>
      <c r="C1392" t="s">
        <v>21</v>
      </c>
      <c r="D1392">
        <v>251148</v>
      </c>
      <c r="E1392">
        <v>16463</v>
      </c>
      <c r="F1392">
        <v>38704</v>
      </c>
      <c r="G1392">
        <v>-210458</v>
      </c>
      <c r="H1392">
        <v>95857</v>
      </c>
      <c r="I1392">
        <v>87710</v>
      </c>
      <c r="J1392">
        <v>1107</v>
      </c>
      <c r="K1392">
        <v>622149</v>
      </c>
      <c r="L1392">
        <v>310964</v>
      </c>
      <c r="M1392">
        <v>-115572</v>
      </c>
      <c r="N1392">
        <v>99952</v>
      </c>
      <c r="O1392" t="s">
        <v>1410</v>
      </c>
      <c r="P1392" s="9">
        <v>174662</v>
      </c>
      <c r="Q1392" s="9">
        <v>11687</v>
      </c>
      <c r="R1392" s="9">
        <v>186349</v>
      </c>
      <c r="S1392" s="9">
        <v>-57927</v>
      </c>
      <c r="T1392" s="10">
        <v>74979</v>
      </c>
      <c r="U1392" s="10">
        <v>1833</v>
      </c>
    </row>
    <row r="1393" spans="1:21" x14ac:dyDescent="0.35">
      <c r="A1393" t="s">
        <v>15</v>
      </c>
      <c r="B1393" t="s">
        <v>16</v>
      </c>
      <c r="C1393" t="s">
        <v>21</v>
      </c>
      <c r="D1393">
        <v>175532</v>
      </c>
      <c r="E1393">
        <v>16897</v>
      </c>
      <c r="F1393">
        <v>28337</v>
      </c>
      <c r="G1393">
        <v>-145426</v>
      </c>
      <c r="H1393">
        <v>75340</v>
      </c>
      <c r="I1393">
        <v>74600</v>
      </c>
      <c r="J1393">
        <v>1944</v>
      </c>
      <c r="K1393">
        <v>473577</v>
      </c>
      <c r="L1393">
        <v>198001</v>
      </c>
      <c r="M1393">
        <v>-66881</v>
      </c>
      <c r="N1393">
        <v>137556</v>
      </c>
      <c r="O1393" t="s">
        <v>1411</v>
      </c>
      <c r="P1393" s="9">
        <v>219629</v>
      </c>
      <c r="Q1393" s="9">
        <v>39108</v>
      </c>
      <c r="R1393" s="9">
        <v>258737</v>
      </c>
      <c r="S1393" s="9">
        <v>-103698</v>
      </c>
      <c r="T1393" s="10">
        <v>112444</v>
      </c>
      <c r="U1393" s="10">
        <v>3015</v>
      </c>
    </row>
    <row r="1394" spans="1:21" x14ac:dyDescent="0.35">
      <c r="A1394" t="s">
        <v>15</v>
      </c>
      <c r="B1394" t="s">
        <v>16</v>
      </c>
      <c r="C1394" t="s">
        <v>17</v>
      </c>
      <c r="D1394">
        <v>173657</v>
      </c>
      <c r="E1394">
        <v>28819</v>
      </c>
      <c r="F1394">
        <v>35212</v>
      </c>
      <c r="G1394">
        <v>-147325</v>
      </c>
      <c r="H1394">
        <v>90363</v>
      </c>
      <c r="I1394">
        <v>88848</v>
      </c>
      <c r="J1394">
        <v>1226</v>
      </c>
      <c r="K1394">
        <v>374972</v>
      </c>
      <c r="L1394">
        <v>150756</v>
      </c>
      <c r="M1394">
        <v>-63285</v>
      </c>
      <c r="N1394">
        <v>60634</v>
      </c>
      <c r="O1394" t="s">
        <v>1412</v>
      </c>
      <c r="P1394" s="9">
        <v>287054</v>
      </c>
      <c r="Q1394" s="9">
        <v>17301</v>
      </c>
      <c r="R1394" s="9">
        <v>304355</v>
      </c>
      <c r="S1394" s="9">
        <v>-128637</v>
      </c>
      <c r="T1394" s="10">
        <v>61736</v>
      </c>
      <c r="U1394" s="10">
        <v>782</v>
      </c>
    </row>
    <row r="1395" spans="1:21" x14ac:dyDescent="0.35">
      <c r="A1395" t="s">
        <v>15</v>
      </c>
      <c r="B1395" t="s">
        <v>16</v>
      </c>
      <c r="C1395" t="s">
        <v>21</v>
      </c>
      <c r="D1395">
        <v>283661</v>
      </c>
      <c r="E1395">
        <v>19215</v>
      </c>
      <c r="F1395">
        <v>56608</v>
      </c>
      <c r="G1395">
        <v>-277668</v>
      </c>
      <c r="H1395">
        <v>81816</v>
      </c>
      <c r="I1395">
        <v>81094</v>
      </c>
      <c r="J1395">
        <v>1632</v>
      </c>
      <c r="K1395">
        <v>923522</v>
      </c>
      <c r="L1395">
        <v>441039</v>
      </c>
      <c r="M1395">
        <v>-168697</v>
      </c>
      <c r="N1395">
        <v>210149</v>
      </c>
      <c r="O1395" t="s">
        <v>1413</v>
      </c>
      <c r="P1395" s="9">
        <v>261180</v>
      </c>
      <c r="Q1395" s="9">
        <v>11519</v>
      </c>
      <c r="R1395" s="9">
        <v>272699</v>
      </c>
      <c r="S1395" s="9">
        <v>-125395</v>
      </c>
      <c r="T1395" s="10">
        <v>69468</v>
      </c>
      <c r="U1395" s="10">
        <v>1204</v>
      </c>
    </row>
    <row r="1396" spans="1:21" x14ac:dyDescent="0.35">
      <c r="A1396" t="s">
        <v>15</v>
      </c>
      <c r="B1396" t="s">
        <v>16</v>
      </c>
      <c r="C1396" t="s">
        <v>17</v>
      </c>
      <c r="D1396">
        <v>281524</v>
      </c>
      <c r="E1396">
        <v>14218</v>
      </c>
      <c r="F1396">
        <v>31707</v>
      </c>
      <c r="G1396">
        <v>-277478</v>
      </c>
      <c r="H1396">
        <v>49971</v>
      </c>
      <c r="I1396">
        <v>46195</v>
      </c>
      <c r="J1396">
        <v>835</v>
      </c>
      <c r="K1396">
        <v>656146</v>
      </c>
      <c r="L1396">
        <v>267508</v>
      </c>
      <c r="M1396">
        <v>-67057</v>
      </c>
      <c r="N1396">
        <v>155412</v>
      </c>
      <c r="O1396" t="s">
        <v>1414</v>
      </c>
      <c r="P1396" s="9">
        <v>171586</v>
      </c>
      <c r="Q1396" s="9">
        <v>9699</v>
      </c>
      <c r="R1396" s="9">
        <v>181285</v>
      </c>
      <c r="S1396" s="9">
        <v>-71217</v>
      </c>
      <c r="T1396" s="10">
        <v>35410</v>
      </c>
      <c r="U1396" s="10">
        <v>919</v>
      </c>
    </row>
    <row r="1397" spans="1:21" x14ac:dyDescent="0.35">
      <c r="A1397" t="s">
        <v>15</v>
      </c>
      <c r="B1397" t="s">
        <v>16</v>
      </c>
      <c r="C1397" t="s">
        <v>21</v>
      </c>
      <c r="D1397">
        <v>171722</v>
      </c>
      <c r="E1397">
        <v>23936</v>
      </c>
      <c r="F1397">
        <v>32466</v>
      </c>
      <c r="G1397">
        <v>-170271</v>
      </c>
      <c r="H1397">
        <v>57853</v>
      </c>
      <c r="I1397">
        <v>53400</v>
      </c>
      <c r="J1397">
        <v>755</v>
      </c>
      <c r="K1397">
        <v>416967</v>
      </c>
      <c r="L1397">
        <v>190013</v>
      </c>
      <c r="M1397">
        <v>-65513</v>
      </c>
      <c r="N1397">
        <v>131982</v>
      </c>
      <c r="O1397" t="s">
        <v>1415</v>
      </c>
      <c r="P1397" s="9">
        <v>163179</v>
      </c>
      <c r="Q1397" s="9">
        <v>27101</v>
      </c>
      <c r="R1397" s="9">
        <v>190280</v>
      </c>
      <c r="S1397" s="9">
        <v>-53347</v>
      </c>
      <c r="T1397" s="10">
        <v>76326</v>
      </c>
      <c r="U1397" s="10">
        <v>1893</v>
      </c>
    </row>
    <row r="1398" spans="1:21" x14ac:dyDescent="0.35">
      <c r="A1398" t="s">
        <v>15</v>
      </c>
      <c r="B1398" t="s">
        <v>16</v>
      </c>
      <c r="C1398" t="s">
        <v>21</v>
      </c>
      <c r="D1398">
        <v>213633</v>
      </c>
      <c r="E1398">
        <v>19316</v>
      </c>
      <c r="F1398">
        <v>39496</v>
      </c>
      <c r="G1398">
        <v>-201404</v>
      </c>
      <c r="H1398">
        <v>71041</v>
      </c>
      <c r="I1398">
        <v>71381</v>
      </c>
      <c r="J1398">
        <v>817</v>
      </c>
      <c r="K1398">
        <v>840937</v>
      </c>
      <c r="L1398">
        <v>332822</v>
      </c>
      <c r="M1398">
        <v>-235364</v>
      </c>
      <c r="N1398">
        <v>119430</v>
      </c>
      <c r="O1398" t="s">
        <v>1416</v>
      </c>
      <c r="P1398" s="9">
        <v>150785</v>
      </c>
      <c r="Q1398" s="9">
        <v>22061</v>
      </c>
      <c r="R1398" s="9">
        <v>172846</v>
      </c>
      <c r="S1398" s="9">
        <v>-82559</v>
      </c>
      <c r="T1398" s="10">
        <v>49669</v>
      </c>
      <c r="U1398" s="10">
        <v>1452</v>
      </c>
    </row>
    <row r="1399" spans="1:21" x14ac:dyDescent="0.35">
      <c r="A1399" t="s">
        <v>15</v>
      </c>
      <c r="B1399" t="s">
        <v>16</v>
      </c>
      <c r="C1399" t="s">
        <v>21</v>
      </c>
      <c r="D1399">
        <v>295757</v>
      </c>
      <c r="E1399">
        <v>21384</v>
      </c>
      <c r="F1399">
        <v>38895</v>
      </c>
      <c r="G1399">
        <v>-269269</v>
      </c>
      <c r="H1399">
        <v>86767</v>
      </c>
      <c r="I1399">
        <v>79938</v>
      </c>
      <c r="J1399">
        <v>1368</v>
      </c>
      <c r="K1399">
        <v>1115870</v>
      </c>
      <c r="L1399">
        <v>209461</v>
      </c>
      <c r="M1399">
        <v>-194857</v>
      </c>
      <c r="N1399">
        <v>188378</v>
      </c>
      <c r="O1399" t="s">
        <v>1417</v>
      </c>
      <c r="P1399" s="9">
        <v>206987</v>
      </c>
      <c r="Q1399" s="9">
        <v>21346</v>
      </c>
      <c r="R1399" s="9">
        <v>228333</v>
      </c>
      <c r="S1399" s="9">
        <v>-110934</v>
      </c>
      <c r="T1399" s="10">
        <v>50617</v>
      </c>
      <c r="U1399" s="10">
        <v>861</v>
      </c>
    </row>
    <row r="1400" spans="1:21" x14ac:dyDescent="0.35">
      <c r="A1400" t="s">
        <v>15</v>
      </c>
      <c r="B1400" t="s">
        <v>20</v>
      </c>
      <c r="C1400" t="s">
        <v>21</v>
      </c>
      <c r="D1400">
        <v>235511</v>
      </c>
      <c r="E1400">
        <v>28217</v>
      </c>
      <c r="F1400">
        <v>35253</v>
      </c>
      <c r="G1400">
        <v>-190819</v>
      </c>
      <c r="H1400">
        <v>108162</v>
      </c>
      <c r="I1400">
        <v>102944</v>
      </c>
      <c r="J1400">
        <v>2795</v>
      </c>
      <c r="K1400">
        <v>926415</v>
      </c>
      <c r="L1400">
        <v>370687</v>
      </c>
      <c r="M1400">
        <v>-160941</v>
      </c>
      <c r="N1400">
        <v>81353</v>
      </c>
      <c r="O1400" t="s">
        <v>1418</v>
      </c>
      <c r="P1400" s="9">
        <v>319013</v>
      </c>
      <c r="Q1400" s="9">
        <v>39195</v>
      </c>
      <c r="R1400" s="9">
        <v>358208</v>
      </c>
      <c r="S1400" s="9">
        <v>-129227</v>
      </c>
      <c r="T1400" s="10">
        <v>114373</v>
      </c>
      <c r="U1400" s="10">
        <v>2595</v>
      </c>
    </row>
    <row r="1401" spans="1:21" x14ac:dyDescent="0.35">
      <c r="A1401" t="s">
        <v>15</v>
      </c>
      <c r="B1401" t="s">
        <v>20</v>
      </c>
      <c r="C1401" t="s">
        <v>17</v>
      </c>
      <c r="D1401">
        <v>156715</v>
      </c>
      <c r="E1401">
        <v>18793</v>
      </c>
      <c r="F1401">
        <v>35133</v>
      </c>
      <c r="G1401">
        <v>-155100</v>
      </c>
      <c r="H1401">
        <v>55541</v>
      </c>
      <c r="I1401">
        <v>53825</v>
      </c>
      <c r="J1401">
        <v>1024</v>
      </c>
      <c r="K1401">
        <v>426226</v>
      </c>
      <c r="L1401">
        <v>119395</v>
      </c>
      <c r="M1401">
        <v>-66952</v>
      </c>
      <c r="N1401">
        <v>99820</v>
      </c>
      <c r="O1401" t="s">
        <v>1419</v>
      </c>
      <c r="P1401" s="9">
        <v>286599</v>
      </c>
      <c r="Q1401" s="9">
        <v>37868</v>
      </c>
      <c r="R1401" s="9">
        <v>324467</v>
      </c>
      <c r="S1401" s="9">
        <v>-182342</v>
      </c>
      <c r="T1401" s="10">
        <v>114553</v>
      </c>
      <c r="U1401" s="10">
        <v>1508</v>
      </c>
    </row>
    <row r="1402" spans="1:21" x14ac:dyDescent="0.35">
      <c r="A1402" t="s">
        <v>15</v>
      </c>
      <c r="B1402" t="s">
        <v>16</v>
      </c>
      <c r="C1402" t="s">
        <v>17</v>
      </c>
      <c r="D1402">
        <v>152169</v>
      </c>
      <c r="E1402">
        <v>11830</v>
      </c>
      <c r="F1402">
        <v>17605</v>
      </c>
      <c r="G1402">
        <v>-127000</v>
      </c>
      <c r="H1402">
        <v>54604</v>
      </c>
      <c r="I1402">
        <v>56431</v>
      </c>
      <c r="J1402">
        <v>1480</v>
      </c>
      <c r="K1402">
        <v>382106</v>
      </c>
      <c r="L1402">
        <v>181131</v>
      </c>
      <c r="M1402">
        <v>-83113</v>
      </c>
      <c r="N1402">
        <v>97843</v>
      </c>
      <c r="O1402" t="s">
        <v>1420</v>
      </c>
      <c r="P1402" s="9">
        <v>214494</v>
      </c>
      <c r="Q1402" s="9">
        <v>32280</v>
      </c>
      <c r="R1402" s="9">
        <v>246774</v>
      </c>
      <c r="S1402" s="9">
        <v>-128497</v>
      </c>
      <c r="T1402" s="10">
        <v>92240</v>
      </c>
      <c r="U1402" s="10">
        <v>2624</v>
      </c>
    </row>
    <row r="1403" spans="1:21" x14ac:dyDescent="0.35">
      <c r="A1403" t="s">
        <v>15</v>
      </c>
      <c r="B1403" t="s">
        <v>16</v>
      </c>
      <c r="C1403" t="s">
        <v>21</v>
      </c>
      <c r="D1403">
        <v>236305</v>
      </c>
      <c r="E1403">
        <v>19863</v>
      </c>
      <c r="F1403">
        <v>25394</v>
      </c>
      <c r="G1403">
        <v>-219922</v>
      </c>
      <c r="H1403">
        <v>61640</v>
      </c>
      <c r="I1403">
        <v>57557</v>
      </c>
      <c r="J1403">
        <v>1498</v>
      </c>
      <c r="K1403">
        <v>777762</v>
      </c>
      <c r="L1403">
        <v>289210</v>
      </c>
      <c r="M1403">
        <v>-252835</v>
      </c>
      <c r="N1403">
        <v>118541</v>
      </c>
      <c r="O1403" t="s">
        <v>1421</v>
      </c>
      <c r="P1403" s="9">
        <v>268946</v>
      </c>
      <c r="Q1403" s="9">
        <v>17411</v>
      </c>
      <c r="R1403" s="9">
        <v>286357</v>
      </c>
      <c r="S1403" s="9">
        <v>-98461</v>
      </c>
      <c r="T1403" s="10">
        <v>111030</v>
      </c>
      <c r="U1403" s="10">
        <v>1486</v>
      </c>
    </row>
    <row r="1404" spans="1:21" x14ac:dyDescent="0.35">
      <c r="A1404" t="s">
        <v>15</v>
      </c>
      <c r="B1404" t="s">
        <v>16</v>
      </c>
      <c r="C1404" t="s">
        <v>21</v>
      </c>
      <c r="D1404">
        <v>297974</v>
      </c>
      <c r="E1404">
        <v>29437</v>
      </c>
      <c r="F1404">
        <v>41824</v>
      </c>
      <c r="G1404">
        <v>-292714</v>
      </c>
      <c r="H1404">
        <v>76521</v>
      </c>
      <c r="I1404">
        <v>69378</v>
      </c>
      <c r="J1404">
        <v>1198</v>
      </c>
      <c r="K1404">
        <v>602958</v>
      </c>
      <c r="L1404">
        <v>178763</v>
      </c>
      <c r="M1404">
        <v>-132371</v>
      </c>
      <c r="N1404">
        <v>92687</v>
      </c>
      <c r="O1404" t="s">
        <v>1422</v>
      </c>
      <c r="P1404" s="9">
        <v>258011</v>
      </c>
      <c r="Q1404" s="9">
        <v>50518</v>
      </c>
      <c r="R1404" s="9">
        <v>308529</v>
      </c>
      <c r="S1404" s="9">
        <v>-114074</v>
      </c>
      <c r="T1404" s="10">
        <v>147065</v>
      </c>
      <c r="U1404" s="10">
        <v>2000</v>
      </c>
    </row>
    <row r="1405" spans="1:21" x14ac:dyDescent="0.35">
      <c r="A1405" t="s">
        <v>15</v>
      </c>
      <c r="B1405" t="s">
        <v>16</v>
      </c>
      <c r="C1405" t="s">
        <v>21</v>
      </c>
      <c r="D1405">
        <v>168764</v>
      </c>
      <c r="E1405">
        <v>22169</v>
      </c>
      <c r="F1405">
        <v>25359</v>
      </c>
      <c r="G1405">
        <v>-151412</v>
      </c>
      <c r="H1405">
        <v>64880</v>
      </c>
      <c r="I1405">
        <v>58843</v>
      </c>
      <c r="J1405">
        <v>920</v>
      </c>
      <c r="K1405">
        <v>589416</v>
      </c>
      <c r="L1405">
        <v>116639</v>
      </c>
      <c r="M1405">
        <v>-76763</v>
      </c>
      <c r="N1405">
        <v>126385</v>
      </c>
      <c r="O1405" t="s">
        <v>1423</v>
      </c>
      <c r="P1405" s="9">
        <v>189235</v>
      </c>
      <c r="Q1405" s="9">
        <v>27228</v>
      </c>
      <c r="R1405" s="9">
        <v>216463</v>
      </c>
      <c r="S1405" s="9">
        <v>-110876</v>
      </c>
      <c r="T1405" s="10">
        <v>61374</v>
      </c>
      <c r="U1405" s="10">
        <v>1017</v>
      </c>
    </row>
    <row r="1406" spans="1:21" x14ac:dyDescent="0.35">
      <c r="A1406" t="s">
        <v>15</v>
      </c>
      <c r="B1406" t="s">
        <v>16</v>
      </c>
      <c r="C1406" t="s">
        <v>21</v>
      </c>
      <c r="D1406">
        <v>195131</v>
      </c>
      <c r="E1406">
        <v>38991</v>
      </c>
      <c r="F1406">
        <v>46176</v>
      </c>
      <c r="G1406">
        <v>-190942</v>
      </c>
      <c r="H1406">
        <v>89356</v>
      </c>
      <c r="I1406">
        <v>89042</v>
      </c>
      <c r="J1406">
        <v>1621</v>
      </c>
      <c r="K1406">
        <v>556294</v>
      </c>
      <c r="L1406">
        <v>191182</v>
      </c>
      <c r="M1406">
        <v>-170600</v>
      </c>
      <c r="N1406">
        <v>170844</v>
      </c>
      <c r="O1406" t="s">
        <v>1424</v>
      </c>
      <c r="P1406" s="9">
        <v>254861</v>
      </c>
      <c r="Q1406" s="9">
        <v>25937</v>
      </c>
      <c r="R1406" s="9">
        <v>280798</v>
      </c>
      <c r="S1406" s="9">
        <v>-57317</v>
      </c>
      <c r="T1406" s="10">
        <v>88582</v>
      </c>
      <c r="U1406" s="10">
        <v>2455</v>
      </c>
    </row>
    <row r="1407" spans="1:21" x14ac:dyDescent="0.35">
      <c r="A1407" t="s">
        <v>15</v>
      </c>
      <c r="B1407" t="s">
        <v>20</v>
      </c>
      <c r="C1407" t="s">
        <v>17</v>
      </c>
      <c r="D1407">
        <v>257504</v>
      </c>
      <c r="E1407">
        <v>36583</v>
      </c>
      <c r="F1407">
        <v>43576</v>
      </c>
      <c r="G1407">
        <v>-248312</v>
      </c>
      <c r="H1407">
        <v>89351</v>
      </c>
      <c r="I1407">
        <v>89386</v>
      </c>
      <c r="J1407">
        <v>2048</v>
      </c>
      <c r="K1407">
        <v>770646</v>
      </c>
      <c r="L1407">
        <v>356512</v>
      </c>
      <c r="M1407">
        <v>-269281</v>
      </c>
      <c r="N1407">
        <v>136581</v>
      </c>
      <c r="O1407" t="s">
        <v>1425</v>
      </c>
      <c r="P1407" s="9">
        <v>180733</v>
      </c>
      <c r="Q1407" s="9">
        <v>14431</v>
      </c>
      <c r="R1407" s="9">
        <v>195164</v>
      </c>
      <c r="S1407" s="9">
        <v>-96123</v>
      </c>
      <c r="T1407" s="10">
        <v>70040</v>
      </c>
      <c r="U1407" s="10">
        <v>1024</v>
      </c>
    </row>
    <row r="1408" spans="1:21" x14ac:dyDescent="0.35">
      <c r="A1408" t="s">
        <v>15</v>
      </c>
      <c r="B1408" t="s">
        <v>20</v>
      </c>
      <c r="C1408" t="s">
        <v>21</v>
      </c>
      <c r="D1408">
        <v>291797</v>
      </c>
      <c r="E1408">
        <v>29617</v>
      </c>
      <c r="F1408">
        <v>30984</v>
      </c>
      <c r="G1408">
        <v>-291515</v>
      </c>
      <c r="H1408">
        <v>60883</v>
      </c>
      <c r="I1408">
        <v>57718</v>
      </c>
      <c r="J1408">
        <v>1323</v>
      </c>
      <c r="K1408">
        <v>839400</v>
      </c>
      <c r="L1408">
        <v>334592</v>
      </c>
      <c r="M1408">
        <v>-102994</v>
      </c>
      <c r="N1408">
        <v>191152</v>
      </c>
      <c r="O1408" t="s">
        <v>1426</v>
      </c>
      <c r="P1408" s="9">
        <v>175767</v>
      </c>
      <c r="Q1408" s="9">
        <v>11844</v>
      </c>
      <c r="R1408" s="9">
        <v>187611</v>
      </c>
      <c r="S1408" s="9">
        <v>-101598</v>
      </c>
      <c r="T1408" s="10">
        <v>66784</v>
      </c>
      <c r="U1408" s="10">
        <v>1340</v>
      </c>
    </row>
    <row r="1409" spans="1:21" x14ac:dyDescent="0.35">
      <c r="A1409" t="s">
        <v>15</v>
      </c>
      <c r="B1409" t="s">
        <v>16</v>
      </c>
      <c r="C1409" t="s">
        <v>21</v>
      </c>
      <c r="D1409">
        <v>194738</v>
      </c>
      <c r="E1409">
        <v>22155</v>
      </c>
      <c r="F1409">
        <v>30255</v>
      </c>
      <c r="G1409">
        <v>-190910</v>
      </c>
      <c r="H1409">
        <v>56238</v>
      </c>
      <c r="I1409">
        <v>58239</v>
      </c>
      <c r="J1409">
        <v>969</v>
      </c>
      <c r="K1409">
        <v>655357</v>
      </c>
      <c r="L1409">
        <v>182810</v>
      </c>
      <c r="M1409">
        <v>-203910</v>
      </c>
      <c r="N1409">
        <v>103863</v>
      </c>
      <c r="O1409" t="s">
        <v>1427</v>
      </c>
      <c r="P1409" s="9">
        <v>287130</v>
      </c>
      <c r="Q1409" s="9">
        <v>36736</v>
      </c>
      <c r="R1409" s="9">
        <v>323866</v>
      </c>
      <c r="S1409" s="9">
        <v>-102976</v>
      </c>
      <c r="T1409" s="10">
        <v>80700</v>
      </c>
      <c r="U1409" s="10">
        <v>1659</v>
      </c>
    </row>
    <row r="1410" spans="1:21" x14ac:dyDescent="0.35">
      <c r="A1410" t="s">
        <v>15</v>
      </c>
      <c r="B1410" t="s">
        <v>16</v>
      </c>
      <c r="C1410" t="s">
        <v>17</v>
      </c>
      <c r="D1410">
        <v>244848</v>
      </c>
      <c r="E1410">
        <v>44943</v>
      </c>
      <c r="F1410">
        <v>32497</v>
      </c>
      <c r="G1410">
        <v>-218897</v>
      </c>
      <c r="H1410">
        <v>103391</v>
      </c>
      <c r="I1410">
        <v>100193</v>
      </c>
      <c r="J1410">
        <v>2340</v>
      </c>
      <c r="K1410">
        <v>561792</v>
      </c>
      <c r="L1410">
        <v>169943</v>
      </c>
      <c r="M1410">
        <v>-110969</v>
      </c>
      <c r="N1410">
        <v>86761</v>
      </c>
      <c r="O1410" t="s">
        <v>1428</v>
      </c>
      <c r="P1410" s="9">
        <v>199748</v>
      </c>
      <c r="Q1410" s="9">
        <v>32273</v>
      </c>
      <c r="R1410" s="9">
        <v>232021</v>
      </c>
      <c r="S1410" s="9">
        <v>-67705</v>
      </c>
      <c r="T1410" s="10">
        <v>75288</v>
      </c>
      <c r="U1410" s="10">
        <v>2024</v>
      </c>
    </row>
    <row r="1411" spans="1:21" x14ac:dyDescent="0.35">
      <c r="A1411" t="s">
        <v>15</v>
      </c>
      <c r="B1411" t="s">
        <v>16</v>
      </c>
      <c r="C1411" t="s">
        <v>21</v>
      </c>
      <c r="D1411">
        <v>233888</v>
      </c>
      <c r="E1411">
        <v>29119</v>
      </c>
      <c r="F1411">
        <v>53356</v>
      </c>
      <c r="G1411">
        <v>-218686</v>
      </c>
      <c r="H1411">
        <v>97677</v>
      </c>
      <c r="I1411">
        <v>100651</v>
      </c>
      <c r="J1411">
        <v>2288</v>
      </c>
      <c r="K1411">
        <v>496941</v>
      </c>
      <c r="L1411">
        <v>128912</v>
      </c>
      <c r="M1411">
        <v>-194332</v>
      </c>
      <c r="N1411">
        <v>144101</v>
      </c>
      <c r="O1411" t="s">
        <v>1429</v>
      </c>
      <c r="P1411" s="9">
        <v>194415</v>
      </c>
      <c r="Q1411" s="9">
        <v>44155</v>
      </c>
      <c r="R1411" s="9">
        <v>238570</v>
      </c>
      <c r="S1411" s="9">
        <v>-59728</v>
      </c>
      <c r="T1411" s="10">
        <v>64065</v>
      </c>
      <c r="U1411" s="10">
        <v>1507</v>
      </c>
    </row>
    <row r="1412" spans="1:21" x14ac:dyDescent="0.35">
      <c r="A1412" t="s">
        <v>15</v>
      </c>
      <c r="B1412" t="s">
        <v>20</v>
      </c>
      <c r="C1412" t="s">
        <v>21</v>
      </c>
      <c r="D1412">
        <v>193452</v>
      </c>
      <c r="E1412">
        <v>38340</v>
      </c>
      <c r="F1412">
        <v>21167</v>
      </c>
      <c r="G1412">
        <v>-156421</v>
      </c>
      <c r="H1412">
        <v>96538</v>
      </c>
      <c r="I1412">
        <v>89247</v>
      </c>
      <c r="J1412">
        <v>2444</v>
      </c>
      <c r="K1412">
        <v>672442</v>
      </c>
      <c r="L1412">
        <v>145368</v>
      </c>
      <c r="M1412">
        <v>-149931</v>
      </c>
      <c r="N1412">
        <v>64627</v>
      </c>
      <c r="O1412" t="s">
        <v>1430</v>
      </c>
      <c r="P1412" s="9">
        <v>164756</v>
      </c>
      <c r="Q1412" s="9">
        <v>12013</v>
      </c>
      <c r="R1412" s="9">
        <v>176769</v>
      </c>
      <c r="S1412" s="9">
        <v>-98701</v>
      </c>
      <c r="T1412" s="10">
        <v>36750</v>
      </c>
      <c r="U1412" s="10">
        <v>789</v>
      </c>
    </row>
    <row r="1413" spans="1:21" x14ac:dyDescent="0.35">
      <c r="A1413" t="s">
        <v>15</v>
      </c>
      <c r="B1413" t="s">
        <v>20</v>
      </c>
      <c r="C1413" t="s">
        <v>17</v>
      </c>
      <c r="D1413">
        <v>206536</v>
      </c>
      <c r="E1413">
        <v>33737</v>
      </c>
      <c r="F1413">
        <v>48299</v>
      </c>
      <c r="G1413">
        <v>-199639</v>
      </c>
      <c r="H1413">
        <v>88933</v>
      </c>
      <c r="I1413">
        <v>91599</v>
      </c>
      <c r="J1413">
        <v>1257</v>
      </c>
      <c r="K1413">
        <v>468884</v>
      </c>
      <c r="L1413">
        <v>161089</v>
      </c>
      <c r="M1413">
        <v>-52805</v>
      </c>
      <c r="N1413">
        <v>124582</v>
      </c>
      <c r="O1413" t="s">
        <v>1431</v>
      </c>
      <c r="P1413" s="9">
        <v>274393</v>
      </c>
      <c r="Q1413" s="9">
        <v>40105</v>
      </c>
      <c r="R1413" s="9">
        <v>314498</v>
      </c>
      <c r="S1413" s="9">
        <v>-158251</v>
      </c>
      <c r="T1413" s="10">
        <v>117614</v>
      </c>
      <c r="U1413" s="10">
        <v>2330</v>
      </c>
    </row>
    <row r="1414" spans="1:21" x14ac:dyDescent="0.35">
      <c r="A1414" t="s">
        <v>15</v>
      </c>
      <c r="B1414" t="s">
        <v>16</v>
      </c>
      <c r="C1414" t="s">
        <v>17</v>
      </c>
      <c r="D1414">
        <v>206895</v>
      </c>
      <c r="E1414">
        <v>16721</v>
      </c>
      <c r="F1414">
        <v>35193</v>
      </c>
      <c r="G1414">
        <v>-191338</v>
      </c>
      <c r="H1414">
        <v>67471</v>
      </c>
      <c r="I1414">
        <v>66719</v>
      </c>
      <c r="J1414">
        <v>675</v>
      </c>
      <c r="K1414">
        <v>706449</v>
      </c>
      <c r="L1414">
        <v>282743</v>
      </c>
      <c r="M1414">
        <v>-155943</v>
      </c>
      <c r="N1414">
        <v>145286</v>
      </c>
      <c r="O1414" t="s">
        <v>1432</v>
      </c>
      <c r="P1414" s="9">
        <v>236422</v>
      </c>
      <c r="Q1414" s="9">
        <v>46826</v>
      </c>
      <c r="R1414" s="9">
        <v>283248</v>
      </c>
      <c r="S1414" s="9">
        <v>-66574</v>
      </c>
      <c r="T1414" s="10">
        <v>136711</v>
      </c>
      <c r="U1414" s="10">
        <v>1433</v>
      </c>
    </row>
    <row r="1415" spans="1:21" x14ac:dyDescent="0.35">
      <c r="A1415" t="s">
        <v>15</v>
      </c>
      <c r="B1415" t="s">
        <v>16</v>
      </c>
      <c r="C1415" t="s">
        <v>21</v>
      </c>
      <c r="D1415">
        <v>259839</v>
      </c>
      <c r="E1415">
        <v>46587</v>
      </c>
      <c r="F1415">
        <v>54604</v>
      </c>
      <c r="G1415">
        <v>-213769</v>
      </c>
      <c r="H1415">
        <v>147261</v>
      </c>
      <c r="I1415">
        <v>153338</v>
      </c>
      <c r="J1415">
        <v>2940</v>
      </c>
      <c r="K1415">
        <v>714970</v>
      </c>
      <c r="L1415">
        <v>187667</v>
      </c>
      <c r="M1415">
        <v>-120083</v>
      </c>
      <c r="N1415">
        <v>84733</v>
      </c>
      <c r="O1415" t="s">
        <v>1433</v>
      </c>
      <c r="P1415" s="9">
        <v>298692</v>
      </c>
      <c r="Q1415" s="9">
        <v>46656</v>
      </c>
      <c r="R1415" s="9">
        <v>345348</v>
      </c>
      <c r="S1415" s="9">
        <v>-149890</v>
      </c>
      <c r="T1415" s="10">
        <v>110127</v>
      </c>
      <c r="U1415" s="10">
        <v>2389</v>
      </c>
    </row>
    <row r="1416" spans="1:21" x14ac:dyDescent="0.35">
      <c r="A1416" t="s">
        <v>15</v>
      </c>
      <c r="B1416" t="s">
        <v>20</v>
      </c>
      <c r="C1416" t="s">
        <v>21</v>
      </c>
      <c r="D1416">
        <v>255285</v>
      </c>
      <c r="E1416">
        <v>23820</v>
      </c>
      <c r="F1416">
        <v>50072</v>
      </c>
      <c r="G1416">
        <v>-250092</v>
      </c>
      <c r="H1416">
        <v>79085</v>
      </c>
      <c r="I1416">
        <v>81179</v>
      </c>
      <c r="J1416">
        <v>1339</v>
      </c>
      <c r="K1416">
        <v>848178</v>
      </c>
      <c r="L1416">
        <v>259811</v>
      </c>
      <c r="M1416">
        <v>-316060</v>
      </c>
      <c r="N1416">
        <v>98216</v>
      </c>
      <c r="O1416" t="s">
        <v>1434</v>
      </c>
      <c r="P1416" s="9">
        <v>276621</v>
      </c>
      <c r="Q1416" s="9">
        <v>44849</v>
      </c>
      <c r="R1416" s="9">
        <v>321470</v>
      </c>
      <c r="S1416" s="9">
        <v>-116158</v>
      </c>
      <c r="T1416" s="10">
        <v>102009</v>
      </c>
      <c r="U1416" s="10">
        <v>2668</v>
      </c>
    </row>
    <row r="1417" spans="1:21" x14ac:dyDescent="0.35">
      <c r="A1417" t="s">
        <v>15</v>
      </c>
      <c r="B1417" t="s">
        <v>20</v>
      </c>
      <c r="C1417" t="s">
        <v>21</v>
      </c>
      <c r="D1417">
        <v>182133</v>
      </c>
      <c r="E1417">
        <v>35207</v>
      </c>
      <c r="F1417">
        <v>28326</v>
      </c>
      <c r="G1417">
        <v>-146633</v>
      </c>
      <c r="H1417">
        <v>99033</v>
      </c>
      <c r="I1417">
        <v>89337</v>
      </c>
      <c r="J1417">
        <v>902</v>
      </c>
      <c r="K1417">
        <v>636979</v>
      </c>
      <c r="L1417">
        <v>233812</v>
      </c>
      <c r="M1417">
        <v>-143387</v>
      </c>
      <c r="N1417">
        <v>128504</v>
      </c>
      <c r="O1417" t="s">
        <v>1435</v>
      </c>
      <c r="P1417" s="9">
        <v>214747</v>
      </c>
      <c r="Q1417" s="9">
        <v>33955</v>
      </c>
      <c r="R1417" s="9">
        <v>248702</v>
      </c>
      <c r="S1417" s="9">
        <v>-127625</v>
      </c>
      <c r="T1417" s="10">
        <v>96939</v>
      </c>
      <c r="U1417" s="10">
        <v>1883</v>
      </c>
    </row>
    <row r="1418" spans="1:21" x14ac:dyDescent="0.35">
      <c r="A1418" t="s">
        <v>15</v>
      </c>
      <c r="B1418" t="s">
        <v>16</v>
      </c>
      <c r="C1418" t="s">
        <v>17</v>
      </c>
      <c r="D1418">
        <v>285907</v>
      </c>
      <c r="E1418">
        <v>22709</v>
      </c>
      <c r="F1418">
        <v>40913</v>
      </c>
      <c r="G1418">
        <v>-276688</v>
      </c>
      <c r="H1418">
        <v>72841</v>
      </c>
      <c r="I1418">
        <v>68583</v>
      </c>
      <c r="J1418">
        <v>2016</v>
      </c>
      <c r="K1418">
        <v>1063747</v>
      </c>
      <c r="L1418">
        <v>267439</v>
      </c>
      <c r="M1418">
        <v>-311945</v>
      </c>
      <c r="N1418">
        <v>143198</v>
      </c>
      <c r="O1418" t="s">
        <v>1436</v>
      </c>
      <c r="P1418" s="9">
        <v>236441</v>
      </c>
      <c r="Q1418" s="9">
        <v>37490</v>
      </c>
      <c r="R1418" s="9">
        <v>273931</v>
      </c>
      <c r="S1418" s="9">
        <v>-80359</v>
      </c>
      <c r="T1418" s="10">
        <v>108080</v>
      </c>
      <c r="U1418" s="10">
        <v>2632</v>
      </c>
    </row>
    <row r="1419" spans="1:21" x14ac:dyDescent="0.35">
      <c r="A1419" t="s">
        <v>15</v>
      </c>
      <c r="B1419" t="s">
        <v>20</v>
      </c>
      <c r="C1419" t="s">
        <v>21</v>
      </c>
      <c r="D1419">
        <v>181283</v>
      </c>
      <c r="E1419">
        <v>35146</v>
      </c>
      <c r="F1419">
        <v>27501</v>
      </c>
      <c r="G1419">
        <v>-153705</v>
      </c>
      <c r="H1419">
        <v>90225</v>
      </c>
      <c r="I1419">
        <v>93557</v>
      </c>
      <c r="J1419">
        <v>2687</v>
      </c>
      <c r="K1419">
        <v>487566</v>
      </c>
      <c r="L1419">
        <v>71707</v>
      </c>
      <c r="M1419">
        <v>-78999</v>
      </c>
      <c r="N1419">
        <v>109873</v>
      </c>
      <c r="O1419" t="s">
        <v>1437</v>
      </c>
      <c r="P1419" s="9">
        <v>142238</v>
      </c>
      <c r="Q1419" s="9">
        <v>27962</v>
      </c>
      <c r="R1419" s="9">
        <v>170200</v>
      </c>
      <c r="S1419" s="9">
        <v>-72106</v>
      </c>
      <c r="T1419" s="10">
        <v>50299</v>
      </c>
      <c r="U1419" s="10">
        <v>822</v>
      </c>
    </row>
    <row r="1420" spans="1:21" x14ac:dyDescent="0.35">
      <c r="A1420" t="s">
        <v>15</v>
      </c>
      <c r="B1420" t="s">
        <v>16</v>
      </c>
      <c r="C1420" t="s">
        <v>21</v>
      </c>
      <c r="D1420">
        <v>284731</v>
      </c>
      <c r="E1420">
        <v>51278</v>
      </c>
      <c r="F1420">
        <v>48374</v>
      </c>
      <c r="G1420">
        <v>-272738</v>
      </c>
      <c r="H1420">
        <v>111645</v>
      </c>
      <c r="I1420">
        <v>102684</v>
      </c>
      <c r="J1420">
        <v>1633</v>
      </c>
      <c r="K1420">
        <v>1062325</v>
      </c>
      <c r="L1420">
        <v>418031</v>
      </c>
      <c r="M1420">
        <v>-396324</v>
      </c>
      <c r="N1420">
        <v>102624</v>
      </c>
      <c r="O1420" t="s">
        <v>1438</v>
      </c>
      <c r="P1420" s="9">
        <v>179396</v>
      </c>
      <c r="Q1420" s="9">
        <v>29413</v>
      </c>
      <c r="R1420" s="9">
        <v>208809</v>
      </c>
      <c r="S1420" s="9">
        <v>-71549</v>
      </c>
      <c r="T1420" s="10">
        <v>86587</v>
      </c>
      <c r="U1420" s="10">
        <v>1882</v>
      </c>
    </row>
    <row r="1421" spans="1:21" x14ac:dyDescent="0.35">
      <c r="A1421" t="s">
        <v>15</v>
      </c>
      <c r="B1421" t="s">
        <v>16</v>
      </c>
      <c r="C1421" t="s">
        <v>21</v>
      </c>
      <c r="D1421">
        <v>284721</v>
      </c>
      <c r="E1421">
        <v>26367</v>
      </c>
      <c r="F1421">
        <v>65568</v>
      </c>
      <c r="G1421">
        <v>-271787</v>
      </c>
      <c r="H1421">
        <v>104869</v>
      </c>
      <c r="I1421">
        <v>98852</v>
      </c>
      <c r="J1421">
        <v>2655</v>
      </c>
      <c r="K1421">
        <v>798923</v>
      </c>
      <c r="L1421">
        <v>241471</v>
      </c>
      <c r="M1421">
        <v>-148260</v>
      </c>
      <c r="N1421">
        <v>139802</v>
      </c>
      <c r="O1421" t="s">
        <v>1439</v>
      </c>
      <c r="P1421" s="9">
        <v>169763</v>
      </c>
      <c r="Q1421" s="9">
        <v>19176</v>
      </c>
      <c r="R1421" s="9">
        <v>188939</v>
      </c>
      <c r="S1421" s="9">
        <v>-111153</v>
      </c>
      <c r="T1421" s="10">
        <v>49201</v>
      </c>
      <c r="U1421" s="10">
        <v>731</v>
      </c>
    </row>
    <row r="1422" spans="1:21" x14ac:dyDescent="0.35">
      <c r="A1422" t="s">
        <v>15</v>
      </c>
      <c r="B1422" t="s">
        <v>16</v>
      </c>
      <c r="C1422" t="s">
        <v>17</v>
      </c>
      <c r="D1422">
        <v>294888</v>
      </c>
      <c r="E1422">
        <v>14752</v>
      </c>
      <c r="F1422">
        <v>44584</v>
      </c>
      <c r="G1422">
        <v>-262911</v>
      </c>
      <c r="H1422">
        <v>91313</v>
      </c>
      <c r="I1422">
        <v>91751</v>
      </c>
      <c r="J1422">
        <v>1099</v>
      </c>
      <c r="K1422">
        <v>703154</v>
      </c>
      <c r="L1422">
        <v>141829</v>
      </c>
      <c r="M1422">
        <v>-233283</v>
      </c>
      <c r="N1422">
        <v>232091</v>
      </c>
      <c r="O1422" t="s">
        <v>1440</v>
      </c>
      <c r="P1422" s="9">
        <v>299274</v>
      </c>
      <c r="Q1422" s="9">
        <v>40288</v>
      </c>
      <c r="R1422" s="9">
        <v>339562</v>
      </c>
      <c r="S1422" s="9">
        <v>-168664</v>
      </c>
      <c r="T1422" s="10">
        <v>108277</v>
      </c>
      <c r="U1422" s="10">
        <v>1979</v>
      </c>
    </row>
    <row r="1423" spans="1:21" x14ac:dyDescent="0.35">
      <c r="A1423" t="s">
        <v>15</v>
      </c>
      <c r="B1423" t="s">
        <v>20</v>
      </c>
      <c r="C1423" t="s">
        <v>17</v>
      </c>
      <c r="D1423">
        <v>224978</v>
      </c>
      <c r="E1423">
        <v>23295</v>
      </c>
      <c r="F1423">
        <v>47303</v>
      </c>
      <c r="G1423">
        <v>-196656</v>
      </c>
      <c r="H1423">
        <v>98920</v>
      </c>
      <c r="I1423">
        <v>92110</v>
      </c>
      <c r="J1423">
        <v>1279</v>
      </c>
      <c r="K1423">
        <v>813579</v>
      </c>
      <c r="L1423">
        <v>333390</v>
      </c>
      <c r="M1423">
        <v>-231590</v>
      </c>
      <c r="N1423">
        <v>109689</v>
      </c>
      <c r="O1423" t="s">
        <v>1441</v>
      </c>
      <c r="P1423" s="9">
        <v>226316</v>
      </c>
      <c r="Q1423" s="9">
        <v>21548</v>
      </c>
      <c r="R1423" s="9">
        <v>247864</v>
      </c>
      <c r="S1423" s="9">
        <v>-75219</v>
      </c>
      <c r="T1423" s="10">
        <v>83342</v>
      </c>
      <c r="U1423" s="10">
        <v>2020</v>
      </c>
    </row>
    <row r="1424" spans="1:21" x14ac:dyDescent="0.35">
      <c r="A1424" t="s">
        <v>15</v>
      </c>
      <c r="B1424" t="s">
        <v>20</v>
      </c>
      <c r="C1424" t="s">
        <v>17</v>
      </c>
      <c r="D1424">
        <v>166432</v>
      </c>
      <c r="E1424">
        <v>13136</v>
      </c>
      <c r="F1424">
        <v>25217</v>
      </c>
      <c r="G1424">
        <v>-141299</v>
      </c>
      <c r="H1424">
        <v>63486</v>
      </c>
      <c r="I1424">
        <v>57847</v>
      </c>
      <c r="J1424">
        <v>787</v>
      </c>
      <c r="K1424">
        <v>549139</v>
      </c>
      <c r="L1424">
        <v>161634</v>
      </c>
      <c r="M1424">
        <v>-186425</v>
      </c>
      <c r="N1424">
        <v>117128</v>
      </c>
      <c r="O1424" t="s">
        <v>1442</v>
      </c>
      <c r="P1424" s="9">
        <v>173963</v>
      </c>
      <c r="Q1424" s="9">
        <v>27976</v>
      </c>
      <c r="R1424" s="9">
        <v>201939</v>
      </c>
      <c r="S1424" s="9">
        <v>-45053</v>
      </c>
      <c r="T1424" s="10">
        <v>46226</v>
      </c>
      <c r="U1424" s="10">
        <v>747</v>
      </c>
    </row>
    <row r="1425" spans="1:21" x14ac:dyDescent="0.35">
      <c r="A1425" t="s">
        <v>15</v>
      </c>
      <c r="B1425" t="s">
        <v>16</v>
      </c>
      <c r="C1425" t="s">
        <v>21</v>
      </c>
      <c r="D1425">
        <v>213753</v>
      </c>
      <c r="E1425">
        <v>16946</v>
      </c>
      <c r="F1425">
        <v>29538</v>
      </c>
      <c r="G1425">
        <v>-212622</v>
      </c>
      <c r="H1425">
        <v>47615</v>
      </c>
      <c r="I1425">
        <v>44932</v>
      </c>
      <c r="J1425">
        <v>682</v>
      </c>
      <c r="K1425">
        <v>836043</v>
      </c>
      <c r="L1425">
        <v>120560</v>
      </c>
      <c r="M1425">
        <v>-121015</v>
      </c>
      <c r="N1425">
        <v>183850</v>
      </c>
      <c r="O1425" t="s">
        <v>1443</v>
      </c>
      <c r="P1425" s="9">
        <v>265214</v>
      </c>
      <c r="Q1425" s="9">
        <v>50815</v>
      </c>
      <c r="R1425" s="9">
        <v>316029</v>
      </c>
      <c r="S1425" s="9">
        <v>-91693</v>
      </c>
      <c r="T1425" s="10">
        <v>103574</v>
      </c>
      <c r="U1425" s="10">
        <v>2144</v>
      </c>
    </row>
    <row r="1426" spans="1:21" x14ac:dyDescent="0.35">
      <c r="A1426" t="s">
        <v>15</v>
      </c>
      <c r="B1426" t="s">
        <v>16</v>
      </c>
      <c r="C1426" t="s">
        <v>21</v>
      </c>
      <c r="D1426">
        <v>188576</v>
      </c>
      <c r="E1426">
        <v>11089</v>
      </c>
      <c r="F1426">
        <v>36235</v>
      </c>
      <c r="G1426">
        <v>-181092</v>
      </c>
      <c r="H1426">
        <v>54808</v>
      </c>
      <c r="I1426">
        <v>49662</v>
      </c>
      <c r="J1426">
        <v>679</v>
      </c>
      <c r="K1426">
        <v>744817</v>
      </c>
      <c r="L1426">
        <v>297196</v>
      </c>
      <c r="M1426">
        <v>-252973</v>
      </c>
      <c r="N1426">
        <v>68806</v>
      </c>
      <c r="O1426" t="s">
        <v>1444</v>
      </c>
      <c r="P1426" s="9">
        <v>256968</v>
      </c>
      <c r="Q1426" s="9">
        <v>21912</v>
      </c>
      <c r="R1426" s="9">
        <v>278880</v>
      </c>
      <c r="S1426" s="9">
        <v>-74855</v>
      </c>
      <c r="T1426" s="10">
        <v>80564</v>
      </c>
      <c r="U1426" s="10">
        <v>2410</v>
      </c>
    </row>
    <row r="1427" spans="1:21" x14ac:dyDescent="0.35">
      <c r="A1427" t="s">
        <v>15</v>
      </c>
      <c r="B1427" t="s">
        <v>16</v>
      </c>
      <c r="C1427" t="s">
        <v>21</v>
      </c>
      <c r="D1427">
        <v>167223</v>
      </c>
      <c r="E1427">
        <v>15713</v>
      </c>
      <c r="F1427">
        <v>27620</v>
      </c>
      <c r="G1427">
        <v>-151364</v>
      </c>
      <c r="H1427">
        <v>59192</v>
      </c>
      <c r="I1427">
        <v>61567</v>
      </c>
      <c r="J1427">
        <v>1399</v>
      </c>
      <c r="K1427">
        <v>348305</v>
      </c>
      <c r="L1427">
        <v>133087</v>
      </c>
      <c r="M1427">
        <v>-84924</v>
      </c>
      <c r="N1427">
        <v>65719</v>
      </c>
      <c r="O1427" t="s">
        <v>1445</v>
      </c>
      <c r="P1427" s="9">
        <v>215053</v>
      </c>
      <c r="Q1427" s="9">
        <v>15225</v>
      </c>
      <c r="R1427" s="9">
        <v>230278</v>
      </c>
      <c r="S1427" s="9">
        <v>-112321</v>
      </c>
      <c r="T1427" s="10">
        <v>68852</v>
      </c>
      <c r="U1427" s="10">
        <v>1661</v>
      </c>
    </row>
    <row r="1428" spans="1:21" x14ac:dyDescent="0.35">
      <c r="A1428" t="s">
        <v>15</v>
      </c>
      <c r="B1428" t="s">
        <v>16</v>
      </c>
      <c r="C1428" t="s">
        <v>21</v>
      </c>
      <c r="D1428">
        <v>267292</v>
      </c>
      <c r="E1428">
        <v>39936</v>
      </c>
      <c r="F1428">
        <v>41830</v>
      </c>
      <c r="G1428">
        <v>-246379</v>
      </c>
      <c r="H1428">
        <v>102679</v>
      </c>
      <c r="I1428">
        <v>92996</v>
      </c>
      <c r="J1428">
        <v>2163</v>
      </c>
      <c r="K1428">
        <v>762759</v>
      </c>
      <c r="L1428">
        <v>108536</v>
      </c>
      <c r="M1428">
        <v>-270876</v>
      </c>
      <c r="N1428">
        <v>83290</v>
      </c>
      <c r="O1428" t="s">
        <v>1446</v>
      </c>
      <c r="P1428" s="9">
        <v>214477</v>
      </c>
      <c r="Q1428" s="9">
        <v>29929</v>
      </c>
      <c r="R1428" s="9">
        <v>244406</v>
      </c>
      <c r="S1428" s="9">
        <v>-93502</v>
      </c>
      <c r="T1428" s="10">
        <v>90559</v>
      </c>
      <c r="U1428" s="10">
        <v>2238</v>
      </c>
    </row>
    <row r="1429" spans="1:21" x14ac:dyDescent="0.35">
      <c r="A1429" t="s">
        <v>15</v>
      </c>
      <c r="B1429" t="s">
        <v>20</v>
      </c>
      <c r="C1429" t="s">
        <v>21</v>
      </c>
      <c r="D1429">
        <v>289701</v>
      </c>
      <c r="E1429">
        <v>46009</v>
      </c>
      <c r="F1429">
        <v>44579</v>
      </c>
      <c r="G1429">
        <v>-244245</v>
      </c>
      <c r="H1429">
        <v>136044</v>
      </c>
      <c r="I1429">
        <v>126068</v>
      </c>
      <c r="J1429">
        <v>3027</v>
      </c>
      <c r="K1429">
        <v>939723</v>
      </c>
      <c r="L1429">
        <v>329930</v>
      </c>
      <c r="M1429">
        <v>-111814</v>
      </c>
      <c r="N1429">
        <v>145882</v>
      </c>
      <c r="O1429" t="s">
        <v>1447</v>
      </c>
      <c r="P1429" s="9">
        <v>162519</v>
      </c>
      <c r="Q1429" s="9">
        <v>11824</v>
      </c>
      <c r="R1429" s="9">
        <v>174343</v>
      </c>
      <c r="S1429" s="9">
        <v>-47946</v>
      </c>
      <c r="T1429" s="10">
        <v>67751</v>
      </c>
      <c r="U1429" s="10">
        <v>1716</v>
      </c>
    </row>
    <row r="1430" spans="1:21" x14ac:dyDescent="0.35">
      <c r="A1430" t="s">
        <v>15</v>
      </c>
      <c r="B1430" t="s">
        <v>16</v>
      </c>
      <c r="C1430" t="s">
        <v>21</v>
      </c>
      <c r="D1430">
        <v>251946</v>
      </c>
      <c r="E1430">
        <v>19576</v>
      </c>
      <c r="F1430">
        <v>49096</v>
      </c>
      <c r="G1430">
        <v>-208287</v>
      </c>
      <c r="H1430">
        <v>112331</v>
      </c>
      <c r="I1430">
        <v>106258</v>
      </c>
      <c r="J1430">
        <v>1887</v>
      </c>
      <c r="K1430">
        <v>713997</v>
      </c>
      <c r="L1430">
        <v>231646</v>
      </c>
      <c r="M1430">
        <v>-169912</v>
      </c>
      <c r="N1430">
        <v>125059</v>
      </c>
      <c r="O1430" t="s">
        <v>1448</v>
      </c>
      <c r="P1430" s="9">
        <v>180153</v>
      </c>
      <c r="Q1430" s="9">
        <v>16067</v>
      </c>
      <c r="R1430" s="9">
        <v>196220</v>
      </c>
      <c r="S1430" s="9">
        <v>-80355</v>
      </c>
      <c r="T1430" s="10">
        <v>59568</v>
      </c>
      <c r="U1430" s="10">
        <v>1647</v>
      </c>
    </row>
    <row r="1431" spans="1:21" x14ac:dyDescent="0.35">
      <c r="A1431" t="s">
        <v>15</v>
      </c>
      <c r="B1431" t="s">
        <v>16</v>
      </c>
      <c r="C1431" t="s">
        <v>21</v>
      </c>
      <c r="D1431">
        <v>232916</v>
      </c>
      <c r="E1431">
        <v>25386</v>
      </c>
      <c r="F1431">
        <v>50687</v>
      </c>
      <c r="G1431">
        <v>-210926</v>
      </c>
      <c r="H1431">
        <v>98063</v>
      </c>
      <c r="I1431">
        <v>102636</v>
      </c>
      <c r="J1431">
        <v>2320</v>
      </c>
      <c r="K1431">
        <v>554539</v>
      </c>
      <c r="L1431">
        <v>190263</v>
      </c>
      <c r="M1431">
        <v>-202850</v>
      </c>
      <c r="N1431">
        <v>86499</v>
      </c>
      <c r="O1431" t="s">
        <v>1449</v>
      </c>
      <c r="P1431" s="9">
        <v>245584</v>
      </c>
      <c r="Q1431" s="9">
        <v>26766</v>
      </c>
      <c r="R1431" s="9">
        <v>272350</v>
      </c>
      <c r="S1431" s="9">
        <v>-100906</v>
      </c>
      <c r="T1431" s="10">
        <v>71968</v>
      </c>
      <c r="U1431" s="10">
        <v>1686</v>
      </c>
    </row>
    <row r="1432" spans="1:21" x14ac:dyDescent="0.35">
      <c r="A1432" t="s">
        <v>15</v>
      </c>
      <c r="B1432" t="s">
        <v>20</v>
      </c>
      <c r="C1432" t="s">
        <v>21</v>
      </c>
      <c r="D1432">
        <v>249450</v>
      </c>
      <c r="E1432">
        <v>16468</v>
      </c>
      <c r="F1432">
        <v>58150</v>
      </c>
      <c r="G1432">
        <v>-207947</v>
      </c>
      <c r="H1432">
        <v>116121</v>
      </c>
      <c r="I1432">
        <v>116028</v>
      </c>
      <c r="J1432">
        <v>2126</v>
      </c>
      <c r="K1432">
        <v>562167</v>
      </c>
      <c r="L1432">
        <v>106146</v>
      </c>
      <c r="M1432">
        <v>-196273</v>
      </c>
      <c r="N1432">
        <v>91020</v>
      </c>
      <c r="O1432" t="s">
        <v>1450</v>
      </c>
      <c r="P1432" s="9">
        <v>233006</v>
      </c>
      <c r="Q1432" s="9">
        <v>35485</v>
      </c>
      <c r="R1432" s="9">
        <v>268491</v>
      </c>
      <c r="S1432" s="9">
        <v>-75200</v>
      </c>
      <c r="T1432" s="10">
        <v>105268</v>
      </c>
      <c r="U1432" s="10">
        <v>1740</v>
      </c>
    </row>
    <row r="1433" spans="1:21" x14ac:dyDescent="0.35">
      <c r="A1433" t="s">
        <v>15</v>
      </c>
      <c r="B1433" t="s">
        <v>20</v>
      </c>
      <c r="C1433" t="s">
        <v>17</v>
      </c>
      <c r="D1433">
        <v>268948</v>
      </c>
      <c r="E1433">
        <v>31467</v>
      </c>
      <c r="F1433">
        <v>38108</v>
      </c>
      <c r="G1433">
        <v>-247475</v>
      </c>
      <c r="H1433">
        <v>91048</v>
      </c>
      <c r="I1433">
        <v>85629</v>
      </c>
      <c r="J1433">
        <v>2414</v>
      </c>
      <c r="K1433">
        <v>969316</v>
      </c>
      <c r="L1433">
        <v>188713</v>
      </c>
      <c r="M1433">
        <v>-120833</v>
      </c>
      <c r="N1433">
        <v>100868</v>
      </c>
      <c r="O1433" t="s">
        <v>1451</v>
      </c>
      <c r="P1433" s="9">
        <v>272191</v>
      </c>
      <c r="Q1433" s="9">
        <v>58648</v>
      </c>
      <c r="R1433" s="9">
        <v>330839</v>
      </c>
      <c r="S1433" s="9">
        <v>-129736</v>
      </c>
      <c r="T1433" s="10">
        <v>149329</v>
      </c>
      <c r="U1433" s="10">
        <v>1591</v>
      </c>
    </row>
    <row r="1434" spans="1:21" x14ac:dyDescent="0.35">
      <c r="A1434" t="s">
        <v>15</v>
      </c>
      <c r="B1434" t="s">
        <v>16</v>
      </c>
      <c r="C1434" t="s">
        <v>17</v>
      </c>
      <c r="D1434">
        <v>266261</v>
      </c>
      <c r="E1434">
        <v>24337</v>
      </c>
      <c r="F1434">
        <v>66406</v>
      </c>
      <c r="G1434">
        <v>-231560</v>
      </c>
      <c r="H1434">
        <v>125444</v>
      </c>
      <c r="I1434">
        <v>131602</v>
      </c>
      <c r="J1434">
        <v>2285</v>
      </c>
      <c r="K1434">
        <v>1031434</v>
      </c>
      <c r="L1434">
        <v>315166</v>
      </c>
      <c r="M1434">
        <v>-211392</v>
      </c>
      <c r="N1434">
        <v>105749</v>
      </c>
      <c r="O1434" t="s">
        <v>1452</v>
      </c>
      <c r="P1434" s="9">
        <v>275852</v>
      </c>
      <c r="Q1434" s="9">
        <v>50101</v>
      </c>
      <c r="R1434" s="9">
        <v>325953</v>
      </c>
      <c r="S1434" s="9">
        <v>-149658</v>
      </c>
      <c r="T1434" s="10">
        <v>110926</v>
      </c>
      <c r="U1434" s="10">
        <v>3013</v>
      </c>
    </row>
    <row r="1435" spans="1:21" x14ac:dyDescent="0.35">
      <c r="A1435" t="s">
        <v>15</v>
      </c>
      <c r="B1435" t="s">
        <v>20</v>
      </c>
      <c r="C1435" t="s">
        <v>17</v>
      </c>
      <c r="D1435">
        <v>262464</v>
      </c>
      <c r="E1435">
        <v>34174</v>
      </c>
      <c r="F1435">
        <v>59393</v>
      </c>
      <c r="G1435">
        <v>-242706</v>
      </c>
      <c r="H1435">
        <v>113325</v>
      </c>
      <c r="I1435">
        <v>102570</v>
      </c>
      <c r="J1435">
        <v>2214</v>
      </c>
      <c r="K1435">
        <v>768165</v>
      </c>
      <c r="L1435">
        <v>342718</v>
      </c>
      <c r="M1435">
        <v>-304702</v>
      </c>
      <c r="N1435">
        <v>230986</v>
      </c>
      <c r="O1435" t="s">
        <v>1453</v>
      </c>
      <c r="P1435" s="9">
        <v>169921</v>
      </c>
      <c r="Q1435" s="9">
        <v>10509</v>
      </c>
      <c r="R1435" s="9">
        <v>180430</v>
      </c>
      <c r="S1435" s="9">
        <v>-51242</v>
      </c>
      <c r="T1435" s="10">
        <v>65148</v>
      </c>
      <c r="U1435" s="10">
        <v>1376</v>
      </c>
    </row>
    <row r="1436" spans="1:21" x14ac:dyDescent="0.35">
      <c r="A1436" t="s">
        <v>15</v>
      </c>
      <c r="B1436" t="s">
        <v>16</v>
      </c>
      <c r="C1436" t="s">
        <v>17</v>
      </c>
      <c r="D1436">
        <v>193425</v>
      </c>
      <c r="E1436">
        <v>35454</v>
      </c>
      <c r="F1436">
        <v>24498</v>
      </c>
      <c r="G1436">
        <v>-165106</v>
      </c>
      <c r="H1436">
        <v>88271</v>
      </c>
      <c r="I1436">
        <v>91903</v>
      </c>
      <c r="J1436">
        <v>1878</v>
      </c>
      <c r="K1436">
        <v>689191</v>
      </c>
      <c r="L1436">
        <v>309365</v>
      </c>
      <c r="M1436">
        <v>-224220</v>
      </c>
      <c r="N1436">
        <v>78356</v>
      </c>
      <c r="O1436" t="s">
        <v>1454</v>
      </c>
      <c r="P1436" s="9">
        <v>245303</v>
      </c>
      <c r="Q1436" s="9">
        <v>15519</v>
      </c>
      <c r="R1436" s="9">
        <v>260822</v>
      </c>
      <c r="S1436" s="9">
        <v>-130476</v>
      </c>
      <c r="T1436" s="10">
        <v>79173</v>
      </c>
      <c r="U1436" s="10">
        <v>993</v>
      </c>
    </row>
    <row r="1437" spans="1:21" x14ac:dyDescent="0.35">
      <c r="A1437" t="s">
        <v>15</v>
      </c>
      <c r="B1437" t="s">
        <v>16</v>
      </c>
      <c r="C1437" t="s">
        <v>21</v>
      </c>
      <c r="D1437">
        <v>277978</v>
      </c>
      <c r="E1437">
        <v>28817</v>
      </c>
      <c r="F1437">
        <v>50216</v>
      </c>
      <c r="G1437">
        <v>-232686</v>
      </c>
      <c r="H1437">
        <v>124325</v>
      </c>
      <c r="I1437">
        <v>115294</v>
      </c>
      <c r="J1437">
        <v>2592</v>
      </c>
      <c r="K1437">
        <v>888180</v>
      </c>
      <c r="L1437">
        <v>266195</v>
      </c>
      <c r="M1437">
        <v>-229045</v>
      </c>
      <c r="N1437">
        <v>196911</v>
      </c>
      <c r="O1437" t="s">
        <v>1455</v>
      </c>
      <c r="P1437" s="9">
        <v>291067</v>
      </c>
      <c r="Q1437" s="9">
        <v>32971</v>
      </c>
      <c r="R1437" s="9">
        <v>324038</v>
      </c>
      <c r="S1437" s="9">
        <v>-176766</v>
      </c>
      <c r="T1437" s="10">
        <v>131685</v>
      </c>
      <c r="U1437" s="10">
        <v>2134</v>
      </c>
    </row>
    <row r="1438" spans="1:21" x14ac:dyDescent="0.35">
      <c r="A1438" t="s">
        <v>15</v>
      </c>
      <c r="B1438" t="s">
        <v>16</v>
      </c>
      <c r="C1438" t="s">
        <v>21</v>
      </c>
      <c r="D1438">
        <v>190664</v>
      </c>
      <c r="E1438">
        <v>19058</v>
      </c>
      <c r="F1438">
        <v>20802</v>
      </c>
      <c r="G1438">
        <v>-168022</v>
      </c>
      <c r="H1438">
        <v>62502</v>
      </c>
      <c r="I1438">
        <v>61319</v>
      </c>
      <c r="J1438">
        <v>630</v>
      </c>
      <c r="K1438">
        <v>510297</v>
      </c>
      <c r="L1438">
        <v>221965</v>
      </c>
      <c r="M1438">
        <v>-69218</v>
      </c>
      <c r="N1438">
        <v>138559</v>
      </c>
      <c r="O1438" t="s">
        <v>1456</v>
      </c>
      <c r="P1438" s="9">
        <v>177609</v>
      </c>
      <c r="Q1438" s="9">
        <v>14114</v>
      </c>
      <c r="R1438" s="9">
        <v>191723</v>
      </c>
      <c r="S1438" s="9">
        <v>-76321</v>
      </c>
      <c r="T1438" s="10">
        <v>66519</v>
      </c>
      <c r="U1438" s="10">
        <v>1991</v>
      </c>
    </row>
    <row r="1439" spans="1:21" x14ac:dyDescent="0.35">
      <c r="A1439" t="s">
        <v>15</v>
      </c>
      <c r="B1439" t="s">
        <v>16</v>
      </c>
      <c r="C1439" t="s">
        <v>21</v>
      </c>
      <c r="D1439">
        <v>157229</v>
      </c>
      <c r="E1439">
        <v>14885</v>
      </c>
      <c r="F1439">
        <v>16901</v>
      </c>
      <c r="G1439">
        <v>-139141</v>
      </c>
      <c r="H1439">
        <v>49874</v>
      </c>
      <c r="I1439">
        <v>47012</v>
      </c>
      <c r="J1439">
        <v>577</v>
      </c>
      <c r="K1439">
        <v>465413</v>
      </c>
      <c r="L1439">
        <v>221323</v>
      </c>
      <c r="M1439">
        <v>-146015</v>
      </c>
      <c r="N1439">
        <v>121436</v>
      </c>
      <c r="O1439" t="s">
        <v>1457</v>
      </c>
      <c r="P1439" s="9">
        <v>180438</v>
      </c>
      <c r="Q1439" s="9">
        <v>22518</v>
      </c>
      <c r="R1439" s="9">
        <v>202956</v>
      </c>
      <c r="S1439" s="9">
        <v>-101729</v>
      </c>
      <c r="T1439" s="10">
        <v>91249</v>
      </c>
      <c r="U1439" s="10">
        <v>2595</v>
      </c>
    </row>
    <row r="1440" spans="1:21" x14ac:dyDescent="0.35">
      <c r="A1440" t="s">
        <v>15</v>
      </c>
      <c r="B1440" t="s">
        <v>20</v>
      </c>
      <c r="C1440" t="s">
        <v>21</v>
      </c>
      <c r="D1440">
        <v>161681</v>
      </c>
      <c r="E1440">
        <v>16659</v>
      </c>
      <c r="F1440">
        <v>34422</v>
      </c>
      <c r="G1440">
        <v>-145028</v>
      </c>
      <c r="H1440">
        <v>67734</v>
      </c>
      <c r="I1440">
        <v>64811</v>
      </c>
      <c r="J1440">
        <v>1230</v>
      </c>
      <c r="K1440">
        <v>435458</v>
      </c>
      <c r="L1440">
        <v>160602</v>
      </c>
      <c r="M1440">
        <v>-134070</v>
      </c>
      <c r="N1440">
        <v>72033</v>
      </c>
      <c r="O1440" t="s">
        <v>1458</v>
      </c>
      <c r="P1440" s="9">
        <v>184154</v>
      </c>
      <c r="Q1440" s="9">
        <v>27218</v>
      </c>
      <c r="R1440" s="9">
        <v>211372</v>
      </c>
      <c r="S1440" s="9">
        <v>-53758</v>
      </c>
      <c r="T1440" s="10">
        <v>52053</v>
      </c>
      <c r="U1440" s="10">
        <v>700</v>
      </c>
    </row>
    <row r="1441" spans="1:21" x14ac:dyDescent="0.35">
      <c r="A1441" t="s">
        <v>15</v>
      </c>
      <c r="B1441" t="s">
        <v>16</v>
      </c>
      <c r="C1441" t="s">
        <v>21</v>
      </c>
      <c r="D1441">
        <v>163646</v>
      </c>
      <c r="E1441">
        <v>24565</v>
      </c>
      <c r="F1441">
        <v>21059</v>
      </c>
      <c r="G1441">
        <v>-151422</v>
      </c>
      <c r="H1441">
        <v>57848</v>
      </c>
      <c r="I1441">
        <v>54020</v>
      </c>
      <c r="J1441">
        <v>785</v>
      </c>
      <c r="K1441">
        <v>361522</v>
      </c>
      <c r="L1441">
        <v>132280</v>
      </c>
      <c r="M1441">
        <v>-99285</v>
      </c>
      <c r="N1441">
        <v>115919</v>
      </c>
      <c r="O1441" t="s">
        <v>1459</v>
      </c>
      <c r="P1441" s="9">
        <v>255320</v>
      </c>
      <c r="Q1441" s="9">
        <v>37113</v>
      </c>
      <c r="R1441" s="9">
        <v>292433</v>
      </c>
      <c r="S1441" s="9">
        <v>-80334</v>
      </c>
      <c r="T1441" s="10">
        <v>108237</v>
      </c>
      <c r="U1441" s="10">
        <v>2041</v>
      </c>
    </row>
    <row r="1442" spans="1:21" x14ac:dyDescent="0.35">
      <c r="A1442" t="s">
        <v>15</v>
      </c>
      <c r="B1442" t="s">
        <v>16</v>
      </c>
      <c r="C1442" t="s">
        <v>21</v>
      </c>
      <c r="D1442">
        <v>298748</v>
      </c>
      <c r="E1442">
        <v>21348</v>
      </c>
      <c r="F1442">
        <v>63872</v>
      </c>
      <c r="G1442">
        <v>-269282</v>
      </c>
      <c r="H1442">
        <v>114686</v>
      </c>
      <c r="I1442">
        <v>117206</v>
      </c>
      <c r="J1442">
        <v>2762</v>
      </c>
      <c r="K1442">
        <v>961597</v>
      </c>
      <c r="L1442">
        <v>455317</v>
      </c>
      <c r="M1442">
        <v>-361069</v>
      </c>
      <c r="N1442">
        <v>107710</v>
      </c>
      <c r="O1442" t="s">
        <v>1460</v>
      </c>
      <c r="P1442" s="9">
        <v>226398</v>
      </c>
      <c r="Q1442" s="9">
        <v>14502</v>
      </c>
      <c r="R1442" s="9">
        <v>240900</v>
      </c>
      <c r="S1442" s="9">
        <v>-87135</v>
      </c>
      <c r="T1442" s="10">
        <v>67438</v>
      </c>
      <c r="U1442" s="10">
        <v>1158</v>
      </c>
    </row>
    <row r="1443" spans="1:21" x14ac:dyDescent="0.35">
      <c r="A1443" t="s">
        <v>15</v>
      </c>
      <c r="B1443" t="s">
        <v>16</v>
      </c>
      <c r="C1443" t="s">
        <v>21</v>
      </c>
      <c r="D1443">
        <v>170404</v>
      </c>
      <c r="E1443">
        <v>21018</v>
      </c>
      <c r="F1443">
        <v>26736</v>
      </c>
      <c r="G1443">
        <v>-157358</v>
      </c>
      <c r="H1443">
        <v>60800</v>
      </c>
      <c r="I1443">
        <v>55879</v>
      </c>
      <c r="J1443">
        <v>1469</v>
      </c>
      <c r="K1443">
        <v>603802</v>
      </c>
      <c r="L1443">
        <v>226117</v>
      </c>
      <c r="M1443">
        <v>-72819</v>
      </c>
      <c r="N1443">
        <v>64960</v>
      </c>
      <c r="O1443" t="s">
        <v>1461</v>
      </c>
      <c r="P1443" s="9">
        <v>174565</v>
      </c>
      <c r="Q1443" s="9">
        <v>28975</v>
      </c>
      <c r="R1443" s="9">
        <v>203540</v>
      </c>
      <c r="S1443" s="9">
        <v>-65178</v>
      </c>
      <c r="T1443" s="10">
        <v>84588</v>
      </c>
      <c r="U1443" s="10">
        <v>1120</v>
      </c>
    </row>
    <row r="1444" spans="1:21" x14ac:dyDescent="0.35">
      <c r="A1444" t="s">
        <v>15</v>
      </c>
      <c r="B1444" t="s">
        <v>20</v>
      </c>
      <c r="C1444" t="s">
        <v>21</v>
      </c>
      <c r="D1444">
        <v>188921</v>
      </c>
      <c r="E1444">
        <v>27336</v>
      </c>
      <c r="F1444">
        <v>23597</v>
      </c>
      <c r="G1444">
        <v>-181542</v>
      </c>
      <c r="H1444">
        <v>58312</v>
      </c>
      <c r="I1444">
        <v>59501</v>
      </c>
      <c r="J1444">
        <v>1178</v>
      </c>
      <c r="K1444">
        <v>684796</v>
      </c>
      <c r="L1444">
        <v>111862</v>
      </c>
      <c r="M1444">
        <v>-115341</v>
      </c>
      <c r="N1444">
        <v>141472</v>
      </c>
      <c r="O1444" t="s">
        <v>1462</v>
      </c>
      <c r="P1444" s="9">
        <v>249198</v>
      </c>
      <c r="Q1444" s="9">
        <v>21307</v>
      </c>
      <c r="R1444" s="9">
        <v>270505</v>
      </c>
      <c r="S1444" s="9">
        <v>-139077</v>
      </c>
      <c r="T1444" s="10">
        <v>123651</v>
      </c>
      <c r="U1444" s="10">
        <v>2411</v>
      </c>
    </row>
    <row r="1445" spans="1:21" x14ac:dyDescent="0.35">
      <c r="A1445" t="s">
        <v>15</v>
      </c>
      <c r="B1445" t="s">
        <v>16</v>
      </c>
      <c r="C1445" t="s">
        <v>17</v>
      </c>
      <c r="D1445">
        <v>259820</v>
      </c>
      <c r="E1445">
        <v>31081</v>
      </c>
      <c r="F1445">
        <v>61239</v>
      </c>
      <c r="G1445">
        <v>-230622</v>
      </c>
      <c r="H1445">
        <v>121518</v>
      </c>
      <c r="I1445">
        <v>120835</v>
      </c>
      <c r="J1445">
        <v>2181</v>
      </c>
      <c r="K1445">
        <v>667638</v>
      </c>
      <c r="L1445">
        <v>273064</v>
      </c>
      <c r="M1445">
        <v>-188966</v>
      </c>
      <c r="N1445">
        <v>103245</v>
      </c>
      <c r="O1445" t="s">
        <v>1463</v>
      </c>
      <c r="P1445" s="9">
        <v>227014</v>
      </c>
      <c r="Q1445" s="9">
        <v>21049</v>
      </c>
      <c r="R1445" s="9">
        <v>248063</v>
      </c>
      <c r="S1445" s="9">
        <v>-65728</v>
      </c>
      <c r="T1445" s="10">
        <v>51887</v>
      </c>
      <c r="U1445" s="10">
        <v>831</v>
      </c>
    </row>
    <row r="1446" spans="1:21" x14ac:dyDescent="0.35">
      <c r="A1446" t="s">
        <v>15</v>
      </c>
      <c r="B1446" t="s">
        <v>20</v>
      </c>
      <c r="C1446" t="s">
        <v>21</v>
      </c>
      <c r="D1446">
        <v>246486</v>
      </c>
      <c r="E1446">
        <v>22362</v>
      </c>
      <c r="F1446">
        <v>52717</v>
      </c>
      <c r="G1446">
        <v>-232111</v>
      </c>
      <c r="H1446">
        <v>89454</v>
      </c>
      <c r="I1446">
        <v>89861</v>
      </c>
      <c r="J1446">
        <v>2562</v>
      </c>
      <c r="K1446">
        <v>871490</v>
      </c>
      <c r="L1446">
        <v>223471</v>
      </c>
      <c r="M1446">
        <v>-155971</v>
      </c>
      <c r="N1446">
        <v>138488</v>
      </c>
      <c r="O1446" t="s">
        <v>1464</v>
      </c>
      <c r="P1446" s="9">
        <v>247704</v>
      </c>
      <c r="Q1446" s="9">
        <v>31151</v>
      </c>
      <c r="R1446" s="9">
        <v>278855</v>
      </c>
      <c r="S1446" s="9">
        <v>-65301</v>
      </c>
      <c r="T1446" s="10">
        <v>108583</v>
      </c>
      <c r="U1446" s="10">
        <v>2073</v>
      </c>
    </row>
    <row r="1447" spans="1:21" x14ac:dyDescent="0.35">
      <c r="A1447" t="s">
        <v>15</v>
      </c>
      <c r="B1447" t="s">
        <v>20</v>
      </c>
      <c r="C1447" t="s">
        <v>17</v>
      </c>
      <c r="D1447">
        <v>233549</v>
      </c>
      <c r="E1447">
        <v>33543</v>
      </c>
      <c r="F1447">
        <v>37632</v>
      </c>
      <c r="G1447">
        <v>-223933</v>
      </c>
      <c r="H1447">
        <v>80791</v>
      </c>
      <c r="I1447">
        <v>83265</v>
      </c>
      <c r="J1447">
        <v>1046</v>
      </c>
      <c r="K1447">
        <v>823405</v>
      </c>
      <c r="L1447">
        <v>299954</v>
      </c>
      <c r="M1447">
        <v>-102876</v>
      </c>
      <c r="N1447">
        <v>153560</v>
      </c>
      <c r="O1447" t="s">
        <v>1465</v>
      </c>
      <c r="P1447" s="9">
        <v>284202</v>
      </c>
      <c r="Q1447" s="9">
        <v>22591</v>
      </c>
      <c r="R1447" s="9">
        <v>306793</v>
      </c>
      <c r="S1447" s="9">
        <v>-148057</v>
      </c>
      <c r="T1447" s="10">
        <v>102068</v>
      </c>
      <c r="U1447" s="10">
        <v>1444</v>
      </c>
    </row>
    <row r="1448" spans="1:21" x14ac:dyDescent="0.35">
      <c r="A1448" t="s">
        <v>15</v>
      </c>
      <c r="B1448" t="s">
        <v>20</v>
      </c>
      <c r="C1448" t="s">
        <v>21</v>
      </c>
      <c r="D1448">
        <v>283201</v>
      </c>
      <c r="E1448">
        <v>31583</v>
      </c>
      <c r="F1448">
        <v>43702</v>
      </c>
      <c r="G1448">
        <v>-250545</v>
      </c>
      <c r="H1448">
        <v>107941</v>
      </c>
      <c r="I1448">
        <v>110759</v>
      </c>
      <c r="J1448">
        <v>1428</v>
      </c>
      <c r="K1448">
        <v>1020990</v>
      </c>
      <c r="L1448">
        <v>356588</v>
      </c>
      <c r="M1448">
        <v>-286791</v>
      </c>
      <c r="N1448">
        <v>149852</v>
      </c>
      <c r="O1448" t="s">
        <v>1466</v>
      </c>
      <c r="P1448" s="9">
        <v>206531</v>
      </c>
      <c r="Q1448" s="9">
        <v>19942</v>
      </c>
      <c r="R1448" s="9">
        <v>226473</v>
      </c>
      <c r="S1448" s="9">
        <v>-50038</v>
      </c>
      <c r="T1448" s="10">
        <v>73917</v>
      </c>
      <c r="U1448" s="10">
        <v>1584</v>
      </c>
    </row>
    <row r="1449" spans="1:21" x14ac:dyDescent="0.35">
      <c r="A1449" t="s">
        <v>15</v>
      </c>
      <c r="B1449" t="s">
        <v>16</v>
      </c>
      <c r="C1449" t="s">
        <v>21</v>
      </c>
      <c r="D1449">
        <v>238487</v>
      </c>
      <c r="E1449">
        <v>31218</v>
      </c>
      <c r="F1449">
        <v>47264</v>
      </c>
      <c r="G1449">
        <v>-230206</v>
      </c>
      <c r="H1449">
        <v>86763</v>
      </c>
      <c r="I1449">
        <v>79858</v>
      </c>
      <c r="J1449">
        <v>2189</v>
      </c>
      <c r="K1449">
        <v>906796</v>
      </c>
      <c r="L1449">
        <v>117017</v>
      </c>
      <c r="M1449">
        <v>-279833</v>
      </c>
      <c r="N1449">
        <v>77890</v>
      </c>
      <c r="O1449" t="s">
        <v>1467</v>
      </c>
      <c r="P1449" s="9">
        <v>200365</v>
      </c>
      <c r="Q1449" s="9">
        <v>16746</v>
      </c>
      <c r="R1449" s="9">
        <v>217111</v>
      </c>
      <c r="S1449" s="9">
        <v>-67294</v>
      </c>
      <c r="T1449" s="10">
        <v>108109</v>
      </c>
      <c r="U1449" s="10">
        <v>1622</v>
      </c>
    </row>
    <row r="1450" spans="1:21" x14ac:dyDescent="0.35">
      <c r="A1450" t="s">
        <v>15</v>
      </c>
      <c r="B1450" t="s">
        <v>20</v>
      </c>
      <c r="C1450" t="s">
        <v>17</v>
      </c>
      <c r="D1450">
        <v>210449</v>
      </c>
      <c r="E1450">
        <v>27121</v>
      </c>
      <c r="F1450">
        <v>28531</v>
      </c>
      <c r="G1450">
        <v>-186099</v>
      </c>
      <c r="H1450">
        <v>80002</v>
      </c>
      <c r="I1450">
        <v>72153</v>
      </c>
      <c r="J1450">
        <v>2009</v>
      </c>
      <c r="K1450">
        <v>735530</v>
      </c>
      <c r="L1450">
        <v>326650</v>
      </c>
      <c r="M1450">
        <v>-229698</v>
      </c>
      <c r="N1450">
        <v>186157</v>
      </c>
      <c r="O1450" t="s">
        <v>1468</v>
      </c>
      <c r="P1450" s="9">
        <v>209522</v>
      </c>
      <c r="Q1450" s="9">
        <v>22063</v>
      </c>
      <c r="R1450" s="9">
        <v>231585</v>
      </c>
      <c r="S1450" s="9">
        <v>-136819</v>
      </c>
      <c r="T1450" s="10">
        <v>74005</v>
      </c>
      <c r="U1450" s="10">
        <v>2006</v>
      </c>
    </row>
    <row r="1451" spans="1:21" x14ac:dyDescent="0.35">
      <c r="A1451" t="s">
        <v>15</v>
      </c>
      <c r="B1451" t="s">
        <v>16</v>
      </c>
      <c r="C1451" t="s">
        <v>17</v>
      </c>
      <c r="D1451">
        <v>261673</v>
      </c>
      <c r="E1451">
        <v>13508</v>
      </c>
      <c r="F1451">
        <v>61432</v>
      </c>
      <c r="G1451">
        <v>-228960</v>
      </c>
      <c r="H1451">
        <v>107653</v>
      </c>
      <c r="I1451">
        <v>106695</v>
      </c>
      <c r="J1451">
        <v>1210</v>
      </c>
      <c r="K1451">
        <v>533103</v>
      </c>
      <c r="L1451">
        <v>248740</v>
      </c>
      <c r="M1451">
        <v>-83169</v>
      </c>
      <c r="N1451">
        <v>192166</v>
      </c>
      <c r="O1451" t="s">
        <v>1469</v>
      </c>
      <c r="P1451" s="9">
        <v>163488</v>
      </c>
      <c r="Q1451" s="9">
        <v>28931</v>
      </c>
      <c r="R1451" s="9">
        <v>192419</v>
      </c>
      <c r="S1451" s="9">
        <v>-64759</v>
      </c>
      <c r="T1451" s="10">
        <v>63375</v>
      </c>
      <c r="U1451" s="10">
        <v>1436</v>
      </c>
    </row>
    <row r="1452" spans="1:21" x14ac:dyDescent="0.35">
      <c r="A1452" t="s">
        <v>15</v>
      </c>
      <c r="B1452" t="s">
        <v>20</v>
      </c>
      <c r="C1452" t="s">
        <v>21</v>
      </c>
      <c r="D1452">
        <v>201420</v>
      </c>
      <c r="E1452">
        <v>14366</v>
      </c>
      <c r="F1452">
        <v>36181</v>
      </c>
      <c r="G1452">
        <v>-186225</v>
      </c>
      <c r="H1452">
        <v>65742</v>
      </c>
      <c r="I1452">
        <v>68118</v>
      </c>
      <c r="J1452">
        <v>682</v>
      </c>
      <c r="K1452">
        <v>412440</v>
      </c>
      <c r="L1452">
        <v>80915</v>
      </c>
      <c r="M1452">
        <v>-125430</v>
      </c>
      <c r="N1452">
        <v>87275</v>
      </c>
      <c r="O1452" t="s">
        <v>1470</v>
      </c>
      <c r="P1452" s="9">
        <v>194098</v>
      </c>
      <c r="Q1452" s="9">
        <v>23445</v>
      </c>
      <c r="R1452" s="9">
        <v>217543</v>
      </c>
      <c r="S1452" s="9">
        <v>-94547</v>
      </c>
      <c r="T1452" s="10">
        <v>59252</v>
      </c>
      <c r="U1452" s="10">
        <v>691</v>
      </c>
    </row>
    <row r="1453" spans="1:21" x14ac:dyDescent="0.35">
      <c r="A1453" t="s">
        <v>15</v>
      </c>
      <c r="B1453" t="s">
        <v>16</v>
      </c>
      <c r="C1453" t="s">
        <v>21</v>
      </c>
      <c r="D1453">
        <v>271044</v>
      </c>
      <c r="E1453">
        <v>41439</v>
      </c>
      <c r="F1453">
        <v>40958</v>
      </c>
      <c r="G1453">
        <v>-240402</v>
      </c>
      <c r="H1453">
        <v>113039</v>
      </c>
      <c r="I1453">
        <v>111776</v>
      </c>
      <c r="J1453">
        <v>2657</v>
      </c>
      <c r="K1453">
        <v>940875</v>
      </c>
      <c r="L1453">
        <v>171856</v>
      </c>
      <c r="M1453">
        <v>-217669</v>
      </c>
      <c r="N1453">
        <v>85284</v>
      </c>
      <c r="O1453" t="s">
        <v>1471</v>
      </c>
      <c r="P1453" s="9">
        <v>277238</v>
      </c>
      <c r="Q1453" s="9">
        <v>26569</v>
      </c>
      <c r="R1453" s="9">
        <v>303807</v>
      </c>
      <c r="S1453" s="9">
        <v>-109316</v>
      </c>
      <c r="T1453" s="10">
        <v>104059</v>
      </c>
      <c r="U1453" s="10">
        <v>1675</v>
      </c>
    </row>
    <row r="1454" spans="1:21" x14ac:dyDescent="0.35">
      <c r="A1454" t="s">
        <v>15</v>
      </c>
      <c r="B1454" t="s">
        <v>16</v>
      </c>
      <c r="C1454" t="s">
        <v>21</v>
      </c>
      <c r="D1454">
        <v>156954</v>
      </c>
      <c r="E1454">
        <v>15046</v>
      </c>
      <c r="F1454">
        <v>37334</v>
      </c>
      <c r="G1454">
        <v>-144056</v>
      </c>
      <c r="H1454">
        <v>65278</v>
      </c>
      <c r="I1454">
        <v>60905</v>
      </c>
      <c r="J1454">
        <v>1024</v>
      </c>
      <c r="K1454">
        <v>612917</v>
      </c>
      <c r="L1454">
        <v>84789</v>
      </c>
      <c r="M1454">
        <v>-84358</v>
      </c>
      <c r="N1454">
        <v>104571</v>
      </c>
      <c r="O1454" t="s">
        <v>1472</v>
      </c>
      <c r="P1454" s="9">
        <v>194014</v>
      </c>
      <c r="Q1454" s="9">
        <v>37132</v>
      </c>
      <c r="R1454" s="9">
        <v>231146</v>
      </c>
      <c r="S1454" s="9">
        <v>-135506</v>
      </c>
      <c r="T1454" s="10">
        <v>93160</v>
      </c>
      <c r="U1454" s="10">
        <v>2162</v>
      </c>
    </row>
    <row r="1455" spans="1:21" x14ac:dyDescent="0.35">
      <c r="A1455" t="s">
        <v>15</v>
      </c>
      <c r="B1455" t="s">
        <v>20</v>
      </c>
      <c r="C1455" t="s">
        <v>21</v>
      </c>
      <c r="D1455">
        <v>151013</v>
      </c>
      <c r="E1455">
        <v>28600</v>
      </c>
      <c r="F1455">
        <v>23250</v>
      </c>
      <c r="G1455">
        <v>-135349</v>
      </c>
      <c r="H1455">
        <v>67514</v>
      </c>
      <c r="I1455">
        <v>61046</v>
      </c>
      <c r="J1455">
        <v>993</v>
      </c>
      <c r="K1455">
        <v>344031</v>
      </c>
      <c r="L1455">
        <v>42360</v>
      </c>
      <c r="M1455">
        <v>-54913</v>
      </c>
      <c r="N1455">
        <v>126291</v>
      </c>
      <c r="O1455" t="s">
        <v>1473</v>
      </c>
      <c r="P1455" s="9">
        <v>193425</v>
      </c>
      <c r="Q1455" s="9">
        <v>13871</v>
      </c>
      <c r="R1455" s="9">
        <v>207296</v>
      </c>
      <c r="S1455" s="9">
        <v>-115247</v>
      </c>
      <c r="T1455" s="10">
        <v>56182</v>
      </c>
      <c r="U1455" s="10">
        <v>1595</v>
      </c>
    </row>
    <row r="1456" spans="1:21" x14ac:dyDescent="0.35">
      <c r="A1456" t="s">
        <v>15</v>
      </c>
      <c r="B1456" t="s">
        <v>16</v>
      </c>
      <c r="C1456" t="s">
        <v>17</v>
      </c>
      <c r="D1456">
        <v>256587</v>
      </c>
      <c r="E1456">
        <v>49710</v>
      </c>
      <c r="F1456">
        <v>53921</v>
      </c>
      <c r="G1456">
        <v>-255766</v>
      </c>
      <c r="H1456">
        <v>104452</v>
      </c>
      <c r="I1456">
        <v>97967</v>
      </c>
      <c r="J1456">
        <v>2000</v>
      </c>
      <c r="K1456">
        <v>581034</v>
      </c>
      <c r="L1456">
        <v>213196</v>
      </c>
      <c r="M1456">
        <v>-94335</v>
      </c>
      <c r="N1456">
        <v>93985</v>
      </c>
      <c r="O1456" t="s">
        <v>1474</v>
      </c>
      <c r="P1456" s="9">
        <v>231170</v>
      </c>
      <c r="Q1456" s="9">
        <v>29243</v>
      </c>
      <c r="R1456" s="9">
        <v>260413</v>
      </c>
      <c r="S1456" s="9">
        <v>-116641</v>
      </c>
      <c r="T1456" s="10">
        <v>101558</v>
      </c>
      <c r="U1456" s="10">
        <v>2967</v>
      </c>
    </row>
    <row r="1457" spans="1:21" x14ac:dyDescent="0.35">
      <c r="A1457" t="s">
        <v>15</v>
      </c>
      <c r="B1457" t="s">
        <v>16</v>
      </c>
      <c r="C1457" t="s">
        <v>21</v>
      </c>
      <c r="D1457">
        <v>202732</v>
      </c>
      <c r="E1457">
        <v>19028</v>
      </c>
      <c r="F1457">
        <v>32407</v>
      </c>
      <c r="G1457">
        <v>-175410</v>
      </c>
      <c r="H1457">
        <v>78757</v>
      </c>
      <c r="I1457">
        <v>80277</v>
      </c>
      <c r="J1457">
        <v>1105</v>
      </c>
      <c r="K1457">
        <v>761163</v>
      </c>
      <c r="L1457">
        <v>343520</v>
      </c>
      <c r="M1457">
        <v>-187761</v>
      </c>
      <c r="N1457">
        <v>99411</v>
      </c>
      <c r="O1457" t="s">
        <v>1475</v>
      </c>
      <c r="P1457" s="9">
        <v>288044</v>
      </c>
      <c r="Q1457" s="9">
        <v>58933</v>
      </c>
      <c r="R1457" s="9">
        <v>346977</v>
      </c>
      <c r="S1457" s="9">
        <v>-177010</v>
      </c>
      <c r="T1457" s="10">
        <v>140748</v>
      </c>
      <c r="U1457" s="10">
        <v>1766</v>
      </c>
    </row>
    <row r="1458" spans="1:21" x14ac:dyDescent="0.35">
      <c r="A1458" t="s">
        <v>15</v>
      </c>
      <c r="B1458" t="s">
        <v>20</v>
      </c>
      <c r="C1458" t="s">
        <v>21</v>
      </c>
      <c r="D1458">
        <v>157369</v>
      </c>
      <c r="E1458">
        <v>8453</v>
      </c>
      <c r="F1458">
        <v>20955</v>
      </c>
      <c r="G1458">
        <v>-149917</v>
      </c>
      <c r="H1458">
        <v>36860</v>
      </c>
      <c r="I1458">
        <v>34002</v>
      </c>
      <c r="J1458">
        <v>863</v>
      </c>
      <c r="K1458">
        <v>442314</v>
      </c>
      <c r="L1458">
        <v>211555</v>
      </c>
      <c r="M1458">
        <v>-70009</v>
      </c>
      <c r="N1458">
        <v>90589</v>
      </c>
      <c r="O1458" t="s">
        <v>1476</v>
      </c>
      <c r="P1458" s="9">
        <v>257550</v>
      </c>
      <c r="Q1458" s="9">
        <v>16048</v>
      </c>
      <c r="R1458" s="9">
        <v>273598</v>
      </c>
      <c r="S1458" s="9">
        <v>-111301</v>
      </c>
      <c r="T1458" s="10">
        <v>78969</v>
      </c>
      <c r="U1458" s="10">
        <v>2152</v>
      </c>
    </row>
    <row r="1459" spans="1:21" x14ac:dyDescent="0.35">
      <c r="A1459" t="s">
        <v>15</v>
      </c>
      <c r="B1459" t="s">
        <v>16</v>
      </c>
      <c r="C1459" t="s">
        <v>21</v>
      </c>
      <c r="D1459">
        <v>243003</v>
      </c>
      <c r="E1459">
        <v>47716</v>
      </c>
      <c r="F1459">
        <v>35502</v>
      </c>
      <c r="G1459">
        <v>-194469</v>
      </c>
      <c r="H1459">
        <v>131752</v>
      </c>
      <c r="I1459">
        <v>126340</v>
      </c>
      <c r="J1459">
        <v>2831</v>
      </c>
      <c r="K1459">
        <v>887916</v>
      </c>
      <c r="L1459">
        <v>349981</v>
      </c>
      <c r="M1459">
        <v>-275710</v>
      </c>
      <c r="N1459">
        <v>179405</v>
      </c>
      <c r="O1459" t="s">
        <v>1477</v>
      </c>
      <c r="P1459" s="9">
        <v>250720</v>
      </c>
      <c r="Q1459" s="9">
        <v>42545</v>
      </c>
      <c r="R1459" s="9">
        <v>293265</v>
      </c>
      <c r="S1459" s="9">
        <v>-87711</v>
      </c>
      <c r="T1459" s="10">
        <v>91700</v>
      </c>
      <c r="U1459" s="10">
        <v>2007</v>
      </c>
    </row>
    <row r="1460" spans="1:21" x14ac:dyDescent="0.35">
      <c r="A1460" t="s">
        <v>15</v>
      </c>
      <c r="B1460" t="s">
        <v>16</v>
      </c>
      <c r="C1460" t="s">
        <v>17</v>
      </c>
      <c r="D1460">
        <v>278618</v>
      </c>
      <c r="E1460">
        <v>14856</v>
      </c>
      <c r="F1460">
        <v>57988</v>
      </c>
      <c r="G1460">
        <v>-234384</v>
      </c>
      <c r="H1460">
        <v>117078</v>
      </c>
      <c r="I1460">
        <v>113003</v>
      </c>
      <c r="J1460">
        <v>2982</v>
      </c>
      <c r="K1460">
        <v>850276</v>
      </c>
      <c r="L1460">
        <v>395383</v>
      </c>
      <c r="M1460">
        <v>-278588</v>
      </c>
      <c r="N1460">
        <v>116444</v>
      </c>
      <c r="O1460" t="s">
        <v>1478</v>
      </c>
      <c r="P1460" s="9">
        <v>141328</v>
      </c>
      <c r="Q1460" s="9">
        <v>24729</v>
      </c>
      <c r="R1460" s="9">
        <v>166057</v>
      </c>
      <c r="S1460" s="9">
        <v>-64612</v>
      </c>
      <c r="T1460" s="10">
        <v>57727</v>
      </c>
      <c r="U1460" s="10">
        <v>1037</v>
      </c>
    </row>
    <row r="1461" spans="1:21" x14ac:dyDescent="0.35">
      <c r="A1461" t="s">
        <v>15</v>
      </c>
      <c r="B1461" t="s">
        <v>20</v>
      </c>
      <c r="C1461" t="s">
        <v>21</v>
      </c>
      <c r="D1461">
        <v>151338</v>
      </c>
      <c r="E1461">
        <v>18936</v>
      </c>
      <c r="F1461">
        <v>17371</v>
      </c>
      <c r="G1461">
        <v>-132285</v>
      </c>
      <c r="H1461">
        <v>55360</v>
      </c>
      <c r="I1461">
        <v>51452</v>
      </c>
      <c r="J1461">
        <v>1405</v>
      </c>
      <c r="K1461">
        <v>585927</v>
      </c>
      <c r="L1461">
        <v>201956</v>
      </c>
      <c r="M1461">
        <v>-199666</v>
      </c>
      <c r="N1461">
        <v>69518</v>
      </c>
      <c r="O1461" t="s">
        <v>1479</v>
      </c>
      <c r="P1461" s="9">
        <v>173453</v>
      </c>
      <c r="Q1461" s="9">
        <v>12933</v>
      </c>
      <c r="R1461" s="9">
        <v>186386</v>
      </c>
      <c r="S1461" s="9">
        <v>-96360</v>
      </c>
      <c r="T1461" s="10">
        <v>58429</v>
      </c>
      <c r="U1461" s="10">
        <v>880</v>
      </c>
    </row>
    <row r="1462" spans="1:21" x14ac:dyDescent="0.35">
      <c r="A1462" t="s">
        <v>15</v>
      </c>
      <c r="B1462" t="s">
        <v>16</v>
      </c>
      <c r="C1462" t="s">
        <v>21</v>
      </c>
      <c r="D1462">
        <v>159183</v>
      </c>
      <c r="E1462">
        <v>15603</v>
      </c>
      <c r="F1462">
        <v>34495</v>
      </c>
      <c r="G1462">
        <v>-151161</v>
      </c>
      <c r="H1462">
        <v>58120</v>
      </c>
      <c r="I1462">
        <v>56795</v>
      </c>
      <c r="J1462">
        <v>828</v>
      </c>
      <c r="K1462">
        <v>580491</v>
      </c>
      <c r="L1462">
        <v>240618</v>
      </c>
      <c r="M1462">
        <v>-163538</v>
      </c>
      <c r="N1462">
        <v>68738</v>
      </c>
      <c r="O1462" t="s">
        <v>1480</v>
      </c>
      <c r="P1462" s="9">
        <v>211384</v>
      </c>
      <c r="Q1462" s="9">
        <v>24475</v>
      </c>
      <c r="R1462" s="9">
        <v>235859</v>
      </c>
      <c r="S1462" s="9">
        <v>-78612</v>
      </c>
      <c r="T1462" s="10">
        <v>49722</v>
      </c>
      <c r="U1462" s="10">
        <v>1328</v>
      </c>
    </row>
    <row r="1463" spans="1:21" x14ac:dyDescent="0.35">
      <c r="A1463" t="s">
        <v>15</v>
      </c>
      <c r="B1463" t="s">
        <v>16</v>
      </c>
      <c r="C1463" t="s">
        <v>21</v>
      </c>
      <c r="D1463">
        <v>164173</v>
      </c>
      <c r="E1463">
        <v>25682</v>
      </c>
      <c r="F1463">
        <v>18890</v>
      </c>
      <c r="G1463">
        <v>-146160</v>
      </c>
      <c r="H1463">
        <v>62585</v>
      </c>
      <c r="I1463">
        <v>58235</v>
      </c>
      <c r="J1463">
        <v>1683</v>
      </c>
      <c r="K1463">
        <v>367044</v>
      </c>
      <c r="L1463">
        <v>154160</v>
      </c>
      <c r="M1463">
        <v>-124007</v>
      </c>
      <c r="N1463">
        <v>133645</v>
      </c>
      <c r="O1463" t="s">
        <v>1481</v>
      </c>
      <c r="P1463" s="9">
        <v>229762</v>
      </c>
      <c r="Q1463" s="9">
        <v>43989</v>
      </c>
      <c r="R1463" s="9">
        <v>273751</v>
      </c>
      <c r="S1463" s="9">
        <v>-58887</v>
      </c>
      <c r="T1463" s="10">
        <v>139330</v>
      </c>
      <c r="U1463" s="10">
        <v>3774</v>
      </c>
    </row>
    <row r="1464" spans="1:21" x14ac:dyDescent="0.35">
      <c r="A1464" t="s">
        <v>15</v>
      </c>
      <c r="B1464" t="s">
        <v>16</v>
      </c>
      <c r="C1464" t="s">
        <v>21</v>
      </c>
      <c r="D1464">
        <v>250083</v>
      </c>
      <c r="E1464">
        <v>19685</v>
      </c>
      <c r="F1464">
        <v>27408</v>
      </c>
      <c r="G1464">
        <v>-238563</v>
      </c>
      <c r="H1464">
        <v>58613</v>
      </c>
      <c r="I1464">
        <v>59338</v>
      </c>
      <c r="J1464">
        <v>1120</v>
      </c>
      <c r="K1464">
        <v>985285</v>
      </c>
      <c r="L1464">
        <v>322411</v>
      </c>
      <c r="M1464">
        <v>-388165</v>
      </c>
      <c r="N1464">
        <v>164069</v>
      </c>
      <c r="O1464" t="s">
        <v>1482</v>
      </c>
      <c r="P1464" s="9">
        <v>222457</v>
      </c>
      <c r="Q1464" s="9">
        <v>12584</v>
      </c>
      <c r="R1464" s="9">
        <v>235041</v>
      </c>
      <c r="S1464" s="9">
        <v>-98815</v>
      </c>
      <c r="T1464" s="10">
        <v>77331</v>
      </c>
      <c r="U1464" s="10">
        <v>2057</v>
      </c>
    </row>
    <row r="1465" spans="1:21" x14ac:dyDescent="0.35">
      <c r="A1465" t="s">
        <v>15</v>
      </c>
      <c r="B1465" t="s">
        <v>16</v>
      </c>
      <c r="C1465" t="s">
        <v>21</v>
      </c>
      <c r="D1465">
        <v>291371</v>
      </c>
      <c r="E1465">
        <v>56902</v>
      </c>
      <c r="F1465">
        <v>51377</v>
      </c>
      <c r="G1465">
        <v>-246004</v>
      </c>
      <c r="H1465">
        <v>153646</v>
      </c>
      <c r="I1465">
        <v>151688</v>
      </c>
      <c r="J1465">
        <v>1573</v>
      </c>
      <c r="K1465">
        <v>868359</v>
      </c>
      <c r="L1465">
        <v>317828</v>
      </c>
      <c r="M1465">
        <v>-143723</v>
      </c>
      <c r="N1465">
        <v>218466</v>
      </c>
      <c r="O1465" t="s">
        <v>1483</v>
      </c>
      <c r="P1465" s="9">
        <v>222516</v>
      </c>
      <c r="Q1465" s="9">
        <v>21902</v>
      </c>
      <c r="R1465" s="9">
        <v>244418</v>
      </c>
      <c r="S1465" s="9">
        <v>-57517</v>
      </c>
      <c r="T1465" s="10">
        <v>82226</v>
      </c>
      <c r="U1465" s="10">
        <v>1758</v>
      </c>
    </row>
    <row r="1466" spans="1:21" x14ac:dyDescent="0.35">
      <c r="A1466" t="s">
        <v>15</v>
      </c>
      <c r="B1466" t="s">
        <v>16</v>
      </c>
      <c r="C1466" t="s">
        <v>21</v>
      </c>
      <c r="D1466">
        <v>197244</v>
      </c>
      <c r="E1466">
        <v>21869</v>
      </c>
      <c r="F1466">
        <v>34943</v>
      </c>
      <c r="G1466">
        <v>-158094</v>
      </c>
      <c r="H1466">
        <v>95962</v>
      </c>
      <c r="I1466">
        <v>96475</v>
      </c>
      <c r="J1466">
        <v>1455</v>
      </c>
      <c r="K1466">
        <v>654723</v>
      </c>
      <c r="L1466">
        <v>290336</v>
      </c>
      <c r="M1466">
        <v>-103231</v>
      </c>
      <c r="N1466">
        <v>64348</v>
      </c>
      <c r="O1466" t="s">
        <v>1484</v>
      </c>
      <c r="P1466" s="9">
        <v>209252</v>
      </c>
      <c r="Q1466" s="9">
        <v>36946</v>
      </c>
      <c r="R1466" s="9">
        <v>246198</v>
      </c>
      <c r="S1466" s="9">
        <v>-128071</v>
      </c>
      <c r="T1466" s="10">
        <v>87486</v>
      </c>
      <c r="U1466" s="10">
        <v>1361</v>
      </c>
    </row>
    <row r="1467" spans="1:21" x14ac:dyDescent="0.35">
      <c r="A1467" t="s">
        <v>15</v>
      </c>
      <c r="B1467" t="s">
        <v>16</v>
      </c>
      <c r="C1467" t="s">
        <v>21</v>
      </c>
      <c r="D1467">
        <v>213726</v>
      </c>
      <c r="E1467">
        <v>18228</v>
      </c>
      <c r="F1467">
        <v>23125</v>
      </c>
      <c r="G1467">
        <v>-208794</v>
      </c>
      <c r="H1467">
        <v>46285</v>
      </c>
      <c r="I1467">
        <v>48079</v>
      </c>
      <c r="J1467">
        <v>497</v>
      </c>
      <c r="K1467">
        <v>499247</v>
      </c>
      <c r="L1467">
        <v>185690</v>
      </c>
      <c r="M1467">
        <v>-168194</v>
      </c>
      <c r="N1467">
        <v>162116</v>
      </c>
      <c r="O1467" t="s">
        <v>1485</v>
      </c>
      <c r="P1467" s="9">
        <v>267805</v>
      </c>
      <c r="Q1467" s="9">
        <v>25103</v>
      </c>
      <c r="R1467" s="9">
        <v>292908</v>
      </c>
      <c r="S1467" s="9">
        <v>-122697</v>
      </c>
      <c r="T1467" s="10">
        <v>79031</v>
      </c>
      <c r="U1467" s="10">
        <v>2274</v>
      </c>
    </row>
    <row r="1468" spans="1:21" x14ac:dyDescent="0.35">
      <c r="A1468" t="s">
        <v>15</v>
      </c>
      <c r="B1468" t="s">
        <v>16</v>
      </c>
      <c r="C1468" t="s">
        <v>17</v>
      </c>
      <c r="D1468">
        <v>166901</v>
      </c>
      <c r="E1468">
        <v>18917</v>
      </c>
      <c r="F1468">
        <v>33540</v>
      </c>
      <c r="G1468">
        <v>-135095</v>
      </c>
      <c r="H1468">
        <v>84263</v>
      </c>
      <c r="I1468">
        <v>82452</v>
      </c>
      <c r="J1468">
        <v>1736</v>
      </c>
      <c r="K1468">
        <v>544013</v>
      </c>
      <c r="L1468">
        <v>232313</v>
      </c>
      <c r="M1468">
        <v>-92599</v>
      </c>
      <c r="N1468">
        <v>83049</v>
      </c>
      <c r="O1468" t="s">
        <v>1486</v>
      </c>
      <c r="P1468" s="9">
        <v>270601</v>
      </c>
      <c r="Q1468" s="9">
        <v>52186</v>
      </c>
      <c r="R1468" s="9">
        <v>322787</v>
      </c>
      <c r="S1468" s="9">
        <v>-163504</v>
      </c>
      <c r="T1468" s="10">
        <v>130402</v>
      </c>
      <c r="U1468" s="10">
        <v>3648</v>
      </c>
    </row>
    <row r="1469" spans="1:21" x14ac:dyDescent="0.35">
      <c r="A1469" t="s">
        <v>15</v>
      </c>
      <c r="B1469" t="s">
        <v>20</v>
      </c>
      <c r="C1469" t="s">
        <v>17</v>
      </c>
      <c r="D1469">
        <v>260489</v>
      </c>
      <c r="E1469">
        <v>43525</v>
      </c>
      <c r="F1469">
        <v>48239</v>
      </c>
      <c r="G1469">
        <v>-222953</v>
      </c>
      <c r="H1469">
        <v>129300</v>
      </c>
      <c r="I1469">
        <v>123576</v>
      </c>
      <c r="J1469">
        <v>2291</v>
      </c>
      <c r="K1469">
        <v>583942</v>
      </c>
      <c r="L1469">
        <v>109892</v>
      </c>
      <c r="M1469">
        <v>-90875</v>
      </c>
      <c r="N1469">
        <v>172242</v>
      </c>
      <c r="O1469" t="s">
        <v>1487</v>
      </c>
      <c r="P1469" s="9">
        <v>273370</v>
      </c>
      <c r="Q1469" s="9">
        <v>18941</v>
      </c>
      <c r="R1469" s="9">
        <v>292311</v>
      </c>
      <c r="S1469" s="9">
        <v>-163027</v>
      </c>
      <c r="T1469" s="10">
        <v>105853</v>
      </c>
      <c r="U1469" s="10">
        <v>2804</v>
      </c>
    </row>
    <row r="1470" spans="1:21" x14ac:dyDescent="0.35">
      <c r="A1470" t="s">
        <v>15</v>
      </c>
      <c r="B1470" t="s">
        <v>16</v>
      </c>
      <c r="C1470" t="s">
        <v>21</v>
      </c>
      <c r="D1470">
        <v>237649</v>
      </c>
      <c r="E1470">
        <v>47492</v>
      </c>
      <c r="F1470">
        <v>24750</v>
      </c>
      <c r="G1470">
        <v>-195281</v>
      </c>
      <c r="H1470">
        <v>114610</v>
      </c>
      <c r="I1470">
        <v>108337</v>
      </c>
      <c r="J1470">
        <v>2242</v>
      </c>
      <c r="K1470">
        <v>495931</v>
      </c>
      <c r="L1470">
        <v>245793</v>
      </c>
      <c r="M1470">
        <v>-118478</v>
      </c>
      <c r="N1470">
        <v>113925</v>
      </c>
      <c r="O1470" t="s">
        <v>1488</v>
      </c>
      <c r="P1470" s="9">
        <v>177528</v>
      </c>
      <c r="Q1470" s="9">
        <v>28635</v>
      </c>
      <c r="R1470" s="9">
        <v>206163</v>
      </c>
      <c r="S1470" s="9">
        <v>-44865</v>
      </c>
      <c r="T1470" s="10">
        <v>77097</v>
      </c>
      <c r="U1470" s="10">
        <v>1640</v>
      </c>
    </row>
    <row r="1471" spans="1:21" x14ac:dyDescent="0.35">
      <c r="A1471" t="s">
        <v>15</v>
      </c>
      <c r="B1471" t="s">
        <v>16</v>
      </c>
      <c r="C1471" t="s">
        <v>17</v>
      </c>
      <c r="D1471">
        <v>156951</v>
      </c>
      <c r="E1471">
        <v>11829</v>
      </c>
      <c r="F1471">
        <v>18385</v>
      </c>
      <c r="G1471">
        <v>-155046</v>
      </c>
      <c r="H1471">
        <v>32119</v>
      </c>
      <c r="I1471">
        <v>29446</v>
      </c>
      <c r="J1471">
        <v>580</v>
      </c>
      <c r="K1471">
        <v>531622</v>
      </c>
      <c r="L1471">
        <v>112378</v>
      </c>
      <c r="M1471">
        <v>-190477</v>
      </c>
      <c r="N1471">
        <v>113018</v>
      </c>
      <c r="O1471" t="s">
        <v>1489</v>
      </c>
      <c r="P1471" s="9">
        <v>189628</v>
      </c>
      <c r="Q1471" s="9">
        <v>36944</v>
      </c>
      <c r="R1471" s="9">
        <v>226572</v>
      </c>
      <c r="S1471" s="9">
        <v>-104405</v>
      </c>
      <c r="T1471" s="10">
        <v>84298</v>
      </c>
      <c r="U1471" s="10">
        <v>1513</v>
      </c>
    </row>
    <row r="1472" spans="1:21" x14ac:dyDescent="0.35">
      <c r="A1472" t="s">
        <v>15</v>
      </c>
      <c r="B1472" t="s">
        <v>20</v>
      </c>
      <c r="C1472" t="s">
        <v>21</v>
      </c>
      <c r="D1472">
        <v>198615</v>
      </c>
      <c r="E1472">
        <v>31658</v>
      </c>
      <c r="F1472">
        <v>27259</v>
      </c>
      <c r="G1472">
        <v>-196575</v>
      </c>
      <c r="H1472">
        <v>60957</v>
      </c>
      <c r="I1472">
        <v>57562</v>
      </c>
      <c r="J1472">
        <v>801</v>
      </c>
      <c r="K1472">
        <v>564513</v>
      </c>
      <c r="L1472">
        <v>152242</v>
      </c>
      <c r="M1472">
        <v>-126399</v>
      </c>
      <c r="N1472">
        <v>170968</v>
      </c>
      <c r="O1472" t="s">
        <v>1490</v>
      </c>
      <c r="P1472" s="9">
        <v>239113</v>
      </c>
      <c r="Q1472" s="9">
        <v>41487</v>
      </c>
      <c r="R1472" s="9">
        <v>280600</v>
      </c>
      <c r="S1472" s="9">
        <v>-61664</v>
      </c>
      <c r="T1472" s="10">
        <v>114214</v>
      </c>
      <c r="U1472" s="10">
        <v>2619</v>
      </c>
    </row>
    <row r="1473" spans="1:21" x14ac:dyDescent="0.35">
      <c r="A1473" t="s">
        <v>15</v>
      </c>
      <c r="B1473" t="s">
        <v>16</v>
      </c>
      <c r="C1473" t="s">
        <v>17</v>
      </c>
      <c r="D1473">
        <v>259947</v>
      </c>
      <c r="E1473">
        <v>47763</v>
      </c>
      <c r="F1473">
        <v>39333</v>
      </c>
      <c r="G1473">
        <v>-232290</v>
      </c>
      <c r="H1473">
        <v>114753</v>
      </c>
      <c r="I1473">
        <v>120443</v>
      </c>
      <c r="J1473">
        <v>2566</v>
      </c>
      <c r="K1473">
        <v>916589</v>
      </c>
      <c r="L1473">
        <v>290180</v>
      </c>
      <c r="M1473">
        <v>-183012</v>
      </c>
      <c r="N1473">
        <v>98325</v>
      </c>
      <c r="O1473" t="s">
        <v>1491</v>
      </c>
      <c r="P1473" s="9">
        <v>282334</v>
      </c>
      <c r="Q1473" s="9">
        <v>30204</v>
      </c>
      <c r="R1473" s="9">
        <v>312538</v>
      </c>
      <c r="S1473" s="9">
        <v>-110329</v>
      </c>
      <c r="T1473" s="10">
        <v>128956</v>
      </c>
      <c r="U1473" s="10">
        <v>3098</v>
      </c>
    </row>
    <row r="1474" spans="1:21" x14ac:dyDescent="0.35">
      <c r="A1474" t="s">
        <v>15</v>
      </c>
      <c r="B1474" t="s">
        <v>16</v>
      </c>
      <c r="C1474" t="s">
        <v>21</v>
      </c>
      <c r="D1474">
        <v>267009</v>
      </c>
      <c r="E1474">
        <v>21276</v>
      </c>
      <c r="F1474">
        <v>28844</v>
      </c>
      <c r="G1474">
        <v>-243862</v>
      </c>
      <c r="H1474">
        <v>73267</v>
      </c>
      <c r="I1474">
        <v>67352</v>
      </c>
      <c r="J1474">
        <v>861</v>
      </c>
      <c r="K1474">
        <v>1009051</v>
      </c>
      <c r="L1474">
        <v>343584</v>
      </c>
      <c r="M1474">
        <v>-278377</v>
      </c>
      <c r="N1474">
        <v>229382</v>
      </c>
      <c r="O1474" t="s">
        <v>1492</v>
      </c>
      <c r="P1474" s="9">
        <v>233839</v>
      </c>
      <c r="Q1474" s="9">
        <v>12292</v>
      </c>
      <c r="R1474" s="9">
        <v>246131</v>
      </c>
      <c r="S1474" s="9">
        <v>-105297</v>
      </c>
      <c r="T1474" s="10">
        <v>81542</v>
      </c>
      <c r="U1474" s="10">
        <v>907</v>
      </c>
    </row>
    <row r="1475" spans="1:21" x14ac:dyDescent="0.35">
      <c r="A1475" t="s">
        <v>15</v>
      </c>
      <c r="B1475" t="s">
        <v>16</v>
      </c>
      <c r="C1475" t="s">
        <v>21</v>
      </c>
      <c r="D1475">
        <v>203485</v>
      </c>
      <c r="E1475">
        <v>37829</v>
      </c>
      <c r="F1475">
        <v>49585</v>
      </c>
      <c r="G1475">
        <v>-202501</v>
      </c>
      <c r="H1475">
        <v>88398</v>
      </c>
      <c r="I1475">
        <v>80428</v>
      </c>
      <c r="J1475">
        <v>1350</v>
      </c>
      <c r="K1475">
        <v>638467</v>
      </c>
      <c r="L1475">
        <v>154227</v>
      </c>
      <c r="M1475">
        <v>-196115</v>
      </c>
      <c r="N1475">
        <v>110551</v>
      </c>
      <c r="O1475" t="s">
        <v>1493</v>
      </c>
      <c r="P1475" s="9">
        <v>178766</v>
      </c>
      <c r="Q1475" s="9">
        <v>22837</v>
      </c>
      <c r="R1475" s="9">
        <v>201603</v>
      </c>
      <c r="S1475" s="9">
        <v>-75126</v>
      </c>
      <c r="T1475" s="10">
        <v>62764</v>
      </c>
      <c r="U1475" s="10">
        <v>1756</v>
      </c>
    </row>
    <row r="1476" spans="1:21" x14ac:dyDescent="0.35">
      <c r="A1476" t="s">
        <v>15</v>
      </c>
      <c r="B1476" t="s">
        <v>20</v>
      </c>
      <c r="C1476" t="s">
        <v>21</v>
      </c>
      <c r="D1476">
        <v>287251</v>
      </c>
      <c r="E1476">
        <v>56824</v>
      </c>
      <c r="F1476">
        <v>70785</v>
      </c>
      <c r="G1476">
        <v>-230383</v>
      </c>
      <c r="H1476">
        <v>184477</v>
      </c>
      <c r="I1476">
        <v>192009</v>
      </c>
      <c r="J1476">
        <v>5025</v>
      </c>
      <c r="K1476">
        <v>1051922</v>
      </c>
      <c r="L1476">
        <v>360365</v>
      </c>
      <c r="M1476">
        <v>-307045</v>
      </c>
      <c r="N1476">
        <v>161019</v>
      </c>
      <c r="O1476" t="s">
        <v>1494</v>
      </c>
      <c r="P1476" s="9">
        <v>308951</v>
      </c>
      <c r="Q1476" s="9">
        <v>20568</v>
      </c>
      <c r="R1476" s="9">
        <v>329519</v>
      </c>
      <c r="S1476" s="9">
        <v>-103576</v>
      </c>
      <c r="T1476" s="10">
        <v>86630</v>
      </c>
      <c r="U1476" s="10">
        <v>890</v>
      </c>
    </row>
    <row r="1477" spans="1:21" x14ac:dyDescent="0.35">
      <c r="A1477" t="s">
        <v>15</v>
      </c>
      <c r="B1477" t="s">
        <v>16</v>
      </c>
      <c r="C1477" t="s">
        <v>21</v>
      </c>
      <c r="D1477">
        <v>199895</v>
      </c>
      <c r="E1477">
        <v>15146</v>
      </c>
      <c r="F1477">
        <v>44989</v>
      </c>
      <c r="G1477">
        <v>-164647</v>
      </c>
      <c r="H1477">
        <v>95383</v>
      </c>
      <c r="I1477">
        <v>85910</v>
      </c>
      <c r="J1477">
        <v>2367</v>
      </c>
      <c r="K1477">
        <v>767503</v>
      </c>
      <c r="L1477">
        <v>347648</v>
      </c>
      <c r="M1477">
        <v>-266265</v>
      </c>
      <c r="N1477">
        <v>164699</v>
      </c>
      <c r="O1477" t="s">
        <v>1495</v>
      </c>
      <c r="P1477" s="9">
        <v>226515</v>
      </c>
      <c r="Q1477" s="9">
        <v>23642</v>
      </c>
      <c r="R1477" s="9">
        <v>250157</v>
      </c>
      <c r="S1477" s="9">
        <v>-146880</v>
      </c>
      <c r="T1477" s="10">
        <v>74243</v>
      </c>
      <c r="U1477" s="10">
        <v>1861</v>
      </c>
    </row>
    <row r="1478" spans="1:21" x14ac:dyDescent="0.35">
      <c r="A1478" t="s">
        <v>15</v>
      </c>
      <c r="B1478" t="s">
        <v>16</v>
      </c>
      <c r="C1478" t="s">
        <v>21</v>
      </c>
      <c r="D1478">
        <v>150722</v>
      </c>
      <c r="E1478">
        <v>9750</v>
      </c>
      <c r="F1478">
        <v>20129</v>
      </c>
      <c r="G1478">
        <v>-141114</v>
      </c>
      <c r="H1478">
        <v>39487</v>
      </c>
      <c r="I1478">
        <v>36757</v>
      </c>
      <c r="J1478">
        <v>818</v>
      </c>
      <c r="K1478">
        <v>579792</v>
      </c>
      <c r="L1478">
        <v>224424</v>
      </c>
      <c r="M1478">
        <v>-185152</v>
      </c>
      <c r="N1478">
        <v>118808</v>
      </c>
      <c r="O1478" t="s">
        <v>1496</v>
      </c>
      <c r="P1478" s="9">
        <v>240579</v>
      </c>
      <c r="Q1478" s="9">
        <v>38756</v>
      </c>
      <c r="R1478" s="9">
        <v>279335</v>
      </c>
      <c r="S1478" s="9">
        <v>-65953</v>
      </c>
      <c r="T1478" s="10">
        <v>108212</v>
      </c>
      <c r="U1478" s="10">
        <v>2815</v>
      </c>
    </row>
    <row r="1479" spans="1:21" x14ac:dyDescent="0.35">
      <c r="A1479" t="s">
        <v>15</v>
      </c>
      <c r="B1479" t="s">
        <v>20</v>
      </c>
      <c r="C1479" t="s">
        <v>21</v>
      </c>
      <c r="D1479">
        <v>209619</v>
      </c>
      <c r="E1479">
        <v>36847</v>
      </c>
      <c r="F1479">
        <v>52388</v>
      </c>
      <c r="G1479">
        <v>-186356</v>
      </c>
      <c r="H1479">
        <v>112498</v>
      </c>
      <c r="I1479">
        <v>110669</v>
      </c>
      <c r="J1479">
        <v>3204</v>
      </c>
      <c r="K1479">
        <v>633120</v>
      </c>
      <c r="L1479">
        <v>314550</v>
      </c>
      <c r="M1479">
        <v>-124227</v>
      </c>
      <c r="N1479">
        <v>178962</v>
      </c>
      <c r="O1479" t="s">
        <v>1497</v>
      </c>
      <c r="P1479" s="9">
        <v>243985</v>
      </c>
      <c r="Q1479" s="9">
        <v>45162</v>
      </c>
      <c r="R1479" s="9">
        <v>289147</v>
      </c>
      <c r="S1479" s="9">
        <v>-162330</v>
      </c>
      <c r="T1479" s="10">
        <v>101160</v>
      </c>
      <c r="U1479" s="10">
        <v>1289</v>
      </c>
    </row>
    <row r="1480" spans="1:21" x14ac:dyDescent="0.35">
      <c r="A1480" t="s">
        <v>15</v>
      </c>
      <c r="B1480" t="s">
        <v>16</v>
      </c>
      <c r="C1480" t="s">
        <v>21</v>
      </c>
      <c r="D1480">
        <v>158890</v>
      </c>
      <c r="E1480">
        <v>14584</v>
      </c>
      <c r="F1480">
        <v>23637</v>
      </c>
      <c r="G1480">
        <v>-128529</v>
      </c>
      <c r="H1480">
        <v>68582</v>
      </c>
      <c r="I1480">
        <v>69015</v>
      </c>
      <c r="J1480">
        <v>1408</v>
      </c>
      <c r="K1480">
        <v>517776</v>
      </c>
      <c r="L1480">
        <v>192828</v>
      </c>
      <c r="M1480">
        <v>-161769</v>
      </c>
      <c r="N1480">
        <v>116484</v>
      </c>
      <c r="O1480" t="s">
        <v>1498</v>
      </c>
      <c r="P1480" s="9">
        <v>238069</v>
      </c>
      <c r="Q1480" s="9">
        <v>37871</v>
      </c>
      <c r="R1480" s="9">
        <v>275940</v>
      </c>
      <c r="S1480" s="9">
        <v>-67346</v>
      </c>
      <c r="T1480" s="10">
        <v>102770</v>
      </c>
      <c r="U1480" s="10">
        <v>2135</v>
      </c>
    </row>
    <row r="1481" spans="1:21" x14ac:dyDescent="0.35">
      <c r="A1481" t="s">
        <v>15</v>
      </c>
      <c r="B1481" t="s">
        <v>16</v>
      </c>
      <c r="C1481" t="s">
        <v>21</v>
      </c>
      <c r="D1481">
        <v>275618</v>
      </c>
      <c r="E1481">
        <v>28934</v>
      </c>
      <c r="F1481">
        <v>68229</v>
      </c>
      <c r="G1481">
        <v>-274649</v>
      </c>
      <c r="H1481">
        <v>98132</v>
      </c>
      <c r="I1481">
        <v>99539</v>
      </c>
      <c r="J1481">
        <v>2209</v>
      </c>
      <c r="K1481">
        <v>684849</v>
      </c>
      <c r="L1481">
        <v>88719</v>
      </c>
      <c r="M1481">
        <v>-210280</v>
      </c>
      <c r="N1481">
        <v>103687</v>
      </c>
      <c r="O1481" t="s">
        <v>1499</v>
      </c>
      <c r="P1481" s="9">
        <v>266841</v>
      </c>
      <c r="Q1481" s="9">
        <v>46351</v>
      </c>
      <c r="R1481" s="9">
        <v>313192</v>
      </c>
      <c r="S1481" s="9">
        <v>-161541</v>
      </c>
      <c r="T1481" s="10">
        <v>150028</v>
      </c>
      <c r="U1481" s="10">
        <v>2706</v>
      </c>
    </row>
    <row r="1482" spans="1:21" x14ac:dyDescent="0.35">
      <c r="A1482" t="s">
        <v>15</v>
      </c>
      <c r="B1482" t="s">
        <v>16</v>
      </c>
      <c r="C1482" t="s">
        <v>21</v>
      </c>
      <c r="D1482">
        <v>176621</v>
      </c>
      <c r="E1482">
        <v>26952</v>
      </c>
      <c r="F1482">
        <v>40745</v>
      </c>
      <c r="G1482">
        <v>-157152</v>
      </c>
      <c r="H1482">
        <v>87166</v>
      </c>
      <c r="I1482">
        <v>83907</v>
      </c>
      <c r="J1482">
        <v>975</v>
      </c>
      <c r="K1482">
        <v>527719</v>
      </c>
      <c r="L1482">
        <v>133594</v>
      </c>
      <c r="M1482">
        <v>-102719</v>
      </c>
      <c r="N1482">
        <v>59440</v>
      </c>
      <c r="O1482" t="s">
        <v>1500</v>
      </c>
      <c r="P1482" s="9">
        <v>198837</v>
      </c>
      <c r="Q1482" s="9">
        <v>10659</v>
      </c>
      <c r="R1482" s="9">
        <v>209496</v>
      </c>
      <c r="S1482" s="9">
        <v>-48770</v>
      </c>
      <c r="T1482" s="10">
        <v>75277</v>
      </c>
      <c r="U1482" s="10">
        <v>1163</v>
      </c>
    </row>
    <row r="1483" spans="1:21" x14ac:dyDescent="0.35">
      <c r="A1483" t="s">
        <v>15</v>
      </c>
      <c r="B1483" t="s">
        <v>16</v>
      </c>
      <c r="C1483" t="s">
        <v>17</v>
      </c>
      <c r="D1483">
        <v>211248</v>
      </c>
      <c r="E1483">
        <v>36843</v>
      </c>
      <c r="F1483">
        <v>52216</v>
      </c>
      <c r="G1483">
        <v>-196990</v>
      </c>
      <c r="H1483">
        <v>103317</v>
      </c>
      <c r="I1483">
        <v>95376</v>
      </c>
      <c r="J1483">
        <v>2716</v>
      </c>
      <c r="K1483">
        <v>741071</v>
      </c>
      <c r="L1483">
        <v>151618</v>
      </c>
      <c r="M1483">
        <v>-93087</v>
      </c>
      <c r="N1483">
        <v>182127</v>
      </c>
      <c r="O1483" t="s">
        <v>1501</v>
      </c>
      <c r="P1483" s="9">
        <v>271458</v>
      </c>
      <c r="Q1483" s="9">
        <v>21821</v>
      </c>
      <c r="R1483" s="9">
        <v>293279</v>
      </c>
      <c r="S1483" s="9">
        <v>-87760</v>
      </c>
      <c r="T1483" s="10">
        <v>90263</v>
      </c>
      <c r="U1483" s="10">
        <v>1937</v>
      </c>
    </row>
    <row r="1484" spans="1:21" x14ac:dyDescent="0.35">
      <c r="A1484" t="s">
        <v>15</v>
      </c>
      <c r="B1484" t="s">
        <v>20</v>
      </c>
      <c r="C1484" t="s">
        <v>17</v>
      </c>
      <c r="D1484">
        <v>264070</v>
      </c>
      <c r="E1484">
        <v>24091</v>
      </c>
      <c r="F1484">
        <v>53818</v>
      </c>
      <c r="G1484">
        <v>-221267</v>
      </c>
      <c r="H1484">
        <v>120712</v>
      </c>
      <c r="I1484">
        <v>119587</v>
      </c>
      <c r="J1484">
        <v>1783</v>
      </c>
      <c r="K1484">
        <v>542215</v>
      </c>
      <c r="L1484">
        <v>101221</v>
      </c>
      <c r="M1484">
        <v>-80738</v>
      </c>
      <c r="N1484">
        <v>154206</v>
      </c>
      <c r="O1484" t="s">
        <v>1502</v>
      </c>
      <c r="P1484" s="9">
        <v>307412</v>
      </c>
      <c r="Q1484" s="9">
        <v>53625</v>
      </c>
      <c r="R1484" s="9">
        <v>361037</v>
      </c>
      <c r="S1484" s="9">
        <v>-198844</v>
      </c>
      <c r="T1484" s="10">
        <v>99842</v>
      </c>
      <c r="U1484" s="10">
        <v>2374</v>
      </c>
    </row>
    <row r="1485" spans="1:21" x14ac:dyDescent="0.35">
      <c r="A1485" t="s">
        <v>15</v>
      </c>
      <c r="B1485" t="s">
        <v>16</v>
      </c>
      <c r="C1485" t="s">
        <v>17</v>
      </c>
      <c r="D1485">
        <v>233166</v>
      </c>
      <c r="E1485">
        <v>27885</v>
      </c>
      <c r="F1485">
        <v>28328</v>
      </c>
      <c r="G1485">
        <v>-228299</v>
      </c>
      <c r="H1485">
        <v>61080</v>
      </c>
      <c r="I1485">
        <v>61238</v>
      </c>
      <c r="J1485">
        <v>730</v>
      </c>
      <c r="K1485">
        <v>604133</v>
      </c>
      <c r="L1485">
        <v>282176</v>
      </c>
      <c r="M1485">
        <v>-214292</v>
      </c>
      <c r="N1485">
        <v>192305</v>
      </c>
      <c r="O1485" t="s">
        <v>1503</v>
      </c>
      <c r="P1485" s="9">
        <v>305329</v>
      </c>
      <c r="Q1485" s="9">
        <v>32102</v>
      </c>
      <c r="R1485" s="9">
        <v>337431</v>
      </c>
      <c r="S1485" s="9">
        <v>-193145</v>
      </c>
      <c r="T1485" s="10">
        <v>107838</v>
      </c>
      <c r="U1485" s="10">
        <v>2190</v>
      </c>
    </row>
    <row r="1486" spans="1:21" x14ac:dyDescent="0.35">
      <c r="A1486" t="s">
        <v>15</v>
      </c>
      <c r="B1486" t="s">
        <v>16</v>
      </c>
      <c r="C1486" t="s">
        <v>21</v>
      </c>
      <c r="D1486">
        <v>158911</v>
      </c>
      <c r="E1486">
        <v>28156</v>
      </c>
      <c r="F1486">
        <v>37539</v>
      </c>
      <c r="G1486">
        <v>-147108</v>
      </c>
      <c r="H1486">
        <v>77498</v>
      </c>
      <c r="I1486">
        <v>78345</v>
      </c>
      <c r="J1486">
        <v>1952</v>
      </c>
      <c r="K1486">
        <v>480242</v>
      </c>
      <c r="L1486">
        <v>141243</v>
      </c>
      <c r="M1486">
        <v>-78422</v>
      </c>
      <c r="N1486">
        <v>142256</v>
      </c>
      <c r="O1486" t="s">
        <v>1504</v>
      </c>
      <c r="P1486" s="9">
        <v>238974</v>
      </c>
      <c r="Q1486" s="9">
        <v>26939</v>
      </c>
      <c r="R1486" s="9">
        <v>265913</v>
      </c>
      <c r="S1486" s="9">
        <v>-68695</v>
      </c>
      <c r="T1486" s="10">
        <v>103003</v>
      </c>
      <c r="U1486" s="10">
        <v>2163</v>
      </c>
    </row>
    <row r="1487" spans="1:21" x14ac:dyDescent="0.35">
      <c r="A1487" t="s">
        <v>15</v>
      </c>
      <c r="B1487" t="s">
        <v>20</v>
      </c>
      <c r="C1487" t="s">
        <v>21</v>
      </c>
      <c r="D1487">
        <v>267044</v>
      </c>
      <c r="E1487">
        <v>33189</v>
      </c>
      <c r="F1487">
        <v>52792</v>
      </c>
      <c r="G1487">
        <v>-259498</v>
      </c>
      <c r="H1487">
        <v>93527</v>
      </c>
      <c r="I1487">
        <v>85212</v>
      </c>
      <c r="J1487">
        <v>1930</v>
      </c>
      <c r="K1487">
        <v>1005229</v>
      </c>
      <c r="L1487">
        <v>238391</v>
      </c>
      <c r="M1487">
        <v>-140679</v>
      </c>
      <c r="N1487">
        <v>179517</v>
      </c>
      <c r="O1487" t="s">
        <v>1505</v>
      </c>
      <c r="P1487" s="9">
        <v>161214</v>
      </c>
      <c r="Q1487" s="9">
        <v>11488</v>
      </c>
      <c r="R1487" s="9">
        <v>172702</v>
      </c>
      <c r="S1487" s="9">
        <v>-89823</v>
      </c>
      <c r="T1487" s="10">
        <v>42517</v>
      </c>
      <c r="U1487" s="10">
        <v>858</v>
      </c>
    </row>
    <row r="1488" spans="1:21" x14ac:dyDescent="0.35">
      <c r="A1488" t="s">
        <v>15</v>
      </c>
      <c r="B1488" t="s">
        <v>20</v>
      </c>
      <c r="C1488" t="s">
        <v>17</v>
      </c>
      <c r="D1488">
        <v>202671</v>
      </c>
      <c r="E1488">
        <v>27717</v>
      </c>
      <c r="F1488">
        <v>44944</v>
      </c>
      <c r="G1488">
        <v>-178827</v>
      </c>
      <c r="H1488">
        <v>96505</v>
      </c>
      <c r="I1488">
        <v>96228</v>
      </c>
      <c r="J1488">
        <v>2291</v>
      </c>
      <c r="K1488">
        <v>519372</v>
      </c>
      <c r="L1488">
        <v>120396</v>
      </c>
      <c r="M1488">
        <v>-52232</v>
      </c>
      <c r="N1488">
        <v>170331</v>
      </c>
      <c r="O1488" t="s">
        <v>1506</v>
      </c>
      <c r="P1488" s="9">
        <v>279374</v>
      </c>
      <c r="Q1488" s="9">
        <v>44388</v>
      </c>
      <c r="R1488" s="9">
        <v>323762</v>
      </c>
      <c r="S1488" s="9">
        <v>-154746</v>
      </c>
      <c r="T1488" s="10">
        <v>113711</v>
      </c>
      <c r="U1488" s="10">
        <v>1463</v>
      </c>
    </row>
    <row r="1489" spans="1:21" x14ac:dyDescent="0.35">
      <c r="A1489" t="s">
        <v>15</v>
      </c>
      <c r="B1489" t="s">
        <v>16</v>
      </c>
      <c r="C1489" t="s">
        <v>17</v>
      </c>
      <c r="D1489">
        <v>230589</v>
      </c>
      <c r="E1489">
        <v>34159</v>
      </c>
      <c r="F1489">
        <v>46432</v>
      </c>
      <c r="G1489">
        <v>-214954</v>
      </c>
      <c r="H1489">
        <v>96226</v>
      </c>
      <c r="I1489">
        <v>99922</v>
      </c>
      <c r="J1489">
        <v>2009</v>
      </c>
      <c r="K1489">
        <v>496048</v>
      </c>
      <c r="L1489">
        <v>59406</v>
      </c>
      <c r="M1489">
        <v>-93526</v>
      </c>
      <c r="N1489">
        <v>100170</v>
      </c>
      <c r="O1489" t="s">
        <v>1507</v>
      </c>
      <c r="P1489" s="9">
        <v>190550</v>
      </c>
      <c r="Q1489" s="9">
        <v>36705</v>
      </c>
      <c r="R1489" s="9">
        <v>227255</v>
      </c>
      <c r="S1489" s="9">
        <v>-82736</v>
      </c>
      <c r="T1489" s="10">
        <v>110678</v>
      </c>
      <c r="U1489" s="10">
        <v>1224</v>
      </c>
    </row>
    <row r="1490" spans="1:21" x14ac:dyDescent="0.35">
      <c r="A1490" t="s">
        <v>15</v>
      </c>
      <c r="B1490" t="s">
        <v>16</v>
      </c>
      <c r="C1490" t="s">
        <v>21</v>
      </c>
      <c r="D1490">
        <v>296956</v>
      </c>
      <c r="E1490">
        <v>50793</v>
      </c>
      <c r="F1490">
        <v>54678</v>
      </c>
      <c r="G1490">
        <v>-249225</v>
      </c>
      <c r="H1490">
        <v>153202</v>
      </c>
      <c r="I1490">
        <v>141290</v>
      </c>
      <c r="J1490">
        <v>2699</v>
      </c>
      <c r="K1490">
        <v>709956</v>
      </c>
      <c r="L1490">
        <v>206778</v>
      </c>
      <c r="M1490">
        <v>-223898</v>
      </c>
      <c r="N1490">
        <v>190868</v>
      </c>
      <c r="O1490" t="s">
        <v>1508</v>
      </c>
      <c r="P1490" s="9">
        <v>218218</v>
      </c>
      <c r="Q1490" s="9">
        <v>11290</v>
      </c>
      <c r="R1490" s="9">
        <v>229508</v>
      </c>
      <c r="S1490" s="9">
        <v>-128777</v>
      </c>
      <c r="T1490" s="10">
        <v>61142</v>
      </c>
      <c r="U1490" s="10">
        <v>811</v>
      </c>
    </row>
    <row r="1491" spans="1:21" x14ac:dyDescent="0.35">
      <c r="A1491" t="s">
        <v>15</v>
      </c>
      <c r="B1491" t="s">
        <v>16</v>
      </c>
      <c r="C1491" t="s">
        <v>21</v>
      </c>
      <c r="D1491">
        <v>270538</v>
      </c>
      <c r="E1491">
        <v>38979</v>
      </c>
      <c r="F1491">
        <v>59505</v>
      </c>
      <c r="G1491">
        <v>-247657</v>
      </c>
      <c r="H1491">
        <v>121365</v>
      </c>
      <c r="I1491">
        <v>119639</v>
      </c>
      <c r="J1491">
        <v>1739</v>
      </c>
      <c r="K1491">
        <v>693912</v>
      </c>
      <c r="L1491">
        <v>208118</v>
      </c>
      <c r="M1491">
        <v>-159382</v>
      </c>
      <c r="N1491">
        <v>206086</v>
      </c>
      <c r="O1491" t="s">
        <v>1509</v>
      </c>
      <c r="P1491" s="9">
        <v>157287</v>
      </c>
      <c r="Q1491" s="9">
        <v>20428</v>
      </c>
      <c r="R1491" s="9">
        <v>177715</v>
      </c>
      <c r="S1491" s="9">
        <v>-39998</v>
      </c>
      <c r="T1491" s="10">
        <v>64320</v>
      </c>
      <c r="U1491" s="10">
        <v>1188</v>
      </c>
    </row>
    <row r="1492" spans="1:21" x14ac:dyDescent="0.35">
      <c r="A1492" t="s">
        <v>15</v>
      </c>
      <c r="B1492" t="s">
        <v>20</v>
      </c>
      <c r="C1492" t="s">
        <v>21</v>
      </c>
      <c r="D1492">
        <v>256023</v>
      </c>
      <c r="E1492">
        <v>42804</v>
      </c>
      <c r="F1492">
        <v>42944</v>
      </c>
      <c r="G1492">
        <v>-251500</v>
      </c>
      <c r="H1492">
        <v>90271</v>
      </c>
      <c r="I1492">
        <v>88585</v>
      </c>
      <c r="J1492">
        <v>1020</v>
      </c>
      <c r="K1492">
        <v>835271</v>
      </c>
      <c r="L1492">
        <v>289907</v>
      </c>
      <c r="M1492">
        <v>-198548</v>
      </c>
      <c r="N1492">
        <v>175121</v>
      </c>
      <c r="O1492" t="s">
        <v>1510</v>
      </c>
      <c r="P1492" s="9">
        <v>171052</v>
      </c>
      <c r="Q1492" s="9">
        <v>31758</v>
      </c>
      <c r="R1492" s="9">
        <v>202810</v>
      </c>
      <c r="S1492" s="9">
        <v>-110955</v>
      </c>
      <c r="T1492" s="10">
        <v>57825</v>
      </c>
      <c r="U1492" s="10">
        <v>1637</v>
      </c>
    </row>
    <row r="1493" spans="1:21" x14ac:dyDescent="0.35">
      <c r="A1493" t="s">
        <v>15</v>
      </c>
      <c r="B1493" t="s">
        <v>16</v>
      </c>
      <c r="C1493" t="s">
        <v>21</v>
      </c>
      <c r="D1493">
        <v>283962</v>
      </c>
      <c r="E1493">
        <v>28176</v>
      </c>
      <c r="F1493">
        <v>43393</v>
      </c>
      <c r="G1493">
        <v>-261153</v>
      </c>
      <c r="H1493">
        <v>94378</v>
      </c>
      <c r="I1493">
        <v>88010</v>
      </c>
      <c r="J1493">
        <v>1724</v>
      </c>
      <c r="K1493">
        <v>860215</v>
      </c>
      <c r="L1493">
        <v>265297</v>
      </c>
      <c r="M1493">
        <v>-298933</v>
      </c>
      <c r="N1493">
        <v>130178</v>
      </c>
      <c r="O1493" t="s">
        <v>1511</v>
      </c>
      <c r="P1493" s="9">
        <v>217305</v>
      </c>
      <c r="Q1493" s="9">
        <v>15908</v>
      </c>
      <c r="R1493" s="9">
        <v>233213</v>
      </c>
      <c r="S1493" s="9">
        <v>-139516</v>
      </c>
      <c r="T1493" s="10">
        <v>75325</v>
      </c>
      <c r="U1493" s="10">
        <v>1794</v>
      </c>
    </row>
    <row r="1494" spans="1:21" x14ac:dyDescent="0.35">
      <c r="A1494" t="s">
        <v>15</v>
      </c>
      <c r="B1494" t="s">
        <v>16</v>
      </c>
      <c r="C1494" t="s">
        <v>21</v>
      </c>
      <c r="D1494">
        <v>291813</v>
      </c>
      <c r="E1494">
        <v>22722</v>
      </c>
      <c r="F1494">
        <v>35044</v>
      </c>
      <c r="G1494">
        <v>-252193</v>
      </c>
      <c r="H1494">
        <v>97386</v>
      </c>
      <c r="I1494">
        <v>96822</v>
      </c>
      <c r="J1494">
        <v>1413</v>
      </c>
      <c r="K1494">
        <v>1152655</v>
      </c>
      <c r="L1494">
        <v>415003</v>
      </c>
      <c r="M1494">
        <v>-323305</v>
      </c>
      <c r="N1494">
        <v>143093</v>
      </c>
      <c r="O1494" t="s">
        <v>1512</v>
      </c>
      <c r="P1494" s="9">
        <v>269053</v>
      </c>
      <c r="Q1494" s="9">
        <v>33827</v>
      </c>
      <c r="R1494" s="9">
        <v>302880</v>
      </c>
      <c r="S1494" s="9">
        <v>-63501</v>
      </c>
      <c r="T1494" s="10">
        <v>108985</v>
      </c>
      <c r="U1494" s="10">
        <v>2320</v>
      </c>
    </row>
    <row r="1495" spans="1:21" x14ac:dyDescent="0.35">
      <c r="A1495" t="s">
        <v>15</v>
      </c>
      <c r="B1495" t="s">
        <v>16</v>
      </c>
      <c r="C1495" t="s">
        <v>21</v>
      </c>
      <c r="D1495">
        <v>254013</v>
      </c>
      <c r="E1495">
        <v>34529</v>
      </c>
      <c r="F1495">
        <v>52047</v>
      </c>
      <c r="G1495">
        <v>-223059</v>
      </c>
      <c r="H1495">
        <v>117530</v>
      </c>
      <c r="I1495">
        <v>114003</v>
      </c>
      <c r="J1495">
        <v>2627</v>
      </c>
      <c r="K1495">
        <v>612663</v>
      </c>
      <c r="L1495">
        <v>207841</v>
      </c>
      <c r="M1495">
        <v>-214500</v>
      </c>
      <c r="N1495">
        <v>92169</v>
      </c>
      <c r="O1495" t="s">
        <v>1513</v>
      </c>
      <c r="P1495" s="9">
        <v>158532</v>
      </c>
      <c r="Q1495" s="9">
        <v>9780</v>
      </c>
      <c r="R1495" s="9">
        <v>168312</v>
      </c>
      <c r="S1495" s="9">
        <v>-81773</v>
      </c>
      <c r="T1495" s="10">
        <v>58221</v>
      </c>
      <c r="U1495" s="10">
        <v>713</v>
      </c>
    </row>
    <row r="1496" spans="1:21" x14ac:dyDescent="0.35">
      <c r="A1496" t="s">
        <v>15</v>
      </c>
      <c r="B1496" t="s">
        <v>20</v>
      </c>
      <c r="C1496" t="s">
        <v>21</v>
      </c>
      <c r="D1496">
        <v>263856</v>
      </c>
      <c r="E1496">
        <v>36261</v>
      </c>
      <c r="F1496">
        <v>42935</v>
      </c>
      <c r="G1496">
        <v>-250373</v>
      </c>
      <c r="H1496">
        <v>92679</v>
      </c>
      <c r="I1496">
        <v>90114</v>
      </c>
      <c r="J1496">
        <v>1923</v>
      </c>
      <c r="K1496">
        <v>932781</v>
      </c>
      <c r="L1496">
        <v>108442</v>
      </c>
      <c r="M1496">
        <v>-150076</v>
      </c>
      <c r="N1496">
        <v>157414</v>
      </c>
      <c r="O1496" t="s">
        <v>1514</v>
      </c>
      <c r="P1496" s="9">
        <v>220422</v>
      </c>
      <c r="Q1496" s="9">
        <v>13596</v>
      </c>
      <c r="R1496" s="9">
        <v>234018</v>
      </c>
      <c r="S1496" s="9">
        <v>-102524</v>
      </c>
      <c r="T1496" s="10">
        <v>76502</v>
      </c>
      <c r="U1496" s="10">
        <v>1475</v>
      </c>
    </row>
    <row r="1497" spans="1:21" x14ac:dyDescent="0.35">
      <c r="A1497" t="s">
        <v>15</v>
      </c>
      <c r="B1497" t="s">
        <v>16</v>
      </c>
      <c r="C1497" t="s">
        <v>17</v>
      </c>
      <c r="D1497">
        <v>297773</v>
      </c>
      <c r="E1497">
        <v>47249</v>
      </c>
      <c r="F1497">
        <v>61898</v>
      </c>
      <c r="G1497">
        <v>-264284</v>
      </c>
      <c r="H1497">
        <v>142636</v>
      </c>
      <c r="I1497">
        <v>143284</v>
      </c>
      <c r="J1497">
        <v>2965</v>
      </c>
      <c r="K1497">
        <v>967907</v>
      </c>
      <c r="L1497">
        <v>483501</v>
      </c>
      <c r="M1497">
        <v>-186171</v>
      </c>
      <c r="N1497">
        <v>240848</v>
      </c>
      <c r="O1497" t="s">
        <v>1515</v>
      </c>
      <c r="P1497" s="9">
        <v>210788</v>
      </c>
      <c r="Q1497" s="9">
        <v>28899</v>
      </c>
      <c r="R1497" s="9">
        <v>239687</v>
      </c>
      <c r="S1497" s="9">
        <v>-51329</v>
      </c>
      <c r="T1497" s="10">
        <v>61320</v>
      </c>
      <c r="U1497" s="10">
        <v>1226</v>
      </c>
    </row>
    <row r="1498" spans="1:21" x14ac:dyDescent="0.35">
      <c r="A1498" t="s">
        <v>15</v>
      </c>
      <c r="B1498" t="s">
        <v>16</v>
      </c>
      <c r="C1498" t="s">
        <v>21</v>
      </c>
      <c r="D1498">
        <v>254830</v>
      </c>
      <c r="E1498">
        <v>33528</v>
      </c>
      <c r="F1498">
        <v>43839</v>
      </c>
      <c r="G1498">
        <v>-248688</v>
      </c>
      <c r="H1498">
        <v>83509</v>
      </c>
      <c r="I1498">
        <v>77763</v>
      </c>
      <c r="J1498">
        <v>2042</v>
      </c>
      <c r="K1498">
        <v>1014513</v>
      </c>
      <c r="L1498">
        <v>315589</v>
      </c>
      <c r="M1498">
        <v>-158355</v>
      </c>
      <c r="N1498">
        <v>110233</v>
      </c>
      <c r="O1498" t="s">
        <v>1516</v>
      </c>
      <c r="P1498" s="9">
        <v>154208</v>
      </c>
      <c r="Q1498" s="9">
        <v>16473</v>
      </c>
      <c r="R1498" s="9">
        <v>170681</v>
      </c>
      <c r="S1498" s="9">
        <v>-77788</v>
      </c>
      <c r="T1498" s="10">
        <v>43700</v>
      </c>
      <c r="U1498" s="10">
        <v>797</v>
      </c>
    </row>
    <row r="1499" spans="1:21" x14ac:dyDescent="0.35">
      <c r="A1499" t="s">
        <v>15</v>
      </c>
      <c r="B1499" t="s">
        <v>20</v>
      </c>
      <c r="C1499" t="s">
        <v>21</v>
      </c>
      <c r="D1499">
        <v>230106</v>
      </c>
      <c r="E1499">
        <v>17538</v>
      </c>
      <c r="F1499">
        <v>42362</v>
      </c>
      <c r="G1499">
        <v>-222500</v>
      </c>
      <c r="H1499">
        <v>67506</v>
      </c>
      <c r="I1499">
        <v>61480</v>
      </c>
      <c r="J1499">
        <v>1434</v>
      </c>
      <c r="K1499">
        <v>629927</v>
      </c>
      <c r="L1499">
        <v>203954</v>
      </c>
      <c r="M1499">
        <v>-83310</v>
      </c>
      <c r="N1499">
        <v>166753</v>
      </c>
      <c r="O1499" t="s">
        <v>1517</v>
      </c>
      <c r="P1499" s="9">
        <v>141697</v>
      </c>
      <c r="Q1499" s="9">
        <v>16642</v>
      </c>
      <c r="R1499" s="9">
        <v>158339</v>
      </c>
      <c r="S1499" s="9">
        <v>-60640</v>
      </c>
      <c r="T1499" s="10">
        <v>66662</v>
      </c>
      <c r="U1499" s="10">
        <v>1251</v>
      </c>
    </row>
    <row r="1500" spans="1:21" x14ac:dyDescent="0.35">
      <c r="A1500" t="s">
        <v>15</v>
      </c>
      <c r="B1500" t="s">
        <v>16</v>
      </c>
      <c r="C1500" t="s">
        <v>21</v>
      </c>
      <c r="D1500">
        <v>275371</v>
      </c>
      <c r="E1500">
        <v>18056</v>
      </c>
      <c r="F1500">
        <v>39800</v>
      </c>
      <c r="G1500">
        <v>-229662</v>
      </c>
      <c r="H1500">
        <v>103565</v>
      </c>
      <c r="I1500">
        <v>105439</v>
      </c>
      <c r="J1500">
        <v>2156</v>
      </c>
      <c r="K1500">
        <v>956398</v>
      </c>
      <c r="L1500">
        <v>241435</v>
      </c>
      <c r="M1500">
        <v>-260756</v>
      </c>
      <c r="N1500">
        <v>214727</v>
      </c>
      <c r="O1500" t="s">
        <v>1518</v>
      </c>
      <c r="P1500" s="9">
        <v>225113</v>
      </c>
      <c r="Q1500" s="9">
        <v>27134</v>
      </c>
      <c r="R1500" s="9">
        <v>252247</v>
      </c>
      <c r="S1500" s="9">
        <v>-124368</v>
      </c>
      <c r="T1500" s="10">
        <v>74635</v>
      </c>
      <c r="U1500" s="10">
        <v>2013</v>
      </c>
    </row>
    <row r="1501" spans="1:21" x14ac:dyDescent="0.35">
      <c r="A1501" t="s">
        <v>15</v>
      </c>
      <c r="B1501" t="s">
        <v>16</v>
      </c>
      <c r="C1501" t="s">
        <v>21</v>
      </c>
      <c r="D1501">
        <v>196535</v>
      </c>
      <c r="E1501">
        <v>11813</v>
      </c>
      <c r="F1501">
        <v>28454</v>
      </c>
      <c r="G1501">
        <v>-192648</v>
      </c>
      <c r="H1501">
        <v>44154</v>
      </c>
      <c r="I1501">
        <v>41661</v>
      </c>
      <c r="J1501">
        <v>1038</v>
      </c>
      <c r="K1501">
        <v>584748</v>
      </c>
      <c r="L1501">
        <v>139685</v>
      </c>
      <c r="M1501">
        <v>-147385</v>
      </c>
      <c r="N1501">
        <v>139855</v>
      </c>
      <c r="O1501" t="s">
        <v>1519</v>
      </c>
      <c r="P1501" s="9">
        <v>206547</v>
      </c>
      <c r="Q1501" s="9">
        <v>37730</v>
      </c>
      <c r="R1501" s="9">
        <v>244277</v>
      </c>
      <c r="S1501" s="9">
        <v>-51510</v>
      </c>
      <c r="T1501" s="10">
        <v>102239</v>
      </c>
      <c r="U1501" s="10">
        <v>1509</v>
      </c>
    </row>
    <row r="1502" spans="1:21" x14ac:dyDescent="0.35">
      <c r="A1502" t="s">
        <v>15</v>
      </c>
      <c r="B1502" t="s">
        <v>20</v>
      </c>
      <c r="C1502" t="s">
        <v>21</v>
      </c>
      <c r="D1502">
        <v>246034</v>
      </c>
      <c r="E1502">
        <v>44893</v>
      </c>
      <c r="F1502">
        <v>58914</v>
      </c>
      <c r="G1502">
        <v>-207792</v>
      </c>
      <c r="H1502">
        <v>142049</v>
      </c>
      <c r="I1502">
        <v>130524</v>
      </c>
      <c r="J1502">
        <v>3610</v>
      </c>
      <c r="K1502">
        <v>521610</v>
      </c>
      <c r="L1502">
        <v>117954</v>
      </c>
      <c r="M1502">
        <v>-69870</v>
      </c>
      <c r="N1502">
        <v>136622</v>
      </c>
      <c r="O1502" t="s">
        <v>1520</v>
      </c>
      <c r="P1502" s="9">
        <v>251568</v>
      </c>
      <c r="Q1502" s="9">
        <v>20663</v>
      </c>
      <c r="R1502" s="9">
        <v>272231</v>
      </c>
      <c r="S1502" s="9">
        <v>-66403</v>
      </c>
      <c r="T1502" s="10">
        <v>92589</v>
      </c>
      <c r="U1502" s="10">
        <v>1591</v>
      </c>
    </row>
    <row r="1503" spans="1:21" x14ac:dyDescent="0.35">
      <c r="A1503" t="s">
        <v>15</v>
      </c>
      <c r="B1503" t="s">
        <v>16</v>
      </c>
      <c r="C1503" t="s">
        <v>21</v>
      </c>
      <c r="D1503">
        <v>263165</v>
      </c>
      <c r="E1503">
        <v>20922</v>
      </c>
      <c r="F1503">
        <v>27409</v>
      </c>
      <c r="G1503">
        <v>-248889</v>
      </c>
      <c r="H1503">
        <v>62607</v>
      </c>
      <c r="I1503">
        <v>61129</v>
      </c>
      <c r="J1503">
        <v>1482</v>
      </c>
      <c r="K1503">
        <v>692384</v>
      </c>
      <c r="L1503">
        <v>195008</v>
      </c>
      <c r="M1503">
        <v>-204753</v>
      </c>
      <c r="N1503">
        <v>154858</v>
      </c>
      <c r="O1503" t="s">
        <v>1521</v>
      </c>
      <c r="P1503" s="9">
        <v>264996</v>
      </c>
      <c r="Q1503" s="9">
        <v>27994</v>
      </c>
      <c r="R1503" s="9">
        <v>292990</v>
      </c>
      <c r="S1503" s="9">
        <v>-103541</v>
      </c>
      <c r="T1503" s="10">
        <v>95892</v>
      </c>
      <c r="U1503" s="10">
        <v>2656</v>
      </c>
    </row>
    <row r="1504" spans="1:21" x14ac:dyDescent="0.35">
      <c r="A1504" t="s">
        <v>15</v>
      </c>
      <c r="B1504" t="s">
        <v>20</v>
      </c>
      <c r="C1504" t="s">
        <v>17</v>
      </c>
      <c r="D1504">
        <v>188608</v>
      </c>
      <c r="E1504">
        <v>37337</v>
      </c>
      <c r="F1504">
        <v>27452</v>
      </c>
      <c r="G1504">
        <v>-178018</v>
      </c>
      <c r="H1504">
        <v>75379</v>
      </c>
      <c r="I1504">
        <v>79058</v>
      </c>
      <c r="J1504">
        <v>2303</v>
      </c>
      <c r="K1504">
        <v>578308</v>
      </c>
      <c r="L1504">
        <v>263117</v>
      </c>
      <c r="M1504">
        <v>-103344</v>
      </c>
      <c r="N1504">
        <v>70007</v>
      </c>
      <c r="O1504" t="s">
        <v>1522</v>
      </c>
      <c r="P1504" s="9">
        <v>219263</v>
      </c>
      <c r="Q1504" s="9">
        <v>47820</v>
      </c>
      <c r="R1504" s="9">
        <v>267083</v>
      </c>
      <c r="S1504" s="9">
        <v>-140147</v>
      </c>
      <c r="T1504" s="10">
        <v>85965</v>
      </c>
      <c r="U1504" s="10">
        <v>1378</v>
      </c>
    </row>
    <row r="1505" spans="1:21" x14ac:dyDescent="0.35">
      <c r="A1505" t="s">
        <v>15</v>
      </c>
      <c r="B1505" t="s">
        <v>16</v>
      </c>
      <c r="C1505" t="s">
        <v>21</v>
      </c>
      <c r="D1505">
        <v>267353</v>
      </c>
      <c r="E1505">
        <v>31075</v>
      </c>
      <c r="F1505">
        <v>35322</v>
      </c>
      <c r="G1505">
        <v>-217524</v>
      </c>
      <c r="H1505">
        <v>116226</v>
      </c>
      <c r="I1505">
        <v>121228</v>
      </c>
      <c r="J1505">
        <v>3237</v>
      </c>
      <c r="K1505">
        <v>748520</v>
      </c>
      <c r="L1505">
        <v>318616</v>
      </c>
      <c r="M1505">
        <v>-242096</v>
      </c>
      <c r="N1505">
        <v>213196</v>
      </c>
      <c r="O1505" t="s">
        <v>1523</v>
      </c>
      <c r="P1505" s="9">
        <v>200338</v>
      </c>
      <c r="Q1505" s="9">
        <v>31528</v>
      </c>
      <c r="R1505" s="9">
        <v>231866</v>
      </c>
      <c r="S1505" s="9">
        <v>-133507</v>
      </c>
      <c r="T1505" s="10">
        <v>87347</v>
      </c>
      <c r="U1505" s="10">
        <v>1671</v>
      </c>
    </row>
    <row r="1506" spans="1:21" x14ac:dyDescent="0.35">
      <c r="A1506" t="s">
        <v>15</v>
      </c>
      <c r="B1506" t="s">
        <v>20</v>
      </c>
      <c r="C1506" t="s">
        <v>21</v>
      </c>
      <c r="D1506">
        <v>209786</v>
      </c>
      <c r="E1506">
        <v>25309</v>
      </c>
      <c r="F1506">
        <v>31776</v>
      </c>
      <c r="G1506">
        <v>-205594</v>
      </c>
      <c r="H1506">
        <v>61277</v>
      </c>
      <c r="I1506">
        <v>57032</v>
      </c>
      <c r="J1506">
        <v>1616</v>
      </c>
      <c r="K1506">
        <v>450795</v>
      </c>
      <c r="L1506">
        <v>171349</v>
      </c>
      <c r="M1506">
        <v>-121609</v>
      </c>
      <c r="N1506">
        <v>167616</v>
      </c>
      <c r="O1506" t="s">
        <v>1524</v>
      </c>
      <c r="P1506" s="9">
        <v>214744</v>
      </c>
      <c r="Q1506" s="9">
        <v>41779</v>
      </c>
      <c r="R1506" s="9">
        <v>256523</v>
      </c>
      <c r="S1506" s="9">
        <v>-133277</v>
      </c>
      <c r="T1506" s="10">
        <v>107508</v>
      </c>
      <c r="U1506" s="10">
        <v>2282</v>
      </c>
    </row>
    <row r="1507" spans="1:21" x14ac:dyDescent="0.35">
      <c r="A1507" t="s">
        <v>15</v>
      </c>
      <c r="B1507" t="s">
        <v>16</v>
      </c>
      <c r="C1507" t="s">
        <v>21</v>
      </c>
      <c r="D1507">
        <v>206820</v>
      </c>
      <c r="E1507">
        <v>12288</v>
      </c>
      <c r="F1507">
        <v>29205</v>
      </c>
      <c r="G1507">
        <v>-175313</v>
      </c>
      <c r="H1507">
        <v>73000</v>
      </c>
      <c r="I1507">
        <v>76523</v>
      </c>
      <c r="J1507">
        <v>1391</v>
      </c>
      <c r="K1507">
        <v>669637</v>
      </c>
      <c r="L1507">
        <v>92419</v>
      </c>
      <c r="M1507">
        <v>-145883</v>
      </c>
      <c r="N1507">
        <v>108423</v>
      </c>
      <c r="O1507" t="s">
        <v>1525</v>
      </c>
      <c r="P1507" s="9">
        <v>188315</v>
      </c>
      <c r="Q1507" s="9">
        <v>13368</v>
      </c>
      <c r="R1507" s="9">
        <v>201683</v>
      </c>
      <c r="S1507" s="9">
        <v>-45180</v>
      </c>
      <c r="T1507" s="10">
        <v>58917</v>
      </c>
      <c r="U1507" s="10">
        <v>1693</v>
      </c>
    </row>
    <row r="1508" spans="1:21" x14ac:dyDescent="0.35">
      <c r="A1508" t="s">
        <v>15</v>
      </c>
      <c r="B1508" t="s">
        <v>16</v>
      </c>
      <c r="C1508" t="s">
        <v>21</v>
      </c>
      <c r="D1508">
        <v>275706</v>
      </c>
      <c r="E1508">
        <v>43962</v>
      </c>
      <c r="F1508">
        <v>63107</v>
      </c>
      <c r="G1508">
        <v>-262856</v>
      </c>
      <c r="H1508">
        <v>119919</v>
      </c>
      <c r="I1508">
        <v>124077</v>
      </c>
      <c r="J1508">
        <v>3448</v>
      </c>
      <c r="K1508">
        <v>659507</v>
      </c>
      <c r="L1508">
        <v>117553</v>
      </c>
      <c r="M1508">
        <v>-197586</v>
      </c>
      <c r="N1508">
        <v>140225</v>
      </c>
      <c r="O1508" t="s">
        <v>1526</v>
      </c>
      <c r="P1508" s="9">
        <v>229730</v>
      </c>
      <c r="Q1508" s="9">
        <v>45479</v>
      </c>
      <c r="R1508" s="9">
        <v>275209</v>
      </c>
      <c r="S1508" s="9">
        <v>-74802</v>
      </c>
      <c r="T1508" s="10">
        <v>126566</v>
      </c>
      <c r="U1508" s="10">
        <v>1852</v>
      </c>
    </row>
    <row r="1509" spans="1:21" x14ac:dyDescent="0.35">
      <c r="A1509" t="s">
        <v>15</v>
      </c>
      <c r="B1509" t="s">
        <v>16</v>
      </c>
      <c r="C1509" t="s">
        <v>21</v>
      </c>
      <c r="D1509">
        <v>216662</v>
      </c>
      <c r="E1509">
        <v>25669</v>
      </c>
      <c r="F1509">
        <v>37369</v>
      </c>
      <c r="G1509">
        <v>-194222</v>
      </c>
      <c r="H1509">
        <v>85478</v>
      </c>
      <c r="I1509">
        <v>80694</v>
      </c>
      <c r="J1509">
        <v>1468</v>
      </c>
      <c r="K1509">
        <v>518995</v>
      </c>
      <c r="L1509">
        <v>222208</v>
      </c>
      <c r="M1509">
        <v>-82162</v>
      </c>
      <c r="N1509">
        <v>83417</v>
      </c>
      <c r="O1509" t="s">
        <v>1527</v>
      </c>
      <c r="P1509" s="9">
        <v>229343</v>
      </c>
      <c r="Q1509" s="9">
        <v>34123</v>
      </c>
      <c r="R1509" s="9">
        <v>263466</v>
      </c>
      <c r="S1509" s="9">
        <v>-149330</v>
      </c>
      <c r="T1509" s="10">
        <v>130958</v>
      </c>
      <c r="U1509" s="10">
        <v>2330</v>
      </c>
    </row>
    <row r="1510" spans="1:21" x14ac:dyDescent="0.35">
      <c r="A1510" t="s">
        <v>15</v>
      </c>
      <c r="B1510" t="s">
        <v>20</v>
      </c>
      <c r="C1510" t="s">
        <v>21</v>
      </c>
      <c r="D1510">
        <v>237339</v>
      </c>
      <c r="E1510">
        <v>22423</v>
      </c>
      <c r="F1510">
        <v>58504</v>
      </c>
      <c r="G1510">
        <v>-212840</v>
      </c>
      <c r="H1510">
        <v>105426</v>
      </c>
      <c r="I1510">
        <v>96230</v>
      </c>
      <c r="J1510">
        <v>2404</v>
      </c>
      <c r="K1510">
        <v>877931</v>
      </c>
      <c r="L1510">
        <v>301408</v>
      </c>
      <c r="M1510">
        <v>-284979</v>
      </c>
      <c r="N1510">
        <v>72172</v>
      </c>
      <c r="O1510" t="s">
        <v>1528</v>
      </c>
      <c r="P1510" s="9">
        <v>170872</v>
      </c>
      <c r="Q1510" s="9">
        <v>25930</v>
      </c>
      <c r="R1510" s="9">
        <v>196802</v>
      </c>
      <c r="S1510" s="9">
        <v>-105126</v>
      </c>
      <c r="T1510" s="10">
        <v>53388</v>
      </c>
      <c r="U1510" s="10">
        <v>1352</v>
      </c>
    </row>
    <row r="1511" spans="1:21" x14ac:dyDescent="0.35">
      <c r="A1511" t="s">
        <v>15</v>
      </c>
      <c r="B1511" t="s">
        <v>16</v>
      </c>
      <c r="C1511" t="s">
        <v>21</v>
      </c>
      <c r="D1511">
        <v>275392</v>
      </c>
      <c r="E1511">
        <v>39298</v>
      </c>
      <c r="F1511">
        <v>29272</v>
      </c>
      <c r="G1511">
        <v>-239988</v>
      </c>
      <c r="H1511">
        <v>103974</v>
      </c>
      <c r="I1511">
        <v>98194</v>
      </c>
      <c r="J1511">
        <v>1255</v>
      </c>
      <c r="K1511">
        <v>878070</v>
      </c>
      <c r="L1511">
        <v>184938</v>
      </c>
      <c r="M1511">
        <v>-347841</v>
      </c>
      <c r="N1511">
        <v>174873</v>
      </c>
      <c r="O1511" t="s">
        <v>1529</v>
      </c>
      <c r="P1511" s="9">
        <v>246863</v>
      </c>
      <c r="Q1511" s="9">
        <v>33421</v>
      </c>
      <c r="R1511" s="9">
        <v>280284</v>
      </c>
      <c r="S1511" s="9">
        <v>-137972</v>
      </c>
      <c r="T1511" s="10">
        <v>73978</v>
      </c>
      <c r="U1511" s="10">
        <v>1564</v>
      </c>
    </row>
    <row r="1512" spans="1:21" x14ac:dyDescent="0.35">
      <c r="A1512" t="s">
        <v>15</v>
      </c>
      <c r="B1512" t="s">
        <v>20</v>
      </c>
      <c r="C1512" t="s">
        <v>17</v>
      </c>
      <c r="D1512">
        <v>229135</v>
      </c>
      <c r="E1512">
        <v>44209</v>
      </c>
      <c r="F1512">
        <v>49355</v>
      </c>
      <c r="G1512">
        <v>-185712</v>
      </c>
      <c r="H1512">
        <v>136987</v>
      </c>
      <c r="I1512">
        <v>136497</v>
      </c>
      <c r="J1512">
        <v>2912</v>
      </c>
      <c r="K1512">
        <v>724388</v>
      </c>
      <c r="L1512">
        <v>353638</v>
      </c>
      <c r="M1512">
        <v>-161831</v>
      </c>
      <c r="N1512">
        <v>117793</v>
      </c>
      <c r="O1512" t="s">
        <v>1530</v>
      </c>
      <c r="P1512" s="9">
        <v>164890</v>
      </c>
      <c r="Q1512" s="9">
        <v>16975</v>
      </c>
      <c r="R1512" s="9">
        <v>181865</v>
      </c>
      <c r="S1512" s="9">
        <v>-95599</v>
      </c>
      <c r="T1512" s="10">
        <v>34874</v>
      </c>
      <c r="U1512" s="10">
        <v>610</v>
      </c>
    </row>
    <row r="1513" spans="1:21" x14ac:dyDescent="0.35">
      <c r="A1513" t="s">
        <v>15</v>
      </c>
      <c r="B1513" t="s">
        <v>16</v>
      </c>
      <c r="C1513" t="s">
        <v>21</v>
      </c>
      <c r="D1513">
        <v>235699</v>
      </c>
      <c r="E1513">
        <v>12980</v>
      </c>
      <c r="F1513">
        <v>50842</v>
      </c>
      <c r="G1513">
        <v>-196937</v>
      </c>
      <c r="H1513">
        <v>102584</v>
      </c>
      <c r="I1513">
        <v>95859</v>
      </c>
      <c r="J1513">
        <v>2095</v>
      </c>
      <c r="K1513">
        <v>871709</v>
      </c>
      <c r="L1513">
        <v>207324</v>
      </c>
      <c r="M1513">
        <v>-153496</v>
      </c>
      <c r="N1513">
        <v>208980</v>
      </c>
      <c r="O1513" t="s">
        <v>1531</v>
      </c>
      <c r="P1513" s="9">
        <v>172511</v>
      </c>
      <c r="Q1513" s="9">
        <v>10802</v>
      </c>
      <c r="R1513" s="9">
        <v>183313</v>
      </c>
      <c r="S1513" s="9">
        <v>-77995</v>
      </c>
      <c r="T1513" s="10">
        <v>65295</v>
      </c>
      <c r="U1513" s="10">
        <v>724</v>
      </c>
    </row>
    <row r="1514" spans="1:21" x14ac:dyDescent="0.35">
      <c r="A1514" t="s">
        <v>15</v>
      </c>
      <c r="B1514" t="s">
        <v>16</v>
      </c>
      <c r="C1514" t="s">
        <v>17</v>
      </c>
      <c r="D1514">
        <v>256763</v>
      </c>
      <c r="E1514">
        <v>35869</v>
      </c>
      <c r="F1514">
        <v>34490</v>
      </c>
      <c r="G1514">
        <v>-208853</v>
      </c>
      <c r="H1514">
        <v>118269</v>
      </c>
      <c r="I1514">
        <v>115663</v>
      </c>
      <c r="J1514">
        <v>2349</v>
      </c>
      <c r="K1514">
        <v>844903</v>
      </c>
      <c r="L1514">
        <v>208827</v>
      </c>
      <c r="M1514">
        <v>-245141</v>
      </c>
      <c r="N1514">
        <v>186301</v>
      </c>
      <c r="O1514" t="s">
        <v>1532</v>
      </c>
      <c r="P1514" s="9">
        <v>221709</v>
      </c>
      <c r="Q1514" s="9">
        <v>13090</v>
      </c>
      <c r="R1514" s="9">
        <v>234799</v>
      </c>
      <c r="S1514" s="9">
        <v>-106239</v>
      </c>
      <c r="T1514" s="10">
        <v>60199</v>
      </c>
      <c r="U1514" s="10">
        <v>850</v>
      </c>
    </row>
    <row r="1515" spans="1:21" x14ac:dyDescent="0.35">
      <c r="A1515" t="s">
        <v>15</v>
      </c>
      <c r="B1515" t="s">
        <v>20</v>
      </c>
      <c r="C1515" t="s">
        <v>17</v>
      </c>
      <c r="D1515">
        <v>161392</v>
      </c>
      <c r="E1515">
        <v>23888</v>
      </c>
      <c r="F1515">
        <v>34056</v>
      </c>
      <c r="G1515">
        <v>-153903</v>
      </c>
      <c r="H1515">
        <v>65433</v>
      </c>
      <c r="I1515">
        <v>63651</v>
      </c>
      <c r="J1515">
        <v>1588</v>
      </c>
      <c r="K1515">
        <v>337226</v>
      </c>
      <c r="L1515">
        <v>122643</v>
      </c>
      <c r="M1515">
        <v>-114221</v>
      </c>
      <c r="N1515">
        <v>52895</v>
      </c>
      <c r="O1515" t="s">
        <v>1533</v>
      </c>
      <c r="P1515" s="9">
        <v>163205</v>
      </c>
      <c r="Q1515" s="9">
        <v>9906</v>
      </c>
      <c r="R1515" s="9">
        <v>173111</v>
      </c>
      <c r="S1515" s="9">
        <v>-71302</v>
      </c>
      <c r="T1515" s="10">
        <v>47812</v>
      </c>
      <c r="U1515" s="10">
        <v>1361</v>
      </c>
    </row>
    <row r="1516" spans="1:21" x14ac:dyDescent="0.35">
      <c r="A1516" t="s">
        <v>15</v>
      </c>
      <c r="B1516" t="s">
        <v>16</v>
      </c>
      <c r="C1516" t="s">
        <v>21</v>
      </c>
      <c r="D1516">
        <v>249082</v>
      </c>
      <c r="E1516">
        <v>15509</v>
      </c>
      <c r="F1516">
        <v>40398</v>
      </c>
      <c r="G1516">
        <v>-233484</v>
      </c>
      <c r="H1516">
        <v>71505</v>
      </c>
      <c r="I1516">
        <v>66626</v>
      </c>
      <c r="J1516">
        <v>1357</v>
      </c>
      <c r="K1516">
        <v>835972</v>
      </c>
      <c r="L1516">
        <v>276250</v>
      </c>
      <c r="M1516">
        <v>-232373</v>
      </c>
      <c r="N1516">
        <v>179233</v>
      </c>
      <c r="O1516" t="s">
        <v>1534</v>
      </c>
      <c r="P1516" s="9">
        <v>145237</v>
      </c>
      <c r="Q1516" s="9">
        <v>28931</v>
      </c>
      <c r="R1516" s="9">
        <v>174168</v>
      </c>
      <c r="S1516" s="9">
        <v>-61862</v>
      </c>
      <c r="T1516" s="10">
        <v>70502</v>
      </c>
      <c r="U1516" s="10">
        <v>1001</v>
      </c>
    </row>
    <row r="1517" spans="1:21" x14ac:dyDescent="0.35">
      <c r="A1517" t="s">
        <v>15</v>
      </c>
      <c r="B1517" t="s">
        <v>20</v>
      </c>
      <c r="C1517" t="s">
        <v>21</v>
      </c>
      <c r="D1517">
        <v>295745</v>
      </c>
      <c r="E1517">
        <v>18311</v>
      </c>
      <c r="F1517">
        <v>65631</v>
      </c>
      <c r="G1517">
        <v>-275181</v>
      </c>
      <c r="H1517">
        <v>104506</v>
      </c>
      <c r="I1517">
        <v>109485</v>
      </c>
      <c r="J1517">
        <v>2928</v>
      </c>
      <c r="K1517">
        <v>1158114</v>
      </c>
      <c r="L1517">
        <v>483475</v>
      </c>
      <c r="M1517">
        <v>-122198</v>
      </c>
      <c r="N1517">
        <v>108299</v>
      </c>
      <c r="O1517" t="s">
        <v>1535</v>
      </c>
      <c r="P1517" s="9">
        <v>190534</v>
      </c>
      <c r="Q1517" s="9">
        <v>29988</v>
      </c>
      <c r="R1517" s="9">
        <v>220522</v>
      </c>
      <c r="S1517" s="9">
        <v>-70723</v>
      </c>
      <c r="T1517" s="10">
        <v>63298</v>
      </c>
      <c r="U1517" s="10">
        <v>1745</v>
      </c>
    </row>
    <row r="1518" spans="1:21" x14ac:dyDescent="0.35">
      <c r="A1518" t="s">
        <v>15</v>
      </c>
      <c r="B1518" t="s">
        <v>20</v>
      </c>
      <c r="C1518" t="s">
        <v>21</v>
      </c>
      <c r="D1518">
        <v>239079</v>
      </c>
      <c r="E1518">
        <v>39378</v>
      </c>
      <c r="F1518">
        <v>49586</v>
      </c>
      <c r="G1518">
        <v>-212940</v>
      </c>
      <c r="H1518">
        <v>115103</v>
      </c>
      <c r="I1518">
        <v>105043</v>
      </c>
      <c r="J1518">
        <v>2008</v>
      </c>
      <c r="K1518">
        <v>481225</v>
      </c>
      <c r="L1518">
        <v>208686</v>
      </c>
      <c r="M1518">
        <v>-160202</v>
      </c>
      <c r="N1518">
        <v>149522</v>
      </c>
      <c r="O1518" t="s">
        <v>1536</v>
      </c>
      <c r="P1518" s="9">
        <v>209962</v>
      </c>
      <c r="Q1518" s="9">
        <v>19927</v>
      </c>
      <c r="R1518" s="9">
        <v>229889</v>
      </c>
      <c r="S1518" s="9">
        <v>-58075</v>
      </c>
      <c r="T1518" s="10">
        <v>85295</v>
      </c>
      <c r="U1518" s="10">
        <v>1338</v>
      </c>
    </row>
    <row r="1519" spans="1:21" x14ac:dyDescent="0.35">
      <c r="A1519" t="s">
        <v>15</v>
      </c>
      <c r="B1519" t="s">
        <v>20</v>
      </c>
      <c r="C1519" t="s">
        <v>17</v>
      </c>
      <c r="D1519">
        <v>258599</v>
      </c>
      <c r="E1519">
        <v>31278</v>
      </c>
      <c r="F1519">
        <v>62561</v>
      </c>
      <c r="G1519">
        <v>-227636</v>
      </c>
      <c r="H1519">
        <v>124802</v>
      </c>
      <c r="I1519">
        <v>116790</v>
      </c>
      <c r="J1519">
        <v>1552</v>
      </c>
      <c r="K1519">
        <v>564202</v>
      </c>
      <c r="L1519">
        <v>271724</v>
      </c>
      <c r="M1519">
        <v>-131582</v>
      </c>
      <c r="N1519">
        <v>117287</v>
      </c>
      <c r="O1519" t="s">
        <v>1537</v>
      </c>
      <c r="P1519" s="9">
        <v>294831</v>
      </c>
      <c r="Q1519" s="9">
        <v>29224</v>
      </c>
      <c r="R1519" s="9">
        <v>324055</v>
      </c>
      <c r="S1519" s="9">
        <v>-138952</v>
      </c>
      <c r="T1519" s="10">
        <v>119527</v>
      </c>
      <c r="U1519" s="10">
        <v>1456</v>
      </c>
    </row>
    <row r="1520" spans="1:21" x14ac:dyDescent="0.35">
      <c r="A1520" t="s">
        <v>15</v>
      </c>
      <c r="B1520" t="s">
        <v>16</v>
      </c>
      <c r="C1520" t="s">
        <v>21</v>
      </c>
      <c r="D1520">
        <v>259625</v>
      </c>
      <c r="E1520">
        <v>19319</v>
      </c>
      <c r="F1520">
        <v>37928</v>
      </c>
      <c r="G1520">
        <v>-223423</v>
      </c>
      <c r="H1520">
        <v>93449</v>
      </c>
      <c r="I1520">
        <v>85362</v>
      </c>
      <c r="J1520">
        <v>1290</v>
      </c>
      <c r="K1520">
        <v>1003461</v>
      </c>
      <c r="L1520">
        <v>273276</v>
      </c>
      <c r="M1520">
        <v>-160270</v>
      </c>
      <c r="N1520">
        <v>162259</v>
      </c>
      <c r="O1520" t="s">
        <v>1538</v>
      </c>
      <c r="P1520" s="9">
        <v>268024</v>
      </c>
      <c r="Q1520" s="9">
        <v>37295</v>
      </c>
      <c r="R1520" s="9">
        <v>305319</v>
      </c>
      <c r="S1520" s="9">
        <v>-62119</v>
      </c>
      <c r="T1520" s="10">
        <v>102820</v>
      </c>
      <c r="U1520" s="10">
        <v>1418</v>
      </c>
    </row>
    <row r="1521" spans="1:21" x14ac:dyDescent="0.35">
      <c r="A1521" t="s">
        <v>15</v>
      </c>
      <c r="B1521" t="s">
        <v>20</v>
      </c>
      <c r="C1521" t="s">
        <v>17</v>
      </c>
      <c r="D1521">
        <v>276842</v>
      </c>
      <c r="E1521">
        <v>52181</v>
      </c>
      <c r="F1521">
        <v>33882</v>
      </c>
      <c r="G1521">
        <v>-267470</v>
      </c>
      <c r="H1521">
        <v>95435</v>
      </c>
      <c r="I1521">
        <v>87387</v>
      </c>
      <c r="J1521">
        <v>1844</v>
      </c>
      <c r="K1521">
        <v>781423</v>
      </c>
      <c r="L1521">
        <v>147142</v>
      </c>
      <c r="M1521">
        <v>-89533</v>
      </c>
      <c r="N1521">
        <v>227523</v>
      </c>
      <c r="O1521" t="s">
        <v>1539</v>
      </c>
      <c r="P1521" s="9">
        <v>185241</v>
      </c>
      <c r="Q1521" s="9">
        <v>20992</v>
      </c>
      <c r="R1521" s="9">
        <v>206233</v>
      </c>
      <c r="S1521" s="9">
        <v>-42338</v>
      </c>
      <c r="T1521" s="10">
        <v>72207</v>
      </c>
      <c r="U1521" s="10">
        <v>2102</v>
      </c>
    </row>
    <row r="1522" spans="1:21" x14ac:dyDescent="0.35">
      <c r="A1522" t="s">
        <v>15</v>
      </c>
      <c r="B1522" t="s">
        <v>16</v>
      </c>
      <c r="C1522" t="s">
        <v>21</v>
      </c>
      <c r="D1522">
        <v>155706</v>
      </c>
      <c r="E1522">
        <v>29844</v>
      </c>
      <c r="F1522">
        <v>34157</v>
      </c>
      <c r="G1522">
        <v>-151539</v>
      </c>
      <c r="H1522">
        <v>68168</v>
      </c>
      <c r="I1522">
        <v>67090</v>
      </c>
      <c r="J1522">
        <v>919</v>
      </c>
      <c r="K1522">
        <v>587419</v>
      </c>
      <c r="L1522">
        <v>103401</v>
      </c>
      <c r="M1522">
        <v>-155367</v>
      </c>
      <c r="N1522">
        <v>130460</v>
      </c>
      <c r="O1522" t="s">
        <v>1540</v>
      </c>
      <c r="P1522" s="9">
        <v>218870</v>
      </c>
      <c r="Q1522" s="9">
        <v>15484</v>
      </c>
      <c r="R1522" s="9">
        <v>234354</v>
      </c>
      <c r="S1522" s="9">
        <v>-59707</v>
      </c>
      <c r="T1522" s="10">
        <v>57881</v>
      </c>
      <c r="U1522" s="10">
        <v>1502</v>
      </c>
    </row>
    <row r="1523" spans="1:21" x14ac:dyDescent="0.35">
      <c r="A1523" t="s">
        <v>15</v>
      </c>
      <c r="B1523" t="s">
        <v>16</v>
      </c>
      <c r="C1523" t="s">
        <v>21</v>
      </c>
      <c r="D1523">
        <v>220808</v>
      </c>
      <c r="E1523">
        <v>12219</v>
      </c>
      <c r="F1523">
        <v>37676</v>
      </c>
      <c r="G1523">
        <v>-219123</v>
      </c>
      <c r="H1523">
        <v>51580</v>
      </c>
      <c r="I1523">
        <v>49738</v>
      </c>
      <c r="J1523">
        <v>1255</v>
      </c>
      <c r="K1523">
        <v>454993</v>
      </c>
      <c r="L1523">
        <v>50605</v>
      </c>
      <c r="M1523">
        <v>-177393</v>
      </c>
      <c r="N1523">
        <v>87503</v>
      </c>
      <c r="O1523" t="s">
        <v>1541</v>
      </c>
      <c r="P1523" s="9">
        <v>165474</v>
      </c>
      <c r="Q1523" s="9">
        <v>8906</v>
      </c>
      <c r="R1523" s="9">
        <v>174380</v>
      </c>
      <c r="S1523" s="9">
        <v>-43594</v>
      </c>
      <c r="T1523" s="10">
        <v>53256</v>
      </c>
      <c r="U1523" s="10">
        <v>1080</v>
      </c>
    </row>
    <row r="1524" spans="1:21" x14ac:dyDescent="0.35">
      <c r="A1524" t="s">
        <v>15</v>
      </c>
      <c r="B1524" t="s">
        <v>16</v>
      </c>
      <c r="C1524" t="s">
        <v>21</v>
      </c>
      <c r="D1524">
        <v>219906</v>
      </c>
      <c r="E1524">
        <v>16977</v>
      </c>
      <c r="F1524">
        <v>34731</v>
      </c>
      <c r="G1524">
        <v>-186129</v>
      </c>
      <c r="H1524">
        <v>85485</v>
      </c>
      <c r="I1524">
        <v>83371</v>
      </c>
      <c r="J1524">
        <v>1304</v>
      </c>
      <c r="K1524">
        <v>698298</v>
      </c>
      <c r="L1524">
        <v>314114</v>
      </c>
      <c r="M1524">
        <v>-126563</v>
      </c>
      <c r="N1524">
        <v>80676</v>
      </c>
      <c r="O1524" t="s">
        <v>1542</v>
      </c>
      <c r="P1524" s="9">
        <v>293093</v>
      </c>
      <c r="Q1524" s="9">
        <v>35095</v>
      </c>
      <c r="R1524" s="9">
        <v>328188</v>
      </c>
      <c r="S1524" s="9">
        <v>-140781</v>
      </c>
      <c r="T1524" s="10">
        <v>103341</v>
      </c>
      <c r="U1524" s="10">
        <v>2552</v>
      </c>
    </row>
    <row r="1525" spans="1:21" x14ac:dyDescent="0.35">
      <c r="A1525" t="s">
        <v>15</v>
      </c>
      <c r="B1525" t="s">
        <v>20</v>
      </c>
      <c r="C1525" t="s">
        <v>21</v>
      </c>
      <c r="D1525">
        <v>240027</v>
      </c>
      <c r="E1525">
        <v>19630</v>
      </c>
      <c r="F1525">
        <v>42844</v>
      </c>
      <c r="G1525">
        <v>-215437</v>
      </c>
      <c r="H1525">
        <v>87064</v>
      </c>
      <c r="I1525">
        <v>88035</v>
      </c>
      <c r="J1525">
        <v>1289</v>
      </c>
      <c r="K1525">
        <v>838759</v>
      </c>
      <c r="L1525">
        <v>122982</v>
      </c>
      <c r="M1525">
        <v>-256494</v>
      </c>
      <c r="N1525">
        <v>102358</v>
      </c>
      <c r="O1525" t="s">
        <v>1543</v>
      </c>
      <c r="P1525" s="9">
        <v>294635</v>
      </c>
      <c r="Q1525" s="9">
        <v>26955</v>
      </c>
      <c r="R1525" s="9">
        <v>321590</v>
      </c>
      <c r="S1525" s="9">
        <v>-141525</v>
      </c>
      <c r="T1525" s="10">
        <v>85533</v>
      </c>
      <c r="U1525" s="10">
        <v>1359</v>
      </c>
    </row>
    <row r="1526" spans="1:21" x14ac:dyDescent="0.35">
      <c r="A1526" t="s">
        <v>15</v>
      </c>
      <c r="B1526" t="s">
        <v>16</v>
      </c>
      <c r="C1526" t="s">
        <v>21</v>
      </c>
      <c r="D1526">
        <v>183158</v>
      </c>
      <c r="E1526">
        <v>34629</v>
      </c>
      <c r="F1526">
        <v>42033</v>
      </c>
      <c r="G1526">
        <v>-164803</v>
      </c>
      <c r="H1526">
        <v>95017</v>
      </c>
      <c r="I1526">
        <v>92343</v>
      </c>
      <c r="J1526">
        <v>1239</v>
      </c>
      <c r="K1526">
        <v>552408</v>
      </c>
      <c r="L1526">
        <v>145089</v>
      </c>
      <c r="M1526">
        <v>-155751</v>
      </c>
      <c r="N1526">
        <v>160805</v>
      </c>
      <c r="O1526" t="s">
        <v>1544</v>
      </c>
      <c r="P1526" s="9">
        <v>312787</v>
      </c>
      <c r="Q1526" s="9">
        <v>44940</v>
      </c>
      <c r="R1526" s="9">
        <v>357727</v>
      </c>
      <c r="S1526" s="9">
        <v>-160536</v>
      </c>
      <c r="T1526" s="10">
        <v>105917</v>
      </c>
      <c r="U1526" s="10">
        <v>3131</v>
      </c>
    </row>
    <row r="1527" spans="1:21" x14ac:dyDescent="0.35">
      <c r="A1527" t="s">
        <v>15</v>
      </c>
      <c r="B1527" t="s">
        <v>16</v>
      </c>
      <c r="C1527" t="s">
        <v>21</v>
      </c>
      <c r="D1527">
        <v>298545</v>
      </c>
      <c r="E1527">
        <v>58713</v>
      </c>
      <c r="F1527">
        <v>51391</v>
      </c>
      <c r="G1527">
        <v>-284563</v>
      </c>
      <c r="H1527">
        <v>124086</v>
      </c>
      <c r="I1527">
        <v>126945</v>
      </c>
      <c r="J1527">
        <v>2916</v>
      </c>
      <c r="K1527">
        <v>628637</v>
      </c>
      <c r="L1527">
        <v>212377</v>
      </c>
      <c r="M1527">
        <v>-227269</v>
      </c>
      <c r="N1527">
        <v>164796</v>
      </c>
      <c r="O1527" t="s">
        <v>1545</v>
      </c>
      <c r="P1527" s="9">
        <v>182206</v>
      </c>
      <c r="Q1527" s="9">
        <v>37306</v>
      </c>
      <c r="R1527" s="9">
        <v>219512</v>
      </c>
      <c r="S1527" s="9">
        <v>-71881</v>
      </c>
      <c r="T1527" s="10">
        <v>79124</v>
      </c>
      <c r="U1527" s="10">
        <v>1186</v>
      </c>
    </row>
    <row r="1528" spans="1:21" x14ac:dyDescent="0.35">
      <c r="A1528" t="s">
        <v>15</v>
      </c>
      <c r="B1528" t="s">
        <v>16</v>
      </c>
      <c r="C1528" t="s">
        <v>21</v>
      </c>
      <c r="D1528">
        <v>245805</v>
      </c>
      <c r="E1528">
        <v>24864</v>
      </c>
      <c r="F1528">
        <v>32398</v>
      </c>
      <c r="G1528">
        <v>-231331</v>
      </c>
      <c r="H1528">
        <v>71736</v>
      </c>
      <c r="I1528">
        <v>69555</v>
      </c>
      <c r="J1528">
        <v>1923</v>
      </c>
      <c r="K1528">
        <v>610673</v>
      </c>
      <c r="L1528">
        <v>268958</v>
      </c>
      <c r="M1528">
        <v>-237476</v>
      </c>
      <c r="N1528">
        <v>118629</v>
      </c>
      <c r="O1528" t="s">
        <v>1546</v>
      </c>
      <c r="P1528" s="9">
        <v>165213</v>
      </c>
      <c r="Q1528" s="9">
        <v>12730</v>
      </c>
      <c r="R1528" s="9">
        <v>177943</v>
      </c>
      <c r="S1528" s="9">
        <v>-96890</v>
      </c>
      <c r="T1528" s="10">
        <v>50206</v>
      </c>
      <c r="U1528" s="10">
        <v>1087</v>
      </c>
    </row>
    <row r="1529" spans="1:21" x14ac:dyDescent="0.35">
      <c r="A1529" t="s">
        <v>15</v>
      </c>
      <c r="B1529" t="s">
        <v>20</v>
      </c>
      <c r="C1529" t="s">
        <v>21</v>
      </c>
      <c r="D1529">
        <v>277708</v>
      </c>
      <c r="E1529">
        <v>39830</v>
      </c>
      <c r="F1529">
        <v>57202</v>
      </c>
      <c r="G1529">
        <v>-253498</v>
      </c>
      <c r="H1529">
        <v>121242</v>
      </c>
      <c r="I1529">
        <v>126746</v>
      </c>
      <c r="J1529">
        <v>3717</v>
      </c>
      <c r="K1529">
        <v>1022522</v>
      </c>
      <c r="L1529">
        <v>403708</v>
      </c>
      <c r="M1529">
        <v>-151016</v>
      </c>
      <c r="N1529">
        <v>123437</v>
      </c>
      <c r="O1529" t="s">
        <v>1547</v>
      </c>
      <c r="P1529" s="9">
        <v>296169</v>
      </c>
      <c r="Q1529" s="9">
        <v>54549</v>
      </c>
      <c r="R1529" s="9">
        <v>350718</v>
      </c>
      <c r="S1529" s="9">
        <v>-197159</v>
      </c>
      <c r="T1529" s="10">
        <v>170796</v>
      </c>
      <c r="U1529" s="10">
        <v>2123</v>
      </c>
    </row>
    <row r="1530" spans="1:21" x14ac:dyDescent="0.35">
      <c r="A1530" t="s">
        <v>15</v>
      </c>
      <c r="B1530" t="s">
        <v>16</v>
      </c>
      <c r="C1530" t="s">
        <v>21</v>
      </c>
      <c r="D1530">
        <v>286952</v>
      </c>
      <c r="E1530">
        <v>50153</v>
      </c>
      <c r="F1530">
        <v>67331</v>
      </c>
      <c r="G1530">
        <v>-233845</v>
      </c>
      <c r="H1530">
        <v>170591</v>
      </c>
      <c r="I1530">
        <v>155989</v>
      </c>
      <c r="J1530">
        <v>2232</v>
      </c>
      <c r="K1530">
        <v>738761</v>
      </c>
      <c r="L1530">
        <v>105171</v>
      </c>
      <c r="M1530">
        <v>-275236</v>
      </c>
      <c r="N1530">
        <v>167505</v>
      </c>
      <c r="O1530" t="s">
        <v>1548</v>
      </c>
      <c r="P1530" s="9">
        <v>277091</v>
      </c>
      <c r="Q1530" s="9">
        <v>49492</v>
      </c>
      <c r="R1530" s="9">
        <v>326583</v>
      </c>
      <c r="S1530" s="9">
        <v>-153772</v>
      </c>
      <c r="T1530" s="10">
        <v>94983</v>
      </c>
      <c r="U1530" s="10">
        <v>1047</v>
      </c>
    </row>
    <row r="1531" spans="1:21" x14ac:dyDescent="0.35">
      <c r="A1531" t="s">
        <v>15</v>
      </c>
      <c r="B1531" t="s">
        <v>16</v>
      </c>
      <c r="C1531" t="s">
        <v>21</v>
      </c>
      <c r="D1531">
        <v>156995</v>
      </c>
      <c r="E1531">
        <v>18546</v>
      </c>
      <c r="F1531">
        <v>22547</v>
      </c>
      <c r="G1531">
        <v>-138872</v>
      </c>
      <c r="H1531">
        <v>59216</v>
      </c>
      <c r="I1531">
        <v>62103</v>
      </c>
      <c r="J1531">
        <v>1844</v>
      </c>
      <c r="K1531">
        <v>595897</v>
      </c>
      <c r="L1531">
        <v>68503</v>
      </c>
      <c r="M1531">
        <v>-151188</v>
      </c>
      <c r="N1531">
        <v>133390</v>
      </c>
      <c r="O1531" t="s">
        <v>1549</v>
      </c>
      <c r="P1531" s="9">
        <v>202823</v>
      </c>
      <c r="Q1531" s="9">
        <v>20239</v>
      </c>
      <c r="R1531" s="9">
        <v>223062</v>
      </c>
      <c r="S1531" s="9">
        <v>-101355</v>
      </c>
      <c r="T1531" s="10">
        <v>94056</v>
      </c>
      <c r="U1531" s="10">
        <v>2561</v>
      </c>
    </row>
    <row r="1532" spans="1:21" x14ac:dyDescent="0.35">
      <c r="A1532" t="s">
        <v>15</v>
      </c>
      <c r="B1532" t="s">
        <v>16</v>
      </c>
      <c r="C1532" t="s">
        <v>21</v>
      </c>
      <c r="D1532">
        <v>218765</v>
      </c>
      <c r="E1532">
        <v>23208</v>
      </c>
      <c r="F1532">
        <v>33178</v>
      </c>
      <c r="G1532">
        <v>-213440</v>
      </c>
      <c r="H1532">
        <v>61711</v>
      </c>
      <c r="I1532">
        <v>59904</v>
      </c>
      <c r="J1532">
        <v>1545</v>
      </c>
      <c r="K1532">
        <v>698049</v>
      </c>
      <c r="L1532">
        <v>97703</v>
      </c>
      <c r="M1532">
        <v>-187373</v>
      </c>
      <c r="N1532">
        <v>120095</v>
      </c>
      <c r="O1532" t="s">
        <v>1550</v>
      </c>
      <c r="P1532" s="9">
        <v>152393</v>
      </c>
      <c r="Q1532" s="9">
        <v>14794</v>
      </c>
      <c r="R1532" s="9">
        <v>167187</v>
      </c>
      <c r="S1532" s="9">
        <v>-64117</v>
      </c>
      <c r="T1532" s="10">
        <v>43079</v>
      </c>
      <c r="U1532" s="10">
        <v>987</v>
      </c>
    </row>
    <row r="1533" spans="1:21" x14ac:dyDescent="0.35">
      <c r="A1533" t="s">
        <v>15</v>
      </c>
      <c r="B1533" t="s">
        <v>20</v>
      </c>
      <c r="C1533" t="s">
        <v>17</v>
      </c>
      <c r="D1533">
        <v>283824</v>
      </c>
      <c r="E1533">
        <v>17498</v>
      </c>
      <c r="F1533">
        <v>55526</v>
      </c>
      <c r="G1533">
        <v>-258589</v>
      </c>
      <c r="H1533">
        <v>98259</v>
      </c>
      <c r="I1533">
        <v>99127</v>
      </c>
      <c r="J1533">
        <v>1503</v>
      </c>
      <c r="K1533">
        <v>626674</v>
      </c>
      <c r="L1533">
        <v>306095</v>
      </c>
      <c r="M1533">
        <v>-64265</v>
      </c>
      <c r="N1533">
        <v>152702</v>
      </c>
      <c r="O1533" t="s">
        <v>1551</v>
      </c>
      <c r="P1533" s="9">
        <v>164670</v>
      </c>
      <c r="Q1533" s="9">
        <v>13292</v>
      </c>
      <c r="R1533" s="9">
        <v>177962</v>
      </c>
      <c r="S1533" s="9">
        <v>-80341</v>
      </c>
      <c r="T1533" s="10">
        <v>55922</v>
      </c>
      <c r="U1533" s="10">
        <v>1001</v>
      </c>
    </row>
    <row r="1534" spans="1:21" x14ac:dyDescent="0.35">
      <c r="A1534" t="s">
        <v>15</v>
      </c>
      <c r="B1534" t="s">
        <v>20</v>
      </c>
      <c r="C1534" t="s">
        <v>17</v>
      </c>
      <c r="D1534">
        <v>179263</v>
      </c>
      <c r="E1534">
        <v>22324</v>
      </c>
      <c r="F1534">
        <v>29046</v>
      </c>
      <c r="G1534">
        <v>-170079</v>
      </c>
      <c r="H1534">
        <v>60554</v>
      </c>
      <c r="I1534">
        <v>57463</v>
      </c>
      <c r="J1534">
        <v>1692</v>
      </c>
      <c r="K1534">
        <v>425896</v>
      </c>
      <c r="L1534">
        <v>157940</v>
      </c>
      <c r="M1534">
        <v>-66414</v>
      </c>
      <c r="N1534">
        <v>78704</v>
      </c>
      <c r="O1534" t="s">
        <v>1552</v>
      </c>
      <c r="P1534" s="9">
        <v>244140</v>
      </c>
      <c r="Q1534" s="9">
        <v>54452</v>
      </c>
      <c r="R1534" s="9">
        <v>298592</v>
      </c>
      <c r="S1534" s="9">
        <v>-135518</v>
      </c>
      <c r="T1534" s="10">
        <v>124445</v>
      </c>
      <c r="U1534" s="10">
        <v>1921</v>
      </c>
    </row>
    <row r="1535" spans="1:21" x14ac:dyDescent="0.35">
      <c r="A1535" t="s">
        <v>15</v>
      </c>
      <c r="B1535" t="s">
        <v>16</v>
      </c>
      <c r="C1535" t="s">
        <v>21</v>
      </c>
      <c r="D1535">
        <v>163402</v>
      </c>
      <c r="E1535">
        <v>13700</v>
      </c>
      <c r="F1535">
        <v>29903</v>
      </c>
      <c r="G1535">
        <v>-159433</v>
      </c>
      <c r="H1535">
        <v>47572</v>
      </c>
      <c r="I1535">
        <v>47774</v>
      </c>
      <c r="J1535">
        <v>1410</v>
      </c>
      <c r="K1535">
        <v>434399</v>
      </c>
      <c r="L1535">
        <v>95278</v>
      </c>
      <c r="M1535">
        <v>-117953</v>
      </c>
      <c r="N1535">
        <v>66102</v>
      </c>
      <c r="O1535" t="s">
        <v>1553</v>
      </c>
      <c r="P1535" s="9">
        <v>269415</v>
      </c>
      <c r="Q1535" s="9">
        <v>22791</v>
      </c>
      <c r="R1535" s="9">
        <v>292206</v>
      </c>
      <c r="S1535" s="9">
        <v>-92410</v>
      </c>
      <c r="T1535" s="10">
        <v>105532</v>
      </c>
      <c r="U1535" s="10">
        <v>1824</v>
      </c>
    </row>
    <row r="1536" spans="1:21" x14ac:dyDescent="0.35">
      <c r="A1536" t="s">
        <v>15</v>
      </c>
      <c r="B1536" t="s">
        <v>20</v>
      </c>
      <c r="C1536" t="s">
        <v>17</v>
      </c>
      <c r="D1536">
        <v>259157</v>
      </c>
      <c r="E1536">
        <v>26704</v>
      </c>
      <c r="F1536">
        <v>34623</v>
      </c>
      <c r="G1536">
        <v>-219963</v>
      </c>
      <c r="H1536">
        <v>100521</v>
      </c>
      <c r="I1536">
        <v>96960</v>
      </c>
      <c r="J1536">
        <v>2538</v>
      </c>
      <c r="K1536">
        <v>1027640</v>
      </c>
      <c r="L1536">
        <v>162374</v>
      </c>
      <c r="M1536">
        <v>-307744</v>
      </c>
      <c r="N1536">
        <v>167441</v>
      </c>
      <c r="O1536" t="s">
        <v>1554</v>
      </c>
      <c r="P1536" s="9">
        <v>226685</v>
      </c>
      <c r="Q1536" s="9">
        <v>29212</v>
      </c>
      <c r="R1536" s="9">
        <v>255897</v>
      </c>
      <c r="S1536" s="9">
        <v>-104094</v>
      </c>
      <c r="T1536" s="10">
        <v>65355</v>
      </c>
      <c r="U1536" s="10">
        <v>727</v>
      </c>
    </row>
    <row r="1537" spans="1:21" x14ac:dyDescent="0.35">
      <c r="A1537" t="s">
        <v>15</v>
      </c>
      <c r="B1537" t="s">
        <v>16</v>
      </c>
      <c r="C1537" t="s">
        <v>17</v>
      </c>
      <c r="D1537">
        <v>266265</v>
      </c>
      <c r="E1537">
        <v>27942</v>
      </c>
      <c r="F1537">
        <v>44912</v>
      </c>
      <c r="G1537">
        <v>-239448</v>
      </c>
      <c r="H1537">
        <v>99671</v>
      </c>
      <c r="I1537">
        <v>98879</v>
      </c>
      <c r="J1537">
        <v>992</v>
      </c>
      <c r="K1537">
        <v>1049927</v>
      </c>
      <c r="L1537">
        <v>110933</v>
      </c>
      <c r="M1537">
        <v>-369376</v>
      </c>
      <c r="N1537">
        <v>101306</v>
      </c>
      <c r="O1537" t="s">
        <v>1555</v>
      </c>
      <c r="P1537" s="9">
        <v>212697</v>
      </c>
      <c r="Q1537" s="9">
        <v>12317</v>
      </c>
      <c r="R1537" s="9">
        <v>225014</v>
      </c>
      <c r="S1537" s="9">
        <v>-78765</v>
      </c>
      <c r="T1537" s="10">
        <v>39674</v>
      </c>
      <c r="U1537" s="10">
        <v>604</v>
      </c>
    </row>
    <row r="1538" spans="1:21" x14ac:dyDescent="0.35">
      <c r="A1538" t="s">
        <v>15</v>
      </c>
      <c r="B1538" t="s">
        <v>20</v>
      </c>
      <c r="C1538" t="s">
        <v>21</v>
      </c>
      <c r="D1538">
        <v>196529</v>
      </c>
      <c r="E1538">
        <v>14442</v>
      </c>
      <c r="F1538">
        <v>24026</v>
      </c>
      <c r="G1538">
        <v>-161713</v>
      </c>
      <c r="H1538">
        <v>73284</v>
      </c>
      <c r="I1538">
        <v>71387</v>
      </c>
      <c r="J1538">
        <v>1115</v>
      </c>
      <c r="K1538">
        <v>418974</v>
      </c>
      <c r="L1538">
        <v>65888</v>
      </c>
      <c r="M1538">
        <v>-86989</v>
      </c>
      <c r="N1538">
        <v>83695</v>
      </c>
      <c r="O1538" t="s">
        <v>1556</v>
      </c>
      <c r="P1538" s="9">
        <v>312417</v>
      </c>
      <c r="Q1538" s="9">
        <v>15528</v>
      </c>
      <c r="R1538" s="9">
        <v>327945</v>
      </c>
      <c r="S1538" s="9">
        <v>-94981</v>
      </c>
      <c r="T1538" s="10">
        <v>107459</v>
      </c>
      <c r="U1538" s="10">
        <v>2694</v>
      </c>
    </row>
    <row r="1539" spans="1:21" x14ac:dyDescent="0.35">
      <c r="A1539" t="s">
        <v>15</v>
      </c>
      <c r="B1539" t="s">
        <v>20</v>
      </c>
      <c r="C1539" t="s">
        <v>21</v>
      </c>
      <c r="D1539">
        <v>172146</v>
      </c>
      <c r="E1539">
        <v>31849</v>
      </c>
      <c r="F1539">
        <v>20489</v>
      </c>
      <c r="G1539">
        <v>-139476</v>
      </c>
      <c r="H1539">
        <v>85008</v>
      </c>
      <c r="I1539">
        <v>78905</v>
      </c>
      <c r="J1539">
        <v>1011</v>
      </c>
      <c r="K1539">
        <v>672632</v>
      </c>
      <c r="L1539">
        <v>230036</v>
      </c>
      <c r="M1539">
        <v>-223088</v>
      </c>
      <c r="N1539">
        <v>79481</v>
      </c>
      <c r="O1539" t="s">
        <v>1557</v>
      </c>
      <c r="P1539" s="9">
        <v>195315</v>
      </c>
      <c r="Q1539" s="9">
        <v>26242</v>
      </c>
      <c r="R1539" s="9">
        <v>221557</v>
      </c>
      <c r="S1539" s="9">
        <v>-115177</v>
      </c>
      <c r="T1539" s="10">
        <v>62361</v>
      </c>
      <c r="U1539" s="10">
        <v>1086</v>
      </c>
    </row>
    <row r="1540" spans="1:21" x14ac:dyDescent="0.35">
      <c r="A1540" t="s">
        <v>15</v>
      </c>
      <c r="B1540" t="s">
        <v>20</v>
      </c>
      <c r="C1540" t="s">
        <v>17</v>
      </c>
      <c r="D1540">
        <v>270531</v>
      </c>
      <c r="E1540">
        <v>15674</v>
      </c>
      <c r="F1540">
        <v>34022</v>
      </c>
      <c r="G1540">
        <v>-249609</v>
      </c>
      <c r="H1540">
        <v>70618</v>
      </c>
      <c r="I1540">
        <v>73649</v>
      </c>
      <c r="J1540">
        <v>1231</v>
      </c>
      <c r="K1540">
        <v>905592</v>
      </c>
      <c r="L1540">
        <v>126410</v>
      </c>
      <c r="M1540">
        <v>-330007</v>
      </c>
      <c r="N1540">
        <v>174052</v>
      </c>
      <c r="O1540" t="s">
        <v>1558</v>
      </c>
      <c r="P1540" s="9">
        <v>232120</v>
      </c>
      <c r="Q1540" s="9">
        <v>39179</v>
      </c>
      <c r="R1540" s="9">
        <v>271299</v>
      </c>
      <c r="S1540" s="9">
        <v>-126965</v>
      </c>
      <c r="T1540" s="10">
        <v>118001</v>
      </c>
      <c r="U1540" s="10">
        <v>1867</v>
      </c>
    </row>
    <row r="1541" spans="1:21" x14ac:dyDescent="0.35">
      <c r="A1541" t="s">
        <v>15</v>
      </c>
      <c r="B1541" t="s">
        <v>16</v>
      </c>
      <c r="C1541" t="s">
        <v>21</v>
      </c>
      <c r="D1541">
        <v>190928</v>
      </c>
      <c r="E1541">
        <v>20944</v>
      </c>
      <c r="F1541">
        <v>43989</v>
      </c>
      <c r="G1541">
        <v>-162417</v>
      </c>
      <c r="H1541">
        <v>93444</v>
      </c>
      <c r="I1541">
        <v>88411</v>
      </c>
      <c r="J1541">
        <v>1386</v>
      </c>
      <c r="K1541">
        <v>631927</v>
      </c>
      <c r="L1541">
        <v>310466</v>
      </c>
      <c r="M1541">
        <v>-232641</v>
      </c>
      <c r="N1541">
        <v>113994</v>
      </c>
      <c r="O1541" t="s">
        <v>1559</v>
      </c>
      <c r="P1541" s="9">
        <v>229074</v>
      </c>
      <c r="Q1541" s="9">
        <v>28420</v>
      </c>
      <c r="R1541" s="9">
        <v>257494</v>
      </c>
      <c r="S1541" s="9">
        <v>-99334</v>
      </c>
      <c r="T1541" s="10">
        <v>81111</v>
      </c>
      <c r="U1541" s="10">
        <v>1837</v>
      </c>
    </row>
    <row r="1542" spans="1:21" x14ac:dyDescent="0.35">
      <c r="A1542" t="s">
        <v>15</v>
      </c>
      <c r="B1542" t="s">
        <v>16</v>
      </c>
      <c r="C1542" t="s">
        <v>21</v>
      </c>
      <c r="D1542">
        <v>187507</v>
      </c>
      <c r="E1542">
        <v>21243</v>
      </c>
      <c r="F1542">
        <v>44643</v>
      </c>
      <c r="G1542">
        <v>-151500</v>
      </c>
      <c r="H1542">
        <v>101893</v>
      </c>
      <c r="I1542">
        <v>101635</v>
      </c>
      <c r="J1542">
        <v>1540</v>
      </c>
      <c r="K1542">
        <v>539012</v>
      </c>
      <c r="L1542">
        <v>68948</v>
      </c>
      <c r="M1542">
        <v>-118043</v>
      </c>
      <c r="N1542">
        <v>156645</v>
      </c>
      <c r="O1542" t="s">
        <v>1560</v>
      </c>
      <c r="P1542" s="9">
        <v>289335</v>
      </c>
      <c r="Q1542" s="9">
        <v>32692</v>
      </c>
      <c r="R1542" s="9">
        <v>322027</v>
      </c>
      <c r="S1542" s="9">
        <v>-147727</v>
      </c>
      <c r="T1542" s="10">
        <v>121784</v>
      </c>
      <c r="U1542" s="10">
        <v>2158</v>
      </c>
    </row>
    <row r="1543" spans="1:21" x14ac:dyDescent="0.35">
      <c r="A1543" t="s">
        <v>15</v>
      </c>
      <c r="B1543" t="s">
        <v>16</v>
      </c>
      <c r="C1543" t="s">
        <v>17</v>
      </c>
      <c r="D1543">
        <v>151379</v>
      </c>
      <c r="E1543">
        <v>9483</v>
      </c>
      <c r="F1543">
        <v>19648</v>
      </c>
      <c r="G1543">
        <v>-126076</v>
      </c>
      <c r="H1543">
        <v>54434</v>
      </c>
      <c r="I1543">
        <v>52905</v>
      </c>
      <c r="J1543">
        <v>957</v>
      </c>
      <c r="K1543">
        <v>558876</v>
      </c>
      <c r="L1543">
        <v>111059</v>
      </c>
      <c r="M1543">
        <v>-144008</v>
      </c>
      <c r="N1543">
        <v>114701</v>
      </c>
      <c r="O1543" t="s">
        <v>1561</v>
      </c>
      <c r="P1543" s="9">
        <v>153895</v>
      </c>
      <c r="Q1543" s="9">
        <v>10118</v>
      </c>
      <c r="R1543" s="9">
        <v>164013</v>
      </c>
      <c r="S1543" s="9">
        <v>-89958</v>
      </c>
      <c r="T1543" s="10">
        <v>48905</v>
      </c>
      <c r="U1543" s="10">
        <v>513</v>
      </c>
    </row>
    <row r="1544" spans="1:21" x14ac:dyDescent="0.35">
      <c r="A1544" t="s">
        <v>15</v>
      </c>
      <c r="B1544" t="s">
        <v>16</v>
      </c>
      <c r="C1544" t="s">
        <v>21</v>
      </c>
      <c r="D1544">
        <v>254139</v>
      </c>
      <c r="E1544">
        <v>13424</v>
      </c>
      <c r="F1544">
        <v>27365</v>
      </c>
      <c r="G1544">
        <v>-224916</v>
      </c>
      <c r="H1544">
        <v>70012</v>
      </c>
      <c r="I1544">
        <v>73213</v>
      </c>
      <c r="J1544">
        <v>1416</v>
      </c>
      <c r="K1544">
        <v>1009426</v>
      </c>
      <c r="L1544">
        <v>191693</v>
      </c>
      <c r="M1544">
        <v>-108728</v>
      </c>
      <c r="N1544">
        <v>181535</v>
      </c>
      <c r="O1544" t="s">
        <v>1562</v>
      </c>
      <c r="P1544" s="9">
        <v>293514</v>
      </c>
      <c r="Q1544" s="9">
        <v>55071</v>
      </c>
      <c r="R1544" s="9">
        <v>348585</v>
      </c>
      <c r="S1544" s="9">
        <v>-102329</v>
      </c>
      <c r="T1544" s="10">
        <v>144239</v>
      </c>
      <c r="U1544" s="10">
        <v>2320</v>
      </c>
    </row>
    <row r="1545" spans="1:21" x14ac:dyDescent="0.35">
      <c r="A1545" t="s">
        <v>15</v>
      </c>
      <c r="B1545" t="s">
        <v>16</v>
      </c>
      <c r="C1545" t="s">
        <v>21</v>
      </c>
      <c r="D1545">
        <v>209497</v>
      </c>
      <c r="E1545">
        <v>31313</v>
      </c>
      <c r="F1545">
        <v>36212</v>
      </c>
      <c r="G1545">
        <v>-192713</v>
      </c>
      <c r="H1545">
        <v>84309</v>
      </c>
      <c r="I1545">
        <v>77495</v>
      </c>
      <c r="J1545">
        <v>1839</v>
      </c>
      <c r="K1545">
        <v>457361</v>
      </c>
      <c r="L1545">
        <v>162124</v>
      </c>
      <c r="M1545">
        <v>-47093</v>
      </c>
      <c r="N1545">
        <v>123679</v>
      </c>
      <c r="O1545" t="s">
        <v>1563</v>
      </c>
      <c r="P1545" s="9">
        <v>151709</v>
      </c>
      <c r="Q1545" s="9">
        <v>24901</v>
      </c>
      <c r="R1545" s="9">
        <v>176610</v>
      </c>
      <c r="S1545" s="9">
        <v>-73355</v>
      </c>
      <c r="T1545" s="10">
        <v>57591</v>
      </c>
      <c r="U1545" s="10">
        <v>1695</v>
      </c>
    </row>
    <row r="1546" spans="1:21" x14ac:dyDescent="0.35">
      <c r="A1546" t="s">
        <v>15</v>
      </c>
      <c r="B1546" t="s">
        <v>16</v>
      </c>
      <c r="C1546" t="s">
        <v>17</v>
      </c>
      <c r="D1546">
        <v>166643</v>
      </c>
      <c r="E1546">
        <v>12868</v>
      </c>
      <c r="F1546">
        <v>21378</v>
      </c>
      <c r="G1546">
        <v>-138009</v>
      </c>
      <c r="H1546">
        <v>62880</v>
      </c>
      <c r="I1546">
        <v>61805</v>
      </c>
      <c r="J1546">
        <v>890</v>
      </c>
      <c r="K1546">
        <v>429696</v>
      </c>
      <c r="L1546">
        <v>164285</v>
      </c>
      <c r="M1546">
        <v>-46644</v>
      </c>
      <c r="N1546">
        <v>50328</v>
      </c>
      <c r="O1546" t="s">
        <v>1564</v>
      </c>
      <c r="P1546" s="9">
        <v>241166</v>
      </c>
      <c r="Q1546" s="9">
        <v>18517</v>
      </c>
      <c r="R1546" s="9">
        <v>259683</v>
      </c>
      <c r="S1546" s="9">
        <v>-72240</v>
      </c>
      <c r="T1546" s="10">
        <v>54168</v>
      </c>
      <c r="U1546" s="10">
        <v>963</v>
      </c>
    </row>
    <row r="1547" spans="1:21" x14ac:dyDescent="0.35">
      <c r="A1547" t="s">
        <v>15</v>
      </c>
      <c r="B1547" t="s">
        <v>16</v>
      </c>
      <c r="C1547" t="s">
        <v>17</v>
      </c>
      <c r="D1547">
        <v>177298</v>
      </c>
      <c r="E1547">
        <v>25485</v>
      </c>
      <c r="F1547">
        <v>36129</v>
      </c>
      <c r="G1547">
        <v>-162103</v>
      </c>
      <c r="H1547">
        <v>76809</v>
      </c>
      <c r="I1547">
        <v>74190</v>
      </c>
      <c r="J1547">
        <v>2129</v>
      </c>
      <c r="K1547">
        <v>399299</v>
      </c>
      <c r="L1547">
        <v>131992</v>
      </c>
      <c r="M1547">
        <v>-96839</v>
      </c>
      <c r="N1547">
        <v>153805</v>
      </c>
      <c r="O1547" t="s">
        <v>1565</v>
      </c>
      <c r="P1547" s="9">
        <v>186437</v>
      </c>
      <c r="Q1547" s="9">
        <v>27977</v>
      </c>
      <c r="R1547" s="9">
        <v>214414</v>
      </c>
      <c r="S1547" s="9">
        <v>-92330</v>
      </c>
      <c r="T1547" s="10">
        <v>68975</v>
      </c>
      <c r="U1547" s="10">
        <v>1360</v>
      </c>
    </row>
    <row r="1548" spans="1:21" x14ac:dyDescent="0.35">
      <c r="A1548" t="s">
        <v>15</v>
      </c>
      <c r="B1548" t="s">
        <v>16</v>
      </c>
      <c r="C1548" t="s">
        <v>21</v>
      </c>
      <c r="D1548">
        <v>274056</v>
      </c>
      <c r="E1548">
        <v>42861</v>
      </c>
      <c r="F1548">
        <v>37599</v>
      </c>
      <c r="G1548">
        <v>-258697</v>
      </c>
      <c r="H1548">
        <v>95819</v>
      </c>
      <c r="I1548">
        <v>94527</v>
      </c>
      <c r="J1548">
        <v>2647</v>
      </c>
      <c r="K1548">
        <v>730641</v>
      </c>
      <c r="L1548">
        <v>212641</v>
      </c>
      <c r="M1548">
        <v>-104643</v>
      </c>
      <c r="N1548">
        <v>238655</v>
      </c>
      <c r="O1548" t="s">
        <v>1566</v>
      </c>
      <c r="P1548" s="9">
        <v>233717</v>
      </c>
      <c r="Q1548" s="9">
        <v>36187</v>
      </c>
      <c r="R1548" s="9">
        <v>269904</v>
      </c>
      <c r="S1548" s="9">
        <v>-158725</v>
      </c>
      <c r="T1548" s="10">
        <v>66147</v>
      </c>
      <c r="U1548" s="10">
        <v>1419</v>
      </c>
    </row>
    <row r="1549" spans="1:21" x14ac:dyDescent="0.35">
      <c r="A1549" t="s">
        <v>15</v>
      </c>
      <c r="B1549" t="s">
        <v>16</v>
      </c>
      <c r="C1549" t="s">
        <v>17</v>
      </c>
      <c r="D1549">
        <v>275397</v>
      </c>
      <c r="E1549">
        <v>31102</v>
      </c>
      <c r="F1549">
        <v>37831</v>
      </c>
      <c r="G1549">
        <v>-249718</v>
      </c>
      <c r="H1549">
        <v>94612</v>
      </c>
      <c r="I1549">
        <v>92853</v>
      </c>
      <c r="J1549">
        <v>1386</v>
      </c>
      <c r="K1549">
        <v>631666</v>
      </c>
      <c r="L1549">
        <v>310139</v>
      </c>
      <c r="M1549">
        <v>-91535</v>
      </c>
      <c r="N1549">
        <v>183520</v>
      </c>
      <c r="O1549" t="s">
        <v>1567</v>
      </c>
      <c r="P1549" s="9">
        <v>272716</v>
      </c>
      <c r="Q1549" s="9">
        <v>49911</v>
      </c>
      <c r="R1549" s="9">
        <v>322627</v>
      </c>
      <c r="S1549" s="9">
        <v>-134503</v>
      </c>
      <c r="T1549" s="10">
        <v>157371</v>
      </c>
      <c r="U1549" s="10">
        <v>4593</v>
      </c>
    </row>
    <row r="1550" spans="1:21" x14ac:dyDescent="0.35">
      <c r="A1550" t="s">
        <v>15</v>
      </c>
      <c r="B1550" t="s">
        <v>16</v>
      </c>
      <c r="C1550" t="s">
        <v>17</v>
      </c>
      <c r="D1550">
        <v>284297</v>
      </c>
      <c r="E1550">
        <v>53143</v>
      </c>
      <c r="F1550">
        <v>41059</v>
      </c>
      <c r="G1550">
        <v>-258929</v>
      </c>
      <c r="H1550">
        <v>119570</v>
      </c>
      <c r="I1550">
        <v>114447</v>
      </c>
      <c r="J1550">
        <v>3339</v>
      </c>
      <c r="K1550">
        <v>720630</v>
      </c>
      <c r="L1550">
        <v>288240</v>
      </c>
      <c r="M1550">
        <v>-155675</v>
      </c>
      <c r="N1550">
        <v>122048</v>
      </c>
      <c r="O1550" t="s">
        <v>1568</v>
      </c>
      <c r="P1550" s="9">
        <v>274752</v>
      </c>
      <c r="Q1550" s="9">
        <v>54448</v>
      </c>
      <c r="R1550" s="9">
        <v>329200</v>
      </c>
      <c r="S1550" s="9">
        <v>-101467</v>
      </c>
      <c r="T1550" s="10">
        <v>125593</v>
      </c>
      <c r="U1550" s="10">
        <v>3494</v>
      </c>
    </row>
    <row r="1551" spans="1:21" x14ac:dyDescent="0.35">
      <c r="A1551" t="s">
        <v>15</v>
      </c>
      <c r="B1551" t="s">
        <v>16</v>
      </c>
      <c r="C1551" t="s">
        <v>21</v>
      </c>
      <c r="D1551">
        <v>202991</v>
      </c>
      <c r="E1551">
        <v>37956</v>
      </c>
      <c r="F1551">
        <v>24212</v>
      </c>
      <c r="G1551">
        <v>-171903</v>
      </c>
      <c r="H1551">
        <v>93256</v>
      </c>
      <c r="I1551">
        <v>95246</v>
      </c>
      <c r="J1551">
        <v>1293</v>
      </c>
      <c r="K1551">
        <v>728114</v>
      </c>
      <c r="L1551">
        <v>322534</v>
      </c>
      <c r="M1551">
        <v>-262826</v>
      </c>
      <c r="N1551">
        <v>92896</v>
      </c>
      <c r="O1551" t="s">
        <v>1569</v>
      </c>
      <c r="P1551" s="9">
        <v>300922</v>
      </c>
      <c r="Q1551" s="9">
        <v>27535</v>
      </c>
      <c r="R1551" s="9">
        <v>328457</v>
      </c>
      <c r="S1551" s="9">
        <v>-185158</v>
      </c>
      <c r="T1551" s="10">
        <v>99945</v>
      </c>
      <c r="U1551" s="10">
        <v>2630</v>
      </c>
    </row>
    <row r="1552" spans="1:21" x14ac:dyDescent="0.35">
      <c r="A1552" t="s">
        <v>15</v>
      </c>
      <c r="B1552" t="s">
        <v>16</v>
      </c>
      <c r="C1552" t="s">
        <v>21</v>
      </c>
      <c r="D1552">
        <v>244554</v>
      </c>
      <c r="E1552">
        <v>21421</v>
      </c>
      <c r="F1552">
        <v>47747</v>
      </c>
      <c r="G1552">
        <v>-239144</v>
      </c>
      <c r="H1552">
        <v>74578</v>
      </c>
      <c r="I1552">
        <v>68723</v>
      </c>
      <c r="J1552">
        <v>1842</v>
      </c>
      <c r="K1552">
        <v>532836</v>
      </c>
      <c r="L1552">
        <v>194750</v>
      </c>
      <c r="M1552">
        <v>-158277</v>
      </c>
      <c r="N1552">
        <v>157908</v>
      </c>
      <c r="O1552" t="s">
        <v>1570</v>
      </c>
      <c r="P1552" s="9">
        <v>201080</v>
      </c>
      <c r="Q1552" s="9">
        <v>35088</v>
      </c>
      <c r="R1552" s="9">
        <v>236168</v>
      </c>
      <c r="S1552" s="9">
        <v>-94294</v>
      </c>
      <c r="T1552" s="10">
        <v>88156</v>
      </c>
      <c r="U1552" s="10">
        <v>2003</v>
      </c>
    </row>
    <row r="1553" spans="1:21" x14ac:dyDescent="0.35">
      <c r="A1553" t="s">
        <v>15</v>
      </c>
      <c r="B1553" t="s">
        <v>20</v>
      </c>
      <c r="C1553" t="s">
        <v>21</v>
      </c>
      <c r="D1553">
        <v>273383</v>
      </c>
      <c r="E1553">
        <v>53122</v>
      </c>
      <c r="F1553">
        <v>39969</v>
      </c>
      <c r="G1553">
        <v>-262107</v>
      </c>
      <c r="H1553">
        <v>104367</v>
      </c>
      <c r="I1553">
        <v>98523</v>
      </c>
      <c r="J1553">
        <v>1902</v>
      </c>
      <c r="K1553">
        <v>910066</v>
      </c>
      <c r="L1553">
        <v>350384</v>
      </c>
      <c r="M1553">
        <v>-228483</v>
      </c>
      <c r="N1553">
        <v>163846</v>
      </c>
      <c r="O1553" t="s">
        <v>1571</v>
      </c>
      <c r="P1553" s="9">
        <v>187442</v>
      </c>
      <c r="Q1553" s="9">
        <v>28524</v>
      </c>
      <c r="R1553" s="9">
        <v>215966</v>
      </c>
      <c r="S1553" s="9">
        <v>-90536</v>
      </c>
      <c r="T1553" s="10">
        <v>78190</v>
      </c>
      <c r="U1553" s="10">
        <v>1985</v>
      </c>
    </row>
    <row r="1554" spans="1:21" x14ac:dyDescent="0.35">
      <c r="A1554" t="s">
        <v>15</v>
      </c>
      <c r="B1554" t="s">
        <v>16</v>
      </c>
      <c r="C1554" t="s">
        <v>21</v>
      </c>
      <c r="D1554">
        <v>182351</v>
      </c>
      <c r="E1554">
        <v>31627</v>
      </c>
      <c r="F1554">
        <v>42609</v>
      </c>
      <c r="G1554">
        <v>-172446</v>
      </c>
      <c r="H1554">
        <v>84141</v>
      </c>
      <c r="I1554">
        <v>82406</v>
      </c>
      <c r="J1554">
        <v>2072</v>
      </c>
      <c r="K1554">
        <v>599286</v>
      </c>
      <c r="L1554">
        <v>159875</v>
      </c>
      <c r="M1554">
        <v>-89063</v>
      </c>
      <c r="N1554">
        <v>95857</v>
      </c>
      <c r="O1554" t="s">
        <v>1572</v>
      </c>
      <c r="P1554" s="9">
        <v>192307</v>
      </c>
      <c r="Q1554" s="9">
        <v>14610</v>
      </c>
      <c r="R1554" s="9">
        <v>206917</v>
      </c>
      <c r="S1554" s="9">
        <v>-55268</v>
      </c>
      <c r="T1554" s="10">
        <v>54405</v>
      </c>
      <c r="U1554" s="10">
        <v>1585</v>
      </c>
    </row>
    <row r="1555" spans="1:21" x14ac:dyDescent="0.35">
      <c r="A1555" t="s">
        <v>15</v>
      </c>
      <c r="B1555" t="s">
        <v>16</v>
      </c>
      <c r="C1555" t="s">
        <v>17</v>
      </c>
      <c r="D1555">
        <v>159104</v>
      </c>
      <c r="E1555">
        <v>17228</v>
      </c>
      <c r="F1555">
        <v>29394</v>
      </c>
      <c r="G1555">
        <v>-147147</v>
      </c>
      <c r="H1555">
        <v>58579</v>
      </c>
      <c r="I1555">
        <v>55433</v>
      </c>
      <c r="J1555">
        <v>705</v>
      </c>
      <c r="K1555">
        <v>448187</v>
      </c>
      <c r="L1555">
        <v>159365</v>
      </c>
      <c r="M1555">
        <v>-144564</v>
      </c>
      <c r="N1555">
        <v>122205</v>
      </c>
      <c r="O1555" t="s">
        <v>1573</v>
      </c>
      <c r="P1555" s="9">
        <v>176298</v>
      </c>
      <c r="Q1555" s="9">
        <v>24625</v>
      </c>
      <c r="R1555" s="9">
        <v>200923</v>
      </c>
      <c r="S1555" s="9">
        <v>-71537</v>
      </c>
      <c r="T1555" s="10">
        <v>84212</v>
      </c>
      <c r="U1555" s="10">
        <v>1388</v>
      </c>
    </row>
    <row r="1556" spans="1:21" x14ac:dyDescent="0.35">
      <c r="A1556" t="s">
        <v>15</v>
      </c>
      <c r="B1556" t="s">
        <v>20</v>
      </c>
      <c r="C1556" t="s">
        <v>21</v>
      </c>
      <c r="D1556">
        <v>278138</v>
      </c>
      <c r="E1556">
        <v>22309</v>
      </c>
      <c r="F1556">
        <v>46120</v>
      </c>
      <c r="G1556">
        <v>-234321</v>
      </c>
      <c r="H1556">
        <v>112246</v>
      </c>
      <c r="I1556">
        <v>112561</v>
      </c>
      <c r="J1556">
        <v>1317</v>
      </c>
      <c r="K1556">
        <v>712651</v>
      </c>
      <c r="L1556">
        <v>142486</v>
      </c>
      <c r="M1556">
        <v>-213785</v>
      </c>
      <c r="N1556">
        <v>157131</v>
      </c>
      <c r="O1556" t="s">
        <v>1574</v>
      </c>
      <c r="P1556" s="9">
        <v>178730</v>
      </c>
      <c r="Q1556" s="9">
        <v>38123</v>
      </c>
      <c r="R1556" s="9">
        <v>216853</v>
      </c>
      <c r="S1556" s="9">
        <v>-61079</v>
      </c>
      <c r="T1556" s="10">
        <v>90469</v>
      </c>
      <c r="U1556" s="10">
        <v>2541</v>
      </c>
    </row>
    <row r="1557" spans="1:21" x14ac:dyDescent="0.35">
      <c r="A1557" t="s">
        <v>15</v>
      </c>
      <c r="B1557" t="s">
        <v>16</v>
      </c>
      <c r="C1557" t="s">
        <v>21</v>
      </c>
      <c r="D1557">
        <v>262897</v>
      </c>
      <c r="E1557">
        <v>33769</v>
      </c>
      <c r="F1557">
        <v>44640</v>
      </c>
      <c r="G1557">
        <v>-249987</v>
      </c>
      <c r="H1557">
        <v>91319</v>
      </c>
      <c r="I1557">
        <v>91765</v>
      </c>
      <c r="J1557">
        <v>2358</v>
      </c>
      <c r="K1557">
        <v>753438</v>
      </c>
      <c r="L1557">
        <v>180317</v>
      </c>
      <c r="M1557">
        <v>-142478</v>
      </c>
      <c r="N1557">
        <v>107151</v>
      </c>
      <c r="O1557" t="s">
        <v>1575</v>
      </c>
      <c r="P1557" s="9">
        <v>180281</v>
      </c>
      <c r="Q1557" s="9">
        <v>15643</v>
      </c>
      <c r="R1557" s="9">
        <v>195924</v>
      </c>
      <c r="S1557" s="9">
        <v>-78111</v>
      </c>
      <c r="T1557" s="10">
        <v>81740</v>
      </c>
      <c r="U1557" s="10">
        <v>2123</v>
      </c>
    </row>
    <row r="1558" spans="1:21" x14ac:dyDescent="0.35">
      <c r="A1558" t="s">
        <v>15</v>
      </c>
      <c r="B1558" t="s">
        <v>16</v>
      </c>
      <c r="C1558" t="s">
        <v>17</v>
      </c>
      <c r="D1558">
        <v>177284</v>
      </c>
      <c r="E1558">
        <v>15430</v>
      </c>
      <c r="F1558">
        <v>21328</v>
      </c>
      <c r="G1558">
        <v>-158917</v>
      </c>
      <c r="H1558">
        <v>55125</v>
      </c>
      <c r="I1558">
        <v>55149</v>
      </c>
      <c r="J1558">
        <v>920</v>
      </c>
      <c r="K1558">
        <v>603497</v>
      </c>
      <c r="L1558">
        <v>188771</v>
      </c>
      <c r="M1558">
        <v>-111726</v>
      </c>
      <c r="N1558">
        <v>89303</v>
      </c>
      <c r="O1558" t="s">
        <v>1576</v>
      </c>
      <c r="P1558" s="9">
        <v>210518</v>
      </c>
      <c r="Q1558" s="9">
        <v>42469</v>
      </c>
      <c r="R1558" s="9">
        <v>252987</v>
      </c>
      <c r="S1558" s="9">
        <v>-95481</v>
      </c>
      <c r="T1558" s="10">
        <v>86837</v>
      </c>
      <c r="U1558" s="10">
        <v>2287</v>
      </c>
    </row>
    <row r="1559" spans="1:21" x14ac:dyDescent="0.35">
      <c r="A1559" t="s">
        <v>15</v>
      </c>
      <c r="B1559" t="s">
        <v>16</v>
      </c>
      <c r="C1559" t="s">
        <v>21</v>
      </c>
      <c r="D1559">
        <v>160911</v>
      </c>
      <c r="E1559">
        <v>27734</v>
      </c>
      <c r="F1559">
        <v>31786</v>
      </c>
      <c r="G1559">
        <v>-159947</v>
      </c>
      <c r="H1559">
        <v>60484</v>
      </c>
      <c r="I1559">
        <v>60324</v>
      </c>
      <c r="J1559">
        <v>1621</v>
      </c>
      <c r="K1559">
        <v>324787</v>
      </c>
      <c r="L1559">
        <v>54626</v>
      </c>
      <c r="M1559">
        <v>-95838</v>
      </c>
      <c r="N1559">
        <v>73638</v>
      </c>
      <c r="O1559" t="s">
        <v>1577</v>
      </c>
      <c r="P1559" s="9">
        <v>281370</v>
      </c>
      <c r="Q1559" s="9">
        <v>56012</v>
      </c>
      <c r="R1559" s="9">
        <v>337382</v>
      </c>
      <c r="S1559" s="9">
        <v>-145165</v>
      </c>
      <c r="T1559" s="10">
        <v>91377</v>
      </c>
      <c r="U1559" s="10">
        <v>1818</v>
      </c>
    </row>
    <row r="1560" spans="1:21" x14ac:dyDescent="0.35">
      <c r="A1560" t="s">
        <v>15</v>
      </c>
      <c r="B1560" t="s">
        <v>20</v>
      </c>
      <c r="C1560" t="s">
        <v>21</v>
      </c>
      <c r="D1560">
        <v>155639</v>
      </c>
      <c r="E1560">
        <v>24333</v>
      </c>
      <c r="F1560">
        <v>36066</v>
      </c>
      <c r="G1560">
        <v>-137007</v>
      </c>
      <c r="H1560">
        <v>79031</v>
      </c>
      <c r="I1560">
        <v>75327</v>
      </c>
      <c r="J1560">
        <v>882</v>
      </c>
      <c r="K1560">
        <v>465528</v>
      </c>
      <c r="L1560">
        <v>197995</v>
      </c>
      <c r="M1560">
        <v>-149415</v>
      </c>
      <c r="N1560">
        <v>105705</v>
      </c>
      <c r="O1560" t="s">
        <v>1578</v>
      </c>
      <c r="P1560" s="9">
        <v>256924</v>
      </c>
      <c r="Q1560" s="9">
        <v>39544</v>
      </c>
      <c r="R1560" s="9">
        <v>296468</v>
      </c>
      <c r="S1560" s="9">
        <v>-145770</v>
      </c>
      <c r="T1560" s="10">
        <v>92182</v>
      </c>
      <c r="U1560" s="10">
        <v>2391</v>
      </c>
    </row>
    <row r="1561" spans="1:21" x14ac:dyDescent="0.35">
      <c r="A1561" t="s">
        <v>15</v>
      </c>
      <c r="B1561" t="s">
        <v>16</v>
      </c>
      <c r="C1561" t="s">
        <v>21</v>
      </c>
      <c r="D1561">
        <v>185129</v>
      </c>
      <c r="E1561">
        <v>10639</v>
      </c>
      <c r="F1561">
        <v>32458</v>
      </c>
      <c r="G1561">
        <v>-157217</v>
      </c>
      <c r="H1561">
        <v>71009</v>
      </c>
      <c r="I1561">
        <v>66010</v>
      </c>
      <c r="J1561">
        <v>1107</v>
      </c>
      <c r="K1561">
        <v>660664</v>
      </c>
      <c r="L1561">
        <v>222413</v>
      </c>
      <c r="M1561">
        <v>-77387</v>
      </c>
      <c r="N1561">
        <v>93123</v>
      </c>
      <c r="O1561" t="s">
        <v>1579</v>
      </c>
      <c r="P1561" s="9">
        <v>207039</v>
      </c>
      <c r="Q1561" s="9">
        <v>35812</v>
      </c>
      <c r="R1561" s="9">
        <v>242851</v>
      </c>
      <c r="S1561" s="9">
        <v>-118206</v>
      </c>
      <c r="T1561" s="10">
        <v>94071</v>
      </c>
      <c r="U1561" s="10">
        <v>2247</v>
      </c>
    </row>
    <row r="1562" spans="1:21" x14ac:dyDescent="0.35">
      <c r="A1562" t="s">
        <v>15</v>
      </c>
      <c r="B1562" t="s">
        <v>16</v>
      </c>
      <c r="C1562" t="s">
        <v>21</v>
      </c>
      <c r="D1562">
        <v>230232</v>
      </c>
      <c r="E1562">
        <v>23090</v>
      </c>
      <c r="F1562">
        <v>50654</v>
      </c>
      <c r="G1562">
        <v>-199559</v>
      </c>
      <c r="H1562">
        <v>104417</v>
      </c>
      <c r="I1562">
        <v>102980</v>
      </c>
      <c r="J1562">
        <v>3054</v>
      </c>
      <c r="K1562">
        <v>780862</v>
      </c>
      <c r="L1562">
        <v>256976</v>
      </c>
      <c r="M1562">
        <v>-242015</v>
      </c>
      <c r="N1562">
        <v>129450</v>
      </c>
      <c r="O1562" t="s">
        <v>1580</v>
      </c>
      <c r="P1562" s="9">
        <v>259785</v>
      </c>
      <c r="Q1562" s="9">
        <v>49015</v>
      </c>
      <c r="R1562" s="9">
        <v>308800</v>
      </c>
      <c r="S1562" s="9">
        <v>-168536</v>
      </c>
      <c r="T1562" s="10">
        <v>120981</v>
      </c>
      <c r="U1562" s="10">
        <v>3487</v>
      </c>
    </row>
    <row r="1563" spans="1:21" x14ac:dyDescent="0.35">
      <c r="A1563" t="s">
        <v>15</v>
      </c>
      <c r="B1563" t="s">
        <v>16</v>
      </c>
      <c r="C1563" t="s">
        <v>21</v>
      </c>
      <c r="D1563">
        <v>239436</v>
      </c>
      <c r="E1563">
        <v>26710</v>
      </c>
      <c r="F1563">
        <v>24024</v>
      </c>
      <c r="G1563">
        <v>-230692</v>
      </c>
      <c r="H1563">
        <v>59478</v>
      </c>
      <c r="I1563">
        <v>56239</v>
      </c>
      <c r="J1563">
        <v>1523</v>
      </c>
      <c r="K1563">
        <v>738723</v>
      </c>
      <c r="L1563">
        <v>323599</v>
      </c>
      <c r="M1563">
        <v>-272661</v>
      </c>
      <c r="N1563">
        <v>83610</v>
      </c>
      <c r="O1563" t="s">
        <v>1581</v>
      </c>
      <c r="P1563" s="9">
        <v>321391</v>
      </c>
      <c r="Q1563" s="9">
        <v>26581</v>
      </c>
      <c r="R1563" s="9">
        <v>347972</v>
      </c>
      <c r="S1563" s="9">
        <v>-106054</v>
      </c>
      <c r="T1563" s="10">
        <v>83586</v>
      </c>
      <c r="U1563" s="10">
        <v>2294</v>
      </c>
    </row>
    <row r="1564" spans="1:21" x14ac:dyDescent="0.35">
      <c r="A1564" t="s">
        <v>15</v>
      </c>
      <c r="B1564" t="s">
        <v>16</v>
      </c>
      <c r="C1564" t="s">
        <v>21</v>
      </c>
      <c r="D1564">
        <v>290759</v>
      </c>
      <c r="E1564">
        <v>31475</v>
      </c>
      <c r="F1564">
        <v>57645</v>
      </c>
      <c r="G1564">
        <v>-270922</v>
      </c>
      <c r="H1564">
        <v>108957</v>
      </c>
      <c r="I1564">
        <v>106393</v>
      </c>
      <c r="J1564">
        <v>2896</v>
      </c>
      <c r="K1564">
        <v>844406</v>
      </c>
      <c r="L1564">
        <v>274115</v>
      </c>
      <c r="M1564">
        <v>-100299</v>
      </c>
      <c r="N1564">
        <v>211105</v>
      </c>
      <c r="O1564" t="s">
        <v>1582</v>
      </c>
      <c r="P1564" s="9">
        <v>170523</v>
      </c>
      <c r="Q1564" s="9">
        <v>22246</v>
      </c>
      <c r="R1564" s="9">
        <v>192769</v>
      </c>
      <c r="S1564" s="9">
        <v>-113244</v>
      </c>
      <c r="T1564" s="10">
        <v>67498</v>
      </c>
      <c r="U1564" s="10">
        <v>1148</v>
      </c>
    </row>
    <row r="1565" spans="1:21" x14ac:dyDescent="0.35">
      <c r="A1565" t="s">
        <v>15</v>
      </c>
      <c r="B1565" t="s">
        <v>20</v>
      </c>
      <c r="C1565" t="s">
        <v>17</v>
      </c>
      <c r="D1565">
        <v>250841</v>
      </c>
      <c r="E1565">
        <v>17273</v>
      </c>
      <c r="F1565">
        <v>36793</v>
      </c>
      <c r="G1565">
        <v>-220473</v>
      </c>
      <c r="H1565">
        <v>84434</v>
      </c>
      <c r="I1565">
        <v>77216</v>
      </c>
      <c r="J1565">
        <v>809</v>
      </c>
      <c r="K1565">
        <v>645006</v>
      </c>
      <c r="L1565">
        <v>73196</v>
      </c>
      <c r="M1565">
        <v>-182642</v>
      </c>
      <c r="N1565">
        <v>193428</v>
      </c>
      <c r="O1565" t="s">
        <v>1583</v>
      </c>
      <c r="P1565" s="9">
        <v>189302</v>
      </c>
      <c r="Q1565" s="9">
        <v>29693</v>
      </c>
      <c r="R1565" s="9">
        <v>218995</v>
      </c>
      <c r="S1565" s="9">
        <v>-80286</v>
      </c>
      <c r="T1565" s="10">
        <v>82430</v>
      </c>
      <c r="U1565" s="10">
        <v>2152</v>
      </c>
    </row>
    <row r="1566" spans="1:21" x14ac:dyDescent="0.35">
      <c r="A1566" t="s">
        <v>15</v>
      </c>
      <c r="B1566" t="s">
        <v>20</v>
      </c>
      <c r="C1566" t="s">
        <v>21</v>
      </c>
      <c r="D1566">
        <v>279930</v>
      </c>
      <c r="E1566">
        <v>47296</v>
      </c>
      <c r="F1566">
        <v>38391</v>
      </c>
      <c r="G1566">
        <v>-238183</v>
      </c>
      <c r="H1566">
        <v>127434</v>
      </c>
      <c r="I1566">
        <v>127417</v>
      </c>
      <c r="J1566">
        <v>1846</v>
      </c>
      <c r="K1566">
        <v>647595</v>
      </c>
      <c r="L1566">
        <v>235175</v>
      </c>
      <c r="M1566">
        <v>-220920</v>
      </c>
      <c r="N1566">
        <v>245038</v>
      </c>
      <c r="O1566" t="s">
        <v>1584</v>
      </c>
      <c r="P1566" s="9">
        <v>181330</v>
      </c>
      <c r="Q1566" s="9">
        <v>36652</v>
      </c>
      <c r="R1566" s="9">
        <v>217982</v>
      </c>
      <c r="S1566" s="9">
        <v>-125533</v>
      </c>
      <c r="T1566" s="10">
        <v>75091</v>
      </c>
      <c r="U1566" s="10">
        <v>1211</v>
      </c>
    </row>
    <row r="1567" spans="1:21" x14ac:dyDescent="0.35">
      <c r="A1567" t="s">
        <v>15</v>
      </c>
      <c r="B1567" t="s">
        <v>16</v>
      </c>
      <c r="C1567" t="s">
        <v>21</v>
      </c>
      <c r="D1567">
        <v>223104</v>
      </c>
      <c r="E1567">
        <v>25343</v>
      </c>
      <c r="F1567">
        <v>27805</v>
      </c>
      <c r="G1567">
        <v>-202807</v>
      </c>
      <c r="H1567">
        <v>73445</v>
      </c>
      <c r="I1567">
        <v>69507</v>
      </c>
      <c r="J1567">
        <v>1053</v>
      </c>
      <c r="K1567">
        <v>679035</v>
      </c>
      <c r="L1567">
        <v>77052</v>
      </c>
      <c r="M1567">
        <v>-79876</v>
      </c>
      <c r="N1567">
        <v>81261</v>
      </c>
      <c r="O1567" t="s">
        <v>1585</v>
      </c>
      <c r="P1567" s="9">
        <v>218547</v>
      </c>
      <c r="Q1567" s="9">
        <v>39508</v>
      </c>
      <c r="R1567" s="9">
        <v>258055</v>
      </c>
      <c r="S1567" s="9">
        <v>-104681</v>
      </c>
      <c r="T1567" s="10">
        <v>71222</v>
      </c>
      <c r="U1567" s="10">
        <v>2096</v>
      </c>
    </row>
    <row r="1568" spans="1:21" x14ac:dyDescent="0.35">
      <c r="A1568" t="s">
        <v>15</v>
      </c>
      <c r="B1568" t="s">
        <v>16</v>
      </c>
      <c r="C1568" t="s">
        <v>21</v>
      </c>
      <c r="D1568">
        <v>205534</v>
      </c>
      <c r="E1568">
        <v>30838</v>
      </c>
      <c r="F1568">
        <v>25288</v>
      </c>
      <c r="G1568">
        <v>-204592</v>
      </c>
      <c r="H1568">
        <v>57068</v>
      </c>
      <c r="I1568">
        <v>52541</v>
      </c>
      <c r="J1568">
        <v>1428</v>
      </c>
      <c r="K1568">
        <v>470000</v>
      </c>
      <c r="L1568">
        <v>215723</v>
      </c>
      <c r="M1568">
        <v>-62754</v>
      </c>
      <c r="N1568">
        <v>178973</v>
      </c>
      <c r="O1568" t="s">
        <v>1586</v>
      </c>
      <c r="P1568" s="9">
        <v>188479</v>
      </c>
      <c r="Q1568" s="9">
        <v>29194</v>
      </c>
      <c r="R1568" s="9">
        <v>217673</v>
      </c>
      <c r="S1568" s="9">
        <v>-91806</v>
      </c>
      <c r="T1568" s="10">
        <v>108322</v>
      </c>
      <c r="U1568" s="10">
        <v>2104</v>
      </c>
    </row>
    <row r="1569" spans="1:21" x14ac:dyDescent="0.35">
      <c r="A1569" t="s">
        <v>15</v>
      </c>
      <c r="B1569" t="s">
        <v>16</v>
      </c>
      <c r="C1569" t="s">
        <v>21</v>
      </c>
      <c r="D1569">
        <v>257376</v>
      </c>
      <c r="E1569">
        <v>50406</v>
      </c>
      <c r="F1569">
        <v>59603</v>
      </c>
      <c r="G1569">
        <v>-225848</v>
      </c>
      <c r="H1569">
        <v>141537</v>
      </c>
      <c r="I1569">
        <v>146467</v>
      </c>
      <c r="J1569">
        <v>3053</v>
      </c>
      <c r="K1569">
        <v>935898</v>
      </c>
      <c r="L1569">
        <v>211177</v>
      </c>
      <c r="M1569">
        <v>-253367</v>
      </c>
      <c r="N1569">
        <v>231370</v>
      </c>
      <c r="O1569" t="s">
        <v>1587</v>
      </c>
      <c r="P1569" s="9">
        <v>221540</v>
      </c>
      <c r="Q1569" s="9">
        <v>36292</v>
      </c>
      <c r="R1569" s="9">
        <v>257832</v>
      </c>
      <c r="S1569" s="9">
        <v>-66654</v>
      </c>
      <c r="T1569" s="10">
        <v>94673</v>
      </c>
      <c r="U1569" s="10">
        <v>2803</v>
      </c>
    </row>
    <row r="1570" spans="1:21" x14ac:dyDescent="0.35">
      <c r="A1570" t="s">
        <v>15</v>
      </c>
      <c r="B1570" t="s">
        <v>16</v>
      </c>
      <c r="C1570" t="s">
        <v>21</v>
      </c>
      <c r="D1570">
        <v>150059</v>
      </c>
      <c r="E1570">
        <v>27410</v>
      </c>
      <c r="F1570">
        <v>26435</v>
      </c>
      <c r="G1570">
        <v>-125792</v>
      </c>
      <c r="H1570">
        <v>78112</v>
      </c>
      <c r="I1570">
        <v>81203</v>
      </c>
      <c r="J1570">
        <v>1349</v>
      </c>
      <c r="K1570">
        <v>551590</v>
      </c>
      <c r="L1570">
        <v>226412</v>
      </c>
      <c r="M1570">
        <v>-126820</v>
      </c>
      <c r="N1570">
        <v>46848</v>
      </c>
      <c r="O1570" t="s">
        <v>1588</v>
      </c>
      <c r="P1570" s="9">
        <v>190981</v>
      </c>
      <c r="Q1570" s="9">
        <v>16097</v>
      </c>
      <c r="R1570" s="9">
        <v>207078</v>
      </c>
      <c r="S1570" s="9">
        <v>-63980</v>
      </c>
      <c r="T1570" s="10">
        <v>66874</v>
      </c>
      <c r="U1570" s="10">
        <v>904</v>
      </c>
    </row>
    <row r="1571" spans="1:21" x14ac:dyDescent="0.35">
      <c r="A1571" t="s">
        <v>15</v>
      </c>
      <c r="B1571" t="s">
        <v>16</v>
      </c>
      <c r="C1571" t="s">
        <v>21</v>
      </c>
      <c r="D1571">
        <v>200463</v>
      </c>
      <c r="E1571">
        <v>25467</v>
      </c>
      <c r="F1571">
        <v>37408</v>
      </c>
      <c r="G1571">
        <v>-175719</v>
      </c>
      <c r="H1571">
        <v>87619</v>
      </c>
      <c r="I1571">
        <v>87155</v>
      </c>
      <c r="J1571">
        <v>2124</v>
      </c>
      <c r="K1571">
        <v>551766</v>
      </c>
      <c r="L1571">
        <v>275053</v>
      </c>
      <c r="M1571">
        <v>-201221</v>
      </c>
      <c r="N1571">
        <v>143854</v>
      </c>
      <c r="O1571" t="s">
        <v>1589</v>
      </c>
      <c r="P1571" s="9">
        <v>280713</v>
      </c>
      <c r="Q1571" s="9">
        <v>45932</v>
      </c>
      <c r="R1571" s="9">
        <v>326645</v>
      </c>
      <c r="S1571" s="9">
        <v>-119739</v>
      </c>
      <c r="T1571" s="10">
        <v>122947</v>
      </c>
      <c r="U1571" s="10">
        <v>2168</v>
      </c>
    </row>
    <row r="1572" spans="1:21" x14ac:dyDescent="0.35">
      <c r="A1572" t="s">
        <v>15</v>
      </c>
      <c r="B1572" t="s">
        <v>16</v>
      </c>
      <c r="C1572" t="s">
        <v>21</v>
      </c>
      <c r="D1572">
        <v>166739</v>
      </c>
      <c r="E1572">
        <v>18325</v>
      </c>
      <c r="F1572">
        <v>35637</v>
      </c>
      <c r="G1572">
        <v>-156063</v>
      </c>
      <c r="H1572">
        <v>64638</v>
      </c>
      <c r="I1572">
        <v>65349</v>
      </c>
      <c r="J1572">
        <v>847</v>
      </c>
      <c r="K1572">
        <v>551914</v>
      </c>
      <c r="L1572">
        <v>269834</v>
      </c>
      <c r="M1572">
        <v>-77101</v>
      </c>
      <c r="N1572">
        <v>123786</v>
      </c>
      <c r="O1572" t="s">
        <v>1590</v>
      </c>
      <c r="P1572" s="9">
        <v>156517</v>
      </c>
      <c r="Q1572" s="9">
        <v>16249</v>
      </c>
      <c r="R1572" s="9">
        <v>172766</v>
      </c>
      <c r="S1572" s="9">
        <v>-58682</v>
      </c>
      <c r="T1572" s="10">
        <v>76049</v>
      </c>
      <c r="U1572" s="10">
        <v>1324</v>
      </c>
    </row>
    <row r="1573" spans="1:21" x14ac:dyDescent="0.35">
      <c r="A1573" t="s">
        <v>15</v>
      </c>
      <c r="B1573" t="s">
        <v>16</v>
      </c>
      <c r="C1573" t="s">
        <v>21</v>
      </c>
      <c r="D1573">
        <v>201633</v>
      </c>
      <c r="E1573">
        <v>28664</v>
      </c>
      <c r="F1573">
        <v>49535</v>
      </c>
      <c r="G1573">
        <v>-200709</v>
      </c>
      <c r="H1573">
        <v>79123</v>
      </c>
      <c r="I1573">
        <v>74419</v>
      </c>
      <c r="J1573">
        <v>1454</v>
      </c>
      <c r="K1573">
        <v>783901</v>
      </c>
      <c r="L1573">
        <v>195512</v>
      </c>
      <c r="M1573">
        <v>-149066</v>
      </c>
      <c r="N1573">
        <v>100344</v>
      </c>
      <c r="O1573" t="s">
        <v>1591</v>
      </c>
      <c r="P1573" s="9">
        <v>247984</v>
      </c>
      <c r="Q1573" s="9">
        <v>47638</v>
      </c>
      <c r="R1573" s="9">
        <v>295622</v>
      </c>
      <c r="S1573" s="9">
        <v>-83090</v>
      </c>
      <c r="T1573" s="10">
        <v>136541</v>
      </c>
      <c r="U1573" s="10">
        <v>2631</v>
      </c>
    </row>
    <row r="1574" spans="1:21" x14ac:dyDescent="0.35">
      <c r="A1574" t="s">
        <v>15</v>
      </c>
      <c r="B1574" t="s">
        <v>20</v>
      </c>
      <c r="C1574" t="s">
        <v>17</v>
      </c>
      <c r="D1574">
        <v>214784</v>
      </c>
      <c r="E1574">
        <v>19757</v>
      </c>
      <c r="F1574">
        <v>35713</v>
      </c>
      <c r="G1574">
        <v>-205649</v>
      </c>
      <c r="H1574">
        <v>64605</v>
      </c>
      <c r="I1574">
        <v>60774</v>
      </c>
      <c r="J1574">
        <v>1054</v>
      </c>
      <c r="K1574">
        <v>738113</v>
      </c>
      <c r="L1574">
        <v>255970</v>
      </c>
      <c r="M1574">
        <v>-261303</v>
      </c>
      <c r="N1574">
        <v>167422</v>
      </c>
      <c r="O1574" t="s">
        <v>1592</v>
      </c>
      <c r="P1574" s="9">
        <v>295764</v>
      </c>
      <c r="Q1574" s="9">
        <v>33400</v>
      </c>
      <c r="R1574" s="9">
        <v>329164</v>
      </c>
      <c r="S1574" s="9">
        <v>-164641</v>
      </c>
      <c r="T1574" s="10">
        <v>99164</v>
      </c>
      <c r="U1574" s="10">
        <v>2078</v>
      </c>
    </row>
    <row r="1575" spans="1:21" x14ac:dyDescent="0.35">
      <c r="A1575" t="s">
        <v>15</v>
      </c>
      <c r="B1575" t="s">
        <v>16</v>
      </c>
      <c r="C1575" t="s">
        <v>17</v>
      </c>
      <c r="D1575">
        <v>249956</v>
      </c>
      <c r="E1575">
        <v>22421</v>
      </c>
      <c r="F1575">
        <v>42415</v>
      </c>
      <c r="G1575">
        <v>-225927</v>
      </c>
      <c r="H1575">
        <v>88865</v>
      </c>
      <c r="I1575">
        <v>89872</v>
      </c>
      <c r="J1575">
        <v>1127</v>
      </c>
      <c r="K1575">
        <v>687791</v>
      </c>
      <c r="L1575">
        <v>213931</v>
      </c>
      <c r="M1575">
        <v>-238215</v>
      </c>
      <c r="N1575">
        <v>129842</v>
      </c>
      <c r="O1575" t="s">
        <v>1593</v>
      </c>
      <c r="P1575" s="9">
        <v>252490</v>
      </c>
      <c r="Q1575" s="9">
        <v>32280</v>
      </c>
      <c r="R1575" s="9">
        <v>284770</v>
      </c>
      <c r="S1575" s="9">
        <v>-95193</v>
      </c>
      <c r="T1575" s="10">
        <v>81886</v>
      </c>
      <c r="U1575" s="10">
        <v>1611</v>
      </c>
    </row>
    <row r="1576" spans="1:21" x14ac:dyDescent="0.35">
      <c r="A1576" t="s">
        <v>15</v>
      </c>
      <c r="B1576" t="s">
        <v>16</v>
      </c>
      <c r="C1576" t="s">
        <v>21</v>
      </c>
      <c r="D1576">
        <v>257331</v>
      </c>
      <c r="E1576">
        <v>35507</v>
      </c>
      <c r="F1576">
        <v>47917</v>
      </c>
      <c r="G1576">
        <v>-222811</v>
      </c>
      <c r="H1576">
        <v>117944</v>
      </c>
      <c r="I1576">
        <v>106221</v>
      </c>
      <c r="J1576">
        <v>1501</v>
      </c>
      <c r="K1576">
        <v>930181</v>
      </c>
      <c r="L1576">
        <v>132015</v>
      </c>
      <c r="M1576">
        <v>-250611</v>
      </c>
      <c r="N1576">
        <v>205868</v>
      </c>
      <c r="O1576" t="s">
        <v>1594</v>
      </c>
      <c r="P1576" s="9">
        <v>235367</v>
      </c>
      <c r="Q1576" s="9">
        <v>17856</v>
      </c>
      <c r="R1576" s="9">
        <v>253223</v>
      </c>
      <c r="S1576" s="9">
        <v>-66491</v>
      </c>
      <c r="T1576" s="10">
        <v>85847</v>
      </c>
      <c r="U1576" s="10">
        <v>2011</v>
      </c>
    </row>
    <row r="1577" spans="1:21" x14ac:dyDescent="0.35">
      <c r="A1577" t="s">
        <v>15</v>
      </c>
      <c r="B1577" t="s">
        <v>20</v>
      </c>
      <c r="C1577" t="s">
        <v>21</v>
      </c>
      <c r="D1577">
        <v>182045</v>
      </c>
      <c r="E1577">
        <v>36150</v>
      </c>
      <c r="F1577">
        <v>31650</v>
      </c>
      <c r="G1577">
        <v>-156783</v>
      </c>
      <c r="H1577">
        <v>93062</v>
      </c>
      <c r="I1577">
        <v>85692</v>
      </c>
      <c r="J1577">
        <v>937</v>
      </c>
      <c r="K1577">
        <v>389770</v>
      </c>
      <c r="L1577">
        <v>140006</v>
      </c>
      <c r="M1577">
        <v>-50176</v>
      </c>
      <c r="N1577">
        <v>120972</v>
      </c>
      <c r="O1577" t="s">
        <v>1595</v>
      </c>
      <c r="P1577" s="9">
        <v>265083</v>
      </c>
      <c r="Q1577" s="9">
        <v>40892</v>
      </c>
      <c r="R1577" s="9">
        <v>305975</v>
      </c>
      <c r="S1577" s="9">
        <v>-148231</v>
      </c>
      <c r="T1577" s="10">
        <v>101861</v>
      </c>
      <c r="U1577" s="10">
        <v>1285</v>
      </c>
    </row>
    <row r="1578" spans="1:21" x14ac:dyDescent="0.35">
      <c r="A1578" t="s">
        <v>15</v>
      </c>
      <c r="B1578" t="s">
        <v>20</v>
      </c>
      <c r="C1578" t="s">
        <v>17</v>
      </c>
      <c r="D1578">
        <v>226779</v>
      </c>
      <c r="E1578">
        <v>42698</v>
      </c>
      <c r="F1578">
        <v>39710</v>
      </c>
      <c r="G1578">
        <v>-200232</v>
      </c>
      <c r="H1578">
        <v>108955</v>
      </c>
      <c r="I1578">
        <v>102621</v>
      </c>
      <c r="J1578">
        <v>2791</v>
      </c>
      <c r="K1578">
        <v>902178</v>
      </c>
      <c r="L1578">
        <v>259985</v>
      </c>
      <c r="M1578">
        <v>-331582</v>
      </c>
      <c r="N1578">
        <v>155566</v>
      </c>
      <c r="O1578" t="s">
        <v>1596</v>
      </c>
      <c r="P1578" s="9">
        <v>168885</v>
      </c>
      <c r="Q1578" s="9">
        <v>24726</v>
      </c>
      <c r="R1578" s="9">
        <v>193611</v>
      </c>
      <c r="S1578" s="9">
        <v>-110832</v>
      </c>
      <c r="T1578" s="10">
        <v>64721</v>
      </c>
      <c r="U1578" s="10">
        <v>1362</v>
      </c>
    </row>
    <row r="1579" spans="1:21" x14ac:dyDescent="0.35">
      <c r="A1579" t="s">
        <v>15</v>
      </c>
      <c r="B1579" t="s">
        <v>20</v>
      </c>
      <c r="C1579" t="s">
        <v>21</v>
      </c>
      <c r="D1579">
        <v>216271</v>
      </c>
      <c r="E1579">
        <v>42444</v>
      </c>
      <c r="F1579">
        <v>35024</v>
      </c>
      <c r="G1579">
        <v>-193561</v>
      </c>
      <c r="H1579">
        <v>100178</v>
      </c>
      <c r="I1579">
        <v>99452</v>
      </c>
      <c r="J1579">
        <v>2948</v>
      </c>
      <c r="K1579">
        <v>457324</v>
      </c>
      <c r="L1579">
        <v>136321</v>
      </c>
      <c r="M1579">
        <v>-156663</v>
      </c>
      <c r="N1579">
        <v>111070</v>
      </c>
      <c r="O1579" t="s">
        <v>1597</v>
      </c>
      <c r="P1579" s="9">
        <v>209008</v>
      </c>
      <c r="Q1579" s="9">
        <v>28615</v>
      </c>
      <c r="R1579" s="9">
        <v>237623</v>
      </c>
      <c r="S1579" s="9">
        <v>-100497</v>
      </c>
      <c r="T1579" s="10">
        <v>100254</v>
      </c>
      <c r="U1579" s="10">
        <v>1689</v>
      </c>
    </row>
    <row r="1580" spans="1:21" x14ac:dyDescent="0.35">
      <c r="A1580" t="s">
        <v>15</v>
      </c>
      <c r="B1580" t="s">
        <v>16</v>
      </c>
      <c r="C1580" t="s">
        <v>21</v>
      </c>
      <c r="D1580">
        <v>225214</v>
      </c>
      <c r="E1580">
        <v>24421</v>
      </c>
      <c r="F1580">
        <v>36960</v>
      </c>
      <c r="G1580">
        <v>-181743</v>
      </c>
      <c r="H1580">
        <v>104852</v>
      </c>
      <c r="I1580">
        <v>103796</v>
      </c>
      <c r="J1580">
        <v>1336</v>
      </c>
      <c r="K1580">
        <v>647738</v>
      </c>
      <c r="L1580">
        <v>134360</v>
      </c>
      <c r="M1580">
        <v>-221188</v>
      </c>
      <c r="N1580">
        <v>70567</v>
      </c>
      <c r="O1580" t="s">
        <v>1598</v>
      </c>
      <c r="P1580" s="9">
        <v>278556</v>
      </c>
      <c r="Q1580" s="9">
        <v>44759</v>
      </c>
      <c r="R1580" s="9">
        <v>323315</v>
      </c>
      <c r="S1580" s="9">
        <v>-135840</v>
      </c>
      <c r="T1580" s="10">
        <v>134572</v>
      </c>
      <c r="U1580" s="10">
        <v>3906</v>
      </c>
    </row>
    <row r="1581" spans="1:21" x14ac:dyDescent="0.35">
      <c r="A1581" t="s">
        <v>15</v>
      </c>
      <c r="B1581" t="s">
        <v>20</v>
      </c>
      <c r="C1581" t="s">
        <v>17</v>
      </c>
      <c r="D1581">
        <v>178504</v>
      </c>
      <c r="E1581">
        <v>23534</v>
      </c>
      <c r="F1581">
        <v>33271</v>
      </c>
      <c r="G1581">
        <v>-173481</v>
      </c>
      <c r="H1581">
        <v>61828</v>
      </c>
      <c r="I1581">
        <v>61412</v>
      </c>
      <c r="J1581">
        <v>992</v>
      </c>
      <c r="K1581">
        <v>414935</v>
      </c>
      <c r="L1581">
        <v>178220</v>
      </c>
      <c r="M1581">
        <v>-75873</v>
      </c>
      <c r="N1581">
        <v>56475</v>
      </c>
      <c r="O1581" t="s">
        <v>1599</v>
      </c>
      <c r="P1581" s="9">
        <v>180919</v>
      </c>
      <c r="Q1581" s="9">
        <v>29506</v>
      </c>
      <c r="R1581" s="9">
        <v>210425</v>
      </c>
      <c r="S1581" s="9">
        <v>-102745</v>
      </c>
      <c r="T1581" s="10">
        <v>69256</v>
      </c>
      <c r="U1581" s="10">
        <v>1131</v>
      </c>
    </row>
    <row r="1582" spans="1:21" x14ac:dyDescent="0.35">
      <c r="A1582" t="s">
        <v>15</v>
      </c>
      <c r="B1582" t="s">
        <v>16</v>
      </c>
      <c r="C1582" t="s">
        <v>21</v>
      </c>
      <c r="D1582">
        <v>241110</v>
      </c>
      <c r="E1582">
        <v>36430</v>
      </c>
      <c r="F1582">
        <v>44908</v>
      </c>
      <c r="G1582">
        <v>-233914</v>
      </c>
      <c r="H1582">
        <v>88534</v>
      </c>
      <c r="I1582">
        <v>90964</v>
      </c>
      <c r="J1582">
        <v>2117</v>
      </c>
      <c r="K1582">
        <v>828637</v>
      </c>
      <c r="L1582">
        <v>408034</v>
      </c>
      <c r="M1582">
        <v>-175895</v>
      </c>
      <c r="N1582">
        <v>168513</v>
      </c>
      <c r="O1582" t="s">
        <v>1600</v>
      </c>
      <c r="P1582" s="9">
        <v>200769</v>
      </c>
      <c r="Q1582" s="9">
        <v>24182</v>
      </c>
      <c r="R1582" s="9">
        <v>224951</v>
      </c>
      <c r="S1582" s="9">
        <v>-100167</v>
      </c>
      <c r="T1582" s="10">
        <v>86210</v>
      </c>
      <c r="U1582" s="10">
        <v>2240</v>
      </c>
    </row>
    <row r="1583" spans="1:21" x14ac:dyDescent="0.35">
      <c r="A1583" t="s">
        <v>15</v>
      </c>
      <c r="B1583" t="s">
        <v>20</v>
      </c>
      <c r="C1583" t="s">
        <v>21</v>
      </c>
      <c r="D1583">
        <v>192380</v>
      </c>
      <c r="E1583">
        <v>23778</v>
      </c>
      <c r="F1583">
        <v>20008</v>
      </c>
      <c r="G1583">
        <v>-163607</v>
      </c>
      <c r="H1583">
        <v>72559</v>
      </c>
      <c r="I1583">
        <v>70344</v>
      </c>
      <c r="J1583">
        <v>1137</v>
      </c>
      <c r="K1583">
        <v>482097</v>
      </c>
      <c r="L1583">
        <v>52559</v>
      </c>
      <c r="M1583">
        <v>-169234</v>
      </c>
      <c r="N1583">
        <v>61069</v>
      </c>
      <c r="O1583" t="s">
        <v>1601</v>
      </c>
      <c r="P1583" s="9">
        <v>191829</v>
      </c>
      <c r="Q1583" s="9">
        <v>11939</v>
      </c>
      <c r="R1583" s="9">
        <v>203768</v>
      </c>
      <c r="S1583" s="9">
        <v>-105535</v>
      </c>
      <c r="T1583" s="10">
        <v>80853</v>
      </c>
      <c r="U1583" s="10">
        <v>1897</v>
      </c>
    </row>
    <row r="1584" spans="1:21" x14ac:dyDescent="0.35">
      <c r="A1584" t="s">
        <v>15</v>
      </c>
      <c r="B1584" t="s">
        <v>16</v>
      </c>
      <c r="C1584" t="s">
        <v>21</v>
      </c>
      <c r="D1584">
        <v>269961</v>
      </c>
      <c r="E1584">
        <v>33579</v>
      </c>
      <c r="F1584">
        <v>36316</v>
      </c>
      <c r="G1584">
        <v>-225499</v>
      </c>
      <c r="H1584">
        <v>114357</v>
      </c>
      <c r="I1584">
        <v>109864</v>
      </c>
      <c r="J1584">
        <v>3292</v>
      </c>
      <c r="K1584">
        <v>689388</v>
      </c>
      <c r="L1584">
        <v>153455</v>
      </c>
      <c r="M1584">
        <v>-229427</v>
      </c>
      <c r="N1584">
        <v>102516</v>
      </c>
      <c r="O1584" t="s">
        <v>1602</v>
      </c>
      <c r="P1584" s="9">
        <v>257337</v>
      </c>
      <c r="Q1584" s="9">
        <v>45740</v>
      </c>
      <c r="R1584" s="9">
        <v>303077</v>
      </c>
      <c r="S1584" s="9">
        <v>-76659</v>
      </c>
      <c r="T1584" s="10">
        <v>123270</v>
      </c>
      <c r="U1584" s="10">
        <v>1994</v>
      </c>
    </row>
    <row r="1585" spans="1:21" x14ac:dyDescent="0.35">
      <c r="A1585" t="s">
        <v>15</v>
      </c>
      <c r="B1585" t="s">
        <v>20</v>
      </c>
      <c r="C1585" t="s">
        <v>21</v>
      </c>
      <c r="D1585">
        <v>178974</v>
      </c>
      <c r="E1585">
        <v>10769</v>
      </c>
      <c r="F1585">
        <v>38412</v>
      </c>
      <c r="G1585">
        <v>-163970</v>
      </c>
      <c r="H1585">
        <v>64185</v>
      </c>
      <c r="I1585">
        <v>64168</v>
      </c>
      <c r="J1585">
        <v>1020</v>
      </c>
      <c r="K1585">
        <v>513770</v>
      </c>
      <c r="L1585">
        <v>122109</v>
      </c>
      <c r="M1585">
        <v>-76462</v>
      </c>
      <c r="N1585">
        <v>147723</v>
      </c>
      <c r="O1585" t="s">
        <v>1603</v>
      </c>
      <c r="P1585" s="9">
        <v>263318</v>
      </c>
      <c r="Q1585" s="9">
        <v>39412</v>
      </c>
      <c r="R1585" s="9">
        <v>302730</v>
      </c>
      <c r="S1585" s="9">
        <v>-125003</v>
      </c>
      <c r="T1585" s="10">
        <v>97968</v>
      </c>
      <c r="U1585" s="10">
        <v>2382</v>
      </c>
    </row>
    <row r="1586" spans="1:21" x14ac:dyDescent="0.35">
      <c r="A1586" t="s">
        <v>15</v>
      </c>
      <c r="B1586" t="s">
        <v>20</v>
      </c>
      <c r="C1586" t="s">
        <v>17</v>
      </c>
      <c r="D1586">
        <v>273704</v>
      </c>
      <c r="E1586">
        <v>29348</v>
      </c>
      <c r="F1586">
        <v>48393</v>
      </c>
      <c r="G1586">
        <v>-265012</v>
      </c>
      <c r="H1586">
        <v>86433</v>
      </c>
      <c r="I1586">
        <v>86707</v>
      </c>
      <c r="J1586">
        <v>2097</v>
      </c>
      <c r="K1586">
        <v>1069384</v>
      </c>
      <c r="L1586">
        <v>425252</v>
      </c>
      <c r="M1586">
        <v>-346483</v>
      </c>
      <c r="N1586">
        <v>143875</v>
      </c>
      <c r="O1586" t="s">
        <v>1604</v>
      </c>
      <c r="P1586" s="9">
        <v>271786</v>
      </c>
      <c r="Q1586" s="9">
        <v>20728</v>
      </c>
      <c r="R1586" s="9">
        <v>292514</v>
      </c>
      <c r="S1586" s="9">
        <v>-157356</v>
      </c>
      <c r="T1586" s="10">
        <v>70315</v>
      </c>
      <c r="U1586" s="10">
        <v>1806</v>
      </c>
    </row>
    <row r="1587" spans="1:21" x14ac:dyDescent="0.35">
      <c r="A1587" t="s">
        <v>15</v>
      </c>
      <c r="B1587" t="s">
        <v>16</v>
      </c>
      <c r="C1587" t="s">
        <v>17</v>
      </c>
      <c r="D1587">
        <v>232232</v>
      </c>
      <c r="E1587">
        <v>17077</v>
      </c>
      <c r="F1587">
        <v>51667</v>
      </c>
      <c r="G1587">
        <v>-212746</v>
      </c>
      <c r="H1587">
        <v>88230</v>
      </c>
      <c r="I1587">
        <v>80774</v>
      </c>
      <c r="J1587">
        <v>937</v>
      </c>
      <c r="K1587">
        <v>775548</v>
      </c>
      <c r="L1587">
        <v>186128</v>
      </c>
      <c r="M1587">
        <v>-127091</v>
      </c>
      <c r="N1587">
        <v>129148</v>
      </c>
      <c r="O1587" t="s">
        <v>1605</v>
      </c>
      <c r="P1587" s="9">
        <v>276369</v>
      </c>
      <c r="Q1587" s="9">
        <v>27712</v>
      </c>
      <c r="R1587" s="9">
        <v>304081</v>
      </c>
      <c r="S1587" s="9">
        <v>-135152</v>
      </c>
      <c r="T1587" s="10">
        <v>71312</v>
      </c>
      <c r="U1587" s="10">
        <v>1271</v>
      </c>
    </row>
    <row r="1588" spans="1:21" x14ac:dyDescent="0.35">
      <c r="A1588" t="s">
        <v>15</v>
      </c>
      <c r="B1588" t="s">
        <v>20</v>
      </c>
      <c r="C1588" t="s">
        <v>21</v>
      </c>
      <c r="D1588">
        <v>289265</v>
      </c>
      <c r="E1588">
        <v>26381</v>
      </c>
      <c r="F1588">
        <v>70558</v>
      </c>
      <c r="G1588">
        <v>-272402</v>
      </c>
      <c r="H1588">
        <v>113802</v>
      </c>
      <c r="I1588">
        <v>117463</v>
      </c>
      <c r="J1588">
        <v>1404</v>
      </c>
      <c r="K1588">
        <v>606398</v>
      </c>
      <c r="L1588">
        <v>188786</v>
      </c>
      <c r="M1588">
        <v>-164723</v>
      </c>
      <c r="N1588">
        <v>238155</v>
      </c>
      <c r="O1588" t="s">
        <v>1606</v>
      </c>
      <c r="P1588" s="9">
        <v>202201</v>
      </c>
      <c r="Q1588" s="9">
        <v>16449</v>
      </c>
      <c r="R1588" s="9">
        <v>218650</v>
      </c>
      <c r="S1588" s="9">
        <v>-116154</v>
      </c>
      <c r="T1588" s="10">
        <v>83184</v>
      </c>
      <c r="U1588" s="10">
        <v>1591</v>
      </c>
    </row>
    <row r="1589" spans="1:21" x14ac:dyDescent="0.35">
      <c r="A1589" t="s">
        <v>15</v>
      </c>
      <c r="B1589" t="s">
        <v>16</v>
      </c>
      <c r="C1589" t="s">
        <v>17</v>
      </c>
      <c r="D1589">
        <v>216041</v>
      </c>
      <c r="E1589">
        <v>38439</v>
      </c>
      <c r="F1589">
        <v>32563</v>
      </c>
      <c r="G1589">
        <v>-193026</v>
      </c>
      <c r="H1589">
        <v>94017</v>
      </c>
      <c r="I1589">
        <v>87954</v>
      </c>
      <c r="J1589">
        <v>2057</v>
      </c>
      <c r="K1589">
        <v>844561</v>
      </c>
      <c r="L1589">
        <v>291024</v>
      </c>
      <c r="M1589">
        <v>-166926</v>
      </c>
      <c r="N1589">
        <v>113743</v>
      </c>
      <c r="O1589" t="s">
        <v>1607</v>
      </c>
      <c r="P1589" s="9">
        <v>185262</v>
      </c>
      <c r="Q1589" s="9">
        <v>39168</v>
      </c>
      <c r="R1589" s="9">
        <v>224430</v>
      </c>
      <c r="S1589" s="9">
        <v>-124767</v>
      </c>
      <c r="T1589" s="10">
        <v>71426</v>
      </c>
      <c r="U1589" s="10">
        <v>830</v>
      </c>
    </row>
    <row r="1590" spans="1:21" x14ac:dyDescent="0.35">
      <c r="A1590" t="s">
        <v>15</v>
      </c>
      <c r="B1590" t="s">
        <v>16</v>
      </c>
      <c r="C1590" t="s">
        <v>17</v>
      </c>
      <c r="D1590">
        <v>242524</v>
      </c>
      <c r="E1590">
        <v>12351</v>
      </c>
      <c r="F1590">
        <v>44897</v>
      </c>
      <c r="G1590">
        <v>-194170</v>
      </c>
      <c r="H1590">
        <v>105602</v>
      </c>
      <c r="I1590">
        <v>101851</v>
      </c>
      <c r="J1590">
        <v>2863</v>
      </c>
      <c r="K1590">
        <v>600349</v>
      </c>
      <c r="L1590">
        <v>110806</v>
      </c>
      <c r="M1590">
        <v>-120547</v>
      </c>
      <c r="N1590">
        <v>94552</v>
      </c>
      <c r="O1590" t="s">
        <v>1608</v>
      </c>
      <c r="P1590" s="9">
        <v>263427</v>
      </c>
      <c r="Q1590" s="9">
        <v>26418</v>
      </c>
      <c r="R1590" s="9">
        <v>289845</v>
      </c>
      <c r="S1590" s="9">
        <v>-69044</v>
      </c>
      <c r="T1590" s="10">
        <v>68676</v>
      </c>
      <c r="U1590" s="10">
        <v>1384</v>
      </c>
    </row>
    <row r="1591" spans="1:21" x14ac:dyDescent="0.35">
      <c r="A1591" t="s">
        <v>15</v>
      </c>
      <c r="B1591" t="s">
        <v>16</v>
      </c>
      <c r="C1591" t="s">
        <v>17</v>
      </c>
      <c r="D1591">
        <v>287546</v>
      </c>
      <c r="E1591">
        <v>16090</v>
      </c>
      <c r="F1591">
        <v>43710</v>
      </c>
      <c r="G1591">
        <v>-263206</v>
      </c>
      <c r="H1591">
        <v>84140</v>
      </c>
      <c r="I1591">
        <v>85124</v>
      </c>
      <c r="J1591">
        <v>1024</v>
      </c>
      <c r="K1591">
        <v>967194</v>
      </c>
      <c r="L1591">
        <v>346978</v>
      </c>
      <c r="M1591">
        <v>-276043</v>
      </c>
      <c r="N1591">
        <v>133481</v>
      </c>
      <c r="O1591" t="s">
        <v>1609</v>
      </c>
      <c r="P1591" s="9">
        <v>230320</v>
      </c>
      <c r="Q1591" s="9">
        <v>12317</v>
      </c>
      <c r="R1591" s="9">
        <v>242637</v>
      </c>
      <c r="S1591" s="9">
        <v>-107403</v>
      </c>
      <c r="T1591" s="10">
        <v>85038</v>
      </c>
      <c r="U1591" s="10">
        <v>1767</v>
      </c>
    </row>
    <row r="1592" spans="1:21" x14ac:dyDescent="0.35">
      <c r="A1592" t="s">
        <v>15</v>
      </c>
      <c r="B1592" t="s">
        <v>16</v>
      </c>
      <c r="C1592" t="s">
        <v>21</v>
      </c>
      <c r="D1592">
        <v>243630</v>
      </c>
      <c r="E1592">
        <v>17514</v>
      </c>
      <c r="F1592">
        <v>25288</v>
      </c>
      <c r="G1592">
        <v>-215144</v>
      </c>
      <c r="H1592">
        <v>71288</v>
      </c>
      <c r="I1592">
        <v>64161</v>
      </c>
      <c r="J1592">
        <v>1468</v>
      </c>
      <c r="K1592">
        <v>938452</v>
      </c>
      <c r="L1592">
        <v>222082</v>
      </c>
      <c r="M1592">
        <v>-142440</v>
      </c>
      <c r="N1592">
        <v>84819</v>
      </c>
      <c r="O1592" t="s">
        <v>1610</v>
      </c>
      <c r="P1592" s="9">
        <v>164936</v>
      </c>
      <c r="Q1592" s="9">
        <v>11147</v>
      </c>
      <c r="R1592" s="9">
        <v>176083</v>
      </c>
      <c r="S1592" s="9">
        <v>-47075</v>
      </c>
      <c r="T1592" s="10">
        <v>79139</v>
      </c>
      <c r="U1592" s="10">
        <v>2211</v>
      </c>
    </row>
    <row r="1593" spans="1:21" x14ac:dyDescent="0.35">
      <c r="A1593" t="s">
        <v>15</v>
      </c>
      <c r="B1593" t="s">
        <v>16</v>
      </c>
      <c r="C1593" t="s">
        <v>21</v>
      </c>
      <c r="D1593">
        <v>257315</v>
      </c>
      <c r="E1593">
        <v>47865</v>
      </c>
      <c r="F1593">
        <v>35900</v>
      </c>
      <c r="G1593">
        <v>-207961</v>
      </c>
      <c r="H1593">
        <v>133119</v>
      </c>
      <c r="I1593">
        <v>126489</v>
      </c>
      <c r="J1593">
        <v>2897</v>
      </c>
      <c r="K1593">
        <v>649531</v>
      </c>
      <c r="L1593">
        <v>171940</v>
      </c>
      <c r="M1593">
        <v>-253288</v>
      </c>
      <c r="N1593">
        <v>186814</v>
      </c>
      <c r="O1593" t="s">
        <v>1611</v>
      </c>
      <c r="P1593" s="9">
        <v>229394</v>
      </c>
      <c r="Q1593" s="9">
        <v>13878</v>
      </c>
      <c r="R1593" s="9">
        <v>243272</v>
      </c>
      <c r="S1593" s="9">
        <v>-101185</v>
      </c>
      <c r="T1593" s="10">
        <v>74300</v>
      </c>
      <c r="U1593" s="10">
        <v>1862</v>
      </c>
    </row>
    <row r="1594" spans="1:21" x14ac:dyDescent="0.35">
      <c r="A1594" t="s">
        <v>15</v>
      </c>
      <c r="B1594" t="s">
        <v>20</v>
      </c>
      <c r="C1594" t="s">
        <v>17</v>
      </c>
      <c r="D1594">
        <v>222602</v>
      </c>
      <c r="E1594">
        <v>16788</v>
      </c>
      <c r="F1594">
        <v>49713</v>
      </c>
      <c r="G1594">
        <v>-187053</v>
      </c>
      <c r="H1594">
        <v>102050</v>
      </c>
      <c r="I1594">
        <v>91994</v>
      </c>
      <c r="J1594">
        <v>1402</v>
      </c>
      <c r="K1594">
        <v>806877</v>
      </c>
      <c r="L1594">
        <v>350820</v>
      </c>
      <c r="M1594">
        <v>-229017</v>
      </c>
      <c r="N1594">
        <v>163999</v>
      </c>
      <c r="O1594" t="s">
        <v>1612</v>
      </c>
      <c r="P1594" s="9">
        <v>157319</v>
      </c>
      <c r="Q1594" s="9">
        <v>9727</v>
      </c>
      <c r="R1594" s="9">
        <v>167046</v>
      </c>
      <c r="S1594" s="9">
        <v>-89601</v>
      </c>
      <c r="T1594" s="10">
        <v>71444</v>
      </c>
      <c r="U1594" s="10">
        <v>1062</v>
      </c>
    </row>
    <row r="1595" spans="1:21" x14ac:dyDescent="0.35">
      <c r="A1595" t="s">
        <v>15</v>
      </c>
      <c r="B1595" t="s">
        <v>16</v>
      </c>
      <c r="C1595" t="s">
        <v>21</v>
      </c>
      <c r="D1595">
        <v>154703</v>
      </c>
      <c r="E1595">
        <v>7975</v>
      </c>
      <c r="F1595">
        <v>29884</v>
      </c>
      <c r="G1595">
        <v>-136327</v>
      </c>
      <c r="H1595">
        <v>56235</v>
      </c>
      <c r="I1595">
        <v>52469</v>
      </c>
      <c r="J1595">
        <v>1299</v>
      </c>
      <c r="K1595">
        <v>416259</v>
      </c>
      <c r="L1595">
        <v>75884</v>
      </c>
      <c r="M1595">
        <v>-114260</v>
      </c>
      <c r="N1595">
        <v>120389</v>
      </c>
      <c r="O1595" t="s">
        <v>1613</v>
      </c>
      <c r="P1595" s="9">
        <v>297092</v>
      </c>
      <c r="Q1595" s="9">
        <v>41355</v>
      </c>
      <c r="R1595" s="9">
        <v>338447</v>
      </c>
      <c r="S1595" s="9">
        <v>-152610</v>
      </c>
      <c r="T1595" s="10">
        <v>102561</v>
      </c>
      <c r="U1595" s="10">
        <v>1824</v>
      </c>
    </row>
    <row r="1596" spans="1:21" x14ac:dyDescent="0.35">
      <c r="A1596" t="s">
        <v>15</v>
      </c>
      <c r="B1596" t="s">
        <v>16</v>
      </c>
      <c r="C1596" t="s">
        <v>21</v>
      </c>
      <c r="D1596">
        <v>290771</v>
      </c>
      <c r="E1596">
        <v>29886</v>
      </c>
      <c r="F1596">
        <v>33079</v>
      </c>
      <c r="G1596">
        <v>-250521</v>
      </c>
      <c r="H1596">
        <v>103215</v>
      </c>
      <c r="I1596">
        <v>103016</v>
      </c>
      <c r="J1596">
        <v>1230</v>
      </c>
      <c r="K1596">
        <v>846639</v>
      </c>
      <c r="L1596">
        <v>329182</v>
      </c>
      <c r="M1596">
        <v>-208543</v>
      </c>
      <c r="N1596">
        <v>221613</v>
      </c>
      <c r="O1596" t="s">
        <v>1614</v>
      </c>
      <c r="P1596" s="9">
        <v>185135</v>
      </c>
      <c r="Q1596" s="9">
        <v>27658</v>
      </c>
      <c r="R1596" s="9">
        <v>212793</v>
      </c>
      <c r="S1596" s="9">
        <v>-52849</v>
      </c>
      <c r="T1596" s="10">
        <v>64747</v>
      </c>
      <c r="U1596" s="10">
        <v>728</v>
      </c>
    </row>
    <row r="1597" spans="1:21" x14ac:dyDescent="0.35">
      <c r="A1597" t="s">
        <v>15</v>
      </c>
      <c r="B1597" t="s">
        <v>20</v>
      </c>
      <c r="C1597" t="s">
        <v>21</v>
      </c>
      <c r="D1597">
        <v>154455</v>
      </c>
      <c r="E1597">
        <v>18853</v>
      </c>
      <c r="F1597">
        <v>16896</v>
      </c>
      <c r="G1597">
        <v>-124767</v>
      </c>
      <c r="H1597">
        <v>65437</v>
      </c>
      <c r="I1597">
        <v>59989</v>
      </c>
      <c r="J1597">
        <v>1779</v>
      </c>
      <c r="K1597">
        <v>425184</v>
      </c>
      <c r="L1597">
        <v>155546</v>
      </c>
      <c r="M1597">
        <v>-144378</v>
      </c>
      <c r="N1597">
        <v>96370</v>
      </c>
      <c r="O1597" t="s">
        <v>1615</v>
      </c>
      <c r="P1597" s="9">
        <v>284198</v>
      </c>
      <c r="Q1597" s="9">
        <v>20753</v>
      </c>
      <c r="R1597" s="9">
        <v>304951</v>
      </c>
      <c r="S1597" s="9">
        <v>-128474</v>
      </c>
      <c r="T1597" s="10">
        <v>79902</v>
      </c>
      <c r="U1597" s="10">
        <v>1886</v>
      </c>
    </row>
    <row r="1598" spans="1:21" x14ac:dyDescent="0.35">
      <c r="A1598" t="s">
        <v>15</v>
      </c>
      <c r="B1598" t="s">
        <v>20</v>
      </c>
      <c r="C1598" t="s">
        <v>21</v>
      </c>
      <c r="D1598">
        <v>154910</v>
      </c>
      <c r="E1598">
        <v>30680</v>
      </c>
      <c r="F1598">
        <v>35694</v>
      </c>
      <c r="G1598">
        <v>-151968</v>
      </c>
      <c r="H1598">
        <v>69316</v>
      </c>
      <c r="I1598">
        <v>67531</v>
      </c>
      <c r="J1598">
        <v>1660</v>
      </c>
      <c r="K1598">
        <v>360497</v>
      </c>
      <c r="L1598">
        <v>177089</v>
      </c>
      <c r="M1598">
        <v>-80536</v>
      </c>
      <c r="N1598">
        <v>102383</v>
      </c>
      <c r="O1598" t="s">
        <v>1616</v>
      </c>
      <c r="P1598" s="9">
        <v>212889</v>
      </c>
      <c r="Q1598" s="9">
        <v>18827</v>
      </c>
      <c r="R1598" s="9">
        <v>231716</v>
      </c>
      <c r="S1598" s="9">
        <v>-109396</v>
      </c>
      <c r="T1598" s="10">
        <v>61738</v>
      </c>
      <c r="U1598" s="10">
        <v>1084</v>
      </c>
    </row>
    <row r="1599" spans="1:21" x14ac:dyDescent="0.35">
      <c r="A1599" t="s">
        <v>15</v>
      </c>
      <c r="B1599" t="s">
        <v>20</v>
      </c>
      <c r="C1599" t="s">
        <v>17</v>
      </c>
      <c r="D1599">
        <v>165104</v>
      </c>
      <c r="E1599">
        <v>32657</v>
      </c>
      <c r="F1599">
        <v>33121</v>
      </c>
      <c r="G1599">
        <v>-149754</v>
      </c>
      <c r="H1599">
        <v>81128</v>
      </c>
      <c r="I1599">
        <v>83255</v>
      </c>
      <c r="J1599">
        <v>1158</v>
      </c>
      <c r="K1599">
        <v>484418</v>
      </c>
      <c r="L1599">
        <v>49624</v>
      </c>
      <c r="M1599">
        <v>-152716</v>
      </c>
      <c r="N1599">
        <v>133348</v>
      </c>
      <c r="O1599" t="s">
        <v>1617</v>
      </c>
      <c r="P1599" s="9">
        <v>151530</v>
      </c>
      <c r="Q1599" s="9">
        <v>20499</v>
      </c>
      <c r="R1599" s="9">
        <v>172029</v>
      </c>
      <c r="S1599" s="9">
        <v>-70067</v>
      </c>
      <c r="T1599" s="10">
        <v>78271</v>
      </c>
      <c r="U1599" s="10">
        <v>1237</v>
      </c>
    </row>
    <row r="1600" spans="1:21" x14ac:dyDescent="0.35">
      <c r="A1600" t="s">
        <v>15</v>
      </c>
      <c r="B1600" t="s">
        <v>16</v>
      </c>
      <c r="C1600" t="s">
        <v>21</v>
      </c>
      <c r="D1600">
        <v>229463</v>
      </c>
      <c r="E1600">
        <v>30755</v>
      </c>
      <c r="F1600">
        <v>53015</v>
      </c>
      <c r="G1600">
        <v>-187894</v>
      </c>
      <c r="H1600">
        <v>125339</v>
      </c>
      <c r="I1600">
        <v>124813</v>
      </c>
      <c r="J1600">
        <v>3528</v>
      </c>
      <c r="K1600">
        <v>472067</v>
      </c>
      <c r="L1600">
        <v>233545</v>
      </c>
      <c r="M1600">
        <v>-118363</v>
      </c>
      <c r="N1600">
        <v>184817</v>
      </c>
      <c r="O1600" t="s">
        <v>1618</v>
      </c>
      <c r="P1600" s="9">
        <v>203533</v>
      </c>
      <c r="Q1600" s="9">
        <v>40824</v>
      </c>
      <c r="R1600" s="9">
        <v>244357</v>
      </c>
      <c r="S1600" s="9">
        <v>-136096</v>
      </c>
      <c r="T1600" s="10">
        <v>112946</v>
      </c>
      <c r="U1600" s="10">
        <v>1641</v>
      </c>
    </row>
    <row r="1601" spans="1:21" x14ac:dyDescent="0.35">
      <c r="A1601" t="s">
        <v>15</v>
      </c>
      <c r="B1601" t="s">
        <v>20</v>
      </c>
      <c r="C1601" t="s">
        <v>17</v>
      </c>
      <c r="D1601">
        <v>214739</v>
      </c>
      <c r="E1601">
        <v>33631</v>
      </c>
      <c r="F1601">
        <v>29815</v>
      </c>
      <c r="G1601">
        <v>-199036</v>
      </c>
      <c r="H1601">
        <v>79149</v>
      </c>
      <c r="I1601">
        <v>76262</v>
      </c>
      <c r="J1601">
        <v>1387</v>
      </c>
      <c r="K1601">
        <v>555943</v>
      </c>
      <c r="L1601">
        <v>210027</v>
      </c>
      <c r="M1601">
        <v>-62524</v>
      </c>
      <c r="N1601">
        <v>127937</v>
      </c>
      <c r="O1601" t="s">
        <v>1619</v>
      </c>
      <c r="P1601" s="9">
        <v>167005</v>
      </c>
      <c r="Q1601" s="9">
        <v>19566</v>
      </c>
      <c r="R1601" s="9">
        <v>186571</v>
      </c>
      <c r="S1601" s="9">
        <v>-107184</v>
      </c>
      <c r="T1601" s="10">
        <v>55777</v>
      </c>
      <c r="U1601" s="10">
        <v>726</v>
      </c>
    </row>
    <row r="1602" spans="1:21" x14ac:dyDescent="0.35">
      <c r="A1602" t="s">
        <v>15</v>
      </c>
      <c r="B1602" t="s">
        <v>20</v>
      </c>
      <c r="C1602" t="s">
        <v>21</v>
      </c>
      <c r="D1602">
        <v>188837</v>
      </c>
      <c r="E1602">
        <v>32985</v>
      </c>
      <c r="F1602">
        <v>36174</v>
      </c>
      <c r="G1602">
        <v>-181790</v>
      </c>
      <c r="H1602">
        <v>76206</v>
      </c>
      <c r="I1602">
        <v>76443</v>
      </c>
      <c r="J1602">
        <v>2135</v>
      </c>
      <c r="K1602">
        <v>586011</v>
      </c>
      <c r="L1602">
        <v>247923</v>
      </c>
      <c r="M1602">
        <v>-118745</v>
      </c>
      <c r="N1602">
        <v>80720</v>
      </c>
      <c r="O1602" t="s">
        <v>1620</v>
      </c>
      <c r="P1602" s="9">
        <v>260117</v>
      </c>
      <c r="Q1602" s="9">
        <v>17264</v>
      </c>
      <c r="R1602" s="9">
        <v>277381</v>
      </c>
      <c r="S1602" s="9">
        <v>-91242</v>
      </c>
      <c r="T1602" s="10">
        <v>59992</v>
      </c>
      <c r="U1602" s="10">
        <v>613</v>
      </c>
    </row>
    <row r="1603" spans="1:21" x14ac:dyDescent="0.35">
      <c r="A1603" t="s">
        <v>15</v>
      </c>
      <c r="B1603" t="s">
        <v>20</v>
      </c>
      <c r="C1603" t="s">
        <v>17</v>
      </c>
      <c r="D1603">
        <v>243251</v>
      </c>
      <c r="E1603">
        <v>46749</v>
      </c>
      <c r="F1603">
        <v>29556</v>
      </c>
      <c r="G1603">
        <v>-235155</v>
      </c>
      <c r="H1603">
        <v>84401</v>
      </c>
      <c r="I1603">
        <v>82629</v>
      </c>
      <c r="J1603">
        <v>1258</v>
      </c>
      <c r="K1603">
        <v>755425</v>
      </c>
      <c r="L1603">
        <v>349235</v>
      </c>
      <c r="M1603">
        <v>-237565</v>
      </c>
      <c r="N1603">
        <v>90807</v>
      </c>
      <c r="O1603" t="s">
        <v>1621</v>
      </c>
      <c r="P1603" s="9">
        <v>149581</v>
      </c>
      <c r="Q1603" s="9">
        <v>13693</v>
      </c>
      <c r="R1603" s="9">
        <v>163274</v>
      </c>
      <c r="S1603" s="9">
        <v>-81298</v>
      </c>
      <c r="T1603" s="10">
        <v>61299</v>
      </c>
      <c r="U1603" s="10">
        <v>1833</v>
      </c>
    </row>
    <row r="1604" spans="1:21" x14ac:dyDescent="0.35">
      <c r="A1604" t="s">
        <v>15</v>
      </c>
      <c r="B1604" t="s">
        <v>16</v>
      </c>
      <c r="C1604" t="s">
        <v>21</v>
      </c>
      <c r="D1604">
        <v>223621</v>
      </c>
      <c r="E1604">
        <v>44406</v>
      </c>
      <c r="F1604">
        <v>53847</v>
      </c>
      <c r="G1604">
        <v>-198373</v>
      </c>
      <c r="H1604">
        <v>123501</v>
      </c>
      <c r="I1604">
        <v>125019</v>
      </c>
      <c r="J1604">
        <v>2187</v>
      </c>
      <c r="K1604">
        <v>515258</v>
      </c>
      <c r="L1604">
        <v>59956</v>
      </c>
      <c r="M1604">
        <v>-159877</v>
      </c>
      <c r="N1604">
        <v>195799</v>
      </c>
      <c r="O1604" t="s">
        <v>1622</v>
      </c>
      <c r="P1604" s="9">
        <v>214008</v>
      </c>
      <c r="Q1604" s="9">
        <v>15983</v>
      </c>
      <c r="R1604" s="9">
        <v>229991</v>
      </c>
      <c r="S1604" s="9">
        <v>-100786</v>
      </c>
      <c r="T1604" s="10">
        <v>75890</v>
      </c>
      <c r="U1604" s="10">
        <v>1229</v>
      </c>
    </row>
    <row r="1605" spans="1:21" x14ac:dyDescent="0.35">
      <c r="A1605" t="s">
        <v>15</v>
      </c>
      <c r="B1605" t="s">
        <v>16</v>
      </c>
      <c r="C1605" t="s">
        <v>21</v>
      </c>
      <c r="D1605">
        <v>278276</v>
      </c>
      <c r="E1605">
        <v>27138</v>
      </c>
      <c r="F1605">
        <v>67452</v>
      </c>
      <c r="G1605">
        <v>-227928</v>
      </c>
      <c r="H1605">
        <v>144938</v>
      </c>
      <c r="I1605">
        <v>146163</v>
      </c>
      <c r="J1605">
        <v>2584</v>
      </c>
      <c r="K1605">
        <v>839775</v>
      </c>
      <c r="L1605">
        <v>272989</v>
      </c>
      <c r="M1605">
        <v>-293585</v>
      </c>
      <c r="N1605">
        <v>145978</v>
      </c>
      <c r="O1605" t="s">
        <v>1623</v>
      </c>
      <c r="P1605" s="9">
        <v>162285</v>
      </c>
      <c r="Q1605" s="9">
        <v>21693</v>
      </c>
      <c r="R1605" s="9">
        <v>183978</v>
      </c>
      <c r="S1605" s="9">
        <v>-76935</v>
      </c>
      <c r="T1605" s="10">
        <v>89204</v>
      </c>
      <c r="U1605" s="10">
        <v>1781</v>
      </c>
    </row>
    <row r="1606" spans="1:21" x14ac:dyDescent="0.35">
      <c r="A1606" t="s">
        <v>15</v>
      </c>
      <c r="B1606" t="s">
        <v>16</v>
      </c>
      <c r="C1606" t="s">
        <v>21</v>
      </c>
      <c r="D1606">
        <v>184397</v>
      </c>
      <c r="E1606">
        <v>28931</v>
      </c>
      <c r="F1606">
        <v>25864</v>
      </c>
      <c r="G1606">
        <v>-161077</v>
      </c>
      <c r="H1606">
        <v>78115</v>
      </c>
      <c r="I1606">
        <v>77691</v>
      </c>
      <c r="J1606">
        <v>941</v>
      </c>
      <c r="K1606">
        <v>618805</v>
      </c>
      <c r="L1606">
        <v>73628</v>
      </c>
      <c r="M1606">
        <v>-173210</v>
      </c>
      <c r="N1606">
        <v>127037</v>
      </c>
      <c r="O1606" t="s">
        <v>1624</v>
      </c>
      <c r="P1606" s="9">
        <v>308687</v>
      </c>
      <c r="Q1606" s="9">
        <v>46832</v>
      </c>
      <c r="R1606" s="9">
        <v>355519</v>
      </c>
      <c r="S1606" s="9">
        <v>-71858</v>
      </c>
      <c r="T1606" s="10">
        <v>123358</v>
      </c>
      <c r="U1606" s="10">
        <v>2897</v>
      </c>
    </row>
    <row r="1607" spans="1:21" x14ac:dyDescent="0.35">
      <c r="A1607" t="s">
        <v>15</v>
      </c>
      <c r="B1607" t="s">
        <v>16</v>
      </c>
      <c r="C1607" t="s">
        <v>21</v>
      </c>
      <c r="D1607">
        <v>201274</v>
      </c>
      <c r="E1607">
        <v>32733</v>
      </c>
      <c r="F1607">
        <v>20542</v>
      </c>
      <c r="G1607">
        <v>-188380</v>
      </c>
      <c r="H1607">
        <v>66169</v>
      </c>
      <c r="I1607">
        <v>60446</v>
      </c>
      <c r="J1607">
        <v>775</v>
      </c>
      <c r="K1607">
        <v>804326</v>
      </c>
      <c r="L1607">
        <v>241929</v>
      </c>
      <c r="M1607">
        <v>-199802</v>
      </c>
      <c r="N1607">
        <v>104958</v>
      </c>
      <c r="O1607" t="s">
        <v>1625</v>
      </c>
      <c r="P1607" s="9">
        <v>237708</v>
      </c>
      <c r="Q1607" s="9">
        <v>18274</v>
      </c>
      <c r="R1607" s="9">
        <v>255982</v>
      </c>
      <c r="S1607" s="9">
        <v>-59621</v>
      </c>
      <c r="T1607" s="10">
        <v>60984</v>
      </c>
      <c r="U1607" s="10">
        <v>682</v>
      </c>
    </row>
    <row r="1608" spans="1:21" x14ac:dyDescent="0.35">
      <c r="A1608" t="s">
        <v>15</v>
      </c>
      <c r="B1608" t="s">
        <v>20</v>
      </c>
      <c r="C1608" t="s">
        <v>21</v>
      </c>
      <c r="D1608">
        <v>292696</v>
      </c>
      <c r="E1608">
        <v>45730</v>
      </c>
      <c r="F1608">
        <v>66005</v>
      </c>
      <c r="G1608">
        <v>-238460</v>
      </c>
      <c r="H1608">
        <v>165971</v>
      </c>
      <c r="I1608">
        <v>165243</v>
      </c>
      <c r="J1608">
        <v>3057</v>
      </c>
      <c r="K1608">
        <v>682444</v>
      </c>
      <c r="L1608">
        <v>199388</v>
      </c>
      <c r="M1608">
        <v>-95087</v>
      </c>
      <c r="N1608">
        <v>178413</v>
      </c>
      <c r="O1608" t="s">
        <v>1626</v>
      </c>
      <c r="P1608" s="9">
        <v>252804</v>
      </c>
      <c r="Q1608" s="9">
        <v>38800</v>
      </c>
      <c r="R1608" s="9">
        <v>291604</v>
      </c>
      <c r="S1608" s="9">
        <v>-92302</v>
      </c>
      <c r="T1608" s="10">
        <v>92118</v>
      </c>
      <c r="U1608" s="10">
        <v>990</v>
      </c>
    </row>
    <row r="1609" spans="1:21" x14ac:dyDescent="0.35">
      <c r="A1609" t="s">
        <v>15</v>
      </c>
      <c r="B1609" t="s">
        <v>20</v>
      </c>
      <c r="C1609" t="s">
        <v>21</v>
      </c>
      <c r="D1609">
        <v>275515</v>
      </c>
      <c r="E1609">
        <v>40326</v>
      </c>
      <c r="F1609">
        <v>62101</v>
      </c>
      <c r="G1609">
        <v>-224728</v>
      </c>
      <c r="H1609">
        <v>153214</v>
      </c>
      <c r="I1609">
        <v>140924</v>
      </c>
      <c r="J1609">
        <v>1457</v>
      </c>
      <c r="K1609">
        <v>695059</v>
      </c>
      <c r="L1609">
        <v>304265</v>
      </c>
      <c r="M1609">
        <v>-213825</v>
      </c>
      <c r="N1609">
        <v>180287</v>
      </c>
      <c r="O1609" t="s">
        <v>1627</v>
      </c>
      <c r="P1609" s="9">
        <v>189570</v>
      </c>
      <c r="Q1609" s="9">
        <v>12356</v>
      </c>
      <c r="R1609" s="9">
        <v>201926</v>
      </c>
      <c r="S1609" s="9">
        <v>-117465</v>
      </c>
      <c r="T1609" s="10">
        <v>49632</v>
      </c>
      <c r="U1609" s="10">
        <v>841</v>
      </c>
    </row>
    <row r="1610" spans="1:21" x14ac:dyDescent="0.35">
      <c r="A1610" t="s">
        <v>15</v>
      </c>
      <c r="B1610" t="s">
        <v>16</v>
      </c>
      <c r="C1610" t="s">
        <v>21</v>
      </c>
      <c r="D1610">
        <v>198548</v>
      </c>
      <c r="E1610">
        <v>29882</v>
      </c>
      <c r="F1610">
        <v>43462</v>
      </c>
      <c r="G1610">
        <v>-167518</v>
      </c>
      <c r="H1610">
        <v>104374</v>
      </c>
      <c r="I1610">
        <v>106090</v>
      </c>
      <c r="J1610">
        <v>2693</v>
      </c>
      <c r="K1610">
        <v>588336</v>
      </c>
      <c r="L1610">
        <v>245916</v>
      </c>
      <c r="M1610">
        <v>-213449</v>
      </c>
      <c r="N1610">
        <v>107314</v>
      </c>
      <c r="O1610" t="s">
        <v>1628</v>
      </c>
      <c r="P1610" s="9">
        <v>225232</v>
      </c>
      <c r="Q1610" s="9">
        <v>44121</v>
      </c>
      <c r="R1610" s="9">
        <v>269353</v>
      </c>
      <c r="S1610" s="9">
        <v>-142738</v>
      </c>
      <c r="T1610" s="10">
        <v>117339</v>
      </c>
      <c r="U1610" s="10">
        <v>3285</v>
      </c>
    </row>
    <row r="1611" spans="1:21" x14ac:dyDescent="0.35">
      <c r="A1611" t="s">
        <v>15</v>
      </c>
      <c r="B1611" t="s">
        <v>16</v>
      </c>
      <c r="C1611" t="s">
        <v>17</v>
      </c>
      <c r="D1611">
        <v>252565</v>
      </c>
      <c r="E1611">
        <v>14342</v>
      </c>
      <c r="F1611">
        <v>58597</v>
      </c>
      <c r="G1611">
        <v>-214554</v>
      </c>
      <c r="H1611">
        <v>110950</v>
      </c>
      <c r="I1611">
        <v>105605</v>
      </c>
      <c r="J1611">
        <v>3032</v>
      </c>
      <c r="K1611">
        <v>539892</v>
      </c>
      <c r="L1611">
        <v>136257</v>
      </c>
      <c r="M1611">
        <v>-118250</v>
      </c>
      <c r="N1611">
        <v>104055</v>
      </c>
      <c r="O1611" t="s">
        <v>1629</v>
      </c>
      <c r="P1611" s="9">
        <v>216178</v>
      </c>
      <c r="Q1611" s="9">
        <v>16067</v>
      </c>
      <c r="R1611" s="9">
        <v>232245</v>
      </c>
      <c r="S1611" s="9">
        <v>-89659</v>
      </c>
      <c r="T1611" s="10">
        <v>66406</v>
      </c>
      <c r="U1611" s="10">
        <v>1800</v>
      </c>
    </row>
    <row r="1612" spans="1:21" x14ac:dyDescent="0.35">
      <c r="A1612" t="s">
        <v>15</v>
      </c>
      <c r="B1612" t="s">
        <v>16</v>
      </c>
      <c r="C1612" t="s">
        <v>21</v>
      </c>
      <c r="D1612">
        <v>295550</v>
      </c>
      <c r="E1612">
        <v>40088</v>
      </c>
      <c r="F1612">
        <v>34498</v>
      </c>
      <c r="G1612">
        <v>-264824</v>
      </c>
      <c r="H1612">
        <v>105312</v>
      </c>
      <c r="I1612">
        <v>95367</v>
      </c>
      <c r="J1612">
        <v>2688</v>
      </c>
      <c r="K1612">
        <v>1171785</v>
      </c>
      <c r="L1612">
        <v>130464</v>
      </c>
      <c r="M1612">
        <v>-120731</v>
      </c>
      <c r="N1612">
        <v>119493</v>
      </c>
      <c r="O1612" t="s">
        <v>1630</v>
      </c>
      <c r="P1612" s="9">
        <v>298573</v>
      </c>
      <c r="Q1612" s="9">
        <v>34719</v>
      </c>
      <c r="R1612" s="9">
        <v>333292</v>
      </c>
      <c r="S1612" s="9">
        <v>-122051</v>
      </c>
      <c r="T1612" s="10">
        <v>108860</v>
      </c>
      <c r="U1612" s="10">
        <v>1126</v>
      </c>
    </row>
    <row r="1613" spans="1:21" x14ac:dyDescent="0.35">
      <c r="A1613" t="s">
        <v>15</v>
      </c>
      <c r="B1613" t="s">
        <v>16</v>
      </c>
      <c r="C1613" t="s">
        <v>21</v>
      </c>
      <c r="D1613">
        <v>257456</v>
      </c>
      <c r="E1613">
        <v>44743</v>
      </c>
      <c r="F1613">
        <v>59320</v>
      </c>
      <c r="G1613">
        <v>-247000</v>
      </c>
      <c r="H1613">
        <v>114519</v>
      </c>
      <c r="I1613">
        <v>104173</v>
      </c>
      <c r="J1613">
        <v>1321</v>
      </c>
      <c r="K1613">
        <v>997122</v>
      </c>
      <c r="L1613">
        <v>296376</v>
      </c>
      <c r="M1613">
        <v>-242598</v>
      </c>
      <c r="N1613">
        <v>97807</v>
      </c>
      <c r="O1613" t="s">
        <v>1631</v>
      </c>
      <c r="P1613" s="9">
        <v>325553</v>
      </c>
      <c r="Q1613" s="9">
        <v>27350</v>
      </c>
      <c r="R1613" s="9">
        <v>352903</v>
      </c>
      <c r="S1613" s="9">
        <v>-198863</v>
      </c>
      <c r="T1613" s="10">
        <v>113531</v>
      </c>
      <c r="U1613" s="10">
        <v>1415</v>
      </c>
    </row>
    <row r="1614" spans="1:21" x14ac:dyDescent="0.35">
      <c r="A1614" t="s">
        <v>15</v>
      </c>
      <c r="B1614" t="s">
        <v>16</v>
      </c>
      <c r="C1614" t="s">
        <v>21</v>
      </c>
      <c r="D1614">
        <v>194877</v>
      </c>
      <c r="E1614">
        <v>15590</v>
      </c>
      <c r="F1614">
        <v>44456</v>
      </c>
      <c r="G1614">
        <v>-177384</v>
      </c>
      <c r="H1614">
        <v>77539</v>
      </c>
      <c r="I1614">
        <v>77763</v>
      </c>
      <c r="J1614">
        <v>1421</v>
      </c>
      <c r="K1614">
        <v>390720</v>
      </c>
      <c r="L1614">
        <v>180201</v>
      </c>
      <c r="M1614">
        <v>-84783</v>
      </c>
      <c r="N1614">
        <v>138068</v>
      </c>
      <c r="O1614" t="s">
        <v>1632</v>
      </c>
      <c r="P1614" s="9">
        <v>175836</v>
      </c>
      <c r="Q1614" s="9">
        <v>9640</v>
      </c>
      <c r="R1614" s="9">
        <v>185476</v>
      </c>
      <c r="S1614" s="9">
        <v>-46669</v>
      </c>
      <c r="T1614" s="10">
        <v>45290</v>
      </c>
      <c r="U1614" s="10">
        <v>819</v>
      </c>
    </row>
    <row r="1615" spans="1:21" x14ac:dyDescent="0.35">
      <c r="A1615" t="s">
        <v>15</v>
      </c>
      <c r="B1615" t="s">
        <v>16</v>
      </c>
      <c r="C1615" t="s">
        <v>21</v>
      </c>
      <c r="D1615">
        <v>227896</v>
      </c>
      <c r="E1615">
        <v>42957</v>
      </c>
      <c r="F1615">
        <v>36115</v>
      </c>
      <c r="G1615">
        <v>-191078</v>
      </c>
      <c r="H1615">
        <v>115890</v>
      </c>
      <c r="I1615">
        <v>118303</v>
      </c>
      <c r="J1615">
        <v>2328</v>
      </c>
      <c r="K1615">
        <v>472971</v>
      </c>
      <c r="L1615">
        <v>126199</v>
      </c>
      <c r="M1615">
        <v>-156135</v>
      </c>
      <c r="N1615">
        <v>135076</v>
      </c>
      <c r="O1615" t="s">
        <v>1633</v>
      </c>
      <c r="P1615" s="9">
        <v>212501</v>
      </c>
      <c r="Q1615" s="9">
        <v>25258</v>
      </c>
      <c r="R1615" s="9">
        <v>237759</v>
      </c>
      <c r="S1615" s="9">
        <v>-63489</v>
      </c>
      <c r="T1615" s="10">
        <v>71727</v>
      </c>
      <c r="U1615" s="10">
        <v>1180</v>
      </c>
    </row>
    <row r="1616" spans="1:21" x14ac:dyDescent="0.35">
      <c r="A1616" t="s">
        <v>15</v>
      </c>
      <c r="B1616" t="s">
        <v>20</v>
      </c>
      <c r="C1616" t="s">
        <v>21</v>
      </c>
      <c r="D1616">
        <v>250060</v>
      </c>
      <c r="E1616">
        <v>19103</v>
      </c>
      <c r="F1616">
        <v>49148</v>
      </c>
      <c r="G1616">
        <v>-218392</v>
      </c>
      <c r="H1616">
        <v>99919</v>
      </c>
      <c r="I1616">
        <v>95333</v>
      </c>
      <c r="J1616">
        <v>2546</v>
      </c>
      <c r="K1616">
        <v>820296</v>
      </c>
      <c r="L1616">
        <v>265569</v>
      </c>
      <c r="M1616">
        <v>-248432</v>
      </c>
      <c r="N1616">
        <v>110621</v>
      </c>
      <c r="O1616" t="s">
        <v>1634</v>
      </c>
      <c r="P1616" s="9">
        <v>253531</v>
      </c>
      <c r="Q1616" s="9">
        <v>29418</v>
      </c>
      <c r="R1616" s="9">
        <v>282949</v>
      </c>
      <c r="S1616" s="9">
        <v>-166989</v>
      </c>
      <c r="T1616" s="10">
        <v>93237</v>
      </c>
      <c r="U1616" s="10">
        <v>1286</v>
      </c>
    </row>
    <row r="1617" spans="1:21" x14ac:dyDescent="0.35">
      <c r="A1617" t="s">
        <v>15</v>
      </c>
      <c r="B1617" t="s">
        <v>20</v>
      </c>
      <c r="C1617" t="s">
        <v>21</v>
      </c>
      <c r="D1617">
        <v>177142</v>
      </c>
      <c r="E1617">
        <v>24646</v>
      </c>
      <c r="F1617">
        <v>25875</v>
      </c>
      <c r="G1617">
        <v>-158875</v>
      </c>
      <c r="H1617">
        <v>68788</v>
      </c>
      <c r="I1617">
        <v>63595</v>
      </c>
      <c r="J1617">
        <v>819</v>
      </c>
      <c r="K1617">
        <v>591058</v>
      </c>
      <c r="L1617">
        <v>226274</v>
      </c>
      <c r="M1617">
        <v>-93391</v>
      </c>
      <c r="N1617">
        <v>132391</v>
      </c>
      <c r="O1617" t="s">
        <v>1635</v>
      </c>
      <c r="P1617" s="9">
        <v>233743</v>
      </c>
      <c r="Q1617" s="9">
        <v>43082</v>
      </c>
      <c r="R1617" s="9">
        <v>276825</v>
      </c>
      <c r="S1617" s="9">
        <v>-98430</v>
      </c>
      <c r="T1617" s="10">
        <v>91124</v>
      </c>
      <c r="U1617" s="10">
        <v>1661</v>
      </c>
    </row>
    <row r="1618" spans="1:21" x14ac:dyDescent="0.35">
      <c r="A1618" t="s">
        <v>15</v>
      </c>
      <c r="B1618" t="s">
        <v>16</v>
      </c>
      <c r="C1618" t="s">
        <v>17</v>
      </c>
      <c r="D1618">
        <v>244043</v>
      </c>
      <c r="E1618">
        <v>39734</v>
      </c>
      <c r="F1618">
        <v>38959</v>
      </c>
      <c r="G1618">
        <v>-236822</v>
      </c>
      <c r="H1618">
        <v>85914</v>
      </c>
      <c r="I1618">
        <v>78174</v>
      </c>
      <c r="J1618">
        <v>1565</v>
      </c>
      <c r="K1618">
        <v>973826</v>
      </c>
      <c r="L1618">
        <v>324304</v>
      </c>
      <c r="M1618">
        <v>-296191</v>
      </c>
      <c r="N1618">
        <v>76079</v>
      </c>
      <c r="O1618" t="s">
        <v>1636</v>
      </c>
      <c r="P1618" s="9">
        <v>300064</v>
      </c>
      <c r="Q1618" s="9">
        <v>32677</v>
      </c>
      <c r="R1618" s="9">
        <v>332741</v>
      </c>
      <c r="S1618" s="9">
        <v>-190450</v>
      </c>
      <c r="T1618" s="10">
        <v>115802</v>
      </c>
      <c r="U1618" s="10">
        <v>1226</v>
      </c>
    </row>
    <row r="1619" spans="1:21" x14ac:dyDescent="0.35">
      <c r="A1619" t="s">
        <v>15</v>
      </c>
      <c r="B1619" t="s">
        <v>20</v>
      </c>
      <c r="C1619" t="s">
        <v>21</v>
      </c>
      <c r="D1619">
        <v>296263</v>
      </c>
      <c r="E1619">
        <v>22563</v>
      </c>
      <c r="F1619">
        <v>42124</v>
      </c>
      <c r="G1619">
        <v>-259520</v>
      </c>
      <c r="H1619">
        <v>101430</v>
      </c>
      <c r="I1619">
        <v>103399</v>
      </c>
      <c r="J1619">
        <v>1328</v>
      </c>
      <c r="K1619">
        <v>731115</v>
      </c>
      <c r="L1619">
        <v>136790</v>
      </c>
      <c r="M1619">
        <v>-75241</v>
      </c>
      <c r="N1619">
        <v>139493</v>
      </c>
      <c r="O1619" t="s">
        <v>1637</v>
      </c>
      <c r="P1619" s="9">
        <v>224992</v>
      </c>
      <c r="Q1619" s="9">
        <v>13504</v>
      </c>
      <c r="R1619" s="9">
        <v>238496</v>
      </c>
      <c r="S1619" s="9">
        <v>-114587</v>
      </c>
      <c r="T1619" s="10">
        <v>70555</v>
      </c>
      <c r="U1619" s="10">
        <v>797</v>
      </c>
    </row>
    <row r="1620" spans="1:21" x14ac:dyDescent="0.35">
      <c r="A1620" t="s">
        <v>15</v>
      </c>
      <c r="B1620" t="s">
        <v>20</v>
      </c>
      <c r="C1620" t="s">
        <v>21</v>
      </c>
      <c r="D1620">
        <v>280996</v>
      </c>
      <c r="E1620">
        <v>25493</v>
      </c>
      <c r="F1620">
        <v>66150</v>
      </c>
      <c r="G1620">
        <v>-225885</v>
      </c>
      <c r="H1620">
        <v>146754</v>
      </c>
      <c r="I1620">
        <v>132194</v>
      </c>
      <c r="J1620">
        <v>3760</v>
      </c>
      <c r="K1620">
        <v>586092</v>
      </c>
      <c r="L1620">
        <v>191203</v>
      </c>
      <c r="M1620">
        <v>-211367</v>
      </c>
      <c r="N1620">
        <v>119854</v>
      </c>
      <c r="O1620" t="s">
        <v>1638</v>
      </c>
      <c r="P1620" s="9">
        <v>148297</v>
      </c>
      <c r="Q1620" s="9">
        <v>30794</v>
      </c>
      <c r="R1620" s="9">
        <v>179091</v>
      </c>
      <c r="S1620" s="9">
        <v>-46189</v>
      </c>
      <c r="T1620" s="10">
        <v>68173</v>
      </c>
      <c r="U1620" s="10">
        <v>1542</v>
      </c>
    </row>
    <row r="1621" spans="1:21" x14ac:dyDescent="0.35">
      <c r="A1621" t="s">
        <v>15</v>
      </c>
      <c r="B1621" t="s">
        <v>20</v>
      </c>
      <c r="C1621" t="s">
        <v>17</v>
      </c>
      <c r="D1621">
        <v>255732</v>
      </c>
      <c r="E1621">
        <v>18991</v>
      </c>
      <c r="F1621">
        <v>53717</v>
      </c>
      <c r="G1621">
        <v>-247730</v>
      </c>
      <c r="H1621">
        <v>80710</v>
      </c>
      <c r="I1621">
        <v>76604</v>
      </c>
      <c r="J1621">
        <v>1046</v>
      </c>
      <c r="K1621">
        <v>520279</v>
      </c>
      <c r="L1621">
        <v>119425</v>
      </c>
      <c r="M1621">
        <v>-152266</v>
      </c>
      <c r="N1621">
        <v>166636</v>
      </c>
      <c r="O1621" t="s">
        <v>1639</v>
      </c>
      <c r="P1621" s="9">
        <v>221648</v>
      </c>
      <c r="Q1621" s="9">
        <v>14834</v>
      </c>
      <c r="R1621" s="9">
        <v>236482</v>
      </c>
      <c r="S1621" s="9">
        <v>-109339</v>
      </c>
      <c r="T1621" s="10">
        <v>70542</v>
      </c>
      <c r="U1621" s="10">
        <v>880</v>
      </c>
    </row>
    <row r="1622" spans="1:21" x14ac:dyDescent="0.35">
      <c r="A1622" t="s">
        <v>15</v>
      </c>
      <c r="B1622" t="s">
        <v>16</v>
      </c>
      <c r="C1622" t="s">
        <v>17</v>
      </c>
      <c r="D1622">
        <v>210463</v>
      </c>
      <c r="E1622">
        <v>34906</v>
      </c>
      <c r="F1622">
        <v>26841</v>
      </c>
      <c r="G1622">
        <v>-192775</v>
      </c>
      <c r="H1622">
        <v>79435</v>
      </c>
      <c r="I1622">
        <v>81719</v>
      </c>
      <c r="J1622">
        <v>2381</v>
      </c>
      <c r="K1622">
        <v>603795</v>
      </c>
      <c r="L1622">
        <v>218712</v>
      </c>
      <c r="M1622">
        <v>-85810</v>
      </c>
      <c r="N1622">
        <v>101047</v>
      </c>
      <c r="O1622" t="s">
        <v>1640</v>
      </c>
      <c r="P1622" s="9">
        <v>182190</v>
      </c>
      <c r="Q1622" s="9">
        <v>39265</v>
      </c>
      <c r="R1622" s="9">
        <v>221455</v>
      </c>
      <c r="S1622" s="9">
        <v>-72327</v>
      </c>
      <c r="T1622" s="10">
        <v>100086</v>
      </c>
      <c r="U1622" s="10">
        <v>2844</v>
      </c>
    </row>
    <row r="1623" spans="1:21" x14ac:dyDescent="0.35">
      <c r="A1623" t="s">
        <v>15</v>
      </c>
      <c r="B1623" t="s">
        <v>20</v>
      </c>
      <c r="C1623" t="s">
        <v>17</v>
      </c>
      <c r="D1623">
        <v>261199</v>
      </c>
      <c r="E1623">
        <v>13440</v>
      </c>
      <c r="F1623">
        <v>32193</v>
      </c>
      <c r="G1623">
        <v>-218351</v>
      </c>
      <c r="H1623">
        <v>88481</v>
      </c>
      <c r="I1623">
        <v>80182</v>
      </c>
      <c r="J1623">
        <v>934</v>
      </c>
      <c r="K1623">
        <v>537893</v>
      </c>
      <c r="L1623">
        <v>222369</v>
      </c>
      <c r="M1623">
        <v>-210212</v>
      </c>
      <c r="N1623">
        <v>108262</v>
      </c>
      <c r="O1623" t="s">
        <v>1641</v>
      </c>
      <c r="P1623" s="9">
        <v>242112</v>
      </c>
      <c r="Q1623" s="9">
        <v>16688</v>
      </c>
      <c r="R1623" s="9">
        <v>258800</v>
      </c>
      <c r="S1623" s="9">
        <v>-79669</v>
      </c>
      <c r="T1623" s="10">
        <v>100761</v>
      </c>
      <c r="U1623" s="10">
        <v>1647</v>
      </c>
    </row>
    <row r="1624" spans="1:21" x14ac:dyDescent="0.35">
      <c r="A1624" t="s">
        <v>15</v>
      </c>
      <c r="B1624" t="s">
        <v>16</v>
      </c>
      <c r="C1624" t="s">
        <v>21</v>
      </c>
      <c r="D1624">
        <v>210732</v>
      </c>
      <c r="E1624">
        <v>13562</v>
      </c>
      <c r="F1624">
        <v>21734</v>
      </c>
      <c r="G1624">
        <v>-201077</v>
      </c>
      <c r="H1624">
        <v>44951</v>
      </c>
      <c r="I1624">
        <v>42585</v>
      </c>
      <c r="J1624">
        <v>1027</v>
      </c>
      <c r="K1624">
        <v>725422</v>
      </c>
      <c r="L1624">
        <v>209492</v>
      </c>
      <c r="M1624">
        <v>-261103</v>
      </c>
      <c r="N1624">
        <v>180260</v>
      </c>
      <c r="O1624" t="s">
        <v>1642</v>
      </c>
      <c r="P1624" s="9">
        <v>165819</v>
      </c>
      <c r="Q1624" s="9">
        <v>17811</v>
      </c>
      <c r="R1624" s="9">
        <v>183630</v>
      </c>
      <c r="S1624" s="9">
        <v>-90191</v>
      </c>
      <c r="T1624" s="10">
        <v>62274</v>
      </c>
      <c r="U1624" s="10">
        <v>1314</v>
      </c>
    </row>
    <row r="1625" spans="1:21" x14ac:dyDescent="0.35">
      <c r="A1625" t="s">
        <v>15</v>
      </c>
      <c r="B1625" t="s">
        <v>20</v>
      </c>
      <c r="C1625" t="s">
        <v>21</v>
      </c>
      <c r="D1625">
        <v>187098</v>
      </c>
      <c r="E1625">
        <v>31523</v>
      </c>
      <c r="F1625">
        <v>42042</v>
      </c>
      <c r="G1625">
        <v>-171124</v>
      </c>
      <c r="H1625">
        <v>89539</v>
      </c>
      <c r="I1625">
        <v>91244</v>
      </c>
      <c r="J1625">
        <v>1141</v>
      </c>
      <c r="K1625">
        <v>548353</v>
      </c>
      <c r="L1625">
        <v>174339</v>
      </c>
      <c r="M1625">
        <v>-121492</v>
      </c>
      <c r="N1625">
        <v>92829</v>
      </c>
      <c r="O1625" t="s">
        <v>1643</v>
      </c>
      <c r="P1625" s="9">
        <v>283394</v>
      </c>
      <c r="Q1625" s="9">
        <v>21412</v>
      </c>
      <c r="R1625" s="9">
        <v>304806</v>
      </c>
      <c r="S1625" s="9">
        <v>-154387</v>
      </c>
      <c r="T1625" s="10">
        <v>89790</v>
      </c>
      <c r="U1625" s="10">
        <v>2002</v>
      </c>
    </row>
    <row r="1626" spans="1:21" x14ac:dyDescent="0.35">
      <c r="A1626" t="s">
        <v>15</v>
      </c>
      <c r="B1626" t="s">
        <v>16</v>
      </c>
      <c r="C1626" t="s">
        <v>21</v>
      </c>
      <c r="D1626">
        <v>185875</v>
      </c>
      <c r="E1626">
        <v>21332</v>
      </c>
      <c r="F1626">
        <v>37750</v>
      </c>
      <c r="G1626">
        <v>-152695</v>
      </c>
      <c r="H1626">
        <v>92262</v>
      </c>
      <c r="I1626">
        <v>93692</v>
      </c>
      <c r="J1626">
        <v>2025</v>
      </c>
      <c r="K1626">
        <v>401251</v>
      </c>
      <c r="L1626">
        <v>67792</v>
      </c>
      <c r="M1626">
        <v>-90696</v>
      </c>
      <c r="N1626">
        <v>134169</v>
      </c>
      <c r="O1626" t="s">
        <v>1644</v>
      </c>
      <c r="P1626" s="9">
        <v>217074</v>
      </c>
      <c r="Q1626" s="9">
        <v>41854</v>
      </c>
      <c r="R1626" s="9">
        <v>258928</v>
      </c>
      <c r="S1626" s="9">
        <v>-139164</v>
      </c>
      <c r="T1626" s="10">
        <v>97605</v>
      </c>
      <c r="U1626" s="10">
        <v>1200</v>
      </c>
    </row>
    <row r="1627" spans="1:21" x14ac:dyDescent="0.35">
      <c r="A1627" t="s">
        <v>15</v>
      </c>
      <c r="B1627" t="s">
        <v>16</v>
      </c>
      <c r="C1627" t="s">
        <v>21</v>
      </c>
      <c r="D1627">
        <v>188629</v>
      </c>
      <c r="E1627">
        <v>23706</v>
      </c>
      <c r="F1627">
        <v>37646</v>
      </c>
      <c r="G1627">
        <v>-172227</v>
      </c>
      <c r="H1627">
        <v>77754</v>
      </c>
      <c r="I1627">
        <v>75723</v>
      </c>
      <c r="J1627">
        <v>1520</v>
      </c>
      <c r="K1627">
        <v>628003</v>
      </c>
      <c r="L1627">
        <v>92482</v>
      </c>
      <c r="M1627">
        <v>-166309</v>
      </c>
      <c r="N1627">
        <v>62446</v>
      </c>
      <c r="O1627" t="s">
        <v>1645</v>
      </c>
      <c r="P1627" s="9">
        <v>144245</v>
      </c>
      <c r="Q1627" s="9">
        <v>17657</v>
      </c>
      <c r="R1627" s="9">
        <v>161902</v>
      </c>
      <c r="S1627" s="9">
        <v>-39676</v>
      </c>
      <c r="T1627" s="10">
        <v>67795</v>
      </c>
      <c r="U1627" s="10">
        <v>1766</v>
      </c>
    </row>
    <row r="1628" spans="1:21" x14ac:dyDescent="0.35">
      <c r="A1628" t="s">
        <v>15</v>
      </c>
      <c r="B1628" t="s">
        <v>16</v>
      </c>
      <c r="C1628" t="s">
        <v>21</v>
      </c>
      <c r="D1628">
        <v>292129</v>
      </c>
      <c r="E1628">
        <v>35155</v>
      </c>
      <c r="F1628">
        <v>61800</v>
      </c>
      <c r="G1628">
        <v>-268762</v>
      </c>
      <c r="H1628">
        <v>120322</v>
      </c>
      <c r="I1628">
        <v>112669</v>
      </c>
      <c r="J1628">
        <v>1879</v>
      </c>
      <c r="K1628">
        <v>689323</v>
      </c>
      <c r="L1628">
        <v>71854</v>
      </c>
      <c r="M1628">
        <v>-188107</v>
      </c>
      <c r="N1628">
        <v>235794</v>
      </c>
      <c r="O1628" t="s">
        <v>1646</v>
      </c>
      <c r="P1628" s="9">
        <v>216300</v>
      </c>
      <c r="Q1628" s="9">
        <v>36745</v>
      </c>
      <c r="R1628" s="9">
        <v>253045</v>
      </c>
      <c r="S1628" s="9">
        <v>-84014</v>
      </c>
      <c r="T1628" s="10">
        <v>66243</v>
      </c>
      <c r="U1628" s="10">
        <v>1061</v>
      </c>
    </row>
    <row r="1629" spans="1:21" x14ac:dyDescent="0.35">
      <c r="A1629" t="s">
        <v>15</v>
      </c>
      <c r="B1629" t="s">
        <v>20</v>
      </c>
      <c r="C1629" t="s">
        <v>21</v>
      </c>
      <c r="D1629">
        <v>287345</v>
      </c>
      <c r="E1629">
        <v>37214</v>
      </c>
      <c r="F1629">
        <v>28900</v>
      </c>
      <c r="G1629">
        <v>-240655</v>
      </c>
      <c r="H1629">
        <v>112804</v>
      </c>
      <c r="I1629">
        <v>104813</v>
      </c>
      <c r="J1629">
        <v>1633</v>
      </c>
      <c r="K1629">
        <v>1019947</v>
      </c>
      <c r="L1629">
        <v>204333</v>
      </c>
      <c r="M1629">
        <v>-386504</v>
      </c>
      <c r="N1629">
        <v>203998</v>
      </c>
      <c r="O1629" t="s">
        <v>1647</v>
      </c>
      <c r="P1629" s="9">
        <v>183219</v>
      </c>
      <c r="Q1629" s="9">
        <v>27227</v>
      </c>
      <c r="R1629" s="9">
        <v>210446</v>
      </c>
      <c r="S1629" s="9">
        <v>-80169</v>
      </c>
      <c r="T1629" s="10">
        <v>90053</v>
      </c>
      <c r="U1629" s="10">
        <v>2248</v>
      </c>
    </row>
    <row r="1630" spans="1:21" x14ac:dyDescent="0.35">
      <c r="A1630" t="s">
        <v>15</v>
      </c>
      <c r="B1630" t="s">
        <v>16</v>
      </c>
      <c r="C1630" t="s">
        <v>21</v>
      </c>
      <c r="D1630">
        <v>278764</v>
      </c>
      <c r="E1630">
        <v>37945</v>
      </c>
      <c r="F1630">
        <v>57309</v>
      </c>
      <c r="G1630">
        <v>-234158</v>
      </c>
      <c r="H1630">
        <v>139860</v>
      </c>
      <c r="I1630">
        <v>140538</v>
      </c>
      <c r="J1630">
        <v>3463</v>
      </c>
      <c r="K1630">
        <v>801014</v>
      </c>
      <c r="L1630">
        <v>321661</v>
      </c>
      <c r="M1630">
        <v>-90675</v>
      </c>
      <c r="N1630">
        <v>115669</v>
      </c>
      <c r="O1630" t="s">
        <v>1648</v>
      </c>
      <c r="P1630" s="9">
        <v>173484</v>
      </c>
      <c r="Q1630" s="9">
        <v>7991</v>
      </c>
      <c r="R1630" s="9">
        <v>181475</v>
      </c>
      <c r="S1630" s="9">
        <v>-69060</v>
      </c>
      <c r="T1630" s="10">
        <v>60065</v>
      </c>
      <c r="U1630" s="10">
        <v>899</v>
      </c>
    </row>
    <row r="1631" spans="1:21" x14ac:dyDescent="0.35">
      <c r="A1631" t="s">
        <v>15</v>
      </c>
      <c r="B1631" t="s">
        <v>16</v>
      </c>
      <c r="C1631" t="s">
        <v>21</v>
      </c>
      <c r="D1631">
        <v>221463</v>
      </c>
      <c r="E1631">
        <v>12859</v>
      </c>
      <c r="F1631">
        <v>45745</v>
      </c>
      <c r="G1631">
        <v>-183978</v>
      </c>
      <c r="H1631">
        <v>96089</v>
      </c>
      <c r="I1631">
        <v>92060</v>
      </c>
      <c r="J1631">
        <v>936</v>
      </c>
      <c r="K1631">
        <v>495076</v>
      </c>
      <c r="L1631">
        <v>164221</v>
      </c>
      <c r="M1631">
        <v>-133006</v>
      </c>
      <c r="N1631">
        <v>135649</v>
      </c>
      <c r="O1631" t="s">
        <v>1649</v>
      </c>
      <c r="P1631" s="9">
        <v>240518</v>
      </c>
      <c r="Q1631" s="9">
        <v>50198</v>
      </c>
      <c r="R1631" s="9">
        <v>290716</v>
      </c>
      <c r="S1631" s="9">
        <v>-169683</v>
      </c>
      <c r="T1631" s="10">
        <v>125264</v>
      </c>
      <c r="U1631" s="10">
        <v>1503</v>
      </c>
    </row>
    <row r="1632" spans="1:21" x14ac:dyDescent="0.35">
      <c r="A1632" t="s">
        <v>15</v>
      </c>
      <c r="B1632" t="s">
        <v>20</v>
      </c>
      <c r="C1632" t="s">
        <v>21</v>
      </c>
      <c r="D1632">
        <v>254802</v>
      </c>
      <c r="E1632">
        <v>24979</v>
      </c>
      <c r="F1632">
        <v>57462</v>
      </c>
      <c r="G1632">
        <v>-209204</v>
      </c>
      <c r="H1632">
        <v>128039</v>
      </c>
      <c r="I1632">
        <v>129473</v>
      </c>
      <c r="J1632">
        <v>2467</v>
      </c>
      <c r="K1632">
        <v>782450</v>
      </c>
      <c r="L1632">
        <v>362776</v>
      </c>
      <c r="M1632">
        <v>-123096</v>
      </c>
      <c r="N1632">
        <v>210453</v>
      </c>
      <c r="O1632" t="s">
        <v>1650</v>
      </c>
      <c r="P1632" s="9">
        <v>325837</v>
      </c>
      <c r="Q1632" s="9">
        <v>52207</v>
      </c>
      <c r="R1632" s="9">
        <v>378044</v>
      </c>
      <c r="S1632" s="9">
        <v>-179641</v>
      </c>
      <c r="T1632" s="10">
        <v>133717</v>
      </c>
      <c r="U1632" s="10">
        <v>2433</v>
      </c>
    </row>
    <row r="1633" spans="1:21" x14ac:dyDescent="0.35">
      <c r="A1633" t="s">
        <v>15</v>
      </c>
      <c r="B1633" t="s">
        <v>20</v>
      </c>
      <c r="C1633" t="s">
        <v>21</v>
      </c>
      <c r="D1633">
        <v>171729</v>
      </c>
      <c r="E1633">
        <v>33304</v>
      </c>
      <c r="F1633">
        <v>40377</v>
      </c>
      <c r="G1633">
        <v>-155826</v>
      </c>
      <c r="H1633">
        <v>89584</v>
      </c>
      <c r="I1633">
        <v>88189</v>
      </c>
      <c r="J1633">
        <v>2484</v>
      </c>
      <c r="K1633">
        <v>498833</v>
      </c>
      <c r="L1633">
        <v>106216</v>
      </c>
      <c r="M1633">
        <v>-78968</v>
      </c>
      <c r="N1633">
        <v>115159</v>
      </c>
      <c r="O1633" t="s">
        <v>1651</v>
      </c>
      <c r="P1633" s="9">
        <v>204288</v>
      </c>
      <c r="Q1633" s="9">
        <v>25156</v>
      </c>
      <c r="R1633" s="9">
        <v>229444</v>
      </c>
      <c r="S1633" s="9">
        <v>-72086</v>
      </c>
      <c r="T1633" s="10">
        <v>76981</v>
      </c>
      <c r="U1633" s="10">
        <v>1289</v>
      </c>
    </row>
    <row r="1634" spans="1:21" x14ac:dyDescent="0.35">
      <c r="A1634" t="s">
        <v>15</v>
      </c>
      <c r="B1634" t="s">
        <v>20</v>
      </c>
      <c r="C1634" t="s">
        <v>21</v>
      </c>
      <c r="D1634">
        <v>183284</v>
      </c>
      <c r="E1634">
        <v>12475</v>
      </c>
      <c r="F1634">
        <v>40394</v>
      </c>
      <c r="G1634">
        <v>-182071</v>
      </c>
      <c r="H1634">
        <v>54082</v>
      </c>
      <c r="I1634">
        <v>56594</v>
      </c>
      <c r="J1634">
        <v>821</v>
      </c>
      <c r="K1634">
        <v>655885</v>
      </c>
      <c r="L1634">
        <v>259448</v>
      </c>
      <c r="M1634">
        <v>-108242</v>
      </c>
      <c r="N1634">
        <v>71454</v>
      </c>
      <c r="O1634" t="s">
        <v>1652</v>
      </c>
      <c r="P1634" s="9">
        <v>244718</v>
      </c>
      <c r="Q1634" s="9">
        <v>50170</v>
      </c>
      <c r="R1634" s="9">
        <v>294888</v>
      </c>
      <c r="S1634" s="9">
        <v>-108228</v>
      </c>
      <c r="T1634" s="10">
        <v>95171</v>
      </c>
      <c r="U1634" s="10">
        <v>1402</v>
      </c>
    </row>
    <row r="1635" spans="1:21" x14ac:dyDescent="0.35">
      <c r="A1635" t="s">
        <v>15</v>
      </c>
      <c r="B1635" t="s">
        <v>16</v>
      </c>
      <c r="C1635" t="s">
        <v>21</v>
      </c>
      <c r="D1635">
        <v>262050</v>
      </c>
      <c r="E1635">
        <v>49409</v>
      </c>
      <c r="F1635">
        <v>42108</v>
      </c>
      <c r="G1635">
        <v>-248532</v>
      </c>
      <c r="H1635">
        <v>105035</v>
      </c>
      <c r="I1635">
        <v>106995</v>
      </c>
      <c r="J1635">
        <v>1488</v>
      </c>
      <c r="K1635">
        <v>663518</v>
      </c>
      <c r="L1635">
        <v>319074</v>
      </c>
      <c r="M1635">
        <v>-169700</v>
      </c>
      <c r="N1635">
        <v>127960</v>
      </c>
      <c r="O1635" t="s">
        <v>1653</v>
      </c>
      <c r="P1635" s="9">
        <v>276378</v>
      </c>
      <c r="Q1635" s="9">
        <v>45775</v>
      </c>
      <c r="R1635" s="9">
        <v>322153</v>
      </c>
      <c r="S1635" s="9">
        <v>-71490</v>
      </c>
      <c r="T1635" s="10">
        <v>94554</v>
      </c>
      <c r="U1635" s="10">
        <v>2544</v>
      </c>
    </row>
    <row r="1636" spans="1:21" x14ac:dyDescent="0.35">
      <c r="A1636" t="s">
        <v>15</v>
      </c>
      <c r="B1636" t="s">
        <v>16</v>
      </c>
      <c r="C1636" t="s">
        <v>21</v>
      </c>
      <c r="D1636">
        <v>257239</v>
      </c>
      <c r="E1636">
        <v>32974</v>
      </c>
      <c r="F1636">
        <v>49114</v>
      </c>
      <c r="G1636">
        <v>-235040</v>
      </c>
      <c r="H1636">
        <v>104287</v>
      </c>
      <c r="I1636">
        <v>98891</v>
      </c>
      <c r="J1636">
        <v>1901</v>
      </c>
      <c r="K1636">
        <v>936538</v>
      </c>
      <c r="L1636">
        <v>366018</v>
      </c>
      <c r="M1636">
        <v>-323310</v>
      </c>
      <c r="N1636">
        <v>142315</v>
      </c>
      <c r="O1636" t="s">
        <v>1654</v>
      </c>
      <c r="P1636" s="9">
        <v>173278</v>
      </c>
      <c r="Q1636" s="9">
        <v>14796</v>
      </c>
      <c r="R1636" s="9">
        <v>188074</v>
      </c>
      <c r="S1636" s="9">
        <v>-72754</v>
      </c>
      <c r="T1636" s="10">
        <v>58939</v>
      </c>
      <c r="U1636" s="10">
        <v>1017</v>
      </c>
    </row>
    <row r="1637" spans="1:21" x14ac:dyDescent="0.35">
      <c r="A1637" t="s">
        <v>15</v>
      </c>
      <c r="B1637" t="s">
        <v>20</v>
      </c>
      <c r="C1637" t="s">
        <v>21</v>
      </c>
      <c r="D1637">
        <v>266590</v>
      </c>
      <c r="E1637">
        <v>31060</v>
      </c>
      <c r="F1637">
        <v>65532</v>
      </c>
      <c r="G1637">
        <v>-233864</v>
      </c>
      <c r="H1637">
        <v>129318</v>
      </c>
      <c r="I1637">
        <v>121813</v>
      </c>
      <c r="J1637">
        <v>1272</v>
      </c>
      <c r="K1637">
        <v>551082</v>
      </c>
      <c r="L1637">
        <v>187111</v>
      </c>
      <c r="M1637">
        <v>-157306</v>
      </c>
      <c r="N1637">
        <v>193058</v>
      </c>
      <c r="O1637" t="s">
        <v>1655</v>
      </c>
      <c r="P1637" s="9">
        <v>277475</v>
      </c>
      <c r="Q1637" s="9">
        <v>40742</v>
      </c>
      <c r="R1637" s="9">
        <v>318217</v>
      </c>
      <c r="S1637" s="9">
        <v>-78021</v>
      </c>
      <c r="T1637" s="10">
        <v>108932</v>
      </c>
      <c r="U1637" s="10">
        <v>1117</v>
      </c>
    </row>
    <row r="1638" spans="1:21" x14ac:dyDescent="0.35">
      <c r="A1638" t="s">
        <v>15</v>
      </c>
      <c r="B1638" t="s">
        <v>20</v>
      </c>
      <c r="C1638" t="s">
        <v>21</v>
      </c>
      <c r="D1638">
        <v>276330</v>
      </c>
      <c r="E1638">
        <v>14549</v>
      </c>
      <c r="F1638">
        <v>37539</v>
      </c>
      <c r="G1638">
        <v>-259430</v>
      </c>
      <c r="H1638">
        <v>68988</v>
      </c>
      <c r="I1638">
        <v>72310</v>
      </c>
      <c r="J1638">
        <v>1740</v>
      </c>
      <c r="K1638">
        <v>987348</v>
      </c>
      <c r="L1638">
        <v>187501</v>
      </c>
      <c r="M1638">
        <v>-176756</v>
      </c>
      <c r="N1638">
        <v>123449</v>
      </c>
      <c r="O1638" t="s">
        <v>1656</v>
      </c>
      <c r="P1638" s="9">
        <v>201838</v>
      </c>
      <c r="Q1638" s="9">
        <v>27989</v>
      </c>
      <c r="R1638" s="9">
        <v>229827</v>
      </c>
      <c r="S1638" s="9">
        <v>-64632</v>
      </c>
      <c r="T1638" s="10">
        <v>59452</v>
      </c>
      <c r="U1638" s="10">
        <v>1133</v>
      </c>
    </row>
    <row r="1639" spans="1:21" x14ac:dyDescent="0.35">
      <c r="A1639" t="s">
        <v>15</v>
      </c>
      <c r="B1639" t="s">
        <v>16</v>
      </c>
      <c r="C1639" t="s">
        <v>21</v>
      </c>
      <c r="D1639">
        <v>153122</v>
      </c>
      <c r="E1639">
        <v>22946</v>
      </c>
      <c r="F1639">
        <v>34657</v>
      </c>
      <c r="G1639">
        <v>-151881</v>
      </c>
      <c r="H1639">
        <v>58844</v>
      </c>
      <c r="I1639">
        <v>61147</v>
      </c>
      <c r="J1639">
        <v>1443</v>
      </c>
      <c r="K1639">
        <v>602726</v>
      </c>
      <c r="L1639">
        <v>168158</v>
      </c>
      <c r="M1639">
        <v>-144974</v>
      </c>
      <c r="N1639">
        <v>77674</v>
      </c>
      <c r="O1639" t="s">
        <v>1657</v>
      </c>
      <c r="P1639" s="9">
        <v>243389</v>
      </c>
      <c r="Q1639" s="9">
        <v>42853</v>
      </c>
      <c r="R1639" s="9">
        <v>286242</v>
      </c>
      <c r="S1639" s="9">
        <v>-71686</v>
      </c>
      <c r="T1639" s="10">
        <v>134761</v>
      </c>
      <c r="U1639" s="10">
        <v>2334</v>
      </c>
    </row>
    <row r="1640" spans="1:21" x14ac:dyDescent="0.35">
      <c r="A1640" t="s">
        <v>15</v>
      </c>
      <c r="B1640" t="s">
        <v>16</v>
      </c>
      <c r="C1640" t="s">
        <v>21</v>
      </c>
      <c r="D1640">
        <v>179606</v>
      </c>
      <c r="E1640">
        <v>27374</v>
      </c>
      <c r="F1640">
        <v>28823</v>
      </c>
      <c r="G1640">
        <v>-165270</v>
      </c>
      <c r="H1640">
        <v>70533</v>
      </c>
      <c r="I1640">
        <v>64620</v>
      </c>
      <c r="J1640">
        <v>675</v>
      </c>
      <c r="K1640">
        <v>605923</v>
      </c>
      <c r="L1640">
        <v>151479</v>
      </c>
      <c r="M1640">
        <v>-82579</v>
      </c>
      <c r="N1640">
        <v>59663</v>
      </c>
      <c r="O1640" t="s">
        <v>1658</v>
      </c>
      <c r="P1640" s="9">
        <v>319875</v>
      </c>
      <c r="Q1640" s="9">
        <v>17338</v>
      </c>
      <c r="R1640" s="9">
        <v>337213</v>
      </c>
      <c r="S1640" s="9">
        <v>-160912</v>
      </c>
      <c r="T1640" s="10">
        <v>122498</v>
      </c>
      <c r="U1640" s="10">
        <v>3233</v>
      </c>
    </row>
    <row r="1641" spans="1:21" x14ac:dyDescent="0.35">
      <c r="A1641" t="s">
        <v>15</v>
      </c>
      <c r="B1641" t="s">
        <v>16</v>
      </c>
      <c r="C1641" t="s">
        <v>17</v>
      </c>
      <c r="D1641">
        <v>247321</v>
      </c>
      <c r="E1641">
        <v>47839</v>
      </c>
      <c r="F1641">
        <v>56650</v>
      </c>
      <c r="G1641">
        <v>-237861</v>
      </c>
      <c r="H1641">
        <v>113949</v>
      </c>
      <c r="I1641">
        <v>109019</v>
      </c>
      <c r="J1641">
        <v>2027</v>
      </c>
      <c r="K1641">
        <v>794695</v>
      </c>
      <c r="L1641">
        <v>265503</v>
      </c>
      <c r="M1641">
        <v>-153645</v>
      </c>
      <c r="N1641">
        <v>107166</v>
      </c>
      <c r="O1641" t="s">
        <v>1659</v>
      </c>
      <c r="P1641" s="9">
        <v>205079</v>
      </c>
      <c r="Q1641" s="9">
        <v>30304</v>
      </c>
      <c r="R1641" s="9">
        <v>235383</v>
      </c>
      <c r="S1641" s="9">
        <v>-59840</v>
      </c>
      <c r="T1641" s="10">
        <v>102509</v>
      </c>
      <c r="U1641" s="10">
        <v>2479</v>
      </c>
    </row>
    <row r="1642" spans="1:21" x14ac:dyDescent="0.35">
      <c r="A1642" t="s">
        <v>15</v>
      </c>
      <c r="B1642" t="s">
        <v>16</v>
      </c>
      <c r="C1642" t="s">
        <v>21</v>
      </c>
      <c r="D1642">
        <v>190173</v>
      </c>
      <c r="E1642">
        <v>13435</v>
      </c>
      <c r="F1642">
        <v>46560</v>
      </c>
      <c r="G1642">
        <v>-172928</v>
      </c>
      <c r="H1642">
        <v>77240</v>
      </c>
      <c r="I1642">
        <v>72531</v>
      </c>
      <c r="J1642">
        <v>1100</v>
      </c>
      <c r="K1642">
        <v>597864</v>
      </c>
      <c r="L1642">
        <v>235209</v>
      </c>
      <c r="M1642">
        <v>-176882</v>
      </c>
      <c r="N1642">
        <v>122800</v>
      </c>
      <c r="O1642" t="s">
        <v>1660</v>
      </c>
      <c r="P1642" s="9">
        <v>170342</v>
      </c>
      <c r="Q1642" s="9">
        <v>24663</v>
      </c>
      <c r="R1642" s="9">
        <v>195005</v>
      </c>
      <c r="S1642" s="9">
        <v>-94233</v>
      </c>
      <c r="T1642" s="10">
        <v>63705</v>
      </c>
      <c r="U1642" s="10">
        <v>1194</v>
      </c>
    </row>
    <row r="1643" spans="1:21" x14ac:dyDescent="0.35">
      <c r="A1643" t="s">
        <v>15</v>
      </c>
      <c r="B1643" t="s">
        <v>20</v>
      </c>
      <c r="C1643" t="s">
        <v>21</v>
      </c>
      <c r="D1643">
        <v>258004</v>
      </c>
      <c r="E1643">
        <v>43859</v>
      </c>
      <c r="F1643">
        <v>28527</v>
      </c>
      <c r="G1643">
        <v>-253040</v>
      </c>
      <c r="H1643">
        <v>77350</v>
      </c>
      <c r="I1643">
        <v>76787</v>
      </c>
      <c r="J1643">
        <v>1181</v>
      </c>
      <c r="K1643">
        <v>812320</v>
      </c>
      <c r="L1643">
        <v>365082</v>
      </c>
      <c r="M1643">
        <v>-296316</v>
      </c>
      <c r="N1643">
        <v>147412</v>
      </c>
      <c r="O1643" t="s">
        <v>1661</v>
      </c>
      <c r="P1643" s="9">
        <v>257783</v>
      </c>
      <c r="Q1643" s="9">
        <v>47972</v>
      </c>
      <c r="R1643" s="9">
        <v>305755</v>
      </c>
      <c r="S1643" s="9">
        <v>-166685</v>
      </c>
      <c r="T1643" s="10">
        <v>91137</v>
      </c>
      <c r="U1643" s="10">
        <v>1439</v>
      </c>
    </row>
    <row r="1644" spans="1:21" x14ac:dyDescent="0.35">
      <c r="A1644" t="s">
        <v>15</v>
      </c>
      <c r="B1644" t="s">
        <v>20</v>
      </c>
      <c r="C1644" t="s">
        <v>17</v>
      </c>
      <c r="D1644">
        <v>197159</v>
      </c>
      <c r="E1644">
        <v>22314</v>
      </c>
      <c r="F1644">
        <v>41400</v>
      </c>
      <c r="G1644">
        <v>-176110</v>
      </c>
      <c r="H1644">
        <v>84763</v>
      </c>
      <c r="I1644">
        <v>81055</v>
      </c>
      <c r="J1644">
        <v>1050</v>
      </c>
      <c r="K1644">
        <v>651382</v>
      </c>
      <c r="L1644">
        <v>100054</v>
      </c>
      <c r="M1644">
        <v>-81456</v>
      </c>
      <c r="N1644">
        <v>91902</v>
      </c>
      <c r="O1644" t="s">
        <v>1662</v>
      </c>
      <c r="P1644" s="9">
        <v>195316</v>
      </c>
      <c r="Q1644" s="9">
        <v>10834</v>
      </c>
      <c r="R1644" s="9">
        <v>206150</v>
      </c>
      <c r="S1644" s="9">
        <v>-100774</v>
      </c>
      <c r="T1644" s="10">
        <v>67618</v>
      </c>
      <c r="U1644" s="10">
        <v>757</v>
      </c>
    </row>
    <row r="1645" spans="1:21" x14ac:dyDescent="0.35">
      <c r="A1645" t="s">
        <v>15</v>
      </c>
      <c r="B1645" t="s">
        <v>16</v>
      </c>
      <c r="C1645" t="s">
        <v>21</v>
      </c>
      <c r="D1645">
        <v>274516</v>
      </c>
      <c r="E1645">
        <v>13975</v>
      </c>
      <c r="F1645">
        <v>42642</v>
      </c>
      <c r="G1645">
        <v>-263304</v>
      </c>
      <c r="H1645">
        <v>67829</v>
      </c>
      <c r="I1645">
        <v>64869</v>
      </c>
      <c r="J1645">
        <v>1792</v>
      </c>
      <c r="K1645">
        <v>1061386</v>
      </c>
      <c r="L1645">
        <v>427141</v>
      </c>
      <c r="M1645">
        <v>-218327</v>
      </c>
      <c r="N1645">
        <v>116400</v>
      </c>
      <c r="O1645" t="s">
        <v>1663</v>
      </c>
      <c r="P1645" s="9">
        <v>216435</v>
      </c>
      <c r="Q1645" s="9">
        <v>26844</v>
      </c>
      <c r="R1645" s="9">
        <v>243279</v>
      </c>
      <c r="S1645" s="9">
        <v>-123116</v>
      </c>
      <c r="T1645" s="10">
        <v>90575</v>
      </c>
      <c r="U1645" s="10">
        <v>1417</v>
      </c>
    </row>
    <row r="1646" spans="1:21" x14ac:dyDescent="0.35">
      <c r="A1646" t="s">
        <v>15</v>
      </c>
      <c r="B1646" t="s">
        <v>20</v>
      </c>
      <c r="C1646" t="s">
        <v>21</v>
      </c>
      <c r="D1646">
        <v>163474</v>
      </c>
      <c r="E1646">
        <v>24742</v>
      </c>
      <c r="F1646">
        <v>23283</v>
      </c>
      <c r="G1646">
        <v>-163015</v>
      </c>
      <c r="H1646">
        <v>48484</v>
      </c>
      <c r="I1646">
        <v>48136</v>
      </c>
      <c r="J1646">
        <v>1307</v>
      </c>
      <c r="K1646">
        <v>537772</v>
      </c>
      <c r="L1646">
        <v>266016</v>
      </c>
      <c r="M1646">
        <v>-124135</v>
      </c>
      <c r="N1646">
        <v>55388</v>
      </c>
      <c r="O1646" t="s">
        <v>1664</v>
      </c>
      <c r="P1646" s="9">
        <v>213359</v>
      </c>
      <c r="Q1646" s="9">
        <v>23540</v>
      </c>
      <c r="R1646" s="9">
        <v>236899</v>
      </c>
      <c r="S1646" s="9">
        <v>-83501</v>
      </c>
      <c r="T1646" s="10">
        <v>59543</v>
      </c>
      <c r="U1646" s="10">
        <v>710</v>
      </c>
    </row>
    <row r="1647" spans="1:21" x14ac:dyDescent="0.35">
      <c r="A1647" t="s">
        <v>15</v>
      </c>
      <c r="B1647" t="s">
        <v>16</v>
      </c>
      <c r="C1647" t="s">
        <v>21</v>
      </c>
      <c r="D1647">
        <v>251187</v>
      </c>
      <c r="E1647">
        <v>19001</v>
      </c>
      <c r="F1647">
        <v>42116</v>
      </c>
      <c r="G1647">
        <v>-233444</v>
      </c>
      <c r="H1647">
        <v>78860</v>
      </c>
      <c r="I1647">
        <v>71171</v>
      </c>
      <c r="J1647">
        <v>1122</v>
      </c>
      <c r="K1647">
        <v>981109</v>
      </c>
      <c r="L1647">
        <v>99852</v>
      </c>
      <c r="M1647">
        <v>-299805</v>
      </c>
      <c r="N1647">
        <v>119461</v>
      </c>
      <c r="O1647" t="s">
        <v>1665</v>
      </c>
      <c r="P1647" s="9">
        <v>177007</v>
      </c>
      <c r="Q1647" s="9">
        <v>8411</v>
      </c>
      <c r="R1647" s="9">
        <v>185418</v>
      </c>
      <c r="S1647" s="9">
        <v>-42125</v>
      </c>
      <c r="T1647" s="10">
        <v>78384</v>
      </c>
      <c r="U1647" s="10">
        <v>1209</v>
      </c>
    </row>
    <row r="1648" spans="1:21" x14ac:dyDescent="0.35">
      <c r="A1648" t="s">
        <v>15</v>
      </c>
      <c r="B1648" t="s">
        <v>20</v>
      </c>
      <c r="C1648" t="s">
        <v>17</v>
      </c>
      <c r="D1648">
        <v>296131</v>
      </c>
      <c r="E1648">
        <v>46906</v>
      </c>
      <c r="F1648">
        <v>36882</v>
      </c>
      <c r="G1648">
        <v>-249263</v>
      </c>
      <c r="H1648">
        <v>130656</v>
      </c>
      <c r="I1648">
        <v>133654</v>
      </c>
      <c r="J1648">
        <v>3807</v>
      </c>
      <c r="K1648">
        <v>750318</v>
      </c>
      <c r="L1648">
        <v>202954</v>
      </c>
      <c r="M1648">
        <v>-289989</v>
      </c>
      <c r="N1648">
        <v>233921</v>
      </c>
      <c r="O1648" t="s">
        <v>1666</v>
      </c>
      <c r="P1648" s="9">
        <v>309471</v>
      </c>
      <c r="Q1648" s="9">
        <v>46194</v>
      </c>
      <c r="R1648" s="9">
        <v>355665</v>
      </c>
      <c r="S1648" s="9">
        <v>-91840</v>
      </c>
      <c r="T1648" s="10">
        <v>131046</v>
      </c>
      <c r="U1648" s="10">
        <v>2304</v>
      </c>
    </row>
    <row r="1649" spans="1:21" x14ac:dyDescent="0.35">
      <c r="A1649" t="s">
        <v>15</v>
      </c>
      <c r="B1649" t="s">
        <v>20</v>
      </c>
      <c r="C1649" t="s">
        <v>21</v>
      </c>
      <c r="D1649">
        <v>234874</v>
      </c>
      <c r="E1649">
        <v>23003</v>
      </c>
      <c r="F1649">
        <v>31728</v>
      </c>
      <c r="G1649">
        <v>-192402</v>
      </c>
      <c r="H1649">
        <v>97203</v>
      </c>
      <c r="I1649">
        <v>98553</v>
      </c>
      <c r="J1649">
        <v>2370</v>
      </c>
      <c r="K1649">
        <v>718155</v>
      </c>
      <c r="L1649">
        <v>150865</v>
      </c>
      <c r="M1649">
        <v>-254036</v>
      </c>
      <c r="N1649">
        <v>173692</v>
      </c>
      <c r="O1649" t="s">
        <v>1667</v>
      </c>
      <c r="P1649" s="9">
        <v>314267</v>
      </c>
      <c r="Q1649" s="9">
        <v>47185</v>
      </c>
      <c r="R1649" s="9">
        <v>361452</v>
      </c>
      <c r="S1649" s="9">
        <v>-175485</v>
      </c>
      <c r="T1649" s="10">
        <v>81251</v>
      </c>
      <c r="U1649" s="10">
        <v>1517</v>
      </c>
    </row>
    <row r="1650" spans="1:21" x14ac:dyDescent="0.35">
      <c r="A1650" t="s">
        <v>15</v>
      </c>
      <c r="B1650" t="s">
        <v>16</v>
      </c>
      <c r="C1650" t="s">
        <v>21</v>
      </c>
      <c r="D1650">
        <v>264833</v>
      </c>
      <c r="E1650">
        <v>37690</v>
      </c>
      <c r="F1650">
        <v>40356</v>
      </c>
      <c r="G1650">
        <v>-249429</v>
      </c>
      <c r="H1650">
        <v>93450</v>
      </c>
      <c r="I1650">
        <v>94227</v>
      </c>
      <c r="J1650">
        <v>2412</v>
      </c>
      <c r="K1650">
        <v>945986</v>
      </c>
      <c r="L1650">
        <v>236244</v>
      </c>
      <c r="M1650">
        <v>-311255</v>
      </c>
      <c r="N1650">
        <v>213850</v>
      </c>
      <c r="O1650" t="s">
        <v>1668</v>
      </c>
      <c r="P1650" s="9">
        <v>272473</v>
      </c>
      <c r="Q1650" s="9">
        <v>13632</v>
      </c>
      <c r="R1650" s="9">
        <v>286105</v>
      </c>
      <c r="S1650" s="9">
        <v>-96395</v>
      </c>
      <c r="T1650" s="10">
        <v>93761</v>
      </c>
      <c r="U1650" s="10">
        <v>2020</v>
      </c>
    </row>
    <row r="1651" spans="1:21" x14ac:dyDescent="0.35">
      <c r="A1651" t="s">
        <v>15</v>
      </c>
      <c r="B1651" t="s">
        <v>16</v>
      </c>
      <c r="C1651" t="s">
        <v>21</v>
      </c>
      <c r="D1651">
        <v>260810</v>
      </c>
      <c r="E1651">
        <v>32416</v>
      </c>
      <c r="F1651">
        <v>39272</v>
      </c>
      <c r="G1651">
        <v>-218655</v>
      </c>
      <c r="H1651">
        <v>113843</v>
      </c>
      <c r="I1651">
        <v>112070</v>
      </c>
      <c r="J1651">
        <v>1361</v>
      </c>
      <c r="K1651">
        <v>955067</v>
      </c>
      <c r="L1651">
        <v>237412</v>
      </c>
      <c r="M1651">
        <v>-320802</v>
      </c>
      <c r="N1651">
        <v>141123</v>
      </c>
      <c r="O1651" t="s">
        <v>1669</v>
      </c>
      <c r="P1651" s="9">
        <v>192063</v>
      </c>
      <c r="Q1651" s="9">
        <v>13666</v>
      </c>
      <c r="R1651" s="9">
        <v>205729</v>
      </c>
      <c r="S1651" s="9">
        <v>-108144</v>
      </c>
      <c r="T1651" s="10">
        <v>69209</v>
      </c>
      <c r="U1651" s="10">
        <v>1298</v>
      </c>
    </row>
    <row r="1652" spans="1:21" x14ac:dyDescent="0.35">
      <c r="A1652" t="s">
        <v>15</v>
      </c>
      <c r="B1652" t="s">
        <v>20</v>
      </c>
      <c r="C1652" t="s">
        <v>21</v>
      </c>
      <c r="D1652">
        <v>264249</v>
      </c>
      <c r="E1652">
        <v>19502</v>
      </c>
      <c r="F1652">
        <v>52547</v>
      </c>
      <c r="G1652">
        <v>-222836</v>
      </c>
      <c r="H1652">
        <v>113462</v>
      </c>
      <c r="I1652">
        <v>108915</v>
      </c>
      <c r="J1652">
        <v>2272</v>
      </c>
      <c r="K1652">
        <v>550415</v>
      </c>
      <c r="L1652">
        <v>125555</v>
      </c>
      <c r="M1652">
        <v>-126742</v>
      </c>
      <c r="N1652">
        <v>235316</v>
      </c>
      <c r="O1652" t="s">
        <v>1670</v>
      </c>
      <c r="P1652" s="9">
        <v>208926</v>
      </c>
      <c r="Q1652" s="9">
        <v>41046</v>
      </c>
      <c r="R1652" s="9">
        <v>249972</v>
      </c>
      <c r="S1652" s="9">
        <v>-98151</v>
      </c>
      <c r="T1652" s="10">
        <v>73925</v>
      </c>
      <c r="U1652" s="10">
        <v>902</v>
      </c>
    </row>
    <row r="1653" spans="1:21" x14ac:dyDescent="0.35">
      <c r="A1653" t="s">
        <v>15</v>
      </c>
      <c r="B1653" t="s">
        <v>16</v>
      </c>
      <c r="C1653" t="s">
        <v>21</v>
      </c>
      <c r="D1653">
        <v>188001</v>
      </c>
      <c r="E1653">
        <v>11322</v>
      </c>
      <c r="F1653">
        <v>36174</v>
      </c>
      <c r="G1653">
        <v>-184972</v>
      </c>
      <c r="H1653">
        <v>50525</v>
      </c>
      <c r="I1653">
        <v>51977</v>
      </c>
      <c r="J1653">
        <v>1107</v>
      </c>
      <c r="K1653">
        <v>473699</v>
      </c>
      <c r="L1653">
        <v>76658</v>
      </c>
      <c r="M1653">
        <v>-184506</v>
      </c>
      <c r="N1653">
        <v>130118</v>
      </c>
      <c r="O1653" t="s">
        <v>1671</v>
      </c>
      <c r="P1653" s="9">
        <v>157774</v>
      </c>
      <c r="Q1653" s="9">
        <v>30875</v>
      </c>
      <c r="R1653" s="9">
        <v>188649</v>
      </c>
      <c r="S1653" s="9">
        <v>-42227</v>
      </c>
      <c r="T1653" s="10">
        <v>81706</v>
      </c>
      <c r="U1653" s="10">
        <v>885</v>
      </c>
    </row>
    <row r="1654" spans="1:21" x14ac:dyDescent="0.35">
      <c r="A1654" t="s">
        <v>15</v>
      </c>
      <c r="B1654" t="s">
        <v>16</v>
      </c>
      <c r="C1654" t="s">
        <v>21</v>
      </c>
      <c r="D1654">
        <v>228950</v>
      </c>
      <c r="E1654">
        <v>38227</v>
      </c>
      <c r="F1654">
        <v>34956</v>
      </c>
      <c r="G1654">
        <v>-226935</v>
      </c>
      <c r="H1654">
        <v>75198</v>
      </c>
      <c r="I1654">
        <v>76121</v>
      </c>
      <c r="J1654">
        <v>1733</v>
      </c>
      <c r="K1654">
        <v>707044</v>
      </c>
      <c r="L1654">
        <v>348079</v>
      </c>
      <c r="M1654">
        <v>-221411</v>
      </c>
      <c r="N1654">
        <v>203299</v>
      </c>
      <c r="O1654" t="s">
        <v>1672</v>
      </c>
      <c r="P1654" s="9">
        <v>169719</v>
      </c>
      <c r="Q1654" s="9">
        <v>19053</v>
      </c>
      <c r="R1654" s="9">
        <v>188772</v>
      </c>
      <c r="S1654" s="9">
        <v>-93801</v>
      </c>
      <c r="T1654" s="10">
        <v>72933</v>
      </c>
      <c r="U1654" s="10">
        <v>823</v>
      </c>
    </row>
    <row r="1655" spans="1:21" x14ac:dyDescent="0.35">
      <c r="A1655" t="s">
        <v>15</v>
      </c>
      <c r="B1655" t="s">
        <v>16</v>
      </c>
      <c r="C1655" t="s">
        <v>17</v>
      </c>
      <c r="D1655">
        <v>270166</v>
      </c>
      <c r="E1655">
        <v>45808</v>
      </c>
      <c r="F1655">
        <v>48167</v>
      </c>
      <c r="G1655">
        <v>-258352</v>
      </c>
      <c r="H1655">
        <v>105789</v>
      </c>
      <c r="I1655">
        <v>107674</v>
      </c>
      <c r="J1655">
        <v>2620</v>
      </c>
      <c r="K1655">
        <v>836754</v>
      </c>
      <c r="L1655">
        <v>301318</v>
      </c>
      <c r="M1655">
        <v>-200936</v>
      </c>
      <c r="N1655">
        <v>137338</v>
      </c>
      <c r="O1655" t="s">
        <v>1673</v>
      </c>
      <c r="P1655" s="9">
        <v>235359</v>
      </c>
      <c r="Q1655" s="9">
        <v>16180</v>
      </c>
      <c r="R1655" s="9">
        <v>251539</v>
      </c>
      <c r="S1655" s="9">
        <v>-122423</v>
      </c>
      <c r="T1655" s="10">
        <v>72109</v>
      </c>
      <c r="U1655" s="10">
        <v>858</v>
      </c>
    </row>
    <row r="1656" spans="1:21" x14ac:dyDescent="0.35">
      <c r="A1656" t="s">
        <v>15</v>
      </c>
      <c r="B1656" t="s">
        <v>16</v>
      </c>
      <c r="C1656" t="s">
        <v>21</v>
      </c>
      <c r="D1656">
        <v>215512</v>
      </c>
      <c r="E1656">
        <v>31975</v>
      </c>
      <c r="F1656">
        <v>32182</v>
      </c>
      <c r="G1656">
        <v>-211705</v>
      </c>
      <c r="H1656">
        <v>67964</v>
      </c>
      <c r="I1656">
        <v>62278</v>
      </c>
      <c r="J1656">
        <v>937</v>
      </c>
      <c r="K1656">
        <v>505446</v>
      </c>
      <c r="L1656">
        <v>111821</v>
      </c>
      <c r="M1656">
        <v>-78757</v>
      </c>
      <c r="N1656">
        <v>67485</v>
      </c>
      <c r="O1656" t="s">
        <v>1674</v>
      </c>
      <c r="P1656" s="9">
        <v>244503</v>
      </c>
      <c r="Q1656" s="9">
        <v>33235</v>
      </c>
      <c r="R1656" s="9">
        <v>277738</v>
      </c>
      <c r="S1656" s="9">
        <v>-137232</v>
      </c>
      <c r="T1656" s="10">
        <v>91262</v>
      </c>
      <c r="U1656" s="10">
        <v>2498</v>
      </c>
    </row>
    <row r="1657" spans="1:21" x14ac:dyDescent="0.35">
      <c r="A1657" t="s">
        <v>15</v>
      </c>
      <c r="B1657" t="s">
        <v>16</v>
      </c>
      <c r="C1657" t="s">
        <v>21</v>
      </c>
      <c r="D1657">
        <v>281802</v>
      </c>
      <c r="E1657">
        <v>22422</v>
      </c>
      <c r="F1657">
        <v>36103</v>
      </c>
      <c r="G1657">
        <v>-263387</v>
      </c>
      <c r="H1657">
        <v>76940</v>
      </c>
      <c r="I1657">
        <v>76283</v>
      </c>
      <c r="J1657">
        <v>2037</v>
      </c>
      <c r="K1657">
        <v>698889</v>
      </c>
      <c r="L1657">
        <v>254596</v>
      </c>
      <c r="M1657">
        <v>-199406</v>
      </c>
      <c r="N1657">
        <v>207665</v>
      </c>
      <c r="O1657" t="s">
        <v>1675</v>
      </c>
      <c r="P1657" s="9">
        <v>254170</v>
      </c>
      <c r="Q1657" s="9">
        <v>42116</v>
      </c>
      <c r="R1657" s="9">
        <v>296286</v>
      </c>
      <c r="S1657" s="9">
        <v>-166563</v>
      </c>
      <c r="T1657" s="10">
        <v>92214</v>
      </c>
      <c r="U1657" s="10">
        <v>2166</v>
      </c>
    </row>
    <row r="1658" spans="1:21" x14ac:dyDescent="0.35">
      <c r="A1658" t="s">
        <v>15</v>
      </c>
      <c r="B1658" t="s">
        <v>20</v>
      </c>
      <c r="C1658" t="s">
        <v>21</v>
      </c>
      <c r="D1658">
        <v>219013</v>
      </c>
      <c r="E1658">
        <v>15048</v>
      </c>
      <c r="F1658">
        <v>24234</v>
      </c>
      <c r="G1658">
        <v>-217243</v>
      </c>
      <c r="H1658">
        <v>41052</v>
      </c>
      <c r="I1658">
        <v>41194</v>
      </c>
      <c r="J1658">
        <v>484</v>
      </c>
      <c r="K1658">
        <v>440076</v>
      </c>
      <c r="L1658">
        <v>213023</v>
      </c>
      <c r="M1658">
        <v>-83896</v>
      </c>
      <c r="N1658">
        <v>157788</v>
      </c>
      <c r="O1658" t="s">
        <v>1676</v>
      </c>
      <c r="P1658" s="9">
        <v>168134</v>
      </c>
      <c r="Q1658" s="9">
        <v>20865</v>
      </c>
      <c r="R1658" s="9">
        <v>188999</v>
      </c>
      <c r="S1658" s="9">
        <v>-68018</v>
      </c>
      <c r="T1658" s="10">
        <v>61816</v>
      </c>
      <c r="U1658" s="10">
        <v>1326</v>
      </c>
    </row>
    <row r="1659" spans="1:21" x14ac:dyDescent="0.35">
      <c r="A1659" t="s">
        <v>15</v>
      </c>
      <c r="B1659" t="s">
        <v>20</v>
      </c>
      <c r="C1659" t="s">
        <v>21</v>
      </c>
      <c r="D1659">
        <v>167735</v>
      </c>
      <c r="E1659">
        <v>25794</v>
      </c>
      <c r="F1659">
        <v>20749</v>
      </c>
      <c r="G1659">
        <v>-140021</v>
      </c>
      <c r="H1659">
        <v>74257</v>
      </c>
      <c r="I1659">
        <v>67312</v>
      </c>
      <c r="J1659">
        <v>716</v>
      </c>
      <c r="K1659">
        <v>482601</v>
      </c>
      <c r="L1659">
        <v>95260</v>
      </c>
      <c r="M1659">
        <v>-165510</v>
      </c>
      <c r="N1659">
        <v>136384</v>
      </c>
      <c r="O1659" t="s">
        <v>1677</v>
      </c>
      <c r="P1659" s="9">
        <v>192584</v>
      </c>
      <c r="Q1659" s="9">
        <v>19156</v>
      </c>
      <c r="R1659" s="9">
        <v>211740</v>
      </c>
      <c r="S1659" s="9">
        <v>-55613</v>
      </c>
      <c r="T1659" s="10">
        <v>64768</v>
      </c>
      <c r="U1659" s="10">
        <v>1615</v>
      </c>
    </row>
    <row r="1660" spans="1:21" x14ac:dyDescent="0.35">
      <c r="A1660" t="s">
        <v>15</v>
      </c>
      <c r="B1660" t="s">
        <v>20</v>
      </c>
      <c r="C1660" t="s">
        <v>21</v>
      </c>
      <c r="D1660">
        <v>279155</v>
      </c>
      <c r="E1660">
        <v>55179</v>
      </c>
      <c r="F1660">
        <v>59547</v>
      </c>
      <c r="G1660">
        <v>-245115</v>
      </c>
      <c r="H1660">
        <v>148766</v>
      </c>
      <c r="I1660">
        <v>146050</v>
      </c>
      <c r="J1660">
        <v>3350</v>
      </c>
      <c r="K1660">
        <v>817093</v>
      </c>
      <c r="L1660">
        <v>257407</v>
      </c>
      <c r="M1660">
        <v>-252691</v>
      </c>
      <c r="N1660">
        <v>243378</v>
      </c>
      <c r="O1660" t="s">
        <v>1678</v>
      </c>
      <c r="P1660" s="9">
        <v>149649</v>
      </c>
      <c r="Q1660" s="9">
        <v>11033</v>
      </c>
      <c r="R1660" s="9">
        <v>160682</v>
      </c>
      <c r="S1660" s="9">
        <v>-73809</v>
      </c>
      <c r="T1660" s="10">
        <v>66995</v>
      </c>
      <c r="U1660" s="10">
        <v>954</v>
      </c>
    </row>
    <row r="1661" spans="1:21" x14ac:dyDescent="0.35">
      <c r="A1661" t="s">
        <v>15</v>
      </c>
      <c r="B1661" t="s">
        <v>16</v>
      </c>
      <c r="C1661" t="s">
        <v>17</v>
      </c>
      <c r="D1661">
        <v>211668</v>
      </c>
      <c r="E1661">
        <v>21603</v>
      </c>
      <c r="F1661">
        <v>44357</v>
      </c>
      <c r="G1661">
        <v>-177932</v>
      </c>
      <c r="H1661">
        <v>99696</v>
      </c>
      <c r="I1661">
        <v>104360</v>
      </c>
      <c r="J1661">
        <v>2497</v>
      </c>
      <c r="K1661">
        <v>567906</v>
      </c>
      <c r="L1661">
        <v>248531</v>
      </c>
      <c r="M1661">
        <v>-150785</v>
      </c>
      <c r="N1661">
        <v>135583</v>
      </c>
      <c r="O1661" t="s">
        <v>1679</v>
      </c>
      <c r="P1661" s="9">
        <v>201217</v>
      </c>
      <c r="Q1661" s="9">
        <v>9462</v>
      </c>
      <c r="R1661" s="9">
        <v>210679</v>
      </c>
      <c r="S1661" s="9">
        <v>-80275</v>
      </c>
      <c r="T1661" s="10">
        <v>32717</v>
      </c>
      <c r="U1661" s="10">
        <v>779</v>
      </c>
    </row>
    <row r="1662" spans="1:21" x14ac:dyDescent="0.35">
      <c r="A1662" t="s">
        <v>15</v>
      </c>
      <c r="B1662" t="s">
        <v>16</v>
      </c>
      <c r="C1662" t="s">
        <v>21</v>
      </c>
      <c r="D1662">
        <v>273140</v>
      </c>
      <c r="E1662">
        <v>31305</v>
      </c>
      <c r="F1662">
        <v>48569</v>
      </c>
      <c r="G1662">
        <v>-248121</v>
      </c>
      <c r="H1662">
        <v>104893</v>
      </c>
      <c r="I1662">
        <v>96838</v>
      </c>
      <c r="J1662">
        <v>2660</v>
      </c>
      <c r="K1662">
        <v>774743</v>
      </c>
      <c r="L1662">
        <v>110818</v>
      </c>
      <c r="M1662">
        <v>-214978</v>
      </c>
      <c r="N1662">
        <v>188010</v>
      </c>
      <c r="O1662" t="s">
        <v>1680</v>
      </c>
      <c r="P1662" s="9">
        <v>293723</v>
      </c>
      <c r="Q1662" s="9">
        <v>16850</v>
      </c>
      <c r="R1662" s="9">
        <v>310573</v>
      </c>
      <c r="S1662" s="9">
        <v>-98918</v>
      </c>
      <c r="T1662" s="10">
        <v>76823</v>
      </c>
      <c r="U1662" s="10">
        <v>2232</v>
      </c>
    </row>
    <row r="1663" spans="1:21" x14ac:dyDescent="0.35">
      <c r="A1663" t="s">
        <v>15</v>
      </c>
      <c r="B1663" t="s">
        <v>20</v>
      </c>
      <c r="C1663" t="s">
        <v>21</v>
      </c>
      <c r="D1663">
        <v>201907</v>
      </c>
      <c r="E1663">
        <v>16841</v>
      </c>
      <c r="F1663">
        <v>44938</v>
      </c>
      <c r="G1663">
        <v>-184517</v>
      </c>
      <c r="H1663">
        <v>79169</v>
      </c>
      <c r="I1663">
        <v>80795</v>
      </c>
      <c r="J1663">
        <v>2020</v>
      </c>
      <c r="K1663">
        <v>581585</v>
      </c>
      <c r="L1663">
        <v>274409</v>
      </c>
      <c r="M1663">
        <v>-119779</v>
      </c>
      <c r="N1663">
        <v>149689</v>
      </c>
      <c r="O1663" t="s">
        <v>1681</v>
      </c>
      <c r="P1663" s="9">
        <v>201710</v>
      </c>
      <c r="Q1663" s="9">
        <v>24444</v>
      </c>
      <c r="R1663" s="9">
        <v>226154</v>
      </c>
      <c r="S1663" s="9">
        <v>-53118</v>
      </c>
      <c r="T1663" s="10">
        <v>83128</v>
      </c>
      <c r="U1663" s="10">
        <v>882</v>
      </c>
    </row>
    <row r="1664" spans="1:21" x14ac:dyDescent="0.35">
      <c r="A1664" t="s">
        <v>15</v>
      </c>
      <c r="B1664" t="s">
        <v>16</v>
      </c>
      <c r="C1664" t="s">
        <v>21</v>
      </c>
      <c r="D1664">
        <v>294108</v>
      </c>
      <c r="E1664">
        <v>19946</v>
      </c>
      <c r="F1664">
        <v>36080</v>
      </c>
      <c r="G1664">
        <v>-288184</v>
      </c>
      <c r="H1664">
        <v>61950</v>
      </c>
      <c r="I1664">
        <v>58455</v>
      </c>
      <c r="J1664">
        <v>1514</v>
      </c>
      <c r="K1664">
        <v>722343</v>
      </c>
      <c r="L1664">
        <v>197133</v>
      </c>
      <c r="M1664">
        <v>-166210</v>
      </c>
      <c r="N1664">
        <v>251219</v>
      </c>
      <c r="O1664" t="s">
        <v>1682</v>
      </c>
      <c r="P1664" s="9">
        <v>263275</v>
      </c>
      <c r="Q1664" s="9">
        <v>51102</v>
      </c>
      <c r="R1664" s="9">
        <v>314377</v>
      </c>
      <c r="S1664" s="9">
        <v>-109848</v>
      </c>
      <c r="T1664" s="10">
        <v>119706</v>
      </c>
      <c r="U1664" s="10">
        <v>2467</v>
      </c>
    </row>
    <row r="1665" spans="1:21" x14ac:dyDescent="0.35">
      <c r="A1665" t="s">
        <v>15</v>
      </c>
      <c r="B1665" t="s">
        <v>16</v>
      </c>
      <c r="C1665" t="s">
        <v>21</v>
      </c>
      <c r="D1665">
        <v>161823</v>
      </c>
      <c r="E1665">
        <v>21241</v>
      </c>
      <c r="F1665">
        <v>30723</v>
      </c>
      <c r="G1665">
        <v>-136732</v>
      </c>
      <c r="H1665">
        <v>77055</v>
      </c>
      <c r="I1665">
        <v>80578</v>
      </c>
      <c r="J1665">
        <v>1047</v>
      </c>
      <c r="K1665">
        <v>426555</v>
      </c>
      <c r="L1665">
        <v>110574</v>
      </c>
      <c r="M1665">
        <v>-133970</v>
      </c>
      <c r="N1665">
        <v>100310</v>
      </c>
      <c r="O1665" t="s">
        <v>1683</v>
      </c>
      <c r="P1665" s="9">
        <v>250647</v>
      </c>
      <c r="Q1665" s="9">
        <v>31041</v>
      </c>
      <c r="R1665" s="9">
        <v>281688</v>
      </c>
      <c r="S1665" s="9">
        <v>-160812</v>
      </c>
      <c r="T1665" s="10">
        <v>124947</v>
      </c>
      <c r="U1665" s="10">
        <v>1275</v>
      </c>
    </row>
    <row r="1666" spans="1:21" x14ac:dyDescent="0.35">
      <c r="A1666" t="s">
        <v>15</v>
      </c>
      <c r="B1666" t="s">
        <v>16</v>
      </c>
      <c r="C1666" t="s">
        <v>21</v>
      </c>
      <c r="D1666">
        <v>274417</v>
      </c>
      <c r="E1666">
        <v>18330</v>
      </c>
      <c r="F1666">
        <v>31682</v>
      </c>
      <c r="G1666">
        <v>-220934</v>
      </c>
      <c r="H1666">
        <v>103495</v>
      </c>
      <c r="I1666">
        <v>95592</v>
      </c>
      <c r="J1666">
        <v>2741</v>
      </c>
      <c r="K1666">
        <v>586362</v>
      </c>
      <c r="L1666">
        <v>86543</v>
      </c>
      <c r="M1666">
        <v>-83799</v>
      </c>
      <c r="N1666">
        <v>132189</v>
      </c>
      <c r="O1666" t="s">
        <v>1684</v>
      </c>
      <c r="P1666" s="9">
        <v>240881</v>
      </c>
      <c r="Q1666" s="9">
        <v>36333</v>
      </c>
      <c r="R1666" s="9">
        <v>277214</v>
      </c>
      <c r="S1666" s="9">
        <v>-76178</v>
      </c>
      <c r="T1666" s="10">
        <v>102000</v>
      </c>
      <c r="U1666" s="10">
        <v>2484</v>
      </c>
    </row>
    <row r="1667" spans="1:21" x14ac:dyDescent="0.35">
      <c r="A1667" t="s">
        <v>15</v>
      </c>
      <c r="B1667" t="s">
        <v>16</v>
      </c>
      <c r="C1667" t="s">
        <v>21</v>
      </c>
      <c r="D1667">
        <v>276562</v>
      </c>
      <c r="E1667">
        <v>39777</v>
      </c>
      <c r="F1667">
        <v>60341</v>
      </c>
      <c r="G1667">
        <v>-223965</v>
      </c>
      <c r="H1667">
        <v>152715</v>
      </c>
      <c r="I1667">
        <v>146413</v>
      </c>
      <c r="J1667">
        <v>1887</v>
      </c>
      <c r="K1667">
        <v>924940</v>
      </c>
      <c r="L1667">
        <v>387894</v>
      </c>
      <c r="M1667">
        <v>-357917</v>
      </c>
      <c r="N1667">
        <v>118681</v>
      </c>
      <c r="O1667" t="s">
        <v>1685</v>
      </c>
      <c r="P1667" s="9">
        <v>313201</v>
      </c>
      <c r="Q1667" s="9">
        <v>22119</v>
      </c>
      <c r="R1667" s="9">
        <v>335320</v>
      </c>
      <c r="S1667" s="9">
        <v>-105867</v>
      </c>
      <c r="T1667" s="10">
        <v>101605</v>
      </c>
      <c r="U1667" s="10">
        <v>2454</v>
      </c>
    </row>
    <row r="1668" spans="1:21" x14ac:dyDescent="0.35">
      <c r="A1668" t="s">
        <v>15</v>
      </c>
      <c r="B1668" t="s">
        <v>16</v>
      </c>
      <c r="C1668" t="s">
        <v>21</v>
      </c>
      <c r="D1668">
        <v>299975</v>
      </c>
      <c r="E1668">
        <v>32308</v>
      </c>
      <c r="F1668">
        <v>65703</v>
      </c>
      <c r="G1668">
        <v>-252049</v>
      </c>
      <c r="H1668">
        <v>145937</v>
      </c>
      <c r="I1668">
        <v>145638</v>
      </c>
      <c r="J1668">
        <v>4124</v>
      </c>
      <c r="K1668">
        <v>898664</v>
      </c>
      <c r="L1668">
        <v>207704</v>
      </c>
      <c r="M1668">
        <v>-292945</v>
      </c>
      <c r="N1668">
        <v>260813</v>
      </c>
      <c r="O1668" t="s">
        <v>1686</v>
      </c>
      <c r="P1668" s="9">
        <v>274189</v>
      </c>
      <c r="Q1668" s="9">
        <v>19616</v>
      </c>
      <c r="R1668" s="9">
        <v>293805</v>
      </c>
      <c r="S1668" s="9">
        <v>-69099</v>
      </c>
      <c r="T1668" s="10">
        <v>94368</v>
      </c>
      <c r="U1668" s="10">
        <v>1297</v>
      </c>
    </row>
    <row r="1669" spans="1:21" x14ac:dyDescent="0.35">
      <c r="A1669" t="s">
        <v>15</v>
      </c>
      <c r="B1669" t="s">
        <v>16</v>
      </c>
      <c r="C1669" t="s">
        <v>21</v>
      </c>
      <c r="D1669">
        <v>205386</v>
      </c>
      <c r="E1669">
        <v>40298</v>
      </c>
      <c r="F1669">
        <v>33489</v>
      </c>
      <c r="G1669">
        <v>-167260</v>
      </c>
      <c r="H1669">
        <v>111913</v>
      </c>
      <c r="I1669">
        <v>114330</v>
      </c>
      <c r="J1669">
        <v>1771</v>
      </c>
      <c r="K1669">
        <v>468166</v>
      </c>
      <c r="L1669">
        <v>95860</v>
      </c>
      <c r="M1669">
        <v>-89293</v>
      </c>
      <c r="N1669">
        <v>141503</v>
      </c>
      <c r="O1669" t="s">
        <v>1687</v>
      </c>
      <c r="P1669" s="9">
        <v>208734</v>
      </c>
      <c r="Q1669" s="9">
        <v>19460</v>
      </c>
      <c r="R1669" s="9">
        <v>228194</v>
      </c>
      <c r="S1669" s="9">
        <v>-64829</v>
      </c>
      <c r="T1669" s="10">
        <v>82225</v>
      </c>
      <c r="U1669" s="10">
        <v>906</v>
      </c>
    </row>
    <row r="1670" spans="1:21" x14ac:dyDescent="0.35">
      <c r="A1670" t="s">
        <v>15</v>
      </c>
      <c r="B1670" t="s">
        <v>16</v>
      </c>
      <c r="C1670" t="s">
        <v>17</v>
      </c>
      <c r="D1670">
        <v>286191</v>
      </c>
      <c r="E1670">
        <v>21830</v>
      </c>
      <c r="F1670">
        <v>29959</v>
      </c>
      <c r="G1670">
        <v>-271175</v>
      </c>
      <c r="H1670">
        <v>66805</v>
      </c>
      <c r="I1670">
        <v>67990</v>
      </c>
      <c r="J1670">
        <v>1587</v>
      </c>
      <c r="K1670">
        <v>1004392</v>
      </c>
      <c r="L1670">
        <v>172818</v>
      </c>
      <c r="M1670">
        <v>-264514</v>
      </c>
      <c r="N1670">
        <v>252708</v>
      </c>
      <c r="O1670" t="s">
        <v>1688</v>
      </c>
      <c r="P1670" s="9">
        <v>283169</v>
      </c>
      <c r="Q1670" s="9">
        <v>25238</v>
      </c>
      <c r="R1670" s="9">
        <v>308407</v>
      </c>
      <c r="S1670" s="9">
        <v>-161841</v>
      </c>
      <c r="T1670" s="10">
        <v>57831</v>
      </c>
      <c r="U1670" s="10">
        <v>1064</v>
      </c>
    </row>
    <row r="1671" spans="1:21" x14ac:dyDescent="0.35">
      <c r="A1671" t="s">
        <v>15</v>
      </c>
      <c r="B1671" t="s">
        <v>16</v>
      </c>
      <c r="C1671" t="s">
        <v>21</v>
      </c>
      <c r="D1671">
        <v>199275</v>
      </c>
      <c r="E1671">
        <v>14208</v>
      </c>
      <c r="F1671">
        <v>44059</v>
      </c>
      <c r="G1671">
        <v>-171066</v>
      </c>
      <c r="H1671">
        <v>86476</v>
      </c>
      <c r="I1671">
        <v>78627</v>
      </c>
      <c r="J1671">
        <v>1332</v>
      </c>
      <c r="K1671">
        <v>773917</v>
      </c>
      <c r="L1671">
        <v>84052</v>
      </c>
      <c r="M1671">
        <v>-166618</v>
      </c>
      <c r="N1671">
        <v>123548</v>
      </c>
      <c r="O1671" t="s">
        <v>1689</v>
      </c>
      <c r="P1671" s="9">
        <v>280775</v>
      </c>
      <c r="Q1671" s="9">
        <v>15126</v>
      </c>
      <c r="R1671" s="9">
        <v>295901</v>
      </c>
      <c r="S1671" s="9">
        <v>-157637</v>
      </c>
      <c r="T1671" s="10">
        <v>53858</v>
      </c>
      <c r="U1671" s="10">
        <v>758</v>
      </c>
    </row>
    <row r="1672" spans="1:21" x14ac:dyDescent="0.35">
      <c r="A1672" t="s">
        <v>15</v>
      </c>
      <c r="B1672" t="s">
        <v>20</v>
      </c>
      <c r="C1672" t="s">
        <v>17</v>
      </c>
      <c r="D1672">
        <v>199967</v>
      </c>
      <c r="E1672">
        <v>23810</v>
      </c>
      <c r="F1672">
        <v>28940</v>
      </c>
      <c r="G1672">
        <v>-196692</v>
      </c>
      <c r="H1672">
        <v>56025</v>
      </c>
      <c r="I1672">
        <v>50550</v>
      </c>
      <c r="J1672">
        <v>976</v>
      </c>
      <c r="K1672">
        <v>505586</v>
      </c>
      <c r="L1672">
        <v>152021</v>
      </c>
      <c r="M1672">
        <v>-108802</v>
      </c>
      <c r="N1672">
        <v>89651</v>
      </c>
      <c r="O1672" t="s">
        <v>1690</v>
      </c>
      <c r="P1672" s="9">
        <v>190248</v>
      </c>
      <c r="Q1672" s="9">
        <v>19954</v>
      </c>
      <c r="R1672" s="9">
        <v>210202</v>
      </c>
      <c r="S1672" s="9">
        <v>-98301</v>
      </c>
      <c r="T1672" s="10">
        <v>43354</v>
      </c>
      <c r="U1672" s="10">
        <v>618</v>
      </c>
    </row>
    <row r="1673" spans="1:21" x14ac:dyDescent="0.35">
      <c r="A1673" t="s">
        <v>15</v>
      </c>
      <c r="B1673" t="s">
        <v>20</v>
      </c>
      <c r="C1673" t="s">
        <v>21</v>
      </c>
      <c r="D1673">
        <v>247070</v>
      </c>
      <c r="E1673">
        <v>49202</v>
      </c>
      <c r="F1673">
        <v>48385</v>
      </c>
      <c r="G1673">
        <v>-238706</v>
      </c>
      <c r="H1673">
        <v>105951</v>
      </c>
      <c r="I1673">
        <v>101093</v>
      </c>
      <c r="J1673">
        <v>1036</v>
      </c>
      <c r="K1673">
        <v>891602</v>
      </c>
      <c r="L1673">
        <v>389631</v>
      </c>
      <c r="M1673">
        <v>-200323</v>
      </c>
      <c r="N1673">
        <v>153384</v>
      </c>
      <c r="O1673" t="s">
        <v>1691</v>
      </c>
      <c r="P1673" s="9">
        <v>195591</v>
      </c>
      <c r="Q1673" s="9">
        <v>32217</v>
      </c>
      <c r="R1673" s="9">
        <v>227808</v>
      </c>
      <c r="S1673" s="9">
        <v>-123119</v>
      </c>
      <c r="T1673" s="10">
        <v>108817</v>
      </c>
      <c r="U1673" s="10">
        <v>1542</v>
      </c>
    </row>
    <row r="1674" spans="1:21" x14ac:dyDescent="0.35">
      <c r="A1674" t="s">
        <v>15</v>
      </c>
      <c r="B1674" t="s">
        <v>16</v>
      </c>
      <c r="C1674" t="s">
        <v>21</v>
      </c>
      <c r="D1674">
        <v>299142</v>
      </c>
      <c r="E1674">
        <v>28159</v>
      </c>
      <c r="F1674">
        <v>63947</v>
      </c>
      <c r="G1674">
        <v>-272194</v>
      </c>
      <c r="H1674">
        <v>119054</v>
      </c>
      <c r="I1674">
        <v>109952</v>
      </c>
      <c r="J1674">
        <v>2928</v>
      </c>
      <c r="K1674">
        <v>826639</v>
      </c>
      <c r="L1674">
        <v>181956</v>
      </c>
      <c r="M1674">
        <v>-115782</v>
      </c>
      <c r="N1674">
        <v>189726</v>
      </c>
      <c r="O1674" t="s">
        <v>1692</v>
      </c>
      <c r="P1674" s="9">
        <v>163660</v>
      </c>
      <c r="Q1674" s="9">
        <v>9551</v>
      </c>
      <c r="R1674" s="9">
        <v>173211</v>
      </c>
      <c r="S1674" s="9">
        <v>-100777</v>
      </c>
      <c r="T1674" s="10">
        <v>52944</v>
      </c>
      <c r="U1674" s="10">
        <v>1474</v>
      </c>
    </row>
    <row r="1675" spans="1:21" x14ac:dyDescent="0.35">
      <c r="A1675" t="s">
        <v>15</v>
      </c>
      <c r="B1675" t="s">
        <v>16</v>
      </c>
      <c r="C1675" t="s">
        <v>17</v>
      </c>
      <c r="D1675">
        <v>208108</v>
      </c>
      <c r="E1675">
        <v>23395</v>
      </c>
      <c r="F1675">
        <v>28089</v>
      </c>
      <c r="G1675">
        <v>-168069</v>
      </c>
      <c r="H1675">
        <v>91523</v>
      </c>
      <c r="I1675">
        <v>94875</v>
      </c>
      <c r="J1675">
        <v>1886</v>
      </c>
      <c r="K1675">
        <v>576741</v>
      </c>
      <c r="L1675">
        <v>199484</v>
      </c>
      <c r="M1675">
        <v>-192810</v>
      </c>
      <c r="N1675">
        <v>158000</v>
      </c>
      <c r="O1675" t="s">
        <v>1693</v>
      </c>
      <c r="P1675" s="9">
        <v>286440</v>
      </c>
      <c r="Q1675" s="9">
        <v>25648</v>
      </c>
      <c r="R1675" s="9">
        <v>312088</v>
      </c>
      <c r="S1675" s="9">
        <v>-149273</v>
      </c>
      <c r="T1675" s="10">
        <v>123721</v>
      </c>
      <c r="U1675" s="10">
        <v>3262</v>
      </c>
    </row>
    <row r="1676" spans="1:21" x14ac:dyDescent="0.35">
      <c r="A1676" t="s">
        <v>15</v>
      </c>
      <c r="B1676" t="s">
        <v>20</v>
      </c>
      <c r="C1676" t="s">
        <v>21</v>
      </c>
      <c r="D1676">
        <v>296050</v>
      </c>
      <c r="E1676">
        <v>47132</v>
      </c>
      <c r="F1676">
        <v>64733</v>
      </c>
      <c r="G1676">
        <v>-289635</v>
      </c>
      <c r="H1676">
        <v>118280</v>
      </c>
      <c r="I1676">
        <v>114727</v>
      </c>
      <c r="J1676">
        <v>3041</v>
      </c>
      <c r="K1676">
        <v>712450</v>
      </c>
      <c r="L1676">
        <v>253122</v>
      </c>
      <c r="M1676">
        <v>-274290</v>
      </c>
      <c r="N1676">
        <v>191001</v>
      </c>
      <c r="O1676" t="s">
        <v>1694</v>
      </c>
      <c r="P1676" s="9">
        <v>246268</v>
      </c>
      <c r="Q1676" s="9">
        <v>35380</v>
      </c>
      <c r="R1676" s="9">
        <v>281648</v>
      </c>
      <c r="S1676" s="9">
        <v>-131212</v>
      </c>
      <c r="T1676" s="10">
        <v>71746</v>
      </c>
      <c r="U1676" s="10">
        <v>1834</v>
      </c>
    </row>
    <row r="1677" spans="1:21" x14ac:dyDescent="0.35">
      <c r="A1677" t="s">
        <v>15</v>
      </c>
      <c r="B1677" t="s">
        <v>16</v>
      </c>
      <c r="C1677" t="s">
        <v>21</v>
      </c>
      <c r="D1677">
        <v>290685</v>
      </c>
      <c r="E1677">
        <v>26308</v>
      </c>
      <c r="F1677">
        <v>69038</v>
      </c>
      <c r="G1677">
        <v>-263058</v>
      </c>
      <c r="H1677">
        <v>122973</v>
      </c>
      <c r="I1677">
        <v>120507</v>
      </c>
      <c r="J1677">
        <v>2454</v>
      </c>
      <c r="K1677">
        <v>838520</v>
      </c>
      <c r="L1677">
        <v>397448</v>
      </c>
      <c r="M1677">
        <v>-277923</v>
      </c>
      <c r="N1677">
        <v>238577</v>
      </c>
      <c r="O1677" t="s">
        <v>1695</v>
      </c>
      <c r="P1677" s="9">
        <v>234823</v>
      </c>
      <c r="Q1677" s="9">
        <v>30181</v>
      </c>
      <c r="R1677" s="9">
        <v>265004</v>
      </c>
      <c r="S1677" s="9">
        <v>-139160</v>
      </c>
      <c r="T1677" s="10">
        <v>110735</v>
      </c>
      <c r="U1677" s="10">
        <v>1119</v>
      </c>
    </row>
    <row r="1678" spans="1:21" x14ac:dyDescent="0.35">
      <c r="A1678" t="s">
        <v>15</v>
      </c>
      <c r="B1678" t="s">
        <v>20</v>
      </c>
      <c r="C1678" t="s">
        <v>21</v>
      </c>
      <c r="D1678">
        <v>219804</v>
      </c>
      <c r="E1678">
        <v>42712</v>
      </c>
      <c r="F1678">
        <v>25645</v>
      </c>
      <c r="G1678">
        <v>-191816</v>
      </c>
      <c r="H1678">
        <v>96345</v>
      </c>
      <c r="I1678">
        <v>93524</v>
      </c>
      <c r="J1678">
        <v>2176</v>
      </c>
      <c r="K1678">
        <v>486353</v>
      </c>
      <c r="L1678">
        <v>116742</v>
      </c>
      <c r="M1678">
        <v>-107225</v>
      </c>
      <c r="N1678">
        <v>130508</v>
      </c>
      <c r="O1678" t="s">
        <v>1696</v>
      </c>
      <c r="P1678" s="9">
        <v>270775</v>
      </c>
      <c r="Q1678" s="9">
        <v>34251</v>
      </c>
      <c r="R1678" s="9">
        <v>305026</v>
      </c>
      <c r="S1678" s="9">
        <v>-152597</v>
      </c>
      <c r="T1678" s="10">
        <v>108903</v>
      </c>
      <c r="U1678" s="10">
        <v>2402</v>
      </c>
    </row>
    <row r="1679" spans="1:21" x14ac:dyDescent="0.35">
      <c r="A1679" t="s">
        <v>15</v>
      </c>
      <c r="B1679" t="s">
        <v>16</v>
      </c>
      <c r="C1679" t="s">
        <v>21</v>
      </c>
      <c r="D1679">
        <v>295898</v>
      </c>
      <c r="E1679">
        <v>42234</v>
      </c>
      <c r="F1679">
        <v>46813</v>
      </c>
      <c r="G1679">
        <v>-295242</v>
      </c>
      <c r="H1679">
        <v>89703</v>
      </c>
      <c r="I1679">
        <v>82287</v>
      </c>
      <c r="J1679">
        <v>1098</v>
      </c>
      <c r="K1679">
        <v>1073567</v>
      </c>
      <c r="L1679">
        <v>513290</v>
      </c>
      <c r="M1679">
        <v>-199154</v>
      </c>
      <c r="N1679">
        <v>147039</v>
      </c>
      <c r="O1679" t="s">
        <v>1697</v>
      </c>
      <c r="P1679" s="9">
        <v>229773</v>
      </c>
      <c r="Q1679" s="9">
        <v>13829</v>
      </c>
      <c r="R1679" s="9">
        <v>243602</v>
      </c>
      <c r="S1679" s="9">
        <v>-142036</v>
      </c>
      <c r="T1679" s="10">
        <v>59604</v>
      </c>
      <c r="U1679" s="10">
        <v>1236</v>
      </c>
    </row>
    <row r="1680" spans="1:21" x14ac:dyDescent="0.35">
      <c r="A1680" t="s">
        <v>15</v>
      </c>
      <c r="B1680" t="s">
        <v>16</v>
      </c>
      <c r="C1680" t="s">
        <v>21</v>
      </c>
      <c r="D1680">
        <v>252125</v>
      </c>
      <c r="E1680">
        <v>16915</v>
      </c>
      <c r="F1680">
        <v>49234</v>
      </c>
      <c r="G1680">
        <v>-230261</v>
      </c>
      <c r="H1680">
        <v>88013</v>
      </c>
      <c r="I1680">
        <v>86722</v>
      </c>
      <c r="J1680">
        <v>1600</v>
      </c>
      <c r="K1680">
        <v>812413</v>
      </c>
      <c r="L1680">
        <v>356131</v>
      </c>
      <c r="M1680">
        <v>-286071</v>
      </c>
      <c r="N1680">
        <v>82904</v>
      </c>
      <c r="O1680" t="s">
        <v>1698</v>
      </c>
      <c r="P1680" s="9">
        <v>187562</v>
      </c>
      <c r="Q1680" s="9">
        <v>14190</v>
      </c>
      <c r="R1680" s="9">
        <v>201752</v>
      </c>
      <c r="S1680" s="9">
        <v>-86497</v>
      </c>
      <c r="T1680" s="10">
        <v>49264</v>
      </c>
      <c r="U1680" s="10">
        <v>1109</v>
      </c>
    </row>
    <row r="1681" spans="1:21" x14ac:dyDescent="0.35">
      <c r="A1681" t="s">
        <v>15</v>
      </c>
      <c r="B1681" t="s">
        <v>16</v>
      </c>
      <c r="C1681" t="s">
        <v>17</v>
      </c>
      <c r="D1681">
        <v>257110</v>
      </c>
      <c r="E1681">
        <v>38069</v>
      </c>
      <c r="F1681">
        <v>40439</v>
      </c>
      <c r="G1681">
        <v>-224689</v>
      </c>
      <c r="H1681">
        <v>110929</v>
      </c>
      <c r="I1681">
        <v>112042</v>
      </c>
      <c r="J1681">
        <v>1904</v>
      </c>
      <c r="K1681">
        <v>902595</v>
      </c>
      <c r="L1681">
        <v>110729</v>
      </c>
      <c r="M1681">
        <v>-282177</v>
      </c>
      <c r="N1681">
        <v>115652</v>
      </c>
      <c r="O1681" t="s">
        <v>1699</v>
      </c>
      <c r="P1681" s="9">
        <v>153199</v>
      </c>
      <c r="Q1681" s="9">
        <v>21503</v>
      </c>
      <c r="R1681" s="9">
        <v>174702</v>
      </c>
      <c r="S1681" s="9">
        <v>-85562</v>
      </c>
      <c r="T1681" s="10">
        <v>59325</v>
      </c>
      <c r="U1681" s="10">
        <v>1123</v>
      </c>
    </row>
    <row r="1682" spans="1:21" x14ac:dyDescent="0.35">
      <c r="A1682" t="s">
        <v>15</v>
      </c>
      <c r="B1682" t="s">
        <v>16</v>
      </c>
      <c r="C1682" t="s">
        <v>21</v>
      </c>
      <c r="D1682">
        <v>239277</v>
      </c>
      <c r="E1682">
        <v>41980</v>
      </c>
      <c r="F1682">
        <v>46361</v>
      </c>
      <c r="G1682">
        <v>-228455</v>
      </c>
      <c r="H1682">
        <v>99163</v>
      </c>
      <c r="I1682">
        <v>99350</v>
      </c>
      <c r="J1682">
        <v>2761</v>
      </c>
      <c r="K1682">
        <v>553148</v>
      </c>
      <c r="L1682">
        <v>237672</v>
      </c>
      <c r="M1682">
        <v>-67589</v>
      </c>
      <c r="N1682">
        <v>162311</v>
      </c>
      <c r="O1682" t="s">
        <v>1700</v>
      </c>
      <c r="P1682" s="9">
        <v>214491</v>
      </c>
      <c r="Q1682" s="9">
        <v>9436</v>
      </c>
      <c r="R1682" s="9">
        <v>223927</v>
      </c>
      <c r="S1682" s="9">
        <v>-77657</v>
      </c>
      <c r="T1682" s="10">
        <v>76668</v>
      </c>
      <c r="U1682" s="10">
        <v>1557</v>
      </c>
    </row>
    <row r="1683" spans="1:21" x14ac:dyDescent="0.35">
      <c r="A1683" t="s">
        <v>15</v>
      </c>
      <c r="B1683" t="s">
        <v>20</v>
      </c>
      <c r="C1683" t="s">
        <v>21</v>
      </c>
      <c r="D1683">
        <v>252511</v>
      </c>
      <c r="E1683">
        <v>15452</v>
      </c>
      <c r="F1683">
        <v>33743</v>
      </c>
      <c r="G1683">
        <v>-212602</v>
      </c>
      <c r="H1683">
        <v>89104</v>
      </c>
      <c r="I1683">
        <v>84222</v>
      </c>
      <c r="J1683">
        <v>2278</v>
      </c>
      <c r="K1683">
        <v>717502</v>
      </c>
      <c r="L1683">
        <v>82531</v>
      </c>
      <c r="M1683">
        <v>-117637</v>
      </c>
      <c r="N1683">
        <v>156143</v>
      </c>
      <c r="O1683" t="s">
        <v>1701</v>
      </c>
      <c r="P1683" s="9">
        <v>283092</v>
      </c>
      <c r="Q1683" s="9">
        <v>26463</v>
      </c>
      <c r="R1683" s="9">
        <v>309555</v>
      </c>
      <c r="S1683" s="9">
        <v>-98165</v>
      </c>
      <c r="T1683" s="10">
        <v>97192</v>
      </c>
      <c r="U1683" s="10">
        <v>1442</v>
      </c>
    </row>
    <row r="1684" spans="1:21" x14ac:dyDescent="0.35">
      <c r="A1684" t="s">
        <v>15</v>
      </c>
      <c r="B1684" t="s">
        <v>16</v>
      </c>
      <c r="C1684" t="s">
        <v>21</v>
      </c>
      <c r="D1684">
        <v>250173</v>
      </c>
      <c r="E1684">
        <v>15813</v>
      </c>
      <c r="F1684">
        <v>40371</v>
      </c>
      <c r="G1684">
        <v>-234811</v>
      </c>
      <c r="H1684">
        <v>71546</v>
      </c>
      <c r="I1684">
        <v>70704</v>
      </c>
      <c r="J1684">
        <v>2032</v>
      </c>
      <c r="K1684">
        <v>663225</v>
      </c>
      <c r="L1684">
        <v>225439</v>
      </c>
      <c r="M1684">
        <v>-234749</v>
      </c>
      <c r="N1684">
        <v>215769</v>
      </c>
      <c r="O1684" t="s">
        <v>1702</v>
      </c>
      <c r="P1684" s="9">
        <v>160733</v>
      </c>
      <c r="Q1684" s="9">
        <v>20271</v>
      </c>
      <c r="R1684" s="9">
        <v>181004</v>
      </c>
      <c r="S1684" s="9">
        <v>-75222</v>
      </c>
      <c r="T1684" s="10">
        <v>67106</v>
      </c>
      <c r="U1684" s="10">
        <v>1753</v>
      </c>
    </row>
    <row r="1685" spans="1:21" x14ac:dyDescent="0.35">
      <c r="A1685" t="s">
        <v>15</v>
      </c>
      <c r="B1685" t="s">
        <v>20</v>
      </c>
      <c r="C1685" t="s">
        <v>21</v>
      </c>
      <c r="D1685">
        <v>184012</v>
      </c>
      <c r="E1685">
        <v>18016</v>
      </c>
      <c r="F1685">
        <v>30508</v>
      </c>
      <c r="G1685">
        <v>-151220</v>
      </c>
      <c r="H1685">
        <v>81316</v>
      </c>
      <c r="I1685">
        <v>85320</v>
      </c>
      <c r="J1685">
        <v>2521</v>
      </c>
      <c r="K1685">
        <v>499965</v>
      </c>
      <c r="L1685">
        <v>58561</v>
      </c>
      <c r="M1685">
        <v>-169192</v>
      </c>
      <c r="N1685">
        <v>109763</v>
      </c>
      <c r="O1685" t="s">
        <v>1703</v>
      </c>
      <c r="P1685" s="9">
        <v>231000</v>
      </c>
      <c r="Q1685" s="9">
        <v>38068</v>
      </c>
      <c r="R1685" s="9">
        <v>269068</v>
      </c>
      <c r="S1685" s="9">
        <v>-136978</v>
      </c>
      <c r="T1685" s="10">
        <v>98719</v>
      </c>
      <c r="U1685" s="10">
        <v>1014</v>
      </c>
    </row>
    <row r="1686" spans="1:21" x14ac:dyDescent="0.35">
      <c r="A1686" t="s">
        <v>15</v>
      </c>
      <c r="B1686" t="s">
        <v>20</v>
      </c>
      <c r="C1686" t="s">
        <v>21</v>
      </c>
      <c r="D1686">
        <v>263247</v>
      </c>
      <c r="E1686">
        <v>23253</v>
      </c>
      <c r="F1686">
        <v>40504</v>
      </c>
      <c r="G1686">
        <v>-246971</v>
      </c>
      <c r="H1686">
        <v>80033</v>
      </c>
      <c r="I1686">
        <v>79649</v>
      </c>
      <c r="J1686">
        <v>2062</v>
      </c>
      <c r="K1686">
        <v>749007</v>
      </c>
      <c r="L1686">
        <v>142299</v>
      </c>
      <c r="M1686">
        <v>-86435</v>
      </c>
      <c r="N1686">
        <v>231173</v>
      </c>
      <c r="O1686" t="s">
        <v>1704</v>
      </c>
      <c r="P1686" s="9">
        <v>293975</v>
      </c>
      <c r="Q1686" s="9">
        <v>30682</v>
      </c>
      <c r="R1686" s="9">
        <v>324657</v>
      </c>
      <c r="S1686" s="9">
        <v>-171268</v>
      </c>
      <c r="T1686" s="10">
        <v>99765</v>
      </c>
      <c r="U1686" s="10">
        <v>1189</v>
      </c>
    </row>
    <row r="1687" spans="1:21" x14ac:dyDescent="0.35">
      <c r="A1687" t="s">
        <v>15</v>
      </c>
      <c r="B1687" t="s">
        <v>16</v>
      </c>
      <c r="C1687" t="s">
        <v>21</v>
      </c>
      <c r="D1687">
        <v>194351</v>
      </c>
      <c r="E1687">
        <v>10101</v>
      </c>
      <c r="F1687">
        <v>28920</v>
      </c>
      <c r="G1687">
        <v>-158745</v>
      </c>
      <c r="H1687">
        <v>74627</v>
      </c>
      <c r="I1687">
        <v>69940</v>
      </c>
      <c r="J1687">
        <v>1335</v>
      </c>
      <c r="K1687">
        <v>587079</v>
      </c>
      <c r="L1687">
        <v>162400</v>
      </c>
      <c r="M1687">
        <v>-74563</v>
      </c>
      <c r="N1687">
        <v>116053</v>
      </c>
      <c r="O1687" t="s">
        <v>1705</v>
      </c>
      <c r="P1687" s="9">
        <v>150097</v>
      </c>
      <c r="Q1687" s="9">
        <v>9088</v>
      </c>
      <c r="R1687" s="9">
        <v>159185</v>
      </c>
      <c r="S1687" s="9">
        <v>-76893</v>
      </c>
      <c r="T1687" s="10">
        <v>57474</v>
      </c>
      <c r="U1687" s="10">
        <v>1019</v>
      </c>
    </row>
    <row r="1688" spans="1:21" x14ac:dyDescent="0.35">
      <c r="A1688" t="s">
        <v>15</v>
      </c>
      <c r="B1688" t="s">
        <v>20</v>
      </c>
      <c r="C1688" t="s">
        <v>21</v>
      </c>
      <c r="D1688">
        <v>193890</v>
      </c>
      <c r="E1688">
        <v>30530</v>
      </c>
      <c r="F1688">
        <v>27360</v>
      </c>
      <c r="G1688">
        <v>-170561</v>
      </c>
      <c r="H1688">
        <v>81219</v>
      </c>
      <c r="I1688">
        <v>84623</v>
      </c>
      <c r="J1688">
        <v>1531</v>
      </c>
      <c r="K1688">
        <v>512810</v>
      </c>
      <c r="L1688">
        <v>113867</v>
      </c>
      <c r="M1688">
        <v>-198111</v>
      </c>
      <c r="N1688">
        <v>142969</v>
      </c>
      <c r="O1688" t="s">
        <v>1706</v>
      </c>
      <c r="P1688" s="9">
        <v>179824</v>
      </c>
      <c r="Q1688" s="9">
        <v>23379</v>
      </c>
      <c r="R1688" s="9">
        <v>203203</v>
      </c>
      <c r="S1688" s="9">
        <v>-113768</v>
      </c>
      <c r="T1688" s="10">
        <v>56166</v>
      </c>
      <c r="U1688" s="10">
        <v>1460</v>
      </c>
    </row>
    <row r="1689" spans="1:21" x14ac:dyDescent="0.35">
      <c r="A1689" t="s">
        <v>15</v>
      </c>
      <c r="B1689" t="s">
        <v>16</v>
      </c>
      <c r="C1689" t="s">
        <v>21</v>
      </c>
      <c r="D1689">
        <v>256442</v>
      </c>
      <c r="E1689">
        <v>28537</v>
      </c>
      <c r="F1689">
        <v>61173</v>
      </c>
      <c r="G1689">
        <v>-223571</v>
      </c>
      <c r="H1689">
        <v>122581</v>
      </c>
      <c r="I1689">
        <v>117022</v>
      </c>
      <c r="J1689">
        <v>2991</v>
      </c>
      <c r="K1689">
        <v>741742</v>
      </c>
      <c r="L1689">
        <v>269112</v>
      </c>
      <c r="M1689">
        <v>-201196</v>
      </c>
      <c r="N1689">
        <v>115783</v>
      </c>
      <c r="O1689" t="s">
        <v>1707</v>
      </c>
      <c r="P1689" s="9">
        <v>210209</v>
      </c>
      <c r="Q1689" s="9">
        <v>38451</v>
      </c>
      <c r="R1689" s="9">
        <v>248660</v>
      </c>
      <c r="S1689" s="9">
        <v>-105931</v>
      </c>
      <c r="T1689" s="10">
        <v>117294</v>
      </c>
      <c r="U1689" s="10">
        <v>1605</v>
      </c>
    </row>
    <row r="1690" spans="1:21" x14ac:dyDescent="0.35">
      <c r="A1690" t="s">
        <v>15</v>
      </c>
      <c r="B1690" t="s">
        <v>16</v>
      </c>
      <c r="C1690" t="s">
        <v>21</v>
      </c>
      <c r="D1690">
        <v>269497</v>
      </c>
      <c r="E1690">
        <v>18047</v>
      </c>
      <c r="F1690">
        <v>37941</v>
      </c>
      <c r="G1690">
        <v>-234684</v>
      </c>
      <c r="H1690">
        <v>90801</v>
      </c>
      <c r="I1690">
        <v>89785</v>
      </c>
      <c r="J1690">
        <v>2141</v>
      </c>
      <c r="K1690">
        <v>886739</v>
      </c>
      <c r="L1690">
        <v>311223</v>
      </c>
      <c r="M1690">
        <v>-288104</v>
      </c>
      <c r="N1690">
        <v>201478</v>
      </c>
      <c r="O1690" t="s">
        <v>1708</v>
      </c>
      <c r="P1690" s="9">
        <v>243605</v>
      </c>
      <c r="Q1690" s="9">
        <v>35153</v>
      </c>
      <c r="R1690" s="9">
        <v>278758</v>
      </c>
      <c r="S1690" s="9">
        <v>-107827</v>
      </c>
      <c r="T1690" s="10">
        <v>101567</v>
      </c>
      <c r="U1690" s="10">
        <v>2238</v>
      </c>
    </row>
    <row r="1691" spans="1:21" x14ac:dyDescent="0.35">
      <c r="A1691" t="s">
        <v>15</v>
      </c>
      <c r="B1691" t="s">
        <v>20</v>
      </c>
      <c r="C1691" t="s">
        <v>21</v>
      </c>
      <c r="D1691">
        <v>299494</v>
      </c>
      <c r="E1691">
        <v>27272</v>
      </c>
      <c r="F1691">
        <v>58699</v>
      </c>
      <c r="G1691">
        <v>-293925</v>
      </c>
      <c r="H1691">
        <v>91540</v>
      </c>
      <c r="I1691">
        <v>88828</v>
      </c>
      <c r="J1691">
        <v>1424</v>
      </c>
      <c r="K1691">
        <v>969080</v>
      </c>
      <c r="L1691">
        <v>191687</v>
      </c>
      <c r="M1691">
        <v>-349282</v>
      </c>
      <c r="N1691">
        <v>151757</v>
      </c>
      <c r="O1691" t="s">
        <v>1709</v>
      </c>
      <c r="P1691" s="9">
        <v>249785</v>
      </c>
      <c r="Q1691" s="9">
        <v>23394</v>
      </c>
      <c r="R1691" s="9">
        <v>273179</v>
      </c>
      <c r="S1691" s="9">
        <v>-151555</v>
      </c>
      <c r="T1691" s="10">
        <v>78956</v>
      </c>
      <c r="U1691" s="10">
        <v>1522</v>
      </c>
    </row>
    <row r="1692" spans="1:21" x14ac:dyDescent="0.35">
      <c r="A1692" t="s">
        <v>15</v>
      </c>
      <c r="B1692" t="s">
        <v>16</v>
      </c>
      <c r="C1692" t="s">
        <v>21</v>
      </c>
      <c r="D1692">
        <v>152850</v>
      </c>
      <c r="E1692">
        <v>17474</v>
      </c>
      <c r="F1692">
        <v>20299</v>
      </c>
      <c r="G1692">
        <v>-143090</v>
      </c>
      <c r="H1692">
        <v>47533</v>
      </c>
      <c r="I1692">
        <v>48389</v>
      </c>
      <c r="J1692">
        <v>921</v>
      </c>
      <c r="K1692">
        <v>419148</v>
      </c>
      <c r="L1692">
        <v>52816</v>
      </c>
      <c r="M1692">
        <v>-43040</v>
      </c>
      <c r="N1692">
        <v>63949</v>
      </c>
      <c r="O1692" t="s">
        <v>1710</v>
      </c>
      <c r="P1692" s="9">
        <v>215845</v>
      </c>
      <c r="Q1692" s="9">
        <v>18450</v>
      </c>
      <c r="R1692" s="9">
        <v>234295</v>
      </c>
      <c r="S1692" s="9">
        <v>-107765</v>
      </c>
      <c r="T1692" s="10">
        <v>58447</v>
      </c>
      <c r="U1692" s="10">
        <v>876</v>
      </c>
    </row>
    <row r="1693" spans="1:21" x14ac:dyDescent="0.35">
      <c r="A1693" t="s">
        <v>15</v>
      </c>
      <c r="B1693" t="s">
        <v>20</v>
      </c>
      <c r="C1693" t="s">
        <v>21</v>
      </c>
      <c r="D1693">
        <v>235499</v>
      </c>
      <c r="E1693">
        <v>20019</v>
      </c>
      <c r="F1693">
        <v>33978</v>
      </c>
      <c r="G1693">
        <v>-230271</v>
      </c>
      <c r="H1693">
        <v>59225</v>
      </c>
      <c r="I1693">
        <v>58241</v>
      </c>
      <c r="J1693">
        <v>1607</v>
      </c>
      <c r="K1693">
        <v>548523</v>
      </c>
      <c r="L1693">
        <v>72272</v>
      </c>
      <c r="M1693">
        <v>-192287</v>
      </c>
      <c r="N1693">
        <v>188446</v>
      </c>
      <c r="O1693" t="s">
        <v>1711</v>
      </c>
      <c r="P1693" s="9">
        <v>274022</v>
      </c>
      <c r="Q1693" s="9">
        <v>22124</v>
      </c>
      <c r="R1693" s="9">
        <v>296146</v>
      </c>
      <c r="S1693" s="9">
        <v>-170810</v>
      </c>
      <c r="T1693" s="10">
        <v>77221</v>
      </c>
      <c r="U1693" s="10">
        <v>2010</v>
      </c>
    </row>
    <row r="1694" spans="1:21" x14ac:dyDescent="0.35">
      <c r="A1694" t="s">
        <v>15</v>
      </c>
      <c r="B1694" t="s">
        <v>16</v>
      </c>
      <c r="C1694" t="s">
        <v>17</v>
      </c>
      <c r="D1694">
        <v>240883</v>
      </c>
      <c r="E1694">
        <v>29511</v>
      </c>
      <c r="F1694">
        <v>44764</v>
      </c>
      <c r="G1694">
        <v>-239492</v>
      </c>
      <c r="H1694">
        <v>75666</v>
      </c>
      <c r="I1694">
        <v>78182</v>
      </c>
      <c r="J1694">
        <v>1082</v>
      </c>
      <c r="K1694">
        <v>820408</v>
      </c>
      <c r="L1694">
        <v>334967</v>
      </c>
      <c r="M1694">
        <v>-137249</v>
      </c>
      <c r="N1694">
        <v>76696</v>
      </c>
      <c r="O1694" t="s">
        <v>1712</v>
      </c>
      <c r="P1694" s="9">
        <v>172591</v>
      </c>
      <c r="Q1694" s="9">
        <v>13724</v>
      </c>
      <c r="R1694" s="9">
        <v>186315</v>
      </c>
      <c r="S1694" s="9">
        <v>-65486</v>
      </c>
      <c r="T1694" s="10">
        <v>72686</v>
      </c>
      <c r="U1694" s="10">
        <v>943</v>
      </c>
    </row>
    <row r="1695" spans="1:21" x14ac:dyDescent="0.35">
      <c r="A1695" t="s">
        <v>15</v>
      </c>
      <c r="B1695" t="s">
        <v>16</v>
      </c>
      <c r="C1695" t="s">
        <v>21</v>
      </c>
      <c r="D1695">
        <v>209927</v>
      </c>
      <c r="E1695">
        <v>36350</v>
      </c>
      <c r="F1695">
        <v>26615</v>
      </c>
      <c r="G1695">
        <v>-188899</v>
      </c>
      <c r="H1695">
        <v>83993</v>
      </c>
      <c r="I1695">
        <v>79478</v>
      </c>
      <c r="J1695">
        <v>1498</v>
      </c>
      <c r="K1695">
        <v>580813</v>
      </c>
      <c r="L1695">
        <v>72033</v>
      </c>
      <c r="M1695">
        <v>-59656</v>
      </c>
      <c r="N1695">
        <v>130676</v>
      </c>
      <c r="O1695" t="s">
        <v>1713</v>
      </c>
      <c r="P1695" s="9">
        <v>161814</v>
      </c>
      <c r="Q1695" s="9">
        <v>13177</v>
      </c>
      <c r="R1695" s="9">
        <v>174991</v>
      </c>
      <c r="S1695" s="9">
        <v>-58385</v>
      </c>
      <c r="T1695" s="10">
        <v>58858</v>
      </c>
      <c r="U1695" s="10">
        <v>1592</v>
      </c>
    </row>
    <row r="1696" spans="1:21" x14ac:dyDescent="0.35">
      <c r="A1696" t="s">
        <v>15</v>
      </c>
      <c r="B1696" t="s">
        <v>16</v>
      </c>
      <c r="C1696" t="s">
        <v>21</v>
      </c>
      <c r="D1696">
        <v>153535</v>
      </c>
      <c r="E1696">
        <v>23856</v>
      </c>
      <c r="F1696">
        <v>25995</v>
      </c>
      <c r="G1696">
        <v>-123605</v>
      </c>
      <c r="H1696">
        <v>79781</v>
      </c>
      <c r="I1696">
        <v>79437</v>
      </c>
      <c r="J1696">
        <v>1120</v>
      </c>
      <c r="K1696">
        <v>317626</v>
      </c>
      <c r="L1696">
        <v>147042</v>
      </c>
      <c r="M1696">
        <v>-92860</v>
      </c>
      <c r="N1696">
        <v>85418</v>
      </c>
      <c r="O1696" t="s">
        <v>1714</v>
      </c>
      <c r="P1696" s="9">
        <v>184699</v>
      </c>
      <c r="Q1696" s="9">
        <v>12183</v>
      </c>
      <c r="R1696" s="9">
        <v>196882</v>
      </c>
      <c r="S1696" s="9">
        <v>-64256</v>
      </c>
      <c r="T1696" s="10">
        <v>69177</v>
      </c>
      <c r="U1696" s="10">
        <v>1454</v>
      </c>
    </row>
    <row r="1697" spans="1:21" x14ac:dyDescent="0.35">
      <c r="A1697" t="s">
        <v>15</v>
      </c>
      <c r="B1697" t="s">
        <v>16</v>
      </c>
      <c r="C1697" t="s">
        <v>21</v>
      </c>
      <c r="D1697">
        <v>283619</v>
      </c>
      <c r="E1697">
        <v>35156</v>
      </c>
      <c r="F1697">
        <v>48079</v>
      </c>
      <c r="G1697">
        <v>-233940</v>
      </c>
      <c r="H1697">
        <v>132914</v>
      </c>
      <c r="I1697">
        <v>130001</v>
      </c>
      <c r="J1697">
        <v>3766</v>
      </c>
      <c r="K1697">
        <v>740782</v>
      </c>
      <c r="L1697">
        <v>211203</v>
      </c>
      <c r="M1697">
        <v>-187711</v>
      </c>
      <c r="N1697">
        <v>141916</v>
      </c>
      <c r="O1697" t="s">
        <v>1715</v>
      </c>
      <c r="P1697" s="9">
        <v>211030</v>
      </c>
      <c r="Q1697" s="9">
        <v>16624</v>
      </c>
      <c r="R1697" s="9">
        <v>227654</v>
      </c>
      <c r="S1697" s="9">
        <v>-114846</v>
      </c>
      <c r="T1697" s="10">
        <v>84772</v>
      </c>
      <c r="U1697" s="10">
        <v>1635</v>
      </c>
    </row>
    <row r="1698" spans="1:21" x14ac:dyDescent="0.35">
      <c r="A1698" t="s">
        <v>15</v>
      </c>
      <c r="B1698" t="s">
        <v>16</v>
      </c>
      <c r="C1698" t="s">
        <v>21</v>
      </c>
      <c r="D1698">
        <v>278609</v>
      </c>
      <c r="E1698">
        <v>19744</v>
      </c>
      <c r="F1698">
        <v>28245</v>
      </c>
      <c r="G1698">
        <v>-233862</v>
      </c>
      <c r="H1698">
        <v>92736</v>
      </c>
      <c r="I1698">
        <v>87300</v>
      </c>
      <c r="J1698">
        <v>1519</v>
      </c>
      <c r="K1698">
        <v>826520</v>
      </c>
      <c r="L1698">
        <v>329453</v>
      </c>
      <c r="M1698">
        <v>-305883</v>
      </c>
      <c r="N1698">
        <v>95596</v>
      </c>
      <c r="O1698" t="s">
        <v>1716</v>
      </c>
      <c r="P1698" s="9">
        <v>219700</v>
      </c>
      <c r="Q1698" s="9">
        <v>44170</v>
      </c>
      <c r="R1698" s="9">
        <v>263870</v>
      </c>
      <c r="S1698" s="9">
        <v>-69681</v>
      </c>
      <c r="T1698" s="10">
        <v>82624</v>
      </c>
      <c r="U1698" s="10">
        <v>997</v>
      </c>
    </row>
    <row r="1699" spans="1:21" x14ac:dyDescent="0.35">
      <c r="A1699" t="s">
        <v>15</v>
      </c>
      <c r="B1699" t="s">
        <v>20</v>
      </c>
      <c r="C1699" t="s">
        <v>21</v>
      </c>
      <c r="D1699">
        <v>211609</v>
      </c>
      <c r="E1699">
        <v>16350</v>
      </c>
      <c r="F1699">
        <v>34078</v>
      </c>
      <c r="G1699">
        <v>-205780</v>
      </c>
      <c r="H1699">
        <v>56257</v>
      </c>
      <c r="I1699">
        <v>51056</v>
      </c>
      <c r="J1699">
        <v>1216</v>
      </c>
      <c r="K1699">
        <v>633133</v>
      </c>
      <c r="L1699">
        <v>174875</v>
      </c>
      <c r="M1699">
        <v>-171223</v>
      </c>
      <c r="N1699">
        <v>135643</v>
      </c>
      <c r="O1699" t="s">
        <v>1717</v>
      </c>
      <c r="P1699" s="9">
        <v>310448</v>
      </c>
      <c r="Q1699" s="9">
        <v>18789</v>
      </c>
      <c r="R1699" s="9">
        <v>329237</v>
      </c>
      <c r="S1699" s="9">
        <v>-82310</v>
      </c>
      <c r="T1699" s="10">
        <v>79531</v>
      </c>
      <c r="U1699" s="10">
        <v>1740</v>
      </c>
    </row>
    <row r="1700" spans="1:21" x14ac:dyDescent="0.35">
      <c r="A1700" t="s">
        <v>15</v>
      </c>
      <c r="B1700" t="s">
        <v>16</v>
      </c>
      <c r="C1700" t="s">
        <v>17</v>
      </c>
      <c r="D1700">
        <v>265212</v>
      </c>
      <c r="E1700">
        <v>52283</v>
      </c>
      <c r="F1700">
        <v>47653</v>
      </c>
      <c r="G1700">
        <v>-256545</v>
      </c>
      <c r="H1700">
        <v>108603</v>
      </c>
      <c r="I1700">
        <v>112896</v>
      </c>
      <c r="J1700">
        <v>2450</v>
      </c>
      <c r="K1700">
        <v>1057942</v>
      </c>
      <c r="L1700">
        <v>484336</v>
      </c>
      <c r="M1700">
        <v>-144223</v>
      </c>
      <c r="N1700">
        <v>117928</v>
      </c>
      <c r="O1700" t="s">
        <v>1718</v>
      </c>
      <c r="P1700" s="9">
        <v>276848</v>
      </c>
      <c r="Q1700" s="9">
        <v>35177</v>
      </c>
      <c r="R1700" s="9">
        <v>312025</v>
      </c>
      <c r="S1700" s="9">
        <v>-179876</v>
      </c>
      <c r="T1700" s="10">
        <v>98427</v>
      </c>
      <c r="U1700" s="10">
        <v>1336</v>
      </c>
    </row>
    <row r="1701" spans="1:21" x14ac:dyDescent="0.35">
      <c r="A1701" t="s">
        <v>15</v>
      </c>
      <c r="B1701" t="s">
        <v>16</v>
      </c>
      <c r="C1701" t="s">
        <v>21</v>
      </c>
      <c r="D1701">
        <v>295519</v>
      </c>
      <c r="E1701">
        <v>34349</v>
      </c>
      <c r="F1701">
        <v>73570</v>
      </c>
      <c r="G1701">
        <v>-275630</v>
      </c>
      <c r="H1701">
        <v>127808</v>
      </c>
      <c r="I1701">
        <v>123192</v>
      </c>
      <c r="J1701">
        <v>1860</v>
      </c>
      <c r="K1701">
        <v>809203</v>
      </c>
      <c r="L1701">
        <v>395607</v>
      </c>
      <c r="M1701">
        <v>-290554</v>
      </c>
      <c r="N1701">
        <v>122561</v>
      </c>
      <c r="O1701" t="s">
        <v>1719</v>
      </c>
      <c r="P1701" s="9">
        <v>163445</v>
      </c>
      <c r="Q1701" s="9">
        <v>31888</v>
      </c>
      <c r="R1701" s="9">
        <v>195333</v>
      </c>
      <c r="S1701" s="9">
        <v>-80643</v>
      </c>
      <c r="T1701" s="10">
        <v>57037</v>
      </c>
      <c r="U1701" s="10">
        <v>760</v>
      </c>
    </row>
    <row r="1702" spans="1:21" x14ac:dyDescent="0.35">
      <c r="A1702" t="s">
        <v>15</v>
      </c>
      <c r="B1702" t="s">
        <v>16</v>
      </c>
      <c r="C1702" t="s">
        <v>21</v>
      </c>
      <c r="D1702">
        <v>180460</v>
      </c>
      <c r="E1702">
        <v>24946</v>
      </c>
      <c r="F1702">
        <v>26102</v>
      </c>
      <c r="G1702">
        <v>-180401</v>
      </c>
      <c r="H1702">
        <v>51107</v>
      </c>
      <c r="I1702">
        <v>48729</v>
      </c>
      <c r="J1702">
        <v>1169</v>
      </c>
      <c r="K1702">
        <v>677279</v>
      </c>
      <c r="L1702">
        <v>160127</v>
      </c>
      <c r="M1702">
        <v>-268697</v>
      </c>
      <c r="N1702">
        <v>112491</v>
      </c>
      <c r="O1702" t="s">
        <v>1720</v>
      </c>
      <c r="P1702" s="9">
        <v>227317</v>
      </c>
      <c r="Q1702" s="9">
        <v>41622</v>
      </c>
      <c r="R1702" s="9">
        <v>268939</v>
      </c>
      <c r="S1702" s="9">
        <v>-130981</v>
      </c>
      <c r="T1702" s="10">
        <v>128591</v>
      </c>
      <c r="U1702" s="10">
        <v>2547</v>
      </c>
    </row>
    <row r="1703" spans="1:21" x14ac:dyDescent="0.35">
      <c r="A1703" t="s">
        <v>15</v>
      </c>
      <c r="B1703" t="s">
        <v>20</v>
      </c>
      <c r="C1703" t="s">
        <v>21</v>
      </c>
      <c r="D1703">
        <v>219681</v>
      </c>
      <c r="E1703">
        <v>15661</v>
      </c>
      <c r="F1703">
        <v>39574</v>
      </c>
      <c r="G1703">
        <v>-201427</v>
      </c>
      <c r="H1703">
        <v>73489</v>
      </c>
      <c r="I1703">
        <v>74268</v>
      </c>
      <c r="J1703">
        <v>965</v>
      </c>
      <c r="K1703">
        <v>632431</v>
      </c>
      <c r="L1703">
        <v>118961</v>
      </c>
      <c r="M1703">
        <v>-168631</v>
      </c>
      <c r="N1703">
        <v>117675</v>
      </c>
      <c r="O1703" t="s">
        <v>1721</v>
      </c>
      <c r="P1703" s="9">
        <v>197014</v>
      </c>
      <c r="Q1703" s="9">
        <v>30235</v>
      </c>
      <c r="R1703" s="9">
        <v>227249</v>
      </c>
      <c r="S1703" s="9">
        <v>-91490</v>
      </c>
      <c r="T1703" s="10">
        <v>84831</v>
      </c>
      <c r="U1703" s="10">
        <v>1687</v>
      </c>
    </row>
    <row r="1704" spans="1:21" x14ac:dyDescent="0.35">
      <c r="A1704" t="s">
        <v>15</v>
      </c>
      <c r="B1704" t="s">
        <v>20</v>
      </c>
      <c r="C1704" t="s">
        <v>21</v>
      </c>
      <c r="D1704">
        <v>275090</v>
      </c>
      <c r="E1704">
        <v>20241</v>
      </c>
      <c r="F1704">
        <v>52412</v>
      </c>
      <c r="G1704">
        <v>-227901</v>
      </c>
      <c r="H1704">
        <v>119842</v>
      </c>
      <c r="I1704">
        <v>121258</v>
      </c>
      <c r="J1704">
        <v>2236</v>
      </c>
      <c r="K1704">
        <v>1077009</v>
      </c>
      <c r="L1704">
        <v>512837</v>
      </c>
      <c r="M1704">
        <v>-385963</v>
      </c>
      <c r="N1704">
        <v>112776</v>
      </c>
      <c r="O1704" t="s">
        <v>1722</v>
      </c>
      <c r="P1704" s="9">
        <v>246670</v>
      </c>
      <c r="Q1704" s="9">
        <v>33669</v>
      </c>
      <c r="R1704" s="9">
        <v>280339</v>
      </c>
      <c r="S1704" s="9">
        <v>-136567</v>
      </c>
      <c r="T1704" s="10">
        <v>107875</v>
      </c>
      <c r="U1704" s="10">
        <v>2383</v>
      </c>
    </row>
    <row r="1705" spans="1:21" x14ac:dyDescent="0.35">
      <c r="A1705" t="s">
        <v>15</v>
      </c>
      <c r="B1705" t="s">
        <v>20</v>
      </c>
      <c r="C1705" t="s">
        <v>17</v>
      </c>
      <c r="D1705">
        <v>180557</v>
      </c>
      <c r="E1705">
        <v>27047</v>
      </c>
      <c r="F1705">
        <v>20532</v>
      </c>
      <c r="G1705">
        <v>-146850</v>
      </c>
      <c r="H1705">
        <v>81286</v>
      </c>
      <c r="I1705">
        <v>82413</v>
      </c>
      <c r="J1705">
        <v>889</v>
      </c>
      <c r="K1705">
        <v>708089</v>
      </c>
      <c r="L1705">
        <v>163224</v>
      </c>
      <c r="M1705">
        <v>-163726</v>
      </c>
      <c r="N1705">
        <v>161751</v>
      </c>
      <c r="O1705" t="s">
        <v>1723</v>
      </c>
      <c r="P1705" s="9">
        <v>213952</v>
      </c>
      <c r="Q1705" s="9">
        <v>15897</v>
      </c>
      <c r="R1705" s="9">
        <v>229849</v>
      </c>
      <c r="S1705" s="9">
        <v>-70827</v>
      </c>
      <c r="T1705" s="10">
        <v>78070</v>
      </c>
      <c r="U1705" s="10">
        <v>803</v>
      </c>
    </row>
    <row r="1706" spans="1:21" x14ac:dyDescent="0.35">
      <c r="A1706" t="s">
        <v>15</v>
      </c>
      <c r="B1706" t="s">
        <v>16</v>
      </c>
      <c r="C1706" t="s">
        <v>21</v>
      </c>
      <c r="D1706">
        <v>157051</v>
      </c>
      <c r="E1706">
        <v>28634</v>
      </c>
      <c r="F1706">
        <v>17239</v>
      </c>
      <c r="G1706">
        <v>-144336</v>
      </c>
      <c r="H1706">
        <v>58588</v>
      </c>
      <c r="I1706">
        <v>58233</v>
      </c>
      <c r="J1706">
        <v>1434</v>
      </c>
      <c r="K1706">
        <v>337020</v>
      </c>
      <c r="L1706">
        <v>120255</v>
      </c>
      <c r="M1706">
        <v>-127439</v>
      </c>
      <c r="N1706">
        <v>120628</v>
      </c>
      <c r="O1706" t="s">
        <v>1724</v>
      </c>
      <c r="P1706" s="9">
        <v>217950</v>
      </c>
      <c r="Q1706" s="9">
        <v>34890</v>
      </c>
      <c r="R1706" s="9">
        <v>252840</v>
      </c>
      <c r="S1706" s="9">
        <v>-77638</v>
      </c>
      <c r="T1706" s="10">
        <v>105224</v>
      </c>
      <c r="U1706" s="10">
        <v>2335</v>
      </c>
    </row>
    <row r="1707" spans="1:21" x14ac:dyDescent="0.35">
      <c r="A1707" t="s">
        <v>15</v>
      </c>
      <c r="B1707" t="s">
        <v>16</v>
      </c>
      <c r="C1707" t="s">
        <v>17</v>
      </c>
      <c r="D1707">
        <v>229777</v>
      </c>
      <c r="E1707">
        <v>14859</v>
      </c>
      <c r="F1707">
        <v>40865</v>
      </c>
      <c r="G1707">
        <v>-220766</v>
      </c>
      <c r="H1707">
        <v>64735</v>
      </c>
      <c r="I1707">
        <v>65637</v>
      </c>
      <c r="J1707">
        <v>1481</v>
      </c>
      <c r="K1707">
        <v>475780</v>
      </c>
      <c r="L1707">
        <v>188401</v>
      </c>
      <c r="M1707">
        <v>-75165</v>
      </c>
      <c r="N1707">
        <v>128032</v>
      </c>
      <c r="O1707" t="s">
        <v>1725</v>
      </c>
      <c r="P1707" s="9">
        <v>165117</v>
      </c>
      <c r="Q1707" s="9">
        <v>11098</v>
      </c>
      <c r="R1707" s="9">
        <v>176215</v>
      </c>
      <c r="S1707" s="9">
        <v>-51045</v>
      </c>
      <c r="T1707" s="10">
        <v>58408</v>
      </c>
      <c r="U1707" s="10">
        <v>920</v>
      </c>
    </row>
    <row r="1708" spans="1:21" x14ac:dyDescent="0.35">
      <c r="A1708" t="s">
        <v>15</v>
      </c>
      <c r="B1708" t="s">
        <v>20</v>
      </c>
      <c r="C1708" t="s">
        <v>17</v>
      </c>
      <c r="D1708">
        <v>242344</v>
      </c>
      <c r="E1708">
        <v>17606</v>
      </c>
      <c r="F1708">
        <v>40607</v>
      </c>
      <c r="G1708">
        <v>-213723</v>
      </c>
      <c r="H1708">
        <v>86834</v>
      </c>
      <c r="I1708">
        <v>80034</v>
      </c>
      <c r="J1708">
        <v>2012</v>
      </c>
      <c r="K1708">
        <v>487410</v>
      </c>
      <c r="L1708">
        <v>141904</v>
      </c>
      <c r="M1708">
        <v>-91758</v>
      </c>
      <c r="N1708">
        <v>172292</v>
      </c>
      <c r="O1708" t="s">
        <v>1726</v>
      </c>
      <c r="P1708" s="9">
        <v>172079</v>
      </c>
      <c r="Q1708" s="9">
        <v>24704</v>
      </c>
      <c r="R1708" s="9">
        <v>196783</v>
      </c>
      <c r="S1708" s="9">
        <v>-87697</v>
      </c>
      <c r="T1708" s="10">
        <v>67684</v>
      </c>
      <c r="U1708" s="10">
        <v>1268</v>
      </c>
    </row>
    <row r="1709" spans="1:21" x14ac:dyDescent="0.35">
      <c r="A1709" t="s">
        <v>15</v>
      </c>
      <c r="B1709" t="s">
        <v>20</v>
      </c>
      <c r="C1709" t="s">
        <v>21</v>
      </c>
      <c r="D1709">
        <v>284815</v>
      </c>
      <c r="E1709">
        <v>35685</v>
      </c>
      <c r="F1709">
        <v>67423</v>
      </c>
      <c r="G1709">
        <v>-235466</v>
      </c>
      <c r="H1709">
        <v>152457</v>
      </c>
      <c r="I1709">
        <v>152656</v>
      </c>
      <c r="J1709">
        <v>2554</v>
      </c>
      <c r="K1709">
        <v>1125244</v>
      </c>
      <c r="L1709">
        <v>317018</v>
      </c>
      <c r="M1709">
        <v>-376074</v>
      </c>
      <c r="N1709">
        <v>190051</v>
      </c>
      <c r="O1709" t="s">
        <v>1727</v>
      </c>
      <c r="P1709" s="9">
        <v>250247</v>
      </c>
      <c r="Q1709" s="9">
        <v>39415</v>
      </c>
      <c r="R1709" s="9">
        <v>289662</v>
      </c>
      <c r="S1709" s="9">
        <v>-170279</v>
      </c>
      <c r="T1709" s="10">
        <v>124834</v>
      </c>
      <c r="U1709" s="10">
        <v>3100</v>
      </c>
    </row>
    <row r="1710" spans="1:21" x14ac:dyDescent="0.35">
      <c r="A1710" t="s">
        <v>15</v>
      </c>
      <c r="B1710" t="s">
        <v>16</v>
      </c>
      <c r="C1710" t="s">
        <v>21</v>
      </c>
      <c r="D1710">
        <v>252870</v>
      </c>
      <c r="E1710">
        <v>46341</v>
      </c>
      <c r="F1710">
        <v>28217</v>
      </c>
      <c r="G1710">
        <v>-243114</v>
      </c>
      <c r="H1710">
        <v>84314</v>
      </c>
      <c r="I1710">
        <v>80838</v>
      </c>
      <c r="J1710">
        <v>1736</v>
      </c>
      <c r="K1710">
        <v>1002849</v>
      </c>
      <c r="L1710">
        <v>135954</v>
      </c>
      <c r="M1710">
        <v>-192442</v>
      </c>
      <c r="N1710">
        <v>204448</v>
      </c>
      <c r="O1710" t="s">
        <v>1728</v>
      </c>
      <c r="P1710" s="9">
        <v>165237</v>
      </c>
      <c r="Q1710" s="9">
        <v>14873</v>
      </c>
      <c r="R1710" s="9">
        <v>180110</v>
      </c>
      <c r="S1710" s="9">
        <v>-74101</v>
      </c>
      <c r="T1710" s="10">
        <v>57148</v>
      </c>
      <c r="U1710" s="10">
        <v>716</v>
      </c>
    </row>
    <row r="1711" spans="1:21" x14ac:dyDescent="0.35">
      <c r="A1711" t="s">
        <v>15</v>
      </c>
      <c r="B1711" t="s">
        <v>16</v>
      </c>
      <c r="C1711" t="s">
        <v>21</v>
      </c>
      <c r="D1711">
        <v>221604</v>
      </c>
      <c r="E1711">
        <v>24115</v>
      </c>
      <c r="F1711">
        <v>24097</v>
      </c>
      <c r="G1711">
        <v>-210563</v>
      </c>
      <c r="H1711">
        <v>59253</v>
      </c>
      <c r="I1711">
        <v>54361</v>
      </c>
      <c r="J1711">
        <v>628</v>
      </c>
      <c r="K1711">
        <v>578199</v>
      </c>
      <c r="L1711">
        <v>95440</v>
      </c>
      <c r="M1711">
        <v>-217567</v>
      </c>
      <c r="N1711">
        <v>113348</v>
      </c>
      <c r="O1711" t="s">
        <v>1729</v>
      </c>
      <c r="P1711" s="9">
        <v>242628</v>
      </c>
      <c r="Q1711" s="9">
        <v>45890</v>
      </c>
      <c r="R1711" s="9">
        <v>288518</v>
      </c>
      <c r="S1711" s="9">
        <v>-84670</v>
      </c>
      <c r="T1711" s="10">
        <v>129257</v>
      </c>
      <c r="U1711" s="10">
        <v>2977</v>
      </c>
    </row>
    <row r="1712" spans="1:21" x14ac:dyDescent="0.35">
      <c r="A1712" t="s">
        <v>15</v>
      </c>
      <c r="B1712" t="s">
        <v>16</v>
      </c>
      <c r="C1712" t="s">
        <v>21</v>
      </c>
      <c r="D1712">
        <v>229547</v>
      </c>
      <c r="E1712">
        <v>14888</v>
      </c>
      <c r="F1712">
        <v>45489</v>
      </c>
      <c r="G1712">
        <v>-206742</v>
      </c>
      <c r="H1712">
        <v>83182</v>
      </c>
      <c r="I1712">
        <v>78590</v>
      </c>
      <c r="J1712">
        <v>995</v>
      </c>
      <c r="K1712">
        <v>849725</v>
      </c>
      <c r="L1712">
        <v>197732</v>
      </c>
      <c r="M1712">
        <v>-266429</v>
      </c>
      <c r="N1712">
        <v>129267</v>
      </c>
      <c r="O1712" t="s">
        <v>1730</v>
      </c>
      <c r="P1712" s="9">
        <v>263777</v>
      </c>
      <c r="Q1712" s="9">
        <v>16244</v>
      </c>
      <c r="R1712" s="9">
        <v>280021</v>
      </c>
      <c r="S1712" s="9">
        <v>-147048</v>
      </c>
      <c r="T1712" s="10">
        <v>59772</v>
      </c>
      <c r="U1712" s="10">
        <v>1357</v>
      </c>
    </row>
    <row r="1713" spans="1:21" x14ac:dyDescent="0.35">
      <c r="A1713" t="s">
        <v>15</v>
      </c>
      <c r="B1713" t="s">
        <v>16</v>
      </c>
      <c r="C1713" t="s">
        <v>21</v>
      </c>
      <c r="D1713">
        <v>204706</v>
      </c>
      <c r="E1713">
        <v>37120</v>
      </c>
      <c r="F1713">
        <v>41838</v>
      </c>
      <c r="G1713">
        <v>-191273</v>
      </c>
      <c r="H1713">
        <v>92391</v>
      </c>
      <c r="I1713">
        <v>89026</v>
      </c>
      <c r="J1713">
        <v>1510</v>
      </c>
      <c r="K1713">
        <v>441212</v>
      </c>
      <c r="L1713">
        <v>59408</v>
      </c>
      <c r="M1713">
        <v>-133196</v>
      </c>
      <c r="N1713">
        <v>162923</v>
      </c>
      <c r="O1713" t="s">
        <v>1731</v>
      </c>
      <c r="P1713" s="9">
        <v>155160</v>
      </c>
      <c r="Q1713" s="9">
        <v>25269</v>
      </c>
      <c r="R1713" s="9">
        <v>180429</v>
      </c>
      <c r="S1713" s="9">
        <v>-56444</v>
      </c>
      <c r="T1713" s="10">
        <v>53695</v>
      </c>
      <c r="U1713" s="10">
        <v>1289</v>
      </c>
    </row>
    <row r="1714" spans="1:21" x14ac:dyDescent="0.35">
      <c r="A1714" t="s">
        <v>15</v>
      </c>
      <c r="B1714" t="s">
        <v>20</v>
      </c>
      <c r="C1714" t="s">
        <v>17</v>
      </c>
      <c r="D1714">
        <v>257626</v>
      </c>
      <c r="E1714">
        <v>26506</v>
      </c>
      <c r="F1714">
        <v>47613</v>
      </c>
      <c r="G1714">
        <v>-220974</v>
      </c>
      <c r="H1714">
        <v>110771</v>
      </c>
      <c r="I1714">
        <v>109865</v>
      </c>
      <c r="J1714">
        <v>2797</v>
      </c>
      <c r="K1714">
        <v>790074</v>
      </c>
      <c r="L1714">
        <v>221737</v>
      </c>
      <c r="M1714">
        <v>-107842</v>
      </c>
      <c r="N1714">
        <v>131748</v>
      </c>
      <c r="O1714" t="s">
        <v>1732</v>
      </c>
      <c r="P1714" s="9">
        <v>231050</v>
      </c>
      <c r="Q1714" s="9">
        <v>26448</v>
      </c>
      <c r="R1714" s="9">
        <v>257498</v>
      </c>
      <c r="S1714" s="9">
        <v>-54043</v>
      </c>
      <c r="T1714" s="10">
        <v>99736</v>
      </c>
      <c r="U1714" s="10">
        <v>2319</v>
      </c>
    </row>
    <row r="1715" spans="1:21" x14ac:dyDescent="0.35">
      <c r="A1715" t="s">
        <v>15</v>
      </c>
      <c r="B1715" t="s">
        <v>20</v>
      </c>
      <c r="C1715" t="s">
        <v>17</v>
      </c>
      <c r="D1715">
        <v>231941</v>
      </c>
      <c r="E1715">
        <v>25794</v>
      </c>
      <c r="F1715">
        <v>48123</v>
      </c>
      <c r="G1715">
        <v>-205253</v>
      </c>
      <c r="H1715">
        <v>100605</v>
      </c>
      <c r="I1715">
        <v>93856</v>
      </c>
      <c r="J1715">
        <v>1824</v>
      </c>
      <c r="K1715">
        <v>635301</v>
      </c>
      <c r="L1715">
        <v>259138</v>
      </c>
      <c r="M1715">
        <v>-199669</v>
      </c>
      <c r="N1715">
        <v>86612</v>
      </c>
      <c r="O1715" t="s">
        <v>1733</v>
      </c>
      <c r="P1715" s="9">
        <v>262355</v>
      </c>
      <c r="Q1715" s="9">
        <v>23609</v>
      </c>
      <c r="R1715" s="9">
        <v>285964</v>
      </c>
      <c r="S1715" s="9">
        <v>-92985</v>
      </c>
      <c r="T1715" s="10">
        <v>108338</v>
      </c>
      <c r="U1715" s="10">
        <v>2424</v>
      </c>
    </row>
    <row r="1716" spans="1:21" x14ac:dyDescent="0.35">
      <c r="A1716" t="s">
        <v>15</v>
      </c>
      <c r="B1716" t="s">
        <v>20</v>
      </c>
      <c r="C1716" t="s">
        <v>21</v>
      </c>
      <c r="D1716">
        <v>153761</v>
      </c>
      <c r="E1716">
        <v>25475</v>
      </c>
      <c r="F1716">
        <v>33747</v>
      </c>
      <c r="G1716">
        <v>-142585</v>
      </c>
      <c r="H1716">
        <v>70398</v>
      </c>
      <c r="I1716">
        <v>64900</v>
      </c>
      <c r="J1716">
        <v>1477</v>
      </c>
      <c r="K1716">
        <v>308405</v>
      </c>
      <c r="L1716">
        <v>151586</v>
      </c>
      <c r="M1716">
        <v>-83447</v>
      </c>
      <c r="N1716">
        <v>51790</v>
      </c>
      <c r="O1716" t="s">
        <v>1734</v>
      </c>
      <c r="P1716" s="9">
        <v>226618</v>
      </c>
      <c r="Q1716" s="9">
        <v>41007</v>
      </c>
      <c r="R1716" s="9">
        <v>267625</v>
      </c>
      <c r="S1716" s="9">
        <v>-117094</v>
      </c>
      <c r="T1716" s="10">
        <v>111110</v>
      </c>
      <c r="U1716" s="10">
        <v>2286</v>
      </c>
    </row>
    <row r="1717" spans="1:21" x14ac:dyDescent="0.35">
      <c r="A1717" t="s">
        <v>15</v>
      </c>
      <c r="B1717" t="s">
        <v>16</v>
      </c>
      <c r="C1717" t="s">
        <v>17</v>
      </c>
      <c r="D1717">
        <v>261343</v>
      </c>
      <c r="E1717">
        <v>27271</v>
      </c>
      <c r="F1717">
        <v>49891</v>
      </c>
      <c r="G1717">
        <v>-245456</v>
      </c>
      <c r="H1717">
        <v>93049</v>
      </c>
      <c r="I1717">
        <v>90570</v>
      </c>
      <c r="J1717">
        <v>1621</v>
      </c>
      <c r="K1717">
        <v>873902</v>
      </c>
      <c r="L1717">
        <v>334626</v>
      </c>
      <c r="M1717">
        <v>-135623</v>
      </c>
      <c r="N1717">
        <v>188809</v>
      </c>
      <c r="O1717" t="s">
        <v>1735</v>
      </c>
      <c r="P1717" s="9">
        <v>267410</v>
      </c>
      <c r="Q1717" s="9">
        <v>31369</v>
      </c>
      <c r="R1717" s="9">
        <v>298779</v>
      </c>
      <c r="S1717" s="9">
        <v>-179190</v>
      </c>
      <c r="T1717" s="10">
        <v>71825</v>
      </c>
      <c r="U1717" s="10">
        <v>732</v>
      </c>
    </row>
    <row r="1718" spans="1:21" x14ac:dyDescent="0.35">
      <c r="A1718" t="s">
        <v>15</v>
      </c>
      <c r="B1718" t="s">
        <v>16</v>
      </c>
      <c r="C1718" t="s">
        <v>21</v>
      </c>
      <c r="D1718">
        <v>257667</v>
      </c>
      <c r="E1718">
        <v>24314</v>
      </c>
      <c r="F1718">
        <v>57862</v>
      </c>
      <c r="G1718">
        <v>-240861</v>
      </c>
      <c r="H1718">
        <v>98982</v>
      </c>
      <c r="I1718">
        <v>99369</v>
      </c>
      <c r="J1718">
        <v>2712</v>
      </c>
      <c r="K1718">
        <v>786309</v>
      </c>
      <c r="L1718">
        <v>271265</v>
      </c>
      <c r="M1718">
        <v>-138384</v>
      </c>
      <c r="N1718">
        <v>92786</v>
      </c>
      <c r="O1718" t="s">
        <v>1736</v>
      </c>
      <c r="P1718" s="9">
        <v>214916</v>
      </c>
      <c r="Q1718" s="9">
        <v>33659</v>
      </c>
      <c r="R1718" s="9">
        <v>248575</v>
      </c>
      <c r="S1718" s="9">
        <v>-71416</v>
      </c>
      <c r="T1718" s="10">
        <v>91209</v>
      </c>
      <c r="U1718" s="10">
        <v>2015</v>
      </c>
    </row>
    <row r="1719" spans="1:21" x14ac:dyDescent="0.35">
      <c r="A1719" t="s">
        <v>15</v>
      </c>
      <c r="B1719" t="s">
        <v>16</v>
      </c>
      <c r="C1719" t="s">
        <v>21</v>
      </c>
      <c r="D1719">
        <v>276341</v>
      </c>
      <c r="E1719">
        <v>37472</v>
      </c>
      <c r="F1719">
        <v>48006</v>
      </c>
      <c r="G1719">
        <v>-233636</v>
      </c>
      <c r="H1719">
        <v>128183</v>
      </c>
      <c r="I1719">
        <v>131286</v>
      </c>
      <c r="J1719">
        <v>2679</v>
      </c>
      <c r="K1719">
        <v>962351</v>
      </c>
      <c r="L1719">
        <v>275197</v>
      </c>
      <c r="M1719">
        <v>-256403</v>
      </c>
      <c r="N1719">
        <v>191959</v>
      </c>
      <c r="O1719" t="s">
        <v>1737</v>
      </c>
      <c r="P1719" s="9">
        <v>168155</v>
      </c>
      <c r="Q1719" s="9">
        <v>17757</v>
      </c>
      <c r="R1719" s="9">
        <v>185912</v>
      </c>
      <c r="S1719" s="9">
        <v>-77076</v>
      </c>
      <c r="T1719" s="10">
        <v>43547</v>
      </c>
      <c r="U1719" s="10">
        <v>990</v>
      </c>
    </row>
    <row r="1720" spans="1:21" x14ac:dyDescent="0.35">
      <c r="A1720" t="s">
        <v>15</v>
      </c>
      <c r="B1720" t="s">
        <v>20</v>
      </c>
      <c r="C1720" t="s">
        <v>21</v>
      </c>
      <c r="D1720">
        <v>159709</v>
      </c>
      <c r="E1720">
        <v>10996</v>
      </c>
      <c r="F1720">
        <v>17297</v>
      </c>
      <c r="G1720">
        <v>-147480</v>
      </c>
      <c r="H1720">
        <v>40522</v>
      </c>
      <c r="I1720">
        <v>38618</v>
      </c>
      <c r="J1720">
        <v>779</v>
      </c>
      <c r="K1720">
        <v>601744</v>
      </c>
      <c r="L1720">
        <v>81069</v>
      </c>
      <c r="M1720">
        <v>-237629</v>
      </c>
      <c r="N1720">
        <v>114730</v>
      </c>
      <c r="O1720" t="s">
        <v>1738</v>
      </c>
      <c r="P1720" s="9">
        <v>196894</v>
      </c>
      <c r="Q1720" s="9">
        <v>21804</v>
      </c>
      <c r="R1720" s="9">
        <v>218698</v>
      </c>
      <c r="S1720" s="9">
        <v>-129011</v>
      </c>
      <c r="T1720" s="10">
        <v>75284</v>
      </c>
      <c r="U1720" s="10">
        <v>950</v>
      </c>
    </row>
    <row r="1721" spans="1:21" x14ac:dyDescent="0.35">
      <c r="A1721" t="s">
        <v>15</v>
      </c>
      <c r="B1721" t="s">
        <v>16</v>
      </c>
      <c r="C1721" t="s">
        <v>17</v>
      </c>
      <c r="D1721">
        <v>181851</v>
      </c>
      <c r="E1721">
        <v>16924</v>
      </c>
      <c r="F1721">
        <v>20984</v>
      </c>
      <c r="G1721">
        <v>-155942</v>
      </c>
      <c r="H1721">
        <v>63817</v>
      </c>
      <c r="I1721">
        <v>62087</v>
      </c>
      <c r="J1721">
        <v>1749</v>
      </c>
      <c r="K1721">
        <v>405738</v>
      </c>
      <c r="L1721">
        <v>136000</v>
      </c>
      <c r="M1721">
        <v>-97560</v>
      </c>
      <c r="N1721">
        <v>137004</v>
      </c>
      <c r="O1721" t="s">
        <v>1739</v>
      </c>
      <c r="P1721" s="9">
        <v>151967</v>
      </c>
      <c r="Q1721" s="9">
        <v>28422</v>
      </c>
      <c r="R1721" s="9">
        <v>180389</v>
      </c>
      <c r="S1721" s="9">
        <v>-93066</v>
      </c>
      <c r="T1721" s="10">
        <v>58282</v>
      </c>
      <c r="U1721" s="10">
        <v>1398</v>
      </c>
    </row>
    <row r="1722" spans="1:21" x14ac:dyDescent="0.35">
      <c r="A1722" t="s">
        <v>15</v>
      </c>
      <c r="B1722" t="s">
        <v>16</v>
      </c>
      <c r="C1722" t="s">
        <v>17</v>
      </c>
      <c r="D1722">
        <v>249576</v>
      </c>
      <c r="E1722">
        <v>20621</v>
      </c>
      <c r="F1722">
        <v>62023</v>
      </c>
      <c r="G1722">
        <v>-248240</v>
      </c>
      <c r="H1722">
        <v>83980</v>
      </c>
      <c r="I1722">
        <v>83345</v>
      </c>
      <c r="J1722">
        <v>1954</v>
      </c>
      <c r="K1722">
        <v>714831</v>
      </c>
      <c r="L1722">
        <v>349975</v>
      </c>
      <c r="M1722">
        <v>-259875</v>
      </c>
      <c r="N1722">
        <v>101991</v>
      </c>
      <c r="O1722" t="s">
        <v>1740</v>
      </c>
      <c r="P1722" s="9">
        <v>198725</v>
      </c>
      <c r="Q1722" s="9">
        <v>17462</v>
      </c>
      <c r="R1722" s="9">
        <v>216187</v>
      </c>
      <c r="S1722" s="9">
        <v>-107369</v>
      </c>
      <c r="T1722" s="10">
        <v>56366</v>
      </c>
      <c r="U1722" s="10">
        <v>660</v>
      </c>
    </row>
    <row r="1723" spans="1:21" x14ac:dyDescent="0.35">
      <c r="A1723" t="s">
        <v>15</v>
      </c>
      <c r="B1723" t="s">
        <v>16</v>
      </c>
      <c r="C1723" t="s">
        <v>17</v>
      </c>
      <c r="D1723">
        <v>257311</v>
      </c>
      <c r="E1723">
        <v>14016</v>
      </c>
      <c r="F1723">
        <v>30429</v>
      </c>
      <c r="G1723">
        <v>-237614</v>
      </c>
      <c r="H1723">
        <v>64142</v>
      </c>
      <c r="I1723">
        <v>66012</v>
      </c>
      <c r="J1723">
        <v>1119</v>
      </c>
      <c r="K1723">
        <v>666593</v>
      </c>
      <c r="L1723">
        <v>264403</v>
      </c>
      <c r="M1723">
        <v>-85072</v>
      </c>
      <c r="N1723">
        <v>112128</v>
      </c>
      <c r="O1723" t="s">
        <v>1741</v>
      </c>
      <c r="P1723" s="9">
        <v>205547</v>
      </c>
      <c r="Q1723" s="9">
        <v>25056</v>
      </c>
      <c r="R1723" s="9">
        <v>230603</v>
      </c>
      <c r="S1723" s="9">
        <v>-90849</v>
      </c>
      <c r="T1723" s="10">
        <v>99189</v>
      </c>
      <c r="U1723" s="10">
        <v>1258</v>
      </c>
    </row>
    <row r="1724" spans="1:21" x14ac:dyDescent="0.35">
      <c r="A1724" t="s">
        <v>15</v>
      </c>
      <c r="B1724" t="s">
        <v>16</v>
      </c>
      <c r="C1724" t="s">
        <v>21</v>
      </c>
      <c r="D1724">
        <v>159128</v>
      </c>
      <c r="E1724">
        <v>14750</v>
      </c>
      <c r="F1724">
        <v>33771</v>
      </c>
      <c r="G1724">
        <v>-147486</v>
      </c>
      <c r="H1724">
        <v>60163</v>
      </c>
      <c r="I1724">
        <v>59695</v>
      </c>
      <c r="J1724">
        <v>808</v>
      </c>
      <c r="K1724">
        <v>530260</v>
      </c>
      <c r="L1724">
        <v>103449</v>
      </c>
      <c r="M1724">
        <v>-54148</v>
      </c>
      <c r="N1724">
        <v>54717</v>
      </c>
      <c r="O1724" t="s">
        <v>1742</v>
      </c>
      <c r="P1724" s="9">
        <v>254620</v>
      </c>
      <c r="Q1724" s="9">
        <v>21160</v>
      </c>
      <c r="R1724" s="9">
        <v>275780</v>
      </c>
      <c r="S1724" s="9">
        <v>-126647</v>
      </c>
      <c r="T1724" s="10">
        <v>108060</v>
      </c>
      <c r="U1724" s="10">
        <v>1422</v>
      </c>
    </row>
    <row r="1725" spans="1:21" x14ac:dyDescent="0.35">
      <c r="A1725" t="s">
        <v>15</v>
      </c>
      <c r="B1725" t="s">
        <v>16</v>
      </c>
      <c r="C1725" t="s">
        <v>17</v>
      </c>
      <c r="D1725">
        <v>278795</v>
      </c>
      <c r="E1725">
        <v>40505</v>
      </c>
      <c r="F1725">
        <v>47199</v>
      </c>
      <c r="G1725">
        <v>-268849</v>
      </c>
      <c r="H1725">
        <v>97650</v>
      </c>
      <c r="I1725">
        <v>100443</v>
      </c>
      <c r="J1725">
        <v>2570</v>
      </c>
      <c r="K1725">
        <v>817915</v>
      </c>
      <c r="L1725">
        <v>316315</v>
      </c>
      <c r="M1725">
        <v>-271740</v>
      </c>
      <c r="N1725">
        <v>225930</v>
      </c>
      <c r="O1725" t="s">
        <v>1743</v>
      </c>
      <c r="P1725" s="9">
        <v>243582</v>
      </c>
      <c r="Q1725" s="9">
        <v>31132</v>
      </c>
      <c r="R1725" s="9">
        <v>274714</v>
      </c>
      <c r="S1725" s="9">
        <v>-106043</v>
      </c>
      <c r="T1725" s="10">
        <v>110237</v>
      </c>
      <c r="U1725" s="10">
        <v>1358</v>
      </c>
    </row>
    <row r="1726" spans="1:21" x14ac:dyDescent="0.35">
      <c r="A1726" t="s">
        <v>15</v>
      </c>
      <c r="B1726" t="s">
        <v>16</v>
      </c>
      <c r="C1726" t="s">
        <v>17</v>
      </c>
      <c r="D1726">
        <v>264247</v>
      </c>
      <c r="E1726">
        <v>17399</v>
      </c>
      <c r="F1726">
        <v>34346</v>
      </c>
      <c r="G1726">
        <v>-248490</v>
      </c>
      <c r="H1726">
        <v>67502</v>
      </c>
      <c r="I1726">
        <v>70092</v>
      </c>
      <c r="J1726">
        <v>1114</v>
      </c>
      <c r="K1726">
        <v>570409</v>
      </c>
      <c r="L1726">
        <v>157994</v>
      </c>
      <c r="M1726">
        <v>-161422</v>
      </c>
      <c r="N1726">
        <v>117780</v>
      </c>
      <c r="O1726" t="s">
        <v>1744</v>
      </c>
      <c r="P1726" s="9">
        <v>242080</v>
      </c>
      <c r="Q1726" s="9">
        <v>32528</v>
      </c>
      <c r="R1726" s="9">
        <v>274608</v>
      </c>
      <c r="S1726" s="9">
        <v>-156527</v>
      </c>
      <c r="T1726" s="10">
        <v>94557</v>
      </c>
      <c r="U1726" s="10">
        <v>1763</v>
      </c>
    </row>
    <row r="1727" spans="1:21" x14ac:dyDescent="0.35">
      <c r="A1727" t="s">
        <v>15</v>
      </c>
      <c r="B1727" t="s">
        <v>16</v>
      </c>
      <c r="C1727" t="s">
        <v>21</v>
      </c>
      <c r="D1727">
        <v>151193</v>
      </c>
      <c r="E1727">
        <v>14094</v>
      </c>
      <c r="F1727">
        <v>18969</v>
      </c>
      <c r="G1727">
        <v>-142417</v>
      </c>
      <c r="H1727">
        <v>41839</v>
      </c>
      <c r="I1727">
        <v>40609</v>
      </c>
      <c r="J1727">
        <v>518</v>
      </c>
      <c r="K1727">
        <v>514489</v>
      </c>
      <c r="L1727">
        <v>110301</v>
      </c>
      <c r="M1727">
        <v>-61017</v>
      </c>
      <c r="N1727">
        <v>112414</v>
      </c>
      <c r="O1727" t="s">
        <v>1745</v>
      </c>
      <c r="P1727" s="9">
        <v>280702</v>
      </c>
      <c r="Q1727" s="9">
        <v>16369</v>
      </c>
      <c r="R1727" s="9">
        <v>297071</v>
      </c>
      <c r="S1727" s="9">
        <v>-133433</v>
      </c>
      <c r="T1727" s="10">
        <v>115488</v>
      </c>
      <c r="U1727" s="10">
        <v>1467</v>
      </c>
    </row>
    <row r="1728" spans="1:21" x14ac:dyDescent="0.35">
      <c r="A1728" t="s">
        <v>15</v>
      </c>
      <c r="B1728" t="s">
        <v>20</v>
      </c>
      <c r="C1728" t="s">
        <v>17</v>
      </c>
      <c r="D1728">
        <v>193168</v>
      </c>
      <c r="E1728">
        <v>25970</v>
      </c>
      <c r="F1728">
        <v>38550</v>
      </c>
      <c r="G1728">
        <v>-191456</v>
      </c>
      <c r="H1728">
        <v>66232</v>
      </c>
      <c r="I1728">
        <v>60769</v>
      </c>
      <c r="J1728">
        <v>781</v>
      </c>
      <c r="K1728">
        <v>712180</v>
      </c>
      <c r="L1728">
        <v>168454</v>
      </c>
      <c r="M1728">
        <v>-93628</v>
      </c>
      <c r="N1728">
        <v>149310</v>
      </c>
      <c r="O1728" t="s">
        <v>1746</v>
      </c>
      <c r="P1728" s="9">
        <v>255615</v>
      </c>
      <c r="Q1728" s="9">
        <v>25871</v>
      </c>
      <c r="R1728" s="9">
        <v>281486</v>
      </c>
      <c r="S1728" s="9">
        <v>-130709</v>
      </c>
      <c r="T1728" s="10">
        <v>111507</v>
      </c>
      <c r="U1728" s="10">
        <v>1471</v>
      </c>
    </row>
    <row r="1729" spans="1:21" x14ac:dyDescent="0.35">
      <c r="A1729" t="s">
        <v>15</v>
      </c>
      <c r="B1729" t="s">
        <v>20</v>
      </c>
      <c r="C1729" t="s">
        <v>17</v>
      </c>
      <c r="D1729">
        <v>155837</v>
      </c>
      <c r="E1729">
        <v>17754</v>
      </c>
      <c r="F1729">
        <v>19610</v>
      </c>
      <c r="G1729">
        <v>-153436</v>
      </c>
      <c r="H1729">
        <v>39765</v>
      </c>
      <c r="I1729">
        <v>39388</v>
      </c>
      <c r="J1729">
        <v>650</v>
      </c>
      <c r="K1729">
        <v>541168</v>
      </c>
      <c r="L1729">
        <v>138076</v>
      </c>
      <c r="M1729">
        <v>-141429</v>
      </c>
      <c r="N1729">
        <v>113344</v>
      </c>
      <c r="O1729" t="s">
        <v>1747</v>
      </c>
      <c r="P1729" s="9">
        <v>224818</v>
      </c>
      <c r="Q1729" s="9">
        <v>27901</v>
      </c>
      <c r="R1729" s="9">
        <v>252719</v>
      </c>
      <c r="S1729" s="9">
        <v>-58336</v>
      </c>
      <c r="T1729" s="10">
        <v>99584</v>
      </c>
      <c r="U1729" s="10">
        <v>2908</v>
      </c>
    </row>
    <row r="1730" spans="1:21" x14ac:dyDescent="0.35">
      <c r="A1730" t="s">
        <v>15</v>
      </c>
      <c r="B1730" t="s">
        <v>20</v>
      </c>
      <c r="C1730" t="s">
        <v>21</v>
      </c>
      <c r="D1730">
        <v>235468</v>
      </c>
      <c r="E1730">
        <v>47019</v>
      </c>
      <c r="F1730">
        <v>37059</v>
      </c>
      <c r="G1730">
        <v>-211197</v>
      </c>
      <c r="H1730">
        <v>108349</v>
      </c>
      <c r="I1730">
        <v>110606</v>
      </c>
      <c r="J1730">
        <v>2050</v>
      </c>
      <c r="K1730">
        <v>910203</v>
      </c>
      <c r="L1730">
        <v>218819</v>
      </c>
      <c r="M1730">
        <v>-253137</v>
      </c>
      <c r="N1730">
        <v>150998</v>
      </c>
      <c r="O1730" t="s">
        <v>1748</v>
      </c>
      <c r="P1730" s="9">
        <v>260037</v>
      </c>
      <c r="Q1730" s="9">
        <v>40174</v>
      </c>
      <c r="R1730" s="9">
        <v>300211</v>
      </c>
      <c r="S1730" s="9">
        <v>-165489</v>
      </c>
      <c r="T1730" s="10">
        <v>97106</v>
      </c>
      <c r="U1730" s="10">
        <v>2744</v>
      </c>
    </row>
    <row r="1731" spans="1:21" x14ac:dyDescent="0.35">
      <c r="A1731" t="s">
        <v>15</v>
      </c>
      <c r="B1731" t="s">
        <v>20</v>
      </c>
      <c r="C1731" t="s">
        <v>17</v>
      </c>
      <c r="D1731">
        <v>164869</v>
      </c>
      <c r="E1731">
        <v>13966</v>
      </c>
      <c r="F1731">
        <v>18129</v>
      </c>
      <c r="G1731">
        <v>-154411</v>
      </c>
      <c r="H1731">
        <v>42553</v>
      </c>
      <c r="I1731">
        <v>44033</v>
      </c>
      <c r="J1731">
        <v>789</v>
      </c>
      <c r="K1731">
        <v>605769</v>
      </c>
      <c r="L1731">
        <v>62894</v>
      </c>
      <c r="M1731">
        <v>-181967</v>
      </c>
      <c r="N1731">
        <v>145045</v>
      </c>
      <c r="O1731" t="s">
        <v>1749</v>
      </c>
      <c r="P1731" s="9">
        <v>158178</v>
      </c>
      <c r="Q1731" s="9">
        <v>11134</v>
      </c>
      <c r="R1731" s="9">
        <v>169312</v>
      </c>
      <c r="S1731" s="9">
        <v>-100761</v>
      </c>
      <c r="T1731" s="10">
        <v>49811</v>
      </c>
      <c r="U1731" s="10">
        <v>625</v>
      </c>
    </row>
    <row r="1732" spans="1:21" x14ac:dyDescent="0.35">
      <c r="A1732" t="s">
        <v>15</v>
      </c>
      <c r="B1732" t="s">
        <v>16</v>
      </c>
      <c r="C1732" t="s">
        <v>21</v>
      </c>
      <c r="D1732">
        <v>156316</v>
      </c>
      <c r="E1732">
        <v>18497</v>
      </c>
      <c r="F1732">
        <v>28025</v>
      </c>
      <c r="G1732">
        <v>-148474</v>
      </c>
      <c r="H1732">
        <v>54364</v>
      </c>
      <c r="I1732">
        <v>50025</v>
      </c>
      <c r="J1732">
        <v>954</v>
      </c>
      <c r="K1732">
        <v>520081</v>
      </c>
      <c r="L1732">
        <v>68666</v>
      </c>
      <c r="M1732">
        <v>-93987</v>
      </c>
      <c r="N1732">
        <v>95927</v>
      </c>
      <c r="O1732" t="s">
        <v>1750</v>
      </c>
      <c r="P1732" s="9">
        <v>268153</v>
      </c>
      <c r="Q1732" s="9">
        <v>17181</v>
      </c>
      <c r="R1732" s="9">
        <v>285334</v>
      </c>
      <c r="S1732" s="9">
        <v>-59051</v>
      </c>
      <c r="T1732" s="10">
        <v>98093</v>
      </c>
      <c r="U1732" s="10">
        <v>1340</v>
      </c>
    </row>
    <row r="1733" spans="1:21" x14ac:dyDescent="0.35">
      <c r="A1733" t="s">
        <v>15</v>
      </c>
      <c r="B1733" t="s">
        <v>16</v>
      </c>
      <c r="C1733" t="s">
        <v>17</v>
      </c>
      <c r="D1733">
        <v>297904</v>
      </c>
      <c r="E1733">
        <v>16460</v>
      </c>
      <c r="F1733">
        <v>63546</v>
      </c>
      <c r="G1733">
        <v>-242207</v>
      </c>
      <c r="H1733">
        <v>135703</v>
      </c>
      <c r="I1733">
        <v>135571</v>
      </c>
      <c r="J1733">
        <v>2370</v>
      </c>
      <c r="K1733">
        <v>1008618</v>
      </c>
      <c r="L1733">
        <v>370164</v>
      </c>
      <c r="M1733">
        <v>-224441</v>
      </c>
      <c r="N1733">
        <v>148829</v>
      </c>
      <c r="O1733" t="s">
        <v>1751</v>
      </c>
      <c r="P1733" s="9">
        <v>252662</v>
      </c>
      <c r="Q1733" s="9">
        <v>43313</v>
      </c>
      <c r="R1733" s="9">
        <v>295975</v>
      </c>
      <c r="S1733" s="9">
        <v>-148884</v>
      </c>
      <c r="T1733" s="10">
        <v>131213</v>
      </c>
      <c r="U1733" s="10">
        <v>3622</v>
      </c>
    </row>
    <row r="1734" spans="1:21" x14ac:dyDescent="0.35">
      <c r="A1734" t="s">
        <v>15</v>
      </c>
      <c r="B1734" t="s">
        <v>16</v>
      </c>
      <c r="C1734" t="s">
        <v>21</v>
      </c>
      <c r="D1734">
        <v>274299</v>
      </c>
      <c r="E1734">
        <v>35664</v>
      </c>
      <c r="F1734">
        <v>31981</v>
      </c>
      <c r="G1734">
        <v>-254461</v>
      </c>
      <c r="H1734">
        <v>87483</v>
      </c>
      <c r="I1734">
        <v>83600</v>
      </c>
      <c r="J1734">
        <v>2439</v>
      </c>
      <c r="K1734">
        <v>608394</v>
      </c>
      <c r="L1734">
        <v>212979</v>
      </c>
      <c r="M1734">
        <v>-138834</v>
      </c>
      <c r="N1734">
        <v>178583</v>
      </c>
      <c r="O1734" t="s">
        <v>1752</v>
      </c>
      <c r="P1734" s="9">
        <v>216515</v>
      </c>
      <c r="Q1734" s="9">
        <v>35857</v>
      </c>
      <c r="R1734" s="9">
        <v>252372</v>
      </c>
      <c r="S1734" s="9">
        <v>-80723</v>
      </c>
      <c r="T1734" s="10">
        <v>75285</v>
      </c>
      <c r="U1734" s="10">
        <v>1980</v>
      </c>
    </row>
    <row r="1735" spans="1:21" x14ac:dyDescent="0.35">
      <c r="A1735" t="s">
        <v>15</v>
      </c>
      <c r="B1735" t="s">
        <v>16</v>
      </c>
      <c r="C1735" t="s">
        <v>17</v>
      </c>
      <c r="D1735">
        <v>257729</v>
      </c>
      <c r="E1735">
        <v>27608</v>
      </c>
      <c r="F1735">
        <v>44611</v>
      </c>
      <c r="G1735">
        <v>-210521</v>
      </c>
      <c r="H1735">
        <v>119427</v>
      </c>
      <c r="I1735">
        <v>118259</v>
      </c>
      <c r="J1735">
        <v>2855</v>
      </c>
      <c r="K1735">
        <v>727747</v>
      </c>
      <c r="L1735">
        <v>187089</v>
      </c>
      <c r="M1735">
        <v>-97431</v>
      </c>
      <c r="N1735">
        <v>121982</v>
      </c>
      <c r="O1735" t="s">
        <v>1753</v>
      </c>
      <c r="P1735" s="9">
        <v>267045</v>
      </c>
      <c r="Q1735" s="9">
        <v>31682</v>
      </c>
      <c r="R1735" s="9">
        <v>298727</v>
      </c>
      <c r="S1735" s="9">
        <v>-69509</v>
      </c>
      <c r="T1735" s="10">
        <v>96989</v>
      </c>
      <c r="U1735" s="10">
        <v>2768</v>
      </c>
    </row>
    <row r="1736" spans="1:21" x14ac:dyDescent="0.35">
      <c r="A1736" t="s">
        <v>15</v>
      </c>
      <c r="B1736" t="s">
        <v>16</v>
      </c>
      <c r="C1736" t="s">
        <v>21</v>
      </c>
      <c r="D1736">
        <v>293060</v>
      </c>
      <c r="E1736">
        <v>20019</v>
      </c>
      <c r="F1736">
        <v>66961</v>
      </c>
      <c r="G1736">
        <v>-250335</v>
      </c>
      <c r="H1736">
        <v>129705</v>
      </c>
      <c r="I1736">
        <v>123200</v>
      </c>
      <c r="J1736">
        <v>1671</v>
      </c>
      <c r="K1736">
        <v>711095</v>
      </c>
      <c r="L1736">
        <v>267993</v>
      </c>
      <c r="M1736">
        <v>-124957</v>
      </c>
      <c r="N1736">
        <v>152418</v>
      </c>
      <c r="O1736" t="s">
        <v>1754</v>
      </c>
      <c r="P1736" s="9">
        <v>265731</v>
      </c>
      <c r="Q1736" s="9">
        <v>37357</v>
      </c>
      <c r="R1736" s="9">
        <v>303088</v>
      </c>
      <c r="S1736" s="9">
        <v>-126988</v>
      </c>
      <c r="T1736" s="10">
        <v>86245</v>
      </c>
      <c r="U1736" s="10">
        <v>1721</v>
      </c>
    </row>
    <row r="1737" spans="1:21" x14ac:dyDescent="0.35">
      <c r="A1737" t="s">
        <v>15</v>
      </c>
      <c r="B1737" t="s">
        <v>16</v>
      </c>
      <c r="C1737" t="s">
        <v>17</v>
      </c>
      <c r="D1737">
        <v>195351</v>
      </c>
      <c r="E1737">
        <v>15040</v>
      </c>
      <c r="F1737">
        <v>33567</v>
      </c>
      <c r="G1737">
        <v>-178602</v>
      </c>
      <c r="H1737">
        <v>65356</v>
      </c>
      <c r="I1737">
        <v>60961</v>
      </c>
      <c r="J1737">
        <v>1665</v>
      </c>
      <c r="K1737">
        <v>529983</v>
      </c>
      <c r="L1737">
        <v>85085</v>
      </c>
      <c r="M1737">
        <v>-130060</v>
      </c>
      <c r="N1737">
        <v>64806</v>
      </c>
      <c r="O1737" t="s">
        <v>1755</v>
      </c>
      <c r="P1737" s="9">
        <v>251886</v>
      </c>
      <c r="Q1737" s="9">
        <v>38907</v>
      </c>
      <c r="R1737" s="9">
        <v>290793</v>
      </c>
      <c r="S1737" s="9">
        <v>-101352</v>
      </c>
      <c r="T1737" s="10">
        <v>138538</v>
      </c>
      <c r="U1737" s="10">
        <v>2658</v>
      </c>
    </row>
    <row r="1738" spans="1:21" x14ac:dyDescent="0.35">
      <c r="A1738" t="s">
        <v>15</v>
      </c>
      <c r="B1738" t="s">
        <v>20</v>
      </c>
      <c r="C1738" t="s">
        <v>17</v>
      </c>
      <c r="D1738">
        <v>230322</v>
      </c>
      <c r="E1738">
        <v>24546</v>
      </c>
      <c r="F1738">
        <v>39155</v>
      </c>
      <c r="G1738">
        <v>-214677</v>
      </c>
      <c r="H1738">
        <v>79346</v>
      </c>
      <c r="I1738">
        <v>78057</v>
      </c>
      <c r="J1738">
        <v>1938</v>
      </c>
      <c r="K1738">
        <v>676534</v>
      </c>
      <c r="L1738">
        <v>181873</v>
      </c>
      <c r="M1738">
        <v>-100100</v>
      </c>
      <c r="N1738">
        <v>81241</v>
      </c>
      <c r="O1738" t="s">
        <v>1756</v>
      </c>
      <c r="P1738" s="9">
        <v>169389</v>
      </c>
      <c r="Q1738" s="9">
        <v>32496</v>
      </c>
      <c r="R1738" s="9">
        <v>201885</v>
      </c>
      <c r="S1738" s="9">
        <v>-49179</v>
      </c>
      <c r="T1738" s="10">
        <v>53846</v>
      </c>
      <c r="U1738" s="10">
        <v>823</v>
      </c>
    </row>
    <row r="1739" spans="1:21" x14ac:dyDescent="0.35">
      <c r="A1739" t="s">
        <v>15</v>
      </c>
      <c r="B1739" t="s">
        <v>16</v>
      </c>
      <c r="C1739" t="s">
        <v>21</v>
      </c>
      <c r="D1739">
        <v>254141</v>
      </c>
      <c r="E1739">
        <v>28778</v>
      </c>
      <c r="F1739">
        <v>45436</v>
      </c>
      <c r="G1739">
        <v>-212960</v>
      </c>
      <c r="H1739">
        <v>115395</v>
      </c>
      <c r="I1739">
        <v>120475</v>
      </c>
      <c r="J1739">
        <v>3265</v>
      </c>
      <c r="K1739">
        <v>825560</v>
      </c>
      <c r="L1739">
        <v>276300</v>
      </c>
      <c r="M1739">
        <v>-302098</v>
      </c>
      <c r="N1739">
        <v>106393</v>
      </c>
      <c r="O1739" t="s">
        <v>1757</v>
      </c>
      <c r="P1739" s="9">
        <v>213512</v>
      </c>
      <c r="Q1739" s="9">
        <v>12048</v>
      </c>
      <c r="R1739" s="9">
        <v>225560</v>
      </c>
      <c r="S1739" s="9">
        <v>-96788</v>
      </c>
      <c r="T1739" s="10">
        <v>77443</v>
      </c>
      <c r="U1739" s="10">
        <v>2007</v>
      </c>
    </row>
    <row r="1740" spans="1:21" x14ac:dyDescent="0.35">
      <c r="A1740" t="s">
        <v>15</v>
      </c>
      <c r="B1740" t="s">
        <v>16</v>
      </c>
      <c r="C1740" t="s">
        <v>21</v>
      </c>
      <c r="D1740">
        <v>220889</v>
      </c>
      <c r="E1740">
        <v>11644</v>
      </c>
      <c r="F1740">
        <v>50420</v>
      </c>
      <c r="G1740">
        <v>-203421</v>
      </c>
      <c r="H1740">
        <v>79532</v>
      </c>
      <c r="I1740">
        <v>80702</v>
      </c>
      <c r="J1740">
        <v>2052</v>
      </c>
      <c r="K1740">
        <v>730564</v>
      </c>
      <c r="L1740">
        <v>194380</v>
      </c>
      <c r="M1740">
        <v>-151255</v>
      </c>
      <c r="N1740">
        <v>158015</v>
      </c>
      <c r="O1740" t="s">
        <v>1758</v>
      </c>
      <c r="P1740" s="9">
        <v>156515</v>
      </c>
      <c r="Q1740" s="9">
        <v>34432</v>
      </c>
      <c r="R1740" s="9">
        <v>190947</v>
      </c>
      <c r="S1740" s="9">
        <v>-56007</v>
      </c>
      <c r="T1740" s="10">
        <v>98104</v>
      </c>
      <c r="U1740" s="10">
        <v>2300</v>
      </c>
    </row>
    <row r="1741" spans="1:21" x14ac:dyDescent="0.35">
      <c r="A1741" t="s">
        <v>15</v>
      </c>
      <c r="B1741" t="s">
        <v>16</v>
      </c>
      <c r="C1741" t="s">
        <v>17</v>
      </c>
      <c r="D1741">
        <v>170312</v>
      </c>
      <c r="E1741">
        <v>24613</v>
      </c>
      <c r="F1741">
        <v>41730</v>
      </c>
      <c r="G1741">
        <v>-164430</v>
      </c>
      <c r="H1741">
        <v>72225</v>
      </c>
      <c r="I1741">
        <v>67148</v>
      </c>
      <c r="J1741">
        <v>2013</v>
      </c>
      <c r="K1741">
        <v>556488</v>
      </c>
      <c r="L1741">
        <v>98175</v>
      </c>
      <c r="M1741">
        <v>-130387</v>
      </c>
      <c r="N1741">
        <v>78131</v>
      </c>
      <c r="O1741" t="s">
        <v>1759</v>
      </c>
      <c r="P1741" s="9">
        <v>234679</v>
      </c>
      <c r="Q1741" s="9">
        <v>21379</v>
      </c>
      <c r="R1741" s="9">
        <v>256058</v>
      </c>
      <c r="S1741" s="9">
        <v>-98076</v>
      </c>
      <c r="T1741" s="10">
        <v>99462</v>
      </c>
      <c r="U1741" s="10">
        <v>2347</v>
      </c>
    </row>
    <row r="1742" spans="1:21" x14ac:dyDescent="0.35">
      <c r="A1742" t="s">
        <v>15</v>
      </c>
      <c r="B1742" t="s">
        <v>16</v>
      </c>
      <c r="C1742" t="s">
        <v>21</v>
      </c>
      <c r="D1742">
        <v>196537</v>
      </c>
      <c r="E1742">
        <v>22894</v>
      </c>
      <c r="F1742">
        <v>21080</v>
      </c>
      <c r="G1742">
        <v>-175346</v>
      </c>
      <c r="H1742">
        <v>65165</v>
      </c>
      <c r="I1742">
        <v>62613</v>
      </c>
      <c r="J1742">
        <v>636</v>
      </c>
      <c r="K1742">
        <v>635634</v>
      </c>
      <c r="L1742">
        <v>297939</v>
      </c>
      <c r="M1742">
        <v>-172491</v>
      </c>
      <c r="N1742">
        <v>98183</v>
      </c>
      <c r="O1742" t="s">
        <v>1760</v>
      </c>
      <c r="P1742" s="9">
        <v>202645</v>
      </c>
      <c r="Q1742" s="9">
        <v>13988</v>
      </c>
      <c r="R1742" s="9">
        <v>216633</v>
      </c>
      <c r="S1742" s="9">
        <v>-102806</v>
      </c>
      <c r="T1742" s="10">
        <v>42156</v>
      </c>
      <c r="U1742" s="10">
        <v>976</v>
      </c>
    </row>
    <row r="1743" spans="1:21" x14ac:dyDescent="0.35">
      <c r="A1743" t="s">
        <v>15</v>
      </c>
      <c r="B1743" t="s">
        <v>20</v>
      </c>
      <c r="C1743" t="s">
        <v>21</v>
      </c>
      <c r="D1743">
        <v>163329</v>
      </c>
      <c r="E1743">
        <v>12404</v>
      </c>
      <c r="F1743">
        <v>33233</v>
      </c>
      <c r="G1743">
        <v>-160196</v>
      </c>
      <c r="H1743">
        <v>48770</v>
      </c>
      <c r="I1743">
        <v>48284</v>
      </c>
      <c r="J1743">
        <v>1396</v>
      </c>
      <c r="K1743">
        <v>429516</v>
      </c>
      <c r="L1743">
        <v>203932</v>
      </c>
      <c r="M1743">
        <v>-163555</v>
      </c>
      <c r="N1743">
        <v>119164</v>
      </c>
      <c r="O1743" t="s">
        <v>1761</v>
      </c>
      <c r="P1743" s="9">
        <v>255348</v>
      </c>
      <c r="Q1743" s="9">
        <v>31508</v>
      </c>
      <c r="R1743" s="9">
        <v>286856</v>
      </c>
      <c r="S1743" s="9">
        <v>-137203</v>
      </c>
      <c r="T1743" s="10">
        <v>104769</v>
      </c>
      <c r="U1743" s="10">
        <v>2681</v>
      </c>
    </row>
    <row r="1744" spans="1:21" x14ac:dyDescent="0.35">
      <c r="A1744" t="s">
        <v>15</v>
      </c>
      <c r="B1744" t="s">
        <v>16</v>
      </c>
      <c r="C1744" t="s">
        <v>17</v>
      </c>
      <c r="D1744">
        <v>196834</v>
      </c>
      <c r="E1744">
        <v>29902</v>
      </c>
      <c r="F1744">
        <v>26235</v>
      </c>
      <c r="G1744">
        <v>-168632</v>
      </c>
      <c r="H1744">
        <v>84339</v>
      </c>
      <c r="I1744">
        <v>86309</v>
      </c>
      <c r="J1744">
        <v>983</v>
      </c>
      <c r="K1744">
        <v>464551</v>
      </c>
      <c r="L1744">
        <v>85911</v>
      </c>
      <c r="M1744">
        <v>-158112</v>
      </c>
      <c r="N1744">
        <v>169862</v>
      </c>
      <c r="O1744" t="s">
        <v>1762</v>
      </c>
      <c r="P1744" s="9">
        <v>211483</v>
      </c>
      <c r="Q1744" s="9">
        <v>20817</v>
      </c>
      <c r="R1744" s="9">
        <v>232300</v>
      </c>
      <c r="S1744" s="9">
        <v>-48592</v>
      </c>
      <c r="T1744" s="10">
        <v>107433</v>
      </c>
      <c r="U1744" s="10">
        <v>1744</v>
      </c>
    </row>
    <row r="1745" spans="1:21" x14ac:dyDescent="0.35">
      <c r="A1745" t="s">
        <v>15</v>
      </c>
      <c r="B1745" t="s">
        <v>16</v>
      </c>
      <c r="C1745" t="s">
        <v>21</v>
      </c>
      <c r="D1745">
        <v>263860</v>
      </c>
      <c r="E1745">
        <v>36627</v>
      </c>
      <c r="F1745">
        <v>54773</v>
      </c>
      <c r="G1745">
        <v>-217280</v>
      </c>
      <c r="H1745">
        <v>137980</v>
      </c>
      <c r="I1745">
        <v>132787</v>
      </c>
      <c r="J1745">
        <v>2529</v>
      </c>
      <c r="K1745">
        <v>967792</v>
      </c>
      <c r="L1745">
        <v>184890</v>
      </c>
      <c r="M1745">
        <v>-317302</v>
      </c>
      <c r="N1745">
        <v>142056</v>
      </c>
      <c r="O1745" t="s">
        <v>1763</v>
      </c>
      <c r="P1745" s="9">
        <v>178083</v>
      </c>
      <c r="Q1745" s="9">
        <v>20582</v>
      </c>
      <c r="R1745" s="9">
        <v>198665</v>
      </c>
      <c r="S1745" s="9">
        <v>-115034</v>
      </c>
      <c r="T1745" s="10">
        <v>61006</v>
      </c>
      <c r="U1745" s="10">
        <v>914</v>
      </c>
    </row>
    <row r="1746" spans="1:21" x14ac:dyDescent="0.35">
      <c r="A1746" t="s">
        <v>15</v>
      </c>
      <c r="B1746" t="s">
        <v>16</v>
      </c>
      <c r="C1746" t="s">
        <v>17</v>
      </c>
      <c r="D1746">
        <v>199881</v>
      </c>
      <c r="E1746">
        <v>24564</v>
      </c>
      <c r="F1746">
        <v>28153</v>
      </c>
      <c r="G1746">
        <v>-165266</v>
      </c>
      <c r="H1746">
        <v>87332</v>
      </c>
      <c r="I1746">
        <v>84608</v>
      </c>
      <c r="J1746">
        <v>2179</v>
      </c>
      <c r="K1746">
        <v>543554</v>
      </c>
      <c r="L1746">
        <v>216274</v>
      </c>
      <c r="M1746">
        <v>-154821</v>
      </c>
      <c r="N1746">
        <v>155007</v>
      </c>
      <c r="O1746" t="s">
        <v>1764</v>
      </c>
      <c r="P1746" s="9">
        <v>259058</v>
      </c>
      <c r="Q1746" s="9">
        <v>38694</v>
      </c>
      <c r="R1746" s="9">
        <v>297752</v>
      </c>
      <c r="S1746" s="9">
        <v>-68895</v>
      </c>
      <c r="T1746" s="10">
        <v>118773</v>
      </c>
      <c r="U1746" s="10">
        <v>2291</v>
      </c>
    </row>
    <row r="1747" spans="1:21" x14ac:dyDescent="0.35">
      <c r="A1747" t="s">
        <v>15</v>
      </c>
      <c r="B1747" t="s">
        <v>16</v>
      </c>
      <c r="C1747" t="s">
        <v>21</v>
      </c>
      <c r="D1747">
        <v>199790</v>
      </c>
      <c r="E1747">
        <v>14904</v>
      </c>
      <c r="F1747">
        <v>35239</v>
      </c>
      <c r="G1747">
        <v>-190711</v>
      </c>
      <c r="H1747">
        <v>59222</v>
      </c>
      <c r="I1747">
        <v>57221</v>
      </c>
      <c r="J1747">
        <v>1435</v>
      </c>
      <c r="K1747">
        <v>684973</v>
      </c>
      <c r="L1747">
        <v>72478</v>
      </c>
      <c r="M1747">
        <v>-104043</v>
      </c>
      <c r="N1747">
        <v>60611</v>
      </c>
      <c r="O1747" t="s">
        <v>1765</v>
      </c>
      <c r="P1747" s="9">
        <v>291442</v>
      </c>
      <c r="Q1747" s="9">
        <v>42817</v>
      </c>
      <c r="R1747" s="9">
        <v>334259</v>
      </c>
      <c r="S1747" s="9">
        <v>-161822</v>
      </c>
      <c r="T1747" s="10">
        <v>113965</v>
      </c>
      <c r="U1747" s="10">
        <v>1445</v>
      </c>
    </row>
    <row r="1748" spans="1:21" x14ac:dyDescent="0.35">
      <c r="A1748" t="s">
        <v>15</v>
      </c>
      <c r="B1748" t="s">
        <v>16</v>
      </c>
      <c r="C1748" t="s">
        <v>21</v>
      </c>
      <c r="D1748">
        <v>246463</v>
      </c>
      <c r="E1748">
        <v>37559</v>
      </c>
      <c r="F1748">
        <v>33052</v>
      </c>
      <c r="G1748">
        <v>-240887</v>
      </c>
      <c r="H1748">
        <v>76187</v>
      </c>
      <c r="I1748">
        <v>77252</v>
      </c>
      <c r="J1748">
        <v>1176</v>
      </c>
      <c r="K1748">
        <v>622097</v>
      </c>
      <c r="L1748">
        <v>84751</v>
      </c>
      <c r="M1748">
        <v>-90035</v>
      </c>
      <c r="N1748">
        <v>160485</v>
      </c>
      <c r="O1748" t="s">
        <v>1766</v>
      </c>
      <c r="P1748" s="9">
        <v>202512</v>
      </c>
      <c r="Q1748" s="9">
        <v>27667</v>
      </c>
      <c r="R1748" s="9">
        <v>230179</v>
      </c>
      <c r="S1748" s="9">
        <v>-106674</v>
      </c>
      <c r="T1748" s="10">
        <v>72011</v>
      </c>
      <c r="U1748" s="10">
        <v>1880</v>
      </c>
    </row>
    <row r="1749" spans="1:21" x14ac:dyDescent="0.35">
      <c r="A1749" t="s">
        <v>15</v>
      </c>
      <c r="B1749" t="s">
        <v>16</v>
      </c>
      <c r="C1749" t="s">
        <v>21</v>
      </c>
      <c r="D1749">
        <v>273986</v>
      </c>
      <c r="E1749">
        <v>32537</v>
      </c>
      <c r="F1749">
        <v>53095</v>
      </c>
      <c r="G1749">
        <v>-222345</v>
      </c>
      <c r="H1749">
        <v>137273</v>
      </c>
      <c r="I1749">
        <v>124538</v>
      </c>
      <c r="J1749">
        <v>3331</v>
      </c>
      <c r="K1749">
        <v>776598</v>
      </c>
      <c r="L1749">
        <v>245564</v>
      </c>
      <c r="M1749">
        <v>-275263</v>
      </c>
      <c r="N1749">
        <v>142480</v>
      </c>
      <c r="O1749" t="s">
        <v>1767</v>
      </c>
      <c r="P1749" s="9">
        <v>229179</v>
      </c>
      <c r="Q1749" s="9">
        <v>26933</v>
      </c>
      <c r="R1749" s="9">
        <v>256112</v>
      </c>
      <c r="S1749" s="9">
        <v>-148123</v>
      </c>
      <c r="T1749" s="10">
        <v>93165</v>
      </c>
      <c r="U1749" s="10">
        <v>1915</v>
      </c>
    </row>
    <row r="1750" spans="1:21" x14ac:dyDescent="0.35">
      <c r="A1750" t="s">
        <v>15</v>
      </c>
      <c r="B1750" t="s">
        <v>16</v>
      </c>
      <c r="C1750" t="s">
        <v>21</v>
      </c>
      <c r="D1750">
        <v>218880</v>
      </c>
      <c r="E1750">
        <v>43162</v>
      </c>
      <c r="F1750">
        <v>25178</v>
      </c>
      <c r="G1750">
        <v>-218471</v>
      </c>
      <c r="H1750">
        <v>68749</v>
      </c>
      <c r="I1750">
        <v>69709</v>
      </c>
      <c r="J1750">
        <v>763</v>
      </c>
      <c r="K1750">
        <v>601328</v>
      </c>
      <c r="L1750">
        <v>157210</v>
      </c>
      <c r="M1750">
        <v>-195738</v>
      </c>
      <c r="N1750">
        <v>113647</v>
      </c>
      <c r="O1750" t="s">
        <v>1768</v>
      </c>
      <c r="P1750" s="9">
        <v>166153</v>
      </c>
      <c r="Q1750" s="9">
        <v>9301</v>
      </c>
      <c r="R1750" s="9">
        <v>175454</v>
      </c>
      <c r="S1750" s="9">
        <v>-105207</v>
      </c>
      <c r="T1750" s="10">
        <v>62125</v>
      </c>
      <c r="U1750" s="10">
        <v>792</v>
      </c>
    </row>
    <row r="1751" spans="1:21" x14ac:dyDescent="0.35">
      <c r="A1751" t="s">
        <v>15</v>
      </c>
      <c r="B1751" t="s">
        <v>20</v>
      </c>
      <c r="C1751" t="s">
        <v>21</v>
      </c>
      <c r="D1751">
        <v>188296</v>
      </c>
      <c r="E1751">
        <v>21422</v>
      </c>
      <c r="F1751">
        <v>35505</v>
      </c>
      <c r="G1751">
        <v>-159991</v>
      </c>
      <c r="H1751">
        <v>85232</v>
      </c>
      <c r="I1751">
        <v>79625</v>
      </c>
      <c r="J1751">
        <v>2068</v>
      </c>
      <c r="K1751">
        <v>650960</v>
      </c>
      <c r="L1751">
        <v>303220</v>
      </c>
      <c r="M1751">
        <v>-161565</v>
      </c>
      <c r="N1751">
        <v>167020</v>
      </c>
      <c r="O1751" t="s">
        <v>1769</v>
      </c>
      <c r="P1751" s="9">
        <v>287439</v>
      </c>
      <c r="Q1751" s="9">
        <v>38497</v>
      </c>
      <c r="R1751" s="9">
        <v>325936</v>
      </c>
      <c r="S1751" s="9">
        <v>-133392</v>
      </c>
      <c r="T1751" s="10">
        <v>121480</v>
      </c>
      <c r="U1751" s="10">
        <v>3152</v>
      </c>
    </row>
    <row r="1752" spans="1:21" x14ac:dyDescent="0.35">
      <c r="A1752" t="s">
        <v>15</v>
      </c>
      <c r="B1752" t="s">
        <v>20</v>
      </c>
      <c r="C1752" t="s">
        <v>21</v>
      </c>
      <c r="D1752">
        <v>165997</v>
      </c>
      <c r="E1752">
        <v>21443</v>
      </c>
      <c r="F1752">
        <v>21461</v>
      </c>
      <c r="G1752">
        <v>-132958</v>
      </c>
      <c r="H1752">
        <v>75943</v>
      </c>
      <c r="I1752">
        <v>70913</v>
      </c>
      <c r="J1752">
        <v>792</v>
      </c>
      <c r="K1752">
        <v>490776</v>
      </c>
      <c r="L1752">
        <v>59042</v>
      </c>
      <c r="M1752">
        <v>-186304</v>
      </c>
      <c r="N1752">
        <v>70504</v>
      </c>
      <c r="O1752" t="s">
        <v>1770</v>
      </c>
      <c r="P1752" s="9">
        <v>198336</v>
      </c>
      <c r="Q1752" s="9">
        <v>27702</v>
      </c>
      <c r="R1752" s="9">
        <v>226038</v>
      </c>
      <c r="S1752" s="9">
        <v>-53258</v>
      </c>
      <c r="T1752" s="10">
        <v>95365</v>
      </c>
      <c r="U1752" s="10">
        <v>2296</v>
      </c>
    </row>
    <row r="1753" spans="1:21" x14ac:dyDescent="0.35">
      <c r="A1753" t="s">
        <v>15</v>
      </c>
      <c r="B1753" t="s">
        <v>20</v>
      </c>
      <c r="C1753" t="s">
        <v>21</v>
      </c>
      <c r="D1753">
        <v>176539</v>
      </c>
      <c r="E1753">
        <v>8867</v>
      </c>
      <c r="F1753">
        <v>18677</v>
      </c>
      <c r="G1753">
        <v>-156193</v>
      </c>
      <c r="H1753">
        <v>47890</v>
      </c>
      <c r="I1753">
        <v>44824</v>
      </c>
      <c r="J1753">
        <v>1146</v>
      </c>
      <c r="K1753">
        <v>703277</v>
      </c>
      <c r="L1753">
        <v>107288</v>
      </c>
      <c r="M1753">
        <v>-113113</v>
      </c>
      <c r="N1753">
        <v>72293</v>
      </c>
      <c r="O1753" t="s">
        <v>1771</v>
      </c>
      <c r="P1753" s="9">
        <v>317825</v>
      </c>
      <c r="Q1753" s="9">
        <v>41580</v>
      </c>
      <c r="R1753" s="9">
        <v>359405</v>
      </c>
      <c r="S1753" s="9">
        <v>-155013</v>
      </c>
      <c r="T1753" s="10">
        <v>104694</v>
      </c>
      <c r="U1753" s="10">
        <v>2834</v>
      </c>
    </row>
    <row r="1754" spans="1:21" x14ac:dyDescent="0.35">
      <c r="A1754" t="s">
        <v>15</v>
      </c>
      <c r="B1754" t="s">
        <v>16</v>
      </c>
      <c r="C1754" t="s">
        <v>17</v>
      </c>
      <c r="D1754">
        <v>154646</v>
      </c>
      <c r="E1754">
        <v>16700</v>
      </c>
      <c r="F1754">
        <v>20759</v>
      </c>
      <c r="G1754">
        <v>-145665</v>
      </c>
      <c r="H1754">
        <v>46440</v>
      </c>
      <c r="I1754">
        <v>42839</v>
      </c>
      <c r="J1754">
        <v>461</v>
      </c>
      <c r="K1754">
        <v>358684</v>
      </c>
      <c r="L1754">
        <v>85856</v>
      </c>
      <c r="M1754">
        <v>-72621</v>
      </c>
      <c r="N1754">
        <v>113046</v>
      </c>
      <c r="O1754" t="s">
        <v>1772</v>
      </c>
      <c r="P1754" s="9">
        <v>181138</v>
      </c>
      <c r="Q1754" s="9">
        <v>23394</v>
      </c>
      <c r="R1754" s="9">
        <v>204532</v>
      </c>
      <c r="S1754" s="9">
        <v>-89858</v>
      </c>
      <c r="T1754" s="10">
        <v>69732</v>
      </c>
      <c r="U1754" s="10">
        <v>1886</v>
      </c>
    </row>
    <row r="1755" spans="1:21" x14ac:dyDescent="0.35">
      <c r="A1755" t="s">
        <v>15</v>
      </c>
      <c r="B1755" t="s">
        <v>16</v>
      </c>
      <c r="C1755" t="s">
        <v>17</v>
      </c>
      <c r="D1755">
        <v>222390</v>
      </c>
      <c r="E1755">
        <v>44158</v>
      </c>
      <c r="F1755">
        <v>29829</v>
      </c>
      <c r="G1755">
        <v>-213704</v>
      </c>
      <c r="H1755">
        <v>82673</v>
      </c>
      <c r="I1755">
        <v>78245</v>
      </c>
      <c r="J1755">
        <v>2177</v>
      </c>
      <c r="K1755">
        <v>461519</v>
      </c>
      <c r="L1755">
        <v>206272</v>
      </c>
      <c r="M1755">
        <v>-129935</v>
      </c>
      <c r="N1755">
        <v>196236</v>
      </c>
      <c r="O1755" t="s">
        <v>1773</v>
      </c>
      <c r="P1755" s="9">
        <v>277825</v>
      </c>
      <c r="Q1755" s="9">
        <v>44957</v>
      </c>
      <c r="R1755" s="9">
        <v>322782</v>
      </c>
      <c r="S1755" s="9">
        <v>-159570</v>
      </c>
      <c r="T1755" s="10">
        <v>132343</v>
      </c>
      <c r="U1755" s="10">
        <v>3391</v>
      </c>
    </row>
    <row r="1756" spans="1:21" x14ac:dyDescent="0.35">
      <c r="A1756" t="s">
        <v>15</v>
      </c>
      <c r="B1756" t="s">
        <v>20</v>
      </c>
      <c r="C1756" t="s">
        <v>21</v>
      </c>
      <c r="D1756">
        <v>228613</v>
      </c>
      <c r="E1756">
        <v>12330</v>
      </c>
      <c r="F1756">
        <v>28588</v>
      </c>
      <c r="G1756">
        <v>-194908</v>
      </c>
      <c r="H1756">
        <v>74623</v>
      </c>
      <c r="I1756">
        <v>70380</v>
      </c>
      <c r="J1756">
        <v>1473</v>
      </c>
      <c r="K1756">
        <v>577244</v>
      </c>
      <c r="L1756">
        <v>220703</v>
      </c>
      <c r="M1756">
        <v>-164809</v>
      </c>
      <c r="N1756">
        <v>75572</v>
      </c>
      <c r="O1756" t="s">
        <v>1774</v>
      </c>
      <c r="P1756" s="9">
        <v>193410</v>
      </c>
      <c r="Q1756" s="9">
        <v>22892</v>
      </c>
      <c r="R1756" s="9">
        <v>216302</v>
      </c>
      <c r="S1756" s="9">
        <v>-64259</v>
      </c>
      <c r="T1756" s="10">
        <v>68282</v>
      </c>
      <c r="U1756" s="10">
        <v>1564</v>
      </c>
    </row>
    <row r="1757" spans="1:21" x14ac:dyDescent="0.35">
      <c r="A1757" t="s">
        <v>15</v>
      </c>
      <c r="B1757" t="s">
        <v>16</v>
      </c>
      <c r="C1757" t="s">
        <v>17</v>
      </c>
      <c r="D1757">
        <v>213855</v>
      </c>
      <c r="E1757">
        <v>25604</v>
      </c>
      <c r="F1757">
        <v>33914</v>
      </c>
      <c r="G1757">
        <v>-188417</v>
      </c>
      <c r="H1757">
        <v>84956</v>
      </c>
      <c r="I1757">
        <v>86354</v>
      </c>
      <c r="J1757">
        <v>1008</v>
      </c>
      <c r="K1757">
        <v>745123</v>
      </c>
      <c r="L1757">
        <v>129458</v>
      </c>
      <c r="M1757">
        <v>-213251</v>
      </c>
      <c r="N1757">
        <v>149303</v>
      </c>
      <c r="O1757" t="s">
        <v>1775</v>
      </c>
      <c r="P1757" s="9">
        <v>238061</v>
      </c>
      <c r="Q1757" s="9">
        <v>30568</v>
      </c>
      <c r="R1757" s="9">
        <v>268629</v>
      </c>
      <c r="S1757" s="9">
        <v>-104655</v>
      </c>
      <c r="T1757" s="10">
        <v>102207</v>
      </c>
      <c r="U1757" s="10">
        <v>2902</v>
      </c>
    </row>
    <row r="1758" spans="1:21" x14ac:dyDescent="0.35">
      <c r="A1758" t="s">
        <v>15</v>
      </c>
      <c r="B1758" t="s">
        <v>16</v>
      </c>
      <c r="C1758" t="s">
        <v>21</v>
      </c>
      <c r="D1758">
        <v>206923</v>
      </c>
      <c r="E1758">
        <v>36731</v>
      </c>
      <c r="F1758">
        <v>50352</v>
      </c>
      <c r="G1758">
        <v>-184312</v>
      </c>
      <c r="H1758">
        <v>109694</v>
      </c>
      <c r="I1758">
        <v>103835</v>
      </c>
      <c r="J1758">
        <v>1898</v>
      </c>
      <c r="K1758">
        <v>704779</v>
      </c>
      <c r="L1758">
        <v>175467</v>
      </c>
      <c r="M1758">
        <v>-111708</v>
      </c>
      <c r="N1758">
        <v>114422</v>
      </c>
      <c r="O1758" t="s">
        <v>1776</v>
      </c>
      <c r="P1758" s="9">
        <v>178004</v>
      </c>
      <c r="Q1758" s="9">
        <v>21774</v>
      </c>
      <c r="R1758" s="9">
        <v>199778</v>
      </c>
      <c r="S1758" s="9">
        <v>-114235</v>
      </c>
      <c r="T1758" s="10">
        <v>72694</v>
      </c>
      <c r="U1758" s="10">
        <v>1732</v>
      </c>
    </row>
    <row r="1759" spans="1:21" x14ac:dyDescent="0.35">
      <c r="A1759" t="s">
        <v>15</v>
      </c>
      <c r="B1759" t="s">
        <v>20</v>
      </c>
      <c r="C1759" t="s">
        <v>17</v>
      </c>
      <c r="D1759">
        <v>158910</v>
      </c>
      <c r="E1759">
        <v>25265</v>
      </c>
      <c r="F1759">
        <v>38981</v>
      </c>
      <c r="G1759">
        <v>-149528</v>
      </c>
      <c r="H1759">
        <v>73628</v>
      </c>
      <c r="I1759">
        <v>76092</v>
      </c>
      <c r="J1759">
        <v>1703</v>
      </c>
      <c r="K1759">
        <v>409927</v>
      </c>
      <c r="L1759">
        <v>182226</v>
      </c>
      <c r="M1759">
        <v>-56536</v>
      </c>
      <c r="N1759">
        <v>102481</v>
      </c>
      <c r="O1759" t="s">
        <v>1777</v>
      </c>
      <c r="P1759" s="9">
        <v>162506</v>
      </c>
      <c r="Q1759" s="9">
        <v>24431</v>
      </c>
      <c r="R1759" s="9">
        <v>186937</v>
      </c>
      <c r="S1759" s="9">
        <v>-99239</v>
      </c>
      <c r="T1759" s="10">
        <v>73734</v>
      </c>
      <c r="U1759" s="10">
        <v>1637</v>
      </c>
    </row>
    <row r="1760" spans="1:21" x14ac:dyDescent="0.35">
      <c r="A1760" t="s">
        <v>15</v>
      </c>
      <c r="B1760" t="s">
        <v>20</v>
      </c>
      <c r="C1760" t="s">
        <v>21</v>
      </c>
      <c r="D1760">
        <v>199669</v>
      </c>
      <c r="E1760">
        <v>38216</v>
      </c>
      <c r="F1760">
        <v>42079</v>
      </c>
      <c r="G1760">
        <v>-189956</v>
      </c>
      <c r="H1760">
        <v>90008</v>
      </c>
      <c r="I1760">
        <v>91384</v>
      </c>
      <c r="J1760">
        <v>1332</v>
      </c>
      <c r="K1760">
        <v>759131</v>
      </c>
      <c r="L1760">
        <v>214507</v>
      </c>
      <c r="M1760">
        <v>-244021</v>
      </c>
      <c r="N1760">
        <v>66878</v>
      </c>
      <c r="O1760" t="s">
        <v>1778</v>
      </c>
      <c r="P1760" s="9">
        <v>198360</v>
      </c>
      <c r="Q1760" s="9">
        <v>25387</v>
      </c>
      <c r="R1760" s="9">
        <v>223747</v>
      </c>
      <c r="S1760" s="9">
        <v>-79885</v>
      </c>
      <c r="T1760" s="10">
        <v>58153</v>
      </c>
      <c r="U1760" s="10">
        <v>892</v>
      </c>
    </row>
    <row r="1761" spans="1:21" x14ac:dyDescent="0.35">
      <c r="A1761" t="s">
        <v>15</v>
      </c>
      <c r="B1761" t="s">
        <v>16</v>
      </c>
      <c r="C1761" t="s">
        <v>21</v>
      </c>
      <c r="D1761">
        <v>279616</v>
      </c>
      <c r="E1761">
        <v>27411</v>
      </c>
      <c r="F1761">
        <v>49991</v>
      </c>
      <c r="G1761">
        <v>-235431</v>
      </c>
      <c r="H1761">
        <v>121587</v>
      </c>
      <c r="I1761">
        <v>117461</v>
      </c>
      <c r="J1761">
        <v>3380</v>
      </c>
      <c r="K1761">
        <v>574039</v>
      </c>
      <c r="L1761">
        <v>274248</v>
      </c>
      <c r="M1761">
        <v>-195818</v>
      </c>
      <c r="N1761">
        <v>220524</v>
      </c>
      <c r="O1761" t="s">
        <v>1779</v>
      </c>
      <c r="P1761" s="9">
        <v>162723</v>
      </c>
      <c r="Q1761" s="9">
        <v>25608</v>
      </c>
      <c r="R1761" s="9">
        <v>188331</v>
      </c>
      <c r="S1761" s="9">
        <v>-38029</v>
      </c>
      <c r="T1761" s="10">
        <v>81764</v>
      </c>
      <c r="U1761" s="10">
        <v>1654</v>
      </c>
    </row>
    <row r="1762" spans="1:21" x14ac:dyDescent="0.35">
      <c r="A1762" t="s">
        <v>15</v>
      </c>
      <c r="B1762" t="s">
        <v>16</v>
      </c>
      <c r="C1762" t="s">
        <v>21</v>
      </c>
      <c r="D1762">
        <v>251211</v>
      </c>
      <c r="E1762">
        <v>36738</v>
      </c>
      <c r="F1762">
        <v>59538</v>
      </c>
      <c r="G1762">
        <v>-245544</v>
      </c>
      <c r="H1762">
        <v>101943</v>
      </c>
      <c r="I1762">
        <v>92165</v>
      </c>
      <c r="J1762">
        <v>1842</v>
      </c>
      <c r="K1762">
        <v>690404</v>
      </c>
      <c r="L1762">
        <v>281187</v>
      </c>
      <c r="M1762">
        <v>-235467</v>
      </c>
      <c r="N1762">
        <v>79112</v>
      </c>
      <c r="O1762" t="s">
        <v>1780</v>
      </c>
      <c r="P1762" s="9">
        <v>266014</v>
      </c>
      <c r="Q1762" s="9">
        <v>41421</v>
      </c>
      <c r="R1762" s="9">
        <v>307435</v>
      </c>
      <c r="S1762" s="9">
        <v>-127994</v>
      </c>
      <c r="T1762" s="10">
        <v>96022</v>
      </c>
      <c r="U1762" s="10">
        <v>1760</v>
      </c>
    </row>
    <row r="1763" spans="1:21" x14ac:dyDescent="0.35">
      <c r="A1763" t="s">
        <v>15</v>
      </c>
      <c r="B1763" t="s">
        <v>20</v>
      </c>
      <c r="C1763" t="s">
        <v>21</v>
      </c>
      <c r="D1763">
        <v>209691</v>
      </c>
      <c r="E1763">
        <v>30405</v>
      </c>
      <c r="F1763">
        <v>38139</v>
      </c>
      <c r="G1763">
        <v>-179641</v>
      </c>
      <c r="H1763">
        <v>98594</v>
      </c>
      <c r="I1763">
        <v>100508</v>
      </c>
      <c r="J1763">
        <v>1579</v>
      </c>
      <c r="K1763">
        <v>483102</v>
      </c>
      <c r="L1763">
        <v>59263</v>
      </c>
      <c r="M1763">
        <v>-74763</v>
      </c>
      <c r="N1763">
        <v>79957</v>
      </c>
      <c r="O1763" t="s">
        <v>1781</v>
      </c>
      <c r="P1763" s="9">
        <v>237786</v>
      </c>
      <c r="Q1763" s="9">
        <v>29719</v>
      </c>
      <c r="R1763" s="9">
        <v>267505</v>
      </c>
      <c r="S1763" s="9">
        <v>-158413</v>
      </c>
      <c r="T1763" s="10">
        <v>105785</v>
      </c>
      <c r="U1763" s="10">
        <v>2891</v>
      </c>
    </row>
    <row r="1764" spans="1:21" x14ac:dyDescent="0.35">
      <c r="A1764" t="s">
        <v>15</v>
      </c>
      <c r="B1764" t="s">
        <v>16</v>
      </c>
      <c r="C1764" t="s">
        <v>21</v>
      </c>
      <c r="D1764">
        <v>193760</v>
      </c>
      <c r="E1764">
        <v>28265</v>
      </c>
      <c r="F1764">
        <v>28900</v>
      </c>
      <c r="G1764">
        <v>-178824</v>
      </c>
      <c r="H1764">
        <v>72101</v>
      </c>
      <c r="I1764">
        <v>70138</v>
      </c>
      <c r="J1764">
        <v>1294</v>
      </c>
      <c r="K1764">
        <v>623437</v>
      </c>
      <c r="L1764">
        <v>132327</v>
      </c>
      <c r="M1764">
        <v>-148411</v>
      </c>
      <c r="N1764">
        <v>92526</v>
      </c>
      <c r="O1764" t="s">
        <v>1782</v>
      </c>
      <c r="P1764" s="9">
        <v>267724</v>
      </c>
      <c r="Q1764" s="9">
        <v>35799</v>
      </c>
      <c r="R1764" s="9">
        <v>303523</v>
      </c>
      <c r="S1764" s="9">
        <v>-151888</v>
      </c>
      <c r="T1764" s="10">
        <v>97924</v>
      </c>
      <c r="U1764" s="10">
        <v>2026</v>
      </c>
    </row>
    <row r="1765" spans="1:21" x14ac:dyDescent="0.35">
      <c r="A1765" t="s">
        <v>15</v>
      </c>
      <c r="B1765" t="s">
        <v>16</v>
      </c>
      <c r="C1765" t="s">
        <v>21</v>
      </c>
      <c r="D1765">
        <v>171348</v>
      </c>
      <c r="E1765">
        <v>8981</v>
      </c>
      <c r="F1765">
        <v>41148</v>
      </c>
      <c r="G1765">
        <v>-155124</v>
      </c>
      <c r="H1765">
        <v>66353</v>
      </c>
      <c r="I1765">
        <v>62576</v>
      </c>
      <c r="J1765">
        <v>1585</v>
      </c>
      <c r="K1765">
        <v>507851</v>
      </c>
      <c r="L1765">
        <v>240170</v>
      </c>
      <c r="M1765">
        <v>-189152</v>
      </c>
      <c r="N1765">
        <v>150464</v>
      </c>
      <c r="O1765" t="s">
        <v>1783</v>
      </c>
      <c r="P1765" s="9">
        <v>226805</v>
      </c>
      <c r="Q1765" s="9">
        <v>12485</v>
      </c>
      <c r="R1765" s="9">
        <v>239290</v>
      </c>
      <c r="S1765" s="9">
        <v>-51216</v>
      </c>
      <c r="T1765" s="10">
        <v>80814</v>
      </c>
      <c r="U1765" s="10">
        <v>1322</v>
      </c>
    </row>
    <row r="1766" spans="1:21" x14ac:dyDescent="0.35">
      <c r="A1766" t="s">
        <v>15</v>
      </c>
      <c r="B1766" t="s">
        <v>20</v>
      </c>
      <c r="C1766" t="s">
        <v>17</v>
      </c>
      <c r="D1766">
        <v>293466</v>
      </c>
      <c r="E1766">
        <v>33642</v>
      </c>
      <c r="F1766">
        <v>41888</v>
      </c>
      <c r="G1766">
        <v>-284636</v>
      </c>
      <c r="H1766">
        <v>84360</v>
      </c>
      <c r="I1766">
        <v>87922</v>
      </c>
      <c r="J1766">
        <v>1794</v>
      </c>
      <c r="K1766">
        <v>756050</v>
      </c>
      <c r="L1766">
        <v>322364</v>
      </c>
      <c r="M1766">
        <v>-178999</v>
      </c>
      <c r="N1766">
        <v>194605</v>
      </c>
      <c r="O1766" t="s">
        <v>1784</v>
      </c>
      <c r="P1766" s="9">
        <v>230151</v>
      </c>
      <c r="Q1766" s="9">
        <v>37130</v>
      </c>
      <c r="R1766" s="9">
        <v>267281</v>
      </c>
      <c r="S1766" s="9">
        <v>-128526</v>
      </c>
      <c r="T1766" s="10">
        <v>87891</v>
      </c>
      <c r="U1766" s="10">
        <v>1847</v>
      </c>
    </row>
    <row r="1767" spans="1:21" x14ac:dyDescent="0.35">
      <c r="A1767" t="s">
        <v>15</v>
      </c>
      <c r="B1767" t="s">
        <v>16</v>
      </c>
      <c r="C1767" t="s">
        <v>21</v>
      </c>
      <c r="D1767">
        <v>290745</v>
      </c>
      <c r="E1767">
        <v>55436</v>
      </c>
      <c r="F1767">
        <v>63521</v>
      </c>
      <c r="G1767">
        <v>-239169</v>
      </c>
      <c r="H1767">
        <v>170533</v>
      </c>
      <c r="I1767">
        <v>154568</v>
      </c>
      <c r="J1767">
        <v>2544</v>
      </c>
      <c r="K1767">
        <v>1063163</v>
      </c>
      <c r="L1767">
        <v>370132</v>
      </c>
      <c r="M1767">
        <v>-327062</v>
      </c>
      <c r="N1767">
        <v>120975</v>
      </c>
      <c r="O1767" t="s">
        <v>1785</v>
      </c>
      <c r="P1767" s="9">
        <v>254348</v>
      </c>
      <c r="Q1767" s="9">
        <v>45166</v>
      </c>
      <c r="R1767" s="9">
        <v>299514</v>
      </c>
      <c r="S1767" s="9">
        <v>-67245</v>
      </c>
      <c r="T1767" s="10">
        <v>118125</v>
      </c>
      <c r="U1767" s="10">
        <v>3393</v>
      </c>
    </row>
    <row r="1768" spans="1:21" x14ac:dyDescent="0.35">
      <c r="A1768" t="s">
        <v>15</v>
      </c>
      <c r="B1768" t="s">
        <v>20</v>
      </c>
      <c r="C1768" t="s">
        <v>21</v>
      </c>
      <c r="D1768">
        <v>253510</v>
      </c>
      <c r="E1768">
        <v>26372</v>
      </c>
      <c r="F1768">
        <v>53209</v>
      </c>
      <c r="G1768">
        <v>-251910</v>
      </c>
      <c r="H1768">
        <v>81181</v>
      </c>
      <c r="I1768">
        <v>79006</v>
      </c>
      <c r="J1768">
        <v>890</v>
      </c>
      <c r="K1768">
        <v>571164</v>
      </c>
      <c r="L1768">
        <v>93495</v>
      </c>
      <c r="M1768">
        <v>-128743</v>
      </c>
      <c r="N1768">
        <v>181697</v>
      </c>
      <c r="O1768" t="s">
        <v>1786</v>
      </c>
      <c r="P1768" s="9">
        <v>303977</v>
      </c>
      <c r="Q1768" s="9">
        <v>30077</v>
      </c>
      <c r="R1768" s="9">
        <v>334054</v>
      </c>
      <c r="S1768" s="9">
        <v>-114687</v>
      </c>
      <c r="T1768" s="10">
        <v>113092</v>
      </c>
      <c r="U1768" s="10">
        <v>1663</v>
      </c>
    </row>
    <row r="1769" spans="1:21" x14ac:dyDescent="0.35">
      <c r="A1769" t="s">
        <v>15</v>
      </c>
      <c r="B1769" t="s">
        <v>16</v>
      </c>
      <c r="C1769" t="s">
        <v>17</v>
      </c>
      <c r="D1769">
        <v>251207</v>
      </c>
      <c r="E1769">
        <v>14927</v>
      </c>
      <c r="F1769">
        <v>55140</v>
      </c>
      <c r="G1769">
        <v>-234433</v>
      </c>
      <c r="H1769">
        <v>86841</v>
      </c>
      <c r="I1769">
        <v>87461</v>
      </c>
      <c r="J1769">
        <v>1455</v>
      </c>
      <c r="K1769">
        <v>762187</v>
      </c>
      <c r="L1769">
        <v>346209</v>
      </c>
      <c r="M1769">
        <v>-90257</v>
      </c>
      <c r="N1769">
        <v>114739</v>
      </c>
      <c r="O1769" t="s">
        <v>1787</v>
      </c>
      <c r="P1769" s="9">
        <v>195018</v>
      </c>
      <c r="Q1769" s="9">
        <v>38650</v>
      </c>
      <c r="R1769" s="9">
        <v>233668</v>
      </c>
      <c r="S1769" s="9">
        <v>-129807</v>
      </c>
      <c r="T1769" s="10">
        <v>95899</v>
      </c>
      <c r="U1769" s="10">
        <v>2266</v>
      </c>
    </row>
    <row r="1770" spans="1:21" x14ac:dyDescent="0.35">
      <c r="A1770" t="s">
        <v>15</v>
      </c>
      <c r="B1770" t="s">
        <v>16</v>
      </c>
      <c r="C1770" t="s">
        <v>21</v>
      </c>
      <c r="D1770">
        <v>266047</v>
      </c>
      <c r="E1770">
        <v>13550</v>
      </c>
      <c r="F1770">
        <v>46867</v>
      </c>
      <c r="G1770">
        <v>-246152</v>
      </c>
      <c r="H1770">
        <v>80312</v>
      </c>
      <c r="I1770">
        <v>72329</v>
      </c>
      <c r="J1770">
        <v>1266</v>
      </c>
      <c r="K1770">
        <v>1030735</v>
      </c>
      <c r="L1770">
        <v>384291</v>
      </c>
      <c r="M1770">
        <v>-158228</v>
      </c>
      <c r="N1770">
        <v>225292</v>
      </c>
      <c r="O1770" t="s">
        <v>1788</v>
      </c>
      <c r="P1770" s="9">
        <v>266400</v>
      </c>
      <c r="Q1770" s="9">
        <v>53536</v>
      </c>
      <c r="R1770" s="9">
        <v>319936</v>
      </c>
      <c r="S1770" s="9">
        <v>-131970</v>
      </c>
      <c r="T1770" s="10">
        <v>116864</v>
      </c>
      <c r="U1770" s="10">
        <v>2073</v>
      </c>
    </row>
    <row r="1771" spans="1:21" x14ac:dyDescent="0.35">
      <c r="A1771" t="s">
        <v>15</v>
      </c>
      <c r="B1771" t="s">
        <v>20</v>
      </c>
      <c r="C1771" t="s">
        <v>21</v>
      </c>
      <c r="D1771">
        <v>165081</v>
      </c>
      <c r="E1771">
        <v>22635</v>
      </c>
      <c r="F1771">
        <v>34941</v>
      </c>
      <c r="G1771">
        <v>-144913</v>
      </c>
      <c r="H1771">
        <v>77744</v>
      </c>
      <c r="I1771">
        <v>78459</v>
      </c>
      <c r="J1771">
        <v>1639</v>
      </c>
      <c r="K1771">
        <v>417283</v>
      </c>
      <c r="L1771">
        <v>50564</v>
      </c>
      <c r="M1771">
        <v>-119230</v>
      </c>
      <c r="N1771">
        <v>60263</v>
      </c>
      <c r="O1771" t="s">
        <v>1789</v>
      </c>
      <c r="P1771" s="9">
        <v>234071</v>
      </c>
      <c r="Q1771" s="9">
        <v>33003</v>
      </c>
      <c r="R1771" s="9">
        <v>267074</v>
      </c>
      <c r="S1771" s="9">
        <v>-152938</v>
      </c>
      <c r="T1771" s="10">
        <v>120082</v>
      </c>
      <c r="U1771" s="10">
        <v>2016</v>
      </c>
    </row>
    <row r="1772" spans="1:21" x14ac:dyDescent="0.35">
      <c r="A1772" t="s">
        <v>15</v>
      </c>
      <c r="B1772" t="s">
        <v>16</v>
      </c>
      <c r="C1772" t="s">
        <v>21</v>
      </c>
      <c r="D1772">
        <v>157690</v>
      </c>
      <c r="E1772">
        <v>28330</v>
      </c>
      <c r="F1772">
        <v>33689</v>
      </c>
      <c r="G1772">
        <v>-126556</v>
      </c>
      <c r="H1772">
        <v>93153</v>
      </c>
      <c r="I1772">
        <v>84685</v>
      </c>
      <c r="J1772">
        <v>1930</v>
      </c>
      <c r="K1772">
        <v>432764</v>
      </c>
      <c r="L1772">
        <v>171547</v>
      </c>
      <c r="M1772">
        <v>-150872</v>
      </c>
      <c r="N1772">
        <v>60239</v>
      </c>
      <c r="O1772" t="s">
        <v>1790</v>
      </c>
      <c r="P1772" s="9">
        <v>167872</v>
      </c>
      <c r="Q1772" s="9">
        <v>19890</v>
      </c>
      <c r="R1772" s="9">
        <v>187762</v>
      </c>
      <c r="S1772" s="9">
        <v>-78603</v>
      </c>
      <c r="T1772" s="10">
        <v>53102</v>
      </c>
      <c r="U1772" s="10">
        <v>1490</v>
      </c>
    </row>
    <row r="1773" spans="1:21" x14ac:dyDescent="0.35">
      <c r="A1773" t="s">
        <v>15</v>
      </c>
      <c r="B1773" t="s">
        <v>20</v>
      </c>
      <c r="C1773" t="s">
        <v>21</v>
      </c>
      <c r="D1773">
        <v>250323</v>
      </c>
      <c r="E1773">
        <v>14805</v>
      </c>
      <c r="F1773">
        <v>56865</v>
      </c>
      <c r="G1773">
        <v>-218452</v>
      </c>
      <c r="H1773">
        <v>103541</v>
      </c>
      <c r="I1773">
        <v>97886</v>
      </c>
      <c r="J1773">
        <v>1304</v>
      </c>
      <c r="K1773">
        <v>609004</v>
      </c>
      <c r="L1773">
        <v>278260</v>
      </c>
      <c r="M1773">
        <v>-120964</v>
      </c>
      <c r="N1773">
        <v>150997</v>
      </c>
      <c r="O1773" t="s">
        <v>1791</v>
      </c>
      <c r="P1773" s="9">
        <v>199650</v>
      </c>
      <c r="Q1773" s="9">
        <v>11087</v>
      </c>
      <c r="R1773" s="9">
        <v>210737</v>
      </c>
      <c r="S1773" s="9">
        <v>-68500</v>
      </c>
      <c r="T1773" s="10">
        <v>77456</v>
      </c>
      <c r="U1773" s="10">
        <v>1409</v>
      </c>
    </row>
    <row r="1774" spans="1:21" x14ac:dyDescent="0.35">
      <c r="A1774" t="s">
        <v>15</v>
      </c>
      <c r="B1774" t="s">
        <v>16</v>
      </c>
      <c r="C1774" t="s">
        <v>21</v>
      </c>
      <c r="D1774">
        <v>178097</v>
      </c>
      <c r="E1774">
        <v>28007</v>
      </c>
      <c r="F1774">
        <v>41699</v>
      </c>
      <c r="G1774">
        <v>-174036</v>
      </c>
      <c r="H1774">
        <v>73767</v>
      </c>
      <c r="I1774">
        <v>70921</v>
      </c>
      <c r="J1774">
        <v>1942</v>
      </c>
      <c r="K1774">
        <v>445030</v>
      </c>
      <c r="L1774">
        <v>89610</v>
      </c>
      <c r="M1774">
        <v>-86180</v>
      </c>
      <c r="N1774">
        <v>118622</v>
      </c>
      <c r="O1774" t="s">
        <v>1792</v>
      </c>
      <c r="P1774" s="9">
        <v>264261</v>
      </c>
      <c r="Q1774" s="9">
        <v>15548</v>
      </c>
      <c r="R1774" s="9">
        <v>279809</v>
      </c>
      <c r="S1774" s="9">
        <v>-75449</v>
      </c>
      <c r="T1774" s="10">
        <v>73221</v>
      </c>
      <c r="U1774" s="10">
        <v>1332</v>
      </c>
    </row>
    <row r="1775" spans="1:21" x14ac:dyDescent="0.35">
      <c r="A1775" t="s">
        <v>15</v>
      </c>
      <c r="B1775" t="s">
        <v>16</v>
      </c>
      <c r="C1775" t="s">
        <v>21</v>
      </c>
      <c r="D1775">
        <v>164838</v>
      </c>
      <c r="E1775">
        <v>30409</v>
      </c>
      <c r="F1775">
        <v>27004</v>
      </c>
      <c r="G1775">
        <v>-146035</v>
      </c>
      <c r="H1775">
        <v>76216</v>
      </c>
      <c r="I1775">
        <v>70945</v>
      </c>
      <c r="J1775">
        <v>1553</v>
      </c>
      <c r="K1775">
        <v>550531</v>
      </c>
      <c r="L1775">
        <v>167067</v>
      </c>
      <c r="M1775">
        <v>-219351</v>
      </c>
      <c r="N1775">
        <v>123817</v>
      </c>
      <c r="O1775" t="s">
        <v>1793</v>
      </c>
      <c r="P1775" s="9">
        <v>221210</v>
      </c>
      <c r="Q1775" s="9">
        <v>31988</v>
      </c>
      <c r="R1775" s="9">
        <v>253198</v>
      </c>
      <c r="S1775" s="9">
        <v>-55992</v>
      </c>
      <c r="T1775" s="10">
        <v>109619</v>
      </c>
      <c r="U1775" s="10">
        <v>2703</v>
      </c>
    </row>
    <row r="1776" spans="1:21" x14ac:dyDescent="0.35">
      <c r="A1776" t="s">
        <v>15</v>
      </c>
      <c r="B1776" t="s">
        <v>16</v>
      </c>
      <c r="C1776" t="s">
        <v>21</v>
      </c>
      <c r="D1776">
        <v>202577</v>
      </c>
      <c r="E1776">
        <v>36820</v>
      </c>
      <c r="F1776">
        <v>30109</v>
      </c>
      <c r="G1776">
        <v>-165553</v>
      </c>
      <c r="H1776">
        <v>103953</v>
      </c>
      <c r="I1776">
        <v>104705</v>
      </c>
      <c r="J1776">
        <v>2369</v>
      </c>
      <c r="K1776">
        <v>757991</v>
      </c>
      <c r="L1776">
        <v>76016</v>
      </c>
      <c r="M1776">
        <v>-291752</v>
      </c>
      <c r="N1776">
        <v>107942</v>
      </c>
      <c r="O1776" t="s">
        <v>1794</v>
      </c>
      <c r="P1776" s="9">
        <v>279490</v>
      </c>
      <c r="Q1776" s="9">
        <v>31741</v>
      </c>
      <c r="R1776" s="9">
        <v>311231</v>
      </c>
      <c r="S1776" s="9">
        <v>-176667</v>
      </c>
      <c r="T1776" s="10">
        <v>66653</v>
      </c>
      <c r="U1776" s="10">
        <v>1704</v>
      </c>
    </row>
    <row r="1777" spans="1:21" x14ac:dyDescent="0.35">
      <c r="A1777" t="s">
        <v>15</v>
      </c>
      <c r="B1777" t="s">
        <v>20</v>
      </c>
      <c r="C1777" t="s">
        <v>21</v>
      </c>
      <c r="D1777">
        <v>268125</v>
      </c>
      <c r="E1777">
        <v>46527</v>
      </c>
      <c r="F1777">
        <v>48831</v>
      </c>
      <c r="G1777">
        <v>-226257</v>
      </c>
      <c r="H1777">
        <v>137226</v>
      </c>
      <c r="I1777">
        <v>143066</v>
      </c>
      <c r="J1777">
        <v>2981</v>
      </c>
      <c r="K1777">
        <v>864517</v>
      </c>
      <c r="L1777">
        <v>223646</v>
      </c>
      <c r="M1777">
        <v>-220186</v>
      </c>
      <c r="N1777">
        <v>125059</v>
      </c>
      <c r="O1777" t="s">
        <v>1795</v>
      </c>
      <c r="P1777" s="9">
        <v>209911</v>
      </c>
      <c r="Q1777" s="9">
        <v>18782</v>
      </c>
      <c r="R1777" s="9">
        <v>228693</v>
      </c>
      <c r="S1777" s="9">
        <v>-57026</v>
      </c>
      <c r="T1777" s="10">
        <v>81237</v>
      </c>
      <c r="U1777" s="10">
        <v>1057</v>
      </c>
    </row>
    <row r="1778" spans="1:21" x14ac:dyDescent="0.35">
      <c r="A1778" t="s">
        <v>15</v>
      </c>
      <c r="B1778" t="s">
        <v>20</v>
      </c>
      <c r="C1778" t="s">
        <v>21</v>
      </c>
      <c r="D1778">
        <v>174238</v>
      </c>
      <c r="E1778">
        <v>21944</v>
      </c>
      <c r="F1778">
        <v>28066</v>
      </c>
      <c r="G1778">
        <v>-158773</v>
      </c>
      <c r="H1778">
        <v>65475</v>
      </c>
      <c r="I1778">
        <v>65988</v>
      </c>
      <c r="J1778">
        <v>1118</v>
      </c>
      <c r="K1778">
        <v>400974</v>
      </c>
      <c r="L1778">
        <v>133412</v>
      </c>
      <c r="M1778">
        <v>-66480</v>
      </c>
      <c r="N1778">
        <v>88543</v>
      </c>
      <c r="O1778" t="s">
        <v>1796</v>
      </c>
      <c r="P1778" s="9">
        <v>297025</v>
      </c>
      <c r="Q1778" s="9">
        <v>60569</v>
      </c>
      <c r="R1778" s="9">
        <v>357594</v>
      </c>
      <c r="S1778" s="9">
        <v>-76881</v>
      </c>
      <c r="T1778" s="10">
        <v>110040</v>
      </c>
      <c r="U1778" s="10">
        <v>3218</v>
      </c>
    </row>
    <row r="1779" spans="1:21" x14ac:dyDescent="0.35">
      <c r="A1779" t="s">
        <v>15</v>
      </c>
      <c r="B1779" t="s">
        <v>16</v>
      </c>
      <c r="C1779" t="s">
        <v>21</v>
      </c>
      <c r="D1779">
        <v>239850</v>
      </c>
      <c r="E1779">
        <v>43447</v>
      </c>
      <c r="F1779">
        <v>25657</v>
      </c>
      <c r="G1779">
        <v>-205018</v>
      </c>
      <c r="H1779">
        <v>103936</v>
      </c>
      <c r="I1779">
        <v>106424</v>
      </c>
      <c r="J1779">
        <v>1130</v>
      </c>
      <c r="K1779">
        <v>670393</v>
      </c>
      <c r="L1779">
        <v>147869</v>
      </c>
      <c r="M1779">
        <v>-124169</v>
      </c>
      <c r="N1779">
        <v>164685</v>
      </c>
      <c r="O1779" t="s">
        <v>1797</v>
      </c>
      <c r="P1779" s="9">
        <v>265122</v>
      </c>
      <c r="Q1779" s="9">
        <v>18835</v>
      </c>
      <c r="R1779" s="9">
        <v>283957</v>
      </c>
      <c r="S1779" s="9">
        <v>-139688</v>
      </c>
      <c r="T1779" s="10">
        <v>99254</v>
      </c>
      <c r="U1779" s="10">
        <v>1546</v>
      </c>
    </row>
    <row r="1780" spans="1:21" x14ac:dyDescent="0.35">
      <c r="A1780" t="s">
        <v>15</v>
      </c>
      <c r="B1780" t="s">
        <v>16</v>
      </c>
      <c r="C1780" t="s">
        <v>21</v>
      </c>
      <c r="D1780">
        <v>215946</v>
      </c>
      <c r="E1780">
        <v>26887</v>
      </c>
      <c r="F1780">
        <v>44924</v>
      </c>
      <c r="G1780">
        <v>-214207</v>
      </c>
      <c r="H1780">
        <v>73550</v>
      </c>
      <c r="I1780">
        <v>75075</v>
      </c>
      <c r="J1780">
        <v>940</v>
      </c>
      <c r="K1780">
        <v>464171</v>
      </c>
      <c r="L1780">
        <v>151815</v>
      </c>
      <c r="M1780">
        <v>-112415</v>
      </c>
      <c r="N1780">
        <v>86389</v>
      </c>
      <c r="O1780" t="s">
        <v>1798</v>
      </c>
      <c r="P1780" s="9">
        <v>178123</v>
      </c>
      <c r="Q1780" s="9">
        <v>30522</v>
      </c>
      <c r="R1780" s="9">
        <v>208645</v>
      </c>
      <c r="S1780" s="9">
        <v>-81118</v>
      </c>
      <c r="T1780" s="10">
        <v>69001</v>
      </c>
      <c r="U1780" s="10">
        <v>696</v>
      </c>
    </row>
    <row r="1781" spans="1:21" x14ac:dyDescent="0.35">
      <c r="A1781" t="s">
        <v>15</v>
      </c>
      <c r="B1781" t="s">
        <v>20</v>
      </c>
      <c r="C1781" t="s">
        <v>21</v>
      </c>
      <c r="D1781">
        <v>194018</v>
      </c>
      <c r="E1781">
        <v>35275</v>
      </c>
      <c r="F1781">
        <v>40537</v>
      </c>
      <c r="G1781">
        <v>-188825</v>
      </c>
      <c r="H1781">
        <v>81005</v>
      </c>
      <c r="I1781">
        <v>74902</v>
      </c>
      <c r="J1781">
        <v>2201</v>
      </c>
      <c r="K1781">
        <v>508076</v>
      </c>
      <c r="L1781">
        <v>171359</v>
      </c>
      <c r="M1781">
        <v>-122460</v>
      </c>
      <c r="N1781">
        <v>111562</v>
      </c>
      <c r="O1781" t="s">
        <v>1799</v>
      </c>
      <c r="P1781" s="9">
        <v>240689</v>
      </c>
      <c r="Q1781" s="9">
        <v>23810</v>
      </c>
      <c r="R1781" s="9">
        <v>264499</v>
      </c>
      <c r="S1781" s="9">
        <v>-89924</v>
      </c>
      <c r="T1781" s="10">
        <v>76470</v>
      </c>
      <c r="U1781" s="10">
        <v>1999</v>
      </c>
    </row>
    <row r="1782" spans="1:21" x14ac:dyDescent="0.35">
      <c r="A1782" t="s">
        <v>15</v>
      </c>
      <c r="B1782" t="s">
        <v>20</v>
      </c>
      <c r="C1782" t="s">
        <v>21</v>
      </c>
      <c r="D1782">
        <v>285769</v>
      </c>
      <c r="E1782">
        <v>46343</v>
      </c>
      <c r="F1782">
        <v>55336</v>
      </c>
      <c r="G1782">
        <v>-259565</v>
      </c>
      <c r="H1782">
        <v>127883</v>
      </c>
      <c r="I1782">
        <v>121107</v>
      </c>
      <c r="J1782">
        <v>1566</v>
      </c>
      <c r="K1782">
        <v>1131361</v>
      </c>
      <c r="L1782">
        <v>455310</v>
      </c>
      <c r="M1782">
        <v>-390658</v>
      </c>
      <c r="N1782">
        <v>111790</v>
      </c>
      <c r="O1782" t="s">
        <v>1800</v>
      </c>
      <c r="P1782" s="9">
        <v>221614</v>
      </c>
      <c r="Q1782" s="9">
        <v>37760</v>
      </c>
      <c r="R1782" s="9">
        <v>259374</v>
      </c>
      <c r="S1782" s="9">
        <v>-104100</v>
      </c>
      <c r="T1782" s="10">
        <v>68464</v>
      </c>
      <c r="U1782" s="10">
        <v>1616</v>
      </c>
    </row>
    <row r="1783" spans="1:21" x14ac:dyDescent="0.35">
      <c r="A1783" t="s">
        <v>15</v>
      </c>
      <c r="B1783" t="s">
        <v>20</v>
      </c>
      <c r="C1783" t="s">
        <v>21</v>
      </c>
      <c r="D1783">
        <v>298950</v>
      </c>
      <c r="E1783">
        <v>31303</v>
      </c>
      <c r="F1783">
        <v>51948</v>
      </c>
      <c r="G1783">
        <v>-296967</v>
      </c>
      <c r="H1783">
        <v>85234</v>
      </c>
      <c r="I1783">
        <v>81076</v>
      </c>
      <c r="J1783">
        <v>1935</v>
      </c>
      <c r="K1783">
        <v>683131</v>
      </c>
      <c r="L1783">
        <v>102202</v>
      </c>
      <c r="M1783">
        <v>-81534</v>
      </c>
      <c r="N1783">
        <v>180324</v>
      </c>
      <c r="O1783" t="s">
        <v>1801</v>
      </c>
      <c r="P1783" s="9">
        <v>175521</v>
      </c>
      <c r="Q1783" s="9">
        <v>32783</v>
      </c>
      <c r="R1783" s="9">
        <v>208304</v>
      </c>
      <c r="S1783" s="9">
        <v>-121434</v>
      </c>
      <c r="T1783" s="10">
        <v>73770</v>
      </c>
      <c r="U1783" s="10">
        <v>1248</v>
      </c>
    </row>
    <row r="1784" spans="1:21" x14ac:dyDescent="0.35">
      <c r="A1784" t="s">
        <v>15</v>
      </c>
      <c r="B1784" t="s">
        <v>20</v>
      </c>
      <c r="C1784" t="s">
        <v>17</v>
      </c>
      <c r="D1784">
        <v>233730</v>
      </c>
      <c r="E1784">
        <v>34969</v>
      </c>
      <c r="F1784">
        <v>37015</v>
      </c>
      <c r="G1784">
        <v>-191922</v>
      </c>
      <c r="H1784">
        <v>113792</v>
      </c>
      <c r="I1784">
        <v>113660</v>
      </c>
      <c r="J1784">
        <v>1909</v>
      </c>
      <c r="K1784">
        <v>707943</v>
      </c>
      <c r="L1784">
        <v>261503</v>
      </c>
      <c r="M1784">
        <v>-132645</v>
      </c>
      <c r="N1784">
        <v>157615</v>
      </c>
      <c r="O1784" t="s">
        <v>1802</v>
      </c>
      <c r="P1784" s="9">
        <v>207114</v>
      </c>
      <c r="Q1784" s="9">
        <v>12471</v>
      </c>
      <c r="R1784" s="9">
        <v>219585</v>
      </c>
      <c r="S1784" s="9">
        <v>-56192</v>
      </c>
      <c r="T1784" s="10">
        <v>80892</v>
      </c>
      <c r="U1784" s="10">
        <v>1678</v>
      </c>
    </row>
    <row r="1785" spans="1:21" x14ac:dyDescent="0.35">
      <c r="A1785" t="s">
        <v>15</v>
      </c>
      <c r="B1785" t="s">
        <v>16</v>
      </c>
      <c r="C1785" t="s">
        <v>21</v>
      </c>
      <c r="D1785">
        <v>225253</v>
      </c>
      <c r="E1785">
        <v>43760</v>
      </c>
      <c r="F1785">
        <v>47086</v>
      </c>
      <c r="G1785">
        <v>-214750</v>
      </c>
      <c r="H1785">
        <v>101349</v>
      </c>
      <c r="I1785">
        <v>105955</v>
      </c>
      <c r="J1785">
        <v>2051</v>
      </c>
      <c r="K1785">
        <v>554562</v>
      </c>
      <c r="L1785">
        <v>134445</v>
      </c>
      <c r="M1785">
        <v>-67299</v>
      </c>
      <c r="N1785">
        <v>180938</v>
      </c>
      <c r="O1785" t="s">
        <v>1803</v>
      </c>
      <c r="P1785" s="9">
        <v>256870</v>
      </c>
      <c r="Q1785" s="9">
        <v>16163</v>
      </c>
      <c r="R1785" s="9">
        <v>273033</v>
      </c>
      <c r="S1785" s="9">
        <v>-82060</v>
      </c>
      <c r="T1785" s="10">
        <v>108614</v>
      </c>
      <c r="U1785" s="10">
        <v>3075</v>
      </c>
    </row>
    <row r="1786" spans="1:21" x14ac:dyDescent="0.35">
      <c r="A1786" t="s">
        <v>15</v>
      </c>
      <c r="B1786" t="s">
        <v>16</v>
      </c>
      <c r="C1786" t="s">
        <v>21</v>
      </c>
      <c r="D1786">
        <v>151923</v>
      </c>
      <c r="E1786">
        <v>19465</v>
      </c>
      <c r="F1786">
        <v>23484</v>
      </c>
      <c r="G1786">
        <v>-142835</v>
      </c>
      <c r="H1786">
        <v>52037</v>
      </c>
      <c r="I1786">
        <v>52260</v>
      </c>
      <c r="J1786">
        <v>580</v>
      </c>
      <c r="K1786">
        <v>572211</v>
      </c>
      <c r="L1786">
        <v>161711</v>
      </c>
      <c r="M1786">
        <v>-71147</v>
      </c>
      <c r="N1786">
        <v>62391</v>
      </c>
      <c r="O1786" t="s">
        <v>1804</v>
      </c>
      <c r="P1786" s="9">
        <v>165698</v>
      </c>
      <c r="Q1786" s="9">
        <v>12764</v>
      </c>
      <c r="R1786" s="9">
        <v>178462</v>
      </c>
      <c r="S1786" s="9">
        <v>-61395</v>
      </c>
      <c r="T1786" s="10">
        <v>73309</v>
      </c>
      <c r="U1786" s="10">
        <v>1761</v>
      </c>
    </row>
    <row r="1787" spans="1:21" x14ac:dyDescent="0.35">
      <c r="A1787" t="s">
        <v>15</v>
      </c>
      <c r="B1787" t="s">
        <v>16</v>
      </c>
      <c r="C1787" t="s">
        <v>21</v>
      </c>
      <c r="D1787">
        <v>169401</v>
      </c>
      <c r="E1787">
        <v>17274</v>
      </c>
      <c r="F1787">
        <v>28479</v>
      </c>
      <c r="G1787">
        <v>-143639</v>
      </c>
      <c r="H1787">
        <v>71515</v>
      </c>
      <c r="I1787">
        <v>74490</v>
      </c>
      <c r="J1787">
        <v>2003</v>
      </c>
      <c r="K1787">
        <v>461767</v>
      </c>
      <c r="L1787">
        <v>154001</v>
      </c>
      <c r="M1787">
        <v>-85394</v>
      </c>
      <c r="N1787">
        <v>56807</v>
      </c>
      <c r="O1787" t="s">
        <v>1805</v>
      </c>
      <c r="P1787" s="9">
        <v>214816</v>
      </c>
      <c r="Q1787" s="9">
        <v>34852</v>
      </c>
      <c r="R1787" s="9">
        <v>249668</v>
      </c>
      <c r="S1787" s="9">
        <v>-104399</v>
      </c>
      <c r="T1787" s="10">
        <v>80125</v>
      </c>
      <c r="U1787" s="10">
        <v>1547</v>
      </c>
    </row>
    <row r="1788" spans="1:21" x14ac:dyDescent="0.35">
      <c r="A1788" t="s">
        <v>15</v>
      </c>
      <c r="B1788" t="s">
        <v>20</v>
      </c>
      <c r="C1788" t="s">
        <v>21</v>
      </c>
      <c r="D1788">
        <v>185779</v>
      </c>
      <c r="E1788">
        <v>30477</v>
      </c>
      <c r="F1788">
        <v>22164</v>
      </c>
      <c r="G1788">
        <v>-181867</v>
      </c>
      <c r="H1788">
        <v>56553</v>
      </c>
      <c r="I1788">
        <v>54665</v>
      </c>
      <c r="J1788">
        <v>649</v>
      </c>
      <c r="K1788">
        <v>742608</v>
      </c>
      <c r="L1788">
        <v>153343</v>
      </c>
      <c r="M1788">
        <v>-221849</v>
      </c>
      <c r="N1788">
        <v>115953</v>
      </c>
      <c r="O1788" t="s">
        <v>1806</v>
      </c>
      <c r="P1788" s="9">
        <v>291299</v>
      </c>
      <c r="Q1788" s="9">
        <v>28590</v>
      </c>
      <c r="R1788" s="9">
        <v>319889</v>
      </c>
      <c r="S1788" s="9">
        <v>-108902</v>
      </c>
      <c r="T1788" s="10">
        <v>127431</v>
      </c>
      <c r="U1788" s="10">
        <v>1965</v>
      </c>
    </row>
    <row r="1789" spans="1:21" x14ac:dyDescent="0.35">
      <c r="A1789" t="s">
        <v>15</v>
      </c>
      <c r="B1789" t="s">
        <v>20</v>
      </c>
      <c r="C1789" t="s">
        <v>21</v>
      </c>
      <c r="D1789">
        <v>178702</v>
      </c>
      <c r="E1789">
        <v>21029</v>
      </c>
      <c r="F1789">
        <v>35294</v>
      </c>
      <c r="G1789">
        <v>-167489</v>
      </c>
      <c r="H1789">
        <v>67536</v>
      </c>
      <c r="I1789">
        <v>62456</v>
      </c>
      <c r="J1789">
        <v>845</v>
      </c>
      <c r="K1789">
        <v>500034</v>
      </c>
      <c r="L1789">
        <v>232834</v>
      </c>
      <c r="M1789">
        <v>-183638</v>
      </c>
      <c r="N1789">
        <v>102165</v>
      </c>
      <c r="O1789" t="s">
        <v>1807</v>
      </c>
      <c r="P1789" s="9">
        <v>260075</v>
      </c>
      <c r="Q1789" s="9">
        <v>19449</v>
      </c>
      <c r="R1789" s="9">
        <v>279524</v>
      </c>
      <c r="S1789" s="9">
        <v>-94197</v>
      </c>
      <c r="T1789" s="10">
        <v>96005</v>
      </c>
      <c r="U1789" s="10">
        <v>1307</v>
      </c>
    </row>
    <row r="1790" spans="1:21" x14ac:dyDescent="0.35">
      <c r="A1790" t="s">
        <v>15</v>
      </c>
      <c r="B1790" t="s">
        <v>20</v>
      </c>
      <c r="C1790" t="s">
        <v>17</v>
      </c>
      <c r="D1790">
        <v>272674</v>
      </c>
      <c r="E1790">
        <v>18721</v>
      </c>
      <c r="F1790">
        <v>49010</v>
      </c>
      <c r="G1790">
        <v>-259254</v>
      </c>
      <c r="H1790">
        <v>81151</v>
      </c>
      <c r="I1790">
        <v>81361</v>
      </c>
      <c r="J1790">
        <v>1644</v>
      </c>
      <c r="K1790">
        <v>1081096</v>
      </c>
      <c r="L1790">
        <v>265787</v>
      </c>
      <c r="M1790">
        <v>-116130</v>
      </c>
      <c r="N1790">
        <v>114446</v>
      </c>
      <c r="O1790" t="s">
        <v>1808</v>
      </c>
      <c r="P1790" s="9">
        <v>301956</v>
      </c>
      <c r="Q1790" s="9">
        <v>58146</v>
      </c>
      <c r="R1790" s="9">
        <v>360102</v>
      </c>
      <c r="S1790" s="9">
        <v>-131807</v>
      </c>
      <c r="T1790" s="10">
        <v>98591</v>
      </c>
      <c r="U1790" s="10">
        <v>1717</v>
      </c>
    </row>
    <row r="1791" spans="1:21" x14ac:dyDescent="0.35">
      <c r="A1791" t="s">
        <v>15</v>
      </c>
      <c r="B1791" t="s">
        <v>16</v>
      </c>
      <c r="C1791" t="s">
        <v>21</v>
      </c>
      <c r="D1791">
        <v>225406</v>
      </c>
      <c r="E1791">
        <v>11701</v>
      </c>
      <c r="F1791">
        <v>48762</v>
      </c>
      <c r="G1791">
        <v>-203809</v>
      </c>
      <c r="H1791">
        <v>82060</v>
      </c>
      <c r="I1791">
        <v>76351</v>
      </c>
      <c r="J1791">
        <v>1529</v>
      </c>
      <c r="K1791">
        <v>818571</v>
      </c>
      <c r="L1791">
        <v>248782</v>
      </c>
      <c r="M1791">
        <v>-176309</v>
      </c>
      <c r="N1791">
        <v>81550</v>
      </c>
      <c r="O1791" t="s">
        <v>1809</v>
      </c>
      <c r="P1791" s="9">
        <v>202951</v>
      </c>
      <c r="Q1791" s="9">
        <v>32794</v>
      </c>
      <c r="R1791" s="9">
        <v>235745</v>
      </c>
      <c r="S1791" s="9">
        <v>-51718</v>
      </c>
      <c r="T1791" s="10">
        <v>97309</v>
      </c>
      <c r="U1791" s="10">
        <v>2019</v>
      </c>
    </row>
    <row r="1792" spans="1:21" x14ac:dyDescent="0.35">
      <c r="A1792" t="s">
        <v>15</v>
      </c>
      <c r="B1792" t="s">
        <v>16</v>
      </c>
      <c r="C1792" t="s">
        <v>21</v>
      </c>
      <c r="D1792">
        <v>224534</v>
      </c>
      <c r="E1792">
        <v>14958</v>
      </c>
      <c r="F1792">
        <v>28805</v>
      </c>
      <c r="G1792">
        <v>-194942</v>
      </c>
      <c r="H1792">
        <v>73355</v>
      </c>
      <c r="I1792">
        <v>71873</v>
      </c>
      <c r="J1792">
        <v>924</v>
      </c>
      <c r="K1792">
        <v>815089</v>
      </c>
      <c r="L1792">
        <v>171422</v>
      </c>
      <c r="M1792">
        <v>-178413</v>
      </c>
      <c r="N1792">
        <v>198189</v>
      </c>
      <c r="O1792" t="s">
        <v>1810</v>
      </c>
      <c r="P1792" s="9">
        <v>214496</v>
      </c>
      <c r="Q1792" s="9">
        <v>27672</v>
      </c>
      <c r="R1792" s="9">
        <v>242168</v>
      </c>
      <c r="S1792" s="9">
        <v>-109126</v>
      </c>
      <c r="T1792" s="10">
        <v>90512</v>
      </c>
      <c r="U1792" s="10">
        <v>2509</v>
      </c>
    </row>
    <row r="1793" spans="1:21" x14ac:dyDescent="0.35">
      <c r="A1793" t="s">
        <v>15</v>
      </c>
      <c r="B1793" t="s">
        <v>20</v>
      </c>
      <c r="C1793" t="s">
        <v>17</v>
      </c>
      <c r="D1793">
        <v>228067</v>
      </c>
      <c r="E1793">
        <v>45441</v>
      </c>
      <c r="F1793">
        <v>43909</v>
      </c>
      <c r="G1793">
        <v>-220192</v>
      </c>
      <c r="H1793">
        <v>97225</v>
      </c>
      <c r="I1793">
        <v>101877</v>
      </c>
      <c r="J1793">
        <v>2493</v>
      </c>
      <c r="K1793">
        <v>592767</v>
      </c>
      <c r="L1793">
        <v>84533</v>
      </c>
      <c r="M1793">
        <v>-187862</v>
      </c>
      <c r="N1793">
        <v>128031</v>
      </c>
      <c r="O1793" t="s">
        <v>1811</v>
      </c>
      <c r="P1793" s="9">
        <v>163205</v>
      </c>
      <c r="Q1793" s="9">
        <v>30441</v>
      </c>
      <c r="R1793" s="9">
        <v>193646</v>
      </c>
      <c r="S1793" s="9">
        <v>-47230</v>
      </c>
      <c r="T1793" s="10">
        <v>50026</v>
      </c>
      <c r="U1793" s="10">
        <v>1453</v>
      </c>
    </row>
    <row r="1794" spans="1:21" x14ac:dyDescent="0.35">
      <c r="A1794" t="s">
        <v>15</v>
      </c>
      <c r="B1794" t="s">
        <v>16</v>
      </c>
      <c r="C1794" t="s">
        <v>17</v>
      </c>
      <c r="D1794">
        <v>274652</v>
      </c>
      <c r="E1794">
        <v>51029</v>
      </c>
      <c r="F1794">
        <v>66516</v>
      </c>
      <c r="G1794">
        <v>-238382</v>
      </c>
      <c r="H1794">
        <v>153815</v>
      </c>
      <c r="I1794">
        <v>148876</v>
      </c>
      <c r="J1794">
        <v>2229</v>
      </c>
      <c r="K1794">
        <v>725795</v>
      </c>
      <c r="L1794">
        <v>268172</v>
      </c>
      <c r="M1794">
        <v>-158338</v>
      </c>
      <c r="N1794">
        <v>139414</v>
      </c>
      <c r="O1794" t="s">
        <v>1812</v>
      </c>
      <c r="P1794" s="9">
        <v>268233</v>
      </c>
      <c r="Q1794" s="9">
        <v>27235</v>
      </c>
      <c r="R1794" s="9">
        <v>295468</v>
      </c>
      <c r="S1794" s="9">
        <v>-111965</v>
      </c>
      <c r="T1794" s="10">
        <v>122158</v>
      </c>
      <c r="U1794" s="10">
        <v>2824</v>
      </c>
    </row>
    <row r="1795" spans="1:21" x14ac:dyDescent="0.35">
      <c r="A1795" t="s">
        <v>15</v>
      </c>
      <c r="B1795" t="s">
        <v>20</v>
      </c>
      <c r="C1795" t="s">
        <v>21</v>
      </c>
      <c r="D1795">
        <v>255222</v>
      </c>
      <c r="E1795">
        <v>12882</v>
      </c>
      <c r="F1795">
        <v>44718</v>
      </c>
      <c r="G1795">
        <v>-249217</v>
      </c>
      <c r="H1795">
        <v>63605</v>
      </c>
      <c r="I1795">
        <v>65425</v>
      </c>
      <c r="J1795">
        <v>885</v>
      </c>
      <c r="K1795">
        <v>871792</v>
      </c>
      <c r="L1795">
        <v>105449</v>
      </c>
      <c r="M1795">
        <v>-319186</v>
      </c>
      <c r="N1795">
        <v>188362</v>
      </c>
      <c r="O1795" t="s">
        <v>1813</v>
      </c>
      <c r="P1795" s="9">
        <v>241054</v>
      </c>
      <c r="Q1795" s="9">
        <v>22088</v>
      </c>
      <c r="R1795" s="9">
        <v>263142</v>
      </c>
      <c r="S1795" s="9">
        <v>-130807</v>
      </c>
      <c r="T1795" s="10">
        <v>94049</v>
      </c>
      <c r="U1795" s="10">
        <v>2737</v>
      </c>
    </row>
    <row r="1796" spans="1:21" x14ac:dyDescent="0.35">
      <c r="A1796" t="s">
        <v>15</v>
      </c>
      <c r="B1796" t="s">
        <v>16</v>
      </c>
      <c r="C1796" t="s">
        <v>21</v>
      </c>
      <c r="D1796">
        <v>276914</v>
      </c>
      <c r="E1796">
        <v>35819</v>
      </c>
      <c r="F1796">
        <v>44641</v>
      </c>
      <c r="G1796">
        <v>-275239</v>
      </c>
      <c r="H1796">
        <v>82135</v>
      </c>
      <c r="I1796">
        <v>76759</v>
      </c>
      <c r="J1796">
        <v>2269</v>
      </c>
      <c r="K1796">
        <v>564130</v>
      </c>
      <c r="L1796">
        <v>69021</v>
      </c>
      <c r="M1796">
        <v>-221207</v>
      </c>
      <c r="N1796">
        <v>242414</v>
      </c>
      <c r="O1796" t="s">
        <v>1814</v>
      </c>
      <c r="P1796" s="9">
        <v>184842</v>
      </c>
      <c r="Q1796" s="9">
        <v>14064</v>
      </c>
      <c r="R1796" s="9">
        <v>198906</v>
      </c>
      <c r="S1796" s="9">
        <v>-107171</v>
      </c>
      <c r="T1796" s="10">
        <v>72393</v>
      </c>
      <c r="U1796" s="10">
        <v>1025</v>
      </c>
    </row>
    <row r="1797" spans="1:21" x14ac:dyDescent="0.35">
      <c r="A1797" t="s">
        <v>15</v>
      </c>
      <c r="B1797" t="s">
        <v>16</v>
      </c>
      <c r="C1797" t="s">
        <v>21</v>
      </c>
      <c r="D1797">
        <v>180834</v>
      </c>
      <c r="E1797">
        <v>16846</v>
      </c>
      <c r="F1797">
        <v>31402</v>
      </c>
      <c r="G1797">
        <v>-165547</v>
      </c>
      <c r="H1797">
        <v>63535</v>
      </c>
      <c r="I1797">
        <v>62040</v>
      </c>
      <c r="J1797">
        <v>1546</v>
      </c>
      <c r="K1797">
        <v>383669</v>
      </c>
      <c r="L1797">
        <v>98989</v>
      </c>
      <c r="M1797">
        <v>-152464</v>
      </c>
      <c r="N1797">
        <v>158761</v>
      </c>
      <c r="O1797" t="s">
        <v>1815</v>
      </c>
      <c r="P1797" s="9">
        <v>193469</v>
      </c>
      <c r="Q1797" s="9">
        <v>33194</v>
      </c>
      <c r="R1797" s="9">
        <v>226663</v>
      </c>
      <c r="S1797" s="9">
        <v>-79373</v>
      </c>
      <c r="T1797" s="10">
        <v>69419</v>
      </c>
      <c r="U1797" s="10">
        <v>943</v>
      </c>
    </row>
    <row r="1798" spans="1:21" x14ac:dyDescent="0.35">
      <c r="A1798" t="s">
        <v>15</v>
      </c>
      <c r="B1798" t="s">
        <v>16</v>
      </c>
      <c r="C1798" t="s">
        <v>21</v>
      </c>
      <c r="D1798">
        <v>163568</v>
      </c>
      <c r="E1798">
        <v>8361</v>
      </c>
      <c r="F1798">
        <v>31282</v>
      </c>
      <c r="G1798">
        <v>-154810</v>
      </c>
      <c r="H1798">
        <v>48401</v>
      </c>
      <c r="I1798">
        <v>50751</v>
      </c>
      <c r="J1798">
        <v>1298</v>
      </c>
      <c r="K1798">
        <v>624713</v>
      </c>
      <c r="L1798">
        <v>241552</v>
      </c>
      <c r="M1798">
        <v>-138548</v>
      </c>
      <c r="N1798">
        <v>63857</v>
      </c>
      <c r="O1798" t="s">
        <v>1816</v>
      </c>
      <c r="P1798" s="9">
        <v>232055</v>
      </c>
      <c r="Q1798" s="9">
        <v>51380</v>
      </c>
      <c r="R1798" s="9">
        <v>283435</v>
      </c>
      <c r="S1798" s="9">
        <v>-129134</v>
      </c>
      <c r="T1798" s="10">
        <v>90399</v>
      </c>
      <c r="U1798" s="10">
        <v>1978</v>
      </c>
    </row>
    <row r="1799" spans="1:21" x14ac:dyDescent="0.35">
      <c r="A1799" t="s">
        <v>15</v>
      </c>
      <c r="B1799" t="s">
        <v>20</v>
      </c>
      <c r="C1799" t="s">
        <v>17</v>
      </c>
      <c r="D1799">
        <v>239155</v>
      </c>
      <c r="E1799">
        <v>23358</v>
      </c>
      <c r="F1799">
        <v>33966</v>
      </c>
      <c r="G1799">
        <v>-236917</v>
      </c>
      <c r="H1799">
        <v>59562</v>
      </c>
      <c r="I1799">
        <v>59373</v>
      </c>
      <c r="J1799">
        <v>1585</v>
      </c>
      <c r="K1799">
        <v>675213</v>
      </c>
      <c r="L1799">
        <v>220190</v>
      </c>
      <c r="M1799">
        <v>-128897</v>
      </c>
      <c r="N1799">
        <v>187342</v>
      </c>
      <c r="O1799" t="s">
        <v>1817</v>
      </c>
      <c r="P1799" s="9">
        <v>279666</v>
      </c>
      <c r="Q1799" s="9">
        <v>28614</v>
      </c>
      <c r="R1799" s="9">
        <v>308280</v>
      </c>
      <c r="S1799" s="9">
        <v>-135010</v>
      </c>
      <c r="T1799" s="10">
        <v>131823</v>
      </c>
      <c r="U1799" s="10">
        <v>1810</v>
      </c>
    </row>
    <row r="1800" spans="1:21" x14ac:dyDescent="0.35">
      <c r="A1800" t="s">
        <v>15</v>
      </c>
      <c r="B1800" t="s">
        <v>16</v>
      </c>
      <c r="C1800" t="s">
        <v>21</v>
      </c>
      <c r="D1800">
        <v>197834</v>
      </c>
      <c r="E1800">
        <v>21918</v>
      </c>
      <c r="F1800">
        <v>36692</v>
      </c>
      <c r="G1800">
        <v>-174747</v>
      </c>
      <c r="H1800">
        <v>81697</v>
      </c>
      <c r="I1800">
        <v>82606</v>
      </c>
      <c r="J1800">
        <v>1411</v>
      </c>
      <c r="K1800">
        <v>459839</v>
      </c>
      <c r="L1800">
        <v>135280</v>
      </c>
      <c r="M1800">
        <v>-141052</v>
      </c>
      <c r="N1800">
        <v>96912</v>
      </c>
      <c r="O1800" t="s">
        <v>1818</v>
      </c>
      <c r="P1800" s="9">
        <v>255101</v>
      </c>
      <c r="Q1800" s="9">
        <v>29460</v>
      </c>
      <c r="R1800" s="9">
        <v>284561</v>
      </c>
      <c r="S1800" s="9">
        <v>-132105</v>
      </c>
      <c r="T1800" s="10">
        <v>90467</v>
      </c>
      <c r="U1800" s="10">
        <v>1243</v>
      </c>
    </row>
    <row r="1801" spans="1:21" x14ac:dyDescent="0.35">
      <c r="A1801" t="s">
        <v>15</v>
      </c>
      <c r="B1801" t="s">
        <v>16</v>
      </c>
      <c r="C1801" t="s">
        <v>17</v>
      </c>
      <c r="D1801">
        <v>229822</v>
      </c>
      <c r="E1801">
        <v>25199</v>
      </c>
      <c r="F1801">
        <v>36001</v>
      </c>
      <c r="G1801">
        <v>-207792</v>
      </c>
      <c r="H1801">
        <v>83230</v>
      </c>
      <c r="I1801">
        <v>81107</v>
      </c>
      <c r="J1801">
        <v>977</v>
      </c>
      <c r="K1801">
        <v>665312</v>
      </c>
      <c r="L1801">
        <v>114419</v>
      </c>
      <c r="M1801">
        <v>-108784</v>
      </c>
      <c r="N1801">
        <v>74602</v>
      </c>
      <c r="O1801" t="s">
        <v>1819</v>
      </c>
      <c r="P1801" s="9">
        <v>302503</v>
      </c>
      <c r="Q1801" s="9">
        <v>50979</v>
      </c>
      <c r="R1801" s="9">
        <v>353482</v>
      </c>
      <c r="S1801" s="9">
        <v>-117257</v>
      </c>
      <c r="T1801" s="10">
        <v>103182</v>
      </c>
      <c r="U1801" s="10">
        <v>1333</v>
      </c>
    </row>
    <row r="1802" spans="1:21" x14ac:dyDescent="0.35">
      <c r="A1802" t="s">
        <v>15</v>
      </c>
      <c r="B1802" t="s">
        <v>16</v>
      </c>
      <c r="C1802" t="s">
        <v>17</v>
      </c>
      <c r="D1802">
        <v>287980</v>
      </c>
      <c r="E1802">
        <v>46218</v>
      </c>
      <c r="F1802">
        <v>67509</v>
      </c>
      <c r="G1802">
        <v>-276551</v>
      </c>
      <c r="H1802">
        <v>125156</v>
      </c>
      <c r="I1802">
        <v>117501</v>
      </c>
      <c r="J1802">
        <v>2016</v>
      </c>
      <c r="K1802">
        <v>721826</v>
      </c>
      <c r="L1802">
        <v>90086</v>
      </c>
      <c r="M1802">
        <v>-121877</v>
      </c>
      <c r="N1802">
        <v>237663</v>
      </c>
      <c r="O1802" t="s">
        <v>1820</v>
      </c>
      <c r="P1802" s="9">
        <v>196697</v>
      </c>
      <c r="Q1802" s="9">
        <v>21168</v>
      </c>
      <c r="R1802" s="9">
        <v>217865</v>
      </c>
      <c r="S1802" s="9">
        <v>-79964</v>
      </c>
      <c r="T1802" s="10">
        <v>62168</v>
      </c>
      <c r="U1802" s="10">
        <v>1049</v>
      </c>
    </row>
    <row r="1803" spans="1:21" x14ac:dyDescent="0.35">
      <c r="A1803" t="s">
        <v>15</v>
      </c>
      <c r="B1803" t="s">
        <v>20</v>
      </c>
      <c r="C1803" t="s">
        <v>21</v>
      </c>
      <c r="D1803">
        <v>214171</v>
      </c>
      <c r="E1803">
        <v>27258</v>
      </c>
      <c r="F1803">
        <v>46364</v>
      </c>
      <c r="G1803">
        <v>-200187</v>
      </c>
      <c r="H1803">
        <v>87606</v>
      </c>
      <c r="I1803">
        <v>89197</v>
      </c>
      <c r="J1803">
        <v>1470</v>
      </c>
      <c r="K1803">
        <v>805265</v>
      </c>
      <c r="L1803">
        <v>337880</v>
      </c>
      <c r="M1803">
        <v>-125891</v>
      </c>
      <c r="N1803">
        <v>75201</v>
      </c>
      <c r="O1803" t="s">
        <v>1821</v>
      </c>
      <c r="P1803" s="9">
        <v>239806</v>
      </c>
      <c r="Q1803" s="9">
        <v>29017</v>
      </c>
      <c r="R1803" s="9">
        <v>268823</v>
      </c>
      <c r="S1803" s="9">
        <v>-76201</v>
      </c>
      <c r="T1803" s="10">
        <v>93506</v>
      </c>
      <c r="U1803" s="10">
        <v>1170</v>
      </c>
    </row>
    <row r="1804" spans="1:21" x14ac:dyDescent="0.35">
      <c r="A1804" t="s">
        <v>15</v>
      </c>
      <c r="B1804" t="s">
        <v>20</v>
      </c>
      <c r="C1804" t="s">
        <v>17</v>
      </c>
      <c r="D1804">
        <v>239548</v>
      </c>
      <c r="E1804">
        <v>18185</v>
      </c>
      <c r="F1804">
        <v>49471</v>
      </c>
      <c r="G1804">
        <v>-198092</v>
      </c>
      <c r="H1804">
        <v>109112</v>
      </c>
      <c r="I1804">
        <v>98247</v>
      </c>
      <c r="J1804">
        <v>2831</v>
      </c>
      <c r="K1804">
        <v>680497</v>
      </c>
      <c r="L1804">
        <v>157962</v>
      </c>
      <c r="M1804">
        <v>-218746</v>
      </c>
      <c r="N1804">
        <v>213189</v>
      </c>
      <c r="O1804" t="s">
        <v>1822</v>
      </c>
      <c r="P1804" s="9">
        <v>286053</v>
      </c>
      <c r="Q1804" s="9">
        <v>45339</v>
      </c>
      <c r="R1804" s="9">
        <v>331392</v>
      </c>
      <c r="S1804" s="9">
        <v>-176810</v>
      </c>
      <c r="T1804" s="10">
        <v>79402</v>
      </c>
      <c r="U1804" s="10">
        <v>1656</v>
      </c>
    </row>
    <row r="1805" spans="1:21" x14ac:dyDescent="0.35">
      <c r="A1805" t="s">
        <v>15</v>
      </c>
      <c r="B1805" t="s">
        <v>16</v>
      </c>
      <c r="C1805" t="s">
        <v>21</v>
      </c>
      <c r="D1805">
        <v>175617</v>
      </c>
      <c r="E1805">
        <v>24223</v>
      </c>
      <c r="F1805">
        <v>22384</v>
      </c>
      <c r="G1805">
        <v>-166330</v>
      </c>
      <c r="H1805">
        <v>55894</v>
      </c>
      <c r="I1805">
        <v>54557</v>
      </c>
      <c r="J1805">
        <v>1273</v>
      </c>
      <c r="K1805">
        <v>535216</v>
      </c>
      <c r="L1805">
        <v>92130</v>
      </c>
      <c r="M1805">
        <v>-91618</v>
      </c>
      <c r="N1805">
        <v>116578</v>
      </c>
      <c r="O1805" t="s">
        <v>1823</v>
      </c>
      <c r="P1805" s="9">
        <v>192886</v>
      </c>
      <c r="Q1805" s="9">
        <v>10412</v>
      </c>
      <c r="R1805" s="9">
        <v>203298</v>
      </c>
      <c r="S1805" s="9">
        <v>-61156</v>
      </c>
      <c r="T1805" s="10">
        <v>56185</v>
      </c>
      <c r="U1805" s="10">
        <v>626</v>
      </c>
    </row>
    <row r="1806" spans="1:21" x14ac:dyDescent="0.35">
      <c r="A1806" t="s">
        <v>15</v>
      </c>
      <c r="B1806" t="s">
        <v>16</v>
      </c>
      <c r="C1806" t="s">
        <v>17</v>
      </c>
      <c r="D1806">
        <v>212153</v>
      </c>
      <c r="E1806">
        <v>33036</v>
      </c>
      <c r="F1806">
        <v>29522</v>
      </c>
      <c r="G1806">
        <v>-196337</v>
      </c>
      <c r="H1806">
        <v>78374</v>
      </c>
      <c r="I1806">
        <v>73950</v>
      </c>
      <c r="J1806">
        <v>934</v>
      </c>
      <c r="K1806">
        <v>551878</v>
      </c>
      <c r="L1806">
        <v>89194</v>
      </c>
      <c r="M1806">
        <v>-190242</v>
      </c>
      <c r="N1806">
        <v>142741</v>
      </c>
      <c r="O1806" t="s">
        <v>1824</v>
      </c>
      <c r="P1806" s="9">
        <v>275946</v>
      </c>
      <c r="Q1806" s="9">
        <v>14680</v>
      </c>
      <c r="R1806" s="9">
        <v>290626</v>
      </c>
      <c r="S1806" s="9">
        <v>-84710</v>
      </c>
      <c r="T1806" s="10">
        <v>92108</v>
      </c>
      <c r="U1806" s="10">
        <v>1311</v>
      </c>
    </row>
    <row r="1807" spans="1:21" x14ac:dyDescent="0.35">
      <c r="A1807" t="s">
        <v>15</v>
      </c>
      <c r="B1807" t="s">
        <v>16</v>
      </c>
      <c r="C1807" t="s">
        <v>21</v>
      </c>
      <c r="D1807">
        <v>196483</v>
      </c>
      <c r="E1807">
        <v>14395</v>
      </c>
      <c r="F1807">
        <v>20103</v>
      </c>
      <c r="G1807">
        <v>-189156</v>
      </c>
      <c r="H1807">
        <v>41825</v>
      </c>
      <c r="I1807">
        <v>40029</v>
      </c>
      <c r="J1807">
        <v>861</v>
      </c>
      <c r="K1807">
        <v>503516</v>
      </c>
      <c r="L1807">
        <v>239103</v>
      </c>
      <c r="M1807">
        <v>-55301</v>
      </c>
      <c r="N1807">
        <v>124146</v>
      </c>
      <c r="O1807" t="s">
        <v>1825</v>
      </c>
      <c r="P1807" s="9">
        <v>236960</v>
      </c>
      <c r="Q1807" s="9">
        <v>37746</v>
      </c>
      <c r="R1807" s="9">
        <v>274706</v>
      </c>
      <c r="S1807" s="9">
        <v>-97917</v>
      </c>
      <c r="T1807" s="10">
        <v>77060</v>
      </c>
      <c r="U1807" s="10">
        <v>2034</v>
      </c>
    </row>
    <row r="1808" spans="1:21" x14ac:dyDescent="0.35">
      <c r="A1808" t="s">
        <v>15</v>
      </c>
      <c r="B1808" t="s">
        <v>16</v>
      </c>
      <c r="C1808" t="s">
        <v>17</v>
      </c>
      <c r="D1808">
        <v>212344</v>
      </c>
      <c r="E1808">
        <v>29518</v>
      </c>
      <c r="F1808">
        <v>46288</v>
      </c>
      <c r="G1808">
        <v>-184988</v>
      </c>
      <c r="H1808">
        <v>103162</v>
      </c>
      <c r="I1808">
        <v>96543</v>
      </c>
      <c r="J1808">
        <v>2692</v>
      </c>
      <c r="K1808">
        <v>757053</v>
      </c>
      <c r="L1808">
        <v>337546</v>
      </c>
      <c r="M1808">
        <v>-155640</v>
      </c>
      <c r="N1808">
        <v>68516</v>
      </c>
      <c r="O1808" t="s">
        <v>1826</v>
      </c>
      <c r="P1808" s="9">
        <v>205721</v>
      </c>
      <c r="Q1808" s="9">
        <v>15139</v>
      </c>
      <c r="R1808" s="9">
        <v>220860</v>
      </c>
      <c r="S1808" s="9">
        <v>-94206</v>
      </c>
      <c r="T1808" s="10">
        <v>54928</v>
      </c>
      <c r="U1808" s="10">
        <v>646</v>
      </c>
    </row>
    <row r="1809" spans="1:21" x14ac:dyDescent="0.35">
      <c r="A1809" t="s">
        <v>15</v>
      </c>
      <c r="B1809" t="s">
        <v>16</v>
      </c>
      <c r="C1809" t="s">
        <v>21</v>
      </c>
      <c r="D1809">
        <v>235116</v>
      </c>
      <c r="E1809">
        <v>27394</v>
      </c>
      <c r="F1809">
        <v>43168</v>
      </c>
      <c r="G1809">
        <v>-199422</v>
      </c>
      <c r="H1809">
        <v>106256</v>
      </c>
      <c r="I1809">
        <v>103088</v>
      </c>
      <c r="J1809">
        <v>1910</v>
      </c>
      <c r="K1809">
        <v>849030</v>
      </c>
      <c r="L1809">
        <v>190393</v>
      </c>
      <c r="M1809">
        <v>-128378</v>
      </c>
      <c r="N1809">
        <v>202757</v>
      </c>
      <c r="O1809" t="s">
        <v>1827</v>
      </c>
      <c r="P1809" s="9">
        <v>294033</v>
      </c>
      <c r="Q1809" s="9">
        <v>21491</v>
      </c>
      <c r="R1809" s="9">
        <v>315524</v>
      </c>
      <c r="S1809" s="9">
        <v>-79850</v>
      </c>
      <c r="T1809" s="10">
        <v>96759</v>
      </c>
      <c r="U1809" s="10">
        <v>2062</v>
      </c>
    </row>
    <row r="1810" spans="1:21" x14ac:dyDescent="0.35">
      <c r="A1810" t="s">
        <v>15</v>
      </c>
      <c r="B1810" t="s">
        <v>20</v>
      </c>
      <c r="C1810" t="s">
        <v>21</v>
      </c>
      <c r="D1810">
        <v>260792</v>
      </c>
      <c r="E1810">
        <v>40000</v>
      </c>
      <c r="F1810">
        <v>28970</v>
      </c>
      <c r="G1810">
        <v>-255445</v>
      </c>
      <c r="H1810">
        <v>74317</v>
      </c>
      <c r="I1810">
        <v>67764</v>
      </c>
      <c r="J1810">
        <v>1376</v>
      </c>
      <c r="K1810">
        <v>728853</v>
      </c>
      <c r="L1810">
        <v>142233</v>
      </c>
      <c r="M1810">
        <v>-197184</v>
      </c>
      <c r="N1810">
        <v>87416</v>
      </c>
      <c r="O1810" t="s">
        <v>1828</v>
      </c>
      <c r="P1810" s="9">
        <v>172861</v>
      </c>
      <c r="Q1810" s="9">
        <v>16898</v>
      </c>
      <c r="R1810" s="9">
        <v>189759</v>
      </c>
      <c r="S1810" s="9">
        <v>-47195</v>
      </c>
      <c r="T1810" s="10">
        <v>72741</v>
      </c>
      <c r="U1810" s="10">
        <v>985</v>
      </c>
    </row>
    <row r="1811" spans="1:21" x14ac:dyDescent="0.35">
      <c r="A1811" t="s">
        <v>15</v>
      </c>
      <c r="B1811" t="s">
        <v>20</v>
      </c>
      <c r="C1811" t="s">
        <v>21</v>
      </c>
      <c r="D1811">
        <v>166868</v>
      </c>
      <c r="E1811">
        <v>22500</v>
      </c>
      <c r="F1811">
        <v>33614</v>
      </c>
      <c r="G1811">
        <v>-136985</v>
      </c>
      <c r="H1811">
        <v>85997</v>
      </c>
      <c r="I1811">
        <v>89821</v>
      </c>
      <c r="J1811">
        <v>1850</v>
      </c>
      <c r="K1811">
        <v>442664</v>
      </c>
      <c r="L1811">
        <v>66207</v>
      </c>
      <c r="M1811">
        <v>-45956</v>
      </c>
      <c r="N1811">
        <v>122952</v>
      </c>
      <c r="O1811" t="s">
        <v>1829</v>
      </c>
      <c r="P1811" s="9">
        <v>175759</v>
      </c>
      <c r="Q1811" s="9">
        <v>26159</v>
      </c>
      <c r="R1811" s="9">
        <v>201918</v>
      </c>
      <c r="S1811" s="9">
        <v>-61683</v>
      </c>
      <c r="T1811" s="10">
        <v>94535</v>
      </c>
      <c r="U1811" s="10">
        <v>1643</v>
      </c>
    </row>
    <row r="1812" spans="1:21" x14ac:dyDescent="0.35">
      <c r="A1812" t="s">
        <v>15</v>
      </c>
      <c r="B1812" t="s">
        <v>16</v>
      </c>
      <c r="C1812" t="s">
        <v>21</v>
      </c>
      <c r="D1812">
        <v>234366</v>
      </c>
      <c r="E1812">
        <v>14654</v>
      </c>
      <c r="F1812">
        <v>57052</v>
      </c>
      <c r="G1812">
        <v>-205360</v>
      </c>
      <c r="H1812">
        <v>100712</v>
      </c>
      <c r="I1812">
        <v>98818</v>
      </c>
      <c r="J1812">
        <v>2262</v>
      </c>
      <c r="K1812">
        <v>920194</v>
      </c>
      <c r="L1812">
        <v>203315</v>
      </c>
      <c r="M1812">
        <v>-280556</v>
      </c>
      <c r="N1812">
        <v>74606</v>
      </c>
      <c r="O1812" t="s">
        <v>1830</v>
      </c>
      <c r="P1812" s="9">
        <v>291977</v>
      </c>
      <c r="Q1812" s="9">
        <v>44337</v>
      </c>
      <c r="R1812" s="9">
        <v>336314</v>
      </c>
      <c r="S1812" s="9">
        <v>-150027</v>
      </c>
      <c r="T1812" s="10">
        <v>114003</v>
      </c>
      <c r="U1812" s="10">
        <v>1272</v>
      </c>
    </row>
    <row r="1813" spans="1:21" x14ac:dyDescent="0.35">
      <c r="A1813" t="s">
        <v>15</v>
      </c>
      <c r="B1813" t="s">
        <v>20</v>
      </c>
      <c r="C1813" t="s">
        <v>17</v>
      </c>
      <c r="D1813">
        <v>266195</v>
      </c>
      <c r="E1813">
        <v>33648</v>
      </c>
      <c r="F1813">
        <v>38063</v>
      </c>
      <c r="G1813">
        <v>-228920</v>
      </c>
      <c r="H1813">
        <v>108986</v>
      </c>
      <c r="I1813">
        <v>112825</v>
      </c>
      <c r="J1813">
        <v>2310</v>
      </c>
      <c r="K1813">
        <v>543359</v>
      </c>
      <c r="L1813">
        <v>244360</v>
      </c>
      <c r="M1813">
        <v>-66668</v>
      </c>
      <c r="N1813">
        <v>84881</v>
      </c>
      <c r="O1813" t="s">
        <v>1831</v>
      </c>
      <c r="P1813" s="9">
        <v>162080</v>
      </c>
      <c r="Q1813" s="9">
        <v>16477</v>
      </c>
      <c r="R1813" s="9">
        <v>178557</v>
      </c>
      <c r="S1813" s="9">
        <v>-38929</v>
      </c>
      <c r="T1813" s="10">
        <v>62466</v>
      </c>
      <c r="U1813" s="10">
        <v>1668</v>
      </c>
    </row>
    <row r="1814" spans="1:21" x14ac:dyDescent="0.35">
      <c r="A1814" t="s">
        <v>15</v>
      </c>
      <c r="B1814" t="s">
        <v>20</v>
      </c>
      <c r="C1814" t="s">
        <v>21</v>
      </c>
      <c r="D1814">
        <v>291132</v>
      </c>
      <c r="E1814">
        <v>53147</v>
      </c>
      <c r="F1814">
        <v>41032</v>
      </c>
      <c r="G1814">
        <v>-289132</v>
      </c>
      <c r="H1814">
        <v>96179</v>
      </c>
      <c r="I1814">
        <v>98156</v>
      </c>
      <c r="J1814">
        <v>1357</v>
      </c>
      <c r="K1814">
        <v>993665</v>
      </c>
      <c r="L1814">
        <v>227018</v>
      </c>
      <c r="M1814">
        <v>-150887</v>
      </c>
      <c r="N1814">
        <v>257081</v>
      </c>
      <c r="O1814" t="s">
        <v>1832</v>
      </c>
      <c r="P1814" s="9">
        <v>195257</v>
      </c>
      <c r="Q1814" s="9">
        <v>12174</v>
      </c>
      <c r="R1814" s="9">
        <v>207431</v>
      </c>
      <c r="S1814" s="9">
        <v>-92604</v>
      </c>
      <c r="T1814" s="10">
        <v>82017</v>
      </c>
      <c r="U1814" s="10">
        <v>1136</v>
      </c>
    </row>
    <row r="1815" spans="1:21" x14ac:dyDescent="0.35">
      <c r="A1815" t="s">
        <v>15</v>
      </c>
      <c r="B1815" t="s">
        <v>16</v>
      </c>
      <c r="C1815" t="s">
        <v>21</v>
      </c>
      <c r="D1815">
        <v>271704</v>
      </c>
      <c r="E1815">
        <v>52664</v>
      </c>
      <c r="F1815">
        <v>63144</v>
      </c>
      <c r="G1815">
        <v>-246677</v>
      </c>
      <c r="H1815">
        <v>140835</v>
      </c>
      <c r="I1815">
        <v>135231</v>
      </c>
      <c r="J1815">
        <v>2543</v>
      </c>
      <c r="K1815">
        <v>628053</v>
      </c>
      <c r="L1815">
        <v>296872</v>
      </c>
      <c r="M1815">
        <v>-168213</v>
      </c>
      <c r="N1815">
        <v>100575</v>
      </c>
      <c r="O1815" t="s">
        <v>1833</v>
      </c>
      <c r="P1815" s="9">
        <v>184589</v>
      </c>
      <c r="Q1815" s="9">
        <v>18478</v>
      </c>
      <c r="R1815" s="9">
        <v>203067</v>
      </c>
      <c r="S1815" s="9">
        <v>-43791</v>
      </c>
      <c r="T1815" s="10">
        <v>42122</v>
      </c>
      <c r="U1815" s="10">
        <v>1238</v>
      </c>
    </row>
    <row r="1816" spans="1:21" x14ac:dyDescent="0.35">
      <c r="A1816" t="s">
        <v>15</v>
      </c>
      <c r="B1816" t="s">
        <v>20</v>
      </c>
      <c r="C1816" t="s">
        <v>21</v>
      </c>
      <c r="D1816">
        <v>217607</v>
      </c>
      <c r="E1816">
        <v>24278</v>
      </c>
      <c r="F1816">
        <v>25480</v>
      </c>
      <c r="G1816">
        <v>-207371</v>
      </c>
      <c r="H1816">
        <v>59994</v>
      </c>
      <c r="I1816">
        <v>62954</v>
      </c>
      <c r="J1816">
        <v>1701</v>
      </c>
      <c r="K1816">
        <v>842136</v>
      </c>
      <c r="L1816">
        <v>346648</v>
      </c>
      <c r="M1816">
        <v>-291924</v>
      </c>
      <c r="N1816">
        <v>109944</v>
      </c>
      <c r="O1816" t="s">
        <v>1834</v>
      </c>
      <c r="P1816" s="9">
        <v>210119</v>
      </c>
      <c r="Q1816" s="9">
        <v>30585</v>
      </c>
      <c r="R1816" s="9">
        <v>240704</v>
      </c>
      <c r="S1816" s="9">
        <v>-103681</v>
      </c>
      <c r="T1816" s="10">
        <v>74599</v>
      </c>
      <c r="U1816" s="10">
        <v>1608</v>
      </c>
    </row>
    <row r="1817" spans="1:21" x14ac:dyDescent="0.35">
      <c r="A1817" t="s">
        <v>15</v>
      </c>
      <c r="B1817" t="s">
        <v>16</v>
      </c>
      <c r="C1817" t="s">
        <v>17</v>
      </c>
      <c r="D1817">
        <v>202645</v>
      </c>
      <c r="E1817">
        <v>15859</v>
      </c>
      <c r="F1817">
        <v>34102</v>
      </c>
      <c r="G1817">
        <v>-181549</v>
      </c>
      <c r="H1817">
        <v>71057</v>
      </c>
      <c r="I1817">
        <v>71992</v>
      </c>
      <c r="J1817">
        <v>1608</v>
      </c>
      <c r="K1817">
        <v>758033</v>
      </c>
      <c r="L1817">
        <v>193683</v>
      </c>
      <c r="M1817">
        <v>-232070</v>
      </c>
      <c r="N1817">
        <v>141926</v>
      </c>
      <c r="O1817" t="s">
        <v>1835</v>
      </c>
      <c r="P1817" s="9">
        <v>234994</v>
      </c>
      <c r="Q1817" s="9">
        <v>31625</v>
      </c>
      <c r="R1817" s="9">
        <v>266619</v>
      </c>
      <c r="S1817" s="9">
        <v>-121180</v>
      </c>
      <c r="T1817" s="10">
        <v>112502</v>
      </c>
      <c r="U1817" s="10">
        <v>1619</v>
      </c>
    </row>
    <row r="1818" spans="1:21" x14ac:dyDescent="0.35">
      <c r="A1818" t="s">
        <v>15</v>
      </c>
      <c r="B1818" t="s">
        <v>16</v>
      </c>
      <c r="C1818" t="s">
        <v>21</v>
      </c>
      <c r="D1818">
        <v>290055</v>
      </c>
      <c r="E1818">
        <v>36549</v>
      </c>
      <c r="F1818">
        <v>39966</v>
      </c>
      <c r="G1818">
        <v>-274107</v>
      </c>
      <c r="H1818">
        <v>92463</v>
      </c>
      <c r="I1818">
        <v>93081</v>
      </c>
      <c r="J1818">
        <v>2077</v>
      </c>
      <c r="K1818">
        <v>1012461</v>
      </c>
      <c r="L1818">
        <v>261893</v>
      </c>
      <c r="M1818">
        <v>-373581</v>
      </c>
      <c r="N1818">
        <v>250257</v>
      </c>
      <c r="O1818" t="s">
        <v>1836</v>
      </c>
      <c r="P1818" s="9">
        <v>237019</v>
      </c>
      <c r="Q1818" s="9">
        <v>48949</v>
      </c>
      <c r="R1818" s="9">
        <v>285968</v>
      </c>
      <c r="S1818" s="9">
        <v>-137291</v>
      </c>
      <c r="T1818" s="10">
        <v>112988</v>
      </c>
      <c r="U1818" s="10">
        <v>2336</v>
      </c>
    </row>
    <row r="1819" spans="1:21" x14ac:dyDescent="0.35">
      <c r="A1819" t="s">
        <v>15</v>
      </c>
      <c r="B1819" t="s">
        <v>16</v>
      </c>
      <c r="C1819" t="s">
        <v>21</v>
      </c>
      <c r="D1819">
        <v>224559</v>
      </c>
      <c r="E1819">
        <v>33341</v>
      </c>
      <c r="F1819">
        <v>54592</v>
      </c>
      <c r="G1819">
        <v>-206308</v>
      </c>
      <c r="H1819">
        <v>106184</v>
      </c>
      <c r="I1819">
        <v>106436</v>
      </c>
      <c r="J1819">
        <v>2708</v>
      </c>
      <c r="K1819">
        <v>844801</v>
      </c>
      <c r="L1819">
        <v>404706</v>
      </c>
      <c r="M1819">
        <v>-102053</v>
      </c>
      <c r="N1819">
        <v>102714</v>
      </c>
      <c r="O1819" t="s">
        <v>1837</v>
      </c>
      <c r="P1819" s="9">
        <v>167928</v>
      </c>
      <c r="Q1819" s="9">
        <v>29711</v>
      </c>
      <c r="R1819" s="9">
        <v>197639</v>
      </c>
      <c r="S1819" s="9">
        <v>-60958</v>
      </c>
      <c r="T1819" s="10">
        <v>80353</v>
      </c>
      <c r="U1819" s="10">
        <v>1532</v>
      </c>
    </row>
    <row r="1820" spans="1:21" x14ac:dyDescent="0.35">
      <c r="A1820" t="s">
        <v>15</v>
      </c>
      <c r="B1820" t="s">
        <v>20</v>
      </c>
      <c r="C1820" t="s">
        <v>21</v>
      </c>
      <c r="D1820">
        <v>224820</v>
      </c>
      <c r="E1820">
        <v>24119</v>
      </c>
      <c r="F1820">
        <v>27546</v>
      </c>
      <c r="G1820">
        <v>-194373</v>
      </c>
      <c r="H1820">
        <v>82112</v>
      </c>
      <c r="I1820">
        <v>79033</v>
      </c>
      <c r="J1820">
        <v>1949</v>
      </c>
      <c r="K1820">
        <v>669557</v>
      </c>
      <c r="L1820">
        <v>251347</v>
      </c>
      <c r="M1820">
        <v>-262312</v>
      </c>
      <c r="N1820">
        <v>87295</v>
      </c>
      <c r="O1820" t="s">
        <v>1838</v>
      </c>
      <c r="P1820" s="9">
        <v>309189</v>
      </c>
      <c r="Q1820" s="9">
        <v>16106</v>
      </c>
      <c r="R1820" s="9">
        <v>325295</v>
      </c>
      <c r="S1820" s="9">
        <v>-92903</v>
      </c>
      <c r="T1820" s="10">
        <v>129916</v>
      </c>
      <c r="U1820" s="10">
        <v>1321</v>
      </c>
    </row>
    <row r="1821" spans="1:21" x14ac:dyDescent="0.35">
      <c r="A1821" t="s">
        <v>15</v>
      </c>
      <c r="B1821" t="s">
        <v>20</v>
      </c>
      <c r="C1821" t="s">
        <v>21</v>
      </c>
      <c r="D1821">
        <v>257420</v>
      </c>
      <c r="E1821">
        <v>44229</v>
      </c>
      <c r="F1821">
        <v>48039</v>
      </c>
      <c r="G1821">
        <v>-241687</v>
      </c>
      <c r="H1821">
        <v>108001</v>
      </c>
      <c r="I1821">
        <v>106637</v>
      </c>
      <c r="J1821">
        <v>1191</v>
      </c>
      <c r="K1821">
        <v>701711</v>
      </c>
      <c r="L1821">
        <v>80153</v>
      </c>
      <c r="M1821">
        <v>-159331</v>
      </c>
      <c r="N1821">
        <v>151367</v>
      </c>
      <c r="O1821" t="s">
        <v>1839</v>
      </c>
      <c r="P1821" s="9">
        <v>190308</v>
      </c>
      <c r="Q1821" s="9">
        <v>27205</v>
      </c>
      <c r="R1821" s="9">
        <v>217513</v>
      </c>
      <c r="S1821" s="9">
        <v>-115393</v>
      </c>
      <c r="T1821" s="10">
        <v>74491</v>
      </c>
      <c r="U1821" s="10">
        <v>945</v>
      </c>
    </row>
    <row r="1822" spans="1:21" x14ac:dyDescent="0.35">
      <c r="A1822" t="s">
        <v>15</v>
      </c>
      <c r="B1822" t="s">
        <v>16</v>
      </c>
      <c r="C1822" t="s">
        <v>21</v>
      </c>
      <c r="D1822">
        <v>202199</v>
      </c>
      <c r="E1822">
        <v>37298</v>
      </c>
      <c r="F1822">
        <v>31128</v>
      </c>
      <c r="G1822">
        <v>-171020</v>
      </c>
      <c r="H1822">
        <v>99605</v>
      </c>
      <c r="I1822">
        <v>100461</v>
      </c>
      <c r="J1822">
        <v>1633</v>
      </c>
      <c r="K1822">
        <v>575403</v>
      </c>
      <c r="L1822">
        <v>199572</v>
      </c>
      <c r="M1822">
        <v>-94132</v>
      </c>
      <c r="N1822">
        <v>93047</v>
      </c>
      <c r="O1822" t="s">
        <v>1840</v>
      </c>
      <c r="P1822" s="9">
        <v>287348</v>
      </c>
      <c r="Q1822" s="9">
        <v>22047</v>
      </c>
      <c r="R1822" s="9">
        <v>309395</v>
      </c>
      <c r="S1822" s="9">
        <v>-118421</v>
      </c>
      <c r="T1822" s="10">
        <v>99625</v>
      </c>
      <c r="U1822" s="10">
        <v>2210</v>
      </c>
    </row>
    <row r="1823" spans="1:21" x14ac:dyDescent="0.35">
      <c r="A1823" t="s">
        <v>15</v>
      </c>
      <c r="B1823" t="s">
        <v>16</v>
      </c>
      <c r="C1823" t="s">
        <v>21</v>
      </c>
      <c r="D1823">
        <v>262620</v>
      </c>
      <c r="E1823">
        <v>27010</v>
      </c>
      <c r="F1823">
        <v>46698</v>
      </c>
      <c r="G1823">
        <v>-233716</v>
      </c>
      <c r="H1823">
        <v>102612</v>
      </c>
      <c r="I1823">
        <v>105928</v>
      </c>
      <c r="J1823">
        <v>1685</v>
      </c>
      <c r="K1823">
        <v>777109</v>
      </c>
      <c r="L1823">
        <v>103225</v>
      </c>
      <c r="M1823">
        <v>-271990</v>
      </c>
      <c r="N1823">
        <v>224792</v>
      </c>
      <c r="O1823" t="s">
        <v>1841</v>
      </c>
      <c r="P1823" s="9">
        <v>222285</v>
      </c>
      <c r="Q1823" s="9">
        <v>39301</v>
      </c>
      <c r="R1823" s="9">
        <v>261586</v>
      </c>
      <c r="S1823" s="9">
        <v>-59332</v>
      </c>
      <c r="T1823" s="10">
        <v>88437</v>
      </c>
      <c r="U1823" s="10">
        <v>1276</v>
      </c>
    </row>
    <row r="1824" spans="1:21" x14ac:dyDescent="0.35">
      <c r="A1824" t="s">
        <v>15</v>
      </c>
      <c r="B1824" t="s">
        <v>20</v>
      </c>
      <c r="C1824" t="s">
        <v>21</v>
      </c>
      <c r="D1824">
        <v>150169</v>
      </c>
      <c r="E1824">
        <v>8664</v>
      </c>
      <c r="F1824">
        <v>28393</v>
      </c>
      <c r="G1824">
        <v>-148763</v>
      </c>
      <c r="H1824">
        <v>38463</v>
      </c>
      <c r="I1824">
        <v>37439</v>
      </c>
      <c r="J1824">
        <v>1118</v>
      </c>
      <c r="K1824">
        <v>564659</v>
      </c>
      <c r="L1824">
        <v>73388</v>
      </c>
      <c r="M1824">
        <v>-99089</v>
      </c>
      <c r="N1824">
        <v>79963</v>
      </c>
      <c r="O1824" t="s">
        <v>1842</v>
      </c>
      <c r="P1824" s="9">
        <v>171256</v>
      </c>
      <c r="Q1824" s="9">
        <v>29966</v>
      </c>
      <c r="R1824" s="9">
        <v>201222</v>
      </c>
      <c r="S1824" s="9">
        <v>-78579</v>
      </c>
      <c r="T1824" s="10">
        <v>60060</v>
      </c>
      <c r="U1824" s="10">
        <v>1505</v>
      </c>
    </row>
    <row r="1825" spans="1:21" x14ac:dyDescent="0.35">
      <c r="A1825" t="s">
        <v>15</v>
      </c>
      <c r="B1825" t="s">
        <v>16</v>
      </c>
      <c r="C1825" t="s">
        <v>21</v>
      </c>
      <c r="D1825">
        <v>161146</v>
      </c>
      <c r="E1825">
        <v>30528</v>
      </c>
      <c r="F1825">
        <v>17607</v>
      </c>
      <c r="G1825">
        <v>-142016</v>
      </c>
      <c r="H1825">
        <v>67265</v>
      </c>
      <c r="I1825">
        <v>65970</v>
      </c>
      <c r="J1825">
        <v>1524</v>
      </c>
      <c r="K1825">
        <v>629467</v>
      </c>
      <c r="L1825">
        <v>89735</v>
      </c>
      <c r="M1825">
        <v>-136702</v>
      </c>
      <c r="N1825">
        <v>70805</v>
      </c>
      <c r="O1825" t="s">
        <v>1843</v>
      </c>
      <c r="P1825" s="9">
        <v>303559</v>
      </c>
      <c r="Q1825" s="9">
        <v>44092</v>
      </c>
      <c r="R1825" s="9">
        <v>347651</v>
      </c>
      <c r="S1825" s="9">
        <v>-138966</v>
      </c>
      <c r="T1825" s="10">
        <v>79380</v>
      </c>
      <c r="U1825" s="10">
        <v>1319</v>
      </c>
    </row>
    <row r="1826" spans="1:21" x14ac:dyDescent="0.35">
      <c r="A1826" t="s">
        <v>15</v>
      </c>
      <c r="B1826" t="s">
        <v>16</v>
      </c>
      <c r="C1826" t="s">
        <v>21</v>
      </c>
      <c r="D1826">
        <v>187816</v>
      </c>
      <c r="E1826">
        <v>19576</v>
      </c>
      <c r="F1826">
        <v>30649</v>
      </c>
      <c r="G1826">
        <v>-166478</v>
      </c>
      <c r="H1826">
        <v>71563</v>
      </c>
      <c r="I1826">
        <v>74073</v>
      </c>
      <c r="J1826">
        <v>1770</v>
      </c>
      <c r="K1826">
        <v>501796</v>
      </c>
      <c r="L1826">
        <v>190300</v>
      </c>
      <c r="M1826">
        <v>-168424</v>
      </c>
      <c r="N1826">
        <v>96497</v>
      </c>
      <c r="O1826" t="s">
        <v>1844</v>
      </c>
      <c r="P1826" s="9">
        <v>196778</v>
      </c>
      <c r="Q1826" s="9">
        <v>37525</v>
      </c>
      <c r="R1826" s="9">
        <v>234303</v>
      </c>
      <c r="S1826" s="9">
        <v>-112328</v>
      </c>
      <c r="T1826" s="10">
        <v>100594</v>
      </c>
      <c r="U1826" s="10">
        <v>1586</v>
      </c>
    </row>
    <row r="1827" spans="1:21" x14ac:dyDescent="0.35">
      <c r="A1827" t="s">
        <v>15</v>
      </c>
      <c r="B1827" t="s">
        <v>16</v>
      </c>
      <c r="C1827" t="s">
        <v>17</v>
      </c>
      <c r="D1827">
        <v>206996</v>
      </c>
      <c r="E1827">
        <v>19845</v>
      </c>
      <c r="F1827">
        <v>25848</v>
      </c>
      <c r="G1827">
        <v>-188763</v>
      </c>
      <c r="H1827">
        <v>63926</v>
      </c>
      <c r="I1827">
        <v>63467</v>
      </c>
      <c r="J1827">
        <v>1492</v>
      </c>
      <c r="K1827">
        <v>544650</v>
      </c>
      <c r="L1827">
        <v>99330</v>
      </c>
      <c r="M1827">
        <v>-105817</v>
      </c>
      <c r="N1827">
        <v>151793</v>
      </c>
      <c r="O1827" t="s">
        <v>1845</v>
      </c>
      <c r="P1827" s="9">
        <v>265555</v>
      </c>
      <c r="Q1827" s="9">
        <v>20924</v>
      </c>
      <c r="R1827" s="9">
        <v>286479</v>
      </c>
      <c r="S1827" s="9">
        <v>-61844</v>
      </c>
      <c r="T1827" s="10">
        <v>96344</v>
      </c>
      <c r="U1827" s="10">
        <v>1525</v>
      </c>
    </row>
    <row r="1828" spans="1:21" x14ac:dyDescent="0.35">
      <c r="A1828" t="s">
        <v>15</v>
      </c>
      <c r="B1828" t="s">
        <v>20</v>
      </c>
      <c r="C1828" t="s">
        <v>21</v>
      </c>
      <c r="D1828">
        <v>229042</v>
      </c>
      <c r="E1828">
        <v>20789</v>
      </c>
      <c r="F1828">
        <v>25674</v>
      </c>
      <c r="G1828">
        <v>-186228</v>
      </c>
      <c r="H1828">
        <v>89277</v>
      </c>
      <c r="I1828">
        <v>87645</v>
      </c>
      <c r="J1828">
        <v>1353</v>
      </c>
      <c r="K1828">
        <v>779504</v>
      </c>
      <c r="L1828">
        <v>191198</v>
      </c>
      <c r="M1828">
        <v>-79564</v>
      </c>
      <c r="N1828">
        <v>204511</v>
      </c>
      <c r="O1828" t="s">
        <v>1846</v>
      </c>
      <c r="P1828" s="9">
        <v>160132</v>
      </c>
      <c r="Q1828" s="9">
        <v>22104</v>
      </c>
      <c r="R1828" s="9">
        <v>182236</v>
      </c>
      <c r="S1828" s="9">
        <v>-79712</v>
      </c>
      <c r="T1828" s="10">
        <v>65232</v>
      </c>
      <c r="U1828" s="10">
        <v>1230</v>
      </c>
    </row>
    <row r="1829" spans="1:21" x14ac:dyDescent="0.35">
      <c r="A1829" t="s">
        <v>15</v>
      </c>
      <c r="B1829" t="s">
        <v>16</v>
      </c>
      <c r="C1829" t="s">
        <v>21</v>
      </c>
      <c r="D1829">
        <v>267707</v>
      </c>
      <c r="E1829">
        <v>46250</v>
      </c>
      <c r="F1829">
        <v>52659</v>
      </c>
      <c r="G1829">
        <v>-224883</v>
      </c>
      <c r="H1829">
        <v>141733</v>
      </c>
      <c r="I1829">
        <v>134936</v>
      </c>
      <c r="J1829">
        <v>3342</v>
      </c>
      <c r="K1829">
        <v>806895</v>
      </c>
      <c r="L1829">
        <v>163543</v>
      </c>
      <c r="M1829">
        <v>-200361</v>
      </c>
      <c r="N1829">
        <v>115919</v>
      </c>
      <c r="O1829" t="s">
        <v>1847</v>
      </c>
      <c r="P1829" s="9">
        <v>301728</v>
      </c>
      <c r="Q1829" s="9">
        <v>46094</v>
      </c>
      <c r="R1829" s="9">
        <v>347822</v>
      </c>
      <c r="S1829" s="9">
        <v>-123066</v>
      </c>
      <c r="T1829" s="10">
        <v>97869</v>
      </c>
      <c r="U1829" s="10">
        <v>2738</v>
      </c>
    </row>
    <row r="1830" spans="1:21" x14ac:dyDescent="0.35">
      <c r="A1830" t="s">
        <v>15</v>
      </c>
      <c r="B1830" t="s">
        <v>20</v>
      </c>
      <c r="C1830" t="s">
        <v>17</v>
      </c>
      <c r="D1830">
        <v>229584</v>
      </c>
      <c r="E1830">
        <v>18576</v>
      </c>
      <c r="F1830">
        <v>42991</v>
      </c>
      <c r="G1830">
        <v>-184657</v>
      </c>
      <c r="H1830">
        <v>106494</v>
      </c>
      <c r="I1830">
        <v>111492</v>
      </c>
      <c r="J1830">
        <v>1880</v>
      </c>
      <c r="K1830">
        <v>595055</v>
      </c>
      <c r="L1830">
        <v>264706</v>
      </c>
      <c r="M1830">
        <v>-147214</v>
      </c>
      <c r="N1830">
        <v>115561</v>
      </c>
      <c r="O1830" t="s">
        <v>1848</v>
      </c>
      <c r="P1830" s="9">
        <v>248034</v>
      </c>
      <c r="Q1830" s="9">
        <v>22071</v>
      </c>
      <c r="R1830" s="9">
        <v>270105</v>
      </c>
      <c r="S1830" s="9">
        <v>-112072</v>
      </c>
      <c r="T1830" s="10">
        <v>65184</v>
      </c>
      <c r="U1830" s="10">
        <v>1469</v>
      </c>
    </row>
    <row r="1831" spans="1:21" x14ac:dyDescent="0.35">
      <c r="A1831" t="s">
        <v>15</v>
      </c>
      <c r="B1831" t="s">
        <v>20</v>
      </c>
      <c r="C1831" t="s">
        <v>17</v>
      </c>
      <c r="D1831">
        <v>214328</v>
      </c>
      <c r="E1831">
        <v>11750</v>
      </c>
      <c r="F1831">
        <v>31407</v>
      </c>
      <c r="G1831">
        <v>-213509</v>
      </c>
      <c r="H1831">
        <v>43976</v>
      </c>
      <c r="I1831">
        <v>44890</v>
      </c>
      <c r="J1831">
        <v>477</v>
      </c>
      <c r="K1831">
        <v>850020</v>
      </c>
      <c r="L1831">
        <v>337502</v>
      </c>
      <c r="M1831">
        <v>-197167</v>
      </c>
      <c r="N1831">
        <v>82686</v>
      </c>
      <c r="O1831" t="s">
        <v>1849</v>
      </c>
      <c r="P1831" s="9">
        <v>215540</v>
      </c>
      <c r="Q1831" s="9">
        <v>41176</v>
      </c>
      <c r="R1831" s="9">
        <v>256716</v>
      </c>
      <c r="S1831" s="9">
        <v>-108725</v>
      </c>
      <c r="T1831" s="10">
        <v>104874</v>
      </c>
      <c r="U1831" s="10">
        <v>2488</v>
      </c>
    </row>
    <row r="1832" spans="1:21" x14ac:dyDescent="0.35">
      <c r="A1832" t="s">
        <v>15</v>
      </c>
      <c r="B1832" t="s">
        <v>20</v>
      </c>
      <c r="C1832" t="s">
        <v>17</v>
      </c>
      <c r="D1832">
        <v>223414</v>
      </c>
      <c r="E1832">
        <v>44287</v>
      </c>
      <c r="F1832">
        <v>37697</v>
      </c>
      <c r="G1832">
        <v>-222510</v>
      </c>
      <c r="H1832">
        <v>82888</v>
      </c>
      <c r="I1832">
        <v>75353</v>
      </c>
      <c r="J1832">
        <v>1818</v>
      </c>
      <c r="K1832">
        <v>583721</v>
      </c>
      <c r="L1832">
        <v>285183</v>
      </c>
      <c r="M1832">
        <v>-215790</v>
      </c>
      <c r="N1832">
        <v>185224</v>
      </c>
      <c r="O1832" t="s">
        <v>1850</v>
      </c>
      <c r="P1832" s="9">
        <v>162584</v>
      </c>
      <c r="Q1832" s="9">
        <v>29391</v>
      </c>
      <c r="R1832" s="9">
        <v>191975</v>
      </c>
      <c r="S1832" s="9">
        <v>-63698</v>
      </c>
      <c r="T1832" s="10">
        <v>56295</v>
      </c>
      <c r="U1832" s="10">
        <v>1555</v>
      </c>
    </row>
    <row r="1833" spans="1:21" x14ac:dyDescent="0.35">
      <c r="A1833" t="s">
        <v>15</v>
      </c>
      <c r="B1833" t="s">
        <v>16</v>
      </c>
      <c r="C1833" t="s">
        <v>17</v>
      </c>
      <c r="D1833">
        <v>204767</v>
      </c>
      <c r="E1833">
        <v>32007</v>
      </c>
      <c r="F1833">
        <v>25119</v>
      </c>
      <c r="G1833">
        <v>-202086</v>
      </c>
      <c r="H1833">
        <v>59807</v>
      </c>
      <c r="I1833">
        <v>57942</v>
      </c>
      <c r="J1833">
        <v>909</v>
      </c>
      <c r="K1833">
        <v>530050</v>
      </c>
      <c r="L1833">
        <v>73027</v>
      </c>
      <c r="M1833">
        <v>-104258</v>
      </c>
      <c r="N1833">
        <v>66355</v>
      </c>
      <c r="O1833" t="s">
        <v>1851</v>
      </c>
      <c r="P1833" s="9">
        <v>179060</v>
      </c>
      <c r="Q1833" s="9">
        <v>22770</v>
      </c>
      <c r="R1833" s="9">
        <v>201830</v>
      </c>
      <c r="S1833" s="9">
        <v>-83838</v>
      </c>
      <c r="T1833" s="10">
        <v>71379</v>
      </c>
      <c r="U1833" s="10">
        <v>803</v>
      </c>
    </row>
    <row r="1834" spans="1:21" x14ac:dyDescent="0.35">
      <c r="A1834" t="s">
        <v>15</v>
      </c>
      <c r="B1834" t="s">
        <v>20</v>
      </c>
      <c r="C1834" t="s">
        <v>21</v>
      </c>
      <c r="D1834">
        <v>229696</v>
      </c>
      <c r="E1834">
        <v>34745</v>
      </c>
      <c r="F1834">
        <v>53198</v>
      </c>
      <c r="G1834">
        <v>-195522</v>
      </c>
      <c r="H1834">
        <v>122117</v>
      </c>
      <c r="I1834">
        <v>125277</v>
      </c>
      <c r="J1834">
        <v>2779</v>
      </c>
      <c r="K1834">
        <v>580259</v>
      </c>
      <c r="L1834">
        <v>244234</v>
      </c>
      <c r="M1834">
        <v>-68086</v>
      </c>
      <c r="N1834">
        <v>183831</v>
      </c>
      <c r="O1834" t="s">
        <v>1852</v>
      </c>
      <c r="P1834" s="9">
        <v>240899</v>
      </c>
      <c r="Q1834" s="9">
        <v>36333</v>
      </c>
      <c r="R1834" s="9">
        <v>277232</v>
      </c>
      <c r="S1834" s="9">
        <v>-137394</v>
      </c>
      <c r="T1834" s="10">
        <v>77998</v>
      </c>
      <c r="U1834" s="10">
        <v>781</v>
      </c>
    </row>
    <row r="1835" spans="1:21" x14ac:dyDescent="0.35">
      <c r="A1835" t="s">
        <v>15</v>
      </c>
      <c r="B1835" t="s">
        <v>16</v>
      </c>
      <c r="C1835" t="s">
        <v>17</v>
      </c>
      <c r="D1835">
        <v>208207</v>
      </c>
      <c r="E1835">
        <v>30125</v>
      </c>
      <c r="F1835">
        <v>42846</v>
      </c>
      <c r="G1835">
        <v>-173010</v>
      </c>
      <c r="H1835">
        <v>108168</v>
      </c>
      <c r="I1835">
        <v>111355</v>
      </c>
      <c r="J1835">
        <v>3223</v>
      </c>
      <c r="K1835">
        <v>752446</v>
      </c>
      <c r="L1835">
        <v>279704</v>
      </c>
      <c r="M1835">
        <v>-199942</v>
      </c>
      <c r="N1835">
        <v>138843</v>
      </c>
      <c r="O1835" t="s">
        <v>1853</v>
      </c>
      <c r="P1835" s="9">
        <v>212678</v>
      </c>
      <c r="Q1835" s="9">
        <v>15521</v>
      </c>
      <c r="R1835" s="9">
        <v>228199</v>
      </c>
      <c r="S1835" s="9">
        <v>-85939</v>
      </c>
      <c r="T1835" s="10">
        <v>89224</v>
      </c>
      <c r="U1835" s="10">
        <v>1641</v>
      </c>
    </row>
    <row r="1836" spans="1:21" x14ac:dyDescent="0.35">
      <c r="A1836" t="s">
        <v>15</v>
      </c>
      <c r="B1836" t="s">
        <v>20</v>
      </c>
      <c r="C1836" t="s">
        <v>21</v>
      </c>
      <c r="D1836">
        <v>156289</v>
      </c>
      <c r="E1836">
        <v>25192</v>
      </c>
      <c r="F1836">
        <v>26747</v>
      </c>
      <c r="G1836">
        <v>-135251</v>
      </c>
      <c r="H1836">
        <v>72977</v>
      </c>
      <c r="I1836">
        <v>66138</v>
      </c>
      <c r="J1836">
        <v>1007</v>
      </c>
      <c r="K1836">
        <v>505361</v>
      </c>
      <c r="L1836">
        <v>129600</v>
      </c>
      <c r="M1836">
        <v>-80930</v>
      </c>
      <c r="N1836">
        <v>67537</v>
      </c>
      <c r="O1836" t="s">
        <v>1854</v>
      </c>
      <c r="P1836" s="9">
        <v>178791</v>
      </c>
      <c r="Q1836" s="9">
        <v>21393</v>
      </c>
      <c r="R1836" s="9">
        <v>200184</v>
      </c>
      <c r="S1836" s="9">
        <v>-97122</v>
      </c>
      <c r="T1836" s="10">
        <v>41317</v>
      </c>
      <c r="U1836" s="10">
        <v>601</v>
      </c>
    </row>
    <row r="1837" spans="1:21" x14ac:dyDescent="0.35">
      <c r="A1837" t="s">
        <v>15</v>
      </c>
      <c r="B1837" t="s">
        <v>16</v>
      </c>
      <c r="C1837" t="s">
        <v>21</v>
      </c>
      <c r="D1837">
        <v>299839</v>
      </c>
      <c r="E1837">
        <v>39184</v>
      </c>
      <c r="F1837">
        <v>44171</v>
      </c>
      <c r="G1837">
        <v>-290712</v>
      </c>
      <c r="H1837">
        <v>92482</v>
      </c>
      <c r="I1837">
        <v>91762</v>
      </c>
      <c r="J1837">
        <v>2542</v>
      </c>
      <c r="K1837">
        <v>737380</v>
      </c>
      <c r="L1837">
        <v>298563</v>
      </c>
      <c r="M1837">
        <v>-116128</v>
      </c>
      <c r="N1837">
        <v>208902</v>
      </c>
      <c r="O1837" t="s">
        <v>1855</v>
      </c>
      <c r="P1837" s="9">
        <v>163144</v>
      </c>
      <c r="Q1837" s="9">
        <v>21868</v>
      </c>
      <c r="R1837" s="9">
        <v>185012</v>
      </c>
      <c r="S1837" s="9">
        <v>-63504</v>
      </c>
      <c r="T1837" s="10">
        <v>50359</v>
      </c>
      <c r="U1837" s="10">
        <v>624</v>
      </c>
    </row>
    <row r="1838" spans="1:21" x14ac:dyDescent="0.35">
      <c r="A1838" t="s">
        <v>15</v>
      </c>
      <c r="B1838" t="s">
        <v>16</v>
      </c>
      <c r="C1838" t="s">
        <v>17</v>
      </c>
      <c r="D1838">
        <v>254788</v>
      </c>
      <c r="E1838">
        <v>39213</v>
      </c>
      <c r="F1838">
        <v>45326</v>
      </c>
      <c r="G1838">
        <v>-252743</v>
      </c>
      <c r="H1838">
        <v>86584</v>
      </c>
      <c r="I1838">
        <v>88812</v>
      </c>
      <c r="J1838">
        <v>2322</v>
      </c>
      <c r="K1838">
        <v>779286</v>
      </c>
      <c r="L1838">
        <v>314695</v>
      </c>
      <c r="M1838">
        <v>-256699</v>
      </c>
      <c r="N1838">
        <v>86211</v>
      </c>
      <c r="O1838" t="s">
        <v>1856</v>
      </c>
      <c r="P1838" s="9">
        <v>278381</v>
      </c>
      <c r="Q1838" s="9">
        <v>37977</v>
      </c>
      <c r="R1838" s="9">
        <v>316358</v>
      </c>
      <c r="S1838" s="9">
        <v>-106983</v>
      </c>
      <c r="T1838" s="10">
        <v>113310</v>
      </c>
      <c r="U1838" s="10">
        <v>1809</v>
      </c>
    </row>
    <row r="1839" spans="1:21" x14ac:dyDescent="0.35">
      <c r="A1839" t="s">
        <v>15</v>
      </c>
      <c r="B1839" t="s">
        <v>16</v>
      </c>
      <c r="C1839" t="s">
        <v>21</v>
      </c>
      <c r="D1839">
        <v>244969</v>
      </c>
      <c r="E1839">
        <v>16094</v>
      </c>
      <c r="F1839">
        <v>30541</v>
      </c>
      <c r="G1839">
        <v>-244867</v>
      </c>
      <c r="H1839">
        <v>46737</v>
      </c>
      <c r="I1839">
        <v>43423</v>
      </c>
      <c r="J1839">
        <v>638</v>
      </c>
      <c r="K1839">
        <v>763768</v>
      </c>
      <c r="L1839">
        <v>99513</v>
      </c>
      <c r="M1839">
        <v>-298632</v>
      </c>
      <c r="N1839">
        <v>171300</v>
      </c>
      <c r="O1839" t="s">
        <v>1857</v>
      </c>
      <c r="P1839" s="9">
        <v>258837</v>
      </c>
      <c r="Q1839" s="9">
        <v>51107</v>
      </c>
      <c r="R1839" s="9">
        <v>309944</v>
      </c>
      <c r="S1839" s="9">
        <v>-76333</v>
      </c>
      <c r="T1839" s="10">
        <v>99389</v>
      </c>
      <c r="U1839" s="10">
        <v>1154</v>
      </c>
    </row>
    <row r="1840" spans="1:21" x14ac:dyDescent="0.35">
      <c r="A1840" t="s">
        <v>15</v>
      </c>
      <c r="B1840" t="s">
        <v>20</v>
      </c>
      <c r="C1840" t="s">
        <v>21</v>
      </c>
      <c r="D1840">
        <v>293425</v>
      </c>
      <c r="E1840">
        <v>48491</v>
      </c>
      <c r="F1840">
        <v>48992</v>
      </c>
      <c r="G1840">
        <v>-243591</v>
      </c>
      <c r="H1840">
        <v>147317</v>
      </c>
      <c r="I1840">
        <v>136157</v>
      </c>
      <c r="J1840">
        <v>2795</v>
      </c>
      <c r="K1840">
        <v>968449</v>
      </c>
      <c r="L1840">
        <v>426441</v>
      </c>
      <c r="M1840">
        <v>-215049</v>
      </c>
      <c r="N1840">
        <v>134452</v>
      </c>
      <c r="O1840" t="s">
        <v>1858</v>
      </c>
      <c r="P1840" s="9">
        <v>263107</v>
      </c>
      <c r="Q1840" s="9">
        <v>14834</v>
      </c>
      <c r="R1840" s="9">
        <v>277941</v>
      </c>
      <c r="S1840" s="9">
        <v>-77928</v>
      </c>
      <c r="T1840" s="10">
        <v>74906</v>
      </c>
      <c r="U1840" s="10">
        <v>1326</v>
      </c>
    </row>
    <row r="1841" spans="1:21" x14ac:dyDescent="0.35">
      <c r="A1841" t="s">
        <v>15</v>
      </c>
      <c r="B1841" t="s">
        <v>16</v>
      </c>
      <c r="C1841" t="s">
        <v>21</v>
      </c>
      <c r="D1841">
        <v>154881</v>
      </c>
      <c r="E1841">
        <v>15635</v>
      </c>
      <c r="F1841">
        <v>21510</v>
      </c>
      <c r="G1841">
        <v>-135579</v>
      </c>
      <c r="H1841">
        <v>56447</v>
      </c>
      <c r="I1841">
        <v>57870</v>
      </c>
      <c r="J1841">
        <v>1141</v>
      </c>
      <c r="K1841">
        <v>536330</v>
      </c>
      <c r="L1841">
        <v>95099</v>
      </c>
      <c r="M1841">
        <v>-209470</v>
      </c>
      <c r="N1841">
        <v>90129</v>
      </c>
      <c r="O1841" t="s">
        <v>1859</v>
      </c>
      <c r="P1841" s="9">
        <v>306272</v>
      </c>
      <c r="Q1841" s="9">
        <v>38482</v>
      </c>
      <c r="R1841" s="9">
        <v>344754</v>
      </c>
      <c r="S1841" s="9">
        <v>-117873</v>
      </c>
      <c r="T1841" s="10">
        <v>120649</v>
      </c>
      <c r="U1841" s="10">
        <v>3273</v>
      </c>
    </row>
    <row r="1842" spans="1:21" x14ac:dyDescent="0.35">
      <c r="A1842" t="s">
        <v>15</v>
      </c>
      <c r="B1842" t="s">
        <v>16</v>
      </c>
      <c r="C1842" t="s">
        <v>17</v>
      </c>
      <c r="D1842">
        <v>246994</v>
      </c>
      <c r="E1842">
        <v>21467</v>
      </c>
      <c r="F1842">
        <v>53060</v>
      </c>
      <c r="G1842">
        <v>-221699</v>
      </c>
      <c r="H1842">
        <v>99822</v>
      </c>
      <c r="I1842">
        <v>92788</v>
      </c>
      <c r="J1842">
        <v>1405</v>
      </c>
      <c r="K1842">
        <v>780279</v>
      </c>
      <c r="L1842">
        <v>340390</v>
      </c>
      <c r="M1842">
        <v>-252398</v>
      </c>
      <c r="N1842">
        <v>94071</v>
      </c>
      <c r="O1842" t="s">
        <v>1860</v>
      </c>
      <c r="P1842" s="9">
        <v>212718</v>
      </c>
      <c r="Q1842" s="9">
        <v>39258</v>
      </c>
      <c r="R1842" s="9">
        <v>251976</v>
      </c>
      <c r="S1842" s="9">
        <v>-134304</v>
      </c>
      <c r="T1842" s="10">
        <v>92515</v>
      </c>
      <c r="U1842" s="10">
        <v>1011</v>
      </c>
    </row>
    <row r="1843" spans="1:21" x14ac:dyDescent="0.35">
      <c r="A1843" t="s">
        <v>15</v>
      </c>
      <c r="B1843" t="s">
        <v>20</v>
      </c>
      <c r="C1843" t="s">
        <v>21</v>
      </c>
      <c r="D1843">
        <v>163202</v>
      </c>
      <c r="E1843">
        <v>18425</v>
      </c>
      <c r="F1843">
        <v>19897</v>
      </c>
      <c r="G1843">
        <v>-133704</v>
      </c>
      <c r="H1843">
        <v>67820</v>
      </c>
      <c r="I1843">
        <v>67972</v>
      </c>
      <c r="J1843">
        <v>1629</v>
      </c>
      <c r="K1843">
        <v>386674</v>
      </c>
      <c r="L1843">
        <v>44876</v>
      </c>
      <c r="M1843">
        <v>-77855</v>
      </c>
      <c r="N1843">
        <v>118725</v>
      </c>
      <c r="O1843" t="s">
        <v>1861</v>
      </c>
      <c r="P1843" s="9">
        <v>170754</v>
      </c>
      <c r="Q1843" s="9">
        <v>25268</v>
      </c>
      <c r="R1843" s="9">
        <v>196022</v>
      </c>
      <c r="S1843" s="9">
        <v>-65769</v>
      </c>
      <c r="T1843" s="10">
        <v>61953</v>
      </c>
      <c r="U1843" s="10">
        <v>1765</v>
      </c>
    </row>
    <row r="1844" spans="1:21" x14ac:dyDescent="0.35">
      <c r="A1844" t="s">
        <v>15</v>
      </c>
      <c r="B1844" t="s">
        <v>16</v>
      </c>
      <c r="C1844" t="s">
        <v>21</v>
      </c>
      <c r="D1844">
        <v>212955</v>
      </c>
      <c r="E1844">
        <v>25821</v>
      </c>
      <c r="F1844">
        <v>31664</v>
      </c>
      <c r="G1844">
        <v>-174213</v>
      </c>
      <c r="H1844">
        <v>96227</v>
      </c>
      <c r="I1844">
        <v>96860</v>
      </c>
      <c r="J1844">
        <v>2572</v>
      </c>
      <c r="K1844">
        <v>670683</v>
      </c>
      <c r="L1844">
        <v>199560</v>
      </c>
      <c r="M1844">
        <v>-178276</v>
      </c>
      <c r="N1844">
        <v>102999</v>
      </c>
      <c r="O1844" t="s">
        <v>1862</v>
      </c>
      <c r="P1844" s="9">
        <v>177110</v>
      </c>
      <c r="Q1844" s="9">
        <v>11204</v>
      </c>
      <c r="R1844" s="9">
        <v>188314</v>
      </c>
      <c r="S1844" s="9">
        <v>-84875</v>
      </c>
      <c r="T1844" s="10">
        <v>76210</v>
      </c>
      <c r="U1844" s="10">
        <v>843</v>
      </c>
    </row>
    <row r="1845" spans="1:21" x14ac:dyDescent="0.35">
      <c r="A1845" t="s">
        <v>15</v>
      </c>
      <c r="B1845" t="s">
        <v>16</v>
      </c>
      <c r="C1845" t="s">
        <v>21</v>
      </c>
      <c r="D1845">
        <v>156114</v>
      </c>
      <c r="E1845">
        <v>27566</v>
      </c>
      <c r="F1845">
        <v>28117</v>
      </c>
      <c r="G1845">
        <v>-150094</v>
      </c>
      <c r="H1845">
        <v>61703</v>
      </c>
      <c r="I1845">
        <v>57009</v>
      </c>
      <c r="J1845">
        <v>1202</v>
      </c>
      <c r="K1845">
        <v>382220</v>
      </c>
      <c r="L1845">
        <v>146671</v>
      </c>
      <c r="M1845">
        <v>-71273</v>
      </c>
      <c r="N1845">
        <v>92141</v>
      </c>
      <c r="O1845" t="s">
        <v>1863</v>
      </c>
      <c r="P1845" s="9">
        <v>252077</v>
      </c>
      <c r="Q1845" s="9">
        <v>22618</v>
      </c>
      <c r="R1845" s="9">
        <v>274695</v>
      </c>
      <c r="S1845" s="9">
        <v>-116638</v>
      </c>
      <c r="T1845" s="10">
        <v>97833</v>
      </c>
      <c r="U1845" s="10">
        <v>1289</v>
      </c>
    </row>
    <row r="1846" spans="1:21" x14ac:dyDescent="0.35">
      <c r="A1846" t="s">
        <v>15</v>
      </c>
      <c r="B1846" t="s">
        <v>16</v>
      </c>
      <c r="C1846" t="s">
        <v>21</v>
      </c>
      <c r="D1846">
        <v>160328</v>
      </c>
      <c r="E1846">
        <v>12295</v>
      </c>
      <c r="F1846">
        <v>17801</v>
      </c>
      <c r="G1846">
        <v>-140844</v>
      </c>
      <c r="H1846">
        <v>49580</v>
      </c>
      <c r="I1846">
        <v>45235</v>
      </c>
      <c r="J1846">
        <v>477</v>
      </c>
      <c r="K1846">
        <v>432358</v>
      </c>
      <c r="L1846">
        <v>189723</v>
      </c>
      <c r="M1846">
        <v>-109850</v>
      </c>
      <c r="N1846">
        <v>95452</v>
      </c>
      <c r="O1846" t="s">
        <v>1864</v>
      </c>
      <c r="P1846" s="9">
        <v>148829</v>
      </c>
      <c r="Q1846" s="9">
        <v>19594</v>
      </c>
      <c r="R1846" s="9">
        <v>168423</v>
      </c>
      <c r="S1846" s="9">
        <v>-84420</v>
      </c>
      <c r="T1846" s="10">
        <v>60292</v>
      </c>
      <c r="U1846" s="10">
        <v>1725</v>
      </c>
    </row>
    <row r="1847" spans="1:21" x14ac:dyDescent="0.35">
      <c r="A1847" t="s">
        <v>15</v>
      </c>
      <c r="B1847" t="s">
        <v>16</v>
      </c>
      <c r="C1847" t="s">
        <v>17</v>
      </c>
      <c r="D1847">
        <v>251882</v>
      </c>
      <c r="E1847">
        <v>36090</v>
      </c>
      <c r="F1847">
        <v>51585</v>
      </c>
      <c r="G1847">
        <v>-246759</v>
      </c>
      <c r="H1847">
        <v>92798</v>
      </c>
      <c r="I1847">
        <v>88438</v>
      </c>
      <c r="J1847">
        <v>1756</v>
      </c>
      <c r="K1847">
        <v>766525</v>
      </c>
      <c r="L1847">
        <v>204700</v>
      </c>
      <c r="M1847">
        <v>-115264</v>
      </c>
      <c r="N1847">
        <v>198462</v>
      </c>
      <c r="O1847" t="s">
        <v>1865</v>
      </c>
      <c r="P1847" s="9">
        <v>230510</v>
      </c>
      <c r="Q1847" s="9">
        <v>23234</v>
      </c>
      <c r="R1847" s="9">
        <v>253744</v>
      </c>
      <c r="S1847" s="9">
        <v>-67411</v>
      </c>
      <c r="T1847" s="10">
        <v>79391</v>
      </c>
      <c r="U1847" s="10">
        <v>2295</v>
      </c>
    </row>
    <row r="1848" spans="1:21" x14ac:dyDescent="0.35">
      <c r="A1848" t="s">
        <v>15</v>
      </c>
      <c r="B1848" t="s">
        <v>16</v>
      </c>
      <c r="C1848" t="s">
        <v>21</v>
      </c>
      <c r="D1848">
        <v>227034</v>
      </c>
      <c r="E1848">
        <v>40947</v>
      </c>
      <c r="F1848">
        <v>30165</v>
      </c>
      <c r="G1848">
        <v>-202172</v>
      </c>
      <c r="H1848">
        <v>95974</v>
      </c>
      <c r="I1848">
        <v>94122</v>
      </c>
      <c r="J1848">
        <v>2479</v>
      </c>
      <c r="K1848">
        <v>733406</v>
      </c>
      <c r="L1848">
        <v>343326</v>
      </c>
      <c r="M1848">
        <v>-128625</v>
      </c>
      <c r="N1848">
        <v>140309</v>
      </c>
      <c r="O1848" t="s">
        <v>1866</v>
      </c>
      <c r="P1848" s="9">
        <v>250666</v>
      </c>
      <c r="Q1848" s="9">
        <v>47285</v>
      </c>
      <c r="R1848" s="9">
        <v>297951</v>
      </c>
      <c r="S1848" s="9">
        <v>-72923</v>
      </c>
      <c r="T1848" s="10">
        <v>116753</v>
      </c>
      <c r="U1848" s="10">
        <v>1221</v>
      </c>
    </row>
    <row r="1849" spans="1:21" x14ac:dyDescent="0.35">
      <c r="A1849" t="s">
        <v>15</v>
      </c>
      <c r="B1849" t="s">
        <v>20</v>
      </c>
      <c r="C1849" t="s">
        <v>21</v>
      </c>
      <c r="D1849">
        <v>175484</v>
      </c>
      <c r="E1849">
        <v>22416</v>
      </c>
      <c r="F1849">
        <v>19264</v>
      </c>
      <c r="G1849">
        <v>-166125</v>
      </c>
      <c r="H1849">
        <v>51039</v>
      </c>
      <c r="I1849">
        <v>49763</v>
      </c>
      <c r="J1849">
        <v>1349</v>
      </c>
      <c r="K1849">
        <v>400177</v>
      </c>
      <c r="L1849">
        <v>115491</v>
      </c>
      <c r="M1849">
        <v>-58016</v>
      </c>
      <c r="N1849">
        <v>69379</v>
      </c>
      <c r="O1849" t="s">
        <v>1867</v>
      </c>
      <c r="P1849" s="9">
        <v>252054</v>
      </c>
      <c r="Q1849" s="9">
        <v>46041</v>
      </c>
      <c r="R1849" s="9">
        <v>298095</v>
      </c>
      <c r="S1849" s="9">
        <v>-139113</v>
      </c>
      <c r="T1849" s="10">
        <v>83245</v>
      </c>
      <c r="U1849" s="10">
        <v>1825</v>
      </c>
    </row>
    <row r="1850" spans="1:21" x14ac:dyDescent="0.35">
      <c r="A1850" t="s">
        <v>15</v>
      </c>
      <c r="B1850" t="s">
        <v>20</v>
      </c>
      <c r="C1850" t="s">
        <v>21</v>
      </c>
      <c r="D1850">
        <v>176516</v>
      </c>
      <c r="E1850">
        <v>29623</v>
      </c>
      <c r="F1850">
        <v>33181</v>
      </c>
      <c r="G1850">
        <v>-161263</v>
      </c>
      <c r="H1850">
        <v>78057</v>
      </c>
      <c r="I1850">
        <v>78639</v>
      </c>
      <c r="J1850">
        <v>1922</v>
      </c>
      <c r="K1850">
        <v>650193</v>
      </c>
      <c r="L1850">
        <v>105011</v>
      </c>
      <c r="M1850">
        <v>-87513</v>
      </c>
      <c r="N1850">
        <v>81245</v>
      </c>
      <c r="O1850" t="s">
        <v>1868</v>
      </c>
      <c r="P1850" s="9">
        <v>179339</v>
      </c>
      <c r="Q1850" s="9">
        <v>12681</v>
      </c>
      <c r="R1850" s="9">
        <v>192020</v>
      </c>
      <c r="S1850" s="9">
        <v>-38473</v>
      </c>
      <c r="T1850" s="10">
        <v>61977</v>
      </c>
      <c r="U1850" s="10">
        <v>1513</v>
      </c>
    </row>
    <row r="1851" spans="1:21" x14ac:dyDescent="0.35">
      <c r="A1851" t="s">
        <v>15</v>
      </c>
      <c r="B1851" t="s">
        <v>20</v>
      </c>
      <c r="C1851" t="s">
        <v>21</v>
      </c>
      <c r="D1851">
        <v>216443</v>
      </c>
      <c r="E1851">
        <v>15740</v>
      </c>
      <c r="F1851">
        <v>52588</v>
      </c>
      <c r="G1851">
        <v>-202505</v>
      </c>
      <c r="H1851">
        <v>82266</v>
      </c>
      <c r="I1851">
        <v>81078</v>
      </c>
      <c r="J1851">
        <v>1955</v>
      </c>
      <c r="K1851">
        <v>524215</v>
      </c>
      <c r="L1851">
        <v>184064</v>
      </c>
      <c r="M1851">
        <v>-169170</v>
      </c>
      <c r="N1851">
        <v>91035</v>
      </c>
      <c r="O1851" t="s">
        <v>1869</v>
      </c>
      <c r="P1851" s="9">
        <v>264100</v>
      </c>
      <c r="Q1851" s="9">
        <v>42530</v>
      </c>
      <c r="R1851" s="9">
        <v>306630</v>
      </c>
      <c r="S1851" s="9">
        <v>-128372</v>
      </c>
      <c r="T1851" s="10">
        <v>86126</v>
      </c>
      <c r="U1851" s="10">
        <v>1124</v>
      </c>
    </row>
    <row r="1852" spans="1:21" x14ac:dyDescent="0.35">
      <c r="A1852" t="s">
        <v>15</v>
      </c>
      <c r="B1852" t="s">
        <v>16</v>
      </c>
      <c r="C1852" t="s">
        <v>17</v>
      </c>
      <c r="D1852">
        <v>192778</v>
      </c>
      <c r="E1852">
        <v>17009</v>
      </c>
      <c r="F1852">
        <v>43199</v>
      </c>
      <c r="G1852">
        <v>-170453</v>
      </c>
      <c r="H1852">
        <v>82533</v>
      </c>
      <c r="I1852">
        <v>81961</v>
      </c>
      <c r="J1852">
        <v>1349</v>
      </c>
      <c r="K1852">
        <v>651242</v>
      </c>
      <c r="L1852">
        <v>232641</v>
      </c>
      <c r="M1852">
        <v>-189014</v>
      </c>
      <c r="N1852">
        <v>64545</v>
      </c>
      <c r="O1852" t="s">
        <v>1870</v>
      </c>
      <c r="P1852" s="9">
        <v>242692</v>
      </c>
      <c r="Q1852" s="9">
        <v>25245</v>
      </c>
      <c r="R1852" s="9">
        <v>267937</v>
      </c>
      <c r="S1852" s="9">
        <v>-98463</v>
      </c>
      <c r="T1852" s="10">
        <v>117606</v>
      </c>
      <c r="U1852" s="10">
        <v>1326</v>
      </c>
    </row>
    <row r="1853" spans="1:21" x14ac:dyDescent="0.35">
      <c r="A1853" t="s">
        <v>15</v>
      </c>
      <c r="B1853" t="s">
        <v>16</v>
      </c>
      <c r="C1853" t="s">
        <v>17</v>
      </c>
      <c r="D1853">
        <v>211169</v>
      </c>
      <c r="E1853">
        <v>13133</v>
      </c>
      <c r="F1853">
        <v>27165</v>
      </c>
      <c r="G1853">
        <v>-201021</v>
      </c>
      <c r="H1853">
        <v>50446</v>
      </c>
      <c r="I1853">
        <v>46913</v>
      </c>
      <c r="J1853">
        <v>711</v>
      </c>
      <c r="K1853">
        <v>835131</v>
      </c>
      <c r="L1853">
        <v>102442</v>
      </c>
      <c r="M1853">
        <v>-317852</v>
      </c>
      <c r="N1853">
        <v>76203</v>
      </c>
      <c r="O1853" t="s">
        <v>1871</v>
      </c>
      <c r="P1853" s="9">
        <v>205391</v>
      </c>
      <c r="Q1853" s="9">
        <v>15214</v>
      </c>
      <c r="R1853" s="9">
        <v>220605</v>
      </c>
      <c r="S1853" s="9">
        <v>-63510</v>
      </c>
      <c r="T1853" s="10">
        <v>67583</v>
      </c>
      <c r="U1853" s="10">
        <v>832</v>
      </c>
    </row>
    <row r="1854" spans="1:21" x14ac:dyDescent="0.35">
      <c r="A1854" t="s">
        <v>15</v>
      </c>
      <c r="B1854" t="s">
        <v>16</v>
      </c>
      <c r="C1854" t="s">
        <v>21</v>
      </c>
      <c r="D1854">
        <v>237689</v>
      </c>
      <c r="E1854">
        <v>27848</v>
      </c>
      <c r="F1854">
        <v>38951</v>
      </c>
      <c r="G1854">
        <v>-209753</v>
      </c>
      <c r="H1854">
        <v>94735</v>
      </c>
      <c r="I1854">
        <v>91800</v>
      </c>
      <c r="J1854">
        <v>1434</v>
      </c>
      <c r="K1854">
        <v>688657</v>
      </c>
      <c r="L1854">
        <v>210635</v>
      </c>
      <c r="M1854">
        <v>-147976</v>
      </c>
      <c r="N1854">
        <v>166447</v>
      </c>
      <c r="O1854" t="s">
        <v>1872</v>
      </c>
      <c r="P1854" s="9">
        <v>180805</v>
      </c>
      <c r="Q1854" s="9">
        <v>17636</v>
      </c>
      <c r="R1854" s="9">
        <v>198441</v>
      </c>
      <c r="S1854" s="9">
        <v>-84674</v>
      </c>
      <c r="T1854" s="10">
        <v>61683</v>
      </c>
      <c r="U1854" s="10">
        <v>792</v>
      </c>
    </row>
    <row r="1855" spans="1:21" x14ac:dyDescent="0.35">
      <c r="A1855" t="s">
        <v>15</v>
      </c>
      <c r="B1855" t="s">
        <v>16</v>
      </c>
      <c r="C1855" t="s">
        <v>21</v>
      </c>
      <c r="D1855">
        <v>227168</v>
      </c>
      <c r="E1855">
        <v>17465</v>
      </c>
      <c r="F1855">
        <v>42345</v>
      </c>
      <c r="G1855">
        <v>-226499</v>
      </c>
      <c r="H1855">
        <v>60479</v>
      </c>
      <c r="I1855">
        <v>57837</v>
      </c>
      <c r="J1855">
        <v>720</v>
      </c>
      <c r="K1855">
        <v>837373</v>
      </c>
      <c r="L1855">
        <v>330731</v>
      </c>
      <c r="M1855">
        <v>-227373</v>
      </c>
      <c r="N1855">
        <v>101731</v>
      </c>
      <c r="O1855" t="s">
        <v>1873</v>
      </c>
      <c r="P1855" s="9">
        <v>218597</v>
      </c>
      <c r="Q1855" s="9">
        <v>19334</v>
      </c>
      <c r="R1855" s="9">
        <v>237931</v>
      </c>
      <c r="S1855" s="9">
        <v>-99992</v>
      </c>
      <c r="T1855" s="10">
        <v>81230</v>
      </c>
      <c r="U1855" s="10">
        <v>2300</v>
      </c>
    </row>
    <row r="1856" spans="1:21" x14ac:dyDescent="0.35">
      <c r="A1856" t="s">
        <v>15</v>
      </c>
      <c r="B1856" t="s">
        <v>20</v>
      </c>
      <c r="C1856" t="s">
        <v>21</v>
      </c>
      <c r="D1856">
        <v>269739</v>
      </c>
      <c r="E1856">
        <v>37992</v>
      </c>
      <c r="F1856">
        <v>49547</v>
      </c>
      <c r="G1856">
        <v>-230757</v>
      </c>
      <c r="H1856">
        <v>126521</v>
      </c>
      <c r="I1856">
        <v>119442</v>
      </c>
      <c r="J1856">
        <v>1745</v>
      </c>
      <c r="K1856">
        <v>1003137</v>
      </c>
      <c r="L1856">
        <v>163625</v>
      </c>
      <c r="M1856">
        <v>-287169</v>
      </c>
      <c r="N1856">
        <v>217792</v>
      </c>
      <c r="O1856" t="s">
        <v>1874</v>
      </c>
      <c r="P1856" s="9">
        <v>150749</v>
      </c>
      <c r="Q1856" s="9">
        <v>16142</v>
      </c>
      <c r="R1856" s="9">
        <v>166891</v>
      </c>
      <c r="S1856" s="9">
        <v>-91952</v>
      </c>
      <c r="T1856" s="10">
        <v>72498</v>
      </c>
      <c r="U1856" s="10">
        <v>1487</v>
      </c>
    </row>
    <row r="1857" spans="1:21" x14ac:dyDescent="0.35">
      <c r="A1857" t="s">
        <v>15</v>
      </c>
      <c r="B1857" t="s">
        <v>16</v>
      </c>
      <c r="C1857" t="s">
        <v>21</v>
      </c>
      <c r="D1857">
        <v>234100</v>
      </c>
      <c r="E1857">
        <v>33407</v>
      </c>
      <c r="F1857">
        <v>48222</v>
      </c>
      <c r="G1857">
        <v>-221194</v>
      </c>
      <c r="H1857">
        <v>94535</v>
      </c>
      <c r="I1857">
        <v>85265</v>
      </c>
      <c r="J1857">
        <v>1123</v>
      </c>
      <c r="K1857">
        <v>534093</v>
      </c>
      <c r="L1857">
        <v>214574</v>
      </c>
      <c r="M1857">
        <v>-115567</v>
      </c>
      <c r="N1857">
        <v>177333</v>
      </c>
      <c r="O1857" t="s">
        <v>1875</v>
      </c>
      <c r="P1857" s="9">
        <v>184554</v>
      </c>
      <c r="Q1857" s="9">
        <v>23216</v>
      </c>
      <c r="R1857" s="9">
        <v>207770</v>
      </c>
      <c r="S1857" s="9">
        <v>-80790</v>
      </c>
      <c r="T1857" s="10">
        <v>69009</v>
      </c>
      <c r="U1857" s="10">
        <v>1156</v>
      </c>
    </row>
    <row r="1858" spans="1:21" x14ac:dyDescent="0.35">
      <c r="A1858" t="s">
        <v>15</v>
      </c>
      <c r="B1858" t="s">
        <v>16</v>
      </c>
      <c r="C1858" t="s">
        <v>21</v>
      </c>
      <c r="D1858">
        <v>151362</v>
      </c>
      <c r="E1858">
        <v>16815</v>
      </c>
      <c r="F1858">
        <v>19921</v>
      </c>
      <c r="G1858">
        <v>-137101</v>
      </c>
      <c r="H1858">
        <v>50997</v>
      </c>
      <c r="I1858">
        <v>51506</v>
      </c>
      <c r="J1858">
        <v>717</v>
      </c>
      <c r="K1858">
        <v>528365</v>
      </c>
      <c r="L1858">
        <v>241869</v>
      </c>
      <c r="M1858">
        <v>-95951</v>
      </c>
      <c r="N1858">
        <v>74271</v>
      </c>
      <c r="O1858" t="s">
        <v>1876</v>
      </c>
      <c r="P1858" s="9">
        <v>230396</v>
      </c>
      <c r="Q1858" s="9">
        <v>28744</v>
      </c>
      <c r="R1858" s="9">
        <v>259140</v>
      </c>
      <c r="S1858" s="9">
        <v>-95007</v>
      </c>
      <c r="T1858" s="10">
        <v>88908</v>
      </c>
      <c r="U1858" s="10">
        <v>2315</v>
      </c>
    </row>
    <row r="1859" spans="1:21" x14ac:dyDescent="0.35">
      <c r="A1859" t="s">
        <v>15</v>
      </c>
      <c r="B1859" t="s">
        <v>16</v>
      </c>
      <c r="C1859" t="s">
        <v>17</v>
      </c>
      <c r="D1859">
        <v>157990</v>
      </c>
      <c r="E1859">
        <v>30553</v>
      </c>
      <c r="F1859">
        <v>36167</v>
      </c>
      <c r="G1859">
        <v>-130361</v>
      </c>
      <c r="H1859">
        <v>94349</v>
      </c>
      <c r="I1859">
        <v>99042</v>
      </c>
      <c r="J1859">
        <v>1347</v>
      </c>
      <c r="K1859">
        <v>448896</v>
      </c>
      <c r="L1859">
        <v>71450</v>
      </c>
      <c r="M1859">
        <v>-105923</v>
      </c>
      <c r="N1859">
        <v>130554</v>
      </c>
      <c r="O1859" t="s">
        <v>1877</v>
      </c>
      <c r="P1859" s="9">
        <v>206036</v>
      </c>
      <c r="Q1859" s="9">
        <v>18307</v>
      </c>
      <c r="R1859" s="9">
        <v>224343</v>
      </c>
      <c r="S1859" s="9">
        <v>-58718</v>
      </c>
      <c r="T1859" s="10">
        <v>51231</v>
      </c>
      <c r="U1859" s="10">
        <v>941</v>
      </c>
    </row>
    <row r="1860" spans="1:21" x14ac:dyDescent="0.35">
      <c r="A1860" t="s">
        <v>15</v>
      </c>
      <c r="B1860" t="s">
        <v>16</v>
      </c>
      <c r="C1860" t="s">
        <v>21</v>
      </c>
      <c r="D1860">
        <v>264787</v>
      </c>
      <c r="E1860">
        <v>26227</v>
      </c>
      <c r="F1860">
        <v>32834</v>
      </c>
      <c r="G1860">
        <v>-220190</v>
      </c>
      <c r="H1860">
        <v>103658</v>
      </c>
      <c r="I1860">
        <v>107985</v>
      </c>
      <c r="J1860">
        <v>1297</v>
      </c>
      <c r="K1860">
        <v>576004</v>
      </c>
      <c r="L1860">
        <v>205924</v>
      </c>
      <c r="M1860">
        <v>-137915</v>
      </c>
      <c r="N1860">
        <v>107732</v>
      </c>
      <c r="O1860" t="s">
        <v>1878</v>
      </c>
      <c r="P1860" s="9">
        <v>179130</v>
      </c>
      <c r="Q1860" s="9">
        <v>16060</v>
      </c>
      <c r="R1860" s="9">
        <v>195190</v>
      </c>
      <c r="S1860" s="9">
        <v>-113226</v>
      </c>
      <c r="T1860" s="10">
        <v>70045</v>
      </c>
      <c r="U1860" s="10">
        <v>1217</v>
      </c>
    </row>
    <row r="1861" spans="1:21" x14ac:dyDescent="0.35">
      <c r="A1861" t="s">
        <v>15</v>
      </c>
      <c r="B1861" t="s">
        <v>16</v>
      </c>
      <c r="C1861" t="s">
        <v>21</v>
      </c>
      <c r="D1861">
        <v>163217</v>
      </c>
      <c r="E1861">
        <v>21044</v>
      </c>
      <c r="F1861">
        <v>32717</v>
      </c>
      <c r="G1861">
        <v>-153128</v>
      </c>
      <c r="H1861">
        <v>63850</v>
      </c>
      <c r="I1861">
        <v>62735</v>
      </c>
      <c r="J1861">
        <v>1366</v>
      </c>
      <c r="K1861">
        <v>565926</v>
      </c>
      <c r="L1861">
        <v>167758</v>
      </c>
      <c r="M1861">
        <v>-57815</v>
      </c>
      <c r="N1861">
        <v>51571</v>
      </c>
      <c r="O1861" t="s">
        <v>1879</v>
      </c>
      <c r="P1861" s="9">
        <v>292776</v>
      </c>
      <c r="Q1861" s="9">
        <v>46980</v>
      </c>
      <c r="R1861" s="9">
        <v>339756</v>
      </c>
      <c r="S1861" s="9">
        <v>-80282</v>
      </c>
      <c r="T1861" s="10">
        <v>144789</v>
      </c>
      <c r="U1861" s="10">
        <v>2786</v>
      </c>
    </row>
    <row r="1862" spans="1:21" x14ac:dyDescent="0.35">
      <c r="A1862" t="s">
        <v>15</v>
      </c>
      <c r="B1862" t="s">
        <v>16</v>
      </c>
      <c r="C1862" t="s">
        <v>21</v>
      </c>
      <c r="D1862">
        <v>167989</v>
      </c>
      <c r="E1862">
        <v>24884</v>
      </c>
      <c r="F1862">
        <v>37364</v>
      </c>
      <c r="G1862">
        <v>-149930</v>
      </c>
      <c r="H1862">
        <v>80307</v>
      </c>
      <c r="I1862">
        <v>83131</v>
      </c>
      <c r="J1862">
        <v>2069</v>
      </c>
      <c r="K1862">
        <v>388260</v>
      </c>
      <c r="L1862">
        <v>50499</v>
      </c>
      <c r="M1862">
        <v>-42153</v>
      </c>
      <c r="N1862">
        <v>145111</v>
      </c>
      <c r="O1862" t="s">
        <v>1880</v>
      </c>
      <c r="P1862" s="9">
        <v>225470</v>
      </c>
      <c r="Q1862" s="9">
        <v>38000</v>
      </c>
      <c r="R1862" s="9">
        <v>263470</v>
      </c>
      <c r="S1862" s="9">
        <v>-157691</v>
      </c>
      <c r="T1862" s="10">
        <v>93640</v>
      </c>
      <c r="U1862" s="10">
        <v>1461</v>
      </c>
    </row>
    <row r="1863" spans="1:21" x14ac:dyDescent="0.35">
      <c r="A1863" t="s">
        <v>15</v>
      </c>
      <c r="B1863" t="s">
        <v>16</v>
      </c>
      <c r="C1863" t="s">
        <v>21</v>
      </c>
      <c r="D1863">
        <v>232743</v>
      </c>
      <c r="E1863">
        <v>20401</v>
      </c>
      <c r="F1863">
        <v>50106</v>
      </c>
      <c r="G1863">
        <v>-224535</v>
      </c>
      <c r="H1863">
        <v>78715</v>
      </c>
      <c r="I1863">
        <v>71975</v>
      </c>
      <c r="J1863">
        <v>2058</v>
      </c>
      <c r="K1863">
        <v>830202</v>
      </c>
      <c r="L1863">
        <v>237423</v>
      </c>
      <c r="M1863">
        <v>-271728</v>
      </c>
      <c r="N1863">
        <v>207249</v>
      </c>
      <c r="O1863" t="s">
        <v>1881</v>
      </c>
      <c r="P1863" s="9">
        <v>240641</v>
      </c>
      <c r="Q1863" s="9">
        <v>25302</v>
      </c>
      <c r="R1863" s="9">
        <v>265943</v>
      </c>
      <c r="S1863" s="9">
        <v>-113054</v>
      </c>
      <c r="T1863" s="10">
        <v>86831</v>
      </c>
      <c r="U1863" s="10">
        <v>1678</v>
      </c>
    </row>
    <row r="1864" spans="1:21" x14ac:dyDescent="0.35">
      <c r="A1864" t="s">
        <v>15</v>
      </c>
      <c r="B1864" t="s">
        <v>16</v>
      </c>
      <c r="C1864" t="s">
        <v>21</v>
      </c>
      <c r="D1864">
        <v>271452</v>
      </c>
      <c r="E1864">
        <v>24045</v>
      </c>
      <c r="F1864">
        <v>46481</v>
      </c>
      <c r="G1864">
        <v>-223739</v>
      </c>
      <c r="H1864">
        <v>118239</v>
      </c>
      <c r="I1864">
        <v>120060</v>
      </c>
      <c r="J1864">
        <v>2497</v>
      </c>
      <c r="K1864">
        <v>805745</v>
      </c>
      <c r="L1864">
        <v>102675</v>
      </c>
      <c r="M1864">
        <v>-154927</v>
      </c>
      <c r="N1864">
        <v>203981</v>
      </c>
      <c r="O1864" t="s">
        <v>1882</v>
      </c>
      <c r="P1864" s="9">
        <v>201200</v>
      </c>
      <c r="Q1864" s="9">
        <v>43128</v>
      </c>
      <c r="R1864" s="9">
        <v>244328</v>
      </c>
      <c r="S1864" s="9">
        <v>-61445</v>
      </c>
      <c r="T1864" s="10">
        <v>118143</v>
      </c>
      <c r="U1864" s="10">
        <v>2908</v>
      </c>
    </row>
    <row r="1865" spans="1:21" x14ac:dyDescent="0.35">
      <c r="A1865" t="s">
        <v>15</v>
      </c>
      <c r="B1865" t="s">
        <v>16</v>
      </c>
      <c r="C1865" t="s">
        <v>21</v>
      </c>
      <c r="D1865">
        <v>251914</v>
      </c>
      <c r="E1865">
        <v>49730</v>
      </c>
      <c r="F1865">
        <v>40221</v>
      </c>
      <c r="G1865">
        <v>-220255</v>
      </c>
      <c r="H1865">
        <v>121610</v>
      </c>
      <c r="I1865">
        <v>120789</v>
      </c>
      <c r="J1865">
        <v>1371</v>
      </c>
      <c r="K1865">
        <v>900421</v>
      </c>
      <c r="L1865">
        <v>184856</v>
      </c>
      <c r="M1865">
        <v>-118910</v>
      </c>
      <c r="N1865">
        <v>214457</v>
      </c>
      <c r="O1865" t="s">
        <v>1883</v>
      </c>
      <c r="P1865" s="9">
        <v>211691</v>
      </c>
      <c r="Q1865" s="9">
        <v>19979</v>
      </c>
      <c r="R1865" s="9">
        <v>231670</v>
      </c>
      <c r="S1865" s="9">
        <v>-80012</v>
      </c>
      <c r="T1865" s="10">
        <v>82335</v>
      </c>
      <c r="U1865" s="10">
        <v>1913</v>
      </c>
    </row>
    <row r="1866" spans="1:21" x14ac:dyDescent="0.35">
      <c r="A1866" t="s">
        <v>15</v>
      </c>
      <c r="B1866" t="s">
        <v>20</v>
      </c>
      <c r="C1866" t="s">
        <v>17</v>
      </c>
      <c r="D1866">
        <v>234459</v>
      </c>
      <c r="E1866">
        <v>45143</v>
      </c>
      <c r="F1866">
        <v>56294</v>
      </c>
      <c r="G1866">
        <v>-195953</v>
      </c>
      <c r="H1866">
        <v>139943</v>
      </c>
      <c r="I1866">
        <v>134682</v>
      </c>
      <c r="J1866">
        <v>2705</v>
      </c>
      <c r="K1866">
        <v>707050</v>
      </c>
      <c r="L1866">
        <v>232727</v>
      </c>
      <c r="M1866">
        <v>-137466</v>
      </c>
      <c r="N1866">
        <v>168712</v>
      </c>
      <c r="O1866" t="s">
        <v>1884</v>
      </c>
      <c r="P1866" s="9">
        <v>173767</v>
      </c>
      <c r="Q1866" s="9">
        <v>13465</v>
      </c>
      <c r="R1866" s="9">
        <v>187232</v>
      </c>
      <c r="S1866" s="9">
        <v>-108345</v>
      </c>
      <c r="T1866" s="10">
        <v>73326</v>
      </c>
      <c r="U1866" s="10">
        <v>1147</v>
      </c>
    </row>
    <row r="1867" spans="1:21" x14ac:dyDescent="0.35">
      <c r="A1867" t="s">
        <v>15</v>
      </c>
      <c r="B1867" t="s">
        <v>20</v>
      </c>
      <c r="C1867" t="s">
        <v>21</v>
      </c>
      <c r="D1867">
        <v>291603</v>
      </c>
      <c r="E1867">
        <v>17789</v>
      </c>
      <c r="F1867">
        <v>36886</v>
      </c>
      <c r="G1867">
        <v>-233810</v>
      </c>
      <c r="H1867">
        <v>112468</v>
      </c>
      <c r="I1867">
        <v>107400</v>
      </c>
      <c r="J1867">
        <v>1080</v>
      </c>
      <c r="K1867">
        <v>630674</v>
      </c>
      <c r="L1867">
        <v>239703</v>
      </c>
      <c r="M1867">
        <v>-232379</v>
      </c>
      <c r="N1867">
        <v>139640</v>
      </c>
      <c r="O1867" t="s">
        <v>1885</v>
      </c>
      <c r="P1867" s="9">
        <v>204743</v>
      </c>
      <c r="Q1867" s="9">
        <v>34871</v>
      </c>
      <c r="R1867" s="9">
        <v>239614</v>
      </c>
      <c r="S1867" s="9">
        <v>-130352</v>
      </c>
      <c r="T1867" s="10">
        <v>78137</v>
      </c>
      <c r="U1867" s="10">
        <v>954</v>
      </c>
    </row>
    <row r="1868" spans="1:21" x14ac:dyDescent="0.35">
      <c r="A1868" t="s">
        <v>15</v>
      </c>
      <c r="B1868" t="s">
        <v>16</v>
      </c>
      <c r="C1868" t="s">
        <v>21</v>
      </c>
      <c r="D1868">
        <v>204028</v>
      </c>
      <c r="E1868">
        <v>14837</v>
      </c>
      <c r="F1868">
        <v>34407</v>
      </c>
      <c r="G1868">
        <v>-194390</v>
      </c>
      <c r="H1868">
        <v>58882</v>
      </c>
      <c r="I1868">
        <v>59163</v>
      </c>
      <c r="J1868">
        <v>797</v>
      </c>
      <c r="K1868">
        <v>622899</v>
      </c>
      <c r="L1868">
        <v>198532</v>
      </c>
      <c r="M1868">
        <v>-69775</v>
      </c>
      <c r="N1868">
        <v>95918</v>
      </c>
      <c r="O1868" t="s">
        <v>1886</v>
      </c>
      <c r="P1868" s="9">
        <v>215830</v>
      </c>
      <c r="Q1868" s="9">
        <v>19986</v>
      </c>
      <c r="R1868" s="9">
        <v>235816</v>
      </c>
      <c r="S1868" s="9">
        <v>-119592</v>
      </c>
      <c r="T1868" s="10">
        <v>99702</v>
      </c>
      <c r="U1868" s="10">
        <v>2979</v>
      </c>
    </row>
    <row r="1869" spans="1:21" x14ac:dyDescent="0.35">
      <c r="A1869" t="s">
        <v>15</v>
      </c>
      <c r="B1869" t="s">
        <v>16</v>
      </c>
      <c r="C1869" t="s">
        <v>17</v>
      </c>
      <c r="D1869">
        <v>237817</v>
      </c>
      <c r="E1869">
        <v>35405</v>
      </c>
      <c r="F1869">
        <v>38954</v>
      </c>
      <c r="G1869">
        <v>-205192</v>
      </c>
      <c r="H1869">
        <v>106984</v>
      </c>
      <c r="I1869">
        <v>103839</v>
      </c>
      <c r="J1869">
        <v>1644</v>
      </c>
      <c r="K1869">
        <v>836323</v>
      </c>
      <c r="L1869">
        <v>125145</v>
      </c>
      <c r="M1869">
        <v>-276799</v>
      </c>
      <c r="N1869">
        <v>74384</v>
      </c>
      <c r="O1869" t="s">
        <v>1887</v>
      </c>
      <c r="P1869" s="9">
        <v>180913</v>
      </c>
      <c r="Q1869" s="9">
        <v>14705</v>
      </c>
      <c r="R1869" s="9">
        <v>195618</v>
      </c>
      <c r="S1869" s="9">
        <v>-59700</v>
      </c>
      <c r="T1869" s="10">
        <v>55386</v>
      </c>
      <c r="U1869" s="10">
        <v>1383</v>
      </c>
    </row>
    <row r="1870" spans="1:21" x14ac:dyDescent="0.35">
      <c r="A1870" t="s">
        <v>15</v>
      </c>
      <c r="B1870" t="s">
        <v>20</v>
      </c>
      <c r="C1870" t="s">
        <v>21</v>
      </c>
      <c r="D1870">
        <v>291151</v>
      </c>
      <c r="E1870">
        <v>22072</v>
      </c>
      <c r="F1870">
        <v>41253</v>
      </c>
      <c r="G1870">
        <v>-284790</v>
      </c>
      <c r="H1870">
        <v>69686</v>
      </c>
      <c r="I1870">
        <v>63836</v>
      </c>
      <c r="J1870">
        <v>1052</v>
      </c>
      <c r="K1870">
        <v>1108208</v>
      </c>
      <c r="L1870">
        <v>123240</v>
      </c>
      <c r="M1870">
        <v>-379201</v>
      </c>
      <c r="N1870">
        <v>175523</v>
      </c>
      <c r="O1870" t="s">
        <v>1888</v>
      </c>
      <c r="P1870" s="9">
        <v>225573</v>
      </c>
      <c r="Q1870" s="9">
        <v>14985</v>
      </c>
      <c r="R1870" s="9">
        <v>240558</v>
      </c>
      <c r="S1870" s="9">
        <v>-131062</v>
      </c>
      <c r="T1870" s="10">
        <v>45702</v>
      </c>
      <c r="U1870" s="10">
        <v>797</v>
      </c>
    </row>
    <row r="1871" spans="1:21" x14ac:dyDescent="0.35">
      <c r="A1871" t="s">
        <v>15</v>
      </c>
      <c r="B1871" t="s">
        <v>16</v>
      </c>
      <c r="C1871" t="s">
        <v>21</v>
      </c>
      <c r="D1871">
        <v>237946</v>
      </c>
      <c r="E1871">
        <v>17281</v>
      </c>
      <c r="F1871">
        <v>29631</v>
      </c>
      <c r="G1871">
        <v>-237551</v>
      </c>
      <c r="H1871">
        <v>47307</v>
      </c>
      <c r="I1871">
        <v>42726</v>
      </c>
      <c r="J1871">
        <v>861</v>
      </c>
      <c r="K1871">
        <v>831026</v>
      </c>
      <c r="L1871">
        <v>264578</v>
      </c>
      <c r="M1871">
        <v>-237296</v>
      </c>
      <c r="N1871">
        <v>159250</v>
      </c>
      <c r="O1871" t="s">
        <v>1889</v>
      </c>
      <c r="P1871" s="9">
        <v>197737</v>
      </c>
      <c r="Q1871" s="9">
        <v>32614</v>
      </c>
      <c r="R1871" s="9">
        <v>230351</v>
      </c>
      <c r="S1871" s="9">
        <v>-112360</v>
      </c>
      <c r="T1871" s="10">
        <v>80578</v>
      </c>
      <c r="U1871" s="10">
        <v>1658</v>
      </c>
    </row>
    <row r="1872" spans="1:21" x14ac:dyDescent="0.35">
      <c r="A1872" t="s">
        <v>15</v>
      </c>
      <c r="B1872" t="s">
        <v>20</v>
      </c>
      <c r="C1872" t="s">
        <v>21</v>
      </c>
      <c r="D1872">
        <v>277555</v>
      </c>
      <c r="E1872">
        <v>55103</v>
      </c>
      <c r="F1872">
        <v>59231</v>
      </c>
      <c r="G1872">
        <v>-276188</v>
      </c>
      <c r="H1872">
        <v>115701</v>
      </c>
      <c r="I1872">
        <v>109208</v>
      </c>
      <c r="J1872">
        <v>2260</v>
      </c>
      <c r="K1872">
        <v>1091796</v>
      </c>
      <c r="L1872">
        <v>194473</v>
      </c>
      <c r="M1872">
        <v>-347827</v>
      </c>
      <c r="N1872">
        <v>105461</v>
      </c>
      <c r="O1872" t="s">
        <v>1890</v>
      </c>
      <c r="P1872" s="9">
        <v>261128</v>
      </c>
      <c r="Q1872" s="9">
        <v>25491</v>
      </c>
      <c r="R1872" s="9">
        <v>286619</v>
      </c>
      <c r="S1872" s="9">
        <v>-155697</v>
      </c>
      <c r="T1872" s="10">
        <v>117513</v>
      </c>
      <c r="U1872" s="10">
        <v>1287</v>
      </c>
    </row>
    <row r="1873" spans="1:21" x14ac:dyDescent="0.35">
      <c r="A1873" t="s">
        <v>15</v>
      </c>
      <c r="B1873" t="s">
        <v>16</v>
      </c>
      <c r="C1873" t="s">
        <v>21</v>
      </c>
      <c r="D1873">
        <v>175686</v>
      </c>
      <c r="E1873">
        <v>21956</v>
      </c>
      <c r="F1873">
        <v>28267</v>
      </c>
      <c r="G1873">
        <v>-159184</v>
      </c>
      <c r="H1873">
        <v>66725</v>
      </c>
      <c r="I1873">
        <v>62482</v>
      </c>
      <c r="J1873">
        <v>1050</v>
      </c>
      <c r="K1873">
        <v>523467</v>
      </c>
      <c r="L1873">
        <v>171143</v>
      </c>
      <c r="M1873">
        <v>-152970</v>
      </c>
      <c r="N1873">
        <v>52979</v>
      </c>
      <c r="O1873" t="s">
        <v>1891</v>
      </c>
      <c r="P1873" s="9">
        <v>246343</v>
      </c>
      <c r="Q1873" s="9">
        <v>21559</v>
      </c>
      <c r="R1873" s="9">
        <v>267902</v>
      </c>
      <c r="S1873" s="9">
        <v>-94146</v>
      </c>
      <c r="T1873" s="10">
        <v>79239</v>
      </c>
      <c r="U1873" s="10">
        <v>1396</v>
      </c>
    </row>
    <row r="1874" spans="1:21" x14ac:dyDescent="0.35">
      <c r="A1874" t="s">
        <v>15</v>
      </c>
      <c r="B1874" t="s">
        <v>16</v>
      </c>
      <c r="C1874" t="s">
        <v>21</v>
      </c>
      <c r="D1874">
        <v>222675</v>
      </c>
      <c r="E1874">
        <v>18938</v>
      </c>
      <c r="F1874">
        <v>27848</v>
      </c>
      <c r="G1874">
        <v>-209242</v>
      </c>
      <c r="H1874">
        <v>60219</v>
      </c>
      <c r="I1874">
        <v>54869</v>
      </c>
      <c r="J1874">
        <v>569</v>
      </c>
      <c r="K1874">
        <v>492318</v>
      </c>
      <c r="L1874">
        <v>85824</v>
      </c>
      <c r="M1874">
        <v>-162506</v>
      </c>
      <c r="N1874">
        <v>178952</v>
      </c>
      <c r="O1874" t="s">
        <v>1892</v>
      </c>
      <c r="P1874" s="9">
        <v>226204</v>
      </c>
      <c r="Q1874" s="9">
        <v>20392</v>
      </c>
      <c r="R1874" s="9">
        <v>246596</v>
      </c>
      <c r="S1874" s="9">
        <v>-145296</v>
      </c>
      <c r="T1874" s="10">
        <v>97910</v>
      </c>
      <c r="U1874" s="10">
        <v>2138</v>
      </c>
    </row>
    <row r="1875" spans="1:21" x14ac:dyDescent="0.35">
      <c r="A1875" t="s">
        <v>15</v>
      </c>
      <c r="B1875" t="s">
        <v>16</v>
      </c>
      <c r="C1875" t="s">
        <v>17</v>
      </c>
      <c r="D1875">
        <v>279737</v>
      </c>
      <c r="E1875">
        <v>37189</v>
      </c>
      <c r="F1875">
        <v>46177</v>
      </c>
      <c r="G1875">
        <v>-260639</v>
      </c>
      <c r="H1875">
        <v>102464</v>
      </c>
      <c r="I1875">
        <v>102696</v>
      </c>
      <c r="J1875">
        <v>2704</v>
      </c>
      <c r="K1875">
        <v>797294</v>
      </c>
      <c r="L1875">
        <v>170816</v>
      </c>
      <c r="M1875">
        <v>-201710</v>
      </c>
      <c r="N1875">
        <v>203876</v>
      </c>
      <c r="O1875" t="s">
        <v>1893</v>
      </c>
      <c r="P1875" s="9">
        <v>162088</v>
      </c>
      <c r="Q1875" s="9">
        <v>23762</v>
      </c>
      <c r="R1875" s="9">
        <v>185850</v>
      </c>
      <c r="S1875" s="9">
        <v>-83182</v>
      </c>
      <c r="T1875" s="10">
        <v>67607</v>
      </c>
      <c r="U1875" s="10">
        <v>1931</v>
      </c>
    </row>
    <row r="1876" spans="1:21" x14ac:dyDescent="0.35">
      <c r="A1876" t="s">
        <v>15</v>
      </c>
      <c r="B1876" t="s">
        <v>20</v>
      </c>
      <c r="C1876" t="s">
        <v>17</v>
      </c>
      <c r="D1876">
        <v>180480</v>
      </c>
      <c r="E1876">
        <v>34200</v>
      </c>
      <c r="F1876">
        <v>21744</v>
      </c>
      <c r="G1876">
        <v>-150525</v>
      </c>
      <c r="H1876">
        <v>85899</v>
      </c>
      <c r="I1876">
        <v>88369</v>
      </c>
      <c r="J1876">
        <v>1127</v>
      </c>
      <c r="K1876">
        <v>720719</v>
      </c>
      <c r="L1876">
        <v>175843</v>
      </c>
      <c r="M1876">
        <v>-247817</v>
      </c>
      <c r="N1876">
        <v>84666</v>
      </c>
      <c r="O1876" t="s">
        <v>1894</v>
      </c>
      <c r="P1876" s="9">
        <v>152813</v>
      </c>
      <c r="Q1876" s="9">
        <v>26849</v>
      </c>
      <c r="R1876" s="9">
        <v>179662</v>
      </c>
      <c r="S1876" s="9">
        <v>-71575</v>
      </c>
      <c r="T1876" s="10">
        <v>85460</v>
      </c>
      <c r="U1876" s="10">
        <v>934</v>
      </c>
    </row>
    <row r="1877" spans="1:21" x14ac:dyDescent="0.35">
      <c r="A1877" t="s">
        <v>15</v>
      </c>
      <c r="B1877" t="s">
        <v>16</v>
      </c>
      <c r="C1877" t="s">
        <v>21</v>
      </c>
      <c r="D1877">
        <v>159316</v>
      </c>
      <c r="E1877">
        <v>14780</v>
      </c>
      <c r="F1877">
        <v>23718</v>
      </c>
      <c r="G1877">
        <v>-151636</v>
      </c>
      <c r="H1877">
        <v>46178</v>
      </c>
      <c r="I1877">
        <v>44523</v>
      </c>
      <c r="J1877">
        <v>588</v>
      </c>
      <c r="K1877">
        <v>524290</v>
      </c>
      <c r="L1877">
        <v>182050</v>
      </c>
      <c r="M1877">
        <v>-183273</v>
      </c>
      <c r="N1877">
        <v>47902</v>
      </c>
      <c r="O1877" t="s">
        <v>1895</v>
      </c>
      <c r="P1877" s="9">
        <v>282052</v>
      </c>
      <c r="Q1877" s="9">
        <v>17298</v>
      </c>
      <c r="R1877" s="9">
        <v>299350</v>
      </c>
      <c r="S1877" s="9">
        <v>-110572</v>
      </c>
      <c r="T1877" s="10">
        <v>76742</v>
      </c>
      <c r="U1877" s="10">
        <v>803</v>
      </c>
    </row>
    <row r="1878" spans="1:21" x14ac:dyDescent="0.35">
      <c r="A1878" t="s">
        <v>15</v>
      </c>
      <c r="B1878" t="s">
        <v>20</v>
      </c>
      <c r="C1878" t="s">
        <v>21</v>
      </c>
      <c r="D1878">
        <v>176754</v>
      </c>
      <c r="E1878">
        <v>30830</v>
      </c>
      <c r="F1878">
        <v>36116</v>
      </c>
      <c r="G1878">
        <v>-166643</v>
      </c>
      <c r="H1878">
        <v>77057</v>
      </c>
      <c r="I1878">
        <v>69636</v>
      </c>
      <c r="J1878">
        <v>2069</v>
      </c>
      <c r="K1878">
        <v>665366</v>
      </c>
      <c r="L1878">
        <v>137250</v>
      </c>
      <c r="M1878">
        <v>-180126</v>
      </c>
      <c r="N1878">
        <v>148127</v>
      </c>
      <c r="O1878" t="s">
        <v>1896</v>
      </c>
      <c r="P1878" s="9">
        <v>195823</v>
      </c>
      <c r="Q1878" s="9">
        <v>37781</v>
      </c>
      <c r="R1878" s="9">
        <v>233604</v>
      </c>
      <c r="S1878" s="9">
        <v>-53960</v>
      </c>
      <c r="T1878" s="10">
        <v>62463</v>
      </c>
      <c r="U1878" s="10">
        <v>965</v>
      </c>
    </row>
    <row r="1879" spans="1:21" x14ac:dyDescent="0.35">
      <c r="A1879" t="s">
        <v>15</v>
      </c>
      <c r="B1879" t="s">
        <v>20</v>
      </c>
      <c r="C1879" t="s">
        <v>21</v>
      </c>
      <c r="D1879">
        <v>198805</v>
      </c>
      <c r="E1879">
        <v>23351</v>
      </c>
      <c r="F1879">
        <v>41764</v>
      </c>
      <c r="G1879">
        <v>-187156</v>
      </c>
      <c r="H1879">
        <v>76764</v>
      </c>
      <c r="I1879">
        <v>72975</v>
      </c>
      <c r="J1879">
        <v>1487</v>
      </c>
      <c r="K1879">
        <v>429446</v>
      </c>
      <c r="L1879">
        <v>162944</v>
      </c>
      <c r="M1879">
        <v>-43075</v>
      </c>
      <c r="N1879">
        <v>151130</v>
      </c>
      <c r="O1879" t="s">
        <v>1897</v>
      </c>
      <c r="P1879" s="9">
        <v>271104</v>
      </c>
      <c r="Q1879" s="9">
        <v>23489</v>
      </c>
      <c r="R1879" s="9">
        <v>294593</v>
      </c>
      <c r="S1879" s="9">
        <v>-77697</v>
      </c>
      <c r="T1879" s="10">
        <v>77328</v>
      </c>
      <c r="U1879" s="10">
        <v>1750</v>
      </c>
    </row>
    <row r="1880" spans="1:21" x14ac:dyDescent="0.35">
      <c r="A1880" t="s">
        <v>15</v>
      </c>
      <c r="B1880" t="s">
        <v>20</v>
      </c>
      <c r="C1880" t="s">
        <v>17</v>
      </c>
      <c r="D1880">
        <v>270396</v>
      </c>
      <c r="E1880">
        <v>33481</v>
      </c>
      <c r="F1880">
        <v>43976</v>
      </c>
      <c r="G1880">
        <v>-261970</v>
      </c>
      <c r="H1880">
        <v>85883</v>
      </c>
      <c r="I1880">
        <v>83383</v>
      </c>
      <c r="J1880">
        <v>1215</v>
      </c>
      <c r="K1880">
        <v>684370</v>
      </c>
      <c r="L1880">
        <v>282111</v>
      </c>
      <c r="M1880">
        <v>-266866</v>
      </c>
      <c r="N1880">
        <v>132004</v>
      </c>
      <c r="O1880" t="s">
        <v>1898</v>
      </c>
      <c r="P1880" s="9">
        <v>281418</v>
      </c>
      <c r="Q1880" s="9">
        <v>20259</v>
      </c>
      <c r="R1880" s="9">
        <v>301677</v>
      </c>
      <c r="S1880" s="9">
        <v>-105332</v>
      </c>
      <c r="T1880" s="10">
        <v>88932</v>
      </c>
      <c r="U1880" s="10">
        <v>1951</v>
      </c>
    </row>
    <row r="1881" spans="1:21" x14ac:dyDescent="0.35">
      <c r="A1881" t="s">
        <v>15</v>
      </c>
      <c r="B1881" t="s">
        <v>20</v>
      </c>
      <c r="C1881" t="s">
        <v>17</v>
      </c>
      <c r="D1881">
        <v>158081</v>
      </c>
      <c r="E1881">
        <v>20008</v>
      </c>
      <c r="F1881">
        <v>22456</v>
      </c>
      <c r="G1881">
        <v>-147832</v>
      </c>
      <c r="H1881">
        <v>52713</v>
      </c>
      <c r="I1881">
        <v>54517</v>
      </c>
      <c r="J1881">
        <v>695</v>
      </c>
      <c r="K1881">
        <v>550394</v>
      </c>
      <c r="L1881">
        <v>250885</v>
      </c>
      <c r="M1881">
        <v>-101649</v>
      </c>
      <c r="N1881">
        <v>135558</v>
      </c>
      <c r="O1881" t="s">
        <v>1899</v>
      </c>
      <c r="P1881" s="9">
        <v>252635</v>
      </c>
      <c r="Q1881" s="9">
        <v>23801</v>
      </c>
      <c r="R1881" s="9">
        <v>276436</v>
      </c>
      <c r="S1881" s="9">
        <v>-165115</v>
      </c>
      <c r="T1881" s="10">
        <v>101325</v>
      </c>
      <c r="U1881" s="10">
        <v>2120</v>
      </c>
    </row>
    <row r="1882" spans="1:21" x14ac:dyDescent="0.35">
      <c r="A1882" t="s">
        <v>15</v>
      </c>
      <c r="B1882" t="s">
        <v>16</v>
      </c>
      <c r="C1882" t="s">
        <v>17</v>
      </c>
      <c r="D1882">
        <v>220002</v>
      </c>
      <c r="E1882">
        <v>17534</v>
      </c>
      <c r="F1882">
        <v>30353</v>
      </c>
      <c r="G1882">
        <v>-204147</v>
      </c>
      <c r="H1882">
        <v>63742</v>
      </c>
      <c r="I1882">
        <v>59664</v>
      </c>
      <c r="J1882">
        <v>1228</v>
      </c>
      <c r="K1882">
        <v>613693</v>
      </c>
      <c r="L1882">
        <v>153600</v>
      </c>
      <c r="M1882">
        <v>-188400</v>
      </c>
      <c r="N1882">
        <v>179078</v>
      </c>
      <c r="O1882" t="s">
        <v>1900</v>
      </c>
      <c r="P1882" s="9">
        <v>190401</v>
      </c>
      <c r="Q1882" s="9">
        <v>21768</v>
      </c>
      <c r="R1882" s="9">
        <v>212169</v>
      </c>
      <c r="S1882" s="9">
        <v>-106883</v>
      </c>
      <c r="T1882" s="10">
        <v>73212</v>
      </c>
      <c r="U1882" s="10">
        <v>872</v>
      </c>
    </row>
    <row r="1883" spans="1:21" x14ac:dyDescent="0.35">
      <c r="A1883" t="s">
        <v>15</v>
      </c>
      <c r="B1883" t="s">
        <v>16</v>
      </c>
      <c r="C1883" t="s">
        <v>21</v>
      </c>
      <c r="D1883">
        <v>199119</v>
      </c>
      <c r="E1883">
        <v>25822</v>
      </c>
      <c r="F1883">
        <v>47747</v>
      </c>
      <c r="G1883">
        <v>-171132</v>
      </c>
      <c r="H1883">
        <v>101556</v>
      </c>
      <c r="I1883">
        <v>95235</v>
      </c>
      <c r="J1883">
        <v>2397</v>
      </c>
      <c r="K1883">
        <v>602326</v>
      </c>
      <c r="L1883">
        <v>267645</v>
      </c>
      <c r="M1883">
        <v>-173019</v>
      </c>
      <c r="N1883">
        <v>77979</v>
      </c>
      <c r="O1883" t="s">
        <v>1901</v>
      </c>
      <c r="P1883" s="9">
        <v>236962</v>
      </c>
      <c r="Q1883" s="9">
        <v>46775</v>
      </c>
      <c r="R1883" s="9">
        <v>283737</v>
      </c>
      <c r="S1883" s="9">
        <v>-137578</v>
      </c>
      <c r="T1883" s="10">
        <v>125848</v>
      </c>
      <c r="U1883" s="10">
        <v>3696</v>
      </c>
    </row>
    <row r="1884" spans="1:21" x14ac:dyDescent="0.35">
      <c r="A1884" t="s">
        <v>15</v>
      </c>
      <c r="B1884" t="s">
        <v>16</v>
      </c>
      <c r="C1884" t="s">
        <v>21</v>
      </c>
      <c r="D1884">
        <v>292946</v>
      </c>
      <c r="E1884">
        <v>20687</v>
      </c>
      <c r="F1884">
        <v>49328</v>
      </c>
      <c r="G1884">
        <v>-291402</v>
      </c>
      <c r="H1884">
        <v>71559</v>
      </c>
      <c r="I1884">
        <v>74597</v>
      </c>
      <c r="J1884">
        <v>1169</v>
      </c>
      <c r="K1884">
        <v>1133730</v>
      </c>
      <c r="L1884">
        <v>359697</v>
      </c>
      <c r="M1884">
        <v>-397232</v>
      </c>
      <c r="N1884">
        <v>259776</v>
      </c>
      <c r="O1884" t="s">
        <v>1902</v>
      </c>
      <c r="P1884" s="9">
        <v>315063</v>
      </c>
      <c r="Q1884" s="9">
        <v>18964</v>
      </c>
      <c r="R1884" s="9">
        <v>334027</v>
      </c>
      <c r="S1884" s="9">
        <v>-134347</v>
      </c>
      <c r="T1884" s="10">
        <v>107961</v>
      </c>
      <c r="U1884" s="10">
        <v>1516</v>
      </c>
    </row>
    <row r="1885" spans="1:21" x14ac:dyDescent="0.35">
      <c r="A1885" t="s">
        <v>15</v>
      </c>
      <c r="B1885" t="s">
        <v>20</v>
      </c>
      <c r="C1885" t="s">
        <v>21</v>
      </c>
      <c r="D1885">
        <v>204337</v>
      </c>
      <c r="E1885">
        <v>26167</v>
      </c>
      <c r="F1885">
        <v>33730</v>
      </c>
      <c r="G1885">
        <v>-197355</v>
      </c>
      <c r="H1885">
        <v>66879</v>
      </c>
      <c r="I1885">
        <v>60264</v>
      </c>
      <c r="J1885">
        <v>1573</v>
      </c>
      <c r="K1885">
        <v>786816</v>
      </c>
      <c r="L1885">
        <v>103237</v>
      </c>
      <c r="M1885">
        <v>-269425</v>
      </c>
      <c r="N1885">
        <v>109000</v>
      </c>
      <c r="O1885" t="s">
        <v>1903</v>
      </c>
      <c r="P1885" s="9">
        <v>184732</v>
      </c>
      <c r="Q1885" s="9">
        <v>11358</v>
      </c>
      <c r="R1885" s="9">
        <v>196090</v>
      </c>
      <c r="S1885" s="9">
        <v>-50650</v>
      </c>
      <c r="T1885" s="10">
        <v>33375</v>
      </c>
      <c r="U1885" s="10">
        <v>481</v>
      </c>
    </row>
    <row r="1886" spans="1:21" x14ac:dyDescent="0.35">
      <c r="A1886" t="s">
        <v>15</v>
      </c>
      <c r="B1886" t="s">
        <v>16</v>
      </c>
      <c r="C1886" t="s">
        <v>17</v>
      </c>
      <c r="D1886">
        <v>250643</v>
      </c>
      <c r="E1886">
        <v>16344</v>
      </c>
      <c r="F1886">
        <v>40793</v>
      </c>
      <c r="G1886">
        <v>-206430</v>
      </c>
      <c r="H1886">
        <v>101350</v>
      </c>
      <c r="I1886">
        <v>98086</v>
      </c>
      <c r="J1886">
        <v>1399</v>
      </c>
      <c r="K1886">
        <v>694590</v>
      </c>
      <c r="L1886">
        <v>75659</v>
      </c>
      <c r="M1886">
        <v>-115798</v>
      </c>
      <c r="N1886">
        <v>220055</v>
      </c>
      <c r="O1886" t="s">
        <v>1904</v>
      </c>
      <c r="P1886" s="9">
        <v>295209</v>
      </c>
      <c r="Q1886" s="9">
        <v>25440</v>
      </c>
      <c r="R1886" s="9">
        <v>320649</v>
      </c>
      <c r="S1886" s="9">
        <v>-100891</v>
      </c>
      <c r="T1886" s="10">
        <v>63924</v>
      </c>
      <c r="U1886" s="10">
        <v>1873</v>
      </c>
    </row>
    <row r="1887" spans="1:21" x14ac:dyDescent="0.35">
      <c r="A1887" t="s">
        <v>15</v>
      </c>
      <c r="B1887" t="s">
        <v>20</v>
      </c>
      <c r="C1887" t="s">
        <v>21</v>
      </c>
      <c r="D1887">
        <v>209239</v>
      </c>
      <c r="E1887">
        <v>19964</v>
      </c>
      <c r="F1887">
        <v>42291</v>
      </c>
      <c r="G1887">
        <v>-186582</v>
      </c>
      <c r="H1887">
        <v>84912</v>
      </c>
      <c r="I1887">
        <v>80874</v>
      </c>
      <c r="J1887">
        <v>1263</v>
      </c>
      <c r="K1887">
        <v>629956</v>
      </c>
      <c r="L1887">
        <v>129123</v>
      </c>
      <c r="M1887">
        <v>-70594</v>
      </c>
      <c r="N1887">
        <v>186116</v>
      </c>
      <c r="O1887" t="s">
        <v>1905</v>
      </c>
      <c r="P1887" s="9">
        <v>196910</v>
      </c>
      <c r="Q1887" s="9">
        <v>23904</v>
      </c>
      <c r="R1887" s="9">
        <v>220814</v>
      </c>
      <c r="S1887" s="9">
        <v>-68804</v>
      </c>
      <c r="T1887" s="10">
        <v>68790</v>
      </c>
      <c r="U1887" s="10">
        <v>1209</v>
      </c>
    </row>
    <row r="1888" spans="1:21" x14ac:dyDescent="0.35">
      <c r="A1888" t="s">
        <v>15</v>
      </c>
      <c r="B1888" t="s">
        <v>16</v>
      </c>
      <c r="C1888" t="s">
        <v>17</v>
      </c>
      <c r="D1888">
        <v>189039</v>
      </c>
      <c r="E1888">
        <v>25403</v>
      </c>
      <c r="F1888">
        <v>21746</v>
      </c>
      <c r="G1888">
        <v>-162121</v>
      </c>
      <c r="H1888">
        <v>74067</v>
      </c>
      <c r="I1888">
        <v>69382</v>
      </c>
      <c r="J1888">
        <v>1727</v>
      </c>
      <c r="K1888">
        <v>452223</v>
      </c>
      <c r="L1888">
        <v>217734</v>
      </c>
      <c r="M1888">
        <v>-105149</v>
      </c>
      <c r="N1888">
        <v>143112</v>
      </c>
      <c r="O1888" t="s">
        <v>1906</v>
      </c>
      <c r="P1888" s="9">
        <v>160151</v>
      </c>
      <c r="Q1888" s="9">
        <v>24364</v>
      </c>
      <c r="R1888" s="9">
        <v>184515</v>
      </c>
      <c r="S1888" s="9">
        <v>-53748</v>
      </c>
      <c r="T1888" s="10">
        <v>56046</v>
      </c>
      <c r="U1888" s="10">
        <v>858</v>
      </c>
    </row>
    <row r="1889" spans="1:21" x14ac:dyDescent="0.35">
      <c r="A1889" t="s">
        <v>15</v>
      </c>
      <c r="B1889" t="s">
        <v>16</v>
      </c>
      <c r="C1889" t="s">
        <v>21</v>
      </c>
      <c r="D1889">
        <v>172596</v>
      </c>
      <c r="E1889">
        <v>13113</v>
      </c>
      <c r="F1889">
        <v>24258</v>
      </c>
      <c r="G1889">
        <v>-138453</v>
      </c>
      <c r="H1889">
        <v>71514</v>
      </c>
      <c r="I1889">
        <v>68533</v>
      </c>
      <c r="J1889">
        <v>815</v>
      </c>
      <c r="K1889">
        <v>457234</v>
      </c>
      <c r="L1889">
        <v>182987</v>
      </c>
      <c r="M1889">
        <v>-55563</v>
      </c>
      <c r="N1889">
        <v>68770</v>
      </c>
      <c r="O1889" t="s">
        <v>1907</v>
      </c>
      <c r="P1889" s="9">
        <v>210881</v>
      </c>
      <c r="Q1889" s="9">
        <v>31714</v>
      </c>
      <c r="R1889" s="9">
        <v>242595</v>
      </c>
      <c r="S1889" s="9">
        <v>-103986</v>
      </c>
      <c r="T1889" s="10">
        <v>105811</v>
      </c>
      <c r="U1889" s="10">
        <v>1954</v>
      </c>
    </row>
    <row r="1890" spans="1:21" x14ac:dyDescent="0.35">
      <c r="A1890" t="s">
        <v>15</v>
      </c>
      <c r="B1890" t="s">
        <v>16</v>
      </c>
      <c r="C1890" t="s">
        <v>17</v>
      </c>
      <c r="D1890">
        <v>261301</v>
      </c>
      <c r="E1890">
        <v>48771</v>
      </c>
      <c r="F1890">
        <v>36354</v>
      </c>
      <c r="G1890">
        <v>-216187</v>
      </c>
      <c r="H1890">
        <v>130239</v>
      </c>
      <c r="I1890">
        <v>118936</v>
      </c>
      <c r="J1890">
        <v>2378</v>
      </c>
      <c r="K1890">
        <v>703110</v>
      </c>
      <c r="L1890">
        <v>100002</v>
      </c>
      <c r="M1890">
        <v>-253045</v>
      </c>
      <c r="N1890">
        <v>95603</v>
      </c>
      <c r="O1890" t="s">
        <v>1908</v>
      </c>
      <c r="P1890" s="9">
        <v>194062</v>
      </c>
      <c r="Q1890" s="9">
        <v>27944</v>
      </c>
      <c r="R1890" s="9">
        <v>222006</v>
      </c>
      <c r="S1890" s="9">
        <v>-115737</v>
      </c>
      <c r="T1890" s="10">
        <v>99388</v>
      </c>
      <c r="U1890" s="10">
        <v>1416</v>
      </c>
    </row>
    <row r="1891" spans="1:21" x14ac:dyDescent="0.35">
      <c r="A1891" t="s">
        <v>15</v>
      </c>
      <c r="B1891" t="s">
        <v>16</v>
      </c>
      <c r="C1891" t="s">
        <v>17</v>
      </c>
      <c r="D1891">
        <v>280991</v>
      </c>
      <c r="E1891">
        <v>39878</v>
      </c>
      <c r="F1891">
        <v>64585</v>
      </c>
      <c r="G1891">
        <v>-279924</v>
      </c>
      <c r="H1891">
        <v>105530</v>
      </c>
      <c r="I1891">
        <v>104729</v>
      </c>
      <c r="J1891">
        <v>1348</v>
      </c>
      <c r="K1891">
        <v>929765</v>
      </c>
      <c r="L1891">
        <v>141694</v>
      </c>
      <c r="M1891">
        <v>-239741</v>
      </c>
      <c r="N1891">
        <v>241287</v>
      </c>
      <c r="O1891" t="s">
        <v>1909</v>
      </c>
      <c r="P1891" s="9">
        <v>259056</v>
      </c>
      <c r="Q1891" s="9">
        <v>48831</v>
      </c>
      <c r="R1891" s="9">
        <v>307887</v>
      </c>
      <c r="S1891" s="9">
        <v>-147703</v>
      </c>
      <c r="T1891" s="10">
        <v>146627</v>
      </c>
      <c r="U1891" s="10">
        <v>4088</v>
      </c>
    </row>
    <row r="1892" spans="1:21" x14ac:dyDescent="0.35">
      <c r="A1892" t="s">
        <v>15</v>
      </c>
      <c r="B1892" t="s">
        <v>16</v>
      </c>
      <c r="C1892" t="s">
        <v>17</v>
      </c>
      <c r="D1892">
        <v>205909</v>
      </c>
      <c r="E1892">
        <v>34818</v>
      </c>
      <c r="F1892">
        <v>20954</v>
      </c>
      <c r="G1892">
        <v>-203002</v>
      </c>
      <c r="H1892">
        <v>58679</v>
      </c>
      <c r="I1892">
        <v>54088</v>
      </c>
      <c r="J1892">
        <v>1360</v>
      </c>
      <c r="K1892">
        <v>480598</v>
      </c>
      <c r="L1892">
        <v>119449</v>
      </c>
      <c r="M1892">
        <v>-97350</v>
      </c>
      <c r="N1892">
        <v>167766</v>
      </c>
      <c r="O1892" t="s">
        <v>1910</v>
      </c>
      <c r="P1892" s="9">
        <v>169035</v>
      </c>
      <c r="Q1892" s="9">
        <v>22487</v>
      </c>
      <c r="R1892" s="9">
        <v>191522</v>
      </c>
      <c r="S1892" s="9">
        <v>-50330</v>
      </c>
      <c r="T1892" s="10">
        <v>65130</v>
      </c>
      <c r="U1892" s="10">
        <v>1482</v>
      </c>
    </row>
    <row r="1893" spans="1:21" x14ac:dyDescent="0.35">
      <c r="A1893" t="s">
        <v>15</v>
      </c>
      <c r="B1893" t="s">
        <v>16</v>
      </c>
      <c r="C1893" t="s">
        <v>21</v>
      </c>
      <c r="D1893">
        <v>174363</v>
      </c>
      <c r="E1893">
        <v>27403</v>
      </c>
      <c r="F1893">
        <v>29604</v>
      </c>
      <c r="G1893">
        <v>-163512</v>
      </c>
      <c r="H1893">
        <v>67858</v>
      </c>
      <c r="I1893">
        <v>70962</v>
      </c>
      <c r="J1893">
        <v>968</v>
      </c>
      <c r="K1893">
        <v>603251</v>
      </c>
      <c r="L1893">
        <v>300700</v>
      </c>
      <c r="M1893">
        <v>-77625</v>
      </c>
      <c r="N1893">
        <v>65137</v>
      </c>
      <c r="O1893" t="s">
        <v>1911</v>
      </c>
      <c r="P1893" s="9">
        <v>283509</v>
      </c>
      <c r="Q1893" s="9">
        <v>48229</v>
      </c>
      <c r="R1893" s="9">
        <v>331738</v>
      </c>
      <c r="S1893" s="9">
        <v>-161737</v>
      </c>
      <c r="T1893" s="10">
        <v>105114</v>
      </c>
      <c r="U1893" s="10">
        <v>2895</v>
      </c>
    </row>
    <row r="1894" spans="1:21" x14ac:dyDescent="0.35">
      <c r="A1894" t="s">
        <v>15</v>
      </c>
      <c r="B1894" t="s">
        <v>20</v>
      </c>
      <c r="C1894" t="s">
        <v>17</v>
      </c>
      <c r="D1894">
        <v>254128</v>
      </c>
      <c r="E1894">
        <v>19815</v>
      </c>
      <c r="F1894">
        <v>62691</v>
      </c>
      <c r="G1894">
        <v>-227338</v>
      </c>
      <c r="H1894">
        <v>109296</v>
      </c>
      <c r="I1894">
        <v>109970</v>
      </c>
      <c r="J1894">
        <v>3264</v>
      </c>
      <c r="K1894">
        <v>783112</v>
      </c>
      <c r="L1894">
        <v>256583</v>
      </c>
      <c r="M1894">
        <v>-218162</v>
      </c>
      <c r="N1894">
        <v>119692</v>
      </c>
      <c r="O1894" t="s">
        <v>1912</v>
      </c>
      <c r="P1894" s="9">
        <v>248782</v>
      </c>
      <c r="Q1894" s="9">
        <v>29003</v>
      </c>
      <c r="R1894" s="9">
        <v>277785</v>
      </c>
      <c r="S1894" s="9">
        <v>-59237</v>
      </c>
      <c r="T1894" s="10">
        <v>89414</v>
      </c>
      <c r="U1894" s="10">
        <v>1731</v>
      </c>
    </row>
    <row r="1895" spans="1:21" x14ac:dyDescent="0.35">
      <c r="A1895" t="s">
        <v>15</v>
      </c>
      <c r="B1895" t="s">
        <v>16</v>
      </c>
      <c r="C1895" t="s">
        <v>21</v>
      </c>
      <c r="D1895">
        <v>292645</v>
      </c>
      <c r="E1895">
        <v>17219</v>
      </c>
      <c r="F1895">
        <v>70744</v>
      </c>
      <c r="G1895">
        <v>-253533</v>
      </c>
      <c r="H1895">
        <v>127075</v>
      </c>
      <c r="I1895">
        <v>125259</v>
      </c>
      <c r="J1895">
        <v>1566</v>
      </c>
      <c r="K1895">
        <v>879997</v>
      </c>
      <c r="L1895">
        <v>158665</v>
      </c>
      <c r="M1895">
        <v>-110511</v>
      </c>
      <c r="N1895">
        <v>257195</v>
      </c>
      <c r="O1895" t="s">
        <v>1913</v>
      </c>
      <c r="P1895" s="9">
        <v>253451</v>
      </c>
      <c r="Q1895" s="9">
        <v>42423</v>
      </c>
      <c r="R1895" s="9">
        <v>295874</v>
      </c>
      <c r="S1895" s="9">
        <v>-166880</v>
      </c>
      <c r="T1895" s="10">
        <v>111071</v>
      </c>
      <c r="U1895" s="10">
        <v>1191</v>
      </c>
    </row>
    <row r="1896" spans="1:21" x14ac:dyDescent="0.35">
      <c r="A1896" t="s">
        <v>15</v>
      </c>
      <c r="B1896" t="s">
        <v>20</v>
      </c>
      <c r="C1896" t="s">
        <v>21</v>
      </c>
      <c r="D1896">
        <v>264971</v>
      </c>
      <c r="E1896">
        <v>33242</v>
      </c>
      <c r="F1896">
        <v>39106</v>
      </c>
      <c r="G1896">
        <v>-226184</v>
      </c>
      <c r="H1896">
        <v>111135</v>
      </c>
      <c r="I1896">
        <v>115238</v>
      </c>
      <c r="J1896">
        <v>3183</v>
      </c>
      <c r="K1896">
        <v>781047</v>
      </c>
      <c r="L1896">
        <v>317210</v>
      </c>
      <c r="M1896">
        <v>-140837</v>
      </c>
      <c r="N1896">
        <v>149966</v>
      </c>
      <c r="O1896" t="s">
        <v>1914</v>
      </c>
      <c r="P1896" s="9">
        <v>172201</v>
      </c>
      <c r="Q1896" s="9">
        <v>17703</v>
      </c>
      <c r="R1896" s="9">
        <v>189904</v>
      </c>
      <c r="S1896" s="9">
        <v>-83845</v>
      </c>
      <c r="T1896" s="10">
        <v>70467</v>
      </c>
      <c r="U1896" s="10">
        <v>1240</v>
      </c>
    </row>
    <row r="1897" spans="1:21" x14ac:dyDescent="0.35">
      <c r="A1897" t="s">
        <v>15</v>
      </c>
      <c r="B1897" t="s">
        <v>16</v>
      </c>
      <c r="C1897" t="s">
        <v>21</v>
      </c>
      <c r="D1897">
        <v>150416</v>
      </c>
      <c r="E1897">
        <v>11336</v>
      </c>
      <c r="F1897">
        <v>35608</v>
      </c>
      <c r="G1897">
        <v>-136925</v>
      </c>
      <c r="H1897">
        <v>60435</v>
      </c>
      <c r="I1897">
        <v>57274</v>
      </c>
      <c r="J1897">
        <v>727</v>
      </c>
      <c r="K1897">
        <v>503077</v>
      </c>
      <c r="L1897">
        <v>223624</v>
      </c>
      <c r="M1897">
        <v>-171603</v>
      </c>
      <c r="N1897">
        <v>96638</v>
      </c>
      <c r="O1897" t="s">
        <v>1915</v>
      </c>
      <c r="P1897" s="9">
        <v>178307</v>
      </c>
      <c r="Q1897" s="9">
        <v>13709</v>
      </c>
      <c r="R1897" s="9">
        <v>192016</v>
      </c>
      <c r="S1897" s="9">
        <v>-58007</v>
      </c>
      <c r="T1897" s="10">
        <v>44943</v>
      </c>
      <c r="U1897" s="10">
        <v>1296</v>
      </c>
    </row>
    <row r="1898" spans="1:21" x14ac:dyDescent="0.35">
      <c r="A1898" t="s">
        <v>15</v>
      </c>
      <c r="B1898" t="s">
        <v>16</v>
      </c>
      <c r="C1898" t="s">
        <v>21</v>
      </c>
      <c r="D1898">
        <v>289232</v>
      </c>
      <c r="E1898">
        <v>56659</v>
      </c>
      <c r="F1898">
        <v>68066</v>
      </c>
      <c r="G1898">
        <v>-252966</v>
      </c>
      <c r="H1898">
        <v>160991</v>
      </c>
      <c r="I1898">
        <v>146392</v>
      </c>
      <c r="J1898">
        <v>2017</v>
      </c>
      <c r="K1898">
        <v>776311</v>
      </c>
      <c r="L1898">
        <v>327572</v>
      </c>
      <c r="M1898">
        <v>-213444</v>
      </c>
      <c r="N1898">
        <v>157288</v>
      </c>
      <c r="O1898" t="s">
        <v>1916</v>
      </c>
      <c r="P1898" s="9">
        <v>239080</v>
      </c>
      <c r="Q1898" s="9">
        <v>20871</v>
      </c>
      <c r="R1898" s="9">
        <v>259951</v>
      </c>
      <c r="S1898" s="9">
        <v>-134423</v>
      </c>
      <c r="T1898" s="10">
        <v>82445</v>
      </c>
      <c r="U1898" s="10">
        <v>986</v>
      </c>
    </row>
    <row r="1899" spans="1:21" x14ac:dyDescent="0.35">
      <c r="A1899" t="s">
        <v>15</v>
      </c>
      <c r="B1899" t="s">
        <v>16</v>
      </c>
      <c r="C1899" t="s">
        <v>17</v>
      </c>
      <c r="D1899">
        <v>243964</v>
      </c>
      <c r="E1899">
        <v>18428</v>
      </c>
      <c r="F1899">
        <v>51104</v>
      </c>
      <c r="G1899">
        <v>-200984</v>
      </c>
      <c r="H1899">
        <v>112512</v>
      </c>
      <c r="I1899">
        <v>115783</v>
      </c>
      <c r="J1899">
        <v>2843</v>
      </c>
      <c r="K1899">
        <v>855928</v>
      </c>
      <c r="L1899">
        <v>172600</v>
      </c>
      <c r="M1899">
        <v>-138097</v>
      </c>
      <c r="N1899">
        <v>185409</v>
      </c>
      <c r="O1899" t="s">
        <v>1917</v>
      </c>
      <c r="P1899" s="9">
        <v>211845</v>
      </c>
      <c r="Q1899" s="9">
        <v>26267</v>
      </c>
      <c r="R1899" s="9">
        <v>238112</v>
      </c>
      <c r="S1899" s="9">
        <v>-106365</v>
      </c>
      <c r="T1899" s="10">
        <v>70012</v>
      </c>
      <c r="U1899" s="10">
        <v>773</v>
      </c>
    </row>
    <row r="1900" spans="1:21" x14ac:dyDescent="0.35">
      <c r="A1900" t="s">
        <v>15</v>
      </c>
      <c r="B1900" t="s">
        <v>16</v>
      </c>
      <c r="C1900" t="s">
        <v>21</v>
      </c>
      <c r="D1900">
        <v>250066</v>
      </c>
      <c r="E1900">
        <v>46881</v>
      </c>
      <c r="F1900">
        <v>54195</v>
      </c>
      <c r="G1900">
        <v>-247301</v>
      </c>
      <c r="H1900">
        <v>103841</v>
      </c>
      <c r="I1900">
        <v>106226</v>
      </c>
      <c r="J1900">
        <v>3035</v>
      </c>
      <c r="K1900">
        <v>634714</v>
      </c>
      <c r="L1900">
        <v>144353</v>
      </c>
      <c r="M1900">
        <v>-126682</v>
      </c>
      <c r="N1900">
        <v>207361</v>
      </c>
      <c r="O1900" t="s">
        <v>1918</v>
      </c>
      <c r="P1900" s="9">
        <v>207619</v>
      </c>
      <c r="Q1900" s="9">
        <v>14445</v>
      </c>
      <c r="R1900" s="9">
        <v>222064</v>
      </c>
      <c r="S1900" s="9">
        <v>-100503</v>
      </c>
      <c r="T1900" s="10">
        <v>77823</v>
      </c>
      <c r="U1900" s="10">
        <v>1442</v>
      </c>
    </row>
    <row r="1901" spans="1:21" x14ac:dyDescent="0.35">
      <c r="A1901" t="s">
        <v>15</v>
      </c>
      <c r="B1901" t="s">
        <v>20</v>
      </c>
      <c r="C1901" t="s">
        <v>21</v>
      </c>
      <c r="D1901">
        <v>283660</v>
      </c>
      <c r="E1901">
        <v>26941</v>
      </c>
      <c r="F1901">
        <v>51360</v>
      </c>
      <c r="G1901">
        <v>-244609</v>
      </c>
      <c r="H1901">
        <v>117352</v>
      </c>
      <c r="I1901">
        <v>119441</v>
      </c>
      <c r="J1901">
        <v>1953</v>
      </c>
      <c r="K1901">
        <v>1045412</v>
      </c>
      <c r="L1901">
        <v>199565</v>
      </c>
      <c r="M1901">
        <v>-116244</v>
      </c>
      <c r="N1901">
        <v>219609</v>
      </c>
      <c r="O1901" t="s">
        <v>1919</v>
      </c>
      <c r="P1901" s="9">
        <v>188027</v>
      </c>
      <c r="Q1901" s="9">
        <v>31192</v>
      </c>
      <c r="R1901" s="9">
        <v>219219</v>
      </c>
      <c r="S1901" s="9">
        <v>-77999</v>
      </c>
      <c r="T1901" s="10">
        <v>69422</v>
      </c>
      <c r="U1901" s="10">
        <v>2035</v>
      </c>
    </row>
    <row r="1902" spans="1:21" x14ac:dyDescent="0.35">
      <c r="A1902" t="s">
        <v>15</v>
      </c>
      <c r="B1902" t="s">
        <v>16</v>
      </c>
      <c r="C1902" t="s">
        <v>21</v>
      </c>
      <c r="D1902">
        <v>179481</v>
      </c>
      <c r="E1902">
        <v>33589</v>
      </c>
      <c r="F1902">
        <v>27725</v>
      </c>
      <c r="G1902">
        <v>-167357</v>
      </c>
      <c r="H1902">
        <v>73438</v>
      </c>
      <c r="I1902">
        <v>68078</v>
      </c>
      <c r="J1902">
        <v>926</v>
      </c>
      <c r="K1902">
        <v>422637</v>
      </c>
      <c r="L1902">
        <v>61358</v>
      </c>
      <c r="M1902">
        <v>-168105</v>
      </c>
      <c r="N1902">
        <v>125935</v>
      </c>
      <c r="O1902" t="s">
        <v>1920</v>
      </c>
      <c r="P1902" s="9">
        <v>168373</v>
      </c>
      <c r="Q1902" s="9">
        <v>20919</v>
      </c>
      <c r="R1902" s="9">
        <v>189292</v>
      </c>
      <c r="S1902" s="9">
        <v>-40805</v>
      </c>
      <c r="T1902" s="10">
        <v>94495</v>
      </c>
      <c r="U1902" s="10">
        <v>1932</v>
      </c>
    </row>
    <row r="1903" spans="1:21" x14ac:dyDescent="0.35">
      <c r="A1903" t="s">
        <v>15</v>
      </c>
      <c r="B1903" t="s">
        <v>20</v>
      </c>
      <c r="C1903" t="s">
        <v>17</v>
      </c>
      <c r="D1903">
        <v>156166</v>
      </c>
      <c r="E1903">
        <v>16061</v>
      </c>
      <c r="F1903">
        <v>30069</v>
      </c>
      <c r="G1903">
        <v>-138262</v>
      </c>
      <c r="H1903">
        <v>64034</v>
      </c>
      <c r="I1903">
        <v>58819</v>
      </c>
      <c r="J1903">
        <v>795</v>
      </c>
      <c r="K1903">
        <v>565965</v>
      </c>
      <c r="L1903">
        <v>269275</v>
      </c>
      <c r="M1903">
        <v>-205170</v>
      </c>
      <c r="N1903">
        <v>107249</v>
      </c>
      <c r="O1903" t="s">
        <v>1921</v>
      </c>
      <c r="P1903" s="9">
        <v>175518</v>
      </c>
      <c r="Q1903" s="9">
        <v>24576</v>
      </c>
      <c r="R1903" s="9">
        <v>200094</v>
      </c>
      <c r="S1903" s="9">
        <v>-63092</v>
      </c>
      <c r="T1903" s="10">
        <v>90371</v>
      </c>
      <c r="U1903" s="10">
        <v>2259</v>
      </c>
    </row>
    <row r="1904" spans="1:21" x14ac:dyDescent="0.35">
      <c r="A1904" t="s">
        <v>15</v>
      </c>
      <c r="B1904" t="s">
        <v>20</v>
      </c>
      <c r="C1904" t="s">
        <v>17</v>
      </c>
      <c r="D1904">
        <v>216454</v>
      </c>
      <c r="E1904">
        <v>40992</v>
      </c>
      <c r="F1904">
        <v>45602</v>
      </c>
      <c r="G1904">
        <v>-186329</v>
      </c>
      <c r="H1904">
        <v>116719</v>
      </c>
      <c r="I1904">
        <v>108145</v>
      </c>
      <c r="J1904">
        <v>1901</v>
      </c>
      <c r="K1904">
        <v>463080</v>
      </c>
      <c r="L1904">
        <v>96560</v>
      </c>
      <c r="M1904">
        <v>-50866</v>
      </c>
      <c r="N1904">
        <v>83666</v>
      </c>
      <c r="O1904" t="s">
        <v>1922</v>
      </c>
      <c r="P1904" s="9">
        <v>156831</v>
      </c>
      <c r="Q1904" s="9">
        <v>10491</v>
      </c>
      <c r="R1904" s="9">
        <v>167322</v>
      </c>
      <c r="S1904" s="9">
        <v>-75278</v>
      </c>
      <c r="T1904" s="10">
        <v>62220</v>
      </c>
      <c r="U1904" s="10">
        <v>1097</v>
      </c>
    </row>
    <row r="1905" spans="1:21" x14ac:dyDescent="0.35">
      <c r="A1905" t="s">
        <v>15</v>
      </c>
      <c r="B1905" t="s">
        <v>16</v>
      </c>
      <c r="C1905" t="s">
        <v>17</v>
      </c>
      <c r="D1905">
        <v>228696</v>
      </c>
      <c r="E1905">
        <v>28241</v>
      </c>
      <c r="F1905">
        <v>43233</v>
      </c>
      <c r="G1905">
        <v>-213779</v>
      </c>
      <c r="H1905">
        <v>86391</v>
      </c>
      <c r="I1905">
        <v>83081</v>
      </c>
      <c r="J1905">
        <v>1987</v>
      </c>
      <c r="K1905">
        <v>577104</v>
      </c>
      <c r="L1905">
        <v>73511</v>
      </c>
      <c r="M1905">
        <v>-140242</v>
      </c>
      <c r="N1905">
        <v>106130</v>
      </c>
      <c r="O1905" t="s">
        <v>1923</v>
      </c>
      <c r="P1905" s="9">
        <v>189701</v>
      </c>
      <c r="Q1905" s="9">
        <v>18684</v>
      </c>
      <c r="R1905" s="9">
        <v>208385</v>
      </c>
      <c r="S1905" s="9">
        <v>-76958</v>
      </c>
      <c r="T1905" s="10">
        <v>68321</v>
      </c>
      <c r="U1905" s="10">
        <v>881</v>
      </c>
    </row>
    <row r="1906" spans="1:21" x14ac:dyDescent="0.35">
      <c r="A1906" t="s">
        <v>15</v>
      </c>
      <c r="B1906" t="s">
        <v>16</v>
      </c>
      <c r="C1906" t="s">
        <v>17</v>
      </c>
      <c r="D1906">
        <v>171585</v>
      </c>
      <c r="E1906">
        <v>21441</v>
      </c>
      <c r="F1906">
        <v>24009</v>
      </c>
      <c r="G1906">
        <v>-170636</v>
      </c>
      <c r="H1906">
        <v>46399</v>
      </c>
      <c r="I1906">
        <v>43392</v>
      </c>
      <c r="J1906">
        <v>983</v>
      </c>
      <c r="K1906">
        <v>362348</v>
      </c>
      <c r="L1906">
        <v>116837</v>
      </c>
      <c r="M1906">
        <v>-73299</v>
      </c>
      <c r="N1906">
        <v>126771</v>
      </c>
      <c r="O1906" t="s">
        <v>1924</v>
      </c>
      <c r="P1906" s="9">
        <v>168690</v>
      </c>
      <c r="Q1906" s="9">
        <v>14897</v>
      </c>
      <c r="R1906" s="9">
        <v>183587</v>
      </c>
      <c r="S1906" s="9">
        <v>-48385</v>
      </c>
      <c r="T1906" s="10">
        <v>65731</v>
      </c>
      <c r="U1906" s="10">
        <v>1847</v>
      </c>
    </row>
    <row r="1907" spans="1:21" x14ac:dyDescent="0.35">
      <c r="A1907" t="s">
        <v>15</v>
      </c>
      <c r="B1907" t="s">
        <v>16</v>
      </c>
      <c r="C1907" t="s">
        <v>21</v>
      </c>
      <c r="D1907">
        <v>191537</v>
      </c>
      <c r="E1907">
        <v>17577</v>
      </c>
      <c r="F1907">
        <v>24397</v>
      </c>
      <c r="G1907">
        <v>-175155</v>
      </c>
      <c r="H1907">
        <v>58356</v>
      </c>
      <c r="I1907">
        <v>61109</v>
      </c>
      <c r="J1907">
        <v>698</v>
      </c>
      <c r="K1907">
        <v>509438</v>
      </c>
      <c r="L1907">
        <v>132954</v>
      </c>
      <c r="M1907">
        <v>-119978</v>
      </c>
      <c r="N1907">
        <v>79195</v>
      </c>
      <c r="O1907" t="s">
        <v>1925</v>
      </c>
      <c r="P1907" s="9">
        <v>212031</v>
      </c>
      <c r="Q1907" s="9">
        <v>19096</v>
      </c>
      <c r="R1907" s="9">
        <v>231127</v>
      </c>
      <c r="S1907" s="9">
        <v>-107100</v>
      </c>
      <c r="T1907" s="10">
        <v>94654</v>
      </c>
      <c r="U1907" s="10">
        <v>1345</v>
      </c>
    </row>
    <row r="1908" spans="1:21" x14ac:dyDescent="0.35">
      <c r="A1908" t="s">
        <v>15</v>
      </c>
      <c r="B1908" t="s">
        <v>16</v>
      </c>
      <c r="C1908" t="s">
        <v>21</v>
      </c>
      <c r="D1908">
        <v>184046</v>
      </c>
      <c r="E1908">
        <v>20928</v>
      </c>
      <c r="F1908">
        <v>32144</v>
      </c>
      <c r="G1908">
        <v>-152007</v>
      </c>
      <c r="H1908">
        <v>85111</v>
      </c>
      <c r="I1908">
        <v>77033</v>
      </c>
      <c r="J1908">
        <v>1472</v>
      </c>
      <c r="K1908">
        <v>586742</v>
      </c>
      <c r="L1908">
        <v>130197</v>
      </c>
      <c r="M1908">
        <v>-154315</v>
      </c>
      <c r="N1908">
        <v>88408</v>
      </c>
      <c r="O1908" t="s">
        <v>1926</v>
      </c>
      <c r="P1908" s="9">
        <v>207568</v>
      </c>
      <c r="Q1908" s="9">
        <v>36050</v>
      </c>
      <c r="R1908" s="9">
        <v>243618</v>
      </c>
      <c r="S1908" s="9">
        <v>-145482</v>
      </c>
      <c r="T1908" s="10">
        <v>70770</v>
      </c>
      <c r="U1908" s="10">
        <v>1398</v>
      </c>
    </row>
    <row r="1909" spans="1:21" x14ac:dyDescent="0.35">
      <c r="A1909" t="s">
        <v>15</v>
      </c>
      <c r="B1909" t="s">
        <v>20</v>
      </c>
      <c r="C1909" t="s">
        <v>21</v>
      </c>
      <c r="D1909">
        <v>276791</v>
      </c>
      <c r="E1909">
        <v>39126</v>
      </c>
      <c r="F1909">
        <v>28367</v>
      </c>
      <c r="G1909">
        <v>-244640</v>
      </c>
      <c r="H1909">
        <v>99644</v>
      </c>
      <c r="I1909">
        <v>92479</v>
      </c>
      <c r="J1909">
        <v>2554</v>
      </c>
      <c r="K1909">
        <v>945401</v>
      </c>
      <c r="L1909">
        <v>188754</v>
      </c>
      <c r="M1909">
        <v>-282216</v>
      </c>
      <c r="N1909">
        <v>166862</v>
      </c>
      <c r="O1909" t="s">
        <v>1927</v>
      </c>
      <c r="P1909" s="9">
        <v>216323</v>
      </c>
      <c r="Q1909" s="9">
        <v>33012</v>
      </c>
      <c r="R1909" s="9">
        <v>249335</v>
      </c>
      <c r="S1909" s="9">
        <v>-94482</v>
      </c>
      <c r="T1909" s="10">
        <v>62805</v>
      </c>
      <c r="U1909" s="10">
        <v>1189</v>
      </c>
    </row>
    <row r="1910" spans="1:21" x14ac:dyDescent="0.35">
      <c r="A1910" t="s">
        <v>15</v>
      </c>
      <c r="B1910" t="s">
        <v>16</v>
      </c>
      <c r="C1910" t="s">
        <v>21</v>
      </c>
      <c r="D1910">
        <v>246376</v>
      </c>
      <c r="E1910">
        <v>12888</v>
      </c>
      <c r="F1910">
        <v>32675</v>
      </c>
      <c r="G1910">
        <v>-225185</v>
      </c>
      <c r="H1910">
        <v>66754</v>
      </c>
      <c r="I1910">
        <v>66846</v>
      </c>
      <c r="J1910">
        <v>913</v>
      </c>
      <c r="K1910">
        <v>700875</v>
      </c>
      <c r="L1910">
        <v>262354</v>
      </c>
      <c r="M1910">
        <v>-86789</v>
      </c>
      <c r="N1910">
        <v>91963</v>
      </c>
      <c r="O1910" t="s">
        <v>1928</v>
      </c>
      <c r="P1910" s="9">
        <v>184321</v>
      </c>
      <c r="Q1910" s="9">
        <v>12976</v>
      </c>
      <c r="R1910" s="9">
        <v>197297</v>
      </c>
      <c r="S1910" s="9">
        <v>-99899</v>
      </c>
      <c r="T1910" s="10">
        <v>47195</v>
      </c>
      <c r="U1910" s="10">
        <v>808</v>
      </c>
    </row>
    <row r="1911" spans="1:21" x14ac:dyDescent="0.35">
      <c r="A1911" t="s">
        <v>15</v>
      </c>
      <c r="B1911" t="s">
        <v>16</v>
      </c>
      <c r="C1911" t="s">
        <v>17</v>
      </c>
      <c r="D1911">
        <v>265417</v>
      </c>
      <c r="E1911">
        <v>40632</v>
      </c>
      <c r="F1911">
        <v>52375</v>
      </c>
      <c r="G1911">
        <v>-244484</v>
      </c>
      <c r="H1911">
        <v>113940</v>
      </c>
      <c r="I1911">
        <v>109723</v>
      </c>
      <c r="J1911">
        <v>2602</v>
      </c>
      <c r="K1911">
        <v>1044361</v>
      </c>
      <c r="L1911">
        <v>175881</v>
      </c>
      <c r="M1911">
        <v>-360962</v>
      </c>
      <c r="N1911">
        <v>121694</v>
      </c>
      <c r="O1911" t="s">
        <v>1929</v>
      </c>
      <c r="P1911" s="9">
        <v>200796</v>
      </c>
      <c r="Q1911" s="9">
        <v>23667</v>
      </c>
      <c r="R1911" s="9">
        <v>224463</v>
      </c>
      <c r="S1911" s="9">
        <v>-92175</v>
      </c>
      <c r="T1911" s="10">
        <v>98061</v>
      </c>
      <c r="U1911" s="10">
        <v>1411</v>
      </c>
    </row>
    <row r="1912" spans="1:21" x14ac:dyDescent="0.35">
      <c r="A1912" t="s">
        <v>15</v>
      </c>
      <c r="B1912" t="s">
        <v>20</v>
      </c>
      <c r="C1912" t="s">
        <v>17</v>
      </c>
      <c r="D1912">
        <v>259992</v>
      </c>
      <c r="E1912">
        <v>48766</v>
      </c>
      <c r="F1912">
        <v>47159</v>
      </c>
      <c r="G1912">
        <v>-257368</v>
      </c>
      <c r="H1912">
        <v>98549</v>
      </c>
      <c r="I1912">
        <v>99269</v>
      </c>
      <c r="J1912">
        <v>2024</v>
      </c>
      <c r="K1912">
        <v>936800</v>
      </c>
      <c r="L1912">
        <v>368512</v>
      </c>
      <c r="M1912">
        <v>-265300</v>
      </c>
      <c r="N1912">
        <v>205822</v>
      </c>
      <c r="O1912" t="s">
        <v>1930</v>
      </c>
      <c r="P1912" s="9">
        <v>264654</v>
      </c>
      <c r="Q1912" s="9">
        <v>14567</v>
      </c>
      <c r="R1912" s="9">
        <v>279221</v>
      </c>
      <c r="S1912" s="9">
        <v>-72758</v>
      </c>
      <c r="T1912" s="10">
        <v>69823</v>
      </c>
      <c r="U1912" s="10">
        <v>1811</v>
      </c>
    </row>
    <row r="1913" spans="1:21" x14ac:dyDescent="0.35">
      <c r="A1913" t="s">
        <v>15</v>
      </c>
      <c r="B1913" t="s">
        <v>16</v>
      </c>
      <c r="C1913" t="s">
        <v>21</v>
      </c>
      <c r="D1913">
        <v>240472</v>
      </c>
      <c r="E1913">
        <v>28680</v>
      </c>
      <c r="F1913">
        <v>36157</v>
      </c>
      <c r="G1913">
        <v>-199017</v>
      </c>
      <c r="H1913">
        <v>106292</v>
      </c>
      <c r="I1913">
        <v>97058</v>
      </c>
      <c r="J1913">
        <v>1491</v>
      </c>
      <c r="K1913">
        <v>536874</v>
      </c>
      <c r="L1913">
        <v>105771</v>
      </c>
      <c r="M1913">
        <v>-110749</v>
      </c>
      <c r="N1913">
        <v>126008</v>
      </c>
      <c r="O1913" t="s">
        <v>1931</v>
      </c>
      <c r="P1913" s="9">
        <v>180629</v>
      </c>
      <c r="Q1913" s="9">
        <v>30900</v>
      </c>
      <c r="R1913" s="9">
        <v>211529</v>
      </c>
      <c r="S1913" s="9">
        <v>-58401</v>
      </c>
      <c r="T1913" s="10">
        <v>91367</v>
      </c>
      <c r="U1913" s="10">
        <v>1089</v>
      </c>
    </row>
    <row r="1914" spans="1:21" x14ac:dyDescent="0.35">
      <c r="A1914" t="s">
        <v>15</v>
      </c>
      <c r="B1914" t="s">
        <v>16</v>
      </c>
      <c r="C1914" t="s">
        <v>21</v>
      </c>
      <c r="D1914">
        <v>219704</v>
      </c>
      <c r="E1914">
        <v>40952</v>
      </c>
      <c r="F1914">
        <v>22806</v>
      </c>
      <c r="G1914">
        <v>-180289</v>
      </c>
      <c r="H1914">
        <v>103173</v>
      </c>
      <c r="I1914">
        <v>108061</v>
      </c>
      <c r="J1914">
        <v>2375</v>
      </c>
      <c r="K1914">
        <v>575861</v>
      </c>
      <c r="L1914">
        <v>249532</v>
      </c>
      <c r="M1914">
        <v>-72865</v>
      </c>
      <c r="N1914">
        <v>128104</v>
      </c>
      <c r="O1914" t="s">
        <v>1932</v>
      </c>
      <c r="P1914" s="9">
        <v>263059</v>
      </c>
      <c r="Q1914" s="9">
        <v>35324</v>
      </c>
      <c r="R1914" s="9">
        <v>298383</v>
      </c>
      <c r="S1914" s="9">
        <v>-82623</v>
      </c>
      <c r="T1914" s="10">
        <v>121482</v>
      </c>
      <c r="U1914" s="10">
        <v>3582</v>
      </c>
    </row>
    <row r="1915" spans="1:21" x14ac:dyDescent="0.35">
      <c r="A1915" t="s">
        <v>15</v>
      </c>
      <c r="B1915" t="s">
        <v>20</v>
      </c>
      <c r="C1915" t="s">
        <v>21</v>
      </c>
      <c r="D1915">
        <v>159687</v>
      </c>
      <c r="E1915">
        <v>23091</v>
      </c>
      <c r="F1915">
        <v>19723</v>
      </c>
      <c r="G1915">
        <v>-149374</v>
      </c>
      <c r="H1915">
        <v>53127</v>
      </c>
      <c r="I1915">
        <v>55517</v>
      </c>
      <c r="J1915">
        <v>980</v>
      </c>
      <c r="K1915">
        <v>488569</v>
      </c>
      <c r="L1915">
        <v>175316</v>
      </c>
      <c r="M1915">
        <v>-189958</v>
      </c>
      <c r="N1915">
        <v>114961</v>
      </c>
      <c r="O1915" t="s">
        <v>1933</v>
      </c>
      <c r="P1915" s="9">
        <v>244987</v>
      </c>
      <c r="Q1915" s="9">
        <v>18073</v>
      </c>
      <c r="R1915" s="9">
        <v>263060</v>
      </c>
      <c r="S1915" s="9">
        <v>-141539</v>
      </c>
      <c r="T1915" s="10">
        <v>87089</v>
      </c>
      <c r="U1915" s="10">
        <v>1591</v>
      </c>
    </row>
    <row r="1916" spans="1:21" x14ac:dyDescent="0.35">
      <c r="A1916" t="s">
        <v>15</v>
      </c>
      <c r="B1916" t="s">
        <v>20</v>
      </c>
      <c r="C1916" t="s">
        <v>21</v>
      </c>
      <c r="D1916">
        <v>202559</v>
      </c>
      <c r="E1916">
        <v>12518</v>
      </c>
      <c r="F1916">
        <v>42573</v>
      </c>
      <c r="G1916">
        <v>-185942</v>
      </c>
      <c r="H1916">
        <v>71708</v>
      </c>
      <c r="I1916">
        <v>68628</v>
      </c>
      <c r="J1916">
        <v>1908</v>
      </c>
      <c r="K1916">
        <v>752226</v>
      </c>
      <c r="L1916">
        <v>143347</v>
      </c>
      <c r="M1916">
        <v>-140721</v>
      </c>
      <c r="N1916">
        <v>72062</v>
      </c>
      <c r="O1916" t="s">
        <v>1934</v>
      </c>
      <c r="P1916" s="9">
        <v>292740</v>
      </c>
      <c r="Q1916" s="9">
        <v>35831</v>
      </c>
      <c r="R1916" s="9">
        <v>328571</v>
      </c>
      <c r="S1916" s="9">
        <v>-103241</v>
      </c>
      <c r="T1916" s="10">
        <v>112254</v>
      </c>
      <c r="U1916" s="10">
        <v>3223</v>
      </c>
    </row>
    <row r="1917" spans="1:21" x14ac:dyDescent="0.35">
      <c r="A1917" t="s">
        <v>15</v>
      </c>
      <c r="B1917" t="s">
        <v>16</v>
      </c>
      <c r="C1917" t="s">
        <v>17</v>
      </c>
      <c r="D1917">
        <v>202765</v>
      </c>
      <c r="E1917">
        <v>10172</v>
      </c>
      <c r="F1917">
        <v>35456</v>
      </c>
      <c r="G1917">
        <v>-198869</v>
      </c>
      <c r="H1917">
        <v>49524</v>
      </c>
      <c r="I1917">
        <v>50021</v>
      </c>
      <c r="J1917">
        <v>1451</v>
      </c>
      <c r="K1917">
        <v>489568</v>
      </c>
      <c r="L1917">
        <v>111483</v>
      </c>
      <c r="M1917">
        <v>-137483</v>
      </c>
      <c r="N1917">
        <v>179779</v>
      </c>
      <c r="O1917" t="s">
        <v>1935</v>
      </c>
      <c r="P1917" s="9">
        <v>197786</v>
      </c>
      <c r="Q1917" s="9">
        <v>15815</v>
      </c>
      <c r="R1917" s="9">
        <v>213601</v>
      </c>
      <c r="S1917" s="9">
        <v>-109951</v>
      </c>
      <c r="T1917" s="10">
        <v>46029</v>
      </c>
      <c r="U1917" s="10">
        <v>1367</v>
      </c>
    </row>
    <row r="1918" spans="1:21" x14ac:dyDescent="0.35">
      <c r="A1918" t="s">
        <v>15</v>
      </c>
      <c r="B1918" t="s">
        <v>16</v>
      </c>
      <c r="C1918" t="s">
        <v>21</v>
      </c>
      <c r="D1918">
        <v>177020</v>
      </c>
      <c r="E1918">
        <v>25063</v>
      </c>
      <c r="F1918">
        <v>30861</v>
      </c>
      <c r="G1918">
        <v>-164776</v>
      </c>
      <c r="H1918">
        <v>68168</v>
      </c>
      <c r="I1918">
        <v>65786</v>
      </c>
      <c r="J1918">
        <v>1012</v>
      </c>
      <c r="K1918">
        <v>604986</v>
      </c>
      <c r="L1918">
        <v>146012</v>
      </c>
      <c r="M1918">
        <v>-93503</v>
      </c>
      <c r="N1918">
        <v>92110</v>
      </c>
      <c r="O1918" t="s">
        <v>1936</v>
      </c>
      <c r="P1918" s="9">
        <v>240107</v>
      </c>
      <c r="Q1918" s="9">
        <v>17208</v>
      </c>
      <c r="R1918" s="9">
        <v>257315</v>
      </c>
      <c r="S1918" s="9">
        <v>-125093</v>
      </c>
      <c r="T1918" s="10">
        <v>78998</v>
      </c>
      <c r="U1918" s="10">
        <v>1429</v>
      </c>
    </row>
    <row r="1919" spans="1:21" x14ac:dyDescent="0.35">
      <c r="A1919" t="s">
        <v>15</v>
      </c>
      <c r="B1919" t="s">
        <v>16</v>
      </c>
      <c r="C1919" t="s">
        <v>21</v>
      </c>
      <c r="D1919">
        <v>268339</v>
      </c>
      <c r="E1919">
        <v>39111</v>
      </c>
      <c r="F1919">
        <v>53611</v>
      </c>
      <c r="G1919">
        <v>-254215</v>
      </c>
      <c r="H1919">
        <v>106846</v>
      </c>
      <c r="I1919">
        <v>100222</v>
      </c>
      <c r="J1919">
        <v>2811</v>
      </c>
      <c r="K1919">
        <v>660799</v>
      </c>
      <c r="L1919">
        <v>68258</v>
      </c>
      <c r="M1919">
        <v>-101205</v>
      </c>
      <c r="N1919">
        <v>221868</v>
      </c>
      <c r="O1919" t="s">
        <v>1937</v>
      </c>
      <c r="P1919" s="9">
        <v>259346</v>
      </c>
      <c r="Q1919" s="9">
        <v>22393</v>
      </c>
      <c r="R1919" s="9">
        <v>281739</v>
      </c>
      <c r="S1919" s="9">
        <v>-164870</v>
      </c>
      <c r="T1919" s="10">
        <v>81230</v>
      </c>
      <c r="U1919" s="10">
        <v>839</v>
      </c>
    </row>
    <row r="1920" spans="1:21" x14ac:dyDescent="0.35">
      <c r="A1920" t="s">
        <v>15</v>
      </c>
      <c r="B1920" t="s">
        <v>16</v>
      </c>
      <c r="C1920" t="s">
        <v>17</v>
      </c>
      <c r="D1920">
        <v>240494</v>
      </c>
      <c r="E1920">
        <v>12189</v>
      </c>
      <c r="F1920">
        <v>39517</v>
      </c>
      <c r="G1920">
        <v>-232500</v>
      </c>
      <c r="H1920">
        <v>59700</v>
      </c>
      <c r="I1920">
        <v>62125</v>
      </c>
      <c r="J1920">
        <v>885</v>
      </c>
      <c r="K1920">
        <v>498969</v>
      </c>
      <c r="L1920">
        <v>120819</v>
      </c>
      <c r="M1920">
        <v>-106386</v>
      </c>
      <c r="N1920">
        <v>106415</v>
      </c>
      <c r="O1920" t="s">
        <v>1938</v>
      </c>
      <c r="P1920" s="9">
        <v>283508</v>
      </c>
      <c r="Q1920" s="9">
        <v>43016</v>
      </c>
      <c r="R1920" s="9">
        <v>326524</v>
      </c>
      <c r="S1920" s="9">
        <v>-158759</v>
      </c>
      <c r="T1920" s="10">
        <v>130080</v>
      </c>
      <c r="U1920" s="10">
        <v>2523</v>
      </c>
    </row>
    <row r="1921" spans="1:21" x14ac:dyDescent="0.35">
      <c r="A1921" t="s">
        <v>15</v>
      </c>
      <c r="B1921" t="s">
        <v>20</v>
      </c>
      <c r="C1921" t="s">
        <v>17</v>
      </c>
      <c r="D1921">
        <v>205540</v>
      </c>
      <c r="E1921">
        <v>34709</v>
      </c>
      <c r="F1921">
        <v>25903</v>
      </c>
      <c r="G1921">
        <v>-178925</v>
      </c>
      <c r="H1921">
        <v>87227</v>
      </c>
      <c r="I1921">
        <v>80376</v>
      </c>
      <c r="J1921">
        <v>955</v>
      </c>
      <c r="K1921">
        <v>485428</v>
      </c>
      <c r="L1921">
        <v>162068</v>
      </c>
      <c r="M1921">
        <v>-114453</v>
      </c>
      <c r="N1921">
        <v>67827</v>
      </c>
      <c r="O1921" t="s">
        <v>1939</v>
      </c>
      <c r="P1921" s="9">
        <v>240155</v>
      </c>
      <c r="Q1921" s="9">
        <v>31324</v>
      </c>
      <c r="R1921" s="9">
        <v>271479</v>
      </c>
      <c r="S1921" s="9">
        <v>-54463</v>
      </c>
      <c r="T1921" s="10">
        <v>75485</v>
      </c>
      <c r="U1921" s="10">
        <v>1752</v>
      </c>
    </row>
    <row r="1922" spans="1:21" x14ac:dyDescent="0.35">
      <c r="A1922" t="s">
        <v>15</v>
      </c>
      <c r="B1922" t="s">
        <v>20</v>
      </c>
      <c r="C1922" t="s">
        <v>17</v>
      </c>
      <c r="D1922">
        <v>234368</v>
      </c>
      <c r="E1922">
        <v>13017</v>
      </c>
      <c r="F1922">
        <v>28325</v>
      </c>
      <c r="G1922">
        <v>-231503</v>
      </c>
      <c r="H1922">
        <v>44207</v>
      </c>
      <c r="I1922">
        <v>41016</v>
      </c>
      <c r="J1922">
        <v>1107</v>
      </c>
      <c r="K1922">
        <v>470039</v>
      </c>
      <c r="L1922">
        <v>49612</v>
      </c>
      <c r="M1922">
        <v>-175376</v>
      </c>
      <c r="N1922">
        <v>133485</v>
      </c>
      <c r="O1922" t="s">
        <v>1940</v>
      </c>
      <c r="P1922" s="9">
        <v>172232</v>
      </c>
      <c r="Q1922" s="9">
        <v>17780</v>
      </c>
      <c r="R1922" s="9">
        <v>190012</v>
      </c>
      <c r="S1922" s="9">
        <v>-39795</v>
      </c>
      <c r="T1922" s="10">
        <v>71137</v>
      </c>
      <c r="U1922" s="10">
        <v>1174</v>
      </c>
    </row>
    <row r="1923" spans="1:21" x14ac:dyDescent="0.35">
      <c r="A1923" t="s">
        <v>15</v>
      </c>
      <c r="B1923" t="s">
        <v>16</v>
      </c>
      <c r="C1923" t="s">
        <v>21</v>
      </c>
      <c r="D1923">
        <v>201679</v>
      </c>
      <c r="E1923">
        <v>14514</v>
      </c>
      <c r="F1923">
        <v>46697</v>
      </c>
      <c r="G1923">
        <v>-163275</v>
      </c>
      <c r="H1923">
        <v>99615</v>
      </c>
      <c r="I1923">
        <v>94712</v>
      </c>
      <c r="J1923">
        <v>1001</v>
      </c>
      <c r="K1923">
        <v>693918</v>
      </c>
      <c r="L1923">
        <v>157834</v>
      </c>
      <c r="M1923">
        <v>-225890</v>
      </c>
      <c r="N1923">
        <v>169315</v>
      </c>
      <c r="O1923" t="s">
        <v>1941</v>
      </c>
      <c r="P1923" s="9">
        <v>243274</v>
      </c>
      <c r="Q1923" s="9">
        <v>34449</v>
      </c>
      <c r="R1923" s="9">
        <v>277723</v>
      </c>
      <c r="S1923" s="9">
        <v>-97095</v>
      </c>
      <c r="T1923" s="10">
        <v>89220</v>
      </c>
      <c r="U1923" s="10">
        <v>1435</v>
      </c>
    </row>
    <row r="1924" spans="1:21" x14ac:dyDescent="0.35">
      <c r="A1924" t="s">
        <v>15</v>
      </c>
      <c r="B1924" t="s">
        <v>16</v>
      </c>
      <c r="C1924" t="s">
        <v>17</v>
      </c>
      <c r="D1924">
        <v>193949</v>
      </c>
      <c r="E1924">
        <v>15440</v>
      </c>
      <c r="F1924">
        <v>29997</v>
      </c>
      <c r="G1924">
        <v>-185396</v>
      </c>
      <c r="H1924">
        <v>53990</v>
      </c>
      <c r="I1924">
        <v>51325</v>
      </c>
      <c r="J1924">
        <v>1510</v>
      </c>
      <c r="K1924">
        <v>409822</v>
      </c>
      <c r="L1924">
        <v>169627</v>
      </c>
      <c r="M1924">
        <v>-54494</v>
      </c>
      <c r="N1924">
        <v>156039</v>
      </c>
      <c r="O1924" t="s">
        <v>1942</v>
      </c>
      <c r="P1924" s="9">
        <v>157592</v>
      </c>
      <c r="Q1924" s="9">
        <v>15702</v>
      </c>
      <c r="R1924" s="9">
        <v>173294</v>
      </c>
      <c r="S1924" s="9">
        <v>-49872</v>
      </c>
      <c r="T1924" s="10">
        <v>39908</v>
      </c>
      <c r="U1924" s="10">
        <v>556</v>
      </c>
    </row>
    <row r="1925" spans="1:21" x14ac:dyDescent="0.35">
      <c r="A1925" t="s">
        <v>15</v>
      </c>
      <c r="B1925" t="s">
        <v>20</v>
      </c>
      <c r="C1925" t="s">
        <v>17</v>
      </c>
      <c r="D1925">
        <v>281811</v>
      </c>
      <c r="E1925">
        <v>23463</v>
      </c>
      <c r="F1925">
        <v>52322</v>
      </c>
      <c r="G1925">
        <v>-243839</v>
      </c>
      <c r="H1925">
        <v>113757</v>
      </c>
      <c r="I1925">
        <v>113025</v>
      </c>
      <c r="J1925">
        <v>1510</v>
      </c>
      <c r="K1925">
        <v>902154</v>
      </c>
      <c r="L1925">
        <v>387377</v>
      </c>
      <c r="M1925">
        <v>-199203</v>
      </c>
      <c r="N1925">
        <v>175868</v>
      </c>
      <c r="O1925" t="s">
        <v>1943</v>
      </c>
      <c r="P1925" s="9">
        <v>152052</v>
      </c>
      <c r="Q1925" s="9">
        <v>9371</v>
      </c>
      <c r="R1925" s="9">
        <v>161423</v>
      </c>
      <c r="S1925" s="9">
        <v>-45376</v>
      </c>
      <c r="T1925" s="10">
        <v>43570</v>
      </c>
      <c r="U1925" s="10">
        <v>827</v>
      </c>
    </row>
    <row r="1926" spans="1:21" x14ac:dyDescent="0.35">
      <c r="A1926" t="s">
        <v>15</v>
      </c>
      <c r="B1926" t="s">
        <v>16</v>
      </c>
      <c r="C1926" t="s">
        <v>21</v>
      </c>
      <c r="D1926">
        <v>168545</v>
      </c>
      <c r="E1926">
        <v>27536</v>
      </c>
      <c r="F1926">
        <v>39018</v>
      </c>
      <c r="G1926">
        <v>-162700</v>
      </c>
      <c r="H1926">
        <v>72399</v>
      </c>
      <c r="I1926">
        <v>66428</v>
      </c>
      <c r="J1926">
        <v>1293</v>
      </c>
      <c r="K1926">
        <v>561026</v>
      </c>
      <c r="L1926">
        <v>167586</v>
      </c>
      <c r="M1926">
        <v>-204625</v>
      </c>
      <c r="N1926">
        <v>87375</v>
      </c>
      <c r="O1926" t="s">
        <v>1944</v>
      </c>
      <c r="P1926" s="9">
        <v>273359</v>
      </c>
      <c r="Q1926" s="9">
        <v>56973</v>
      </c>
      <c r="R1926" s="9">
        <v>330332</v>
      </c>
      <c r="S1926" s="9">
        <v>-119465</v>
      </c>
      <c r="T1926" s="10">
        <v>126188</v>
      </c>
      <c r="U1926" s="10">
        <v>1305</v>
      </c>
    </row>
    <row r="1927" spans="1:21" x14ac:dyDescent="0.35">
      <c r="A1927" t="s">
        <v>15</v>
      </c>
      <c r="B1927" t="s">
        <v>20</v>
      </c>
      <c r="C1927" t="s">
        <v>21</v>
      </c>
      <c r="D1927">
        <v>225013</v>
      </c>
      <c r="E1927">
        <v>43785</v>
      </c>
      <c r="F1927">
        <v>38081</v>
      </c>
      <c r="G1927">
        <v>-206405</v>
      </c>
      <c r="H1927">
        <v>100474</v>
      </c>
      <c r="I1927">
        <v>91522</v>
      </c>
      <c r="J1927">
        <v>1457</v>
      </c>
      <c r="K1927">
        <v>713303</v>
      </c>
      <c r="L1927">
        <v>285019</v>
      </c>
      <c r="M1927">
        <v>-139167</v>
      </c>
      <c r="N1927">
        <v>166026</v>
      </c>
      <c r="O1927" t="s">
        <v>1945</v>
      </c>
      <c r="P1927" s="9">
        <v>274288</v>
      </c>
      <c r="Q1927" s="9">
        <v>48192</v>
      </c>
      <c r="R1927" s="9">
        <v>322480</v>
      </c>
      <c r="S1927" s="9">
        <v>-114352</v>
      </c>
      <c r="T1927" s="10">
        <v>84445</v>
      </c>
      <c r="U1927" s="10">
        <v>1725</v>
      </c>
    </row>
    <row r="1928" spans="1:21" x14ac:dyDescent="0.35">
      <c r="A1928" t="s">
        <v>15</v>
      </c>
      <c r="B1928" t="s">
        <v>16</v>
      </c>
      <c r="C1928" t="s">
        <v>17</v>
      </c>
      <c r="D1928">
        <v>228091</v>
      </c>
      <c r="E1928">
        <v>31958</v>
      </c>
      <c r="F1928">
        <v>52999</v>
      </c>
      <c r="G1928">
        <v>-208279</v>
      </c>
      <c r="H1928">
        <v>104769</v>
      </c>
      <c r="I1928">
        <v>108606</v>
      </c>
      <c r="J1928">
        <v>1509</v>
      </c>
      <c r="K1928">
        <v>893742</v>
      </c>
      <c r="L1928">
        <v>233342</v>
      </c>
      <c r="M1928">
        <v>-189417</v>
      </c>
      <c r="N1928">
        <v>84815</v>
      </c>
      <c r="O1928" t="s">
        <v>1946</v>
      </c>
      <c r="P1928" s="9">
        <v>271220</v>
      </c>
      <c r="Q1928" s="9">
        <v>51091</v>
      </c>
      <c r="R1928" s="9">
        <v>322311</v>
      </c>
      <c r="S1928" s="9">
        <v>-176666</v>
      </c>
      <c r="T1928" s="10">
        <v>143091</v>
      </c>
      <c r="U1928" s="10">
        <v>3927</v>
      </c>
    </row>
    <row r="1929" spans="1:21" x14ac:dyDescent="0.35">
      <c r="A1929" t="s">
        <v>15</v>
      </c>
      <c r="B1929" t="s">
        <v>16</v>
      </c>
      <c r="C1929" t="s">
        <v>21</v>
      </c>
      <c r="D1929">
        <v>275919</v>
      </c>
      <c r="E1929">
        <v>20439</v>
      </c>
      <c r="F1929">
        <v>36308</v>
      </c>
      <c r="G1929">
        <v>-265059</v>
      </c>
      <c r="H1929">
        <v>67607</v>
      </c>
      <c r="I1929">
        <v>69782</v>
      </c>
      <c r="J1929">
        <v>918</v>
      </c>
      <c r="K1929">
        <v>688813</v>
      </c>
      <c r="L1929">
        <v>229506</v>
      </c>
      <c r="M1929">
        <v>-72324</v>
      </c>
      <c r="N1929">
        <v>187450</v>
      </c>
      <c r="O1929" t="s">
        <v>1947</v>
      </c>
      <c r="P1929" s="9">
        <v>201524</v>
      </c>
      <c r="Q1929" s="9">
        <v>32609</v>
      </c>
      <c r="R1929" s="9">
        <v>234133</v>
      </c>
      <c r="S1929" s="9">
        <v>-106942</v>
      </c>
      <c r="T1929" s="10">
        <v>102160</v>
      </c>
      <c r="U1929" s="10">
        <v>1816</v>
      </c>
    </row>
    <row r="1930" spans="1:21" x14ac:dyDescent="0.35">
      <c r="A1930" t="s">
        <v>15</v>
      </c>
      <c r="B1930" t="s">
        <v>20</v>
      </c>
      <c r="C1930" t="s">
        <v>21</v>
      </c>
      <c r="D1930">
        <v>206366</v>
      </c>
      <c r="E1930">
        <v>38142</v>
      </c>
      <c r="F1930">
        <v>50245</v>
      </c>
      <c r="G1930">
        <v>-204915</v>
      </c>
      <c r="H1930">
        <v>89838</v>
      </c>
      <c r="I1930">
        <v>86191</v>
      </c>
      <c r="J1930">
        <v>2092</v>
      </c>
      <c r="K1930">
        <v>703667</v>
      </c>
      <c r="L1930">
        <v>74321</v>
      </c>
      <c r="M1930">
        <v>-122457</v>
      </c>
      <c r="N1930">
        <v>73150</v>
      </c>
      <c r="O1930" t="s">
        <v>1948</v>
      </c>
      <c r="P1930" s="9">
        <v>274805</v>
      </c>
      <c r="Q1930" s="9">
        <v>21292</v>
      </c>
      <c r="R1930" s="9">
        <v>296097</v>
      </c>
      <c r="S1930" s="9">
        <v>-61134</v>
      </c>
      <c r="T1930" s="10">
        <v>95666</v>
      </c>
      <c r="U1930" s="10">
        <v>1441</v>
      </c>
    </row>
    <row r="1931" spans="1:21" x14ac:dyDescent="0.35">
      <c r="A1931" t="s">
        <v>15</v>
      </c>
      <c r="B1931" t="s">
        <v>20</v>
      </c>
      <c r="C1931" t="s">
        <v>21</v>
      </c>
      <c r="D1931">
        <v>186071</v>
      </c>
      <c r="E1931">
        <v>20080</v>
      </c>
      <c r="F1931">
        <v>36577</v>
      </c>
      <c r="G1931">
        <v>-157440</v>
      </c>
      <c r="H1931">
        <v>85288</v>
      </c>
      <c r="I1931">
        <v>79959</v>
      </c>
      <c r="J1931">
        <v>1510</v>
      </c>
      <c r="K1931">
        <v>662830</v>
      </c>
      <c r="L1931">
        <v>286841</v>
      </c>
      <c r="M1931">
        <v>-139097</v>
      </c>
      <c r="N1931">
        <v>94529</v>
      </c>
      <c r="O1931" t="s">
        <v>1949</v>
      </c>
      <c r="P1931" s="9">
        <v>159182</v>
      </c>
      <c r="Q1931" s="9">
        <v>27460</v>
      </c>
      <c r="R1931" s="9">
        <v>186642</v>
      </c>
      <c r="S1931" s="9">
        <v>-91588</v>
      </c>
      <c r="T1931" s="10">
        <v>66329</v>
      </c>
      <c r="U1931" s="10">
        <v>1722</v>
      </c>
    </row>
    <row r="1932" spans="1:21" x14ac:dyDescent="0.35">
      <c r="A1932" t="s">
        <v>15</v>
      </c>
      <c r="B1932" t="s">
        <v>20</v>
      </c>
      <c r="C1932" t="s">
        <v>17</v>
      </c>
      <c r="D1932">
        <v>156225</v>
      </c>
      <c r="E1932">
        <v>15141</v>
      </c>
      <c r="F1932">
        <v>24161</v>
      </c>
      <c r="G1932">
        <v>-154786</v>
      </c>
      <c r="H1932">
        <v>40741</v>
      </c>
      <c r="I1932">
        <v>41223</v>
      </c>
      <c r="J1932">
        <v>638</v>
      </c>
      <c r="K1932">
        <v>474334</v>
      </c>
      <c r="L1932">
        <v>66680</v>
      </c>
      <c r="M1932">
        <v>-159361</v>
      </c>
      <c r="N1932">
        <v>97780</v>
      </c>
      <c r="O1932" t="s">
        <v>1950</v>
      </c>
      <c r="P1932" s="9">
        <v>223577</v>
      </c>
      <c r="Q1932" s="9">
        <v>32880</v>
      </c>
      <c r="R1932" s="9">
        <v>256457</v>
      </c>
      <c r="S1932" s="9">
        <v>-84132</v>
      </c>
      <c r="T1932" s="10">
        <v>64917</v>
      </c>
      <c r="U1932" s="10">
        <v>1601</v>
      </c>
    </row>
    <row r="1933" spans="1:21" x14ac:dyDescent="0.35">
      <c r="A1933" t="s">
        <v>15</v>
      </c>
      <c r="B1933" t="s">
        <v>16</v>
      </c>
      <c r="C1933" t="s">
        <v>17</v>
      </c>
      <c r="D1933">
        <v>271553</v>
      </c>
      <c r="E1933">
        <v>26257</v>
      </c>
      <c r="F1933">
        <v>37068</v>
      </c>
      <c r="G1933">
        <v>-230418</v>
      </c>
      <c r="H1933">
        <v>104460</v>
      </c>
      <c r="I1933">
        <v>106539</v>
      </c>
      <c r="J1933">
        <v>2108</v>
      </c>
      <c r="K1933">
        <v>726442</v>
      </c>
      <c r="L1933">
        <v>329635</v>
      </c>
      <c r="M1933">
        <v>-99885</v>
      </c>
      <c r="N1933">
        <v>225719</v>
      </c>
      <c r="O1933" t="s">
        <v>1951</v>
      </c>
      <c r="P1933" s="9">
        <v>231913</v>
      </c>
      <c r="Q1933" s="9">
        <v>21300</v>
      </c>
      <c r="R1933" s="9">
        <v>253213</v>
      </c>
      <c r="S1933" s="9">
        <v>-75878</v>
      </c>
      <c r="T1933" s="10">
        <v>82865</v>
      </c>
      <c r="U1933" s="10">
        <v>2482</v>
      </c>
    </row>
    <row r="1934" spans="1:21" x14ac:dyDescent="0.35">
      <c r="A1934" t="s">
        <v>15</v>
      </c>
      <c r="B1934" t="s">
        <v>16</v>
      </c>
      <c r="C1934" t="s">
        <v>21</v>
      </c>
      <c r="D1934">
        <v>272608</v>
      </c>
      <c r="E1934">
        <v>47600</v>
      </c>
      <c r="F1934">
        <v>49374</v>
      </c>
      <c r="G1934">
        <v>-270794</v>
      </c>
      <c r="H1934">
        <v>98788</v>
      </c>
      <c r="I1934">
        <v>89183</v>
      </c>
      <c r="J1934">
        <v>2001</v>
      </c>
      <c r="K1934">
        <v>800219</v>
      </c>
      <c r="L1934">
        <v>134798</v>
      </c>
      <c r="M1934">
        <v>-99302</v>
      </c>
      <c r="N1934">
        <v>231480</v>
      </c>
      <c r="O1934" t="s">
        <v>1952</v>
      </c>
      <c r="P1934" s="9">
        <v>253237</v>
      </c>
      <c r="Q1934" s="9">
        <v>44027</v>
      </c>
      <c r="R1934" s="9">
        <v>297264</v>
      </c>
      <c r="S1934" s="9">
        <v>-176353</v>
      </c>
      <c r="T1934" s="10">
        <v>95806</v>
      </c>
      <c r="U1934" s="10">
        <v>2184</v>
      </c>
    </row>
    <row r="1935" spans="1:21" x14ac:dyDescent="0.35">
      <c r="A1935" t="s">
        <v>15</v>
      </c>
      <c r="B1935" t="s">
        <v>16</v>
      </c>
      <c r="C1935" t="s">
        <v>17</v>
      </c>
      <c r="D1935">
        <v>233543</v>
      </c>
      <c r="E1935">
        <v>42785</v>
      </c>
      <c r="F1935">
        <v>42867</v>
      </c>
      <c r="G1935">
        <v>-232993</v>
      </c>
      <c r="H1935">
        <v>86202</v>
      </c>
      <c r="I1935">
        <v>84576</v>
      </c>
      <c r="J1935">
        <v>1540</v>
      </c>
      <c r="K1935">
        <v>627274</v>
      </c>
      <c r="L1935">
        <v>286116</v>
      </c>
      <c r="M1935">
        <v>-129277</v>
      </c>
      <c r="N1935">
        <v>139843</v>
      </c>
      <c r="O1935" t="s">
        <v>1953</v>
      </c>
      <c r="P1935" s="9">
        <v>195542</v>
      </c>
      <c r="Q1935" s="9">
        <v>34170</v>
      </c>
      <c r="R1935" s="9">
        <v>229712</v>
      </c>
      <c r="S1935" s="9">
        <v>-73621</v>
      </c>
      <c r="T1935" s="10">
        <v>113991</v>
      </c>
      <c r="U1935" s="10">
        <v>3066</v>
      </c>
    </row>
    <row r="1936" spans="1:21" x14ac:dyDescent="0.35">
      <c r="A1936" t="s">
        <v>15</v>
      </c>
      <c r="B1936" t="s">
        <v>20</v>
      </c>
      <c r="C1936" t="s">
        <v>21</v>
      </c>
      <c r="D1936">
        <v>240430</v>
      </c>
      <c r="E1936">
        <v>45227</v>
      </c>
      <c r="F1936">
        <v>38682</v>
      </c>
      <c r="G1936">
        <v>-232576</v>
      </c>
      <c r="H1936">
        <v>91763</v>
      </c>
      <c r="I1936">
        <v>83381</v>
      </c>
      <c r="J1936">
        <v>2367</v>
      </c>
      <c r="K1936">
        <v>852062</v>
      </c>
      <c r="L1936">
        <v>362126</v>
      </c>
      <c r="M1936">
        <v>-317242</v>
      </c>
      <c r="N1936">
        <v>215703</v>
      </c>
      <c r="O1936" t="s">
        <v>1954</v>
      </c>
      <c r="P1936" s="9">
        <v>220602</v>
      </c>
      <c r="Q1936" s="9">
        <v>28565</v>
      </c>
      <c r="R1936" s="9">
        <v>249167</v>
      </c>
      <c r="S1936" s="9">
        <v>-104504</v>
      </c>
      <c r="T1936" s="10">
        <v>76906</v>
      </c>
      <c r="U1936" s="10">
        <v>1047</v>
      </c>
    </row>
    <row r="1937" spans="1:21" x14ac:dyDescent="0.35">
      <c r="A1937" t="s">
        <v>15</v>
      </c>
      <c r="B1937" t="s">
        <v>16</v>
      </c>
      <c r="C1937" t="s">
        <v>21</v>
      </c>
      <c r="D1937">
        <v>179464</v>
      </c>
      <c r="E1937">
        <v>24928</v>
      </c>
      <c r="F1937">
        <v>26683</v>
      </c>
      <c r="G1937">
        <v>-177378</v>
      </c>
      <c r="H1937">
        <v>53697</v>
      </c>
      <c r="I1937">
        <v>52401</v>
      </c>
      <c r="J1937">
        <v>1012</v>
      </c>
      <c r="K1937">
        <v>548490</v>
      </c>
      <c r="L1937">
        <v>220433</v>
      </c>
      <c r="M1937">
        <v>-214819</v>
      </c>
      <c r="N1937">
        <v>110385</v>
      </c>
      <c r="O1937" t="s">
        <v>1955</v>
      </c>
      <c r="P1937" s="9">
        <v>203137</v>
      </c>
      <c r="Q1937" s="9">
        <v>11204</v>
      </c>
      <c r="R1937" s="9">
        <v>214341</v>
      </c>
      <c r="S1937" s="9">
        <v>-105881</v>
      </c>
      <c r="T1937" s="10">
        <v>52139</v>
      </c>
      <c r="U1937" s="10">
        <v>990</v>
      </c>
    </row>
    <row r="1938" spans="1:21" x14ac:dyDescent="0.35">
      <c r="A1938" t="s">
        <v>15</v>
      </c>
      <c r="B1938" t="s">
        <v>20</v>
      </c>
      <c r="C1938" t="s">
        <v>21</v>
      </c>
      <c r="D1938">
        <v>274073</v>
      </c>
      <c r="E1938">
        <v>17826</v>
      </c>
      <c r="F1938">
        <v>54475</v>
      </c>
      <c r="G1938">
        <v>-219966</v>
      </c>
      <c r="H1938">
        <v>126408</v>
      </c>
      <c r="I1938">
        <v>130201</v>
      </c>
      <c r="J1938">
        <v>3845</v>
      </c>
      <c r="K1938">
        <v>1040494</v>
      </c>
      <c r="L1938">
        <v>208417</v>
      </c>
      <c r="M1938">
        <v>-114857</v>
      </c>
      <c r="N1938">
        <v>179649</v>
      </c>
      <c r="O1938" t="s">
        <v>1956</v>
      </c>
      <c r="P1938" s="9">
        <v>193749</v>
      </c>
      <c r="Q1938" s="9">
        <v>22403</v>
      </c>
      <c r="R1938" s="9">
        <v>216152</v>
      </c>
      <c r="S1938" s="9">
        <v>-116513</v>
      </c>
      <c r="T1938" s="10">
        <v>91777</v>
      </c>
      <c r="U1938" s="10">
        <v>1869</v>
      </c>
    </row>
    <row r="1939" spans="1:21" x14ac:dyDescent="0.35">
      <c r="A1939" t="s">
        <v>15</v>
      </c>
      <c r="B1939" t="s">
        <v>20</v>
      </c>
      <c r="C1939" t="s">
        <v>21</v>
      </c>
      <c r="D1939">
        <v>205375</v>
      </c>
      <c r="E1939">
        <v>25480</v>
      </c>
      <c r="F1939">
        <v>23531</v>
      </c>
      <c r="G1939">
        <v>-177095</v>
      </c>
      <c r="H1939">
        <v>77291</v>
      </c>
      <c r="I1939">
        <v>71708</v>
      </c>
      <c r="J1939">
        <v>1836</v>
      </c>
      <c r="K1939">
        <v>430127</v>
      </c>
      <c r="L1939">
        <v>73171</v>
      </c>
      <c r="M1939">
        <v>-69399</v>
      </c>
      <c r="N1939">
        <v>160248</v>
      </c>
      <c r="O1939" t="s">
        <v>1957</v>
      </c>
      <c r="P1939" s="9">
        <v>273432</v>
      </c>
      <c r="Q1939" s="9">
        <v>14275</v>
      </c>
      <c r="R1939" s="9">
        <v>287707</v>
      </c>
      <c r="S1939" s="9">
        <v>-105731</v>
      </c>
      <c r="T1939" s="10">
        <v>83275</v>
      </c>
      <c r="U1939" s="10">
        <v>2096</v>
      </c>
    </row>
    <row r="1940" spans="1:21" x14ac:dyDescent="0.35">
      <c r="A1940" t="s">
        <v>15</v>
      </c>
      <c r="B1940" t="s">
        <v>16</v>
      </c>
      <c r="C1940" t="s">
        <v>17</v>
      </c>
      <c r="D1940">
        <v>234344</v>
      </c>
      <c r="E1940">
        <v>29609</v>
      </c>
      <c r="F1940">
        <v>54524</v>
      </c>
      <c r="G1940">
        <v>-228290</v>
      </c>
      <c r="H1940">
        <v>90187</v>
      </c>
      <c r="I1940">
        <v>83385</v>
      </c>
      <c r="J1940">
        <v>973</v>
      </c>
      <c r="K1940">
        <v>556028</v>
      </c>
      <c r="L1940">
        <v>62769</v>
      </c>
      <c r="M1940">
        <v>-185156</v>
      </c>
      <c r="N1940">
        <v>72753</v>
      </c>
      <c r="O1940" t="s">
        <v>1958</v>
      </c>
      <c r="P1940" s="9">
        <v>225175</v>
      </c>
      <c r="Q1940" s="9">
        <v>34276</v>
      </c>
      <c r="R1940" s="9">
        <v>259451</v>
      </c>
      <c r="S1940" s="9">
        <v>-117649</v>
      </c>
      <c r="T1940" s="10">
        <v>79194</v>
      </c>
      <c r="U1940" s="10">
        <v>1043</v>
      </c>
    </row>
    <row r="1941" spans="1:21" x14ac:dyDescent="0.35">
      <c r="A1941" t="s">
        <v>15</v>
      </c>
      <c r="B1941" t="s">
        <v>16</v>
      </c>
      <c r="C1941" t="s">
        <v>21</v>
      </c>
      <c r="D1941">
        <v>170743</v>
      </c>
      <c r="E1941">
        <v>9477</v>
      </c>
      <c r="F1941">
        <v>29193</v>
      </c>
      <c r="G1941">
        <v>-158653</v>
      </c>
      <c r="H1941">
        <v>50760</v>
      </c>
      <c r="I1941">
        <v>52077</v>
      </c>
      <c r="J1941">
        <v>1150</v>
      </c>
      <c r="K1941">
        <v>417160</v>
      </c>
      <c r="L1941">
        <v>139714</v>
      </c>
      <c r="M1941">
        <v>-147718</v>
      </c>
      <c r="N1941">
        <v>99798</v>
      </c>
      <c r="O1941" t="s">
        <v>1959</v>
      </c>
      <c r="P1941" s="9">
        <v>272734</v>
      </c>
      <c r="Q1941" s="9">
        <v>12235</v>
      </c>
      <c r="R1941" s="9">
        <v>284969</v>
      </c>
      <c r="S1941" s="9">
        <v>-145228</v>
      </c>
      <c r="T1941" s="10">
        <v>93418</v>
      </c>
      <c r="U1941" s="10">
        <v>1888</v>
      </c>
    </row>
    <row r="1942" spans="1:21" x14ac:dyDescent="0.35">
      <c r="A1942" t="s">
        <v>15</v>
      </c>
      <c r="B1942" t="s">
        <v>16</v>
      </c>
      <c r="C1942" t="s">
        <v>17</v>
      </c>
      <c r="D1942">
        <v>234748</v>
      </c>
      <c r="E1942">
        <v>40372</v>
      </c>
      <c r="F1942">
        <v>41772</v>
      </c>
      <c r="G1942">
        <v>-204892</v>
      </c>
      <c r="H1942">
        <v>112000</v>
      </c>
      <c r="I1942">
        <v>101935</v>
      </c>
      <c r="J1942">
        <v>2755</v>
      </c>
      <c r="K1942">
        <v>877840</v>
      </c>
      <c r="L1942">
        <v>281091</v>
      </c>
      <c r="M1942">
        <v>-145083</v>
      </c>
      <c r="N1942">
        <v>188435</v>
      </c>
      <c r="O1942" t="s">
        <v>1960</v>
      </c>
      <c r="P1942" s="9">
        <v>218229</v>
      </c>
      <c r="Q1942" s="9">
        <v>19309</v>
      </c>
      <c r="R1942" s="9">
        <v>237538</v>
      </c>
      <c r="S1942" s="9">
        <v>-106064</v>
      </c>
      <c r="T1942" s="10">
        <v>102318</v>
      </c>
      <c r="U1942" s="10">
        <v>1712</v>
      </c>
    </row>
    <row r="1943" spans="1:21" x14ac:dyDescent="0.35">
      <c r="A1943" t="s">
        <v>15</v>
      </c>
      <c r="B1943" t="s">
        <v>16</v>
      </c>
      <c r="C1943" t="s">
        <v>21</v>
      </c>
      <c r="D1943">
        <v>202163</v>
      </c>
      <c r="E1943">
        <v>34281</v>
      </c>
      <c r="F1943">
        <v>34098</v>
      </c>
      <c r="G1943">
        <v>-197118</v>
      </c>
      <c r="H1943">
        <v>73424</v>
      </c>
      <c r="I1943">
        <v>76645</v>
      </c>
      <c r="J1943">
        <v>1373</v>
      </c>
      <c r="K1943">
        <v>610941</v>
      </c>
      <c r="L1943">
        <v>283861</v>
      </c>
      <c r="M1943">
        <v>-121717</v>
      </c>
      <c r="N1943">
        <v>77131</v>
      </c>
      <c r="O1943" t="s">
        <v>1961</v>
      </c>
      <c r="P1943" s="9">
        <v>286451</v>
      </c>
      <c r="Q1943" s="9">
        <v>41410</v>
      </c>
      <c r="R1943" s="9">
        <v>327861</v>
      </c>
      <c r="S1943" s="9">
        <v>-71596</v>
      </c>
      <c r="T1943" s="10">
        <v>95182</v>
      </c>
      <c r="U1943" s="10">
        <v>1389</v>
      </c>
    </row>
    <row r="1944" spans="1:21" x14ac:dyDescent="0.35">
      <c r="A1944" t="s">
        <v>15</v>
      </c>
      <c r="B1944" t="s">
        <v>16</v>
      </c>
      <c r="C1944" t="s">
        <v>17</v>
      </c>
      <c r="D1944">
        <v>248893</v>
      </c>
      <c r="E1944">
        <v>32390</v>
      </c>
      <c r="F1944">
        <v>47288</v>
      </c>
      <c r="G1944">
        <v>-234464</v>
      </c>
      <c r="H1944">
        <v>94107</v>
      </c>
      <c r="I1944">
        <v>98707</v>
      </c>
      <c r="J1944">
        <v>2260</v>
      </c>
      <c r="K1944">
        <v>664739</v>
      </c>
      <c r="L1944">
        <v>107528</v>
      </c>
      <c r="M1944">
        <v>-140572</v>
      </c>
      <c r="N1944">
        <v>131406</v>
      </c>
      <c r="O1944" t="s">
        <v>1962</v>
      </c>
      <c r="P1944" s="9">
        <v>242715</v>
      </c>
      <c r="Q1944" s="9">
        <v>46337</v>
      </c>
      <c r="R1944" s="9">
        <v>289052</v>
      </c>
      <c r="S1944" s="9">
        <v>-123132</v>
      </c>
      <c r="T1944" s="10">
        <v>136398</v>
      </c>
      <c r="U1944" s="10">
        <v>2755</v>
      </c>
    </row>
    <row r="1945" spans="1:21" x14ac:dyDescent="0.35">
      <c r="A1945" t="s">
        <v>15</v>
      </c>
      <c r="B1945" t="s">
        <v>20</v>
      </c>
      <c r="C1945" t="s">
        <v>17</v>
      </c>
      <c r="D1945">
        <v>230129</v>
      </c>
      <c r="E1945">
        <v>39055</v>
      </c>
      <c r="F1945">
        <v>48919</v>
      </c>
      <c r="G1945">
        <v>-214984</v>
      </c>
      <c r="H1945">
        <v>103119</v>
      </c>
      <c r="I1945">
        <v>106169</v>
      </c>
      <c r="J1945">
        <v>2797</v>
      </c>
      <c r="K1945">
        <v>833874</v>
      </c>
      <c r="L1945">
        <v>221024</v>
      </c>
      <c r="M1945">
        <v>-164001</v>
      </c>
      <c r="N1945">
        <v>87977</v>
      </c>
      <c r="O1945" t="s">
        <v>1963</v>
      </c>
      <c r="P1945" s="9">
        <v>260446</v>
      </c>
      <c r="Q1945" s="9">
        <v>36653</v>
      </c>
      <c r="R1945" s="9">
        <v>297099</v>
      </c>
      <c r="S1945" s="9">
        <v>-101756</v>
      </c>
      <c r="T1945" s="10">
        <v>126847</v>
      </c>
      <c r="U1945" s="10">
        <v>2345</v>
      </c>
    </row>
    <row r="1946" spans="1:21" x14ac:dyDescent="0.35">
      <c r="A1946" t="s">
        <v>15</v>
      </c>
      <c r="B1946" t="s">
        <v>20</v>
      </c>
      <c r="C1946" t="s">
        <v>21</v>
      </c>
      <c r="D1946">
        <v>183909</v>
      </c>
      <c r="E1946">
        <v>31776</v>
      </c>
      <c r="F1946">
        <v>26931</v>
      </c>
      <c r="G1946">
        <v>-181707</v>
      </c>
      <c r="H1946">
        <v>60909</v>
      </c>
      <c r="I1946">
        <v>55273</v>
      </c>
      <c r="J1946">
        <v>738</v>
      </c>
      <c r="K1946">
        <v>734056</v>
      </c>
      <c r="L1946">
        <v>215805</v>
      </c>
      <c r="M1946">
        <v>-218838</v>
      </c>
      <c r="N1946">
        <v>165035</v>
      </c>
      <c r="O1946" t="s">
        <v>1964</v>
      </c>
      <c r="P1946" s="9">
        <v>280526</v>
      </c>
      <c r="Q1946" s="9">
        <v>48443</v>
      </c>
      <c r="R1946" s="9">
        <v>328969</v>
      </c>
      <c r="S1946" s="9">
        <v>-90266</v>
      </c>
      <c r="T1946" s="10">
        <v>98076</v>
      </c>
      <c r="U1946" s="10">
        <v>1897</v>
      </c>
    </row>
    <row r="1947" spans="1:21" x14ac:dyDescent="0.35">
      <c r="A1947" t="s">
        <v>15</v>
      </c>
      <c r="B1947" t="s">
        <v>20</v>
      </c>
      <c r="C1947" t="s">
        <v>21</v>
      </c>
      <c r="D1947">
        <v>222517</v>
      </c>
      <c r="E1947">
        <v>12762</v>
      </c>
      <c r="F1947">
        <v>38122</v>
      </c>
      <c r="G1947">
        <v>-182409</v>
      </c>
      <c r="H1947">
        <v>90992</v>
      </c>
      <c r="I1947">
        <v>84204</v>
      </c>
      <c r="J1947">
        <v>2129</v>
      </c>
      <c r="K1947">
        <v>687145</v>
      </c>
      <c r="L1947">
        <v>194814</v>
      </c>
      <c r="M1947">
        <v>-246601</v>
      </c>
      <c r="N1947">
        <v>155648</v>
      </c>
      <c r="O1947" t="s">
        <v>1965</v>
      </c>
      <c r="P1947" s="9">
        <v>235733</v>
      </c>
      <c r="Q1947" s="9">
        <v>23794</v>
      </c>
      <c r="R1947" s="9">
        <v>259527</v>
      </c>
      <c r="S1947" s="9">
        <v>-53431</v>
      </c>
      <c r="T1947" s="10">
        <v>97338</v>
      </c>
      <c r="U1947" s="10">
        <v>1872</v>
      </c>
    </row>
    <row r="1948" spans="1:21" x14ac:dyDescent="0.35">
      <c r="A1948" t="s">
        <v>15</v>
      </c>
      <c r="B1948" t="s">
        <v>20</v>
      </c>
      <c r="C1948" t="s">
        <v>17</v>
      </c>
      <c r="D1948">
        <v>283001</v>
      </c>
      <c r="E1948">
        <v>43032</v>
      </c>
      <c r="F1948">
        <v>29466</v>
      </c>
      <c r="G1948">
        <v>-274541</v>
      </c>
      <c r="H1948">
        <v>80958</v>
      </c>
      <c r="I1948">
        <v>80384</v>
      </c>
      <c r="J1948">
        <v>1629</v>
      </c>
      <c r="K1948">
        <v>755591</v>
      </c>
      <c r="L1948">
        <v>119641</v>
      </c>
      <c r="M1948">
        <v>-110711</v>
      </c>
      <c r="N1948">
        <v>190648</v>
      </c>
      <c r="O1948" t="s">
        <v>1966</v>
      </c>
      <c r="P1948" s="9">
        <v>217536</v>
      </c>
      <c r="Q1948" s="9">
        <v>38528</v>
      </c>
      <c r="R1948" s="9">
        <v>256064</v>
      </c>
      <c r="S1948" s="9">
        <v>-61503</v>
      </c>
      <c r="T1948" s="10">
        <v>65086</v>
      </c>
      <c r="U1948" s="10">
        <v>1086</v>
      </c>
    </row>
    <row r="1949" spans="1:21" x14ac:dyDescent="0.35">
      <c r="A1949" t="s">
        <v>15</v>
      </c>
      <c r="B1949" t="s">
        <v>16</v>
      </c>
      <c r="C1949" t="s">
        <v>17</v>
      </c>
      <c r="D1949">
        <v>263889</v>
      </c>
      <c r="E1949">
        <v>27428</v>
      </c>
      <c r="F1949">
        <v>50661</v>
      </c>
      <c r="G1949">
        <v>-234783</v>
      </c>
      <c r="H1949">
        <v>107195</v>
      </c>
      <c r="I1949">
        <v>99133</v>
      </c>
      <c r="J1949">
        <v>1581</v>
      </c>
      <c r="K1949">
        <v>543287</v>
      </c>
      <c r="L1949">
        <v>205131</v>
      </c>
      <c r="M1949">
        <v>-197508</v>
      </c>
      <c r="N1949">
        <v>113093</v>
      </c>
      <c r="O1949" t="s">
        <v>1967</v>
      </c>
      <c r="P1949" s="9">
        <v>177186</v>
      </c>
      <c r="Q1949" s="9">
        <v>22006</v>
      </c>
      <c r="R1949" s="9">
        <v>199192</v>
      </c>
      <c r="S1949" s="9">
        <v>-89543</v>
      </c>
      <c r="T1949" s="10">
        <v>95279</v>
      </c>
      <c r="U1949" s="10">
        <v>2457</v>
      </c>
    </row>
    <row r="1950" spans="1:21" x14ac:dyDescent="0.35">
      <c r="A1950" t="s">
        <v>15</v>
      </c>
      <c r="B1950" t="s">
        <v>16</v>
      </c>
      <c r="C1950" t="s">
        <v>17</v>
      </c>
      <c r="D1950">
        <v>177167</v>
      </c>
      <c r="E1950">
        <v>16745</v>
      </c>
      <c r="F1950">
        <v>39006</v>
      </c>
      <c r="G1950">
        <v>-147517</v>
      </c>
      <c r="H1950">
        <v>85401</v>
      </c>
      <c r="I1950">
        <v>87857</v>
      </c>
      <c r="J1950">
        <v>2400</v>
      </c>
      <c r="K1950">
        <v>562847</v>
      </c>
      <c r="L1950">
        <v>140171</v>
      </c>
      <c r="M1950">
        <v>-131263</v>
      </c>
      <c r="N1950">
        <v>74442</v>
      </c>
      <c r="O1950" t="s">
        <v>1968</v>
      </c>
      <c r="P1950" s="9">
        <v>257654</v>
      </c>
      <c r="Q1950" s="9">
        <v>34635</v>
      </c>
      <c r="R1950" s="9">
        <v>292289</v>
      </c>
      <c r="S1950" s="9">
        <v>-141397</v>
      </c>
      <c r="T1950" s="10">
        <v>98358</v>
      </c>
      <c r="U1950" s="10">
        <v>2530</v>
      </c>
    </row>
    <row r="1951" spans="1:21" x14ac:dyDescent="0.35">
      <c r="A1951" t="s">
        <v>15</v>
      </c>
      <c r="B1951" t="s">
        <v>16</v>
      </c>
      <c r="C1951" t="s">
        <v>21</v>
      </c>
      <c r="D1951">
        <v>266830</v>
      </c>
      <c r="E1951">
        <v>22567</v>
      </c>
      <c r="F1951">
        <v>49731</v>
      </c>
      <c r="G1951">
        <v>-228044</v>
      </c>
      <c r="H1951">
        <v>111084</v>
      </c>
      <c r="I1951">
        <v>103956</v>
      </c>
      <c r="J1951">
        <v>2353</v>
      </c>
      <c r="K1951">
        <v>902139</v>
      </c>
      <c r="L1951">
        <v>306079</v>
      </c>
      <c r="M1951">
        <v>-314160</v>
      </c>
      <c r="N1951">
        <v>173518</v>
      </c>
      <c r="O1951" t="s">
        <v>1969</v>
      </c>
      <c r="P1951" s="9">
        <v>298496</v>
      </c>
      <c r="Q1951" s="9">
        <v>37220</v>
      </c>
      <c r="R1951" s="9">
        <v>335716</v>
      </c>
      <c r="S1951" s="9">
        <v>-151291</v>
      </c>
      <c r="T1951" s="10">
        <v>117986</v>
      </c>
      <c r="U1951" s="10">
        <v>2265</v>
      </c>
    </row>
    <row r="1952" spans="1:21" x14ac:dyDescent="0.35">
      <c r="A1952" t="s">
        <v>15</v>
      </c>
      <c r="B1952" t="s">
        <v>20</v>
      </c>
      <c r="C1952" t="s">
        <v>21</v>
      </c>
      <c r="D1952">
        <v>264182</v>
      </c>
      <c r="E1952">
        <v>29802</v>
      </c>
      <c r="F1952">
        <v>48705</v>
      </c>
      <c r="G1952">
        <v>-230023</v>
      </c>
      <c r="H1952">
        <v>112666</v>
      </c>
      <c r="I1952">
        <v>108334</v>
      </c>
      <c r="J1952">
        <v>2182</v>
      </c>
      <c r="K1952">
        <v>943525</v>
      </c>
      <c r="L1952">
        <v>200957</v>
      </c>
      <c r="M1952">
        <v>-347534</v>
      </c>
      <c r="N1952">
        <v>205509</v>
      </c>
      <c r="O1952" t="s">
        <v>1970</v>
      </c>
      <c r="P1952" s="9">
        <v>216792</v>
      </c>
      <c r="Q1952" s="9">
        <v>43563</v>
      </c>
      <c r="R1952" s="9">
        <v>260355</v>
      </c>
      <c r="S1952" s="9">
        <v>-125230</v>
      </c>
      <c r="T1952" s="10">
        <v>82867</v>
      </c>
      <c r="U1952" s="10">
        <v>1554</v>
      </c>
    </row>
    <row r="1953" spans="1:21" x14ac:dyDescent="0.35">
      <c r="A1953" t="s">
        <v>15</v>
      </c>
      <c r="B1953" t="s">
        <v>16</v>
      </c>
      <c r="C1953" t="s">
        <v>17</v>
      </c>
      <c r="D1953">
        <v>197759</v>
      </c>
      <c r="E1953">
        <v>20252</v>
      </c>
      <c r="F1953">
        <v>42294</v>
      </c>
      <c r="G1953">
        <v>-168820</v>
      </c>
      <c r="H1953">
        <v>91485</v>
      </c>
      <c r="I1953">
        <v>92321</v>
      </c>
      <c r="J1953">
        <v>1577</v>
      </c>
      <c r="K1953">
        <v>554573</v>
      </c>
      <c r="L1953">
        <v>177256</v>
      </c>
      <c r="M1953">
        <v>-214034</v>
      </c>
      <c r="N1953">
        <v>109265</v>
      </c>
      <c r="O1953" t="s">
        <v>1971</v>
      </c>
      <c r="P1953" s="9">
        <v>199872</v>
      </c>
      <c r="Q1953" s="9">
        <v>30872</v>
      </c>
      <c r="R1953" s="9">
        <v>230744</v>
      </c>
      <c r="S1953" s="9">
        <v>-96815</v>
      </c>
      <c r="T1953" s="10">
        <v>92377</v>
      </c>
      <c r="U1953" s="10">
        <v>1770</v>
      </c>
    </row>
    <row r="1954" spans="1:21" x14ac:dyDescent="0.35">
      <c r="A1954" t="s">
        <v>15</v>
      </c>
      <c r="B1954" t="s">
        <v>16</v>
      </c>
      <c r="C1954" t="s">
        <v>21</v>
      </c>
      <c r="D1954">
        <v>173838</v>
      </c>
      <c r="E1954">
        <v>30379</v>
      </c>
      <c r="F1954">
        <v>18067</v>
      </c>
      <c r="G1954">
        <v>-149747</v>
      </c>
      <c r="H1954">
        <v>72537</v>
      </c>
      <c r="I1954">
        <v>67935</v>
      </c>
      <c r="J1954">
        <v>1875</v>
      </c>
      <c r="K1954">
        <v>476178</v>
      </c>
      <c r="L1954">
        <v>189603</v>
      </c>
      <c r="M1954">
        <v>-189854</v>
      </c>
      <c r="N1954">
        <v>75541</v>
      </c>
      <c r="O1954" t="s">
        <v>1972</v>
      </c>
      <c r="P1954" s="9">
        <v>220708</v>
      </c>
      <c r="Q1954" s="9">
        <v>30835</v>
      </c>
      <c r="R1954" s="9">
        <v>251543</v>
      </c>
      <c r="S1954" s="9">
        <v>-132461</v>
      </c>
      <c r="T1954" s="10">
        <v>107629</v>
      </c>
      <c r="U1954" s="10">
        <v>1410</v>
      </c>
    </row>
    <row r="1955" spans="1:21" x14ac:dyDescent="0.35">
      <c r="A1955" t="s">
        <v>15</v>
      </c>
      <c r="B1955" t="s">
        <v>16</v>
      </c>
      <c r="C1955" t="s">
        <v>21</v>
      </c>
      <c r="D1955">
        <v>191334</v>
      </c>
      <c r="E1955">
        <v>31051</v>
      </c>
      <c r="F1955">
        <v>36729</v>
      </c>
      <c r="G1955">
        <v>-187774</v>
      </c>
      <c r="H1955">
        <v>71340</v>
      </c>
      <c r="I1955">
        <v>71773</v>
      </c>
      <c r="J1955">
        <v>1939</v>
      </c>
      <c r="K1955">
        <v>478168</v>
      </c>
      <c r="L1955">
        <v>124030</v>
      </c>
      <c r="M1955">
        <v>-152945</v>
      </c>
      <c r="N1955">
        <v>81555</v>
      </c>
      <c r="O1955" t="s">
        <v>1973</v>
      </c>
      <c r="P1955" s="9">
        <v>292643</v>
      </c>
      <c r="Q1955" s="9">
        <v>31421</v>
      </c>
      <c r="R1955" s="9">
        <v>324064</v>
      </c>
      <c r="S1955" s="9">
        <v>-102428</v>
      </c>
      <c r="T1955" s="10">
        <v>139765</v>
      </c>
      <c r="U1955" s="10">
        <v>3697</v>
      </c>
    </row>
    <row r="1956" spans="1:21" x14ac:dyDescent="0.35">
      <c r="A1956" t="s">
        <v>15</v>
      </c>
      <c r="B1956" t="s">
        <v>20</v>
      </c>
      <c r="C1956" t="s">
        <v>17</v>
      </c>
      <c r="D1956">
        <v>217702</v>
      </c>
      <c r="E1956">
        <v>38873</v>
      </c>
      <c r="F1956">
        <v>42921</v>
      </c>
      <c r="G1956">
        <v>-216222</v>
      </c>
      <c r="H1956">
        <v>83274</v>
      </c>
      <c r="I1956">
        <v>79592</v>
      </c>
      <c r="J1956">
        <v>988</v>
      </c>
      <c r="K1956">
        <v>656652</v>
      </c>
      <c r="L1956">
        <v>137637</v>
      </c>
      <c r="M1956">
        <v>-125088</v>
      </c>
      <c r="N1956">
        <v>167398</v>
      </c>
      <c r="O1956" t="s">
        <v>1974</v>
      </c>
      <c r="P1956" s="9">
        <v>207616</v>
      </c>
      <c r="Q1956" s="9">
        <v>21457</v>
      </c>
      <c r="R1956" s="9">
        <v>229073</v>
      </c>
      <c r="S1956" s="9">
        <v>-136897</v>
      </c>
      <c r="T1956" s="10">
        <v>54301</v>
      </c>
      <c r="U1956" s="10">
        <v>1243</v>
      </c>
    </row>
    <row r="1957" spans="1:21" x14ac:dyDescent="0.35">
      <c r="A1957" t="s">
        <v>15</v>
      </c>
      <c r="B1957" t="s">
        <v>20</v>
      </c>
      <c r="C1957" t="s">
        <v>17</v>
      </c>
      <c r="D1957">
        <v>191204</v>
      </c>
      <c r="E1957">
        <v>27187</v>
      </c>
      <c r="F1957">
        <v>44423</v>
      </c>
      <c r="G1957">
        <v>-189383</v>
      </c>
      <c r="H1957">
        <v>73431</v>
      </c>
      <c r="I1957">
        <v>66608</v>
      </c>
      <c r="J1957">
        <v>1315</v>
      </c>
      <c r="K1957">
        <v>640250</v>
      </c>
      <c r="L1957">
        <v>104582</v>
      </c>
      <c r="M1957">
        <v>-187722</v>
      </c>
      <c r="N1957">
        <v>106115</v>
      </c>
      <c r="O1957" t="s">
        <v>1975</v>
      </c>
      <c r="P1957" s="9">
        <v>274299</v>
      </c>
      <c r="Q1957" s="9">
        <v>16722</v>
      </c>
      <c r="R1957" s="9">
        <v>291021</v>
      </c>
      <c r="S1957" s="9">
        <v>-104932</v>
      </c>
      <c r="T1957" s="10">
        <v>58558</v>
      </c>
      <c r="U1957" s="10">
        <v>1570</v>
      </c>
    </row>
    <row r="1958" spans="1:21" x14ac:dyDescent="0.35">
      <c r="A1958" t="s">
        <v>15</v>
      </c>
      <c r="B1958" t="s">
        <v>20</v>
      </c>
      <c r="C1958" t="s">
        <v>21</v>
      </c>
      <c r="D1958">
        <v>150962</v>
      </c>
      <c r="E1958">
        <v>22588</v>
      </c>
      <c r="F1958">
        <v>36436</v>
      </c>
      <c r="G1958">
        <v>-131370</v>
      </c>
      <c r="H1958">
        <v>78616</v>
      </c>
      <c r="I1958">
        <v>72225</v>
      </c>
      <c r="J1958">
        <v>1755</v>
      </c>
      <c r="K1958">
        <v>454664</v>
      </c>
      <c r="L1958">
        <v>203532</v>
      </c>
      <c r="M1958">
        <v>-153719</v>
      </c>
      <c r="N1958">
        <v>68551</v>
      </c>
      <c r="O1958" t="s">
        <v>1976</v>
      </c>
      <c r="P1958" s="9">
        <v>225662</v>
      </c>
      <c r="Q1958" s="9">
        <v>43424</v>
      </c>
      <c r="R1958" s="9">
        <v>269086</v>
      </c>
      <c r="S1958" s="9">
        <v>-120596</v>
      </c>
      <c r="T1958" s="10">
        <v>113613</v>
      </c>
      <c r="U1958" s="10">
        <v>1514</v>
      </c>
    </row>
    <row r="1959" spans="1:21" x14ac:dyDescent="0.35">
      <c r="A1959" t="s">
        <v>15</v>
      </c>
      <c r="B1959" t="s">
        <v>20</v>
      </c>
      <c r="C1959" t="s">
        <v>21</v>
      </c>
      <c r="D1959">
        <v>194993</v>
      </c>
      <c r="E1959">
        <v>37188</v>
      </c>
      <c r="F1959">
        <v>22903</v>
      </c>
      <c r="G1959">
        <v>-176144</v>
      </c>
      <c r="H1959">
        <v>78940</v>
      </c>
      <c r="I1959">
        <v>71984</v>
      </c>
      <c r="J1959">
        <v>789</v>
      </c>
      <c r="K1959">
        <v>676117</v>
      </c>
      <c r="L1959">
        <v>188707</v>
      </c>
      <c r="M1959">
        <v>-190381</v>
      </c>
      <c r="N1959">
        <v>132155</v>
      </c>
      <c r="O1959" t="s">
        <v>1977</v>
      </c>
      <c r="P1959" s="9">
        <v>182272</v>
      </c>
      <c r="Q1959" s="9">
        <v>28980</v>
      </c>
      <c r="R1959" s="9">
        <v>211252</v>
      </c>
      <c r="S1959" s="9">
        <v>-90841</v>
      </c>
      <c r="T1959" s="10">
        <v>73037</v>
      </c>
      <c r="U1959" s="10">
        <v>1168</v>
      </c>
    </row>
    <row r="1960" spans="1:21" x14ac:dyDescent="0.35">
      <c r="A1960" t="s">
        <v>15</v>
      </c>
      <c r="B1960" t="s">
        <v>16</v>
      </c>
      <c r="C1960" t="s">
        <v>21</v>
      </c>
      <c r="D1960">
        <v>194751</v>
      </c>
      <c r="E1960">
        <v>15604</v>
      </c>
      <c r="F1960">
        <v>31382</v>
      </c>
      <c r="G1960">
        <v>-169807</v>
      </c>
      <c r="H1960">
        <v>71930</v>
      </c>
      <c r="I1960">
        <v>65698</v>
      </c>
      <c r="J1960">
        <v>1371</v>
      </c>
      <c r="K1960">
        <v>595449</v>
      </c>
      <c r="L1960">
        <v>279679</v>
      </c>
      <c r="M1960">
        <v>-218629</v>
      </c>
      <c r="N1960">
        <v>91827</v>
      </c>
      <c r="O1960" t="s">
        <v>1978</v>
      </c>
      <c r="P1960" s="9">
        <v>194476</v>
      </c>
      <c r="Q1960" s="9">
        <v>32834</v>
      </c>
      <c r="R1960" s="9">
        <v>227310</v>
      </c>
      <c r="S1960" s="9">
        <v>-67474</v>
      </c>
      <c r="T1960" s="10">
        <v>105648</v>
      </c>
      <c r="U1960" s="10">
        <v>1792</v>
      </c>
    </row>
    <row r="1961" spans="1:21" x14ac:dyDescent="0.35">
      <c r="A1961" t="s">
        <v>15</v>
      </c>
      <c r="B1961" t="s">
        <v>16</v>
      </c>
      <c r="C1961" t="s">
        <v>21</v>
      </c>
      <c r="D1961">
        <v>253947</v>
      </c>
      <c r="E1961">
        <v>38565</v>
      </c>
      <c r="F1961">
        <v>54472</v>
      </c>
      <c r="G1961">
        <v>-251586</v>
      </c>
      <c r="H1961">
        <v>95398</v>
      </c>
      <c r="I1961">
        <v>95755</v>
      </c>
      <c r="J1961">
        <v>1820</v>
      </c>
      <c r="K1961">
        <v>607010</v>
      </c>
      <c r="L1961">
        <v>247377</v>
      </c>
      <c r="M1961">
        <v>-121012</v>
      </c>
      <c r="N1961">
        <v>194318</v>
      </c>
      <c r="O1961" t="s">
        <v>1979</v>
      </c>
      <c r="P1961" s="9">
        <v>277861</v>
      </c>
      <c r="Q1961" s="9">
        <v>50645</v>
      </c>
      <c r="R1961" s="9">
        <v>328506</v>
      </c>
      <c r="S1961" s="9">
        <v>-73017</v>
      </c>
      <c r="T1961" s="10">
        <v>118803</v>
      </c>
      <c r="U1961" s="10">
        <v>2019</v>
      </c>
    </row>
    <row r="1962" spans="1:21" x14ac:dyDescent="0.35">
      <c r="A1962" t="s">
        <v>15</v>
      </c>
      <c r="B1962" t="s">
        <v>20</v>
      </c>
      <c r="C1962" t="s">
        <v>17</v>
      </c>
      <c r="D1962">
        <v>248191</v>
      </c>
      <c r="E1962">
        <v>12653</v>
      </c>
      <c r="F1962">
        <v>59244</v>
      </c>
      <c r="G1962">
        <v>-236770</v>
      </c>
      <c r="H1962">
        <v>83318</v>
      </c>
      <c r="I1962">
        <v>76602</v>
      </c>
      <c r="J1962">
        <v>927</v>
      </c>
      <c r="K1962">
        <v>909734</v>
      </c>
      <c r="L1962">
        <v>270922</v>
      </c>
      <c r="M1962">
        <v>-158377</v>
      </c>
      <c r="N1962">
        <v>168341</v>
      </c>
      <c r="O1962" t="s">
        <v>1980</v>
      </c>
      <c r="P1962" s="9">
        <v>296247</v>
      </c>
      <c r="Q1962" s="9">
        <v>54458</v>
      </c>
      <c r="R1962" s="9">
        <v>350705</v>
      </c>
      <c r="S1962" s="9">
        <v>-198101</v>
      </c>
      <c r="T1962" s="10">
        <v>150029</v>
      </c>
      <c r="U1962" s="10">
        <v>2868</v>
      </c>
    </row>
    <row r="1963" spans="1:21" x14ac:dyDescent="0.35">
      <c r="A1963" t="s">
        <v>15</v>
      </c>
      <c r="B1963" t="s">
        <v>20</v>
      </c>
      <c r="C1963" t="s">
        <v>21</v>
      </c>
      <c r="D1963">
        <v>240179</v>
      </c>
      <c r="E1963">
        <v>39558</v>
      </c>
      <c r="F1963">
        <v>51915</v>
      </c>
      <c r="G1963">
        <v>-216167</v>
      </c>
      <c r="H1963">
        <v>115485</v>
      </c>
      <c r="I1963">
        <v>114143</v>
      </c>
      <c r="J1963">
        <v>1341</v>
      </c>
      <c r="K1963">
        <v>540530</v>
      </c>
      <c r="L1963">
        <v>253088</v>
      </c>
      <c r="M1963">
        <v>-138898</v>
      </c>
      <c r="N1963">
        <v>168255</v>
      </c>
      <c r="O1963" t="s">
        <v>1981</v>
      </c>
      <c r="P1963" s="9">
        <v>207981</v>
      </c>
      <c r="Q1963" s="9">
        <v>32715</v>
      </c>
      <c r="R1963" s="9">
        <v>240696</v>
      </c>
      <c r="S1963" s="9">
        <v>-91784</v>
      </c>
      <c r="T1963" s="10">
        <v>71534</v>
      </c>
      <c r="U1963" s="10">
        <v>1395</v>
      </c>
    </row>
    <row r="1964" spans="1:21" x14ac:dyDescent="0.35">
      <c r="A1964" t="s">
        <v>15</v>
      </c>
      <c r="B1964" t="s">
        <v>20</v>
      </c>
      <c r="C1964" t="s">
        <v>17</v>
      </c>
      <c r="D1964">
        <v>226605</v>
      </c>
      <c r="E1964">
        <v>32407</v>
      </c>
      <c r="F1964">
        <v>23409</v>
      </c>
      <c r="G1964">
        <v>-205570</v>
      </c>
      <c r="H1964">
        <v>76851</v>
      </c>
      <c r="I1964">
        <v>79093</v>
      </c>
      <c r="J1964">
        <v>1121</v>
      </c>
      <c r="K1964">
        <v>559264</v>
      </c>
      <c r="L1964">
        <v>74147</v>
      </c>
      <c r="M1964">
        <v>-106214</v>
      </c>
      <c r="N1964">
        <v>156375</v>
      </c>
      <c r="O1964" t="s">
        <v>1982</v>
      </c>
      <c r="P1964" s="9">
        <v>200205</v>
      </c>
      <c r="Q1964" s="9">
        <v>37239</v>
      </c>
      <c r="R1964" s="9">
        <v>237444</v>
      </c>
      <c r="S1964" s="9">
        <v>-55075</v>
      </c>
      <c r="T1964" s="10">
        <v>103691</v>
      </c>
      <c r="U1964" s="10">
        <v>2210</v>
      </c>
    </row>
    <row r="1965" spans="1:21" x14ac:dyDescent="0.35">
      <c r="A1965" t="s">
        <v>15</v>
      </c>
      <c r="B1965" t="s">
        <v>20</v>
      </c>
      <c r="C1965" t="s">
        <v>17</v>
      </c>
      <c r="D1965">
        <v>278386</v>
      </c>
      <c r="E1965">
        <v>21368</v>
      </c>
      <c r="F1965">
        <v>28977</v>
      </c>
      <c r="G1965">
        <v>-247415</v>
      </c>
      <c r="H1965">
        <v>81316</v>
      </c>
      <c r="I1965">
        <v>77578</v>
      </c>
      <c r="J1965">
        <v>973</v>
      </c>
      <c r="K1965">
        <v>949929</v>
      </c>
      <c r="L1965">
        <v>212035</v>
      </c>
      <c r="M1965">
        <v>-111577</v>
      </c>
      <c r="N1965">
        <v>136080</v>
      </c>
      <c r="O1965" t="s">
        <v>1983</v>
      </c>
      <c r="P1965" s="9">
        <v>206053</v>
      </c>
      <c r="Q1965" s="9">
        <v>12987</v>
      </c>
      <c r="R1965" s="9">
        <v>219040</v>
      </c>
      <c r="S1965" s="9">
        <v>-90095</v>
      </c>
      <c r="T1965" s="10">
        <v>67560</v>
      </c>
      <c r="U1965" s="10">
        <v>1867</v>
      </c>
    </row>
    <row r="1966" spans="1:21" x14ac:dyDescent="0.35">
      <c r="A1966" t="s">
        <v>15</v>
      </c>
      <c r="B1966" t="s">
        <v>16</v>
      </c>
      <c r="C1966" t="s">
        <v>21</v>
      </c>
      <c r="D1966">
        <v>241414</v>
      </c>
      <c r="E1966">
        <v>30051</v>
      </c>
      <c r="F1966">
        <v>50213</v>
      </c>
      <c r="G1966">
        <v>-227923</v>
      </c>
      <c r="H1966">
        <v>93755</v>
      </c>
      <c r="I1966">
        <v>90061</v>
      </c>
      <c r="J1966">
        <v>1852</v>
      </c>
      <c r="K1966">
        <v>849093</v>
      </c>
      <c r="L1966">
        <v>179504</v>
      </c>
      <c r="M1966">
        <v>-325383</v>
      </c>
      <c r="N1966">
        <v>95573</v>
      </c>
      <c r="O1966" t="s">
        <v>1984</v>
      </c>
      <c r="P1966" s="9">
        <v>207397</v>
      </c>
      <c r="Q1966" s="9">
        <v>28492</v>
      </c>
      <c r="R1966" s="9">
        <v>235889</v>
      </c>
      <c r="S1966" s="9">
        <v>-136872</v>
      </c>
      <c r="T1966" s="10">
        <v>57877</v>
      </c>
      <c r="U1966" s="10">
        <v>1100</v>
      </c>
    </row>
    <row r="1967" spans="1:21" x14ac:dyDescent="0.35">
      <c r="A1967" t="s">
        <v>15</v>
      </c>
      <c r="B1967" t="s">
        <v>20</v>
      </c>
      <c r="C1967" t="s">
        <v>21</v>
      </c>
      <c r="D1967">
        <v>276176</v>
      </c>
      <c r="E1967">
        <v>14573</v>
      </c>
      <c r="F1967">
        <v>55980</v>
      </c>
      <c r="G1967">
        <v>-264363</v>
      </c>
      <c r="H1967">
        <v>82366</v>
      </c>
      <c r="I1967">
        <v>82215</v>
      </c>
      <c r="J1967">
        <v>2207</v>
      </c>
      <c r="K1967">
        <v>601375</v>
      </c>
      <c r="L1967">
        <v>65104</v>
      </c>
      <c r="M1967">
        <v>-156656</v>
      </c>
      <c r="N1967">
        <v>178313</v>
      </c>
      <c r="O1967" t="s">
        <v>1985</v>
      </c>
      <c r="P1967" s="9">
        <v>272351</v>
      </c>
      <c r="Q1967" s="9">
        <v>36915</v>
      </c>
      <c r="R1967" s="9">
        <v>309266</v>
      </c>
      <c r="S1967" s="9">
        <v>-129078</v>
      </c>
      <c r="T1967" s="10">
        <v>119437</v>
      </c>
      <c r="U1967" s="10">
        <v>2342</v>
      </c>
    </row>
    <row r="1968" spans="1:21" x14ac:dyDescent="0.35">
      <c r="A1968" t="s">
        <v>15</v>
      </c>
      <c r="B1968" t="s">
        <v>16</v>
      </c>
      <c r="C1968" t="s">
        <v>21</v>
      </c>
      <c r="D1968">
        <v>249254</v>
      </c>
      <c r="E1968">
        <v>19918</v>
      </c>
      <c r="F1968">
        <v>58133</v>
      </c>
      <c r="G1968">
        <v>-232417</v>
      </c>
      <c r="H1968">
        <v>94888</v>
      </c>
      <c r="I1968">
        <v>91251</v>
      </c>
      <c r="J1968">
        <v>1873</v>
      </c>
      <c r="K1968">
        <v>783526</v>
      </c>
      <c r="L1968">
        <v>178654</v>
      </c>
      <c r="M1968">
        <v>-285209</v>
      </c>
      <c r="N1968">
        <v>117272</v>
      </c>
      <c r="O1968" t="s">
        <v>1986</v>
      </c>
      <c r="P1968" s="9">
        <v>268312</v>
      </c>
      <c r="Q1968" s="9">
        <v>28863</v>
      </c>
      <c r="R1968" s="9">
        <v>297175</v>
      </c>
      <c r="S1968" s="9">
        <v>-89622</v>
      </c>
      <c r="T1968" s="10">
        <v>122674</v>
      </c>
      <c r="U1968" s="10">
        <v>2267</v>
      </c>
    </row>
    <row r="1969" spans="1:21" x14ac:dyDescent="0.35">
      <c r="A1969" t="s">
        <v>15</v>
      </c>
      <c r="B1969" t="s">
        <v>16</v>
      </c>
      <c r="C1969" t="s">
        <v>17</v>
      </c>
      <c r="D1969">
        <v>185818</v>
      </c>
      <c r="E1969">
        <v>33129</v>
      </c>
      <c r="F1969">
        <v>28666</v>
      </c>
      <c r="G1969">
        <v>-154282</v>
      </c>
      <c r="H1969">
        <v>93331</v>
      </c>
      <c r="I1969">
        <v>95736</v>
      </c>
      <c r="J1969">
        <v>970</v>
      </c>
      <c r="K1969">
        <v>610945</v>
      </c>
      <c r="L1969">
        <v>210756</v>
      </c>
      <c r="M1969">
        <v>-90209</v>
      </c>
      <c r="N1969">
        <v>130405</v>
      </c>
      <c r="O1969" t="s">
        <v>1987</v>
      </c>
      <c r="P1969" s="9">
        <v>264421</v>
      </c>
      <c r="Q1969" s="9">
        <v>30283</v>
      </c>
      <c r="R1969" s="9">
        <v>294704</v>
      </c>
      <c r="S1969" s="9">
        <v>-141499</v>
      </c>
      <c r="T1969" s="10">
        <v>129061</v>
      </c>
      <c r="U1969" s="10">
        <v>2591</v>
      </c>
    </row>
    <row r="1970" spans="1:21" x14ac:dyDescent="0.35">
      <c r="A1970" t="s">
        <v>15</v>
      </c>
      <c r="B1970" t="s">
        <v>16</v>
      </c>
      <c r="C1970" t="s">
        <v>17</v>
      </c>
      <c r="D1970">
        <v>299823</v>
      </c>
      <c r="E1970">
        <v>38466</v>
      </c>
      <c r="F1970">
        <v>39444</v>
      </c>
      <c r="G1970">
        <v>-258678</v>
      </c>
      <c r="H1970">
        <v>119055</v>
      </c>
      <c r="I1970">
        <v>116802</v>
      </c>
      <c r="J1970">
        <v>2398</v>
      </c>
      <c r="K1970">
        <v>749903</v>
      </c>
      <c r="L1970">
        <v>127740</v>
      </c>
      <c r="M1970">
        <v>-127200</v>
      </c>
      <c r="N1970">
        <v>109148</v>
      </c>
      <c r="O1970" t="s">
        <v>1988</v>
      </c>
      <c r="P1970" s="9">
        <v>287964</v>
      </c>
      <c r="Q1970" s="9">
        <v>25009</v>
      </c>
      <c r="R1970" s="9">
        <v>312973</v>
      </c>
      <c r="S1970" s="9">
        <v>-180667</v>
      </c>
      <c r="T1970" s="10">
        <v>141191</v>
      </c>
      <c r="U1970" s="10">
        <v>4221</v>
      </c>
    </row>
    <row r="1971" spans="1:21" x14ac:dyDescent="0.35">
      <c r="A1971" t="s">
        <v>15</v>
      </c>
      <c r="B1971" t="s">
        <v>16</v>
      </c>
      <c r="C1971" t="s">
        <v>21</v>
      </c>
      <c r="D1971">
        <v>248061</v>
      </c>
      <c r="E1971">
        <v>26472</v>
      </c>
      <c r="F1971">
        <v>28992</v>
      </c>
      <c r="G1971">
        <v>-234485</v>
      </c>
      <c r="H1971">
        <v>69040</v>
      </c>
      <c r="I1971">
        <v>68459</v>
      </c>
      <c r="J1971">
        <v>720</v>
      </c>
      <c r="K1971">
        <v>546499</v>
      </c>
      <c r="L1971">
        <v>235521</v>
      </c>
      <c r="M1971">
        <v>-94215</v>
      </c>
      <c r="N1971">
        <v>205749</v>
      </c>
      <c r="O1971" t="s">
        <v>1989</v>
      </c>
      <c r="P1971" s="9">
        <v>223514</v>
      </c>
      <c r="Q1971" s="9">
        <v>32552</v>
      </c>
      <c r="R1971" s="9">
        <v>256066</v>
      </c>
      <c r="S1971" s="9">
        <v>-74232</v>
      </c>
      <c r="T1971" s="10">
        <v>87158</v>
      </c>
      <c r="U1971" s="10">
        <v>1580</v>
      </c>
    </row>
    <row r="1972" spans="1:21" x14ac:dyDescent="0.35">
      <c r="A1972" t="s">
        <v>15</v>
      </c>
      <c r="B1972" t="s">
        <v>16</v>
      </c>
      <c r="C1972" t="s">
        <v>17</v>
      </c>
      <c r="D1972">
        <v>238829</v>
      </c>
      <c r="E1972">
        <v>25361</v>
      </c>
      <c r="F1972">
        <v>34584</v>
      </c>
      <c r="G1972">
        <v>-224103</v>
      </c>
      <c r="H1972">
        <v>74671</v>
      </c>
      <c r="I1972">
        <v>76613</v>
      </c>
      <c r="J1972">
        <v>2138</v>
      </c>
      <c r="K1972">
        <v>639530</v>
      </c>
      <c r="L1972">
        <v>158945</v>
      </c>
      <c r="M1972">
        <v>-131574</v>
      </c>
      <c r="N1972">
        <v>181523</v>
      </c>
      <c r="O1972" t="s">
        <v>1990</v>
      </c>
      <c r="P1972" s="9">
        <v>273412</v>
      </c>
      <c r="Q1972" s="9">
        <v>15697</v>
      </c>
      <c r="R1972" s="9">
        <v>289109</v>
      </c>
      <c r="S1972" s="9">
        <v>-161507</v>
      </c>
      <c r="T1972" s="10">
        <v>74593</v>
      </c>
      <c r="U1972" s="10">
        <v>2164</v>
      </c>
    </row>
    <row r="1973" spans="1:21" x14ac:dyDescent="0.35">
      <c r="A1973" t="s">
        <v>15</v>
      </c>
      <c r="B1973" t="s">
        <v>16</v>
      </c>
      <c r="C1973" t="s">
        <v>21</v>
      </c>
      <c r="D1973">
        <v>288529</v>
      </c>
      <c r="E1973">
        <v>20850</v>
      </c>
      <c r="F1973">
        <v>48954</v>
      </c>
      <c r="G1973">
        <v>-257163</v>
      </c>
      <c r="H1973">
        <v>101170</v>
      </c>
      <c r="I1973">
        <v>94087</v>
      </c>
      <c r="J1973">
        <v>1808</v>
      </c>
      <c r="K1973">
        <v>978985</v>
      </c>
      <c r="L1973">
        <v>228960</v>
      </c>
      <c r="M1973">
        <v>-273515</v>
      </c>
      <c r="N1973">
        <v>136377</v>
      </c>
      <c r="O1973" t="s">
        <v>1991</v>
      </c>
      <c r="P1973" s="9">
        <v>265808</v>
      </c>
      <c r="Q1973" s="9">
        <v>33775</v>
      </c>
      <c r="R1973" s="9">
        <v>299583</v>
      </c>
      <c r="S1973" s="9">
        <v>-125006</v>
      </c>
      <c r="T1973" s="10">
        <v>123425</v>
      </c>
      <c r="U1973" s="10">
        <v>3596</v>
      </c>
    </row>
    <row r="1974" spans="1:21" x14ac:dyDescent="0.35">
      <c r="A1974" t="s">
        <v>15</v>
      </c>
      <c r="B1974" t="s">
        <v>16</v>
      </c>
      <c r="C1974" t="s">
        <v>17</v>
      </c>
      <c r="D1974">
        <v>177575</v>
      </c>
      <c r="E1974">
        <v>9447</v>
      </c>
      <c r="F1974">
        <v>36202</v>
      </c>
      <c r="G1974">
        <v>-163997</v>
      </c>
      <c r="H1974">
        <v>59227</v>
      </c>
      <c r="I1974">
        <v>55776</v>
      </c>
      <c r="J1974">
        <v>679</v>
      </c>
      <c r="K1974">
        <v>513720</v>
      </c>
      <c r="L1974">
        <v>54502</v>
      </c>
      <c r="M1974">
        <v>-173442</v>
      </c>
      <c r="N1974">
        <v>154709</v>
      </c>
      <c r="O1974" t="s">
        <v>1992</v>
      </c>
      <c r="P1974" s="9">
        <v>218709</v>
      </c>
      <c r="Q1974" s="9">
        <v>33055</v>
      </c>
      <c r="R1974" s="9">
        <v>251764</v>
      </c>
      <c r="S1974" s="9">
        <v>-149592</v>
      </c>
      <c r="T1974" s="10">
        <v>110258</v>
      </c>
      <c r="U1974" s="10">
        <v>3174</v>
      </c>
    </row>
    <row r="1975" spans="1:21" x14ac:dyDescent="0.35">
      <c r="A1975" t="s">
        <v>15</v>
      </c>
      <c r="B1975" t="s">
        <v>16</v>
      </c>
      <c r="C1975" t="s">
        <v>21</v>
      </c>
      <c r="D1975">
        <v>226906</v>
      </c>
      <c r="E1975">
        <v>21731</v>
      </c>
      <c r="F1975">
        <v>42882</v>
      </c>
      <c r="G1975">
        <v>-194236</v>
      </c>
      <c r="H1975">
        <v>97283</v>
      </c>
      <c r="I1975">
        <v>92216</v>
      </c>
      <c r="J1975">
        <v>2023</v>
      </c>
      <c r="K1975">
        <v>693138</v>
      </c>
      <c r="L1975">
        <v>97355</v>
      </c>
      <c r="M1975">
        <v>-127703</v>
      </c>
      <c r="N1975">
        <v>199904</v>
      </c>
      <c r="O1975" t="s">
        <v>1993</v>
      </c>
      <c r="P1975" s="9">
        <v>240981</v>
      </c>
      <c r="Q1975" s="9">
        <v>23096</v>
      </c>
      <c r="R1975" s="9">
        <v>264077</v>
      </c>
      <c r="S1975" s="9">
        <v>-113425</v>
      </c>
      <c r="T1975" s="10">
        <v>82820</v>
      </c>
      <c r="U1975" s="10">
        <v>1556</v>
      </c>
    </row>
    <row r="1976" spans="1:21" x14ac:dyDescent="0.35">
      <c r="A1976" t="s">
        <v>15</v>
      </c>
      <c r="B1976" t="s">
        <v>16</v>
      </c>
      <c r="C1976" t="s">
        <v>17</v>
      </c>
      <c r="D1976">
        <v>186824</v>
      </c>
      <c r="E1976">
        <v>14936</v>
      </c>
      <c r="F1976">
        <v>32800</v>
      </c>
      <c r="G1976">
        <v>-160037</v>
      </c>
      <c r="H1976">
        <v>74523</v>
      </c>
      <c r="I1976">
        <v>67291</v>
      </c>
      <c r="J1976">
        <v>1408</v>
      </c>
      <c r="K1976">
        <v>538366</v>
      </c>
      <c r="L1976">
        <v>96420</v>
      </c>
      <c r="M1976">
        <v>-106675</v>
      </c>
      <c r="N1976">
        <v>102198</v>
      </c>
      <c r="O1976" t="s">
        <v>1994</v>
      </c>
      <c r="P1976" s="9">
        <v>183996</v>
      </c>
      <c r="Q1976" s="9">
        <v>8674</v>
      </c>
      <c r="R1976" s="9">
        <v>192670</v>
      </c>
      <c r="S1976" s="9">
        <v>-82045</v>
      </c>
      <c r="T1976" s="10">
        <v>44605</v>
      </c>
      <c r="U1976" s="10">
        <v>1070</v>
      </c>
    </row>
    <row r="1977" spans="1:21" x14ac:dyDescent="0.35">
      <c r="A1977" t="s">
        <v>15</v>
      </c>
      <c r="B1977" t="s">
        <v>16</v>
      </c>
      <c r="C1977" t="s">
        <v>21</v>
      </c>
      <c r="D1977">
        <v>248530</v>
      </c>
      <c r="E1977">
        <v>38772</v>
      </c>
      <c r="F1977">
        <v>45272</v>
      </c>
      <c r="G1977">
        <v>-228854</v>
      </c>
      <c r="H1977">
        <v>103720</v>
      </c>
      <c r="I1977">
        <v>93809</v>
      </c>
      <c r="J1977">
        <v>1046</v>
      </c>
      <c r="K1977">
        <v>611914</v>
      </c>
      <c r="L1977">
        <v>168015</v>
      </c>
      <c r="M1977">
        <v>-221809</v>
      </c>
      <c r="N1977">
        <v>122856</v>
      </c>
      <c r="O1977" t="s">
        <v>1995</v>
      </c>
      <c r="P1977" s="9">
        <v>262270</v>
      </c>
      <c r="Q1977" s="9">
        <v>22447</v>
      </c>
      <c r="R1977" s="9">
        <v>284717</v>
      </c>
      <c r="S1977" s="9">
        <v>-96745</v>
      </c>
      <c r="T1977" s="10">
        <v>52846</v>
      </c>
      <c r="U1977" s="10">
        <v>818</v>
      </c>
    </row>
    <row r="1978" spans="1:21" x14ac:dyDescent="0.35">
      <c r="A1978" t="s">
        <v>15</v>
      </c>
      <c r="B1978" t="s">
        <v>16</v>
      </c>
      <c r="C1978" t="s">
        <v>17</v>
      </c>
      <c r="D1978">
        <v>237447</v>
      </c>
      <c r="E1978">
        <v>35927</v>
      </c>
      <c r="F1978">
        <v>35749</v>
      </c>
      <c r="G1978">
        <v>-204212</v>
      </c>
      <c r="H1978">
        <v>104911</v>
      </c>
      <c r="I1978">
        <v>106706</v>
      </c>
      <c r="J1978">
        <v>1135</v>
      </c>
      <c r="K1978">
        <v>836920</v>
      </c>
      <c r="L1978">
        <v>272285</v>
      </c>
      <c r="M1978">
        <v>-202579</v>
      </c>
      <c r="N1978">
        <v>137076</v>
      </c>
      <c r="O1978" t="s">
        <v>1996</v>
      </c>
      <c r="P1978" s="9">
        <v>299973</v>
      </c>
      <c r="Q1978" s="9">
        <v>63470</v>
      </c>
      <c r="R1978" s="9">
        <v>363443</v>
      </c>
      <c r="S1978" s="9">
        <v>-119812</v>
      </c>
      <c r="T1978" s="10">
        <v>138441</v>
      </c>
      <c r="U1978" s="10">
        <v>3979</v>
      </c>
    </row>
    <row r="1979" spans="1:21" x14ac:dyDescent="0.35">
      <c r="A1979" t="s">
        <v>15</v>
      </c>
      <c r="B1979" t="s">
        <v>16</v>
      </c>
      <c r="C1979" t="s">
        <v>17</v>
      </c>
      <c r="D1979">
        <v>270289</v>
      </c>
      <c r="E1979">
        <v>46843</v>
      </c>
      <c r="F1979">
        <v>58254</v>
      </c>
      <c r="G1979">
        <v>-260836</v>
      </c>
      <c r="H1979">
        <v>114550</v>
      </c>
      <c r="I1979">
        <v>118497</v>
      </c>
      <c r="J1979">
        <v>3409</v>
      </c>
      <c r="K1979">
        <v>952025</v>
      </c>
      <c r="L1979">
        <v>274090</v>
      </c>
      <c r="M1979">
        <v>-113739</v>
      </c>
      <c r="N1979">
        <v>140640</v>
      </c>
      <c r="O1979" t="s">
        <v>1997</v>
      </c>
      <c r="P1979" s="9">
        <v>255166</v>
      </c>
      <c r="Q1979" s="9">
        <v>16095</v>
      </c>
      <c r="R1979" s="9">
        <v>271261</v>
      </c>
      <c r="S1979" s="9">
        <v>-121059</v>
      </c>
      <c r="T1979" s="10">
        <v>88259</v>
      </c>
      <c r="U1979" s="10">
        <v>2435</v>
      </c>
    </row>
    <row r="1980" spans="1:21" x14ac:dyDescent="0.35">
      <c r="A1980" t="s">
        <v>15</v>
      </c>
      <c r="B1980" t="s">
        <v>20</v>
      </c>
      <c r="C1980" t="s">
        <v>17</v>
      </c>
      <c r="D1980">
        <v>228845</v>
      </c>
      <c r="E1980">
        <v>37788</v>
      </c>
      <c r="F1980">
        <v>23474</v>
      </c>
      <c r="G1980">
        <v>-209750</v>
      </c>
      <c r="H1980">
        <v>80357</v>
      </c>
      <c r="I1980">
        <v>83383</v>
      </c>
      <c r="J1980">
        <v>1675</v>
      </c>
      <c r="K1980">
        <v>893177</v>
      </c>
      <c r="L1980">
        <v>225526</v>
      </c>
      <c r="M1980">
        <v>-183859</v>
      </c>
      <c r="N1980">
        <v>85812</v>
      </c>
      <c r="O1980" t="s">
        <v>1998</v>
      </c>
      <c r="P1980" s="9">
        <v>168203</v>
      </c>
      <c r="Q1980" s="9">
        <v>11350</v>
      </c>
      <c r="R1980" s="9">
        <v>179553</v>
      </c>
      <c r="S1980" s="9">
        <v>-67860</v>
      </c>
      <c r="T1980" s="10">
        <v>77508</v>
      </c>
      <c r="U1980" s="10">
        <v>964</v>
      </c>
    </row>
    <row r="1981" spans="1:21" x14ac:dyDescent="0.35">
      <c r="A1981" t="s">
        <v>15</v>
      </c>
      <c r="B1981" t="s">
        <v>16</v>
      </c>
      <c r="C1981" t="s">
        <v>21</v>
      </c>
      <c r="D1981">
        <v>275102</v>
      </c>
      <c r="E1981">
        <v>33406</v>
      </c>
      <c r="F1981">
        <v>46575</v>
      </c>
      <c r="G1981">
        <v>-267497</v>
      </c>
      <c r="H1981">
        <v>87586</v>
      </c>
      <c r="I1981">
        <v>84308</v>
      </c>
      <c r="J1981">
        <v>2026</v>
      </c>
      <c r="K1981">
        <v>1041432</v>
      </c>
      <c r="L1981">
        <v>515328</v>
      </c>
      <c r="M1981">
        <v>-194367</v>
      </c>
      <c r="N1981">
        <v>93927</v>
      </c>
      <c r="O1981" t="s">
        <v>1999</v>
      </c>
      <c r="P1981" s="9">
        <v>217233</v>
      </c>
      <c r="Q1981" s="9">
        <v>37204</v>
      </c>
      <c r="R1981" s="9">
        <v>254437</v>
      </c>
      <c r="S1981" s="9">
        <v>-82913</v>
      </c>
      <c r="T1981" s="10">
        <v>96304</v>
      </c>
      <c r="U1981" s="10">
        <v>1126</v>
      </c>
    </row>
    <row r="1982" spans="1:21" x14ac:dyDescent="0.35">
      <c r="A1982" t="s">
        <v>15</v>
      </c>
      <c r="B1982" t="s">
        <v>16</v>
      </c>
      <c r="C1982" t="s">
        <v>21</v>
      </c>
      <c r="D1982">
        <v>253008</v>
      </c>
      <c r="E1982">
        <v>36337</v>
      </c>
      <c r="F1982">
        <v>41158</v>
      </c>
      <c r="G1982">
        <v>-209005</v>
      </c>
      <c r="H1982">
        <v>121498</v>
      </c>
      <c r="I1982">
        <v>115517</v>
      </c>
      <c r="J1982">
        <v>2003</v>
      </c>
      <c r="K1982">
        <v>590053</v>
      </c>
      <c r="L1982">
        <v>121969</v>
      </c>
      <c r="M1982">
        <v>-103979</v>
      </c>
      <c r="N1982">
        <v>168530</v>
      </c>
      <c r="O1982" t="s">
        <v>2000</v>
      </c>
      <c r="P1982" s="9">
        <v>198143</v>
      </c>
      <c r="Q1982" s="9">
        <v>21712</v>
      </c>
      <c r="R1982" s="9">
        <v>219855</v>
      </c>
      <c r="S1982" s="9">
        <v>-126302</v>
      </c>
      <c r="T1982" s="10">
        <v>66809</v>
      </c>
      <c r="U1982" s="10">
        <v>740</v>
      </c>
    </row>
    <row r="1983" spans="1:21" x14ac:dyDescent="0.35">
      <c r="A1983" t="s">
        <v>15</v>
      </c>
      <c r="B1983" t="s">
        <v>16</v>
      </c>
      <c r="C1983" t="s">
        <v>21</v>
      </c>
      <c r="D1983">
        <v>201407</v>
      </c>
      <c r="E1983">
        <v>39508</v>
      </c>
      <c r="F1983">
        <v>37540</v>
      </c>
      <c r="G1983">
        <v>-176920</v>
      </c>
      <c r="H1983">
        <v>101535</v>
      </c>
      <c r="I1983">
        <v>96280</v>
      </c>
      <c r="J1983">
        <v>1304</v>
      </c>
      <c r="K1983">
        <v>488689</v>
      </c>
      <c r="L1983">
        <v>199821</v>
      </c>
      <c r="M1983">
        <v>-51874</v>
      </c>
      <c r="N1983">
        <v>102572</v>
      </c>
      <c r="O1983" t="s">
        <v>2001</v>
      </c>
      <c r="P1983" s="9">
        <v>279108</v>
      </c>
      <c r="Q1983" s="9">
        <v>28264</v>
      </c>
      <c r="R1983" s="9">
        <v>307372</v>
      </c>
      <c r="S1983" s="9">
        <v>-80445</v>
      </c>
      <c r="T1983" s="10">
        <v>106586</v>
      </c>
      <c r="U1983" s="10">
        <v>2705</v>
      </c>
    </row>
    <row r="1984" spans="1:21" x14ac:dyDescent="0.35">
      <c r="A1984" t="s">
        <v>15</v>
      </c>
      <c r="B1984" t="s">
        <v>20</v>
      </c>
      <c r="C1984" t="s">
        <v>21</v>
      </c>
      <c r="D1984">
        <v>261670</v>
      </c>
      <c r="E1984">
        <v>17539</v>
      </c>
      <c r="F1984">
        <v>51498</v>
      </c>
      <c r="G1984">
        <v>-218139</v>
      </c>
      <c r="H1984">
        <v>112568</v>
      </c>
      <c r="I1984">
        <v>108655</v>
      </c>
      <c r="J1984">
        <v>1485</v>
      </c>
      <c r="K1984">
        <v>999732</v>
      </c>
      <c r="L1984">
        <v>154143</v>
      </c>
      <c r="M1984">
        <v>-118292</v>
      </c>
      <c r="N1984">
        <v>230918</v>
      </c>
      <c r="O1984" t="s">
        <v>2002</v>
      </c>
      <c r="P1984" s="9">
        <v>214486</v>
      </c>
      <c r="Q1984" s="9">
        <v>23933</v>
      </c>
      <c r="R1984" s="9">
        <v>238419</v>
      </c>
      <c r="S1984" s="9">
        <v>-81083</v>
      </c>
      <c r="T1984" s="10">
        <v>89604</v>
      </c>
      <c r="U1984" s="10">
        <v>2269</v>
      </c>
    </row>
    <row r="1985" spans="1:21" x14ac:dyDescent="0.35">
      <c r="A1985" t="s">
        <v>15</v>
      </c>
      <c r="B1985" t="s">
        <v>16</v>
      </c>
      <c r="C1985" t="s">
        <v>21</v>
      </c>
      <c r="D1985">
        <v>184588</v>
      </c>
      <c r="E1985">
        <v>27020</v>
      </c>
      <c r="F1985">
        <v>42435</v>
      </c>
      <c r="G1985">
        <v>-162737</v>
      </c>
      <c r="H1985">
        <v>91306</v>
      </c>
      <c r="I1985">
        <v>88317</v>
      </c>
      <c r="J1985">
        <v>1021</v>
      </c>
      <c r="K1985">
        <v>500434</v>
      </c>
      <c r="L1985">
        <v>144033</v>
      </c>
      <c r="M1985">
        <v>-71142</v>
      </c>
      <c r="N1985">
        <v>117482</v>
      </c>
      <c r="O1985" t="s">
        <v>2003</v>
      </c>
      <c r="P1985" s="9">
        <v>192662</v>
      </c>
      <c r="Q1985" s="9">
        <v>17888</v>
      </c>
      <c r="R1985" s="9">
        <v>210550</v>
      </c>
      <c r="S1985" s="9">
        <v>-70321</v>
      </c>
      <c r="T1985" s="10">
        <v>52598</v>
      </c>
      <c r="U1985" s="10">
        <v>1405</v>
      </c>
    </row>
    <row r="1986" spans="1:21" x14ac:dyDescent="0.35">
      <c r="A1986" t="s">
        <v>15</v>
      </c>
      <c r="B1986" t="s">
        <v>20</v>
      </c>
      <c r="C1986" t="s">
        <v>17</v>
      </c>
      <c r="D1986">
        <v>244272</v>
      </c>
      <c r="E1986">
        <v>18527</v>
      </c>
      <c r="F1986">
        <v>51213</v>
      </c>
      <c r="G1986">
        <v>-238787</v>
      </c>
      <c r="H1986">
        <v>75225</v>
      </c>
      <c r="I1986">
        <v>76917</v>
      </c>
      <c r="J1986">
        <v>1270</v>
      </c>
      <c r="K1986">
        <v>597448</v>
      </c>
      <c r="L1986">
        <v>86458</v>
      </c>
      <c r="M1986">
        <v>-237643</v>
      </c>
      <c r="N1986">
        <v>162207</v>
      </c>
      <c r="O1986" t="s">
        <v>2004</v>
      </c>
      <c r="P1986" s="9">
        <v>147495</v>
      </c>
      <c r="Q1986" s="9">
        <v>25590</v>
      </c>
      <c r="R1986" s="9">
        <v>173085</v>
      </c>
      <c r="S1986" s="9">
        <v>-95357</v>
      </c>
      <c r="T1986" s="10">
        <v>81027</v>
      </c>
      <c r="U1986" s="10">
        <v>1073</v>
      </c>
    </row>
    <row r="1987" spans="1:21" x14ac:dyDescent="0.35">
      <c r="A1987" t="s">
        <v>15</v>
      </c>
      <c r="B1987" t="s">
        <v>16</v>
      </c>
      <c r="C1987" t="s">
        <v>21</v>
      </c>
      <c r="D1987">
        <v>262735</v>
      </c>
      <c r="E1987">
        <v>13450</v>
      </c>
      <c r="F1987">
        <v>45760</v>
      </c>
      <c r="G1987">
        <v>-227141</v>
      </c>
      <c r="H1987">
        <v>94804</v>
      </c>
      <c r="I1987">
        <v>86370</v>
      </c>
      <c r="J1987">
        <v>1234</v>
      </c>
      <c r="K1987">
        <v>1041955</v>
      </c>
      <c r="L1987">
        <v>506300</v>
      </c>
      <c r="M1987">
        <v>-356646</v>
      </c>
      <c r="N1987">
        <v>129314</v>
      </c>
      <c r="O1987" t="s">
        <v>2005</v>
      </c>
      <c r="P1987" s="9">
        <v>257399</v>
      </c>
      <c r="Q1987" s="9">
        <v>11176</v>
      </c>
      <c r="R1987" s="9">
        <v>268575</v>
      </c>
      <c r="S1987" s="9">
        <v>-62218</v>
      </c>
      <c r="T1987" s="10">
        <v>78728</v>
      </c>
      <c r="U1987" s="10">
        <v>1350</v>
      </c>
    </row>
    <row r="1988" spans="1:21" x14ac:dyDescent="0.35">
      <c r="A1988" t="s">
        <v>15</v>
      </c>
      <c r="B1988" t="s">
        <v>20</v>
      </c>
      <c r="C1988" t="s">
        <v>21</v>
      </c>
      <c r="D1988">
        <v>278695</v>
      </c>
      <c r="E1988">
        <v>23345</v>
      </c>
      <c r="F1988">
        <v>39050</v>
      </c>
      <c r="G1988">
        <v>-258122</v>
      </c>
      <c r="H1988">
        <v>82968</v>
      </c>
      <c r="I1988">
        <v>82631</v>
      </c>
      <c r="J1988">
        <v>1831</v>
      </c>
      <c r="K1988">
        <v>997350</v>
      </c>
      <c r="L1988">
        <v>336902</v>
      </c>
      <c r="M1988">
        <v>-285461</v>
      </c>
      <c r="N1988">
        <v>227260</v>
      </c>
      <c r="O1988" t="s">
        <v>2006</v>
      </c>
      <c r="P1988" s="9">
        <v>317324</v>
      </c>
      <c r="Q1988" s="9">
        <v>52353</v>
      </c>
      <c r="R1988" s="9">
        <v>369677</v>
      </c>
      <c r="S1988" s="9">
        <v>-103924</v>
      </c>
      <c r="T1988" s="10">
        <v>167869</v>
      </c>
      <c r="U1988" s="10">
        <v>4969</v>
      </c>
    </row>
    <row r="1989" spans="1:21" x14ac:dyDescent="0.35">
      <c r="A1989" t="s">
        <v>15</v>
      </c>
      <c r="B1989" t="s">
        <v>16</v>
      </c>
      <c r="C1989" t="s">
        <v>17</v>
      </c>
      <c r="D1989">
        <v>189650</v>
      </c>
      <c r="E1989">
        <v>16864</v>
      </c>
      <c r="F1989">
        <v>27548</v>
      </c>
      <c r="G1989">
        <v>-186348</v>
      </c>
      <c r="H1989">
        <v>47714</v>
      </c>
      <c r="I1989">
        <v>48954</v>
      </c>
      <c r="J1989">
        <v>797</v>
      </c>
      <c r="K1989">
        <v>400590</v>
      </c>
      <c r="L1989">
        <v>102454</v>
      </c>
      <c r="M1989">
        <v>-131711</v>
      </c>
      <c r="N1989">
        <v>118529</v>
      </c>
      <c r="O1989" t="s">
        <v>2007</v>
      </c>
      <c r="P1989" s="9">
        <v>200987</v>
      </c>
      <c r="Q1989" s="9">
        <v>30657</v>
      </c>
      <c r="R1989" s="9">
        <v>231644</v>
      </c>
      <c r="S1989" s="9">
        <v>-86948</v>
      </c>
      <c r="T1989" s="10">
        <v>108573</v>
      </c>
      <c r="U1989" s="10">
        <v>1570</v>
      </c>
    </row>
    <row r="1990" spans="1:21" x14ac:dyDescent="0.35">
      <c r="A1990" t="s">
        <v>15</v>
      </c>
      <c r="B1990" t="s">
        <v>16</v>
      </c>
      <c r="C1990" t="s">
        <v>21</v>
      </c>
      <c r="D1990">
        <v>294279</v>
      </c>
      <c r="E1990">
        <v>44478</v>
      </c>
      <c r="F1990">
        <v>56509</v>
      </c>
      <c r="G1990">
        <v>-265396</v>
      </c>
      <c r="H1990">
        <v>129870</v>
      </c>
      <c r="I1990">
        <v>116900</v>
      </c>
      <c r="J1990">
        <v>1928</v>
      </c>
      <c r="K1990">
        <v>625264</v>
      </c>
      <c r="L1990">
        <v>209965</v>
      </c>
      <c r="M1990">
        <v>-73386</v>
      </c>
      <c r="N1990">
        <v>178533</v>
      </c>
      <c r="O1990" t="s">
        <v>2008</v>
      </c>
      <c r="P1990" s="9">
        <v>151328</v>
      </c>
      <c r="Q1990" s="9">
        <v>12059</v>
      </c>
      <c r="R1990" s="9">
        <v>163387</v>
      </c>
      <c r="S1990" s="9">
        <v>-59780</v>
      </c>
      <c r="T1990" s="10">
        <v>37256</v>
      </c>
      <c r="U1990" s="10">
        <v>836</v>
      </c>
    </row>
    <row r="1991" spans="1:21" x14ac:dyDescent="0.35">
      <c r="A1991" t="s">
        <v>15</v>
      </c>
      <c r="B1991" t="s">
        <v>20</v>
      </c>
      <c r="C1991" t="s">
        <v>17</v>
      </c>
      <c r="D1991">
        <v>287752</v>
      </c>
      <c r="E1991">
        <v>33538</v>
      </c>
      <c r="F1991">
        <v>46670</v>
      </c>
      <c r="G1991">
        <v>-232018</v>
      </c>
      <c r="H1991">
        <v>135942</v>
      </c>
      <c r="I1991">
        <v>123788</v>
      </c>
      <c r="J1991">
        <v>1984</v>
      </c>
      <c r="K1991">
        <v>1036250</v>
      </c>
      <c r="L1991">
        <v>362143</v>
      </c>
      <c r="M1991">
        <v>-151498</v>
      </c>
      <c r="N1991">
        <v>217451</v>
      </c>
      <c r="O1991" t="s">
        <v>2009</v>
      </c>
      <c r="P1991" s="9">
        <v>178359</v>
      </c>
      <c r="Q1991" s="9">
        <v>12353</v>
      </c>
      <c r="R1991" s="9">
        <v>190712</v>
      </c>
      <c r="S1991" s="9">
        <v>-62093</v>
      </c>
      <c r="T1991" s="10">
        <v>63293</v>
      </c>
      <c r="U1991" s="10">
        <v>1445</v>
      </c>
    </row>
    <row r="1992" spans="1:21" x14ac:dyDescent="0.35">
      <c r="A1992" t="s">
        <v>15</v>
      </c>
      <c r="B1992" t="s">
        <v>20</v>
      </c>
      <c r="C1992" t="s">
        <v>21</v>
      </c>
      <c r="D1992">
        <v>213944</v>
      </c>
      <c r="E1992">
        <v>36041</v>
      </c>
      <c r="F1992">
        <v>34306</v>
      </c>
      <c r="G1992">
        <v>-196894</v>
      </c>
      <c r="H1992">
        <v>87397</v>
      </c>
      <c r="I1992">
        <v>85450</v>
      </c>
      <c r="J1992">
        <v>1135</v>
      </c>
      <c r="K1992">
        <v>480304</v>
      </c>
      <c r="L1992">
        <v>141988</v>
      </c>
      <c r="M1992">
        <v>-75512</v>
      </c>
      <c r="N1992">
        <v>146346</v>
      </c>
      <c r="O1992" t="s">
        <v>2010</v>
      </c>
      <c r="P1992" s="9">
        <v>281914</v>
      </c>
      <c r="Q1992" s="9">
        <v>49543</v>
      </c>
      <c r="R1992" s="9">
        <v>331457</v>
      </c>
      <c r="S1992" s="9">
        <v>-95675</v>
      </c>
      <c r="T1992" s="10">
        <v>126923</v>
      </c>
      <c r="U1992" s="10">
        <v>3012</v>
      </c>
    </row>
    <row r="1993" spans="1:21" x14ac:dyDescent="0.35">
      <c r="A1993" t="s">
        <v>15</v>
      </c>
      <c r="B1993" t="s">
        <v>16</v>
      </c>
      <c r="C1993" t="s">
        <v>17</v>
      </c>
      <c r="D1993">
        <v>170703</v>
      </c>
      <c r="E1993">
        <v>26435</v>
      </c>
      <c r="F1993">
        <v>27009</v>
      </c>
      <c r="G1993">
        <v>-152086</v>
      </c>
      <c r="H1993">
        <v>72061</v>
      </c>
      <c r="I1993">
        <v>68597</v>
      </c>
      <c r="J1993">
        <v>1990</v>
      </c>
      <c r="K1993">
        <v>661722</v>
      </c>
      <c r="L1993">
        <v>131601</v>
      </c>
      <c r="M1993">
        <v>-188893</v>
      </c>
      <c r="N1993">
        <v>147098</v>
      </c>
      <c r="O1993" t="s">
        <v>2011</v>
      </c>
      <c r="P1993" s="9">
        <v>259418</v>
      </c>
      <c r="Q1993" s="9">
        <v>18737</v>
      </c>
      <c r="R1993" s="9">
        <v>278155</v>
      </c>
      <c r="S1993" s="9">
        <v>-69801</v>
      </c>
      <c r="T1993" s="10">
        <v>72483</v>
      </c>
      <c r="U1993" s="10">
        <v>1655</v>
      </c>
    </row>
    <row r="1994" spans="1:21" x14ac:dyDescent="0.35">
      <c r="A1994" t="s">
        <v>15</v>
      </c>
      <c r="B1994" t="s">
        <v>16</v>
      </c>
      <c r="C1994" t="s">
        <v>21</v>
      </c>
      <c r="D1994">
        <v>180041</v>
      </c>
      <c r="E1994">
        <v>30682</v>
      </c>
      <c r="F1994">
        <v>28706</v>
      </c>
      <c r="G1994">
        <v>-151869</v>
      </c>
      <c r="H1994">
        <v>87560</v>
      </c>
      <c r="I1994">
        <v>88164</v>
      </c>
      <c r="J1994">
        <v>1790</v>
      </c>
      <c r="K1994">
        <v>411147</v>
      </c>
      <c r="L1994">
        <v>86233</v>
      </c>
      <c r="M1994">
        <v>-160807</v>
      </c>
      <c r="N1994">
        <v>93760</v>
      </c>
      <c r="O1994" t="s">
        <v>2012</v>
      </c>
      <c r="P1994" s="9">
        <v>221815</v>
      </c>
      <c r="Q1994" s="9">
        <v>27443</v>
      </c>
      <c r="R1994" s="9">
        <v>249258</v>
      </c>
      <c r="S1994" s="9">
        <v>-117199</v>
      </c>
      <c r="T1994" s="10">
        <v>86554</v>
      </c>
      <c r="U1994" s="10">
        <v>1887</v>
      </c>
    </row>
    <row r="1995" spans="1:21" x14ac:dyDescent="0.35">
      <c r="A1995" t="s">
        <v>15</v>
      </c>
      <c r="B1995" t="s">
        <v>20</v>
      </c>
      <c r="C1995" t="s">
        <v>17</v>
      </c>
      <c r="D1995">
        <v>196170</v>
      </c>
      <c r="E1995">
        <v>14901</v>
      </c>
      <c r="F1995">
        <v>31177</v>
      </c>
      <c r="G1995">
        <v>-191301</v>
      </c>
      <c r="H1995">
        <v>50947</v>
      </c>
      <c r="I1995">
        <v>47664</v>
      </c>
      <c r="J1995">
        <v>1093</v>
      </c>
      <c r="K1995">
        <v>541217</v>
      </c>
      <c r="L1995">
        <v>231315</v>
      </c>
      <c r="M1995">
        <v>-187564</v>
      </c>
      <c r="N1995">
        <v>163079</v>
      </c>
      <c r="O1995" t="s">
        <v>2013</v>
      </c>
      <c r="P1995" s="9">
        <v>313669</v>
      </c>
      <c r="Q1995" s="9">
        <v>30470</v>
      </c>
      <c r="R1995" s="9">
        <v>344139</v>
      </c>
      <c r="S1995" s="9">
        <v>-177689</v>
      </c>
      <c r="T1995" s="10">
        <v>142806</v>
      </c>
      <c r="U1995" s="10">
        <v>3568</v>
      </c>
    </row>
    <row r="1996" spans="1:21" x14ac:dyDescent="0.35">
      <c r="A1996" t="s">
        <v>15</v>
      </c>
      <c r="B1996" t="s">
        <v>16</v>
      </c>
      <c r="C1996" t="s">
        <v>21</v>
      </c>
      <c r="D1996">
        <v>271720</v>
      </c>
      <c r="E1996">
        <v>25584</v>
      </c>
      <c r="F1996">
        <v>44241</v>
      </c>
      <c r="G1996">
        <v>-240595</v>
      </c>
      <c r="H1996">
        <v>100950</v>
      </c>
      <c r="I1996">
        <v>92997</v>
      </c>
      <c r="J1996">
        <v>1440</v>
      </c>
      <c r="K1996">
        <v>710100</v>
      </c>
      <c r="L1996">
        <v>92417</v>
      </c>
      <c r="M1996">
        <v>-172841</v>
      </c>
      <c r="N1996">
        <v>84303</v>
      </c>
      <c r="O1996" t="s">
        <v>2014</v>
      </c>
      <c r="P1996" s="9">
        <v>321154</v>
      </c>
      <c r="Q1996" s="9">
        <v>50049</v>
      </c>
      <c r="R1996" s="9">
        <v>371203</v>
      </c>
      <c r="S1996" s="9">
        <v>-197548</v>
      </c>
      <c r="T1996" s="10">
        <v>102068</v>
      </c>
      <c r="U1996" s="10">
        <v>1189</v>
      </c>
    </row>
    <row r="1997" spans="1:21" x14ac:dyDescent="0.35">
      <c r="A1997" t="s">
        <v>15</v>
      </c>
      <c r="B1997" t="s">
        <v>16</v>
      </c>
      <c r="C1997" t="s">
        <v>21</v>
      </c>
      <c r="D1997">
        <v>202231</v>
      </c>
      <c r="E1997">
        <v>17115</v>
      </c>
      <c r="F1997">
        <v>26286</v>
      </c>
      <c r="G1997">
        <v>-188481</v>
      </c>
      <c r="H1997">
        <v>57151</v>
      </c>
      <c r="I1997">
        <v>54620</v>
      </c>
      <c r="J1997">
        <v>1167</v>
      </c>
      <c r="K1997">
        <v>634634</v>
      </c>
      <c r="L1997">
        <v>110077</v>
      </c>
      <c r="M1997">
        <v>-110067</v>
      </c>
      <c r="N1997">
        <v>173945</v>
      </c>
      <c r="O1997" t="s">
        <v>2015</v>
      </c>
      <c r="P1997" s="9">
        <v>302633</v>
      </c>
      <c r="Q1997" s="9">
        <v>56034</v>
      </c>
      <c r="R1997" s="9">
        <v>358667</v>
      </c>
      <c r="S1997" s="9">
        <v>-100798</v>
      </c>
      <c r="T1997" s="10">
        <v>121382</v>
      </c>
      <c r="U1997" s="10">
        <v>3177</v>
      </c>
    </row>
    <row r="1998" spans="1:21" x14ac:dyDescent="0.35">
      <c r="A1998" t="s">
        <v>15</v>
      </c>
      <c r="B1998" t="s">
        <v>20</v>
      </c>
      <c r="C1998" t="s">
        <v>17</v>
      </c>
      <c r="D1998">
        <v>222441</v>
      </c>
      <c r="E1998">
        <v>42362</v>
      </c>
      <c r="F1998">
        <v>41356</v>
      </c>
      <c r="G1998">
        <v>-182229</v>
      </c>
      <c r="H1998">
        <v>123930</v>
      </c>
      <c r="I1998">
        <v>121808</v>
      </c>
      <c r="J1998">
        <v>3606</v>
      </c>
      <c r="K1998">
        <v>621465</v>
      </c>
      <c r="L1998">
        <v>117180</v>
      </c>
      <c r="M1998">
        <v>-191864</v>
      </c>
      <c r="N1998">
        <v>131912</v>
      </c>
      <c r="O1998" t="s">
        <v>2016</v>
      </c>
      <c r="P1998" s="9">
        <v>178469</v>
      </c>
      <c r="Q1998" s="9">
        <v>11792</v>
      </c>
      <c r="R1998" s="9">
        <v>190261</v>
      </c>
      <c r="S1998" s="9">
        <v>-61356</v>
      </c>
      <c r="T1998" s="10">
        <v>48831</v>
      </c>
      <c r="U1998" s="10">
        <v>984</v>
      </c>
    </row>
    <row r="1999" spans="1:21" x14ac:dyDescent="0.35">
      <c r="A1999" t="s">
        <v>15</v>
      </c>
      <c r="B1999" t="s">
        <v>16</v>
      </c>
      <c r="C1999" t="s">
        <v>21</v>
      </c>
      <c r="D1999">
        <v>183544</v>
      </c>
      <c r="E1999">
        <v>35225</v>
      </c>
      <c r="F1999">
        <v>41535</v>
      </c>
      <c r="G1999">
        <v>-155077</v>
      </c>
      <c r="H1999">
        <v>105227</v>
      </c>
      <c r="I1999">
        <v>102817</v>
      </c>
      <c r="J1999">
        <v>1148</v>
      </c>
      <c r="K1999">
        <v>472699</v>
      </c>
      <c r="L1999">
        <v>60044</v>
      </c>
      <c r="M1999">
        <v>-133928</v>
      </c>
      <c r="N1999">
        <v>91021</v>
      </c>
      <c r="O1999" t="s">
        <v>2017</v>
      </c>
      <c r="P1999" s="9">
        <v>232886</v>
      </c>
      <c r="Q1999" s="9">
        <v>32988</v>
      </c>
      <c r="R1999" s="9">
        <v>265874</v>
      </c>
      <c r="S1999" s="9">
        <v>-127462</v>
      </c>
      <c r="T1999" s="10">
        <v>97208</v>
      </c>
      <c r="U1999" s="10">
        <v>2857</v>
      </c>
    </row>
    <row r="2000" spans="1:21" x14ac:dyDescent="0.35">
      <c r="A2000" t="s">
        <v>15</v>
      </c>
      <c r="B2000" t="s">
        <v>16</v>
      </c>
      <c r="C2000" t="s">
        <v>21</v>
      </c>
      <c r="D2000">
        <v>173768</v>
      </c>
      <c r="E2000">
        <v>30662</v>
      </c>
      <c r="F2000">
        <v>17728</v>
      </c>
      <c r="G2000">
        <v>-140705</v>
      </c>
      <c r="H2000">
        <v>81453</v>
      </c>
      <c r="I2000">
        <v>74211</v>
      </c>
      <c r="J2000">
        <v>1938</v>
      </c>
      <c r="K2000">
        <v>430755</v>
      </c>
      <c r="L2000">
        <v>94878</v>
      </c>
      <c r="M2000">
        <v>-166954</v>
      </c>
      <c r="N2000">
        <v>136497</v>
      </c>
      <c r="O2000" t="s">
        <v>2018</v>
      </c>
      <c r="P2000" s="9">
        <v>223108</v>
      </c>
      <c r="Q2000" s="9">
        <v>48008</v>
      </c>
      <c r="R2000" s="9">
        <v>271116</v>
      </c>
      <c r="S2000" s="9">
        <v>-82658</v>
      </c>
      <c r="T2000" s="10">
        <v>101290</v>
      </c>
      <c r="U2000" s="10">
        <v>1092</v>
      </c>
    </row>
    <row r="2001" spans="1:21" x14ac:dyDescent="0.35">
      <c r="A2001" t="s">
        <v>15</v>
      </c>
      <c r="B2001" t="s">
        <v>16</v>
      </c>
      <c r="C2001" t="s">
        <v>21</v>
      </c>
      <c r="D2001">
        <v>290914</v>
      </c>
      <c r="E2001">
        <v>19966</v>
      </c>
      <c r="F2001">
        <v>30859</v>
      </c>
      <c r="G2001">
        <v>-245433</v>
      </c>
      <c r="H2001">
        <v>96306</v>
      </c>
      <c r="I2001">
        <v>88351</v>
      </c>
      <c r="J2001">
        <v>1432</v>
      </c>
      <c r="K2001">
        <v>979285</v>
      </c>
      <c r="L2001">
        <v>330686</v>
      </c>
      <c r="M2001">
        <v>-334046</v>
      </c>
      <c r="N2001">
        <v>200555</v>
      </c>
      <c r="O2001" t="s">
        <v>2019</v>
      </c>
      <c r="P2001" s="9">
        <v>256116</v>
      </c>
      <c r="Q2001" s="9">
        <v>36593</v>
      </c>
      <c r="R2001" s="9">
        <v>292709</v>
      </c>
      <c r="S2001" s="9">
        <v>-131806</v>
      </c>
      <c r="T2001" s="10">
        <v>131048</v>
      </c>
      <c r="U2001" s="10">
        <v>3469</v>
      </c>
    </row>
    <row r="2002" spans="1:21" x14ac:dyDescent="0.35">
      <c r="A2002" t="s">
        <v>15</v>
      </c>
      <c r="B2002" t="s">
        <v>16</v>
      </c>
      <c r="C2002" t="s">
        <v>21</v>
      </c>
      <c r="D2002">
        <v>297389</v>
      </c>
      <c r="E2002">
        <v>28524</v>
      </c>
      <c r="F2002">
        <v>63828</v>
      </c>
      <c r="G2002">
        <v>-256033</v>
      </c>
      <c r="H2002">
        <v>133708</v>
      </c>
      <c r="I2002">
        <v>129391</v>
      </c>
      <c r="J2002">
        <v>2747</v>
      </c>
      <c r="K2002">
        <v>644252</v>
      </c>
      <c r="L2002">
        <v>280028</v>
      </c>
      <c r="M2002">
        <v>-231767</v>
      </c>
      <c r="N2002">
        <v>164514</v>
      </c>
      <c r="O2002" t="s">
        <v>2020</v>
      </c>
      <c r="P2002" s="9">
        <v>276788</v>
      </c>
      <c r="Q2002" s="9">
        <v>17559</v>
      </c>
      <c r="R2002" s="9">
        <v>294347</v>
      </c>
      <c r="S2002" s="9">
        <v>-72400</v>
      </c>
      <c r="T2002" s="10">
        <v>108265</v>
      </c>
      <c r="U2002" s="10">
        <v>3029</v>
      </c>
    </row>
    <row r="2003" spans="1:21" x14ac:dyDescent="0.35">
      <c r="A2003" t="s">
        <v>15</v>
      </c>
      <c r="B2003" t="s">
        <v>16</v>
      </c>
      <c r="C2003" t="s">
        <v>21</v>
      </c>
      <c r="D2003">
        <v>183472</v>
      </c>
      <c r="E2003">
        <v>29587</v>
      </c>
      <c r="F2003">
        <v>38480</v>
      </c>
      <c r="G2003">
        <v>-183309</v>
      </c>
      <c r="H2003">
        <v>68230</v>
      </c>
      <c r="I2003">
        <v>64286</v>
      </c>
      <c r="J2003">
        <v>1710</v>
      </c>
      <c r="K2003">
        <v>665673</v>
      </c>
      <c r="L2003">
        <v>298434</v>
      </c>
      <c r="M2003">
        <v>-193586</v>
      </c>
      <c r="N2003">
        <v>100059</v>
      </c>
      <c r="O2003" t="s">
        <v>2021</v>
      </c>
      <c r="P2003" s="9">
        <v>167088</v>
      </c>
      <c r="Q2003" s="9">
        <v>12512</v>
      </c>
      <c r="R2003" s="9">
        <v>179600</v>
      </c>
      <c r="S2003" s="9">
        <v>-93470</v>
      </c>
      <c r="T2003" s="10">
        <v>51277</v>
      </c>
      <c r="U2003" s="10">
        <v>832</v>
      </c>
    </row>
    <row r="2004" spans="1:21" x14ac:dyDescent="0.35">
      <c r="A2004" t="s">
        <v>15</v>
      </c>
      <c r="B2004" t="s">
        <v>16</v>
      </c>
      <c r="C2004" t="s">
        <v>21</v>
      </c>
      <c r="D2004">
        <v>186431</v>
      </c>
      <c r="E2004">
        <v>28717</v>
      </c>
      <c r="F2004">
        <v>35498</v>
      </c>
      <c r="G2004">
        <v>-174361</v>
      </c>
      <c r="H2004">
        <v>76285</v>
      </c>
      <c r="I2004">
        <v>79232</v>
      </c>
      <c r="J2004">
        <v>831</v>
      </c>
      <c r="K2004">
        <v>664426</v>
      </c>
      <c r="L2004">
        <v>308105</v>
      </c>
      <c r="M2004">
        <v>-172487</v>
      </c>
      <c r="N2004">
        <v>135871</v>
      </c>
      <c r="O2004" t="s">
        <v>2022</v>
      </c>
      <c r="P2004" s="9">
        <v>228000</v>
      </c>
      <c r="Q2004" s="9">
        <v>50358</v>
      </c>
      <c r="R2004" s="9">
        <v>278358</v>
      </c>
      <c r="S2004" s="9">
        <v>-144899</v>
      </c>
      <c r="T2004" s="10">
        <v>102563</v>
      </c>
      <c r="U2004" s="10">
        <v>1679</v>
      </c>
    </row>
    <row r="2005" spans="1:21" x14ac:dyDescent="0.35">
      <c r="A2005" t="s">
        <v>15</v>
      </c>
      <c r="B2005" t="s">
        <v>16</v>
      </c>
      <c r="C2005" t="s">
        <v>21</v>
      </c>
      <c r="D2005">
        <v>209288</v>
      </c>
      <c r="E2005">
        <v>23526</v>
      </c>
      <c r="F2005">
        <v>44701</v>
      </c>
      <c r="G2005">
        <v>-181214</v>
      </c>
      <c r="H2005">
        <v>96301</v>
      </c>
      <c r="I2005">
        <v>97488</v>
      </c>
      <c r="J2005">
        <v>1736</v>
      </c>
      <c r="K2005">
        <v>688095</v>
      </c>
      <c r="L2005">
        <v>192109</v>
      </c>
      <c r="M2005">
        <v>-248917</v>
      </c>
      <c r="N2005">
        <v>155699</v>
      </c>
      <c r="O2005" t="s">
        <v>2023</v>
      </c>
      <c r="P2005" s="9">
        <v>185749</v>
      </c>
      <c r="Q2005" s="9">
        <v>27609</v>
      </c>
      <c r="R2005" s="9">
        <v>213358</v>
      </c>
      <c r="S2005" s="9">
        <v>-79919</v>
      </c>
      <c r="T2005" s="10">
        <v>76348</v>
      </c>
      <c r="U2005" s="10">
        <v>2161</v>
      </c>
    </row>
    <row r="2006" spans="1:21" x14ac:dyDescent="0.35">
      <c r="A2006" t="s">
        <v>15</v>
      </c>
      <c r="B2006" t="s">
        <v>20</v>
      </c>
      <c r="C2006" t="s">
        <v>21</v>
      </c>
      <c r="D2006">
        <v>198517</v>
      </c>
      <c r="E2006">
        <v>14443</v>
      </c>
      <c r="F2006">
        <v>39313</v>
      </c>
      <c r="G2006">
        <v>-169700</v>
      </c>
      <c r="H2006">
        <v>82573</v>
      </c>
      <c r="I2006">
        <v>79526</v>
      </c>
      <c r="J2006">
        <v>1509</v>
      </c>
      <c r="K2006">
        <v>486066</v>
      </c>
      <c r="L2006">
        <v>164033</v>
      </c>
      <c r="M2006">
        <v>-62735</v>
      </c>
      <c r="N2006">
        <v>106676</v>
      </c>
      <c r="O2006" t="s">
        <v>2024</v>
      </c>
      <c r="P2006" s="9">
        <v>161302</v>
      </c>
      <c r="Q2006" s="9">
        <v>32492</v>
      </c>
      <c r="R2006" s="9">
        <v>193794</v>
      </c>
      <c r="S2006" s="9">
        <v>-70818</v>
      </c>
      <c r="T2006" s="10">
        <v>60114</v>
      </c>
      <c r="U2006" s="10">
        <v>684</v>
      </c>
    </row>
    <row r="2007" spans="1:21" x14ac:dyDescent="0.35">
      <c r="A2007" t="s">
        <v>15</v>
      </c>
      <c r="B2007" t="s">
        <v>20</v>
      </c>
      <c r="C2007" t="s">
        <v>21</v>
      </c>
      <c r="D2007">
        <v>255555</v>
      </c>
      <c r="E2007">
        <v>16252</v>
      </c>
      <c r="F2007">
        <v>39729</v>
      </c>
      <c r="G2007">
        <v>-253913</v>
      </c>
      <c r="H2007">
        <v>57623</v>
      </c>
      <c r="I2007">
        <v>51999</v>
      </c>
      <c r="J2007">
        <v>905</v>
      </c>
      <c r="K2007">
        <v>987663</v>
      </c>
      <c r="L2007">
        <v>401756</v>
      </c>
      <c r="M2007">
        <v>-150680</v>
      </c>
      <c r="N2007">
        <v>103276</v>
      </c>
      <c r="O2007" t="s">
        <v>2025</v>
      </c>
      <c r="P2007" s="9">
        <v>242120</v>
      </c>
      <c r="Q2007" s="9">
        <v>31241</v>
      </c>
      <c r="R2007" s="9">
        <v>273361</v>
      </c>
      <c r="S2007" s="9">
        <v>-79781</v>
      </c>
      <c r="T2007" s="10">
        <v>76427</v>
      </c>
      <c r="U2007" s="10">
        <v>1432</v>
      </c>
    </row>
    <row r="2008" spans="1:21" x14ac:dyDescent="0.35">
      <c r="A2008" t="s">
        <v>15</v>
      </c>
      <c r="B2008" t="s">
        <v>16</v>
      </c>
      <c r="C2008" t="s">
        <v>21</v>
      </c>
      <c r="D2008">
        <v>241633</v>
      </c>
      <c r="E2008">
        <v>26774</v>
      </c>
      <c r="F2008">
        <v>53758</v>
      </c>
      <c r="G2008">
        <v>-230184</v>
      </c>
      <c r="H2008">
        <v>91981</v>
      </c>
      <c r="I2008">
        <v>92743</v>
      </c>
      <c r="J2008">
        <v>1166</v>
      </c>
      <c r="K2008">
        <v>780827</v>
      </c>
      <c r="L2008">
        <v>204730</v>
      </c>
      <c r="M2008">
        <v>-197124</v>
      </c>
      <c r="N2008">
        <v>72719</v>
      </c>
      <c r="O2008" t="s">
        <v>2026</v>
      </c>
      <c r="P2008" s="9">
        <v>207110</v>
      </c>
      <c r="Q2008" s="9">
        <v>20581</v>
      </c>
      <c r="R2008" s="9">
        <v>227691</v>
      </c>
      <c r="S2008" s="9">
        <v>-68844</v>
      </c>
      <c r="T2008" s="10">
        <v>64480</v>
      </c>
      <c r="U2008" s="10">
        <v>1410</v>
      </c>
    </row>
    <row r="2009" spans="1:21" x14ac:dyDescent="0.35">
      <c r="A2009" t="s">
        <v>15</v>
      </c>
      <c r="B2009" t="s">
        <v>16</v>
      </c>
      <c r="C2009" t="s">
        <v>21</v>
      </c>
      <c r="D2009">
        <v>245322</v>
      </c>
      <c r="E2009">
        <v>25046</v>
      </c>
      <c r="F2009">
        <v>30733</v>
      </c>
      <c r="G2009">
        <v>-197583</v>
      </c>
      <c r="H2009">
        <v>103518</v>
      </c>
      <c r="I2009">
        <v>103034</v>
      </c>
      <c r="J2009">
        <v>2741</v>
      </c>
      <c r="K2009">
        <v>565006</v>
      </c>
      <c r="L2009">
        <v>129035</v>
      </c>
      <c r="M2009">
        <v>-138836</v>
      </c>
      <c r="N2009">
        <v>152459</v>
      </c>
      <c r="O2009" t="s">
        <v>2027</v>
      </c>
      <c r="P2009" s="9">
        <v>154876</v>
      </c>
      <c r="Q2009" s="9">
        <v>13015</v>
      </c>
      <c r="R2009" s="9">
        <v>167891</v>
      </c>
      <c r="S2009" s="9">
        <v>-46463</v>
      </c>
      <c r="T2009" s="10">
        <v>63738</v>
      </c>
      <c r="U2009" s="10">
        <v>1016</v>
      </c>
    </row>
    <row r="2010" spans="1:21" x14ac:dyDescent="0.35">
      <c r="A2010" t="s">
        <v>15</v>
      </c>
      <c r="B2010" t="s">
        <v>20</v>
      </c>
      <c r="C2010" t="s">
        <v>21</v>
      </c>
      <c r="D2010">
        <v>175009</v>
      </c>
      <c r="E2010">
        <v>19953</v>
      </c>
      <c r="F2010">
        <v>42028</v>
      </c>
      <c r="G2010">
        <v>-168205</v>
      </c>
      <c r="H2010">
        <v>68785</v>
      </c>
      <c r="I2010">
        <v>62624</v>
      </c>
      <c r="J2010">
        <v>1792</v>
      </c>
      <c r="K2010">
        <v>609599</v>
      </c>
      <c r="L2010">
        <v>77977</v>
      </c>
      <c r="M2010">
        <v>-130701</v>
      </c>
      <c r="N2010">
        <v>71967</v>
      </c>
      <c r="O2010" t="s">
        <v>2028</v>
      </c>
      <c r="P2010" s="9">
        <v>274331</v>
      </c>
      <c r="Q2010" s="9">
        <v>13874</v>
      </c>
      <c r="R2010" s="9">
        <v>288205</v>
      </c>
      <c r="S2010" s="9">
        <v>-162754</v>
      </c>
      <c r="T2010" s="10">
        <v>107443</v>
      </c>
      <c r="U2010" s="10">
        <v>1414</v>
      </c>
    </row>
    <row r="2011" spans="1:21" x14ac:dyDescent="0.35">
      <c r="A2011" t="s">
        <v>15</v>
      </c>
      <c r="B2011" t="s">
        <v>20</v>
      </c>
      <c r="C2011" t="s">
        <v>17</v>
      </c>
      <c r="D2011">
        <v>152396</v>
      </c>
      <c r="E2011">
        <v>19389</v>
      </c>
      <c r="F2011">
        <v>34223</v>
      </c>
      <c r="G2011">
        <v>-147270</v>
      </c>
      <c r="H2011">
        <v>58738</v>
      </c>
      <c r="I2011">
        <v>59333</v>
      </c>
      <c r="J2011">
        <v>965</v>
      </c>
      <c r="K2011">
        <v>385406</v>
      </c>
      <c r="L2011">
        <v>51616</v>
      </c>
      <c r="M2011">
        <v>-153422</v>
      </c>
      <c r="N2011">
        <v>73868</v>
      </c>
      <c r="O2011" t="s">
        <v>2029</v>
      </c>
      <c r="P2011" s="9">
        <v>201582</v>
      </c>
      <c r="Q2011" s="9">
        <v>14784</v>
      </c>
      <c r="R2011" s="9">
        <v>216366</v>
      </c>
      <c r="S2011" s="9">
        <v>-70448</v>
      </c>
      <c r="T2011" s="10">
        <v>97009</v>
      </c>
      <c r="U2011" s="10">
        <v>2076</v>
      </c>
    </row>
    <row r="2012" spans="1:21" x14ac:dyDescent="0.35">
      <c r="A2012" t="s">
        <v>15</v>
      </c>
      <c r="B2012" t="s">
        <v>16</v>
      </c>
      <c r="C2012" t="s">
        <v>21</v>
      </c>
      <c r="D2012">
        <v>221070</v>
      </c>
      <c r="E2012">
        <v>11079</v>
      </c>
      <c r="F2012">
        <v>23732</v>
      </c>
      <c r="G2012">
        <v>-195169</v>
      </c>
      <c r="H2012">
        <v>60712</v>
      </c>
      <c r="I2012">
        <v>61650</v>
      </c>
      <c r="J2012">
        <v>929</v>
      </c>
      <c r="K2012">
        <v>601643</v>
      </c>
      <c r="L2012">
        <v>91108</v>
      </c>
      <c r="M2012">
        <v>-229541</v>
      </c>
      <c r="N2012">
        <v>111159</v>
      </c>
      <c r="O2012" t="s">
        <v>2030</v>
      </c>
      <c r="P2012" s="9">
        <v>230151</v>
      </c>
      <c r="Q2012" s="9">
        <v>43022</v>
      </c>
      <c r="R2012" s="9">
        <v>273173</v>
      </c>
      <c r="S2012" s="9">
        <v>-80367</v>
      </c>
      <c r="T2012" s="10">
        <v>110638</v>
      </c>
      <c r="U2012" s="10">
        <v>3184</v>
      </c>
    </row>
    <row r="2013" spans="1:21" x14ac:dyDescent="0.35">
      <c r="A2013" t="s">
        <v>15</v>
      </c>
      <c r="B2013" t="s">
        <v>16</v>
      </c>
      <c r="C2013" t="s">
        <v>17</v>
      </c>
      <c r="D2013">
        <v>293465</v>
      </c>
      <c r="E2013">
        <v>30629</v>
      </c>
      <c r="F2013">
        <v>54306</v>
      </c>
      <c r="G2013">
        <v>-285849</v>
      </c>
      <c r="H2013">
        <v>92551</v>
      </c>
      <c r="I2013">
        <v>95450</v>
      </c>
      <c r="J2013">
        <v>2353</v>
      </c>
      <c r="K2013">
        <v>887263</v>
      </c>
      <c r="L2013">
        <v>153077</v>
      </c>
      <c r="M2013">
        <v>-351057</v>
      </c>
      <c r="N2013">
        <v>235385</v>
      </c>
      <c r="O2013" t="s">
        <v>2031</v>
      </c>
      <c r="P2013" s="9">
        <v>168615</v>
      </c>
      <c r="Q2013" s="9">
        <v>17661</v>
      </c>
      <c r="R2013" s="9">
        <v>186276</v>
      </c>
      <c r="S2013" s="9">
        <v>-75682</v>
      </c>
      <c r="T2013" s="10">
        <v>45655</v>
      </c>
      <c r="U2013" s="10">
        <v>602</v>
      </c>
    </row>
    <row r="2014" spans="1:21" x14ac:dyDescent="0.35">
      <c r="A2014" t="s">
        <v>15</v>
      </c>
      <c r="B2014" t="s">
        <v>20</v>
      </c>
      <c r="C2014" t="s">
        <v>21</v>
      </c>
      <c r="D2014">
        <v>210558</v>
      </c>
      <c r="E2014">
        <v>14911</v>
      </c>
      <c r="F2014">
        <v>34524</v>
      </c>
      <c r="G2014">
        <v>-180619</v>
      </c>
      <c r="H2014">
        <v>79374</v>
      </c>
      <c r="I2014">
        <v>77447</v>
      </c>
      <c r="J2014">
        <v>2095</v>
      </c>
      <c r="K2014">
        <v>501176</v>
      </c>
      <c r="L2014">
        <v>81139</v>
      </c>
      <c r="M2014">
        <v>-170745</v>
      </c>
      <c r="N2014">
        <v>64305</v>
      </c>
      <c r="O2014" t="s">
        <v>2032</v>
      </c>
      <c r="P2014" s="9">
        <v>265369</v>
      </c>
      <c r="Q2014" s="9">
        <v>50689</v>
      </c>
      <c r="R2014" s="9">
        <v>316058</v>
      </c>
      <c r="S2014" s="9">
        <v>-93592</v>
      </c>
      <c r="T2014" s="10">
        <v>92359</v>
      </c>
      <c r="U2014" s="10">
        <v>1719</v>
      </c>
    </row>
    <row r="2015" spans="1:21" x14ac:dyDescent="0.35">
      <c r="A2015" t="s">
        <v>15</v>
      </c>
      <c r="B2015" t="s">
        <v>20</v>
      </c>
      <c r="C2015" t="s">
        <v>17</v>
      </c>
      <c r="D2015">
        <v>207997</v>
      </c>
      <c r="E2015">
        <v>17066</v>
      </c>
      <c r="F2015">
        <v>37209</v>
      </c>
      <c r="G2015">
        <v>-206267</v>
      </c>
      <c r="H2015">
        <v>56005</v>
      </c>
      <c r="I2015">
        <v>58100</v>
      </c>
      <c r="J2015">
        <v>979</v>
      </c>
      <c r="K2015">
        <v>562180</v>
      </c>
      <c r="L2015">
        <v>274554</v>
      </c>
      <c r="M2015">
        <v>-182048</v>
      </c>
      <c r="N2015">
        <v>78963</v>
      </c>
      <c r="O2015" t="s">
        <v>2033</v>
      </c>
      <c r="P2015" s="9">
        <v>303247</v>
      </c>
      <c r="Q2015" s="9">
        <v>34431</v>
      </c>
      <c r="R2015" s="9">
        <v>337678</v>
      </c>
      <c r="S2015" s="9">
        <v>-132809</v>
      </c>
      <c r="T2015" s="10">
        <v>117297</v>
      </c>
      <c r="U2015" s="10">
        <v>2659</v>
      </c>
    </row>
    <row r="2016" spans="1:21" x14ac:dyDescent="0.35">
      <c r="A2016" t="s">
        <v>15</v>
      </c>
      <c r="B2016" t="s">
        <v>16</v>
      </c>
      <c r="C2016" t="s">
        <v>17</v>
      </c>
      <c r="D2016">
        <v>182806</v>
      </c>
      <c r="E2016">
        <v>31442</v>
      </c>
      <c r="F2016">
        <v>26949</v>
      </c>
      <c r="G2016">
        <v>-162854</v>
      </c>
      <c r="H2016">
        <v>78343</v>
      </c>
      <c r="I2016">
        <v>76814</v>
      </c>
      <c r="J2016">
        <v>937</v>
      </c>
      <c r="K2016">
        <v>663119</v>
      </c>
      <c r="L2016">
        <v>261002</v>
      </c>
      <c r="M2016">
        <v>-140645</v>
      </c>
      <c r="N2016">
        <v>142503</v>
      </c>
      <c r="O2016" t="s">
        <v>2034</v>
      </c>
      <c r="P2016" s="9">
        <v>263812</v>
      </c>
      <c r="Q2016" s="9">
        <v>25660</v>
      </c>
      <c r="R2016" s="9">
        <v>289472</v>
      </c>
      <c r="S2016" s="9">
        <v>-89242</v>
      </c>
      <c r="T2016" s="10">
        <v>128975</v>
      </c>
      <c r="U2016" s="10">
        <v>1831</v>
      </c>
    </row>
    <row r="2017" spans="1:21" x14ac:dyDescent="0.35">
      <c r="A2017" t="s">
        <v>15</v>
      </c>
      <c r="B2017" t="s">
        <v>20</v>
      </c>
      <c r="C2017" t="s">
        <v>21</v>
      </c>
      <c r="D2017">
        <v>237276</v>
      </c>
      <c r="E2017">
        <v>25664</v>
      </c>
      <c r="F2017">
        <v>56087</v>
      </c>
      <c r="G2017">
        <v>-222081</v>
      </c>
      <c r="H2017">
        <v>96946</v>
      </c>
      <c r="I2017">
        <v>94843</v>
      </c>
      <c r="J2017">
        <v>2626</v>
      </c>
      <c r="K2017">
        <v>526884</v>
      </c>
      <c r="L2017">
        <v>224228</v>
      </c>
      <c r="M2017">
        <v>-179742</v>
      </c>
      <c r="N2017">
        <v>180203</v>
      </c>
      <c r="O2017" t="s">
        <v>2035</v>
      </c>
      <c r="P2017" s="9">
        <v>178856</v>
      </c>
      <c r="Q2017" s="9">
        <v>9187</v>
      </c>
      <c r="R2017" s="9">
        <v>188043</v>
      </c>
      <c r="S2017" s="9">
        <v>-103844</v>
      </c>
      <c r="T2017" s="10">
        <v>31226</v>
      </c>
      <c r="U2017" s="10">
        <v>638</v>
      </c>
    </row>
    <row r="2018" spans="1:21" x14ac:dyDescent="0.35">
      <c r="A2018" t="s">
        <v>15</v>
      </c>
      <c r="B2018" t="s">
        <v>16</v>
      </c>
      <c r="C2018" t="s">
        <v>21</v>
      </c>
      <c r="D2018">
        <v>161615</v>
      </c>
      <c r="E2018">
        <v>22791</v>
      </c>
      <c r="F2018">
        <v>35370</v>
      </c>
      <c r="G2018">
        <v>-147923</v>
      </c>
      <c r="H2018">
        <v>71853</v>
      </c>
      <c r="I2018">
        <v>73463</v>
      </c>
      <c r="J2018">
        <v>1619</v>
      </c>
      <c r="K2018">
        <v>379976</v>
      </c>
      <c r="L2018">
        <v>92504</v>
      </c>
      <c r="M2018">
        <v>-138709</v>
      </c>
      <c r="N2018">
        <v>92629</v>
      </c>
      <c r="O2018" t="s">
        <v>2036</v>
      </c>
      <c r="P2018" s="9">
        <v>243686</v>
      </c>
      <c r="Q2018" s="9">
        <v>40104</v>
      </c>
      <c r="R2018" s="9">
        <v>283790</v>
      </c>
      <c r="S2018" s="9">
        <v>-91588</v>
      </c>
      <c r="T2018" s="10">
        <v>106297</v>
      </c>
      <c r="U2018" s="10">
        <v>1694</v>
      </c>
    </row>
    <row r="2019" spans="1:21" x14ac:dyDescent="0.35">
      <c r="A2019" t="s">
        <v>15</v>
      </c>
      <c r="B2019" t="s">
        <v>20</v>
      </c>
      <c r="C2019" t="s">
        <v>17</v>
      </c>
      <c r="D2019">
        <v>175187</v>
      </c>
      <c r="E2019">
        <v>30448</v>
      </c>
      <c r="F2019">
        <v>32740</v>
      </c>
      <c r="G2019">
        <v>-156276</v>
      </c>
      <c r="H2019">
        <v>82099</v>
      </c>
      <c r="I2019">
        <v>84395</v>
      </c>
      <c r="J2019">
        <v>2105</v>
      </c>
      <c r="K2019">
        <v>658414</v>
      </c>
      <c r="L2019">
        <v>305939</v>
      </c>
      <c r="M2019">
        <v>-164746</v>
      </c>
      <c r="N2019">
        <v>141032</v>
      </c>
      <c r="O2019" t="s">
        <v>2037</v>
      </c>
      <c r="P2019" s="9">
        <v>190431</v>
      </c>
      <c r="Q2019" s="9">
        <v>34513</v>
      </c>
      <c r="R2019" s="9">
        <v>224944</v>
      </c>
      <c r="S2019" s="9">
        <v>-54180</v>
      </c>
      <c r="T2019" s="10">
        <v>82510</v>
      </c>
      <c r="U2019" s="10">
        <v>2317</v>
      </c>
    </row>
    <row r="2020" spans="1:21" x14ac:dyDescent="0.35">
      <c r="A2020" t="s">
        <v>15</v>
      </c>
      <c r="B2020" t="s">
        <v>20</v>
      </c>
      <c r="C2020" t="s">
        <v>21</v>
      </c>
      <c r="D2020">
        <v>221351</v>
      </c>
      <c r="E2020">
        <v>15294</v>
      </c>
      <c r="F2020">
        <v>51439</v>
      </c>
      <c r="G2020">
        <v>-211264</v>
      </c>
      <c r="H2020">
        <v>76820</v>
      </c>
      <c r="I2020">
        <v>74880</v>
      </c>
      <c r="J2020">
        <v>835</v>
      </c>
      <c r="K2020">
        <v>660001</v>
      </c>
      <c r="L2020">
        <v>160855</v>
      </c>
      <c r="M2020">
        <v>-124113</v>
      </c>
      <c r="N2020">
        <v>186425</v>
      </c>
      <c r="O2020" t="s">
        <v>2038</v>
      </c>
      <c r="P2020" s="9">
        <v>154480</v>
      </c>
      <c r="Q2020" s="9">
        <v>29220</v>
      </c>
      <c r="R2020" s="9">
        <v>183700</v>
      </c>
      <c r="S2020" s="9">
        <v>-38195</v>
      </c>
      <c r="T2020" s="10">
        <v>50491</v>
      </c>
      <c r="U2020" s="10">
        <v>817</v>
      </c>
    </row>
    <row r="2021" spans="1:21" x14ac:dyDescent="0.35">
      <c r="A2021" t="s">
        <v>15</v>
      </c>
      <c r="B2021" t="s">
        <v>16</v>
      </c>
      <c r="C2021" t="s">
        <v>21</v>
      </c>
      <c r="D2021">
        <v>298958</v>
      </c>
      <c r="E2021">
        <v>46981</v>
      </c>
      <c r="F2021">
        <v>48970</v>
      </c>
      <c r="G2021">
        <v>-297551</v>
      </c>
      <c r="H2021">
        <v>97358</v>
      </c>
      <c r="I2021">
        <v>97059</v>
      </c>
      <c r="J2021">
        <v>1211</v>
      </c>
      <c r="K2021">
        <v>747215</v>
      </c>
      <c r="L2021">
        <v>293403</v>
      </c>
      <c r="M2021">
        <v>-147115</v>
      </c>
      <c r="N2021">
        <v>136464</v>
      </c>
      <c r="O2021" t="s">
        <v>2039</v>
      </c>
      <c r="P2021" s="9">
        <v>195858</v>
      </c>
      <c r="Q2021" s="9">
        <v>8852</v>
      </c>
      <c r="R2021" s="9">
        <v>204710</v>
      </c>
      <c r="S2021" s="9">
        <v>-117811</v>
      </c>
      <c r="T2021" s="10">
        <v>61450</v>
      </c>
      <c r="U2021" s="10">
        <v>1698</v>
      </c>
    </row>
    <row r="2022" spans="1:21" x14ac:dyDescent="0.35">
      <c r="A2022" t="s">
        <v>15</v>
      </c>
      <c r="B2022" t="s">
        <v>20</v>
      </c>
      <c r="C2022" t="s">
        <v>17</v>
      </c>
      <c r="D2022">
        <v>275038</v>
      </c>
      <c r="E2022">
        <v>40182</v>
      </c>
      <c r="F2022">
        <v>51729</v>
      </c>
      <c r="G2022">
        <v>-255748</v>
      </c>
      <c r="H2022">
        <v>111201</v>
      </c>
      <c r="I2022">
        <v>104833</v>
      </c>
      <c r="J2022">
        <v>1665</v>
      </c>
      <c r="K2022">
        <v>950782</v>
      </c>
      <c r="L2022">
        <v>424773</v>
      </c>
      <c r="M2022">
        <v>-205241</v>
      </c>
      <c r="N2022">
        <v>83783</v>
      </c>
      <c r="O2022" t="s">
        <v>2040</v>
      </c>
      <c r="P2022" s="9">
        <v>154202</v>
      </c>
      <c r="Q2022" s="9">
        <v>18340</v>
      </c>
      <c r="R2022" s="9">
        <v>172542</v>
      </c>
      <c r="S2022" s="9">
        <v>-53939</v>
      </c>
      <c r="T2022" s="10">
        <v>75507</v>
      </c>
      <c r="U2022" s="10">
        <v>1392</v>
      </c>
    </row>
    <row r="2023" spans="1:21" x14ac:dyDescent="0.35">
      <c r="A2023" t="s">
        <v>15</v>
      </c>
      <c r="B2023" t="s">
        <v>16</v>
      </c>
      <c r="C2023" t="s">
        <v>17</v>
      </c>
      <c r="D2023">
        <v>269553</v>
      </c>
      <c r="E2023">
        <v>46680</v>
      </c>
      <c r="F2023">
        <v>49255</v>
      </c>
      <c r="G2023">
        <v>-222824</v>
      </c>
      <c r="H2023">
        <v>142664</v>
      </c>
      <c r="I2023">
        <v>132477</v>
      </c>
      <c r="J2023">
        <v>1555</v>
      </c>
      <c r="K2023">
        <v>643134</v>
      </c>
      <c r="L2023">
        <v>145366</v>
      </c>
      <c r="M2023">
        <v>-180855</v>
      </c>
      <c r="N2023">
        <v>133920</v>
      </c>
      <c r="O2023" t="s">
        <v>2041</v>
      </c>
      <c r="P2023" s="9">
        <v>281882</v>
      </c>
      <c r="Q2023" s="9">
        <v>43578</v>
      </c>
      <c r="R2023" s="9">
        <v>325460</v>
      </c>
      <c r="S2023" s="9">
        <v>-95542</v>
      </c>
      <c r="T2023" s="10">
        <v>147633</v>
      </c>
      <c r="U2023" s="10">
        <v>4350</v>
      </c>
    </row>
    <row r="2024" spans="1:21" x14ac:dyDescent="0.35">
      <c r="A2024" t="s">
        <v>15</v>
      </c>
      <c r="B2024" t="s">
        <v>16</v>
      </c>
      <c r="C2024" t="s">
        <v>17</v>
      </c>
      <c r="D2024">
        <v>197114</v>
      </c>
      <c r="E2024">
        <v>15872</v>
      </c>
      <c r="F2024">
        <v>29367</v>
      </c>
      <c r="G2024">
        <v>-191775</v>
      </c>
      <c r="H2024">
        <v>50578</v>
      </c>
      <c r="I2024">
        <v>52030</v>
      </c>
      <c r="J2024">
        <v>908</v>
      </c>
      <c r="K2024">
        <v>459081</v>
      </c>
      <c r="L2024">
        <v>87855</v>
      </c>
      <c r="M2024">
        <v>-66572</v>
      </c>
      <c r="N2024">
        <v>92487</v>
      </c>
      <c r="O2024" t="s">
        <v>2042</v>
      </c>
      <c r="P2024" s="9">
        <v>298863</v>
      </c>
      <c r="Q2024" s="9">
        <v>34034</v>
      </c>
      <c r="R2024" s="9">
        <v>332897</v>
      </c>
      <c r="S2024" s="9">
        <v>-118021</v>
      </c>
      <c r="T2024" s="10">
        <v>127642</v>
      </c>
      <c r="U2024" s="10">
        <v>2894</v>
      </c>
    </row>
    <row r="2025" spans="1:21" x14ac:dyDescent="0.35">
      <c r="A2025" t="s">
        <v>15</v>
      </c>
      <c r="B2025" t="s">
        <v>20</v>
      </c>
      <c r="C2025" t="s">
        <v>21</v>
      </c>
      <c r="D2025">
        <v>211935</v>
      </c>
      <c r="E2025">
        <v>38062</v>
      </c>
      <c r="F2025">
        <v>27760</v>
      </c>
      <c r="G2025">
        <v>-176775</v>
      </c>
      <c r="H2025">
        <v>100982</v>
      </c>
      <c r="I2025">
        <v>100144</v>
      </c>
      <c r="J2025">
        <v>2189</v>
      </c>
      <c r="K2025">
        <v>581677</v>
      </c>
      <c r="L2025">
        <v>103978</v>
      </c>
      <c r="M2025">
        <v>-122866</v>
      </c>
      <c r="N2025">
        <v>72388</v>
      </c>
      <c r="O2025" t="s">
        <v>2043</v>
      </c>
      <c r="P2025" s="9">
        <v>194076</v>
      </c>
      <c r="Q2025" s="9">
        <v>19300</v>
      </c>
      <c r="R2025" s="9">
        <v>213376</v>
      </c>
      <c r="S2025" s="9">
        <v>-79605</v>
      </c>
      <c r="T2025" s="10">
        <v>57855</v>
      </c>
      <c r="U2025" s="10">
        <v>1650</v>
      </c>
    </row>
    <row r="2026" spans="1:21" x14ac:dyDescent="0.35">
      <c r="A2026" t="s">
        <v>15</v>
      </c>
      <c r="B2026" t="s">
        <v>20</v>
      </c>
      <c r="C2026" t="s">
        <v>21</v>
      </c>
      <c r="D2026">
        <v>166360</v>
      </c>
      <c r="E2026">
        <v>33071</v>
      </c>
      <c r="F2026">
        <v>39572</v>
      </c>
      <c r="G2026">
        <v>-159553</v>
      </c>
      <c r="H2026">
        <v>79450</v>
      </c>
      <c r="I2026">
        <v>81190</v>
      </c>
      <c r="J2026">
        <v>1983</v>
      </c>
      <c r="K2026">
        <v>451069</v>
      </c>
      <c r="L2026">
        <v>52613</v>
      </c>
      <c r="M2026">
        <v>-87935</v>
      </c>
      <c r="N2026">
        <v>95959</v>
      </c>
      <c r="O2026" t="s">
        <v>2044</v>
      </c>
      <c r="P2026" s="9">
        <v>234174</v>
      </c>
      <c r="Q2026" s="9">
        <v>33619</v>
      </c>
      <c r="R2026" s="9">
        <v>267793</v>
      </c>
      <c r="S2026" s="9">
        <v>-78651</v>
      </c>
      <c r="T2026" s="10">
        <v>88133</v>
      </c>
      <c r="U2026" s="10">
        <v>1690</v>
      </c>
    </row>
    <row r="2027" spans="1:21" x14ac:dyDescent="0.35">
      <c r="A2027" t="s">
        <v>15</v>
      </c>
      <c r="B2027" t="s">
        <v>20</v>
      </c>
      <c r="C2027" t="s">
        <v>21</v>
      </c>
      <c r="D2027">
        <v>209445</v>
      </c>
      <c r="E2027">
        <v>23184</v>
      </c>
      <c r="F2027">
        <v>27685</v>
      </c>
      <c r="G2027">
        <v>-178196</v>
      </c>
      <c r="H2027">
        <v>82118</v>
      </c>
      <c r="I2027">
        <v>74047</v>
      </c>
      <c r="J2027">
        <v>1541</v>
      </c>
      <c r="K2027">
        <v>493641</v>
      </c>
      <c r="L2027">
        <v>229675</v>
      </c>
      <c r="M2027">
        <v>-52552</v>
      </c>
      <c r="N2027">
        <v>131078</v>
      </c>
      <c r="O2027" t="s">
        <v>2045</v>
      </c>
      <c r="P2027" s="9">
        <v>298009</v>
      </c>
      <c r="Q2027" s="9">
        <v>54049</v>
      </c>
      <c r="R2027" s="9">
        <v>352058</v>
      </c>
      <c r="S2027" s="9">
        <v>-202388</v>
      </c>
      <c r="T2027" s="10">
        <v>124218</v>
      </c>
      <c r="U2027" s="10">
        <v>3655</v>
      </c>
    </row>
    <row r="2028" spans="1:21" x14ac:dyDescent="0.35">
      <c r="A2028" t="s">
        <v>15</v>
      </c>
      <c r="B2028" t="s">
        <v>16</v>
      </c>
      <c r="C2028" t="s">
        <v>17</v>
      </c>
      <c r="D2028">
        <v>271056</v>
      </c>
      <c r="E2028">
        <v>34983</v>
      </c>
      <c r="F2028">
        <v>58448</v>
      </c>
      <c r="G2028">
        <v>-260922</v>
      </c>
      <c r="H2028">
        <v>103565</v>
      </c>
      <c r="I2028">
        <v>105864</v>
      </c>
      <c r="J2028">
        <v>2690</v>
      </c>
      <c r="K2028">
        <v>869935</v>
      </c>
      <c r="L2028">
        <v>260651</v>
      </c>
      <c r="M2028">
        <v>-222105</v>
      </c>
      <c r="N2028">
        <v>230652</v>
      </c>
      <c r="O2028" t="s">
        <v>2046</v>
      </c>
      <c r="P2028" s="9">
        <v>196886</v>
      </c>
      <c r="Q2028" s="9">
        <v>34024</v>
      </c>
      <c r="R2028" s="9">
        <v>230910</v>
      </c>
      <c r="S2028" s="9">
        <v>-130964</v>
      </c>
      <c r="T2028" s="10">
        <v>68222</v>
      </c>
      <c r="U2028" s="10">
        <v>1345</v>
      </c>
    </row>
    <row r="2029" spans="1:21" x14ac:dyDescent="0.35">
      <c r="A2029" t="s">
        <v>15</v>
      </c>
      <c r="B2029" t="s">
        <v>20</v>
      </c>
      <c r="C2029" t="s">
        <v>21</v>
      </c>
      <c r="D2029">
        <v>156695</v>
      </c>
      <c r="E2029">
        <v>10743</v>
      </c>
      <c r="F2029">
        <v>29157</v>
      </c>
      <c r="G2029">
        <v>-129838</v>
      </c>
      <c r="H2029">
        <v>66757</v>
      </c>
      <c r="I2029">
        <v>69482</v>
      </c>
      <c r="J2029">
        <v>1141</v>
      </c>
      <c r="K2029">
        <v>520889</v>
      </c>
      <c r="L2029">
        <v>73101</v>
      </c>
      <c r="M2029">
        <v>-207363</v>
      </c>
      <c r="N2029">
        <v>118745</v>
      </c>
      <c r="O2029" t="s">
        <v>2047</v>
      </c>
      <c r="P2029" s="9">
        <v>202979</v>
      </c>
      <c r="Q2029" s="9">
        <v>27657</v>
      </c>
      <c r="R2029" s="9">
        <v>230636</v>
      </c>
      <c r="S2029" s="9">
        <v>-133256</v>
      </c>
      <c r="T2029" s="10">
        <v>72014</v>
      </c>
      <c r="U2029" s="10">
        <v>921</v>
      </c>
    </row>
    <row r="2030" spans="1:21" x14ac:dyDescent="0.35">
      <c r="A2030" t="s">
        <v>15</v>
      </c>
      <c r="B2030" t="s">
        <v>16</v>
      </c>
      <c r="C2030" t="s">
        <v>21</v>
      </c>
      <c r="D2030">
        <v>175125</v>
      </c>
      <c r="E2030">
        <v>17929</v>
      </c>
      <c r="F2030">
        <v>42821</v>
      </c>
      <c r="G2030">
        <v>-166507</v>
      </c>
      <c r="H2030">
        <v>69368</v>
      </c>
      <c r="I2030">
        <v>62660</v>
      </c>
      <c r="J2030">
        <v>850</v>
      </c>
      <c r="K2030">
        <v>531461</v>
      </c>
      <c r="L2030">
        <v>217116</v>
      </c>
      <c r="M2030">
        <v>-192354</v>
      </c>
      <c r="N2030">
        <v>104390</v>
      </c>
      <c r="O2030" t="s">
        <v>2048</v>
      </c>
      <c r="P2030" s="9">
        <v>285622</v>
      </c>
      <c r="Q2030" s="9">
        <v>57636</v>
      </c>
      <c r="R2030" s="9">
        <v>343258</v>
      </c>
      <c r="S2030" s="9">
        <v>-156510</v>
      </c>
      <c r="T2030" s="10">
        <v>100498</v>
      </c>
      <c r="U2030" s="10">
        <v>1291</v>
      </c>
    </row>
    <row r="2031" spans="1:21" x14ac:dyDescent="0.35">
      <c r="A2031" t="s">
        <v>15</v>
      </c>
      <c r="B2031" t="s">
        <v>16</v>
      </c>
      <c r="C2031" t="s">
        <v>17</v>
      </c>
      <c r="D2031">
        <v>158073</v>
      </c>
      <c r="E2031">
        <v>12415</v>
      </c>
      <c r="F2031">
        <v>36115</v>
      </c>
      <c r="G2031">
        <v>-154026</v>
      </c>
      <c r="H2031">
        <v>52577</v>
      </c>
      <c r="I2031">
        <v>47893</v>
      </c>
      <c r="J2031">
        <v>537</v>
      </c>
      <c r="K2031">
        <v>530897</v>
      </c>
      <c r="L2031">
        <v>79058</v>
      </c>
      <c r="M2031">
        <v>-185714</v>
      </c>
      <c r="N2031">
        <v>102547</v>
      </c>
      <c r="O2031" t="s">
        <v>2049</v>
      </c>
      <c r="P2031" s="9">
        <v>291243</v>
      </c>
      <c r="Q2031" s="9">
        <v>36985</v>
      </c>
      <c r="R2031" s="9">
        <v>328228</v>
      </c>
      <c r="S2031" s="9">
        <v>-91347</v>
      </c>
      <c r="T2031" s="10">
        <v>106683</v>
      </c>
      <c r="U2031" s="10">
        <v>1497</v>
      </c>
    </row>
    <row r="2032" spans="1:21" x14ac:dyDescent="0.35">
      <c r="A2032" t="s">
        <v>15</v>
      </c>
      <c r="B2032" t="s">
        <v>16</v>
      </c>
      <c r="C2032" t="s">
        <v>21</v>
      </c>
      <c r="D2032">
        <v>178605</v>
      </c>
      <c r="E2032">
        <v>20548</v>
      </c>
      <c r="F2032">
        <v>25855</v>
      </c>
      <c r="G2032">
        <v>-164393</v>
      </c>
      <c r="H2032">
        <v>60615</v>
      </c>
      <c r="I2032">
        <v>55670</v>
      </c>
      <c r="J2032">
        <v>654</v>
      </c>
      <c r="K2032">
        <v>568070</v>
      </c>
      <c r="L2032">
        <v>140372</v>
      </c>
      <c r="M2032">
        <v>-59640</v>
      </c>
      <c r="N2032">
        <v>81925</v>
      </c>
      <c r="O2032" t="s">
        <v>2050</v>
      </c>
      <c r="P2032" s="9">
        <v>155876</v>
      </c>
      <c r="Q2032" s="9">
        <v>18554</v>
      </c>
      <c r="R2032" s="9">
        <v>174430</v>
      </c>
      <c r="S2032" s="9">
        <v>-72722</v>
      </c>
      <c r="T2032" s="10">
        <v>85111</v>
      </c>
      <c r="U2032" s="10">
        <v>1373</v>
      </c>
    </row>
    <row r="2033" spans="1:21" x14ac:dyDescent="0.35">
      <c r="A2033" t="s">
        <v>15</v>
      </c>
      <c r="B2033" t="s">
        <v>16</v>
      </c>
      <c r="C2033" t="s">
        <v>21</v>
      </c>
      <c r="D2033">
        <v>242250</v>
      </c>
      <c r="E2033">
        <v>42266</v>
      </c>
      <c r="F2033">
        <v>45042</v>
      </c>
      <c r="G2033">
        <v>-215171</v>
      </c>
      <c r="H2033">
        <v>114387</v>
      </c>
      <c r="I2033">
        <v>109291</v>
      </c>
      <c r="J2033">
        <v>1308</v>
      </c>
      <c r="K2033">
        <v>834430</v>
      </c>
      <c r="L2033">
        <v>205044</v>
      </c>
      <c r="M2033">
        <v>-130992</v>
      </c>
      <c r="N2033">
        <v>138350</v>
      </c>
      <c r="O2033" t="s">
        <v>2051</v>
      </c>
      <c r="P2033" s="9">
        <v>166426</v>
      </c>
      <c r="Q2033" s="9">
        <v>25623</v>
      </c>
      <c r="R2033" s="9">
        <v>192049</v>
      </c>
      <c r="S2033" s="9">
        <v>-81623</v>
      </c>
      <c r="T2033" s="10">
        <v>61447</v>
      </c>
      <c r="U2033" s="10">
        <v>1130</v>
      </c>
    </row>
    <row r="2034" spans="1:21" x14ac:dyDescent="0.35">
      <c r="A2034" t="s">
        <v>15</v>
      </c>
      <c r="B2034" t="s">
        <v>20</v>
      </c>
      <c r="C2034" t="s">
        <v>21</v>
      </c>
      <c r="D2034">
        <v>278011</v>
      </c>
      <c r="E2034">
        <v>32106</v>
      </c>
      <c r="F2034">
        <v>64289</v>
      </c>
      <c r="G2034">
        <v>-236612</v>
      </c>
      <c r="H2034">
        <v>137794</v>
      </c>
      <c r="I2034">
        <v>142566</v>
      </c>
      <c r="J2034">
        <v>3579</v>
      </c>
      <c r="K2034">
        <v>841317</v>
      </c>
      <c r="L2034">
        <v>196082</v>
      </c>
      <c r="M2034">
        <v>-142873</v>
      </c>
      <c r="N2034">
        <v>155752</v>
      </c>
      <c r="O2034" t="s">
        <v>2052</v>
      </c>
      <c r="P2034" s="9">
        <v>196327</v>
      </c>
      <c r="Q2034" s="9">
        <v>18505</v>
      </c>
      <c r="R2034" s="9">
        <v>214832</v>
      </c>
      <c r="S2034" s="9">
        <v>-116005</v>
      </c>
      <c r="T2034" s="10">
        <v>52372</v>
      </c>
      <c r="U2034" s="10">
        <v>871</v>
      </c>
    </row>
    <row r="2035" spans="1:21" x14ac:dyDescent="0.35">
      <c r="A2035" t="s">
        <v>15</v>
      </c>
      <c r="B2035" t="s">
        <v>16</v>
      </c>
      <c r="C2035" t="s">
        <v>21</v>
      </c>
      <c r="D2035">
        <v>228873</v>
      </c>
      <c r="E2035">
        <v>37449</v>
      </c>
      <c r="F2035">
        <v>36348</v>
      </c>
      <c r="G2035">
        <v>-225017</v>
      </c>
      <c r="H2035">
        <v>77653</v>
      </c>
      <c r="I2035">
        <v>78098</v>
      </c>
      <c r="J2035">
        <v>1769</v>
      </c>
      <c r="K2035">
        <v>642922</v>
      </c>
      <c r="L2035">
        <v>280758</v>
      </c>
      <c r="M2035">
        <v>-140676</v>
      </c>
      <c r="N2035">
        <v>146267</v>
      </c>
      <c r="O2035" t="s">
        <v>2053</v>
      </c>
      <c r="P2035" s="9">
        <v>229726</v>
      </c>
      <c r="Q2035" s="9">
        <v>31320</v>
      </c>
      <c r="R2035" s="9">
        <v>261046</v>
      </c>
      <c r="S2035" s="9">
        <v>-59134</v>
      </c>
      <c r="T2035" s="10">
        <v>75472</v>
      </c>
      <c r="U2035" s="10">
        <v>1896</v>
      </c>
    </row>
    <row r="2036" spans="1:21" x14ac:dyDescent="0.35">
      <c r="A2036" t="s">
        <v>15</v>
      </c>
      <c r="B2036" t="s">
        <v>16</v>
      </c>
      <c r="C2036" t="s">
        <v>21</v>
      </c>
      <c r="D2036">
        <v>278370</v>
      </c>
      <c r="E2036">
        <v>54842</v>
      </c>
      <c r="F2036">
        <v>61664</v>
      </c>
      <c r="G2036">
        <v>-252838</v>
      </c>
      <c r="H2036">
        <v>142038</v>
      </c>
      <c r="I2036">
        <v>131040</v>
      </c>
      <c r="J2036">
        <v>1752</v>
      </c>
      <c r="K2036">
        <v>920850</v>
      </c>
      <c r="L2036">
        <v>282022</v>
      </c>
      <c r="M2036">
        <v>-201635</v>
      </c>
      <c r="N2036">
        <v>213263</v>
      </c>
      <c r="O2036" t="s">
        <v>2054</v>
      </c>
      <c r="P2036" s="9">
        <v>245511</v>
      </c>
      <c r="Q2036" s="9">
        <v>16495</v>
      </c>
      <c r="R2036" s="9">
        <v>262006</v>
      </c>
      <c r="S2036" s="9">
        <v>-139910</v>
      </c>
      <c r="T2036" s="10">
        <v>58985</v>
      </c>
      <c r="U2036" s="10">
        <v>1717</v>
      </c>
    </row>
    <row r="2037" spans="1:21" x14ac:dyDescent="0.35">
      <c r="A2037" t="s">
        <v>15</v>
      </c>
      <c r="B2037" t="s">
        <v>16</v>
      </c>
      <c r="C2037" t="s">
        <v>21</v>
      </c>
      <c r="D2037">
        <v>228374</v>
      </c>
      <c r="E2037">
        <v>12029</v>
      </c>
      <c r="F2037">
        <v>32566</v>
      </c>
      <c r="G2037">
        <v>-204588</v>
      </c>
      <c r="H2037">
        <v>68381</v>
      </c>
      <c r="I2037">
        <v>67708</v>
      </c>
      <c r="J2037">
        <v>913</v>
      </c>
      <c r="K2037">
        <v>864887</v>
      </c>
      <c r="L2037">
        <v>370287</v>
      </c>
      <c r="M2037">
        <v>-276476</v>
      </c>
      <c r="N2037">
        <v>173331</v>
      </c>
      <c r="O2037" t="s">
        <v>2055</v>
      </c>
      <c r="P2037" s="9">
        <v>175862</v>
      </c>
      <c r="Q2037" s="9">
        <v>9188</v>
      </c>
      <c r="R2037" s="9">
        <v>185050</v>
      </c>
      <c r="S2037" s="9">
        <v>-98306</v>
      </c>
      <c r="T2037" s="10">
        <v>51956</v>
      </c>
      <c r="U2037" s="10">
        <v>1218</v>
      </c>
    </row>
    <row r="2038" spans="1:21" x14ac:dyDescent="0.35">
      <c r="A2038" t="s">
        <v>15</v>
      </c>
      <c r="B2038" t="s">
        <v>16</v>
      </c>
      <c r="C2038" t="s">
        <v>17</v>
      </c>
      <c r="D2038">
        <v>220932</v>
      </c>
      <c r="E2038">
        <v>37229</v>
      </c>
      <c r="F2038">
        <v>32654</v>
      </c>
      <c r="G2038">
        <v>-186278</v>
      </c>
      <c r="H2038">
        <v>104537</v>
      </c>
      <c r="I2038">
        <v>98189</v>
      </c>
      <c r="J2038">
        <v>2553</v>
      </c>
      <c r="K2038">
        <v>670754</v>
      </c>
      <c r="L2038">
        <v>269406</v>
      </c>
      <c r="M2038">
        <v>-119103</v>
      </c>
      <c r="N2038">
        <v>83825</v>
      </c>
      <c r="O2038" t="s">
        <v>2056</v>
      </c>
      <c r="P2038" s="9">
        <v>291692</v>
      </c>
      <c r="Q2038" s="9">
        <v>49918</v>
      </c>
      <c r="R2038" s="9">
        <v>341610</v>
      </c>
      <c r="S2038" s="9">
        <v>-81783</v>
      </c>
      <c r="T2038" s="10">
        <v>112139</v>
      </c>
      <c r="U2038" s="10">
        <v>3299</v>
      </c>
    </row>
    <row r="2039" spans="1:21" x14ac:dyDescent="0.35">
      <c r="A2039" t="s">
        <v>15</v>
      </c>
      <c r="B2039" t="s">
        <v>16</v>
      </c>
      <c r="C2039" t="s">
        <v>21</v>
      </c>
      <c r="D2039">
        <v>187666</v>
      </c>
      <c r="E2039">
        <v>14950</v>
      </c>
      <c r="F2039">
        <v>32426</v>
      </c>
      <c r="G2039">
        <v>-154031</v>
      </c>
      <c r="H2039">
        <v>81011</v>
      </c>
      <c r="I2039">
        <v>81521</v>
      </c>
      <c r="J2039">
        <v>1624</v>
      </c>
      <c r="K2039">
        <v>512690</v>
      </c>
      <c r="L2039">
        <v>79263</v>
      </c>
      <c r="M2039">
        <v>-102938</v>
      </c>
      <c r="N2039">
        <v>68953</v>
      </c>
      <c r="O2039" t="s">
        <v>2057</v>
      </c>
      <c r="P2039" s="9">
        <v>257581</v>
      </c>
      <c r="Q2039" s="9">
        <v>42667</v>
      </c>
      <c r="R2039" s="9">
        <v>300248</v>
      </c>
      <c r="S2039" s="9">
        <v>-97183</v>
      </c>
      <c r="T2039" s="10">
        <v>101048</v>
      </c>
      <c r="U2039" s="10">
        <v>2091</v>
      </c>
    </row>
    <row r="2040" spans="1:21" x14ac:dyDescent="0.35">
      <c r="A2040" t="s">
        <v>15</v>
      </c>
      <c r="B2040" t="s">
        <v>20</v>
      </c>
      <c r="C2040" t="s">
        <v>21</v>
      </c>
      <c r="D2040">
        <v>219536</v>
      </c>
      <c r="E2040">
        <v>13303</v>
      </c>
      <c r="F2040">
        <v>29013</v>
      </c>
      <c r="G2040">
        <v>-210468</v>
      </c>
      <c r="H2040">
        <v>51384</v>
      </c>
      <c r="I2040">
        <v>53723</v>
      </c>
      <c r="J2040">
        <v>664</v>
      </c>
      <c r="K2040">
        <v>686377</v>
      </c>
      <c r="L2040">
        <v>222504</v>
      </c>
      <c r="M2040">
        <v>-109939</v>
      </c>
      <c r="N2040">
        <v>157657</v>
      </c>
      <c r="O2040" t="s">
        <v>2058</v>
      </c>
      <c r="P2040" s="9">
        <v>302468</v>
      </c>
      <c r="Q2040" s="9">
        <v>16316</v>
      </c>
      <c r="R2040" s="9">
        <v>318784</v>
      </c>
      <c r="S2040" s="9">
        <v>-63912</v>
      </c>
      <c r="T2040" s="10">
        <v>60404</v>
      </c>
      <c r="U2040" s="10">
        <v>740</v>
      </c>
    </row>
    <row r="2041" spans="1:21" x14ac:dyDescent="0.35">
      <c r="A2041" t="s">
        <v>15</v>
      </c>
      <c r="B2041" t="s">
        <v>20</v>
      </c>
      <c r="C2041" t="s">
        <v>21</v>
      </c>
      <c r="D2041">
        <v>177013</v>
      </c>
      <c r="E2041">
        <v>27239</v>
      </c>
      <c r="F2041">
        <v>27152</v>
      </c>
      <c r="G2041">
        <v>-153793</v>
      </c>
      <c r="H2041">
        <v>77611</v>
      </c>
      <c r="I2041">
        <v>77655</v>
      </c>
      <c r="J2041">
        <v>1919</v>
      </c>
      <c r="K2041">
        <v>673638</v>
      </c>
      <c r="L2041">
        <v>155579</v>
      </c>
      <c r="M2041">
        <v>-241389</v>
      </c>
      <c r="N2041">
        <v>157327</v>
      </c>
      <c r="O2041" t="s">
        <v>2059</v>
      </c>
      <c r="P2041" s="9">
        <v>248848</v>
      </c>
      <c r="Q2041" s="9">
        <v>32794</v>
      </c>
      <c r="R2041" s="9">
        <v>281642</v>
      </c>
      <c r="S2041" s="9">
        <v>-149221</v>
      </c>
      <c r="T2041" s="10">
        <v>77630</v>
      </c>
      <c r="U2041" s="10">
        <v>1206</v>
      </c>
    </row>
    <row r="2042" spans="1:21" x14ac:dyDescent="0.35">
      <c r="A2042" t="s">
        <v>15</v>
      </c>
      <c r="B2042" t="s">
        <v>16</v>
      </c>
      <c r="C2042" t="s">
        <v>17</v>
      </c>
      <c r="D2042">
        <v>235257</v>
      </c>
      <c r="E2042">
        <v>25733</v>
      </c>
      <c r="F2042">
        <v>50442</v>
      </c>
      <c r="G2042">
        <v>-228091</v>
      </c>
      <c r="H2042">
        <v>83341</v>
      </c>
      <c r="I2042">
        <v>80935</v>
      </c>
      <c r="J2042">
        <v>927</v>
      </c>
      <c r="K2042">
        <v>868125</v>
      </c>
      <c r="L2042">
        <v>231012</v>
      </c>
      <c r="M2042">
        <v>-136363</v>
      </c>
      <c r="N2042">
        <v>129085</v>
      </c>
      <c r="O2042" t="s">
        <v>2060</v>
      </c>
      <c r="P2042" s="9">
        <v>257864</v>
      </c>
      <c r="Q2042" s="9">
        <v>15144</v>
      </c>
      <c r="R2042" s="9">
        <v>273008</v>
      </c>
      <c r="S2042" s="9">
        <v>-122032</v>
      </c>
      <c r="T2042" s="10">
        <v>48472</v>
      </c>
      <c r="U2042" s="10">
        <v>1090</v>
      </c>
    </row>
    <row r="2043" spans="1:21" x14ac:dyDescent="0.35">
      <c r="A2043" t="s">
        <v>15</v>
      </c>
      <c r="B2043" t="s">
        <v>16</v>
      </c>
      <c r="C2043" t="s">
        <v>21</v>
      </c>
      <c r="D2043">
        <v>271295</v>
      </c>
      <c r="E2043">
        <v>35027</v>
      </c>
      <c r="F2043">
        <v>37700</v>
      </c>
      <c r="G2043">
        <v>-251269</v>
      </c>
      <c r="H2043">
        <v>92753</v>
      </c>
      <c r="I2043">
        <v>88505</v>
      </c>
      <c r="J2043">
        <v>2624</v>
      </c>
      <c r="K2043">
        <v>986387</v>
      </c>
      <c r="L2043">
        <v>360111</v>
      </c>
      <c r="M2043">
        <v>-192226</v>
      </c>
      <c r="N2043">
        <v>196745</v>
      </c>
      <c r="O2043" t="s">
        <v>2061</v>
      </c>
      <c r="P2043" s="9">
        <v>212731</v>
      </c>
      <c r="Q2043" s="9">
        <v>26583</v>
      </c>
      <c r="R2043" s="9">
        <v>239314</v>
      </c>
      <c r="S2043" s="9">
        <v>-135538</v>
      </c>
      <c r="T2043" s="10">
        <v>90616</v>
      </c>
      <c r="U2043" s="10">
        <v>1984</v>
      </c>
    </row>
    <row r="2044" spans="1:21" x14ac:dyDescent="0.35">
      <c r="A2044" t="s">
        <v>15</v>
      </c>
      <c r="B2044" t="s">
        <v>16</v>
      </c>
      <c r="C2044" t="s">
        <v>21</v>
      </c>
      <c r="D2044">
        <v>213531</v>
      </c>
      <c r="E2044">
        <v>24340</v>
      </c>
      <c r="F2044">
        <v>31957</v>
      </c>
      <c r="G2044">
        <v>-189980</v>
      </c>
      <c r="H2044">
        <v>79848</v>
      </c>
      <c r="I2044">
        <v>72810</v>
      </c>
      <c r="J2044">
        <v>1927</v>
      </c>
      <c r="K2044">
        <v>547592</v>
      </c>
      <c r="L2044">
        <v>58328</v>
      </c>
      <c r="M2044">
        <v>-201866</v>
      </c>
      <c r="N2044">
        <v>186299</v>
      </c>
      <c r="O2044" t="s">
        <v>2062</v>
      </c>
      <c r="P2044" s="9">
        <v>181880</v>
      </c>
      <c r="Q2044" s="9">
        <v>18377</v>
      </c>
      <c r="R2044" s="9">
        <v>200257</v>
      </c>
      <c r="S2044" s="9">
        <v>-114789</v>
      </c>
      <c r="T2044" s="10">
        <v>56897</v>
      </c>
      <c r="U2044" s="10">
        <v>1040</v>
      </c>
    </row>
    <row r="2045" spans="1:21" x14ac:dyDescent="0.35">
      <c r="A2045" t="s">
        <v>15</v>
      </c>
      <c r="B2045" t="s">
        <v>20</v>
      </c>
      <c r="C2045" t="s">
        <v>21</v>
      </c>
      <c r="D2045">
        <v>236050</v>
      </c>
      <c r="E2045">
        <v>28733</v>
      </c>
      <c r="F2045">
        <v>34336</v>
      </c>
      <c r="G2045">
        <v>-211949</v>
      </c>
      <c r="H2045">
        <v>87170</v>
      </c>
      <c r="I2045">
        <v>90659</v>
      </c>
      <c r="J2045">
        <v>1299</v>
      </c>
      <c r="K2045">
        <v>736817</v>
      </c>
      <c r="L2045">
        <v>149926</v>
      </c>
      <c r="M2045">
        <v>-233043</v>
      </c>
      <c r="N2045">
        <v>177542</v>
      </c>
      <c r="O2045" t="s">
        <v>2063</v>
      </c>
      <c r="P2045" s="9">
        <v>165338</v>
      </c>
      <c r="Q2045" s="9">
        <v>32558</v>
      </c>
      <c r="R2045" s="9">
        <v>197896</v>
      </c>
      <c r="S2045" s="9">
        <v>-54959</v>
      </c>
      <c r="T2045" s="10">
        <v>70348</v>
      </c>
      <c r="U2045" s="10">
        <v>1337</v>
      </c>
    </row>
    <row r="2046" spans="1:21" x14ac:dyDescent="0.35">
      <c r="A2046" t="s">
        <v>15</v>
      </c>
      <c r="B2046" t="s">
        <v>16</v>
      </c>
      <c r="C2046" t="s">
        <v>21</v>
      </c>
      <c r="D2046">
        <v>159846</v>
      </c>
      <c r="E2046">
        <v>14876</v>
      </c>
      <c r="F2046">
        <v>27974</v>
      </c>
      <c r="G2046">
        <v>-150506</v>
      </c>
      <c r="H2046">
        <v>52190</v>
      </c>
      <c r="I2046">
        <v>52932</v>
      </c>
      <c r="J2046">
        <v>631</v>
      </c>
      <c r="K2046">
        <v>398591</v>
      </c>
      <c r="L2046">
        <v>191516</v>
      </c>
      <c r="M2046">
        <v>-43838</v>
      </c>
      <c r="N2046">
        <v>115582</v>
      </c>
      <c r="O2046" t="s">
        <v>2064</v>
      </c>
      <c r="P2046" s="9">
        <v>206495</v>
      </c>
      <c r="Q2046" s="9">
        <v>37645</v>
      </c>
      <c r="R2046" s="9">
        <v>244140</v>
      </c>
      <c r="S2046" s="9">
        <v>-134510</v>
      </c>
      <c r="T2046" s="10">
        <v>64520</v>
      </c>
      <c r="U2046" s="10">
        <v>1168</v>
      </c>
    </row>
    <row r="2047" spans="1:21" x14ac:dyDescent="0.35">
      <c r="A2047" t="s">
        <v>15</v>
      </c>
      <c r="B2047" t="s">
        <v>16</v>
      </c>
      <c r="C2047" t="s">
        <v>21</v>
      </c>
      <c r="D2047">
        <v>190701</v>
      </c>
      <c r="E2047">
        <v>30380</v>
      </c>
      <c r="F2047">
        <v>30174</v>
      </c>
      <c r="G2047">
        <v>-166130</v>
      </c>
      <c r="H2047">
        <v>85125</v>
      </c>
      <c r="I2047">
        <v>86729</v>
      </c>
      <c r="J2047">
        <v>2527</v>
      </c>
      <c r="K2047">
        <v>722238</v>
      </c>
      <c r="L2047">
        <v>268581</v>
      </c>
      <c r="M2047">
        <v>-255116</v>
      </c>
      <c r="N2047">
        <v>121868</v>
      </c>
      <c r="O2047" t="s">
        <v>2065</v>
      </c>
      <c r="P2047" s="9">
        <v>168096</v>
      </c>
      <c r="Q2047" s="9">
        <v>20938</v>
      </c>
      <c r="R2047" s="9">
        <v>189034</v>
      </c>
      <c r="S2047" s="9">
        <v>-95300</v>
      </c>
      <c r="T2047" s="10">
        <v>90501</v>
      </c>
      <c r="U2047" s="10">
        <v>1839</v>
      </c>
    </row>
    <row r="2048" spans="1:21" x14ac:dyDescent="0.35">
      <c r="A2048" t="s">
        <v>15</v>
      </c>
      <c r="B2048" t="s">
        <v>16</v>
      </c>
      <c r="C2048" t="s">
        <v>17</v>
      </c>
      <c r="D2048">
        <v>190110</v>
      </c>
      <c r="E2048">
        <v>37897</v>
      </c>
      <c r="F2048">
        <v>43903</v>
      </c>
      <c r="G2048">
        <v>-178160</v>
      </c>
      <c r="H2048">
        <v>93750</v>
      </c>
      <c r="I2048">
        <v>97263</v>
      </c>
      <c r="J2048">
        <v>2063</v>
      </c>
      <c r="K2048">
        <v>569863</v>
      </c>
      <c r="L2048">
        <v>237343</v>
      </c>
      <c r="M2048">
        <v>-170991</v>
      </c>
      <c r="N2048">
        <v>95145</v>
      </c>
      <c r="O2048" t="s">
        <v>2066</v>
      </c>
      <c r="P2048" s="9">
        <v>187882</v>
      </c>
      <c r="Q2048" s="9">
        <v>22560</v>
      </c>
      <c r="R2048" s="9">
        <v>210442</v>
      </c>
      <c r="S2048" s="9">
        <v>-80239</v>
      </c>
      <c r="T2048" s="10">
        <v>58197</v>
      </c>
      <c r="U2048" s="10">
        <v>1469</v>
      </c>
    </row>
    <row r="2049" spans="1:21" x14ac:dyDescent="0.35">
      <c r="A2049" t="s">
        <v>15</v>
      </c>
      <c r="B2049" t="s">
        <v>20</v>
      </c>
      <c r="C2049" t="s">
        <v>17</v>
      </c>
      <c r="D2049">
        <v>274875</v>
      </c>
      <c r="E2049">
        <v>39809</v>
      </c>
      <c r="F2049">
        <v>68092</v>
      </c>
      <c r="G2049">
        <v>-256558</v>
      </c>
      <c r="H2049">
        <v>126218</v>
      </c>
      <c r="I2049">
        <v>127645</v>
      </c>
      <c r="J2049">
        <v>3518</v>
      </c>
      <c r="K2049">
        <v>897374</v>
      </c>
      <c r="L2049">
        <v>238747</v>
      </c>
      <c r="M2049">
        <v>-294799</v>
      </c>
      <c r="N2049">
        <v>144998</v>
      </c>
      <c r="O2049" t="s">
        <v>2067</v>
      </c>
      <c r="P2049" s="9">
        <v>150675</v>
      </c>
      <c r="Q2049" s="9">
        <v>20018</v>
      </c>
      <c r="R2049" s="9">
        <v>170693</v>
      </c>
      <c r="S2049" s="9">
        <v>-98248</v>
      </c>
      <c r="T2049" s="10">
        <v>53380</v>
      </c>
      <c r="U2049" s="10">
        <v>905</v>
      </c>
    </row>
    <row r="2050" spans="1:21" x14ac:dyDescent="0.35">
      <c r="A2050" t="s">
        <v>15</v>
      </c>
      <c r="B2050" t="s">
        <v>20</v>
      </c>
      <c r="C2050" t="s">
        <v>17</v>
      </c>
      <c r="D2050">
        <v>265181</v>
      </c>
      <c r="E2050">
        <v>16627</v>
      </c>
      <c r="F2050">
        <v>44249</v>
      </c>
      <c r="G2050">
        <v>-262792</v>
      </c>
      <c r="H2050">
        <v>63265</v>
      </c>
      <c r="I2050">
        <v>65144</v>
      </c>
      <c r="J2050">
        <v>709</v>
      </c>
      <c r="K2050">
        <v>837769</v>
      </c>
      <c r="L2050">
        <v>106982</v>
      </c>
      <c r="M2050">
        <v>-85795</v>
      </c>
      <c r="N2050">
        <v>209811</v>
      </c>
      <c r="O2050" t="s">
        <v>2068</v>
      </c>
      <c r="P2050" s="9">
        <v>207834</v>
      </c>
      <c r="Q2050" s="9">
        <v>22514</v>
      </c>
      <c r="R2050" s="9">
        <v>230348</v>
      </c>
      <c r="S2050" s="9">
        <v>-98701</v>
      </c>
      <c r="T2050" s="10">
        <v>99541</v>
      </c>
      <c r="U2050" s="10">
        <v>1381</v>
      </c>
    </row>
    <row r="2051" spans="1:21" x14ac:dyDescent="0.35">
      <c r="A2051" t="s">
        <v>15</v>
      </c>
      <c r="B2051" t="s">
        <v>16</v>
      </c>
      <c r="C2051" t="s">
        <v>21</v>
      </c>
      <c r="D2051">
        <v>188417</v>
      </c>
      <c r="E2051">
        <v>14095</v>
      </c>
      <c r="F2051">
        <v>30553</v>
      </c>
      <c r="G2051">
        <v>-169937</v>
      </c>
      <c r="H2051">
        <v>63128</v>
      </c>
      <c r="I2051">
        <v>62941</v>
      </c>
      <c r="J2051">
        <v>1454</v>
      </c>
      <c r="K2051">
        <v>744910</v>
      </c>
      <c r="L2051">
        <v>98493</v>
      </c>
      <c r="M2051">
        <v>-79231</v>
      </c>
      <c r="N2051">
        <v>62278</v>
      </c>
      <c r="O2051" t="s">
        <v>2069</v>
      </c>
      <c r="P2051" s="9">
        <v>169481</v>
      </c>
      <c r="Q2051" s="9">
        <v>18920</v>
      </c>
      <c r="R2051" s="9">
        <v>188401</v>
      </c>
      <c r="S2051" s="9">
        <v>-77890</v>
      </c>
      <c r="T2051" s="10">
        <v>81168</v>
      </c>
      <c r="U2051" s="10">
        <v>2021</v>
      </c>
    </row>
    <row r="2052" spans="1:21" x14ac:dyDescent="0.35">
      <c r="A2052" t="s">
        <v>15</v>
      </c>
      <c r="B2052" t="s">
        <v>20</v>
      </c>
      <c r="C2052" t="s">
        <v>21</v>
      </c>
      <c r="D2052">
        <v>169345</v>
      </c>
      <c r="E2052">
        <v>21764</v>
      </c>
      <c r="F2052">
        <v>26445</v>
      </c>
      <c r="G2052">
        <v>-137820</v>
      </c>
      <c r="H2052">
        <v>79734</v>
      </c>
      <c r="I2052">
        <v>83473</v>
      </c>
      <c r="J2052">
        <v>2185</v>
      </c>
      <c r="K2052">
        <v>514451</v>
      </c>
      <c r="L2052">
        <v>189158</v>
      </c>
      <c r="M2052">
        <v>-59476</v>
      </c>
      <c r="N2052">
        <v>91437</v>
      </c>
      <c r="O2052" t="s">
        <v>2070</v>
      </c>
      <c r="P2052" s="9">
        <v>204346</v>
      </c>
      <c r="Q2052" s="9">
        <v>40998</v>
      </c>
      <c r="R2052" s="9">
        <v>245344</v>
      </c>
      <c r="S2052" s="9">
        <v>-128172</v>
      </c>
      <c r="T2052" s="10">
        <v>107150</v>
      </c>
      <c r="U2052" s="10">
        <v>2841</v>
      </c>
    </row>
    <row r="2053" spans="1:21" x14ac:dyDescent="0.35">
      <c r="A2053" t="s">
        <v>15</v>
      </c>
      <c r="B2053" t="s">
        <v>20</v>
      </c>
      <c r="C2053" t="s">
        <v>21</v>
      </c>
      <c r="D2053">
        <v>274724</v>
      </c>
      <c r="E2053">
        <v>25935</v>
      </c>
      <c r="F2053">
        <v>47801</v>
      </c>
      <c r="G2053">
        <v>-250867</v>
      </c>
      <c r="H2053">
        <v>97593</v>
      </c>
      <c r="I2053">
        <v>97237</v>
      </c>
      <c r="J2053">
        <v>1513</v>
      </c>
      <c r="K2053">
        <v>779904</v>
      </c>
      <c r="L2053">
        <v>183686</v>
      </c>
      <c r="M2053">
        <v>-266884</v>
      </c>
      <c r="N2053">
        <v>115166</v>
      </c>
      <c r="O2053" t="s">
        <v>2071</v>
      </c>
      <c r="P2053" s="9">
        <v>282939</v>
      </c>
      <c r="Q2053" s="9">
        <v>23635</v>
      </c>
      <c r="R2053" s="9">
        <v>306574</v>
      </c>
      <c r="S2053" s="9">
        <v>-164037</v>
      </c>
      <c r="T2053" s="10">
        <v>102907</v>
      </c>
      <c r="U2053" s="10">
        <v>1521</v>
      </c>
    </row>
    <row r="2054" spans="1:21" x14ac:dyDescent="0.35">
      <c r="A2054" t="s">
        <v>15</v>
      </c>
      <c r="B2054" t="s">
        <v>20</v>
      </c>
      <c r="C2054" t="s">
        <v>21</v>
      </c>
      <c r="D2054">
        <v>183759</v>
      </c>
      <c r="E2054">
        <v>29390</v>
      </c>
      <c r="F2054">
        <v>32274</v>
      </c>
      <c r="G2054">
        <v>-154114</v>
      </c>
      <c r="H2054">
        <v>91309</v>
      </c>
      <c r="I2054">
        <v>82746</v>
      </c>
      <c r="J2054">
        <v>2380</v>
      </c>
      <c r="K2054">
        <v>409016</v>
      </c>
      <c r="L2054">
        <v>53795</v>
      </c>
      <c r="M2054">
        <v>-65272</v>
      </c>
      <c r="N2054">
        <v>81343</v>
      </c>
      <c r="O2054" t="s">
        <v>2072</v>
      </c>
      <c r="P2054" s="9">
        <v>196212</v>
      </c>
      <c r="Q2054" s="9">
        <v>25863</v>
      </c>
      <c r="R2054" s="9">
        <v>222075</v>
      </c>
      <c r="S2054" s="9">
        <v>-101406</v>
      </c>
      <c r="T2054" s="10">
        <v>93621</v>
      </c>
      <c r="U2054" s="10">
        <v>2362</v>
      </c>
    </row>
    <row r="2055" spans="1:21" x14ac:dyDescent="0.35">
      <c r="A2055" t="s">
        <v>15</v>
      </c>
      <c r="B2055" t="s">
        <v>16</v>
      </c>
      <c r="C2055" t="s">
        <v>21</v>
      </c>
      <c r="D2055">
        <v>294268</v>
      </c>
      <c r="E2055">
        <v>52745</v>
      </c>
      <c r="F2055">
        <v>41803</v>
      </c>
      <c r="G2055">
        <v>-270081</v>
      </c>
      <c r="H2055">
        <v>118735</v>
      </c>
      <c r="I2055">
        <v>120561</v>
      </c>
      <c r="J2055">
        <v>1585</v>
      </c>
      <c r="K2055">
        <v>1104214</v>
      </c>
      <c r="L2055">
        <v>402039</v>
      </c>
      <c r="M2055">
        <v>-159823</v>
      </c>
      <c r="N2055">
        <v>220172</v>
      </c>
      <c r="O2055" t="s">
        <v>2073</v>
      </c>
      <c r="P2055" s="9">
        <v>254076</v>
      </c>
      <c r="Q2055" s="9">
        <v>25645</v>
      </c>
      <c r="R2055" s="9">
        <v>279721</v>
      </c>
      <c r="S2055" s="9">
        <v>-132914</v>
      </c>
      <c r="T2055" s="10">
        <v>120541</v>
      </c>
      <c r="U2055" s="10">
        <v>2992</v>
      </c>
    </row>
    <row r="2056" spans="1:21" x14ac:dyDescent="0.35">
      <c r="A2056" t="s">
        <v>15</v>
      </c>
      <c r="B2056" t="s">
        <v>16</v>
      </c>
      <c r="C2056" t="s">
        <v>21</v>
      </c>
      <c r="D2056">
        <v>164926</v>
      </c>
      <c r="E2056">
        <v>18462</v>
      </c>
      <c r="F2056">
        <v>24990</v>
      </c>
      <c r="G2056">
        <v>-162634</v>
      </c>
      <c r="H2056">
        <v>45744</v>
      </c>
      <c r="I2056">
        <v>42183</v>
      </c>
      <c r="J2056">
        <v>883</v>
      </c>
      <c r="K2056">
        <v>503620</v>
      </c>
      <c r="L2056">
        <v>141837</v>
      </c>
      <c r="M2056">
        <v>-121642</v>
      </c>
      <c r="N2056">
        <v>107703</v>
      </c>
      <c r="O2056" t="s">
        <v>2074</v>
      </c>
      <c r="P2056" s="9">
        <v>210080</v>
      </c>
      <c r="Q2056" s="9">
        <v>26840</v>
      </c>
      <c r="R2056" s="9">
        <v>236920</v>
      </c>
      <c r="S2056" s="9">
        <v>-117952</v>
      </c>
      <c r="T2056" s="10">
        <v>87592</v>
      </c>
      <c r="U2056" s="10">
        <v>2012</v>
      </c>
    </row>
    <row r="2057" spans="1:21" x14ac:dyDescent="0.35">
      <c r="A2057" t="s">
        <v>15</v>
      </c>
      <c r="B2057" t="s">
        <v>16</v>
      </c>
      <c r="C2057" t="s">
        <v>21</v>
      </c>
      <c r="D2057">
        <v>230223</v>
      </c>
      <c r="E2057">
        <v>19889</v>
      </c>
      <c r="F2057">
        <v>44253</v>
      </c>
      <c r="G2057">
        <v>-226100</v>
      </c>
      <c r="H2057">
        <v>68265</v>
      </c>
      <c r="I2057">
        <v>70374</v>
      </c>
      <c r="J2057">
        <v>1979</v>
      </c>
      <c r="K2057">
        <v>770051</v>
      </c>
      <c r="L2057">
        <v>97878</v>
      </c>
      <c r="M2057">
        <v>-80181</v>
      </c>
      <c r="N2057">
        <v>136611</v>
      </c>
      <c r="O2057" t="s">
        <v>2075</v>
      </c>
      <c r="P2057" s="9">
        <v>209695</v>
      </c>
      <c r="Q2057" s="9">
        <v>13046</v>
      </c>
      <c r="R2057" s="9">
        <v>222741</v>
      </c>
      <c r="S2057" s="9">
        <v>-85585</v>
      </c>
      <c r="T2057" s="10">
        <v>77200</v>
      </c>
      <c r="U2057" s="10">
        <v>1950</v>
      </c>
    </row>
    <row r="2058" spans="1:21" x14ac:dyDescent="0.35">
      <c r="A2058" t="s">
        <v>15</v>
      </c>
      <c r="B2058" t="s">
        <v>16</v>
      </c>
      <c r="C2058" t="s">
        <v>21</v>
      </c>
      <c r="D2058">
        <v>290753</v>
      </c>
      <c r="E2058">
        <v>54061</v>
      </c>
      <c r="F2058">
        <v>32144</v>
      </c>
      <c r="G2058">
        <v>-245619</v>
      </c>
      <c r="H2058">
        <v>131339</v>
      </c>
      <c r="I2058">
        <v>132258</v>
      </c>
      <c r="J2058">
        <v>2671</v>
      </c>
      <c r="K2058">
        <v>858093</v>
      </c>
      <c r="L2058">
        <v>140085</v>
      </c>
      <c r="M2058">
        <v>-288703</v>
      </c>
      <c r="N2058">
        <v>213172</v>
      </c>
      <c r="O2058" t="s">
        <v>2076</v>
      </c>
      <c r="P2058" s="9">
        <v>239877</v>
      </c>
      <c r="Q2058" s="9">
        <v>29491</v>
      </c>
      <c r="R2058" s="9">
        <v>269368</v>
      </c>
      <c r="S2058" s="9">
        <v>-117008</v>
      </c>
      <c r="T2058" s="10">
        <v>97283</v>
      </c>
      <c r="U2058" s="10">
        <v>1666</v>
      </c>
    </row>
    <row r="2059" spans="1:21" x14ac:dyDescent="0.35">
      <c r="A2059" t="s">
        <v>15</v>
      </c>
      <c r="B2059" t="s">
        <v>16</v>
      </c>
      <c r="C2059" t="s">
        <v>21</v>
      </c>
      <c r="D2059">
        <v>155965</v>
      </c>
      <c r="E2059">
        <v>22615</v>
      </c>
      <c r="F2059">
        <v>25904</v>
      </c>
      <c r="G2059">
        <v>-152536</v>
      </c>
      <c r="H2059">
        <v>51948</v>
      </c>
      <c r="I2059">
        <v>49374</v>
      </c>
      <c r="J2059">
        <v>902</v>
      </c>
      <c r="K2059">
        <v>427754</v>
      </c>
      <c r="L2059">
        <v>179670</v>
      </c>
      <c r="M2059">
        <v>-122375</v>
      </c>
      <c r="N2059">
        <v>80476</v>
      </c>
      <c r="O2059" t="s">
        <v>2077</v>
      </c>
      <c r="P2059" s="9">
        <v>226353</v>
      </c>
      <c r="Q2059" s="9">
        <v>28400</v>
      </c>
      <c r="R2059" s="9">
        <v>254753</v>
      </c>
      <c r="S2059" s="9">
        <v>-71105</v>
      </c>
      <c r="T2059" s="10">
        <v>100135</v>
      </c>
      <c r="U2059" s="10">
        <v>1547</v>
      </c>
    </row>
    <row r="2060" spans="1:21" x14ac:dyDescent="0.35">
      <c r="A2060" t="s">
        <v>15</v>
      </c>
      <c r="B2060" t="s">
        <v>16</v>
      </c>
      <c r="C2060" t="s">
        <v>21</v>
      </c>
      <c r="D2060">
        <v>230201</v>
      </c>
      <c r="E2060">
        <v>29441</v>
      </c>
      <c r="F2060">
        <v>47129</v>
      </c>
      <c r="G2060">
        <v>-211015</v>
      </c>
      <c r="H2060">
        <v>95756</v>
      </c>
      <c r="I2060">
        <v>96529</v>
      </c>
      <c r="J2060">
        <v>1802</v>
      </c>
      <c r="K2060">
        <v>580052</v>
      </c>
      <c r="L2060">
        <v>75268</v>
      </c>
      <c r="M2060">
        <v>-118486</v>
      </c>
      <c r="N2060">
        <v>154760</v>
      </c>
      <c r="O2060" t="s">
        <v>2078</v>
      </c>
      <c r="P2060" s="9">
        <v>163973</v>
      </c>
      <c r="Q2060" s="9">
        <v>30424</v>
      </c>
      <c r="R2060" s="9">
        <v>194397</v>
      </c>
      <c r="S2060" s="9">
        <v>-46782</v>
      </c>
      <c r="T2060" s="10">
        <v>64224</v>
      </c>
      <c r="U2060" s="10">
        <v>1795</v>
      </c>
    </row>
    <row r="2061" spans="1:21" x14ac:dyDescent="0.35">
      <c r="A2061" t="s">
        <v>15</v>
      </c>
      <c r="B2061" t="s">
        <v>20</v>
      </c>
      <c r="C2061" t="s">
        <v>17</v>
      </c>
      <c r="D2061">
        <v>238799</v>
      </c>
      <c r="E2061">
        <v>43072</v>
      </c>
      <c r="F2061">
        <v>48237</v>
      </c>
      <c r="G2061">
        <v>-227269</v>
      </c>
      <c r="H2061">
        <v>102839</v>
      </c>
      <c r="I2061">
        <v>99350</v>
      </c>
      <c r="J2061">
        <v>2410</v>
      </c>
      <c r="K2061">
        <v>529742</v>
      </c>
      <c r="L2061">
        <v>59195</v>
      </c>
      <c r="M2061">
        <v>-154404</v>
      </c>
      <c r="N2061">
        <v>174989</v>
      </c>
      <c r="O2061" t="s">
        <v>2079</v>
      </c>
      <c r="P2061" s="9">
        <v>243103</v>
      </c>
      <c r="Q2061" s="9">
        <v>12606</v>
      </c>
      <c r="R2061" s="9">
        <v>255709</v>
      </c>
      <c r="S2061" s="9">
        <v>-109377</v>
      </c>
      <c r="T2061" s="10">
        <v>79920</v>
      </c>
      <c r="U2061" s="10">
        <v>1796</v>
      </c>
    </row>
    <row r="2062" spans="1:21" x14ac:dyDescent="0.35">
      <c r="A2062" t="s">
        <v>15</v>
      </c>
      <c r="B2062" t="s">
        <v>20</v>
      </c>
      <c r="C2062" t="s">
        <v>17</v>
      </c>
      <c r="D2062">
        <v>153828</v>
      </c>
      <c r="E2062">
        <v>8951</v>
      </c>
      <c r="F2062">
        <v>27098</v>
      </c>
      <c r="G2062">
        <v>-141151</v>
      </c>
      <c r="H2062">
        <v>48726</v>
      </c>
      <c r="I2062">
        <v>44359</v>
      </c>
      <c r="J2062">
        <v>841</v>
      </c>
      <c r="K2062">
        <v>323081</v>
      </c>
      <c r="L2062">
        <v>45486</v>
      </c>
      <c r="M2062">
        <v>-45283</v>
      </c>
      <c r="N2062">
        <v>61164</v>
      </c>
      <c r="O2062" t="s">
        <v>2080</v>
      </c>
      <c r="P2062" s="9">
        <v>283714</v>
      </c>
      <c r="Q2062" s="9">
        <v>34804</v>
      </c>
      <c r="R2062" s="9">
        <v>318518</v>
      </c>
      <c r="S2062" s="9">
        <v>-64901</v>
      </c>
      <c r="T2062" s="10">
        <v>82062</v>
      </c>
      <c r="U2062" s="10">
        <v>2168</v>
      </c>
    </row>
    <row r="2063" spans="1:21" x14ac:dyDescent="0.35">
      <c r="A2063" t="s">
        <v>15</v>
      </c>
      <c r="B2063" t="s">
        <v>16</v>
      </c>
      <c r="C2063" t="s">
        <v>17</v>
      </c>
      <c r="D2063">
        <v>237696</v>
      </c>
      <c r="E2063">
        <v>22549</v>
      </c>
      <c r="F2063">
        <v>32581</v>
      </c>
      <c r="G2063">
        <v>-231392</v>
      </c>
      <c r="H2063">
        <v>61434</v>
      </c>
      <c r="I2063">
        <v>59959</v>
      </c>
      <c r="J2063">
        <v>901</v>
      </c>
      <c r="K2063">
        <v>664876</v>
      </c>
      <c r="L2063">
        <v>108816</v>
      </c>
      <c r="M2063">
        <v>-142260</v>
      </c>
      <c r="N2063">
        <v>156945</v>
      </c>
      <c r="O2063" t="s">
        <v>2081</v>
      </c>
      <c r="P2063" s="9">
        <v>203251</v>
      </c>
      <c r="Q2063" s="9">
        <v>23704</v>
      </c>
      <c r="R2063" s="9">
        <v>226955</v>
      </c>
      <c r="S2063" s="9">
        <v>-73164</v>
      </c>
      <c r="T2063" s="10">
        <v>58556</v>
      </c>
      <c r="U2063" s="10">
        <v>754</v>
      </c>
    </row>
    <row r="2064" spans="1:21" x14ac:dyDescent="0.35">
      <c r="A2064" t="s">
        <v>15</v>
      </c>
      <c r="B2064" t="s">
        <v>16</v>
      </c>
      <c r="C2064" t="s">
        <v>21</v>
      </c>
      <c r="D2064">
        <v>299509</v>
      </c>
      <c r="E2064">
        <v>40205</v>
      </c>
      <c r="F2064">
        <v>71964</v>
      </c>
      <c r="G2064">
        <v>-261990</v>
      </c>
      <c r="H2064">
        <v>149688</v>
      </c>
      <c r="I2064">
        <v>152162</v>
      </c>
      <c r="J2064">
        <v>1599</v>
      </c>
      <c r="K2064">
        <v>1069092</v>
      </c>
      <c r="L2064">
        <v>458684</v>
      </c>
      <c r="M2064">
        <v>-143129</v>
      </c>
      <c r="N2064">
        <v>208524</v>
      </c>
      <c r="O2064" t="s">
        <v>2082</v>
      </c>
      <c r="P2064" s="9">
        <v>161211</v>
      </c>
      <c r="Q2064" s="9">
        <v>18963</v>
      </c>
      <c r="R2064" s="9">
        <v>180174</v>
      </c>
      <c r="S2064" s="9">
        <v>-58400</v>
      </c>
      <c r="T2064" s="10">
        <v>78866</v>
      </c>
      <c r="U2064" s="10">
        <v>2293</v>
      </c>
    </row>
    <row r="2065" spans="1:21" x14ac:dyDescent="0.35">
      <c r="A2065" t="s">
        <v>15</v>
      </c>
      <c r="B2065" t="s">
        <v>20</v>
      </c>
      <c r="C2065" t="s">
        <v>21</v>
      </c>
      <c r="D2065">
        <v>283379</v>
      </c>
      <c r="E2065">
        <v>46456</v>
      </c>
      <c r="F2065">
        <v>53828</v>
      </c>
      <c r="G2065">
        <v>-266097</v>
      </c>
      <c r="H2065">
        <v>117566</v>
      </c>
      <c r="I2065">
        <v>112904</v>
      </c>
      <c r="J2065">
        <v>2444</v>
      </c>
      <c r="K2065">
        <v>873916</v>
      </c>
      <c r="L2065">
        <v>242303</v>
      </c>
      <c r="M2065">
        <v>-290163</v>
      </c>
      <c r="N2065">
        <v>153962</v>
      </c>
      <c r="O2065" t="s">
        <v>2083</v>
      </c>
      <c r="P2065" s="9">
        <v>234558</v>
      </c>
      <c r="Q2065" s="9">
        <v>14011</v>
      </c>
      <c r="R2065" s="9">
        <v>248569</v>
      </c>
      <c r="S2065" s="9">
        <v>-67545</v>
      </c>
      <c r="T2065" s="10">
        <v>75885</v>
      </c>
      <c r="U2065" s="10">
        <v>1646</v>
      </c>
    </row>
    <row r="2066" spans="1:21" x14ac:dyDescent="0.35">
      <c r="A2066" t="s">
        <v>15</v>
      </c>
      <c r="B2066" t="s">
        <v>20</v>
      </c>
      <c r="C2066" t="s">
        <v>21</v>
      </c>
      <c r="D2066">
        <v>194427</v>
      </c>
      <c r="E2066">
        <v>38089</v>
      </c>
      <c r="F2066">
        <v>36558</v>
      </c>
      <c r="G2066">
        <v>-178843</v>
      </c>
      <c r="H2066">
        <v>90231</v>
      </c>
      <c r="I2066">
        <v>84806</v>
      </c>
      <c r="J2066">
        <v>2117</v>
      </c>
      <c r="K2066">
        <v>687023</v>
      </c>
      <c r="L2066">
        <v>211044</v>
      </c>
      <c r="M2066">
        <v>-127006</v>
      </c>
      <c r="N2066">
        <v>161160</v>
      </c>
      <c r="O2066" t="s">
        <v>2084</v>
      </c>
      <c r="P2066" s="9">
        <v>209655</v>
      </c>
      <c r="Q2066" s="9">
        <v>15982</v>
      </c>
      <c r="R2066" s="9">
        <v>225637</v>
      </c>
      <c r="S2066" s="9">
        <v>-128318</v>
      </c>
      <c r="T2066" s="10">
        <v>72415</v>
      </c>
      <c r="U2066" s="10">
        <v>1690</v>
      </c>
    </row>
    <row r="2067" spans="1:21" x14ac:dyDescent="0.35">
      <c r="A2067" t="s">
        <v>15</v>
      </c>
      <c r="B2067" t="s">
        <v>16</v>
      </c>
      <c r="C2067" t="s">
        <v>21</v>
      </c>
      <c r="D2067">
        <v>186049</v>
      </c>
      <c r="E2067">
        <v>33990</v>
      </c>
      <c r="F2067">
        <v>24620</v>
      </c>
      <c r="G2067">
        <v>-149824</v>
      </c>
      <c r="H2067">
        <v>94835</v>
      </c>
      <c r="I2067">
        <v>87126</v>
      </c>
      <c r="J2067">
        <v>2455</v>
      </c>
      <c r="K2067">
        <v>566528</v>
      </c>
      <c r="L2067">
        <v>134737</v>
      </c>
      <c r="M2067">
        <v>-130036</v>
      </c>
      <c r="N2067">
        <v>96972</v>
      </c>
      <c r="O2067" t="s">
        <v>2085</v>
      </c>
      <c r="P2067" s="9">
        <v>213931</v>
      </c>
      <c r="Q2067" s="9">
        <v>23381</v>
      </c>
      <c r="R2067" s="9">
        <v>237312</v>
      </c>
      <c r="S2067" s="9">
        <v>-107024</v>
      </c>
      <c r="T2067" s="10">
        <v>86150</v>
      </c>
      <c r="U2067" s="10">
        <v>2033</v>
      </c>
    </row>
    <row r="2068" spans="1:21" x14ac:dyDescent="0.35">
      <c r="A2068" t="s">
        <v>15</v>
      </c>
      <c r="B2068" t="s">
        <v>20</v>
      </c>
      <c r="C2068" t="s">
        <v>21</v>
      </c>
      <c r="D2068">
        <v>169447</v>
      </c>
      <c r="E2068">
        <v>25003</v>
      </c>
      <c r="F2068">
        <v>36985</v>
      </c>
      <c r="G2068">
        <v>-159554</v>
      </c>
      <c r="H2068">
        <v>71881</v>
      </c>
      <c r="I2068">
        <v>70585</v>
      </c>
      <c r="J2068">
        <v>1404</v>
      </c>
      <c r="K2068">
        <v>443979</v>
      </c>
      <c r="L2068">
        <v>122800</v>
      </c>
      <c r="M2068">
        <v>-53647</v>
      </c>
      <c r="N2068">
        <v>74991</v>
      </c>
      <c r="O2068" t="s">
        <v>2086</v>
      </c>
      <c r="P2068" s="9">
        <v>150670</v>
      </c>
      <c r="Q2068" s="9">
        <v>26046</v>
      </c>
      <c r="R2068" s="9">
        <v>176716</v>
      </c>
      <c r="S2068" s="9">
        <v>-60735</v>
      </c>
      <c r="T2068" s="10">
        <v>53325</v>
      </c>
      <c r="U2068" s="10">
        <v>553</v>
      </c>
    </row>
    <row r="2069" spans="1:21" x14ac:dyDescent="0.35">
      <c r="A2069" t="s">
        <v>15</v>
      </c>
      <c r="B2069" t="s">
        <v>16</v>
      </c>
      <c r="C2069" t="s">
        <v>21</v>
      </c>
      <c r="D2069">
        <v>219120</v>
      </c>
      <c r="E2069">
        <v>34631</v>
      </c>
      <c r="F2069">
        <v>40402</v>
      </c>
      <c r="G2069">
        <v>-202289</v>
      </c>
      <c r="H2069">
        <v>91864</v>
      </c>
      <c r="I2069">
        <v>89055</v>
      </c>
      <c r="J2069">
        <v>1577</v>
      </c>
      <c r="K2069">
        <v>874586</v>
      </c>
      <c r="L2069">
        <v>229449</v>
      </c>
      <c r="M2069">
        <v>-317888</v>
      </c>
      <c r="N2069">
        <v>93250</v>
      </c>
      <c r="O2069" t="s">
        <v>2087</v>
      </c>
      <c r="P2069" s="9">
        <v>199629</v>
      </c>
      <c r="Q2069" s="9">
        <v>14102</v>
      </c>
      <c r="R2069" s="9">
        <v>213731</v>
      </c>
      <c r="S2069" s="9">
        <v>-115127</v>
      </c>
      <c r="T2069" s="10">
        <v>44397</v>
      </c>
      <c r="U2069" s="10">
        <v>1313</v>
      </c>
    </row>
    <row r="2070" spans="1:21" x14ac:dyDescent="0.35">
      <c r="A2070" t="s">
        <v>15</v>
      </c>
      <c r="B2070" t="s">
        <v>20</v>
      </c>
      <c r="C2070" t="s">
        <v>17</v>
      </c>
      <c r="D2070">
        <v>277403</v>
      </c>
      <c r="E2070">
        <v>19848</v>
      </c>
      <c r="F2070">
        <v>40152</v>
      </c>
      <c r="G2070">
        <v>-260925</v>
      </c>
      <c r="H2070">
        <v>76478</v>
      </c>
      <c r="I2070">
        <v>77521</v>
      </c>
      <c r="J2070">
        <v>1619</v>
      </c>
      <c r="K2070">
        <v>711691</v>
      </c>
      <c r="L2070">
        <v>75446</v>
      </c>
      <c r="M2070">
        <v>-149265</v>
      </c>
      <c r="N2070">
        <v>195441</v>
      </c>
      <c r="O2070" t="s">
        <v>2088</v>
      </c>
      <c r="P2070" s="9">
        <v>311555</v>
      </c>
      <c r="Q2070" s="9">
        <v>43112</v>
      </c>
      <c r="R2070" s="9">
        <v>354667</v>
      </c>
      <c r="S2070" s="9">
        <v>-152020</v>
      </c>
      <c r="T2070" s="10">
        <v>160795</v>
      </c>
      <c r="U2070" s="10">
        <v>1975</v>
      </c>
    </row>
    <row r="2071" spans="1:21" x14ac:dyDescent="0.35">
      <c r="A2071" t="s">
        <v>15</v>
      </c>
      <c r="B2071" t="s">
        <v>16</v>
      </c>
      <c r="C2071" t="s">
        <v>17</v>
      </c>
      <c r="D2071">
        <v>195920</v>
      </c>
      <c r="E2071">
        <v>38532</v>
      </c>
      <c r="F2071">
        <v>30900</v>
      </c>
      <c r="G2071">
        <v>-158092</v>
      </c>
      <c r="H2071">
        <v>107260</v>
      </c>
      <c r="I2071">
        <v>97537</v>
      </c>
      <c r="J2071">
        <v>2243</v>
      </c>
      <c r="K2071">
        <v>458070</v>
      </c>
      <c r="L2071">
        <v>212539</v>
      </c>
      <c r="M2071">
        <v>-86419</v>
      </c>
      <c r="N2071">
        <v>90812</v>
      </c>
      <c r="O2071" t="s">
        <v>2089</v>
      </c>
      <c r="P2071" s="9">
        <v>239759</v>
      </c>
      <c r="Q2071" s="9">
        <v>37781</v>
      </c>
      <c r="R2071" s="9">
        <v>277540</v>
      </c>
      <c r="S2071" s="9">
        <v>-151768</v>
      </c>
      <c r="T2071" s="10">
        <v>132529</v>
      </c>
      <c r="U2071" s="10">
        <v>3695</v>
      </c>
    </row>
    <row r="2072" spans="1:21" x14ac:dyDescent="0.35">
      <c r="A2072" t="s">
        <v>15</v>
      </c>
      <c r="B2072" t="s">
        <v>20</v>
      </c>
      <c r="C2072" t="s">
        <v>17</v>
      </c>
      <c r="D2072">
        <v>150627</v>
      </c>
      <c r="E2072">
        <v>28785</v>
      </c>
      <c r="F2072">
        <v>36697</v>
      </c>
      <c r="G2072">
        <v>-134205</v>
      </c>
      <c r="H2072">
        <v>81904</v>
      </c>
      <c r="I2072">
        <v>84429</v>
      </c>
      <c r="J2072">
        <v>1670</v>
      </c>
      <c r="K2072">
        <v>559729</v>
      </c>
      <c r="L2072">
        <v>70044</v>
      </c>
      <c r="M2072">
        <v>-138895</v>
      </c>
      <c r="N2072">
        <v>118276</v>
      </c>
      <c r="O2072" t="s">
        <v>2090</v>
      </c>
      <c r="P2072" s="9">
        <v>235338</v>
      </c>
      <c r="Q2072" s="9">
        <v>23413</v>
      </c>
      <c r="R2072" s="9">
        <v>258751</v>
      </c>
      <c r="S2072" s="9">
        <v>-76995</v>
      </c>
      <c r="T2072" s="10">
        <v>92217</v>
      </c>
      <c r="U2072" s="10">
        <v>2063</v>
      </c>
    </row>
    <row r="2073" spans="1:21" x14ac:dyDescent="0.35">
      <c r="A2073" t="s">
        <v>15</v>
      </c>
      <c r="B2073" t="s">
        <v>20</v>
      </c>
      <c r="C2073" t="s">
        <v>21</v>
      </c>
      <c r="D2073">
        <v>190988</v>
      </c>
      <c r="E2073">
        <v>18274</v>
      </c>
      <c r="F2073">
        <v>19879</v>
      </c>
      <c r="G2073">
        <v>-172878</v>
      </c>
      <c r="H2073">
        <v>56263</v>
      </c>
      <c r="I2073">
        <v>57536</v>
      </c>
      <c r="J2073">
        <v>1356</v>
      </c>
      <c r="K2073">
        <v>480609</v>
      </c>
      <c r="L2073">
        <v>140857</v>
      </c>
      <c r="M2073">
        <v>-154051</v>
      </c>
      <c r="N2073">
        <v>170420</v>
      </c>
      <c r="O2073" t="s">
        <v>2091</v>
      </c>
      <c r="P2073" s="9">
        <v>283780</v>
      </c>
      <c r="Q2073" s="9">
        <v>38222</v>
      </c>
      <c r="R2073" s="9">
        <v>322002</v>
      </c>
      <c r="S2073" s="9">
        <v>-156196</v>
      </c>
      <c r="T2073" s="10">
        <v>127527</v>
      </c>
      <c r="U2073" s="10">
        <v>3540</v>
      </c>
    </row>
    <row r="2074" spans="1:21" x14ac:dyDescent="0.35">
      <c r="A2074" t="s">
        <v>15</v>
      </c>
      <c r="B2074" t="s">
        <v>16</v>
      </c>
      <c r="C2074" t="s">
        <v>21</v>
      </c>
      <c r="D2074">
        <v>260725</v>
      </c>
      <c r="E2074">
        <v>20699</v>
      </c>
      <c r="F2074">
        <v>51161</v>
      </c>
      <c r="G2074">
        <v>-241632</v>
      </c>
      <c r="H2074">
        <v>90953</v>
      </c>
      <c r="I2074">
        <v>84276</v>
      </c>
      <c r="J2074">
        <v>843</v>
      </c>
      <c r="K2074">
        <v>608512</v>
      </c>
      <c r="L2074">
        <v>89833</v>
      </c>
      <c r="M2074">
        <v>-161129</v>
      </c>
      <c r="N2074">
        <v>108664</v>
      </c>
      <c r="O2074" t="s">
        <v>2092</v>
      </c>
      <c r="P2074" s="9">
        <v>262669</v>
      </c>
      <c r="Q2074" s="9">
        <v>50118</v>
      </c>
      <c r="R2074" s="9">
        <v>312787</v>
      </c>
      <c r="S2074" s="9">
        <v>-182424</v>
      </c>
      <c r="T2074" s="10">
        <v>143510</v>
      </c>
      <c r="U2074" s="10">
        <v>2799</v>
      </c>
    </row>
    <row r="2075" spans="1:21" x14ac:dyDescent="0.35">
      <c r="A2075" t="s">
        <v>15</v>
      </c>
      <c r="B2075" t="s">
        <v>16</v>
      </c>
      <c r="C2075" t="s">
        <v>21</v>
      </c>
      <c r="D2075">
        <v>164744</v>
      </c>
      <c r="E2075">
        <v>19280</v>
      </c>
      <c r="F2075">
        <v>37685</v>
      </c>
      <c r="G2075">
        <v>-143176</v>
      </c>
      <c r="H2075">
        <v>78533</v>
      </c>
      <c r="I2075">
        <v>75063</v>
      </c>
      <c r="J2075">
        <v>1798</v>
      </c>
      <c r="K2075">
        <v>413313</v>
      </c>
      <c r="L2075">
        <v>201489</v>
      </c>
      <c r="M2075">
        <v>-98174</v>
      </c>
      <c r="N2075">
        <v>101222</v>
      </c>
      <c r="O2075" t="s">
        <v>2093</v>
      </c>
      <c r="P2075" s="9">
        <v>189418</v>
      </c>
      <c r="Q2075" s="9">
        <v>12575</v>
      </c>
      <c r="R2075" s="9">
        <v>201993</v>
      </c>
      <c r="S2075" s="9">
        <v>-116013</v>
      </c>
      <c r="T2075" s="10">
        <v>71414</v>
      </c>
      <c r="U2075" s="10">
        <v>1346</v>
      </c>
    </row>
    <row r="2076" spans="1:21" x14ac:dyDescent="0.35">
      <c r="A2076" t="s">
        <v>15</v>
      </c>
      <c r="B2076" t="s">
        <v>20</v>
      </c>
      <c r="C2076" t="s">
        <v>21</v>
      </c>
      <c r="D2076">
        <v>227921</v>
      </c>
      <c r="E2076">
        <v>37454</v>
      </c>
      <c r="F2076">
        <v>38147</v>
      </c>
      <c r="G2076">
        <v>-204261</v>
      </c>
      <c r="H2076">
        <v>99261</v>
      </c>
      <c r="I2076">
        <v>91096</v>
      </c>
      <c r="J2076">
        <v>2567</v>
      </c>
      <c r="K2076">
        <v>610025</v>
      </c>
      <c r="L2076">
        <v>180783</v>
      </c>
      <c r="M2076">
        <v>-197584</v>
      </c>
      <c r="N2076">
        <v>183243</v>
      </c>
      <c r="O2076" t="s">
        <v>2094</v>
      </c>
      <c r="P2076" s="9">
        <v>288473</v>
      </c>
      <c r="Q2076" s="9">
        <v>23626</v>
      </c>
      <c r="R2076" s="9">
        <v>312099</v>
      </c>
      <c r="S2076" s="9">
        <v>-116935</v>
      </c>
      <c r="T2076" s="10">
        <v>73695</v>
      </c>
      <c r="U2076" s="10">
        <v>792</v>
      </c>
    </row>
    <row r="2077" spans="1:21" x14ac:dyDescent="0.35">
      <c r="A2077" t="s">
        <v>15</v>
      </c>
      <c r="B2077" t="s">
        <v>16</v>
      </c>
      <c r="C2077" t="s">
        <v>21</v>
      </c>
      <c r="D2077">
        <v>172884</v>
      </c>
      <c r="E2077">
        <v>17396</v>
      </c>
      <c r="F2077">
        <v>33310</v>
      </c>
      <c r="G2077">
        <v>-172340</v>
      </c>
      <c r="H2077">
        <v>51250</v>
      </c>
      <c r="I2077">
        <v>51403</v>
      </c>
      <c r="J2077">
        <v>887</v>
      </c>
      <c r="K2077">
        <v>402141</v>
      </c>
      <c r="L2077">
        <v>147581</v>
      </c>
      <c r="M2077">
        <v>-135968</v>
      </c>
      <c r="N2077">
        <v>127283</v>
      </c>
      <c r="O2077" t="s">
        <v>2095</v>
      </c>
      <c r="P2077" s="9">
        <v>305063</v>
      </c>
      <c r="Q2077" s="9">
        <v>18629</v>
      </c>
      <c r="R2077" s="9">
        <v>323692</v>
      </c>
      <c r="S2077" s="9">
        <v>-171153</v>
      </c>
      <c r="T2077" s="10">
        <v>118673</v>
      </c>
      <c r="U2077" s="10">
        <v>1876</v>
      </c>
    </row>
    <row r="2078" spans="1:21" x14ac:dyDescent="0.35">
      <c r="A2078" t="s">
        <v>15</v>
      </c>
      <c r="B2078" t="s">
        <v>20</v>
      </c>
      <c r="C2078" t="s">
        <v>21</v>
      </c>
      <c r="D2078">
        <v>264480</v>
      </c>
      <c r="E2078">
        <v>20728</v>
      </c>
      <c r="F2078">
        <v>30194</v>
      </c>
      <c r="G2078">
        <v>-227401</v>
      </c>
      <c r="H2078">
        <v>88001</v>
      </c>
      <c r="I2078">
        <v>89463</v>
      </c>
      <c r="J2078">
        <v>1536</v>
      </c>
      <c r="K2078">
        <v>864447</v>
      </c>
      <c r="L2078">
        <v>304597</v>
      </c>
      <c r="M2078">
        <v>-94826</v>
      </c>
      <c r="N2078">
        <v>207919</v>
      </c>
      <c r="O2078" t="s">
        <v>2096</v>
      </c>
      <c r="P2078" s="9">
        <v>205238</v>
      </c>
      <c r="Q2078" s="9">
        <v>29005</v>
      </c>
      <c r="R2078" s="9">
        <v>234243</v>
      </c>
      <c r="S2078" s="9">
        <v>-121322</v>
      </c>
      <c r="T2078" s="10">
        <v>74432</v>
      </c>
      <c r="U2078" s="10">
        <v>1742</v>
      </c>
    </row>
    <row r="2079" spans="1:21" x14ac:dyDescent="0.35">
      <c r="A2079" t="s">
        <v>15</v>
      </c>
      <c r="B2079" t="s">
        <v>20</v>
      </c>
      <c r="C2079" t="s">
        <v>17</v>
      </c>
      <c r="D2079">
        <v>260780</v>
      </c>
      <c r="E2079">
        <v>25996</v>
      </c>
      <c r="F2079">
        <v>43597</v>
      </c>
      <c r="G2079">
        <v>-240532</v>
      </c>
      <c r="H2079">
        <v>89841</v>
      </c>
      <c r="I2079">
        <v>91021</v>
      </c>
      <c r="J2079">
        <v>1834</v>
      </c>
      <c r="K2079">
        <v>574587</v>
      </c>
      <c r="L2079">
        <v>208338</v>
      </c>
      <c r="M2079">
        <v>-97998</v>
      </c>
      <c r="N2079">
        <v>231405</v>
      </c>
      <c r="O2079" t="s">
        <v>2097</v>
      </c>
      <c r="P2079" s="9">
        <v>258226</v>
      </c>
      <c r="Q2079" s="9">
        <v>45416</v>
      </c>
      <c r="R2079" s="9">
        <v>303642</v>
      </c>
      <c r="S2079" s="9">
        <v>-172743</v>
      </c>
      <c r="T2079" s="10">
        <v>116869</v>
      </c>
      <c r="U2079" s="10">
        <v>1316</v>
      </c>
    </row>
    <row r="2080" spans="1:21" x14ac:dyDescent="0.35">
      <c r="A2080" t="s">
        <v>15</v>
      </c>
      <c r="B2080" t="s">
        <v>16</v>
      </c>
      <c r="C2080" t="s">
        <v>21</v>
      </c>
      <c r="D2080">
        <v>175619</v>
      </c>
      <c r="E2080">
        <v>21292</v>
      </c>
      <c r="F2080">
        <v>40160</v>
      </c>
      <c r="G2080">
        <v>-143350</v>
      </c>
      <c r="H2080">
        <v>93721</v>
      </c>
      <c r="I2080">
        <v>89804</v>
      </c>
      <c r="J2080">
        <v>1750</v>
      </c>
      <c r="K2080">
        <v>420896</v>
      </c>
      <c r="L2080">
        <v>173594</v>
      </c>
      <c r="M2080">
        <v>-167998</v>
      </c>
      <c r="N2080">
        <v>102804</v>
      </c>
      <c r="O2080" t="s">
        <v>2098</v>
      </c>
      <c r="P2080" s="9">
        <v>189675</v>
      </c>
      <c r="Q2080" s="9">
        <v>24141</v>
      </c>
      <c r="R2080" s="9">
        <v>213816</v>
      </c>
      <c r="S2080" s="9">
        <v>-86933</v>
      </c>
      <c r="T2080" s="10">
        <v>83440</v>
      </c>
      <c r="U2080" s="10">
        <v>2208</v>
      </c>
    </row>
    <row r="2081" spans="1:21" x14ac:dyDescent="0.35">
      <c r="A2081" t="s">
        <v>15</v>
      </c>
      <c r="B2081" t="s">
        <v>20</v>
      </c>
      <c r="C2081" t="s">
        <v>17</v>
      </c>
      <c r="D2081">
        <v>236689</v>
      </c>
      <c r="E2081">
        <v>25939</v>
      </c>
      <c r="F2081">
        <v>47998</v>
      </c>
      <c r="G2081">
        <v>-220463</v>
      </c>
      <c r="H2081">
        <v>90163</v>
      </c>
      <c r="I2081">
        <v>87940</v>
      </c>
      <c r="J2081">
        <v>902</v>
      </c>
      <c r="K2081">
        <v>721704</v>
      </c>
      <c r="L2081">
        <v>339485</v>
      </c>
      <c r="M2081">
        <v>-259427</v>
      </c>
      <c r="N2081">
        <v>183805</v>
      </c>
      <c r="O2081" t="s">
        <v>2099</v>
      </c>
      <c r="P2081" s="9">
        <v>252369</v>
      </c>
      <c r="Q2081" s="9">
        <v>45626</v>
      </c>
      <c r="R2081" s="9">
        <v>297995</v>
      </c>
      <c r="S2081" s="9">
        <v>-125985</v>
      </c>
      <c r="T2081" s="10">
        <v>96575</v>
      </c>
      <c r="U2081" s="10">
        <v>1126</v>
      </c>
    </row>
    <row r="2082" spans="1:21" x14ac:dyDescent="0.35">
      <c r="A2082" t="s">
        <v>15</v>
      </c>
      <c r="B2082" t="s">
        <v>16</v>
      </c>
      <c r="C2082" t="s">
        <v>21</v>
      </c>
      <c r="D2082">
        <v>161650</v>
      </c>
      <c r="E2082">
        <v>27133</v>
      </c>
      <c r="F2082">
        <v>18774</v>
      </c>
      <c r="G2082">
        <v>-148258</v>
      </c>
      <c r="H2082">
        <v>59299</v>
      </c>
      <c r="I2082">
        <v>58953</v>
      </c>
      <c r="J2082">
        <v>678</v>
      </c>
      <c r="K2082">
        <v>548331</v>
      </c>
      <c r="L2082">
        <v>197327</v>
      </c>
      <c r="M2082">
        <v>-68000</v>
      </c>
      <c r="N2082">
        <v>80782</v>
      </c>
      <c r="O2082" t="s">
        <v>2100</v>
      </c>
      <c r="P2082" s="9">
        <v>247239</v>
      </c>
      <c r="Q2082" s="9">
        <v>27335</v>
      </c>
      <c r="R2082" s="9">
        <v>274574</v>
      </c>
      <c r="S2082" s="9">
        <v>-151602</v>
      </c>
      <c r="T2082" s="10">
        <v>80294</v>
      </c>
      <c r="U2082" s="10">
        <v>2366</v>
      </c>
    </row>
    <row r="2083" spans="1:21" x14ac:dyDescent="0.35">
      <c r="A2083" t="s">
        <v>15</v>
      </c>
      <c r="B2083" t="s">
        <v>16</v>
      </c>
      <c r="C2083" t="s">
        <v>21</v>
      </c>
      <c r="D2083">
        <v>176617</v>
      </c>
      <c r="E2083">
        <v>16627</v>
      </c>
      <c r="F2083">
        <v>27845</v>
      </c>
      <c r="G2083">
        <v>-173135</v>
      </c>
      <c r="H2083">
        <v>47954</v>
      </c>
      <c r="I2083">
        <v>50315</v>
      </c>
      <c r="J2083">
        <v>791</v>
      </c>
      <c r="K2083">
        <v>525501</v>
      </c>
      <c r="L2083">
        <v>164699</v>
      </c>
      <c r="M2083">
        <v>-64030</v>
      </c>
      <c r="N2083">
        <v>125723</v>
      </c>
      <c r="O2083" t="s">
        <v>2101</v>
      </c>
      <c r="P2083" s="9">
        <v>242119</v>
      </c>
      <c r="Q2083" s="9">
        <v>44876</v>
      </c>
      <c r="R2083" s="9">
        <v>286995</v>
      </c>
      <c r="S2083" s="9">
        <v>-97234</v>
      </c>
      <c r="T2083" s="10">
        <v>82581</v>
      </c>
      <c r="U2083" s="10">
        <v>2063</v>
      </c>
    </row>
    <row r="2084" spans="1:21" x14ac:dyDescent="0.35">
      <c r="A2084" t="s">
        <v>15</v>
      </c>
      <c r="B2084" t="s">
        <v>16</v>
      </c>
      <c r="C2084" t="s">
        <v>21</v>
      </c>
      <c r="D2084">
        <v>208883</v>
      </c>
      <c r="E2084">
        <v>30838</v>
      </c>
      <c r="F2084">
        <v>31469</v>
      </c>
      <c r="G2084">
        <v>-169221</v>
      </c>
      <c r="H2084">
        <v>101969</v>
      </c>
      <c r="I2084">
        <v>106673</v>
      </c>
      <c r="J2084">
        <v>1894</v>
      </c>
      <c r="K2084">
        <v>728143</v>
      </c>
      <c r="L2084">
        <v>357527</v>
      </c>
      <c r="M2084">
        <v>-283097</v>
      </c>
      <c r="N2084">
        <v>168354</v>
      </c>
      <c r="O2084" t="s">
        <v>2102</v>
      </c>
      <c r="P2084" s="9">
        <v>172166</v>
      </c>
      <c r="Q2084" s="9">
        <v>29092</v>
      </c>
      <c r="R2084" s="9">
        <v>201258</v>
      </c>
      <c r="S2084" s="9">
        <v>-93191</v>
      </c>
      <c r="T2084" s="10">
        <v>99420</v>
      </c>
      <c r="U2084" s="10">
        <v>2902</v>
      </c>
    </row>
    <row r="2085" spans="1:21" x14ac:dyDescent="0.35">
      <c r="A2085" t="s">
        <v>15</v>
      </c>
      <c r="B2085" t="s">
        <v>16</v>
      </c>
      <c r="C2085" t="s">
        <v>21</v>
      </c>
      <c r="D2085">
        <v>242381</v>
      </c>
      <c r="E2085">
        <v>14488</v>
      </c>
      <c r="F2085">
        <v>39014</v>
      </c>
      <c r="G2085">
        <v>-216402</v>
      </c>
      <c r="H2085">
        <v>79481</v>
      </c>
      <c r="I2085">
        <v>79607</v>
      </c>
      <c r="J2085">
        <v>1006</v>
      </c>
      <c r="K2085">
        <v>585067</v>
      </c>
      <c r="L2085">
        <v>58546</v>
      </c>
      <c r="M2085">
        <v>-85417</v>
      </c>
      <c r="N2085">
        <v>96283</v>
      </c>
      <c r="O2085" t="s">
        <v>2103</v>
      </c>
      <c r="P2085" s="9">
        <v>314523</v>
      </c>
      <c r="Q2085" s="9">
        <v>54456</v>
      </c>
      <c r="R2085" s="9">
        <v>368979</v>
      </c>
      <c r="S2085" s="9">
        <v>-213226</v>
      </c>
      <c r="T2085" s="10">
        <v>123271</v>
      </c>
      <c r="U2085" s="10">
        <v>3135</v>
      </c>
    </row>
    <row r="2086" spans="1:21" x14ac:dyDescent="0.35">
      <c r="A2086" t="s">
        <v>15</v>
      </c>
      <c r="B2086" t="s">
        <v>16</v>
      </c>
      <c r="C2086" t="s">
        <v>21</v>
      </c>
      <c r="D2086">
        <v>292040</v>
      </c>
      <c r="E2086">
        <v>47291</v>
      </c>
      <c r="F2086">
        <v>33934</v>
      </c>
      <c r="G2086">
        <v>-291376</v>
      </c>
      <c r="H2086">
        <v>81889</v>
      </c>
      <c r="I2086">
        <v>81323</v>
      </c>
      <c r="J2086">
        <v>964</v>
      </c>
      <c r="K2086">
        <v>1084169</v>
      </c>
      <c r="L2086">
        <v>400613</v>
      </c>
      <c r="M2086">
        <v>-334509</v>
      </c>
      <c r="N2086">
        <v>136068</v>
      </c>
      <c r="O2086" t="s">
        <v>2104</v>
      </c>
      <c r="P2086" s="9">
        <v>209500</v>
      </c>
      <c r="Q2086" s="9">
        <v>28995</v>
      </c>
      <c r="R2086" s="9">
        <v>238495</v>
      </c>
      <c r="S2086" s="9">
        <v>-69065</v>
      </c>
      <c r="T2086" s="10">
        <v>88143</v>
      </c>
      <c r="U2086" s="10">
        <v>1055</v>
      </c>
    </row>
    <row r="2087" spans="1:21" x14ac:dyDescent="0.35">
      <c r="A2087" t="s">
        <v>15</v>
      </c>
      <c r="B2087" t="s">
        <v>16</v>
      </c>
      <c r="C2087" t="s">
        <v>21</v>
      </c>
      <c r="D2087">
        <v>215860</v>
      </c>
      <c r="E2087">
        <v>23272</v>
      </c>
      <c r="F2087">
        <v>52017</v>
      </c>
      <c r="G2087">
        <v>-180567</v>
      </c>
      <c r="H2087">
        <v>110582</v>
      </c>
      <c r="I2087">
        <v>104550</v>
      </c>
      <c r="J2087">
        <v>1965</v>
      </c>
      <c r="K2087">
        <v>608953</v>
      </c>
      <c r="L2087">
        <v>298713</v>
      </c>
      <c r="M2087">
        <v>-119139</v>
      </c>
      <c r="N2087">
        <v>168409</v>
      </c>
      <c r="O2087" t="s">
        <v>2105</v>
      </c>
      <c r="P2087" s="9">
        <v>247189</v>
      </c>
      <c r="Q2087" s="9">
        <v>53497</v>
      </c>
      <c r="R2087" s="9">
        <v>300686</v>
      </c>
      <c r="S2087" s="9">
        <v>-159274</v>
      </c>
      <c r="T2087" s="10">
        <v>131787</v>
      </c>
      <c r="U2087" s="10">
        <v>3912</v>
      </c>
    </row>
    <row r="2088" spans="1:21" x14ac:dyDescent="0.35">
      <c r="A2088" t="s">
        <v>15</v>
      </c>
      <c r="B2088" t="s">
        <v>16</v>
      </c>
      <c r="C2088" t="s">
        <v>17</v>
      </c>
      <c r="D2088">
        <v>214155</v>
      </c>
      <c r="E2088">
        <v>10768</v>
      </c>
      <c r="F2088">
        <v>44701</v>
      </c>
      <c r="G2088">
        <v>-182417</v>
      </c>
      <c r="H2088">
        <v>87207</v>
      </c>
      <c r="I2088">
        <v>90020</v>
      </c>
      <c r="J2088">
        <v>1024</v>
      </c>
      <c r="K2088">
        <v>842381</v>
      </c>
      <c r="L2088">
        <v>90994</v>
      </c>
      <c r="M2088">
        <v>-135741</v>
      </c>
      <c r="N2088">
        <v>68872</v>
      </c>
      <c r="O2088" t="s">
        <v>2106</v>
      </c>
      <c r="P2088" s="9">
        <v>177649</v>
      </c>
      <c r="Q2088" s="9">
        <v>13383</v>
      </c>
      <c r="R2088" s="9">
        <v>191032</v>
      </c>
      <c r="S2088" s="9">
        <v>-55159</v>
      </c>
      <c r="T2088" s="10">
        <v>51244</v>
      </c>
      <c r="U2088" s="10">
        <v>1039</v>
      </c>
    </row>
    <row r="2089" spans="1:21" x14ac:dyDescent="0.35">
      <c r="A2089" t="s">
        <v>15</v>
      </c>
      <c r="B2089" t="s">
        <v>20</v>
      </c>
      <c r="C2089" t="s">
        <v>21</v>
      </c>
      <c r="D2089">
        <v>188493</v>
      </c>
      <c r="E2089">
        <v>35677</v>
      </c>
      <c r="F2089">
        <v>45028</v>
      </c>
      <c r="G2089">
        <v>-185223</v>
      </c>
      <c r="H2089">
        <v>83975</v>
      </c>
      <c r="I2089">
        <v>83553</v>
      </c>
      <c r="J2089">
        <v>1553</v>
      </c>
      <c r="K2089">
        <v>536183</v>
      </c>
      <c r="L2089">
        <v>58191</v>
      </c>
      <c r="M2089">
        <v>-209468</v>
      </c>
      <c r="N2089">
        <v>132434</v>
      </c>
      <c r="O2089" t="s">
        <v>2107</v>
      </c>
      <c r="P2089" s="9">
        <v>160154</v>
      </c>
      <c r="Q2089" s="9">
        <v>8112</v>
      </c>
      <c r="R2089" s="9">
        <v>168266</v>
      </c>
      <c r="S2089" s="9">
        <v>-69043</v>
      </c>
      <c r="T2089" s="10">
        <v>48606</v>
      </c>
      <c r="U2089" s="10">
        <v>560</v>
      </c>
    </row>
    <row r="2090" spans="1:21" x14ac:dyDescent="0.35">
      <c r="A2090" t="s">
        <v>15</v>
      </c>
      <c r="B2090" t="s">
        <v>16</v>
      </c>
      <c r="C2090" t="s">
        <v>21</v>
      </c>
      <c r="D2090">
        <v>181173</v>
      </c>
      <c r="E2090">
        <v>29727</v>
      </c>
      <c r="F2090">
        <v>23357</v>
      </c>
      <c r="G2090">
        <v>-180773</v>
      </c>
      <c r="H2090">
        <v>53484</v>
      </c>
      <c r="I2090">
        <v>52861</v>
      </c>
      <c r="J2090">
        <v>1382</v>
      </c>
      <c r="K2090">
        <v>715095</v>
      </c>
      <c r="L2090">
        <v>172138</v>
      </c>
      <c r="M2090">
        <v>-219535</v>
      </c>
      <c r="N2090">
        <v>153448</v>
      </c>
      <c r="O2090" t="s">
        <v>2108</v>
      </c>
      <c r="P2090" s="9">
        <v>266382</v>
      </c>
      <c r="Q2090" s="9">
        <v>20084</v>
      </c>
      <c r="R2090" s="9">
        <v>286466</v>
      </c>
      <c r="S2090" s="9">
        <v>-66968</v>
      </c>
      <c r="T2090" s="10">
        <v>63863</v>
      </c>
      <c r="U2090" s="10">
        <v>1429</v>
      </c>
    </row>
    <row r="2091" spans="1:21" x14ac:dyDescent="0.35">
      <c r="A2091" t="s">
        <v>15</v>
      </c>
      <c r="B2091" t="s">
        <v>20</v>
      </c>
      <c r="C2091" t="s">
        <v>21</v>
      </c>
      <c r="D2091">
        <v>277669</v>
      </c>
      <c r="E2091">
        <v>16770</v>
      </c>
      <c r="F2091">
        <v>45008</v>
      </c>
      <c r="G2091">
        <v>-253170</v>
      </c>
      <c r="H2091">
        <v>86277</v>
      </c>
      <c r="I2091">
        <v>80129</v>
      </c>
      <c r="J2091">
        <v>1193</v>
      </c>
      <c r="K2091">
        <v>779524</v>
      </c>
      <c r="L2091">
        <v>100010</v>
      </c>
      <c r="M2091">
        <v>-105570</v>
      </c>
      <c r="N2091">
        <v>132729</v>
      </c>
      <c r="O2091" t="s">
        <v>2109</v>
      </c>
      <c r="P2091" s="9">
        <v>246329</v>
      </c>
      <c r="Q2091" s="9">
        <v>12655</v>
      </c>
      <c r="R2091" s="9">
        <v>258984</v>
      </c>
      <c r="S2091" s="9">
        <v>-79328</v>
      </c>
      <c r="T2091" s="10">
        <v>59505</v>
      </c>
      <c r="U2091" s="10">
        <v>1515</v>
      </c>
    </row>
    <row r="2092" spans="1:21" x14ac:dyDescent="0.35">
      <c r="A2092" t="s">
        <v>15</v>
      </c>
      <c r="B2092" t="s">
        <v>16</v>
      </c>
      <c r="C2092" t="s">
        <v>21</v>
      </c>
      <c r="D2092">
        <v>215924</v>
      </c>
      <c r="E2092">
        <v>39088</v>
      </c>
      <c r="F2092">
        <v>31335</v>
      </c>
      <c r="G2092">
        <v>-207753</v>
      </c>
      <c r="H2092">
        <v>78594</v>
      </c>
      <c r="I2092">
        <v>72949</v>
      </c>
      <c r="J2092">
        <v>1293</v>
      </c>
      <c r="K2092">
        <v>485389</v>
      </c>
      <c r="L2092">
        <v>221057</v>
      </c>
      <c r="M2092">
        <v>-75980</v>
      </c>
      <c r="N2092">
        <v>92125</v>
      </c>
      <c r="O2092" t="s">
        <v>2110</v>
      </c>
      <c r="P2092" s="9">
        <v>233692</v>
      </c>
      <c r="Q2092" s="9">
        <v>33010</v>
      </c>
      <c r="R2092" s="9">
        <v>266702</v>
      </c>
      <c r="S2092" s="9">
        <v>-94514</v>
      </c>
      <c r="T2092" s="10">
        <v>125771</v>
      </c>
      <c r="U2092" s="10">
        <v>2257</v>
      </c>
    </row>
    <row r="2093" spans="1:21" x14ac:dyDescent="0.35">
      <c r="A2093" t="s">
        <v>15</v>
      </c>
      <c r="B2093" t="s">
        <v>16</v>
      </c>
      <c r="C2093" t="s">
        <v>21</v>
      </c>
      <c r="D2093">
        <v>287203</v>
      </c>
      <c r="E2093">
        <v>51142</v>
      </c>
      <c r="F2093">
        <v>55139</v>
      </c>
      <c r="G2093">
        <v>-241691</v>
      </c>
      <c r="H2093">
        <v>151793</v>
      </c>
      <c r="I2093">
        <v>154304</v>
      </c>
      <c r="J2093">
        <v>2750</v>
      </c>
      <c r="K2093">
        <v>811545</v>
      </c>
      <c r="L2093">
        <v>372022</v>
      </c>
      <c r="M2093">
        <v>-162907</v>
      </c>
      <c r="N2093">
        <v>97219</v>
      </c>
      <c r="O2093" t="s">
        <v>2111</v>
      </c>
      <c r="P2093" s="9">
        <v>149292</v>
      </c>
      <c r="Q2093" s="9">
        <v>8384</v>
      </c>
      <c r="R2093" s="9">
        <v>157676</v>
      </c>
      <c r="S2093" s="9">
        <v>-58864</v>
      </c>
      <c r="T2093" s="10">
        <v>56062</v>
      </c>
      <c r="U2093" s="10">
        <v>1104</v>
      </c>
    </row>
    <row r="2094" spans="1:21" x14ac:dyDescent="0.35">
      <c r="A2094" t="s">
        <v>15</v>
      </c>
      <c r="B2094" t="s">
        <v>16</v>
      </c>
      <c r="C2094" t="s">
        <v>21</v>
      </c>
      <c r="D2094">
        <v>216493</v>
      </c>
      <c r="E2094">
        <v>26859</v>
      </c>
      <c r="F2094">
        <v>27944</v>
      </c>
      <c r="G2094">
        <v>-174923</v>
      </c>
      <c r="H2094">
        <v>96373</v>
      </c>
      <c r="I2094">
        <v>89377</v>
      </c>
      <c r="J2094">
        <v>1850</v>
      </c>
      <c r="K2094">
        <v>658282</v>
      </c>
      <c r="L2094">
        <v>100298</v>
      </c>
      <c r="M2094">
        <v>-81293</v>
      </c>
      <c r="N2094">
        <v>161258</v>
      </c>
      <c r="O2094" t="s">
        <v>2112</v>
      </c>
      <c r="P2094" s="9">
        <v>186488</v>
      </c>
      <c r="Q2094" s="9">
        <v>18523</v>
      </c>
      <c r="R2094" s="9">
        <v>205011</v>
      </c>
      <c r="S2094" s="9">
        <v>-56750</v>
      </c>
      <c r="T2094" s="10">
        <v>83172</v>
      </c>
      <c r="U2094" s="10">
        <v>2259</v>
      </c>
    </row>
    <row r="2095" spans="1:21" x14ac:dyDescent="0.35">
      <c r="A2095" t="s">
        <v>15</v>
      </c>
      <c r="B2095" t="s">
        <v>16</v>
      </c>
      <c r="C2095" t="s">
        <v>17</v>
      </c>
      <c r="D2095">
        <v>205369</v>
      </c>
      <c r="E2095">
        <v>32482</v>
      </c>
      <c r="F2095">
        <v>51313</v>
      </c>
      <c r="G2095">
        <v>-191002</v>
      </c>
      <c r="H2095">
        <v>98162</v>
      </c>
      <c r="I2095">
        <v>89735</v>
      </c>
      <c r="J2095">
        <v>981</v>
      </c>
      <c r="K2095">
        <v>476825</v>
      </c>
      <c r="L2095">
        <v>132367</v>
      </c>
      <c r="M2095">
        <v>-85982</v>
      </c>
      <c r="N2095">
        <v>116776</v>
      </c>
      <c r="O2095" t="s">
        <v>2113</v>
      </c>
      <c r="P2095" s="9">
        <v>265133</v>
      </c>
      <c r="Q2095" s="9">
        <v>27901</v>
      </c>
      <c r="R2095" s="9">
        <v>293034</v>
      </c>
      <c r="S2095" s="9">
        <v>-120883</v>
      </c>
      <c r="T2095" s="10">
        <v>103043</v>
      </c>
      <c r="U2095" s="10">
        <v>2218</v>
      </c>
    </row>
    <row r="2096" spans="1:21" x14ac:dyDescent="0.35">
      <c r="A2096" t="s">
        <v>15</v>
      </c>
      <c r="B2096" t="s">
        <v>20</v>
      </c>
      <c r="C2096" t="s">
        <v>21</v>
      </c>
      <c r="D2096">
        <v>249322</v>
      </c>
      <c r="E2096">
        <v>13754</v>
      </c>
      <c r="F2096">
        <v>52557</v>
      </c>
      <c r="G2096">
        <v>-213313</v>
      </c>
      <c r="H2096">
        <v>102320</v>
      </c>
      <c r="I2096">
        <v>104671</v>
      </c>
      <c r="J2096">
        <v>2615</v>
      </c>
      <c r="K2096">
        <v>703684</v>
      </c>
      <c r="L2096">
        <v>267972</v>
      </c>
      <c r="M2096">
        <v>-104558</v>
      </c>
      <c r="N2096">
        <v>158330</v>
      </c>
      <c r="O2096" t="s">
        <v>2114</v>
      </c>
      <c r="P2096" s="9">
        <v>177497</v>
      </c>
      <c r="Q2096" s="9">
        <v>22399</v>
      </c>
      <c r="R2096" s="9">
        <v>199896</v>
      </c>
      <c r="S2096" s="9">
        <v>-88671</v>
      </c>
      <c r="T2096" s="10">
        <v>78011</v>
      </c>
      <c r="U2096" s="10">
        <v>1073</v>
      </c>
    </row>
    <row r="2097" spans="1:21" x14ac:dyDescent="0.35">
      <c r="A2097" t="s">
        <v>15</v>
      </c>
      <c r="B2097" t="s">
        <v>16</v>
      </c>
      <c r="C2097" t="s">
        <v>21</v>
      </c>
      <c r="D2097">
        <v>280741</v>
      </c>
      <c r="E2097">
        <v>44752</v>
      </c>
      <c r="F2097">
        <v>56123</v>
      </c>
      <c r="G2097">
        <v>-277796</v>
      </c>
      <c r="H2097">
        <v>103820</v>
      </c>
      <c r="I2097">
        <v>106803</v>
      </c>
      <c r="J2097">
        <v>2796</v>
      </c>
      <c r="K2097">
        <v>866661</v>
      </c>
      <c r="L2097">
        <v>365735</v>
      </c>
      <c r="M2097">
        <v>-135815</v>
      </c>
      <c r="N2097">
        <v>188494</v>
      </c>
      <c r="O2097" t="s">
        <v>2115</v>
      </c>
      <c r="P2097" s="9">
        <v>272835</v>
      </c>
      <c r="Q2097" s="9">
        <v>24859</v>
      </c>
      <c r="R2097" s="9">
        <v>297694</v>
      </c>
      <c r="S2097" s="9">
        <v>-131838</v>
      </c>
      <c r="T2097" s="10">
        <v>75092</v>
      </c>
      <c r="U2097" s="10">
        <v>1783</v>
      </c>
    </row>
    <row r="2098" spans="1:21" x14ac:dyDescent="0.35">
      <c r="A2098" t="s">
        <v>15</v>
      </c>
      <c r="B2098" t="s">
        <v>20</v>
      </c>
      <c r="C2098" t="s">
        <v>21</v>
      </c>
      <c r="D2098">
        <v>261987</v>
      </c>
      <c r="E2098">
        <v>19543</v>
      </c>
      <c r="F2098">
        <v>54046</v>
      </c>
      <c r="G2098">
        <v>-220153</v>
      </c>
      <c r="H2098">
        <v>115423</v>
      </c>
      <c r="I2098">
        <v>115011</v>
      </c>
      <c r="J2098">
        <v>2242</v>
      </c>
      <c r="K2098">
        <v>914877</v>
      </c>
      <c r="L2098">
        <v>257294</v>
      </c>
      <c r="M2098">
        <v>-115363</v>
      </c>
      <c r="N2098">
        <v>139668</v>
      </c>
      <c r="O2098" t="s">
        <v>2116</v>
      </c>
      <c r="P2098" s="9">
        <v>219742</v>
      </c>
      <c r="Q2098" s="9">
        <v>25988</v>
      </c>
      <c r="R2098" s="9">
        <v>245730</v>
      </c>
      <c r="S2098" s="9">
        <v>-52983</v>
      </c>
      <c r="T2098" s="10">
        <v>59662</v>
      </c>
      <c r="U2098" s="10">
        <v>922</v>
      </c>
    </row>
    <row r="2099" spans="1:21" x14ac:dyDescent="0.35">
      <c r="A2099" t="s">
        <v>15</v>
      </c>
      <c r="B2099" t="s">
        <v>16</v>
      </c>
      <c r="C2099" t="s">
        <v>21</v>
      </c>
      <c r="D2099">
        <v>289822</v>
      </c>
      <c r="E2099">
        <v>22934</v>
      </c>
      <c r="F2099">
        <v>57508</v>
      </c>
      <c r="G2099">
        <v>-259118</v>
      </c>
      <c r="H2099">
        <v>111146</v>
      </c>
      <c r="I2099">
        <v>106744</v>
      </c>
      <c r="J2099">
        <v>2682</v>
      </c>
      <c r="K2099">
        <v>1140049</v>
      </c>
      <c r="L2099">
        <v>157568</v>
      </c>
      <c r="M2099">
        <v>-391754</v>
      </c>
      <c r="N2099">
        <v>90547</v>
      </c>
      <c r="O2099" t="s">
        <v>2117</v>
      </c>
      <c r="P2099" s="9">
        <v>295110</v>
      </c>
      <c r="Q2099" s="9">
        <v>25232</v>
      </c>
      <c r="R2099" s="9">
        <v>320342</v>
      </c>
      <c r="S2099" s="9">
        <v>-151787</v>
      </c>
      <c r="T2099" s="10">
        <v>69202</v>
      </c>
      <c r="U2099" s="10">
        <v>1109</v>
      </c>
    </row>
    <row r="2100" spans="1:21" x14ac:dyDescent="0.35">
      <c r="A2100" t="s">
        <v>15</v>
      </c>
      <c r="B2100" t="s">
        <v>20</v>
      </c>
      <c r="C2100" t="s">
        <v>21</v>
      </c>
      <c r="D2100">
        <v>293882</v>
      </c>
      <c r="E2100">
        <v>29712</v>
      </c>
      <c r="F2100">
        <v>44530</v>
      </c>
      <c r="G2100">
        <v>-275715</v>
      </c>
      <c r="H2100">
        <v>92409</v>
      </c>
      <c r="I2100">
        <v>94415</v>
      </c>
      <c r="J2100">
        <v>1596</v>
      </c>
      <c r="K2100">
        <v>1142781</v>
      </c>
      <c r="L2100">
        <v>153832</v>
      </c>
      <c r="M2100">
        <v>-171582</v>
      </c>
      <c r="N2100">
        <v>91164</v>
      </c>
      <c r="O2100" t="s">
        <v>2118</v>
      </c>
      <c r="P2100" s="9">
        <v>169850</v>
      </c>
      <c r="Q2100" s="9">
        <v>8654</v>
      </c>
      <c r="R2100" s="9">
        <v>178504</v>
      </c>
      <c r="S2100" s="9">
        <v>-102490</v>
      </c>
      <c r="T2100" s="10">
        <v>63088</v>
      </c>
      <c r="U2100" s="10">
        <v>1440</v>
      </c>
    </row>
    <row r="2101" spans="1:21" x14ac:dyDescent="0.35">
      <c r="A2101" t="s">
        <v>15</v>
      </c>
      <c r="B2101" t="s">
        <v>16</v>
      </c>
      <c r="C2101" t="s">
        <v>21</v>
      </c>
      <c r="D2101">
        <v>229539</v>
      </c>
      <c r="E2101">
        <v>21409</v>
      </c>
      <c r="F2101">
        <v>55950</v>
      </c>
      <c r="G2101">
        <v>-206441</v>
      </c>
      <c r="H2101">
        <v>100457</v>
      </c>
      <c r="I2101">
        <v>92318</v>
      </c>
      <c r="J2101">
        <v>1341</v>
      </c>
      <c r="K2101">
        <v>674891</v>
      </c>
      <c r="L2101">
        <v>161680</v>
      </c>
      <c r="M2101">
        <v>-168939</v>
      </c>
      <c r="N2101">
        <v>149928</v>
      </c>
      <c r="O2101" t="s">
        <v>2119</v>
      </c>
      <c r="P2101" s="9">
        <v>233803</v>
      </c>
      <c r="Q2101" s="9">
        <v>34095</v>
      </c>
      <c r="R2101" s="9">
        <v>267898</v>
      </c>
      <c r="S2101" s="9">
        <v>-139832</v>
      </c>
      <c r="T2101" s="10">
        <v>79941</v>
      </c>
      <c r="U2101" s="10">
        <v>1355</v>
      </c>
    </row>
    <row r="2102" spans="1:21" x14ac:dyDescent="0.35">
      <c r="A2102" t="s">
        <v>15</v>
      </c>
      <c r="B2102" t="s">
        <v>20</v>
      </c>
      <c r="C2102" t="s">
        <v>21</v>
      </c>
      <c r="D2102">
        <v>287308</v>
      </c>
      <c r="E2102">
        <v>17630</v>
      </c>
      <c r="F2102">
        <v>45455</v>
      </c>
      <c r="G2102">
        <v>-275823</v>
      </c>
      <c r="H2102">
        <v>74570</v>
      </c>
      <c r="I2102">
        <v>76359</v>
      </c>
      <c r="J2102">
        <v>1046</v>
      </c>
      <c r="K2102">
        <v>1111165</v>
      </c>
      <c r="L2102">
        <v>461836</v>
      </c>
      <c r="M2102">
        <v>-245379</v>
      </c>
      <c r="N2102">
        <v>159554</v>
      </c>
      <c r="O2102" t="s">
        <v>2120</v>
      </c>
      <c r="P2102" s="9">
        <v>200738</v>
      </c>
      <c r="Q2102" s="9">
        <v>28385</v>
      </c>
      <c r="R2102" s="9">
        <v>229123</v>
      </c>
      <c r="S2102" s="9">
        <v>-75973</v>
      </c>
      <c r="T2102" s="10">
        <v>100984</v>
      </c>
      <c r="U2102" s="10">
        <v>1416</v>
      </c>
    </row>
    <row r="2103" spans="1:21" x14ac:dyDescent="0.35">
      <c r="A2103" t="s">
        <v>15</v>
      </c>
      <c r="B2103" t="s">
        <v>20</v>
      </c>
      <c r="C2103" t="s">
        <v>17</v>
      </c>
      <c r="D2103">
        <v>152367</v>
      </c>
      <c r="E2103">
        <v>20909</v>
      </c>
      <c r="F2103">
        <v>38083</v>
      </c>
      <c r="G2103">
        <v>-130202</v>
      </c>
      <c r="H2103">
        <v>81157</v>
      </c>
      <c r="I2103">
        <v>75864</v>
      </c>
      <c r="J2103">
        <v>2084</v>
      </c>
      <c r="K2103">
        <v>574883</v>
      </c>
      <c r="L2103">
        <v>173589</v>
      </c>
      <c r="M2103">
        <v>-113785</v>
      </c>
      <c r="N2103">
        <v>69182</v>
      </c>
      <c r="O2103" t="s">
        <v>2121</v>
      </c>
      <c r="P2103" s="9">
        <v>201527</v>
      </c>
      <c r="Q2103" s="9">
        <v>37252</v>
      </c>
      <c r="R2103" s="9">
        <v>238779</v>
      </c>
      <c r="S2103" s="9">
        <v>-70576</v>
      </c>
      <c r="T2103" s="10">
        <v>80229</v>
      </c>
      <c r="U2103" s="10">
        <v>2115</v>
      </c>
    </row>
    <row r="2104" spans="1:21" x14ac:dyDescent="0.35">
      <c r="A2104" t="s">
        <v>15</v>
      </c>
      <c r="B2104" t="s">
        <v>16</v>
      </c>
      <c r="C2104" t="s">
        <v>21</v>
      </c>
      <c r="D2104">
        <v>282249</v>
      </c>
      <c r="E2104">
        <v>51474</v>
      </c>
      <c r="F2104">
        <v>60326</v>
      </c>
      <c r="G2104">
        <v>-269953</v>
      </c>
      <c r="H2104">
        <v>124096</v>
      </c>
      <c r="I2104">
        <v>117771</v>
      </c>
      <c r="J2104">
        <v>1634</v>
      </c>
      <c r="K2104">
        <v>1106316</v>
      </c>
      <c r="L2104">
        <v>131492</v>
      </c>
      <c r="M2104">
        <v>-420820</v>
      </c>
      <c r="N2104">
        <v>221843</v>
      </c>
      <c r="O2104" t="s">
        <v>2122</v>
      </c>
      <c r="P2104" s="9">
        <v>268308</v>
      </c>
      <c r="Q2104" s="9">
        <v>19810</v>
      </c>
      <c r="R2104" s="9">
        <v>288118</v>
      </c>
      <c r="S2104" s="9">
        <v>-90404</v>
      </c>
      <c r="T2104" s="10">
        <v>74395</v>
      </c>
      <c r="U2104" s="10">
        <v>2153</v>
      </c>
    </row>
    <row r="2105" spans="1:21" x14ac:dyDescent="0.35">
      <c r="A2105" t="s">
        <v>15</v>
      </c>
      <c r="B2105" t="s">
        <v>20</v>
      </c>
      <c r="C2105" t="s">
        <v>21</v>
      </c>
      <c r="D2105">
        <v>180831</v>
      </c>
      <c r="E2105">
        <v>15944</v>
      </c>
      <c r="F2105">
        <v>27136</v>
      </c>
      <c r="G2105">
        <v>-164749</v>
      </c>
      <c r="H2105">
        <v>59162</v>
      </c>
      <c r="I2105">
        <v>54076</v>
      </c>
      <c r="J2105">
        <v>1462</v>
      </c>
      <c r="K2105">
        <v>705128</v>
      </c>
      <c r="L2105">
        <v>230525</v>
      </c>
      <c r="M2105">
        <v>-118277</v>
      </c>
      <c r="N2105">
        <v>67717</v>
      </c>
      <c r="O2105" t="s">
        <v>2123</v>
      </c>
      <c r="P2105" s="9">
        <v>159713</v>
      </c>
      <c r="Q2105" s="9">
        <v>10763</v>
      </c>
      <c r="R2105" s="9">
        <v>170476</v>
      </c>
      <c r="S2105" s="9">
        <v>-57016</v>
      </c>
      <c r="T2105" s="10">
        <v>52349</v>
      </c>
      <c r="U2105" s="10">
        <v>596</v>
      </c>
    </row>
    <row r="2106" spans="1:21" x14ac:dyDescent="0.35">
      <c r="A2106" t="s">
        <v>15</v>
      </c>
      <c r="B2106" t="s">
        <v>20</v>
      </c>
      <c r="C2106" t="s">
        <v>21</v>
      </c>
      <c r="D2106">
        <v>192814</v>
      </c>
      <c r="E2106">
        <v>36857</v>
      </c>
      <c r="F2106">
        <v>22964</v>
      </c>
      <c r="G2106">
        <v>-159491</v>
      </c>
      <c r="H2106">
        <v>93144</v>
      </c>
      <c r="I2106">
        <v>88237</v>
      </c>
      <c r="J2106">
        <v>980</v>
      </c>
      <c r="K2106">
        <v>641776</v>
      </c>
      <c r="L2106">
        <v>180629</v>
      </c>
      <c r="M2106">
        <v>-137667</v>
      </c>
      <c r="N2106">
        <v>58574</v>
      </c>
      <c r="O2106" t="s">
        <v>2124</v>
      </c>
      <c r="P2106" s="9">
        <v>293370</v>
      </c>
      <c r="Q2106" s="9">
        <v>26930</v>
      </c>
      <c r="R2106" s="9">
        <v>320300</v>
      </c>
      <c r="S2106" s="9">
        <v>-70236</v>
      </c>
      <c r="T2106" s="10">
        <v>74152</v>
      </c>
      <c r="U2106" s="10">
        <v>914</v>
      </c>
    </row>
    <row r="2107" spans="1:21" x14ac:dyDescent="0.35">
      <c r="A2107" t="s">
        <v>15</v>
      </c>
      <c r="B2107" t="s">
        <v>20</v>
      </c>
      <c r="C2107" t="s">
        <v>21</v>
      </c>
      <c r="D2107">
        <v>282492</v>
      </c>
      <c r="E2107">
        <v>41329</v>
      </c>
      <c r="F2107">
        <v>63795</v>
      </c>
      <c r="G2107">
        <v>-246164</v>
      </c>
      <c r="H2107">
        <v>141452</v>
      </c>
      <c r="I2107">
        <v>145547</v>
      </c>
      <c r="J2107">
        <v>1635</v>
      </c>
      <c r="K2107">
        <v>664206</v>
      </c>
      <c r="L2107">
        <v>317864</v>
      </c>
      <c r="M2107">
        <v>-82296</v>
      </c>
      <c r="N2107">
        <v>173757</v>
      </c>
      <c r="O2107" t="s">
        <v>2125</v>
      </c>
      <c r="P2107" s="9">
        <v>228109</v>
      </c>
      <c r="Q2107" s="9">
        <v>34188</v>
      </c>
      <c r="R2107" s="9">
        <v>262297</v>
      </c>
      <c r="S2107" s="9">
        <v>-140803</v>
      </c>
      <c r="T2107" s="10">
        <v>82821</v>
      </c>
      <c r="U2107" s="10">
        <v>2344</v>
      </c>
    </row>
    <row r="2108" spans="1:21" x14ac:dyDescent="0.35">
      <c r="A2108" t="s">
        <v>15</v>
      </c>
      <c r="B2108" t="s">
        <v>16</v>
      </c>
      <c r="C2108" t="s">
        <v>21</v>
      </c>
      <c r="D2108">
        <v>199174</v>
      </c>
      <c r="E2108">
        <v>24547</v>
      </c>
      <c r="F2108">
        <v>39203</v>
      </c>
      <c r="G2108">
        <v>-174139</v>
      </c>
      <c r="H2108">
        <v>88785</v>
      </c>
      <c r="I2108">
        <v>80790</v>
      </c>
      <c r="J2108">
        <v>1681</v>
      </c>
      <c r="K2108">
        <v>701304</v>
      </c>
      <c r="L2108">
        <v>308368</v>
      </c>
      <c r="M2108">
        <v>-121454</v>
      </c>
      <c r="N2108">
        <v>105723</v>
      </c>
      <c r="O2108" t="s">
        <v>2126</v>
      </c>
      <c r="P2108" s="9">
        <v>289874</v>
      </c>
      <c r="Q2108" s="9">
        <v>51808</v>
      </c>
      <c r="R2108" s="9">
        <v>341682</v>
      </c>
      <c r="S2108" s="9">
        <v>-188388</v>
      </c>
      <c r="T2108" s="10">
        <v>142196</v>
      </c>
      <c r="U2108" s="10">
        <v>3636</v>
      </c>
    </row>
    <row r="2109" spans="1:21" x14ac:dyDescent="0.35">
      <c r="A2109" t="s">
        <v>15</v>
      </c>
      <c r="B2109" t="s">
        <v>16</v>
      </c>
      <c r="C2109" t="s">
        <v>17</v>
      </c>
      <c r="D2109">
        <v>259624</v>
      </c>
      <c r="E2109">
        <v>46704</v>
      </c>
      <c r="F2109">
        <v>59902</v>
      </c>
      <c r="G2109">
        <v>-256308</v>
      </c>
      <c r="H2109">
        <v>109922</v>
      </c>
      <c r="I2109">
        <v>106441</v>
      </c>
      <c r="J2109">
        <v>2856</v>
      </c>
      <c r="K2109">
        <v>930031</v>
      </c>
      <c r="L2109">
        <v>356042</v>
      </c>
      <c r="M2109">
        <v>-200797</v>
      </c>
      <c r="N2109">
        <v>118417</v>
      </c>
      <c r="O2109" t="s">
        <v>2127</v>
      </c>
      <c r="P2109" s="9">
        <v>143236</v>
      </c>
      <c r="Q2109" s="9">
        <v>12599</v>
      </c>
      <c r="R2109" s="9">
        <v>155835</v>
      </c>
      <c r="S2109" s="9">
        <v>-78756</v>
      </c>
      <c r="T2109" s="10">
        <v>41010</v>
      </c>
      <c r="U2109" s="10">
        <v>1016</v>
      </c>
    </row>
    <row r="2110" spans="1:21" x14ac:dyDescent="0.35">
      <c r="A2110" t="s">
        <v>15</v>
      </c>
      <c r="B2110" t="s">
        <v>16</v>
      </c>
      <c r="C2110" t="s">
        <v>21</v>
      </c>
      <c r="D2110">
        <v>242880</v>
      </c>
      <c r="E2110">
        <v>25269</v>
      </c>
      <c r="F2110">
        <v>53077</v>
      </c>
      <c r="G2110">
        <v>-220997</v>
      </c>
      <c r="H2110">
        <v>100229</v>
      </c>
      <c r="I2110">
        <v>91656</v>
      </c>
      <c r="J2110">
        <v>1486</v>
      </c>
      <c r="K2110">
        <v>717316</v>
      </c>
      <c r="L2110">
        <v>279581</v>
      </c>
      <c r="M2110">
        <v>-241536</v>
      </c>
      <c r="N2110">
        <v>203028</v>
      </c>
      <c r="O2110" t="s">
        <v>2128</v>
      </c>
      <c r="P2110" s="9">
        <v>240280</v>
      </c>
      <c r="Q2110" s="9">
        <v>21813</v>
      </c>
      <c r="R2110" s="9">
        <v>262093</v>
      </c>
      <c r="S2110" s="9">
        <v>-58532</v>
      </c>
      <c r="T2110" s="10">
        <v>77489</v>
      </c>
      <c r="U2110" s="10">
        <v>1229</v>
      </c>
    </row>
    <row r="2111" spans="1:21" x14ac:dyDescent="0.35">
      <c r="A2111" t="s">
        <v>15</v>
      </c>
      <c r="B2111" t="s">
        <v>16</v>
      </c>
      <c r="C2111" t="s">
        <v>21</v>
      </c>
      <c r="D2111">
        <v>214571</v>
      </c>
      <c r="E2111">
        <v>15873</v>
      </c>
      <c r="F2111">
        <v>51408</v>
      </c>
      <c r="G2111">
        <v>-211916</v>
      </c>
      <c r="H2111">
        <v>69936</v>
      </c>
      <c r="I2111">
        <v>67579</v>
      </c>
      <c r="J2111">
        <v>838</v>
      </c>
      <c r="K2111">
        <v>429565</v>
      </c>
      <c r="L2111">
        <v>131218</v>
      </c>
      <c r="M2111">
        <v>-64276</v>
      </c>
      <c r="N2111">
        <v>172822</v>
      </c>
      <c r="O2111" t="s">
        <v>2129</v>
      </c>
      <c r="P2111" s="9">
        <v>143594</v>
      </c>
      <c r="Q2111" s="9">
        <v>9150</v>
      </c>
      <c r="R2111" s="9">
        <v>152744</v>
      </c>
      <c r="S2111" s="9">
        <v>-40594</v>
      </c>
      <c r="T2111" s="10">
        <v>26134</v>
      </c>
      <c r="U2111" s="10">
        <v>284</v>
      </c>
    </row>
    <row r="2112" spans="1:21" x14ac:dyDescent="0.35">
      <c r="A2112" t="s">
        <v>15</v>
      </c>
      <c r="B2112" t="s">
        <v>16</v>
      </c>
      <c r="C2112" t="s">
        <v>21</v>
      </c>
      <c r="D2112">
        <v>239420</v>
      </c>
      <c r="E2112">
        <v>19810</v>
      </c>
      <c r="F2112">
        <v>48191</v>
      </c>
      <c r="G2112">
        <v>-204288</v>
      </c>
      <c r="H2112">
        <v>103133</v>
      </c>
      <c r="I2112">
        <v>98534</v>
      </c>
      <c r="J2112">
        <v>2748</v>
      </c>
      <c r="K2112">
        <v>801654</v>
      </c>
      <c r="L2112">
        <v>259335</v>
      </c>
      <c r="M2112">
        <v>-96581</v>
      </c>
      <c r="N2112">
        <v>120581</v>
      </c>
      <c r="O2112" t="s">
        <v>2130</v>
      </c>
      <c r="P2112" s="9">
        <v>270256</v>
      </c>
      <c r="Q2112" s="9">
        <v>24375</v>
      </c>
      <c r="R2112" s="9">
        <v>294631</v>
      </c>
      <c r="S2112" s="9">
        <v>-100111</v>
      </c>
      <c r="T2112" s="10">
        <v>76987</v>
      </c>
      <c r="U2112" s="10">
        <v>1283</v>
      </c>
    </row>
    <row r="2113" spans="1:21" x14ac:dyDescent="0.35">
      <c r="A2113" t="s">
        <v>15</v>
      </c>
      <c r="B2113" t="s">
        <v>20</v>
      </c>
      <c r="C2113" t="s">
        <v>21</v>
      </c>
      <c r="D2113">
        <v>231002</v>
      </c>
      <c r="E2113">
        <v>20866</v>
      </c>
      <c r="F2113">
        <v>56577</v>
      </c>
      <c r="G2113">
        <v>-227794</v>
      </c>
      <c r="H2113">
        <v>80651</v>
      </c>
      <c r="I2113">
        <v>83573</v>
      </c>
      <c r="J2113">
        <v>1770</v>
      </c>
      <c r="K2113">
        <v>678767</v>
      </c>
      <c r="L2113">
        <v>254600</v>
      </c>
      <c r="M2113">
        <v>-142653</v>
      </c>
      <c r="N2113">
        <v>159984</v>
      </c>
      <c r="O2113" t="s">
        <v>2131</v>
      </c>
      <c r="P2113" s="9">
        <v>232226</v>
      </c>
      <c r="Q2113" s="9">
        <v>30400</v>
      </c>
      <c r="R2113" s="9">
        <v>262626</v>
      </c>
      <c r="S2113" s="9">
        <v>-69522</v>
      </c>
      <c r="T2113" s="10">
        <v>71646</v>
      </c>
      <c r="U2113" s="10">
        <v>2009</v>
      </c>
    </row>
    <row r="2114" spans="1:21" x14ac:dyDescent="0.35">
      <c r="A2114" t="s">
        <v>15</v>
      </c>
      <c r="B2114" t="s">
        <v>20</v>
      </c>
      <c r="C2114" t="s">
        <v>21</v>
      </c>
      <c r="D2114">
        <v>223401</v>
      </c>
      <c r="E2114">
        <v>36531</v>
      </c>
      <c r="F2114">
        <v>46079</v>
      </c>
      <c r="G2114">
        <v>-179349</v>
      </c>
      <c r="H2114">
        <v>126662</v>
      </c>
      <c r="I2114">
        <v>122311</v>
      </c>
      <c r="J2114">
        <v>2209</v>
      </c>
      <c r="K2114">
        <v>817832</v>
      </c>
      <c r="L2114">
        <v>110798</v>
      </c>
      <c r="M2114">
        <v>-112978</v>
      </c>
      <c r="N2114">
        <v>114630</v>
      </c>
      <c r="O2114" t="s">
        <v>2132</v>
      </c>
      <c r="P2114" s="9">
        <v>275527</v>
      </c>
      <c r="Q2114" s="9">
        <v>53985</v>
      </c>
      <c r="R2114" s="9">
        <v>329512</v>
      </c>
      <c r="S2114" s="9">
        <v>-93659</v>
      </c>
      <c r="T2114" s="10">
        <v>156747</v>
      </c>
      <c r="U2114" s="10">
        <v>3200</v>
      </c>
    </row>
    <row r="2115" spans="1:21" x14ac:dyDescent="0.35">
      <c r="A2115" t="s">
        <v>15</v>
      </c>
      <c r="B2115" t="s">
        <v>20</v>
      </c>
      <c r="C2115" t="s">
        <v>21</v>
      </c>
      <c r="D2115">
        <v>269467</v>
      </c>
      <c r="E2115">
        <v>34078</v>
      </c>
      <c r="F2115">
        <v>31559</v>
      </c>
      <c r="G2115">
        <v>-227167</v>
      </c>
      <c r="H2115">
        <v>107937</v>
      </c>
      <c r="I2115">
        <v>111462</v>
      </c>
      <c r="J2115">
        <v>3228</v>
      </c>
      <c r="K2115">
        <v>709950</v>
      </c>
      <c r="L2115">
        <v>84815</v>
      </c>
      <c r="M2115">
        <v>-233099</v>
      </c>
      <c r="N2115">
        <v>224638</v>
      </c>
      <c r="O2115" t="s">
        <v>2133</v>
      </c>
      <c r="P2115" s="9">
        <v>160380</v>
      </c>
      <c r="Q2115" s="9">
        <v>18025</v>
      </c>
      <c r="R2115" s="9">
        <v>178405</v>
      </c>
      <c r="S2115" s="9">
        <v>-59241</v>
      </c>
      <c r="T2115" s="10">
        <v>61404</v>
      </c>
      <c r="U2115" s="10">
        <v>1354</v>
      </c>
    </row>
    <row r="2116" spans="1:21" x14ac:dyDescent="0.35">
      <c r="A2116" t="s">
        <v>15</v>
      </c>
      <c r="B2116" t="s">
        <v>16</v>
      </c>
      <c r="C2116" t="s">
        <v>21</v>
      </c>
      <c r="D2116">
        <v>187956</v>
      </c>
      <c r="E2116">
        <v>37584</v>
      </c>
      <c r="F2116">
        <v>29922</v>
      </c>
      <c r="G2116">
        <v>-180151</v>
      </c>
      <c r="H2116">
        <v>75311</v>
      </c>
      <c r="I2116">
        <v>76228</v>
      </c>
      <c r="J2116">
        <v>1971</v>
      </c>
      <c r="K2116">
        <v>735936</v>
      </c>
      <c r="L2116">
        <v>237037</v>
      </c>
      <c r="M2116">
        <v>-98086</v>
      </c>
      <c r="N2116">
        <v>102714</v>
      </c>
      <c r="O2116" t="s">
        <v>2134</v>
      </c>
      <c r="P2116" s="9">
        <v>192641</v>
      </c>
      <c r="Q2116" s="9">
        <v>25370</v>
      </c>
      <c r="R2116" s="9">
        <v>218011</v>
      </c>
      <c r="S2116" s="9">
        <v>-88812</v>
      </c>
      <c r="T2116" s="10">
        <v>61978</v>
      </c>
      <c r="U2116" s="10">
        <v>1634</v>
      </c>
    </row>
    <row r="2117" spans="1:21" x14ac:dyDescent="0.35">
      <c r="A2117" t="s">
        <v>15</v>
      </c>
      <c r="B2117" t="s">
        <v>20</v>
      </c>
      <c r="C2117" t="s">
        <v>21</v>
      </c>
      <c r="D2117">
        <v>258791</v>
      </c>
      <c r="E2117">
        <v>22898</v>
      </c>
      <c r="F2117">
        <v>30819</v>
      </c>
      <c r="G2117">
        <v>-239880</v>
      </c>
      <c r="H2117">
        <v>72628</v>
      </c>
      <c r="I2117">
        <v>71635</v>
      </c>
      <c r="J2117">
        <v>1411</v>
      </c>
      <c r="K2117">
        <v>1017681</v>
      </c>
      <c r="L2117">
        <v>289884</v>
      </c>
      <c r="M2117">
        <v>-167684</v>
      </c>
      <c r="N2117">
        <v>225173</v>
      </c>
      <c r="O2117" t="s">
        <v>2135</v>
      </c>
      <c r="P2117" s="9">
        <v>269105</v>
      </c>
      <c r="Q2117" s="9">
        <v>33844</v>
      </c>
      <c r="R2117" s="9">
        <v>302949</v>
      </c>
      <c r="S2117" s="9">
        <v>-135222</v>
      </c>
      <c r="T2117" s="10">
        <v>90398</v>
      </c>
      <c r="U2117" s="10">
        <v>1957</v>
      </c>
    </row>
    <row r="2118" spans="1:21" x14ac:dyDescent="0.35">
      <c r="A2118" t="s">
        <v>15</v>
      </c>
      <c r="B2118" t="s">
        <v>16</v>
      </c>
      <c r="C2118" t="s">
        <v>21</v>
      </c>
      <c r="D2118">
        <v>206143</v>
      </c>
      <c r="E2118">
        <v>19150</v>
      </c>
      <c r="F2118">
        <v>41297</v>
      </c>
      <c r="G2118">
        <v>-189169</v>
      </c>
      <c r="H2118">
        <v>77421</v>
      </c>
      <c r="I2118">
        <v>81178</v>
      </c>
      <c r="J2118">
        <v>970</v>
      </c>
      <c r="K2118">
        <v>754854</v>
      </c>
      <c r="L2118">
        <v>157198</v>
      </c>
      <c r="M2118">
        <v>-255508</v>
      </c>
      <c r="N2118">
        <v>66993</v>
      </c>
      <c r="O2118" t="s">
        <v>2136</v>
      </c>
      <c r="P2118" s="9">
        <v>212341</v>
      </c>
      <c r="Q2118" s="9">
        <v>38430</v>
      </c>
      <c r="R2118" s="9">
        <v>250771</v>
      </c>
      <c r="S2118" s="9">
        <v>-143556</v>
      </c>
      <c r="T2118" s="10">
        <v>70673</v>
      </c>
      <c r="U2118" s="10">
        <v>734</v>
      </c>
    </row>
    <row r="2119" spans="1:21" x14ac:dyDescent="0.35">
      <c r="A2119" t="s">
        <v>15</v>
      </c>
      <c r="B2119" t="s">
        <v>20</v>
      </c>
      <c r="C2119" t="s">
        <v>17</v>
      </c>
      <c r="D2119">
        <v>284411</v>
      </c>
      <c r="E2119">
        <v>32978</v>
      </c>
      <c r="F2119">
        <v>64914</v>
      </c>
      <c r="G2119">
        <v>-241179</v>
      </c>
      <c r="H2119">
        <v>141124</v>
      </c>
      <c r="I2119">
        <v>134825</v>
      </c>
      <c r="J2119">
        <v>2887</v>
      </c>
      <c r="K2119">
        <v>598883</v>
      </c>
      <c r="L2119">
        <v>202515</v>
      </c>
      <c r="M2119">
        <v>-118478</v>
      </c>
      <c r="N2119">
        <v>126434</v>
      </c>
      <c r="O2119" t="s">
        <v>2137</v>
      </c>
      <c r="P2119" s="9">
        <v>296470</v>
      </c>
      <c r="Q2119" s="9">
        <v>16301</v>
      </c>
      <c r="R2119" s="9">
        <v>312771</v>
      </c>
      <c r="S2119" s="9">
        <v>-127460</v>
      </c>
      <c r="T2119" s="10">
        <v>103004</v>
      </c>
      <c r="U2119" s="10">
        <v>1322</v>
      </c>
    </row>
    <row r="2120" spans="1:21" x14ac:dyDescent="0.35">
      <c r="A2120" t="s">
        <v>15</v>
      </c>
      <c r="B2120" t="s">
        <v>16</v>
      </c>
      <c r="C2120" t="s">
        <v>21</v>
      </c>
      <c r="D2120">
        <v>174738</v>
      </c>
      <c r="E2120">
        <v>10355</v>
      </c>
      <c r="F2120">
        <v>19648</v>
      </c>
      <c r="G2120">
        <v>-166587</v>
      </c>
      <c r="H2120">
        <v>38154</v>
      </c>
      <c r="I2120">
        <v>35556</v>
      </c>
      <c r="J2120">
        <v>849</v>
      </c>
      <c r="K2120">
        <v>564927</v>
      </c>
      <c r="L2120">
        <v>99378</v>
      </c>
      <c r="M2120">
        <v>-126052</v>
      </c>
      <c r="N2120">
        <v>106494</v>
      </c>
      <c r="O2120" t="s">
        <v>2138</v>
      </c>
      <c r="P2120" s="9">
        <v>247937</v>
      </c>
      <c r="Q2120" s="9">
        <v>24434</v>
      </c>
      <c r="R2120" s="9">
        <v>272371</v>
      </c>
      <c r="S2120" s="9">
        <v>-98320</v>
      </c>
      <c r="T2120" s="10">
        <v>87430</v>
      </c>
      <c r="U2120" s="10">
        <v>1619</v>
      </c>
    </row>
    <row r="2121" spans="1:21" x14ac:dyDescent="0.35">
      <c r="A2121" t="s">
        <v>15</v>
      </c>
      <c r="B2121" t="s">
        <v>20</v>
      </c>
      <c r="C2121" t="s">
        <v>17</v>
      </c>
      <c r="D2121">
        <v>247579</v>
      </c>
      <c r="E2121">
        <v>46671</v>
      </c>
      <c r="F2121">
        <v>55623</v>
      </c>
      <c r="G2121">
        <v>-225846</v>
      </c>
      <c r="H2121">
        <v>124027</v>
      </c>
      <c r="I2121">
        <v>119487</v>
      </c>
      <c r="J2121">
        <v>1610</v>
      </c>
      <c r="K2121">
        <v>673729</v>
      </c>
      <c r="L2121">
        <v>309186</v>
      </c>
      <c r="M2121">
        <v>-122980</v>
      </c>
      <c r="N2121">
        <v>181168</v>
      </c>
      <c r="O2121" t="s">
        <v>2139</v>
      </c>
      <c r="P2121" s="9">
        <v>216959</v>
      </c>
      <c r="Q2121" s="9">
        <v>32943</v>
      </c>
      <c r="R2121" s="9">
        <v>249902</v>
      </c>
      <c r="S2121" s="9">
        <v>-94613</v>
      </c>
      <c r="T2121" s="10">
        <v>96449</v>
      </c>
      <c r="U2121" s="10">
        <v>2034</v>
      </c>
    </row>
    <row r="2122" spans="1:21" x14ac:dyDescent="0.35">
      <c r="A2122" t="s">
        <v>15</v>
      </c>
      <c r="B2122" t="s">
        <v>16</v>
      </c>
      <c r="C2122" t="s">
        <v>21</v>
      </c>
      <c r="D2122">
        <v>167226</v>
      </c>
      <c r="E2122">
        <v>12953</v>
      </c>
      <c r="F2122">
        <v>41093</v>
      </c>
      <c r="G2122">
        <v>-164336</v>
      </c>
      <c r="H2122">
        <v>56936</v>
      </c>
      <c r="I2122">
        <v>56247</v>
      </c>
      <c r="J2122">
        <v>1680</v>
      </c>
      <c r="K2122">
        <v>472929</v>
      </c>
      <c r="L2122">
        <v>205565</v>
      </c>
      <c r="M2122">
        <v>-132144</v>
      </c>
      <c r="N2122">
        <v>60177</v>
      </c>
      <c r="O2122" t="s">
        <v>2140</v>
      </c>
      <c r="P2122" s="9">
        <v>203781</v>
      </c>
      <c r="Q2122" s="9">
        <v>19088</v>
      </c>
      <c r="R2122" s="9">
        <v>222869</v>
      </c>
      <c r="S2122" s="9">
        <v>-64292</v>
      </c>
      <c r="T2122" s="10">
        <v>57929</v>
      </c>
      <c r="U2122" s="10">
        <v>1100</v>
      </c>
    </row>
    <row r="2123" spans="1:21" x14ac:dyDescent="0.35">
      <c r="A2123" t="s">
        <v>15</v>
      </c>
      <c r="B2123" t="s">
        <v>16</v>
      </c>
      <c r="C2123" t="s">
        <v>21</v>
      </c>
      <c r="D2123">
        <v>183301</v>
      </c>
      <c r="E2123">
        <v>11273</v>
      </c>
      <c r="F2123">
        <v>31549</v>
      </c>
      <c r="G2123">
        <v>-153509</v>
      </c>
      <c r="H2123">
        <v>72614</v>
      </c>
      <c r="I2123">
        <v>74953</v>
      </c>
      <c r="J2123">
        <v>2173</v>
      </c>
      <c r="K2123">
        <v>521942</v>
      </c>
      <c r="L2123">
        <v>60734</v>
      </c>
      <c r="M2123">
        <v>-193233</v>
      </c>
      <c r="N2123">
        <v>146868</v>
      </c>
      <c r="O2123" t="s">
        <v>2141</v>
      </c>
      <c r="P2123" s="9">
        <v>245732</v>
      </c>
      <c r="Q2123" s="9">
        <v>54357</v>
      </c>
      <c r="R2123" s="9">
        <v>300089</v>
      </c>
      <c r="S2123" s="9">
        <v>-76429</v>
      </c>
      <c r="T2123" s="10">
        <v>134666</v>
      </c>
      <c r="U2123" s="10">
        <v>2732</v>
      </c>
    </row>
    <row r="2124" spans="1:21" x14ac:dyDescent="0.35">
      <c r="A2124" t="s">
        <v>15</v>
      </c>
      <c r="B2124" t="s">
        <v>20</v>
      </c>
      <c r="C2124" t="s">
        <v>17</v>
      </c>
      <c r="D2124">
        <v>265940</v>
      </c>
      <c r="E2124">
        <v>18155</v>
      </c>
      <c r="F2124">
        <v>42092</v>
      </c>
      <c r="G2124">
        <v>-256247</v>
      </c>
      <c r="H2124">
        <v>69940</v>
      </c>
      <c r="I2124">
        <v>64094</v>
      </c>
      <c r="J2124">
        <v>1774</v>
      </c>
      <c r="K2124">
        <v>603461</v>
      </c>
      <c r="L2124">
        <v>270489</v>
      </c>
      <c r="M2124">
        <v>-106088</v>
      </c>
      <c r="N2124">
        <v>211164</v>
      </c>
      <c r="O2124" t="s">
        <v>2142</v>
      </c>
      <c r="P2124" s="9">
        <v>170518</v>
      </c>
      <c r="Q2124" s="9">
        <v>8324</v>
      </c>
      <c r="R2124" s="9">
        <v>178842</v>
      </c>
      <c r="S2124" s="9">
        <v>-45996</v>
      </c>
      <c r="T2124" s="10">
        <v>48848</v>
      </c>
      <c r="U2124" s="10">
        <v>949</v>
      </c>
    </row>
    <row r="2125" spans="1:21" x14ac:dyDescent="0.35">
      <c r="A2125" t="s">
        <v>15</v>
      </c>
      <c r="B2125" t="s">
        <v>16</v>
      </c>
      <c r="C2125" t="s">
        <v>17</v>
      </c>
      <c r="D2125">
        <v>178538</v>
      </c>
      <c r="E2125">
        <v>10651</v>
      </c>
      <c r="F2125">
        <v>22456</v>
      </c>
      <c r="G2125">
        <v>-158795</v>
      </c>
      <c r="H2125">
        <v>52850</v>
      </c>
      <c r="I2125">
        <v>51539</v>
      </c>
      <c r="J2125">
        <v>721</v>
      </c>
      <c r="K2125">
        <v>524758</v>
      </c>
      <c r="L2125">
        <v>119592</v>
      </c>
      <c r="M2125">
        <v>-158179</v>
      </c>
      <c r="N2125">
        <v>96419</v>
      </c>
      <c r="O2125" t="s">
        <v>2143</v>
      </c>
      <c r="P2125" s="9">
        <v>235344</v>
      </c>
      <c r="Q2125" s="9">
        <v>35578</v>
      </c>
      <c r="R2125" s="9">
        <v>270922</v>
      </c>
      <c r="S2125" s="9">
        <v>-114362</v>
      </c>
      <c r="T2125" s="10">
        <v>98427</v>
      </c>
      <c r="U2125" s="10">
        <v>2346</v>
      </c>
    </row>
    <row r="2126" spans="1:21" x14ac:dyDescent="0.35">
      <c r="A2126" t="s">
        <v>15</v>
      </c>
      <c r="B2126" t="s">
        <v>16</v>
      </c>
      <c r="C2126" t="s">
        <v>17</v>
      </c>
      <c r="D2126">
        <v>263430</v>
      </c>
      <c r="E2126">
        <v>36997</v>
      </c>
      <c r="F2126">
        <v>58407</v>
      </c>
      <c r="G2126">
        <v>-218681</v>
      </c>
      <c r="H2126">
        <v>140153</v>
      </c>
      <c r="I2126">
        <v>145138</v>
      </c>
      <c r="J2126">
        <v>2975</v>
      </c>
      <c r="K2126">
        <v>697628</v>
      </c>
      <c r="L2126">
        <v>208781</v>
      </c>
      <c r="M2126">
        <v>-76599</v>
      </c>
      <c r="N2126">
        <v>167696</v>
      </c>
      <c r="O2126" t="s">
        <v>2144</v>
      </c>
      <c r="P2126" s="9">
        <v>168315</v>
      </c>
      <c r="Q2126" s="9">
        <v>11816</v>
      </c>
      <c r="R2126" s="9">
        <v>180131</v>
      </c>
      <c r="S2126" s="9">
        <v>-40503</v>
      </c>
      <c r="T2126" s="10">
        <v>65228</v>
      </c>
      <c r="U2126" s="10">
        <v>881</v>
      </c>
    </row>
    <row r="2127" spans="1:21" x14ac:dyDescent="0.35">
      <c r="A2127" t="s">
        <v>15</v>
      </c>
      <c r="B2127" t="s">
        <v>16</v>
      </c>
      <c r="C2127" t="s">
        <v>21</v>
      </c>
      <c r="D2127">
        <v>250188</v>
      </c>
      <c r="E2127">
        <v>28253</v>
      </c>
      <c r="F2127">
        <v>60147</v>
      </c>
      <c r="G2127">
        <v>-234633</v>
      </c>
      <c r="H2127">
        <v>103955</v>
      </c>
      <c r="I2127">
        <v>101242</v>
      </c>
      <c r="J2127">
        <v>2922</v>
      </c>
      <c r="K2127">
        <v>559016</v>
      </c>
      <c r="L2127">
        <v>228087</v>
      </c>
      <c r="M2127">
        <v>-86603</v>
      </c>
      <c r="N2127">
        <v>112817</v>
      </c>
      <c r="O2127" t="s">
        <v>2145</v>
      </c>
      <c r="P2127" s="9">
        <v>192225</v>
      </c>
      <c r="Q2127" s="9">
        <v>16229</v>
      </c>
      <c r="R2127" s="9">
        <v>208454</v>
      </c>
      <c r="S2127" s="9">
        <v>-115141</v>
      </c>
      <c r="T2127" s="10">
        <v>68973</v>
      </c>
      <c r="U2127" s="10">
        <v>1808</v>
      </c>
    </row>
    <row r="2128" spans="1:21" x14ac:dyDescent="0.35">
      <c r="A2128" t="s">
        <v>15</v>
      </c>
      <c r="B2128" t="s">
        <v>16</v>
      </c>
      <c r="C2128" t="s">
        <v>21</v>
      </c>
      <c r="D2128">
        <v>203454</v>
      </c>
      <c r="E2128">
        <v>34306</v>
      </c>
      <c r="F2128">
        <v>34138</v>
      </c>
      <c r="G2128">
        <v>-182851</v>
      </c>
      <c r="H2128">
        <v>89047</v>
      </c>
      <c r="I2128">
        <v>89192</v>
      </c>
      <c r="J2128">
        <v>2500</v>
      </c>
      <c r="K2128">
        <v>565458</v>
      </c>
      <c r="L2128">
        <v>229808</v>
      </c>
      <c r="M2128">
        <v>-158699</v>
      </c>
      <c r="N2128">
        <v>113861</v>
      </c>
      <c r="O2128" t="s">
        <v>2146</v>
      </c>
      <c r="P2128" s="9">
        <v>210581</v>
      </c>
      <c r="Q2128" s="9">
        <v>38728</v>
      </c>
      <c r="R2128" s="9">
        <v>249309</v>
      </c>
      <c r="S2128" s="9">
        <v>-71102</v>
      </c>
      <c r="T2128" s="10">
        <v>90653</v>
      </c>
      <c r="U2128" s="10">
        <v>1490</v>
      </c>
    </row>
    <row r="2129" spans="1:21" x14ac:dyDescent="0.35">
      <c r="A2129" t="s">
        <v>15</v>
      </c>
      <c r="B2129" t="s">
        <v>20</v>
      </c>
      <c r="C2129" t="s">
        <v>21</v>
      </c>
      <c r="D2129">
        <v>158215</v>
      </c>
      <c r="E2129">
        <v>10421</v>
      </c>
      <c r="F2129">
        <v>35906</v>
      </c>
      <c r="G2129">
        <v>-152005</v>
      </c>
      <c r="H2129">
        <v>52537</v>
      </c>
      <c r="I2129">
        <v>49294</v>
      </c>
      <c r="J2129">
        <v>1037</v>
      </c>
      <c r="K2129">
        <v>410610</v>
      </c>
      <c r="L2129">
        <v>164547</v>
      </c>
      <c r="M2129">
        <v>-49263</v>
      </c>
      <c r="N2129">
        <v>80143</v>
      </c>
      <c r="O2129" t="s">
        <v>2147</v>
      </c>
      <c r="P2129" s="9">
        <v>238508</v>
      </c>
      <c r="Q2129" s="9">
        <v>25739</v>
      </c>
      <c r="R2129" s="9">
        <v>264247</v>
      </c>
      <c r="S2129" s="9">
        <v>-54723</v>
      </c>
      <c r="T2129" s="10">
        <v>89103</v>
      </c>
      <c r="U2129" s="10">
        <v>1926</v>
      </c>
    </row>
    <row r="2130" spans="1:21" x14ac:dyDescent="0.35">
      <c r="A2130" t="s">
        <v>15</v>
      </c>
      <c r="B2130" t="s">
        <v>16</v>
      </c>
      <c r="C2130" t="s">
        <v>21</v>
      </c>
      <c r="D2130">
        <v>234553</v>
      </c>
      <c r="E2130">
        <v>31363</v>
      </c>
      <c r="F2130">
        <v>23765</v>
      </c>
      <c r="G2130">
        <v>-197498</v>
      </c>
      <c r="H2130">
        <v>92183</v>
      </c>
      <c r="I2130">
        <v>84455</v>
      </c>
      <c r="J2130">
        <v>877</v>
      </c>
      <c r="K2130">
        <v>656715</v>
      </c>
      <c r="L2130">
        <v>283152</v>
      </c>
      <c r="M2130">
        <v>-170362</v>
      </c>
      <c r="N2130">
        <v>206961</v>
      </c>
      <c r="O2130" t="s">
        <v>2148</v>
      </c>
      <c r="P2130" s="9">
        <v>268323</v>
      </c>
      <c r="Q2130" s="9">
        <v>26834</v>
      </c>
      <c r="R2130" s="9">
        <v>295157</v>
      </c>
      <c r="S2130" s="9">
        <v>-147854</v>
      </c>
      <c r="T2130" s="10">
        <v>98853</v>
      </c>
      <c r="U2130" s="10">
        <v>1816</v>
      </c>
    </row>
    <row r="2131" spans="1:21" x14ac:dyDescent="0.35">
      <c r="A2131" t="s">
        <v>15</v>
      </c>
      <c r="B2131" t="s">
        <v>16</v>
      </c>
      <c r="C2131" t="s">
        <v>17</v>
      </c>
      <c r="D2131">
        <v>218970</v>
      </c>
      <c r="E2131">
        <v>25991</v>
      </c>
      <c r="F2131">
        <v>30903</v>
      </c>
      <c r="G2131">
        <v>-189110</v>
      </c>
      <c r="H2131">
        <v>86754</v>
      </c>
      <c r="I2131">
        <v>85758</v>
      </c>
      <c r="J2131">
        <v>1091</v>
      </c>
      <c r="K2131">
        <v>661314</v>
      </c>
      <c r="L2131">
        <v>323612</v>
      </c>
      <c r="M2131">
        <v>-210409</v>
      </c>
      <c r="N2131">
        <v>137129</v>
      </c>
      <c r="O2131" t="s">
        <v>2149</v>
      </c>
      <c r="P2131" s="9">
        <v>256106</v>
      </c>
      <c r="Q2131" s="9">
        <v>28419</v>
      </c>
      <c r="R2131" s="9">
        <v>284525</v>
      </c>
      <c r="S2131" s="9">
        <v>-104812</v>
      </c>
      <c r="T2131" s="10">
        <v>144578</v>
      </c>
      <c r="U2131" s="10">
        <v>3216</v>
      </c>
    </row>
    <row r="2132" spans="1:21" x14ac:dyDescent="0.35">
      <c r="A2132" t="s">
        <v>15</v>
      </c>
      <c r="B2132" t="s">
        <v>20</v>
      </c>
      <c r="C2132" t="s">
        <v>21</v>
      </c>
      <c r="D2132">
        <v>179370</v>
      </c>
      <c r="E2132">
        <v>15403</v>
      </c>
      <c r="F2132">
        <v>25387</v>
      </c>
      <c r="G2132">
        <v>-160584</v>
      </c>
      <c r="H2132">
        <v>59576</v>
      </c>
      <c r="I2132">
        <v>54250</v>
      </c>
      <c r="J2132">
        <v>849</v>
      </c>
      <c r="K2132">
        <v>503098</v>
      </c>
      <c r="L2132">
        <v>174760</v>
      </c>
      <c r="M2132">
        <v>-55418</v>
      </c>
      <c r="N2132">
        <v>72461</v>
      </c>
      <c r="O2132" t="s">
        <v>2150</v>
      </c>
      <c r="P2132" s="9">
        <v>263670</v>
      </c>
      <c r="Q2132" s="9">
        <v>45280</v>
      </c>
      <c r="R2132" s="9">
        <v>308950</v>
      </c>
      <c r="S2132" s="9">
        <v>-76557</v>
      </c>
      <c r="T2132" s="10">
        <v>95130</v>
      </c>
      <c r="U2132" s="10">
        <v>1602</v>
      </c>
    </row>
    <row r="2133" spans="1:21" x14ac:dyDescent="0.35">
      <c r="A2133" t="s">
        <v>15</v>
      </c>
      <c r="B2133" t="s">
        <v>20</v>
      </c>
      <c r="C2133" t="s">
        <v>17</v>
      </c>
      <c r="D2133">
        <v>251214</v>
      </c>
      <c r="E2133">
        <v>14849</v>
      </c>
      <c r="F2133">
        <v>29020</v>
      </c>
      <c r="G2133">
        <v>-213919</v>
      </c>
      <c r="H2133">
        <v>81164</v>
      </c>
      <c r="I2133">
        <v>75974</v>
      </c>
      <c r="J2133">
        <v>2051</v>
      </c>
      <c r="K2133">
        <v>772449</v>
      </c>
      <c r="L2133">
        <v>148755</v>
      </c>
      <c r="M2133">
        <v>-225931</v>
      </c>
      <c r="N2133">
        <v>172837</v>
      </c>
      <c r="O2133" t="s">
        <v>2151</v>
      </c>
      <c r="P2133" s="9">
        <v>175110</v>
      </c>
      <c r="Q2133" s="9">
        <v>13648</v>
      </c>
      <c r="R2133" s="9">
        <v>188758</v>
      </c>
      <c r="S2133" s="9">
        <v>-69774</v>
      </c>
      <c r="T2133" s="10">
        <v>46511</v>
      </c>
      <c r="U2133" s="10">
        <v>1381</v>
      </c>
    </row>
    <row r="2134" spans="1:21" x14ac:dyDescent="0.35">
      <c r="A2134" t="s">
        <v>15</v>
      </c>
      <c r="B2134" t="s">
        <v>16</v>
      </c>
      <c r="C2134" t="s">
        <v>21</v>
      </c>
      <c r="D2134">
        <v>252179</v>
      </c>
      <c r="E2134">
        <v>29836</v>
      </c>
      <c r="F2134">
        <v>28152</v>
      </c>
      <c r="G2134">
        <v>-244748</v>
      </c>
      <c r="H2134">
        <v>65419</v>
      </c>
      <c r="I2134">
        <v>63794</v>
      </c>
      <c r="J2134">
        <v>638</v>
      </c>
      <c r="K2134">
        <v>690915</v>
      </c>
      <c r="L2134">
        <v>213234</v>
      </c>
      <c r="M2134">
        <v>-131013</v>
      </c>
      <c r="N2134">
        <v>110036</v>
      </c>
      <c r="O2134" t="s">
        <v>2152</v>
      </c>
      <c r="P2134" s="9">
        <v>168342</v>
      </c>
      <c r="Q2134" s="9">
        <v>16940</v>
      </c>
      <c r="R2134" s="9">
        <v>185282</v>
      </c>
      <c r="S2134" s="9">
        <v>-80671</v>
      </c>
      <c r="T2134" s="10">
        <v>73407</v>
      </c>
      <c r="U2134" s="10">
        <v>1363</v>
      </c>
    </row>
    <row r="2135" spans="1:21" x14ac:dyDescent="0.35">
      <c r="A2135" t="s">
        <v>15</v>
      </c>
      <c r="B2135" t="s">
        <v>20</v>
      </c>
      <c r="C2135" t="s">
        <v>21</v>
      </c>
      <c r="D2135">
        <v>289508</v>
      </c>
      <c r="E2135">
        <v>38869</v>
      </c>
      <c r="F2135">
        <v>61641</v>
      </c>
      <c r="G2135">
        <v>-283481</v>
      </c>
      <c r="H2135">
        <v>106537</v>
      </c>
      <c r="I2135">
        <v>101425</v>
      </c>
      <c r="J2135">
        <v>2935</v>
      </c>
      <c r="K2135">
        <v>672044</v>
      </c>
      <c r="L2135">
        <v>205715</v>
      </c>
      <c r="M2135">
        <v>-128132</v>
      </c>
      <c r="N2135">
        <v>201962</v>
      </c>
      <c r="O2135" t="s">
        <v>2153</v>
      </c>
      <c r="P2135" s="9">
        <v>211039</v>
      </c>
      <c r="Q2135" s="9">
        <v>32843</v>
      </c>
      <c r="R2135" s="9">
        <v>243882</v>
      </c>
      <c r="S2135" s="9">
        <v>-141605</v>
      </c>
      <c r="T2135" s="10">
        <v>106317</v>
      </c>
      <c r="U2135" s="10">
        <v>1236</v>
      </c>
    </row>
    <row r="2136" spans="1:21" x14ac:dyDescent="0.35">
      <c r="A2136" t="s">
        <v>15</v>
      </c>
      <c r="B2136" t="s">
        <v>16</v>
      </c>
      <c r="C2136" t="s">
        <v>17</v>
      </c>
      <c r="D2136">
        <v>218244</v>
      </c>
      <c r="E2136">
        <v>24769</v>
      </c>
      <c r="F2136">
        <v>30658</v>
      </c>
      <c r="G2136">
        <v>-192302</v>
      </c>
      <c r="H2136">
        <v>81369</v>
      </c>
      <c r="I2136">
        <v>84149</v>
      </c>
      <c r="J2136">
        <v>1936</v>
      </c>
      <c r="K2136">
        <v>579640</v>
      </c>
      <c r="L2136">
        <v>247216</v>
      </c>
      <c r="M2136">
        <v>-119684</v>
      </c>
      <c r="N2136">
        <v>138307</v>
      </c>
      <c r="O2136" t="s">
        <v>2154</v>
      </c>
      <c r="P2136" s="9">
        <v>241466</v>
      </c>
      <c r="Q2136" s="9">
        <v>38979</v>
      </c>
      <c r="R2136" s="9">
        <v>280445</v>
      </c>
      <c r="S2136" s="9">
        <v>-120980</v>
      </c>
      <c r="T2136" s="10">
        <v>78327</v>
      </c>
      <c r="U2136" s="10">
        <v>1603</v>
      </c>
    </row>
    <row r="2137" spans="1:21" x14ac:dyDescent="0.35">
      <c r="A2137" t="s">
        <v>15</v>
      </c>
      <c r="B2137" t="s">
        <v>20</v>
      </c>
      <c r="C2137" t="s">
        <v>21</v>
      </c>
      <c r="D2137">
        <v>167952</v>
      </c>
      <c r="E2137">
        <v>24353</v>
      </c>
      <c r="F2137">
        <v>39452</v>
      </c>
      <c r="G2137">
        <v>-137068</v>
      </c>
      <c r="H2137">
        <v>94689</v>
      </c>
      <c r="I2137">
        <v>95288</v>
      </c>
      <c r="J2137">
        <v>2290</v>
      </c>
      <c r="K2137">
        <v>398478</v>
      </c>
      <c r="L2137">
        <v>102876</v>
      </c>
      <c r="M2137">
        <v>-48736</v>
      </c>
      <c r="N2137">
        <v>123511</v>
      </c>
      <c r="O2137" t="s">
        <v>2155</v>
      </c>
      <c r="P2137" s="9">
        <v>240507</v>
      </c>
      <c r="Q2137" s="9">
        <v>35918</v>
      </c>
      <c r="R2137" s="9">
        <v>276425</v>
      </c>
      <c r="S2137" s="9">
        <v>-71282</v>
      </c>
      <c r="T2137" s="10">
        <v>98628</v>
      </c>
      <c r="U2137" s="10">
        <v>2019</v>
      </c>
    </row>
    <row r="2138" spans="1:21" x14ac:dyDescent="0.35">
      <c r="A2138" t="s">
        <v>15</v>
      </c>
      <c r="B2138" t="s">
        <v>16</v>
      </c>
      <c r="C2138" t="s">
        <v>21</v>
      </c>
      <c r="D2138">
        <v>202218</v>
      </c>
      <c r="E2138">
        <v>30753</v>
      </c>
      <c r="F2138">
        <v>27128</v>
      </c>
      <c r="G2138">
        <v>-183326</v>
      </c>
      <c r="H2138">
        <v>76773</v>
      </c>
      <c r="I2138">
        <v>73694</v>
      </c>
      <c r="J2138">
        <v>1902</v>
      </c>
      <c r="K2138">
        <v>645998</v>
      </c>
      <c r="L2138">
        <v>212974</v>
      </c>
      <c r="M2138">
        <v>-207106</v>
      </c>
      <c r="N2138">
        <v>170133</v>
      </c>
      <c r="O2138" t="s">
        <v>2156</v>
      </c>
      <c r="P2138" s="9">
        <v>241983</v>
      </c>
      <c r="Q2138" s="9">
        <v>48029</v>
      </c>
      <c r="R2138" s="9">
        <v>290012</v>
      </c>
      <c r="S2138" s="9">
        <v>-67902</v>
      </c>
      <c r="T2138" s="10">
        <v>131673</v>
      </c>
      <c r="U2138" s="10">
        <v>1757</v>
      </c>
    </row>
    <row r="2139" spans="1:21" x14ac:dyDescent="0.35">
      <c r="A2139" t="s">
        <v>15</v>
      </c>
      <c r="B2139" t="s">
        <v>16</v>
      </c>
      <c r="C2139" t="s">
        <v>21</v>
      </c>
      <c r="D2139">
        <v>250670</v>
      </c>
      <c r="E2139">
        <v>47066</v>
      </c>
      <c r="F2139">
        <v>38970</v>
      </c>
      <c r="G2139">
        <v>-207617</v>
      </c>
      <c r="H2139">
        <v>129089</v>
      </c>
      <c r="I2139">
        <v>127912</v>
      </c>
      <c r="J2139">
        <v>2021</v>
      </c>
      <c r="K2139">
        <v>504533</v>
      </c>
      <c r="L2139">
        <v>207463</v>
      </c>
      <c r="M2139">
        <v>-78582</v>
      </c>
      <c r="N2139">
        <v>104667</v>
      </c>
      <c r="O2139" t="s">
        <v>2157</v>
      </c>
      <c r="P2139" s="9">
        <v>268768</v>
      </c>
      <c r="Q2139" s="9">
        <v>42518</v>
      </c>
      <c r="R2139" s="9">
        <v>311286</v>
      </c>
      <c r="S2139" s="9">
        <v>-130940</v>
      </c>
      <c r="T2139" s="10">
        <v>121007</v>
      </c>
      <c r="U2139" s="10">
        <v>2882</v>
      </c>
    </row>
    <row r="2140" spans="1:21" x14ac:dyDescent="0.35">
      <c r="A2140" t="s">
        <v>15</v>
      </c>
      <c r="B2140" t="s">
        <v>20</v>
      </c>
      <c r="C2140" t="s">
        <v>21</v>
      </c>
      <c r="D2140">
        <v>221767</v>
      </c>
      <c r="E2140">
        <v>29701</v>
      </c>
      <c r="F2140">
        <v>41652</v>
      </c>
      <c r="G2140">
        <v>-191074</v>
      </c>
      <c r="H2140">
        <v>102046</v>
      </c>
      <c r="I2140">
        <v>106091</v>
      </c>
      <c r="J2140">
        <v>2441</v>
      </c>
      <c r="K2140">
        <v>566280</v>
      </c>
      <c r="L2140">
        <v>59472</v>
      </c>
      <c r="M2140">
        <v>-107799</v>
      </c>
      <c r="N2140">
        <v>182021</v>
      </c>
      <c r="O2140" t="s">
        <v>2158</v>
      </c>
      <c r="P2140" s="9">
        <v>154483</v>
      </c>
      <c r="Q2140" s="9">
        <v>9141</v>
      </c>
      <c r="R2140" s="9">
        <v>163624</v>
      </c>
      <c r="S2140" s="9">
        <v>-83920</v>
      </c>
      <c r="T2140" s="10">
        <v>41321</v>
      </c>
      <c r="U2140" s="10">
        <v>828</v>
      </c>
    </row>
    <row r="2141" spans="1:21" x14ac:dyDescent="0.35">
      <c r="A2141" t="s">
        <v>15</v>
      </c>
      <c r="B2141" t="s">
        <v>16</v>
      </c>
      <c r="C2141" t="s">
        <v>21</v>
      </c>
      <c r="D2141">
        <v>205123</v>
      </c>
      <c r="E2141">
        <v>12916</v>
      </c>
      <c r="F2141">
        <v>30408</v>
      </c>
      <c r="G2141">
        <v>-193781</v>
      </c>
      <c r="H2141">
        <v>54666</v>
      </c>
      <c r="I2141">
        <v>57252</v>
      </c>
      <c r="J2141">
        <v>1059</v>
      </c>
      <c r="K2141">
        <v>587811</v>
      </c>
      <c r="L2141">
        <v>188308</v>
      </c>
      <c r="M2141">
        <v>-196552</v>
      </c>
      <c r="N2141">
        <v>173652</v>
      </c>
      <c r="O2141" t="s">
        <v>2159</v>
      </c>
      <c r="P2141" s="9">
        <v>204783</v>
      </c>
      <c r="Q2141" s="9">
        <v>39155</v>
      </c>
      <c r="R2141" s="9">
        <v>243938</v>
      </c>
      <c r="S2141" s="9">
        <v>-84139</v>
      </c>
      <c r="T2141" s="10">
        <v>96793</v>
      </c>
      <c r="U2141" s="10">
        <v>2721</v>
      </c>
    </row>
    <row r="2142" spans="1:21" x14ac:dyDescent="0.35">
      <c r="A2142" t="s">
        <v>15</v>
      </c>
      <c r="B2142" t="s">
        <v>16</v>
      </c>
      <c r="C2142" t="s">
        <v>21</v>
      </c>
      <c r="D2142">
        <v>262167</v>
      </c>
      <c r="E2142">
        <v>52359</v>
      </c>
      <c r="F2142">
        <v>36560</v>
      </c>
      <c r="G2142">
        <v>-218105</v>
      </c>
      <c r="H2142">
        <v>132981</v>
      </c>
      <c r="I2142">
        <v>134444</v>
      </c>
      <c r="J2142">
        <v>2687</v>
      </c>
      <c r="K2142">
        <v>624406</v>
      </c>
      <c r="L2142">
        <v>82934</v>
      </c>
      <c r="M2142">
        <v>-198778</v>
      </c>
      <c r="N2142">
        <v>195375</v>
      </c>
      <c r="O2142" t="s">
        <v>2160</v>
      </c>
      <c r="P2142" s="9">
        <v>275507</v>
      </c>
      <c r="Q2142" s="9">
        <v>35038</v>
      </c>
      <c r="R2142" s="9">
        <v>310545</v>
      </c>
      <c r="S2142" s="9">
        <v>-119963</v>
      </c>
      <c r="T2142" s="10">
        <v>95550</v>
      </c>
      <c r="U2142" s="10">
        <v>2137</v>
      </c>
    </row>
    <row r="2143" spans="1:21" x14ac:dyDescent="0.35">
      <c r="A2143" t="s">
        <v>15</v>
      </c>
      <c r="B2143" t="s">
        <v>16</v>
      </c>
      <c r="C2143" t="s">
        <v>21</v>
      </c>
      <c r="D2143">
        <v>159669</v>
      </c>
      <c r="E2143">
        <v>9900</v>
      </c>
      <c r="F2143">
        <v>38361</v>
      </c>
      <c r="G2143">
        <v>-149671</v>
      </c>
      <c r="H2143">
        <v>58259</v>
      </c>
      <c r="I2143">
        <v>57257</v>
      </c>
      <c r="J2143">
        <v>1494</v>
      </c>
      <c r="K2143">
        <v>421596</v>
      </c>
      <c r="L2143">
        <v>141816</v>
      </c>
      <c r="M2143">
        <v>-123504</v>
      </c>
      <c r="N2143">
        <v>129338</v>
      </c>
      <c r="O2143" t="s">
        <v>2161</v>
      </c>
      <c r="P2143" s="9">
        <v>177145</v>
      </c>
      <c r="Q2143" s="9">
        <v>18965</v>
      </c>
      <c r="R2143" s="9">
        <v>196110</v>
      </c>
      <c r="S2143" s="9">
        <v>-47597</v>
      </c>
      <c r="T2143" s="10">
        <v>62284</v>
      </c>
      <c r="U2143" s="10">
        <v>1215</v>
      </c>
    </row>
    <row r="2144" spans="1:21" x14ac:dyDescent="0.35">
      <c r="A2144" t="s">
        <v>15</v>
      </c>
      <c r="B2144" t="s">
        <v>20</v>
      </c>
      <c r="C2144" t="s">
        <v>17</v>
      </c>
      <c r="D2144">
        <v>176887</v>
      </c>
      <c r="E2144">
        <v>24703</v>
      </c>
      <c r="F2144">
        <v>37164</v>
      </c>
      <c r="G2144">
        <v>-142314</v>
      </c>
      <c r="H2144">
        <v>96440</v>
      </c>
      <c r="I2144">
        <v>96911</v>
      </c>
      <c r="J2144">
        <v>995</v>
      </c>
      <c r="K2144">
        <v>609169</v>
      </c>
      <c r="L2144">
        <v>113400</v>
      </c>
      <c r="M2144">
        <v>-156694</v>
      </c>
      <c r="N2144">
        <v>87965</v>
      </c>
      <c r="O2144" t="s">
        <v>2162</v>
      </c>
      <c r="P2144" s="9">
        <v>246147</v>
      </c>
      <c r="Q2144" s="9">
        <v>29276</v>
      </c>
      <c r="R2144" s="9">
        <v>275423</v>
      </c>
      <c r="S2144" s="9">
        <v>-75477</v>
      </c>
      <c r="T2144" s="10">
        <v>79196</v>
      </c>
      <c r="U2144" s="10">
        <v>1196</v>
      </c>
    </row>
    <row r="2145" spans="1:21" x14ac:dyDescent="0.35">
      <c r="A2145" t="s">
        <v>15</v>
      </c>
      <c r="B2145" t="s">
        <v>16</v>
      </c>
      <c r="C2145" t="s">
        <v>21</v>
      </c>
      <c r="D2145">
        <v>255598</v>
      </c>
      <c r="E2145">
        <v>14571</v>
      </c>
      <c r="F2145">
        <v>49207</v>
      </c>
      <c r="G2145">
        <v>-223376</v>
      </c>
      <c r="H2145">
        <v>96000</v>
      </c>
      <c r="I2145">
        <v>87915</v>
      </c>
      <c r="J2145">
        <v>2580</v>
      </c>
      <c r="K2145">
        <v>587781</v>
      </c>
      <c r="L2145">
        <v>172848</v>
      </c>
      <c r="M2145">
        <v>-225529</v>
      </c>
      <c r="N2145">
        <v>79290</v>
      </c>
      <c r="O2145" t="s">
        <v>2163</v>
      </c>
      <c r="P2145" s="9">
        <v>223494</v>
      </c>
      <c r="Q2145" s="9">
        <v>18750</v>
      </c>
      <c r="R2145" s="9">
        <v>242244</v>
      </c>
      <c r="S2145" s="9">
        <v>-143839</v>
      </c>
      <c r="T2145" s="10">
        <v>83830</v>
      </c>
      <c r="U2145" s="10">
        <v>1972</v>
      </c>
    </row>
    <row r="2146" spans="1:21" x14ac:dyDescent="0.35">
      <c r="A2146" t="s">
        <v>15</v>
      </c>
      <c r="B2146" t="s">
        <v>16</v>
      </c>
      <c r="C2146" t="s">
        <v>21</v>
      </c>
      <c r="D2146">
        <v>263545</v>
      </c>
      <c r="E2146">
        <v>52020</v>
      </c>
      <c r="F2146">
        <v>49023</v>
      </c>
      <c r="G2146">
        <v>-219132</v>
      </c>
      <c r="H2146">
        <v>145456</v>
      </c>
      <c r="I2146">
        <v>141709</v>
      </c>
      <c r="J2146">
        <v>1780</v>
      </c>
      <c r="K2146">
        <v>658977</v>
      </c>
      <c r="L2146">
        <v>214280</v>
      </c>
      <c r="M2146">
        <v>-210348</v>
      </c>
      <c r="N2146">
        <v>207916</v>
      </c>
      <c r="O2146" t="s">
        <v>2164</v>
      </c>
      <c r="P2146" s="9">
        <v>242537</v>
      </c>
      <c r="Q2146" s="9">
        <v>25712</v>
      </c>
      <c r="R2146" s="9">
        <v>268249</v>
      </c>
      <c r="S2146" s="9">
        <v>-144822</v>
      </c>
      <c r="T2146" s="10">
        <v>101171</v>
      </c>
      <c r="U2146" s="10">
        <v>1600</v>
      </c>
    </row>
    <row r="2147" spans="1:21" x14ac:dyDescent="0.35">
      <c r="A2147" t="s">
        <v>15</v>
      </c>
      <c r="B2147" t="s">
        <v>16</v>
      </c>
      <c r="C2147" t="s">
        <v>21</v>
      </c>
      <c r="D2147">
        <v>297381</v>
      </c>
      <c r="E2147">
        <v>39605</v>
      </c>
      <c r="F2147">
        <v>55929</v>
      </c>
      <c r="G2147">
        <v>-292633</v>
      </c>
      <c r="H2147">
        <v>100282</v>
      </c>
      <c r="I2147">
        <v>97783</v>
      </c>
      <c r="J2147">
        <v>1801</v>
      </c>
      <c r="K2147">
        <v>606037</v>
      </c>
      <c r="L2147">
        <v>105566</v>
      </c>
      <c r="M2147">
        <v>-63199</v>
      </c>
      <c r="N2147">
        <v>232847</v>
      </c>
      <c r="O2147" t="s">
        <v>2165</v>
      </c>
      <c r="P2147" s="9">
        <v>278813</v>
      </c>
      <c r="Q2147" s="9">
        <v>54893</v>
      </c>
      <c r="R2147" s="9">
        <v>333706</v>
      </c>
      <c r="S2147" s="9">
        <v>-79808</v>
      </c>
      <c r="T2147" s="10">
        <v>171926</v>
      </c>
      <c r="U2147" s="10">
        <v>2518</v>
      </c>
    </row>
    <row r="2148" spans="1:21" x14ac:dyDescent="0.35">
      <c r="A2148" t="s">
        <v>15</v>
      </c>
      <c r="B2148" t="s">
        <v>16</v>
      </c>
      <c r="C2148" t="s">
        <v>17</v>
      </c>
      <c r="D2148">
        <v>298423</v>
      </c>
      <c r="E2148">
        <v>53340</v>
      </c>
      <c r="F2148">
        <v>37846</v>
      </c>
      <c r="G2148">
        <v>-271156</v>
      </c>
      <c r="H2148">
        <v>118453</v>
      </c>
      <c r="I2148">
        <v>112587</v>
      </c>
      <c r="J2148">
        <v>1474</v>
      </c>
      <c r="K2148">
        <v>814055</v>
      </c>
      <c r="L2148">
        <v>388107</v>
      </c>
      <c r="M2148">
        <v>-89781</v>
      </c>
      <c r="N2148">
        <v>217429</v>
      </c>
      <c r="O2148" t="s">
        <v>2166</v>
      </c>
      <c r="P2148" s="9">
        <v>185583</v>
      </c>
      <c r="Q2148" s="9">
        <v>33903</v>
      </c>
      <c r="R2148" s="9">
        <v>219486</v>
      </c>
      <c r="S2148" s="9">
        <v>-118702</v>
      </c>
      <c r="T2148" s="10">
        <v>109521</v>
      </c>
      <c r="U2148" s="10">
        <v>1200</v>
      </c>
    </row>
    <row r="2149" spans="1:21" x14ac:dyDescent="0.35">
      <c r="A2149" t="s">
        <v>15</v>
      </c>
      <c r="B2149" t="s">
        <v>20</v>
      </c>
      <c r="C2149" t="s">
        <v>17</v>
      </c>
      <c r="D2149">
        <v>194523</v>
      </c>
      <c r="E2149">
        <v>33788</v>
      </c>
      <c r="F2149">
        <v>25831</v>
      </c>
      <c r="G2149">
        <v>-168461</v>
      </c>
      <c r="H2149">
        <v>85681</v>
      </c>
      <c r="I2149">
        <v>79164</v>
      </c>
      <c r="J2149">
        <v>1593</v>
      </c>
      <c r="K2149">
        <v>686913</v>
      </c>
      <c r="L2149">
        <v>246454</v>
      </c>
      <c r="M2149">
        <v>-231007</v>
      </c>
      <c r="N2149">
        <v>171949</v>
      </c>
      <c r="O2149" t="s">
        <v>2167</v>
      </c>
      <c r="P2149" s="9">
        <v>247872</v>
      </c>
      <c r="Q2149" s="9">
        <v>39012</v>
      </c>
      <c r="R2149" s="9">
        <v>286884</v>
      </c>
      <c r="S2149" s="9">
        <v>-75082</v>
      </c>
      <c r="T2149" s="10">
        <v>74016</v>
      </c>
      <c r="U2149" s="10">
        <v>1643</v>
      </c>
    </row>
    <row r="2150" spans="1:21" x14ac:dyDescent="0.35">
      <c r="A2150" t="s">
        <v>15</v>
      </c>
      <c r="B2150" t="s">
        <v>16</v>
      </c>
      <c r="C2150" t="s">
        <v>21</v>
      </c>
      <c r="D2150">
        <v>194761</v>
      </c>
      <c r="E2150">
        <v>31683</v>
      </c>
      <c r="F2150">
        <v>38874</v>
      </c>
      <c r="G2150">
        <v>-159304</v>
      </c>
      <c r="H2150">
        <v>106014</v>
      </c>
      <c r="I2150">
        <v>101527</v>
      </c>
      <c r="J2150">
        <v>1084</v>
      </c>
      <c r="K2150">
        <v>620291</v>
      </c>
      <c r="L2150">
        <v>118738</v>
      </c>
      <c r="M2150">
        <v>-134187</v>
      </c>
      <c r="N2150">
        <v>166069</v>
      </c>
      <c r="O2150" t="s">
        <v>2168</v>
      </c>
      <c r="P2150" s="9">
        <v>172970</v>
      </c>
      <c r="Q2150" s="9">
        <v>25168</v>
      </c>
      <c r="R2150" s="9">
        <v>198138</v>
      </c>
      <c r="S2150" s="9">
        <v>-86676</v>
      </c>
      <c r="T2150" s="10">
        <v>81913</v>
      </c>
      <c r="U2150" s="10">
        <v>2265</v>
      </c>
    </row>
    <row r="2151" spans="1:21" x14ac:dyDescent="0.35">
      <c r="A2151" t="s">
        <v>15</v>
      </c>
      <c r="B2151" t="s">
        <v>16</v>
      </c>
      <c r="C2151" t="s">
        <v>21</v>
      </c>
      <c r="D2151">
        <v>250870</v>
      </c>
      <c r="E2151">
        <v>49285</v>
      </c>
      <c r="F2151">
        <v>36720</v>
      </c>
      <c r="G2151">
        <v>-203600</v>
      </c>
      <c r="H2151">
        <v>133275</v>
      </c>
      <c r="I2151">
        <v>123290</v>
      </c>
      <c r="J2151">
        <v>3631</v>
      </c>
      <c r="K2151">
        <v>890382</v>
      </c>
      <c r="L2151">
        <v>405460</v>
      </c>
      <c r="M2151">
        <v>-278835</v>
      </c>
      <c r="N2151">
        <v>135889</v>
      </c>
      <c r="O2151" t="s">
        <v>2169</v>
      </c>
      <c r="P2151" s="9">
        <v>184774</v>
      </c>
      <c r="Q2151" s="9">
        <v>29742</v>
      </c>
      <c r="R2151" s="9">
        <v>214516</v>
      </c>
      <c r="S2151" s="9">
        <v>-84355</v>
      </c>
      <c r="T2151" s="10">
        <v>97870</v>
      </c>
      <c r="U2151" s="10">
        <v>2139</v>
      </c>
    </row>
    <row r="2152" spans="1:21" x14ac:dyDescent="0.35">
      <c r="A2152" t="s">
        <v>15</v>
      </c>
      <c r="B2152" t="s">
        <v>16</v>
      </c>
      <c r="C2152" t="s">
        <v>17</v>
      </c>
      <c r="D2152">
        <v>269638</v>
      </c>
      <c r="E2152">
        <v>23230</v>
      </c>
      <c r="F2152">
        <v>29084</v>
      </c>
      <c r="G2152">
        <v>-230802</v>
      </c>
      <c r="H2152">
        <v>91150</v>
      </c>
      <c r="I2152">
        <v>92931</v>
      </c>
      <c r="J2152">
        <v>1051</v>
      </c>
      <c r="K2152">
        <v>1032139</v>
      </c>
      <c r="L2152">
        <v>254243</v>
      </c>
      <c r="M2152">
        <v>-199498</v>
      </c>
      <c r="N2152">
        <v>160987</v>
      </c>
      <c r="O2152" t="s">
        <v>2170</v>
      </c>
      <c r="P2152" s="9">
        <v>161486</v>
      </c>
      <c r="Q2152" s="9">
        <v>12082</v>
      </c>
      <c r="R2152" s="9">
        <v>173568</v>
      </c>
      <c r="S2152" s="9">
        <v>-58954</v>
      </c>
      <c r="T2152" s="10">
        <v>52893</v>
      </c>
      <c r="U2152" s="10">
        <v>1255</v>
      </c>
    </row>
    <row r="2153" spans="1:21" x14ac:dyDescent="0.35">
      <c r="A2153" t="s">
        <v>15</v>
      </c>
      <c r="B2153" t="s">
        <v>16</v>
      </c>
      <c r="C2153" t="s">
        <v>21</v>
      </c>
      <c r="D2153">
        <v>190842</v>
      </c>
      <c r="E2153">
        <v>24543</v>
      </c>
      <c r="F2153">
        <v>42756</v>
      </c>
      <c r="G2153">
        <v>-167453</v>
      </c>
      <c r="H2153">
        <v>90688</v>
      </c>
      <c r="I2153">
        <v>88304</v>
      </c>
      <c r="J2153">
        <v>2543</v>
      </c>
      <c r="K2153">
        <v>571432</v>
      </c>
      <c r="L2153">
        <v>169364</v>
      </c>
      <c r="M2153">
        <v>-164254</v>
      </c>
      <c r="N2153">
        <v>113921</v>
      </c>
      <c r="O2153" t="s">
        <v>2171</v>
      </c>
      <c r="P2153" s="9">
        <v>234645</v>
      </c>
      <c r="Q2153" s="9">
        <v>42581</v>
      </c>
      <c r="R2153" s="9">
        <v>277226</v>
      </c>
      <c r="S2153" s="9">
        <v>-124000</v>
      </c>
      <c r="T2153" s="10">
        <v>104825</v>
      </c>
      <c r="U2153" s="10">
        <v>1382</v>
      </c>
    </row>
    <row r="2154" spans="1:21" x14ac:dyDescent="0.35">
      <c r="A2154" t="s">
        <v>15</v>
      </c>
      <c r="B2154" t="s">
        <v>16</v>
      </c>
      <c r="C2154" t="s">
        <v>17</v>
      </c>
      <c r="D2154">
        <v>191024</v>
      </c>
      <c r="E2154">
        <v>25980</v>
      </c>
      <c r="F2154">
        <v>42008</v>
      </c>
      <c r="G2154">
        <v>-153886</v>
      </c>
      <c r="H2154">
        <v>105126</v>
      </c>
      <c r="I2154">
        <v>99274</v>
      </c>
      <c r="J2154">
        <v>2965</v>
      </c>
      <c r="K2154">
        <v>427173</v>
      </c>
      <c r="L2154">
        <v>136206</v>
      </c>
      <c r="M2154">
        <v>-73439</v>
      </c>
      <c r="N2154">
        <v>105107</v>
      </c>
      <c r="O2154" t="s">
        <v>2172</v>
      </c>
      <c r="P2154" s="9">
        <v>199613</v>
      </c>
      <c r="Q2154" s="9">
        <v>14110</v>
      </c>
      <c r="R2154" s="9">
        <v>213723</v>
      </c>
      <c r="S2154" s="9">
        <v>-62421</v>
      </c>
      <c r="T2154" s="10">
        <v>56371</v>
      </c>
      <c r="U2154" s="10">
        <v>1439</v>
      </c>
    </row>
    <row r="2155" spans="1:21" x14ac:dyDescent="0.35">
      <c r="A2155" t="s">
        <v>15</v>
      </c>
      <c r="B2155" t="s">
        <v>16</v>
      </c>
      <c r="C2155" t="s">
        <v>17</v>
      </c>
      <c r="D2155">
        <v>217298</v>
      </c>
      <c r="E2155">
        <v>27372</v>
      </c>
      <c r="F2155">
        <v>24907</v>
      </c>
      <c r="G2155">
        <v>-209780</v>
      </c>
      <c r="H2155">
        <v>59797</v>
      </c>
      <c r="I2155">
        <v>54501</v>
      </c>
      <c r="J2155">
        <v>639</v>
      </c>
      <c r="K2155">
        <v>722479</v>
      </c>
      <c r="L2155">
        <v>322313</v>
      </c>
      <c r="M2155">
        <v>-95219</v>
      </c>
      <c r="N2155">
        <v>132214</v>
      </c>
      <c r="O2155" t="s">
        <v>2173</v>
      </c>
      <c r="P2155" s="9">
        <v>250670</v>
      </c>
      <c r="Q2155" s="9">
        <v>38954</v>
      </c>
      <c r="R2155" s="9">
        <v>289624</v>
      </c>
      <c r="S2155" s="9">
        <v>-103941</v>
      </c>
      <c r="T2155" s="10">
        <v>87430</v>
      </c>
      <c r="U2155" s="10">
        <v>1527</v>
      </c>
    </row>
    <row r="2156" spans="1:21" x14ac:dyDescent="0.35">
      <c r="A2156" t="s">
        <v>15</v>
      </c>
      <c r="B2156" t="s">
        <v>16</v>
      </c>
      <c r="C2156" t="s">
        <v>21</v>
      </c>
      <c r="D2156">
        <v>185458</v>
      </c>
      <c r="E2156">
        <v>12418</v>
      </c>
      <c r="F2156">
        <v>28177</v>
      </c>
      <c r="G2156">
        <v>-175678</v>
      </c>
      <c r="H2156">
        <v>50375</v>
      </c>
      <c r="I2156">
        <v>48925</v>
      </c>
      <c r="J2156">
        <v>852</v>
      </c>
      <c r="K2156">
        <v>706959</v>
      </c>
      <c r="L2156">
        <v>133912</v>
      </c>
      <c r="M2156">
        <v>-218860</v>
      </c>
      <c r="N2156">
        <v>116260</v>
      </c>
      <c r="O2156" t="s">
        <v>2174</v>
      </c>
      <c r="P2156" s="9">
        <v>225282</v>
      </c>
      <c r="Q2156" s="9">
        <v>30421</v>
      </c>
      <c r="R2156" s="9">
        <v>255703</v>
      </c>
      <c r="S2156" s="9">
        <v>-149398</v>
      </c>
      <c r="T2156" s="10">
        <v>100250</v>
      </c>
      <c r="U2156" s="10">
        <v>1249</v>
      </c>
    </row>
    <row r="2157" spans="1:21" x14ac:dyDescent="0.35">
      <c r="A2157" t="s">
        <v>15</v>
      </c>
      <c r="B2157" t="s">
        <v>20</v>
      </c>
      <c r="C2157" t="s">
        <v>21</v>
      </c>
      <c r="D2157">
        <v>150859</v>
      </c>
      <c r="E2157">
        <v>11162</v>
      </c>
      <c r="F2157">
        <v>29562</v>
      </c>
      <c r="G2157">
        <v>-140188</v>
      </c>
      <c r="H2157">
        <v>51395</v>
      </c>
      <c r="I2157">
        <v>47013</v>
      </c>
      <c r="J2157">
        <v>797</v>
      </c>
      <c r="K2157">
        <v>496566</v>
      </c>
      <c r="L2157">
        <v>186478</v>
      </c>
      <c r="M2157">
        <v>-142905</v>
      </c>
      <c r="N2157">
        <v>60073</v>
      </c>
      <c r="O2157" t="s">
        <v>2175</v>
      </c>
      <c r="P2157" s="9">
        <v>169506</v>
      </c>
      <c r="Q2157" s="9">
        <v>10067</v>
      </c>
      <c r="R2157" s="9">
        <v>179573</v>
      </c>
      <c r="S2157" s="9">
        <v>-49739</v>
      </c>
      <c r="T2157" s="10">
        <v>57910</v>
      </c>
      <c r="U2157" s="10">
        <v>1006</v>
      </c>
    </row>
    <row r="2158" spans="1:21" x14ac:dyDescent="0.35">
      <c r="A2158" t="s">
        <v>15</v>
      </c>
      <c r="B2158" t="s">
        <v>16</v>
      </c>
      <c r="C2158" t="s">
        <v>17</v>
      </c>
      <c r="D2158">
        <v>250522</v>
      </c>
      <c r="E2158">
        <v>29028</v>
      </c>
      <c r="F2158">
        <v>54582</v>
      </c>
      <c r="G2158">
        <v>-247193</v>
      </c>
      <c r="H2158">
        <v>86939</v>
      </c>
      <c r="I2158">
        <v>81075</v>
      </c>
      <c r="J2158">
        <v>1330</v>
      </c>
      <c r="K2158">
        <v>843705</v>
      </c>
      <c r="L2158">
        <v>379746</v>
      </c>
      <c r="M2158">
        <v>-252569</v>
      </c>
      <c r="N2158">
        <v>81763</v>
      </c>
      <c r="O2158" t="s">
        <v>2176</v>
      </c>
      <c r="P2158" s="9">
        <v>192353</v>
      </c>
      <c r="Q2158" s="9">
        <v>18576</v>
      </c>
      <c r="R2158" s="9">
        <v>210929</v>
      </c>
      <c r="S2158" s="9">
        <v>-113745</v>
      </c>
      <c r="T2158" s="10">
        <v>62510</v>
      </c>
      <c r="U2158" s="10">
        <v>1408</v>
      </c>
    </row>
    <row r="2159" spans="1:21" x14ac:dyDescent="0.35">
      <c r="A2159" t="s">
        <v>15</v>
      </c>
      <c r="B2159" t="s">
        <v>20</v>
      </c>
      <c r="C2159" t="s">
        <v>21</v>
      </c>
      <c r="D2159">
        <v>235988</v>
      </c>
      <c r="E2159">
        <v>16423</v>
      </c>
      <c r="F2159">
        <v>26549</v>
      </c>
      <c r="G2159">
        <v>-219720</v>
      </c>
      <c r="H2159">
        <v>59240</v>
      </c>
      <c r="I2159">
        <v>59605</v>
      </c>
      <c r="J2159">
        <v>1597</v>
      </c>
      <c r="K2159">
        <v>697797</v>
      </c>
      <c r="L2159">
        <v>234130</v>
      </c>
      <c r="M2159">
        <v>-254211</v>
      </c>
      <c r="N2159">
        <v>187149</v>
      </c>
      <c r="O2159" t="s">
        <v>2177</v>
      </c>
      <c r="P2159" s="9">
        <v>175934</v>
      </c>
      <c r="Q2159" s="9">
        <v>30504</v>
      </c>
      <c r="R2159" s="9">
        <v>206438</v>
      </c>
      <c r="S2159" s="9">
        <v>-70439</v>
      </c>
      <c r="T2159" s="10">
        <v>54659</v>
      </c>
      <c r="U2159" s="10">
        <v>1034</v>
      </c>
    </row>
    <row r="2160" spans="1:21" x14ac:dyDescent="0.35">
      <c r="A2160" t="s">
        <v>15</v>
      </c>
      <c r="B2160" t="s">
        <v>16</v>
      </c>
      <c r="C2160" t="s">
        <v>17</v>
      </c>
      <c r="D2160">
        <v>248844</v>
      </c>
      <c r="E2160">
        <v>42437</v>
      </c>
      <c r="F2160">
        <v>48029</v>
      </c>
      <c r="G2160">
        <v>-232551</v>
      </c>
      <c r="H2160">
        <v>106759</v>
      </c>
      <c r="I2160">
        <v>98453</v>
      </c>
      <c r="J2160">
        <v>1600</v>
      </c>
      <c r="K2160">
        <v>757529</v>
      </c>
      <c r="L2160">
        <v>308984</v>
      </c>
      <c r="M2160">
        <v>-216843</v>
      </c>
      <c r="N2160">
        <v>189874</v>
      </c>
      <c r="O2160" t="s">
        <v>2178</v>
      </c>
      <c r="P2160" s="9">
        <v>180502</v>
      </c>
      <c r="Q2160" s="9">
        <v>15077</v>
      </c>
      <c r="R2160" s="9">
        <v>195579</v>
      </c>
      <c r="S2160" s="9">
        <v>-91031</v>
      </c>
      <c r="T2160" s="10">
        <v>86937</v>
      </c>
      <c r="U2160" s="10">
        <v>1464</v>
      </c>
    </row>
    <row r="2161" spans="1:21" x14ac:dyDescent="0.35">
      <c r="A2161" t="s">
        <v>15</v>
      </c>
      <c r="B2161" t="s">
        <v>16</v>
      </c>
      <c r="C2161" t="s">
        <v>21</v>
      </c>
      <c r="D2161">
        <v>176434</v>
      </c>
      <c r="E2161">
        <v>23346</v>
      </c>
      <c r="F2161">
        <v>17694</v>
      </c>
      <c r="G2161">
        <v>-145295</v>
      </c>
      <c r="H2161">
        <v>72179</v>
      </c>
      <c r="I2161">
        <v>68378</v>
      </c>
      <c r="J2161">
        <v>1671</v>
      </c>
      <c r="K2161">
        <v>588180</v>
      </c>
      <c r="L2161">
        <v>151514</v>
      </c>
      <c r="M2161">
        <v>-76012</v>
      </c>
      <c r="N2161">
        <v>92635</v>
      </c>
      <c r="O2161" t="s">
        <v>2179</v>
      </c>
      <c r="P2161" s="9">
        <v>212523</v>
      </c>
      <c r="Q2161" s="9">
        <v>17290</v>
      </c>
      <c r="R2161" s="9">
        <v>229813</v>
      </c>
      <c r="S2161" s="9">
        <v>-134906</v>
      </c>
      <c r="T2161" s="10">
        <v>81526</v>
      </c>
      <c r="U2161" s="10">
        <v>1236</v>
      </c>
    </row>
    <row r="2162" spans="1:21" x14ac:dyDescent="0.35">
      <c r="A2162" t="s">
        <v>15</v>
      </c>
      <c r="B2162" t="s">
        <v>20</v>
      </c>
      <c r="C2162" t="s">
        <v>21</v>
      </c>
      <c r="D2162">
        <v>206155</v>
      </c>
      <c r="E2162">
        <v>14250</v>
      </c>
      <c r="F2162">
        <v>44214</v>
      </c>
      <c r="G2162">
        <v>-198225</v>
      </c>
      <c r="H2162">
        <v>66394</v>
      </c>
      <c r="I2162">
        <v>63413</v>
      </c>
      <c r="J2162">
        <v>916</v>
      </c>
      <c r="K2162">
        <v>800013</v>
      </c>
      <c r="L2162">
        <v>280691</v>
      </c>
      <c r="M2162">
        <v>-119249</v>
      </c>
      <c r="N2162">
        <v>132239</v>
      </c>
      <c r="O2162" t="s">
        <v>2180</v>
      </c>
      <c r="P2162" s="9">
        <v>166233</v>
      </c>
      <c r="Q2162" s="9">
        <v>23580</v>
      </c>
      <c r="R2162" s="9">
        <v>189813</v>
      </c>
      <c r="S2162" s="9">
        <v>-44153</v>
      </c>
      <c r="T2162" s="10">
        <v>84841</v>
      </c>
      <c r="U2162" s="10">
        <v>1414</v>
      </c>
    </row>
    <row r="2163" spans="1:21" x14ac:dyDescent="0.35">
      <c r="A2163" t="s">
        <v>15</v>
      </c>
      <c r="B2163" t="s">
        <v>16</v>
      </c>
      <c r="C2163" t="s">
        <v>17</v>
      </c>
      <c r="D2163">
        <v>240802</v>
      </c>
      <c r="E2163">
        <v>13891</v>
      </c>
      <c r="F2163">
        <v>34806</v>
      </c>
      <c r="G2163">
        <v>-197548</v>
      </c>
      <c r="H2163">
        <v>91951</v>
      </c>
      <c r="I2163">
        <v>89136</v>
      </c>
      <c r="J2163">
        <v>1805</v>
      </c>
      <c r="K2163">
        <v>641101</v>
      </c>
      <c r="L2163">
        <v>297593</v>
      </c>
      <c r="M2163">
        <v>-201294</v>
      </c>
      <c r="N2163">
        <v>72617</v>
      </c>
      <c r="O2163" t="s">
        <v>2181</v>
      </c>
      <c r="P2163" s="9">
        <v>312775</v>
      </c>
      <c r="Q2163" s="9">
        <v>18412</v>
      </c>
      <c r="R2163" s="9">
        <v>331187</v>
      </c>
      <c r="S2163" s="9">
        <v>-70745</v>
      </c>
      <c r="T2163" s="10">
        <v>88018</v>
      </c>
      <c r="U2163" s="10">
        <v>1292</v>
      </c>
    </row>
    <row r="2164" spans="1:21" x14ac:dyDescent="0.35">
      <c r="A2164" t="s">
        <v>15</v>
      </c>
      <c r="B2164" t="s">
        <v>20</v>
      </c>
      <c r="C2164" t="s">
        <v>17</v>
      </c>
      <c r="D2164">
        <v>281010</v>
      </c>
      <c r="E2164">
        <v>54723</v>
      </c>
      <c r="F2164">
        <v>64529</v>
      </c>
      <c r="G2164">
        <v>-255419</v>
      </c>
      <c r="H2164">
        <v>144843</v>
      </c>
      <c r="I2164">
        <v>141123</v>
      </c>
      <c r="J2164">
        <v>2552</v>
      </c>
      <c r="K2164">
        <v>950666</v>
      </c>
      <c r="L2164">
        <v>378809</v>
      </c>
      <c r="M2164">
        <v>-305037</v>
      </c>
      <c r="N2164">
        <v>227652</v>
      </c>
      <c r="O2164" t="s">
        <v>2182</v>
      </c>
      <c r="P2164" s="9">
        <v>275170</v>
      </c>
      <c r="Q2164" s="9">
        <v>22789</v>
      </c>
      <c r="R2164" s="9">
        <v>297959</v>
      </c>
      <c r="S2164" s="9">
        <v>-118289</v>
      </c>
      <c r="T2164" s="10">
        <v>86387</v>
      </c>
      <c r="U2164" s="10">
        <v>1577</v>
      </c>
    </row>
    <row r="2165" spans="1:21" x14ac:dyDescent="0.35">
      <c r="A2165" t="s">
        <v>15</v>
      </c>
      <c r="B2165" t="s">
        <v>16</v>
      </c>
      <c r="C2165" t="s">
        <v>17</v>
      </c>
      <c r="D2165">
        <v>168610</v>
      </c>
      <c r="E2165">
        <v>11878</v>
      </c>
      <c r="F2165">
        <v>28473</v>
      </c>
      <c r="G2165">
        <v>-152108</v>
      </c>
      <c r="H2165">
        <v>56853</v>
      </c>
      <c r="I2165">
        <v>52821</v>
      </c>
      <c r="J2165">
        <v>1158</v>
      </c>
      <c r="K2165">
        <v>348424</v>
      </c>
      <c r="L2165">
        <v>51197</v>
      </c>
      <c r="M2165">
        <v>-132381</v>
      </c>
      <c r="N2165">
        <v>131759</v>
      </c>
      <c r="O2165" t="s">
        <v>2183</v>
      </c>
      <c r="P2165" s="9">
        <v>286352</v>
      </c>
      <c r="Q2165" s="9">
        <v>50057</v>
      </c>
      <c r="R2165" s="9">
        <v>336409</v>
      </c>
      <c r="S2165" s="9">
        <v>-126342</v>
      </c>
      <c r="T2165" s="10">
        <v>115290</v>
      </c>
      <c r="U2165" s="10">
        <v>1570</v>
      </c>
    </row>
    <row r="2166" spans="1:21" x14ac:dyDescent="0.35">
      <c r="A2166" t="s">
        <v>15</v>
      </c>
      <c r="B2166" t="s">
        <v>20</v>
      </c>
      <c r="C2166" t="s">
        <v>21</v>
      </c>
      <c r="D2166">
        <v>260082</v>
      </c>
      <c r="E2166">
        <v>14972</v>
      </c>
      <c r="F2166">
        <v>54964</v>
      </c>
      <c r="G2166">
        <v>-222418</v>
      </c>
      <c r="H2166">
        <v>107600</v>
      </c>
      <c r="I2166">
        <v>98089</v>
      </c>
      <c r="J2166">
        <v>1850</v>
      </c>
      <c r="K2166">
        <v>957208</v>
      </c>
      <c r="L2166">
        <v>199065</v>
      </c>
      <c r="M2166">
        <v>-183227</v>
      </c>
      <c r="N2166">
        <v>112008</v>
      </c>
      <c r="O2166" t="s">
        <v>2184</v>
      </c>
      <c r="P2166" s="9">
        <v>270474</v>
      </c>
      <c r="Q2166" s="9">
        <v>36724</v>
      </c>
      <c r="R2166" s="9">
        <v>307198</v>
      </c>
      <c r="S2166" s="9">
        <v>-120610</v>
      </c>
      <c r="T2166" s="10">
        <v>144933</v>
      </c>
      <c r="U2166" s="10">
        <v>2291</v>
      </c>
    </row>
    <row r="2167" spans="1:21" x14ac:dyDescent="0.35">
      <c r="A2167" t="s">
        <v>15</v>
      </c>
      <c r="B2167" t="s">
        <v>16</v>
      </c>
      <c r="C2167" t="s">
        <v>21</v>
      </c>
      <c r="D2167">
        <v>288746</v>
      </c>
      <c r="E2167">
        <v>32972</v>
      </c>
      <c r="F2167">
        <v>50084</v>
      </c>
      <c r="G2167">
        <v>-283541</v>
      </c>
      <c r="H2167">
        <v>88261</v>
      </c>
      <c r="I2167">
        <v>79888</v>
      </c>
      <c r="J2167">
        <v>1219</v>
      </c>
      <c r="K2167">
        <v>597735</v>
      </c>
      <c r="L2167">
        <v>243388</v>
      </c>
      <c r="M2167">
        <v>-164237</v>
      </c>
      <c r="N2167">
        <v>248640</v>
      </c>
      <c r="O2167" t="s">
        <v>2185</v>
      </c>
      <c r="P2167" s="9">
        <v>293368</v>
      </c>
      <c r="Q2167" s="9">
        <v>51087</v>
      </c>
      <c r="R2167" s="9">
        <v>344455</v>
      </c>
      <c r="S2167" s="9">
        <v>-144543</v>
      </c>
      <c r="T2167" s="10">
        <v>126358</v>
      </c>
      <c r="U2167" s="10">
        <v>3259</v>
      </c>
    </row>
    <row r="2168" spans="1:21" x14ac:dyDescent="0.35">
      <c r="A2168" t="s">
        <v>15</v>
      </c>
      <c r="B2168" t="s">
        <v>20</v>
      </c>
      <c r="C2168" t="s">
        <v>17</v>
      </c>
      <c r="D2168">
        <v>238085</v>
      </c>
      <c r="E2168">
        <v>30163</v>
      </c>
      <c r="F2168">
        <v>50211</v>
      </c>
      <c r="G2168">
        <v>-197981</v>
      </c>
      <c r="H2168">
        <v>120478</v>
      </c>
      <c r="I2168">
        <v>114926</v>
      </c>
      <c r="J2168">
        <v>1778</v>
      </c>
      <c r="K2168">
        <v>939204</v>
      </c>
      <c r="L2168">
        <v>269007</v>
      </c>
      <c r="M2168">
        <v>-228147</v>
      </c>
      <c r="N2168">
        <v>144739</v>
      </c>
      <c r="O2168" t="s">
        <v>2186</v>
      </c>
      <c r="P2168" s="9">
        <v>180292</v>
      </c>
      <c r="Q2168" s="9">
        <v>33801</v>
      </c>
      <c r="R2168" s="9">
        <v>214093</v>
      </c>
      <c r="S2168" s="9">
        <v>-93408</v>
      </c>
      <c r="T2168" s="10">
        <v>82064</v>
      </c>
      <c r="U2168" s="10">
        <v>1652</v>
      </c>
    </row>
    <row r="2169" spans="1:21" x14ac:dyDescent="0.35">
      <c r="A2169" t="s">
        <v>15</v>
      </c>
      <c r="B2169" t="s">
        <v>16</v>
      </c>
      <c r="C2169" t="s">
        <v>17</v>
      </c>
      <c r="D2169">
        <v>277049</v>
      </c>
      <c r="E2169">
        <v>22510</v>
      </c>
      <c r="F2169">
        <v>50689</v>
      </c>
      <c r="G2169">
        <v>-223581</v>
      </c>
      <c r="H2169">
        <v>126667</v>
      </c>
      <c r="I2169">
        <v>121042</v>
      </c>
      <c r="J2169">
        <v>2141</v>
      </c>
      <c r="K2169">
        <v>863213</v>
      </c>
      <c r="L2169">
        <v>133206</v>
      </c>
      <c r="M2169">
        <v>-264144</v>
      </c>
      <c r="N2169">
        <v>191819</v>
      </c>
      <c r="O2169" t="s">
        <v>2187</v>
      </c>
      <c r="P2169" s="9">
        <v>192015</v>
      </c>
      <c r="Q2169" s="9">
        <v>29987</v>
      </c>
      <c r="R2169" s="9">
        <v>222002</v>
      </c>
      <c r="S2169" s="9">
        <v>-132191</v>
      </c>
      <c r="T2169" s="10">
        <v>111033</v>
      </c>
      <c r="U2169" s="10">
        <v>3203</v>
      </c>
    </row>
    <row r="2170" spans="1:21" x14ac:dyDescent="0.35">
      <c r="A2170" t="s">
        <v>15</v>
      </c>
      <c r="B2170" t="s">
        <v>16</v>
      </c>
      <c r="C2170" t="s">
        <v>21</v>
      </c>
      <c r="D2170">
        <v>239608</v>
      </c>
      <c r="E2170">
        <v>39194</v>
      </c>
      <c r="F2170">
        <v>46360</v>
      </c>
      <c r="G2170">
        <v>-205108</v>
      </c>
      <c r="H2170">
        <v>120054</v>
      </c>
      <c r="I2170">
        <v>108497</v>
      </c>
      <c r="J2170">
        <v>1375</v>
      </c>
      <c r="K2170">
        <v>659246</v>
      </c>
      <c r="L2170">
        <v>289414</v>
      </c>
      <c r="M2170">
        <v>-251132</v>
      </c>
      <c r="N2170">
        <v>83258</v>
      </c>
      <c r="O2170" t="s">
        <v>2188</v>
      </c>
      <c r="P2170" s="9">
        <v>240721</v>
      </c>
      <c r="Q2170" s="9">
        <v>23893</v>
      </c>
      <c r="R2170" s="9">
        <v>264614</v>
      </c>
      <c r="S2170" s="9">
        <v>-115812</v>
      </c>
      <c r="T2170" s="10">
        <v>84145</v>
      </c>
      <c r="U2170" s="10">
        <v>2027</v>
      </c>
    </row>
    <row r="2171" spans="1:21" x14ac:dyDescent="0.35">
      <c r="A2171" t="s">
        <v>15</v>
      </c>
      <c r="B2171" t="s">
        <v>20</v>
      </c>
      <c r="C2171" t="s">
        <v>21</v>
      </c>
      <c r="D2171">
        <v>224133</v>
      </c>
      <c r="E2171">
        <v>19728</v>
      </c>
      <c r="F2171">
        <v>46822</v>
      </c>
      <c r="G2171">
        <v>-220982</v>
      </c>
      <c r="H2171">
        <v>69701</v>
      </c>
      <c r="I2171">
        <v>63764</v>
      </c>
      <c r="J2171">
        <v>1783</v>
      </c>
      <c r="K2171">
        <v>625909</v>
      </c>
      <c r="L2171">
        <v>87821</v>
      </c>
      <c r="M2171">
        <v>-171601</v>
      </c>
      <c r="N2171">
        <v>86195</v>
      </c>
      <c r="O2171" t="s">
        <v>2189</v>
      </c>
      <c r="P2171" s="9">
        <v>211182</v>
      </c>
      <c r="Q2171" s="9">
        <v>33084</v>
      </c>
      <c r="R2171" s="9">
        <v>244266</v>
      </c>
      <c r="S2171" s="9">
        <v>-131918</v>
      </c>
      <c r="T2171" s="10">
        <v>80426</v>
      </c>
      <c r="U2171" s="10">
        <v>2333</v>
      </c>
    </row>
    <row r="2172" spans="1:21" x14ac:dyDescent="0.35">
      <c r="A2172" t="s">
        <v>15</v>
      </c>
      <c r="B2172" t="s">
        <v>20</v>
      </c>
      <c r="C2172" t="s">
        <v>21</v>
      </c>
      <c r="D2172">
        <v>151480</v>
      </c>
      <c r="E2172">
        <v>20360</v>
      </c>
      <c r="F2172">
        <v>32683</v>
      </c>
      <c r="G2172">
        <v>-130935</v>
      </c>
      <c r="H2172">
        <v>73588</v>
      </c>
      <c r="I2172">
        <v>67580</v>
      </c>
      <c r="J2172">
        <v>1213</v>
      </c>
      <c r="K2172">
        <v>307725</v>
      </c>
      <c r="L2172">
        <v>76260</v>
      </c>
      <c r="M2172">
        <v>-70596</v>
      </c>
      <c r="N2172">
        <v>92199</v>
      </c>
      <c r="O2172" t="s">
        <v>2190</v>
      </c>
      <c r="P2172" s="9">
        <v>225992</v>
      </c>
      <c r="Q2172" s="9">
        <v>24971</v>
      </c>
      <c r="R2172" s="9">
        <v>250963</v>
      </c>
      <c r="S2172" s="9">
        <v>-148386</v>
      </c>
      <c r="T2172" s="10">
        <v>67126</v>
      </c>
      <c r="U2172" s="10">
        <v>976</v>
      </c>
    </row>
    <row r="2173" spans="1:21" x14ac:dyDescent="0.35">
      <c r="A2173" t="s">
        <v>15</v>
      </c>
      <c r="B2173" t="s">
        <v>16</v>
      </c>
      <c r="C2173" t="s">
        <v>21</v>
      </c>
      <c r="D2173">
        <v>213607</v>
      </c>
      <c r="E2173">
        <v>12641</v>
      </c>
      <c r="F2173">
        <v>51005</v>
      </c>
      <c r="G2173">
        <v>-209644</v>
      </c>
      <c r="H2173">
        <v>67609</v>
      </c>
      <c r="I2173">
        <v>65299</v>
      </c>
      <c r="J2173">
        <v>1249</v>
      </c>
      <c r="K2173">
        <v>803406</v>
      </c>
      <c r="L2173">
        <v>366945</v>
      </c>
      <c r="M2173">
        <v>-271993</v>
      </c>
      <c r="N2173">
        <v>122548</v>
      </c>
      <c r="O2173" t="s">
        <v>2191</v>
      </c>
      <c r="P2173" s="9">
        <v>155548</v>
      </c>
      <c r="Q2173" s="9">
        <v>29898</v>
      </c>
      <c r="R2173" s="9">
        <v>185446</v>
      </c>
      <c r="S2173" s="9">
        <v>-62600</v>
      </c>
      <c r="T2173" s="10">
        <v>89561</v>
      </c>
      <c r="U2173" s="10">
        <v>1111</v>
      </c>
    </row>
    <row r="2174" spans="1:21" x14ac:dyDescent="0.35">
      <c r="A2174" t="s">
        <v>15</v>
      </c>
      <c r="B2174" t="s">
        <v>16</v>
      </c>
      <c r="C2174" t="s">
        <v>21</v>
      </c>
      <c r="D2174">
        <v>161064</v>
      </c>
      <c r="E2174">
        <v>18322</v>
      </c>
      <c r="F2174">
        <v>18628</v>
      </c>
      <c r="G2174">
        <v>-132445</v>
      </c>
      <c r="H2174">
        <v>65569</v>
      </c>
      <c r="I2174">
        <v>66876</v>
      </c>
      <c r="J2174">
        <v>1852</v>
      </c>
      <c r="K2174">
        <v>538854</v>
      </c>
      <c r="L2174">
        <v>191788</v>
      </c>
      <c r="M2174">
        <v>-139080</v>
      </c>
      <c r="N2174">
        <v>67514</v>
      </c>
      <c r="O2174" t="s">
        <v>2192</v>
      </c>
      <c r="P2174" s="9">
        <v>205147</v>
      </c>
      <c r="Q2174" s="9">
        <v>27019</v>
      </c>
      <c r="R2174" s="9">
        <v>232166</v>
      </c>
      <c r="S2174" s="9">
        <v>-93041</v>
      </c>
      <c r="T2174" s="10">
        <v>108258</v>
      </c>
      <c r="U2174" s="10">
        <v>1231</v>
      </c>
    </row>
    <row r="2175" spans="1:21" x14ac:dyDescent="0.35">
      <c r="A2175" t="s">
        <v>15</v>
      </c>
      <c r="B2175" t="s">
        <v>16</v>
      </c>
      <c r="C2175" t="s">
        <v>17</v>
      </c>
      <c r="D2175">
        <v>175622</v>
      </c>
      <c r="E2175">
        <v>12249</v>
      </c>
      <c r="F2175">
        <v>18408</v>
      </c>
      <c r="G2175">
        <v>-156098</v>
      </c>
      <c r="H2175">
        <v>50181</v>
      </c>
      <c r="I2175">
        <v>48462</v>
      </c>
      <c r="J2175">
        <v>1071</v>
      </c>
      <c r="K2175">
        <v>520555</v>
      </c>
      <c r="L2175">
        <v>223993</v>
      </c>
      <c r="M2175">
        <v>-200867</v>
      </c>
      <c r="N2175">
        <v>106039</v>
      </c>
      <c r="O2175" t="s">
        <v>2193</v>
      </c>
      <c r="P2175" s="9">
        <v>186879</v>
      </c>
      <c r="Q2175" s="9">
        <v>10094</v>
      </c>
      <c r="R2175" s="9">
        <v>196973</v>
      </c>
      <c r="S2175" s="9">
        <v>-109871</v>
      </c>
      <c r="T2175" s="10">
        <v>63255</v>
      </c>
      <c r="U2175" s="10">
        <v>978</v>
      </c>
    </row>
    <row r="2176" spans="1:21" x14ac:dyDescent="0.35">
      <c r="A2176" t="s">
        <v>15</v>
      </c>
      <c r="B2176" t="s">
        <v>20</v>
      </c>
      <c r="C2176" t="s">
        <v>21</v>
      </c>
      <c r="D2176">
        <v>188018</v>
      </c>
      <c r="E2176">
        <v>22114</v>
      </c>
      <c r="F2176">
        <v>21934</v>
      </c>
      <c r="G2176">
        <v>-166297</v>
      </c>
      <c r="H2176">
        <v>65769</v>
      </c>
      <c r="I2176">
        <v>63478</v>
      </c>
      <c r="J2176">
        <v>1472</v>
      </c>
      <c r="K2176">
        <v>728708</v>
      </c>
      <c r="L2176">
        <v>113017</v>
      </c>
      <c r="M2176">
        <v>-229284</v>
      </c>
      <c r="N2176">
        <v>167762</v>
      </c>
      <c r="O2176" t="s">
        <v>2194</v>
      </c>
      <c r="P2176" s="9">
        <v>297761</v>
      </c>
      <c r="Q2176" s="9">
        <v>43320</v>
      </c>
      <c r="R2176" s="9">
        <v>341081</v>
      </c>
      <c r="S2176" s="9">
        <v>-70477</v>
      </c>
      <c r="T2176" s="10">
        <v>91528</v>
      </c>
      <c r="U2176" s="10">
        <v>2320</v>
      </c>
    </row>
    <row r="2177" spans="1:21" x14ac:dyDescent="0.35">
      <c r="A2177" t="s">
        <v>15</v>
      </c>
      <c r="B2177" t="s">
        <v>20</v>
      </c>
      <c r="C2177" t="s">
        <v>17</v>
      </c>
      <c r="D2177">
        <v>197439</v>
      </c>
      <c r="E2177">
        <v>34104</v>
      </c>
      <c r="F2177">
        <v>35557</v>
      </c>
      <c r="G2177">
        <v>-188361</v>
      </c>
      <c r="H2177">
        <v>78739</v>
      </c>
      <c r="I2177">
        <v>71348</v>
      </c>
      <c r="J2177">
        <v>2075</v>
      </c>
      <c r="K2177">
        <v>783623</v>
      </c>
      <c r="L2177">
        <v>95223</v>
      </c>
      <c r="M2177">
        <v>-266746</v>
      </c>
      <c r="N2177">
        <v>125389</v>
      </c>
      <c r="O2177" t="s">
        <v>2195</v>
      </c>
      <c r="P2177" s="9">
        <v>283093</v>
      </c>
      <c r="Q2177" s="9">
        <v>32125</v>
      </c>
      <c r="R2177" s="9">
        <v>315218</v>
      </c>
      <c r="S2177" s="9">
        <v>-161390</v>
      </c>
      <c r="T2177" s="10">
        <v>97312</v>
      </c>
      <c r="U2177" s="10">
        <v>2315</v>
      </c>
    </row>
    <row r="2178" spans="1:21" x14ac:dyDescent="0.35">
      <c r="A2178" t="s">
        <v>15</v>
      </c>
      <c r="B2178" t="s">
        <v>20</v>
      </c>
      <c r="C2178" t="s">
        <v>21</v>
      </c>
      <c r="D2178">
        <v>156976</v>
      </c>
      <c r="E2178">
        <v>23261</v>
      </c>
      <c r="F2178">
        <v>37510</v>
      </c>
      <c r="G2178">
        <v>-139170</v>
      </c>
      <c r="H2178">
        <v>78577</v>
      </c>
      <c r="I2178">
        <v>73705</v>
      </c>
      <c r="J2178">
        <v>1582</v>
      </c>
      <c r="K2178">
        <v>477426</v>
      </c>
      <c r="L2178">
        <v>63798</v>
      </c>
      <c r="M2178">
        <v>-180828</v>
      </c>
      <c r="N2178">
        <v>57823</v>
      </c>
      <c r="O2178" t="s">
        <v>2196</v>
      </c>
      <c r="P2178" s="9">
        <v>282994</v>
      </c>
      <c r="Q2178" s="9">
        <v>22099</v>
      </c>
      <c r="R2178" s="9">
        <v>305093</v>
      </c>
      <c r="S2178" s="9">
        <v>-116521</v>
      </c>
      <c r="T2178" s="10">
        <v>89591</v>
      </c>
      <c r="U2178" s="10">
        <v>2398</v>
      </c>
    </row>
    <row r="2179" spans="1:21" x14ac:dyDescent="0.35">
      <c r="A2179" t="s">
        <v>15</v>
      </c>
      <c r="B2179" t="s">
        <v>16</v>
      </c>
      <c r="C2179" t="s">
        <v>21</v>
      </c>
      <c r="D2179">
        <v>211567</v>
      </c>
      <c r="E2179">
        <v>28178</v>
      </c>
      <c r="F2179">
        <v>40771</v>
      </c>
      <c r="G2179">
        <v>-172456</v>
      </c>
      <c r="H2179">
        <v>108060</v>
      </c>
      <c r="I2179">
        <v>112202</v>
      </c>
      <c r="J2179">
        <v>3018</v>
      </c>
      <c r="K2179">
        <v>454905</v>
      </c>
      <c r="L2179">
        <v>111082</v>
      </c>
      <c r="M2179">
        <v>-73819</v>
      </c>
      <c r="N2179">
        <v>120834</v>
      </c>
      <c r="O2179" t="s">
        <v>2197</v>
      </c>
      <c r="P2179" s="9">
        <v>173703</v>
      </c>
      <c r="Q2179" s="9">
        <v>9261</v>
      </c>
      <c r="R2179" s="9">
        <v>182964</v>
      </c>
      <c r="S2179" s="9">
        <v>-90298</v>
      </c>
      <c r="T2179" s="10">
        <v>29116</v>
      </c>
      <c r="U2179" s="10">
        <v>445</v>
      </c>
    </row>
    <row r="2180" spans="1:21" x14ac:dyDescent="0.35">
      <c r="A2180" t="s">
        <v>15</v>
      </c>
      <c r="B2180" t="s">
        <v>20</v>
      </c>
      <c r="C2180" t="s">
        <v>17</v>
      </c>
      <c r="D2180">
        <v>164584</v>
      </c>
      <c r="E2180">
        <v>15537</v>
      </c>
      <c r="F2180">
        <v>25593</v>
      </c>
      <c r="G2180">
        <v>-141443</v>
      </c>
      <c r="H2180">
        <v>64271</v>
      </c>
      <c r="I2180">
        <v>64079</v>
      </c>
      <c r="J2180">
        <v>1202</v>
      </c>
      <c r="K2180">
        <v>349383</v>
      </c>
      <c r="L2180">
        <v>99076</v>
      </c>
      <c r="M2180">
        <v>-38461</v>
      </c>
      <c r="N2180">
        <v>102627</v>
      </c>
      <c r="O2180" t="s">
        <v>2198</v>
      </c>
      <c r="P2180" s="9">
        <v>153560</v>
      </c>
      <c r="Q2180" s="9">
        <v>26982</v>
      </c>
      <c r="R2180" s="9">
        <v>180542</v>
      </c>
      <c r="S2180" s="9">
        <v>-84221</v>
      </c>
      <c r="T2180" s="10">
        <v>69416</v>
      </c>
      <c r="U2180" s="10">
        <v>1095</v>
      </c>
    </row>
    <row r="2181" spans="1:21" x14ac:dyDescent="0.35">
      <c r="A2181" t="s">
        <v>15</v>
      </c>
      <c r="B2181" t="s">
        <v>20</v>
      </c>
      <c r="C2181" t="s">
        <v>21</v>
      </c>
      <c r="D2181">
        <v>265326</v>
      </c>
      <c r="E2181">
        <v>41556</v>
      </c>
      <c r="F2181">
        <v>34364</v>
      </c>
      <c r="G2181">
        <v>-228317</v>
      </c>
      <c r="H2181">
        <v>112929</v>
      </c>
      <c r="I2181">
        <v>110078</v>
      </c>
      <c r="J2181">
        <v>1920</v>
      </c>
      <c r="K2181">
        <v>976165</v>
      </c>
      <c r="L2181">
        <v>284953</v>
      </c>
      <c r="M2181">
        <v>-186525</v>
      </c>
      <c r="N2181">
        <v>128613</v>
      </c>
      <c r="O2181" t="s">
        <v>2199</v>
      </c>
      <c r="P2181" s="9">
        <v>297912</v>
      </c>
      <c r="Q2181" s="9">
        <v>22724</v>
      </c>
      <c r="R2181" s="9">
        <v>320636</v>
      </c>
      <c r="S2181" s="9">
        <v>-164885</v>
      </c>
      <c r="T2181" s="10">
        <v>64649</v>
      </c>
      <c r="U2181" s="10">
        <v>1286</v>
      </c>
    </row>
    <row r="2182" spans="1:21" x14ac:dyDescent="0.35">
      <c r="A2182" t="s">
        <v>15</v>
      </c>
      <c r="B2182" t="s">
        <v>20</v>
      </c>
      <c r="C2182" t="s">
        <v>21</v>
      </c>
      <c r="D2182">
        <v>229028</v>
      </c>
      <c r="E2182">
        <v>20618</v>
      </c>
      <c r="F2182">
        <v>37914</v>
      </c>
      <c r="G2182">
        <v>-224591</v>
      </c>
      <c r="H2182">
        <v>62969</v>
      </c>
      <c r="I2182">
        <v>60804</v>
      </c>
      <c r="J2182">
        <v>1213</v>
      </c>
      <c r="K2182">
        <v>849316</v>
      </c>
      <c r="L2182">
        <v>164152</v>
      </c>
      <c r="M2182">
        <v>-191624</v>
      </c>
      <c r="N2182">
        <v>108593</v>
      </c>
      <c r="O2182" t="s">
        <v>2200</v>
      </c>
      <c r="P2182" s="9">
        <v>158423</v>
      </c>
      <c r="Q2182" s="9">
        <v>13536</v>
      </c>
      <c r="R2182" s="9">
        <v>171959</v>
      </c>
      <c r="S2182" s="9">
        <v>-91590</v>
      </c>
      <c r="T2182" s="10">
        <v>51422</v>
      </c>
      <c r="U2182" s="10">
        <v>701</v>
      </c>
    </row>
    <row r="2183" spans="1:21" x14ac:dyDescent="0.35">
      <c r="A2183" t="s">
        <v>15</v>
      </c>
      <c r="B2183" t="s">
        <v>16</v>
      </c>
      <c r="C2183" t="s">
        <v>21</v>
      </c>
      <c r="D2183">
        <v>248630</v>
      </c>
      <c r="E2183">
        <v>48011</v>
      </c>
      <c r="F2183">
        <v>28361</v>
      </c>
      <c r="G2183">
        <v>-240474</v>
      </c>
      <c r="H2183">
        <v>84528</v>
      </c>
      <c r="I2183">
        <v>77134</v>
      </c>
      <c r="J2183">
        <v>1757</v>
      </c>
      <c r="K2183">
        <v>850148</v>
      </c>
      <c r="L2183">
        <v>277421</v>
      </c>
      <c r="M2183">
        <v>-213688</v>
      </c>
      <c r="N2183">
        <v>126620</v>
      </c>
      <c r="O2183" t="s">
        <v>2201</v>
      </c>
      <c r="P2183" s="9">
        <v>191760</v>
      </c>
      <c r="Q2183" s="9">
        <v>17907</v>
      </c>
      <c r="R2183" s="9">
        <v>209667</v>
      </c>
      <c r="S2183" s="9">
        <v>-84253</v>
      </c>
      <c r="T2183" s="10">
        <v>76210</v>
      </c>
      <c r="U2183" s="10">
        <v>939</v>
      </c>
    </row>
    <row r="2184" spans="1:21" x14ac:dyDescent="0.35">
      <c r="A2184" t="s">
        <v>15</v>
      </c>
      <c r="B2184" t="s">
        <v>16</v>
      </c>
      <c r="C2184" t="s">
        <v>21</v>
      </c>
      <c r="D2184">
        <v>246521</v>
      </c>
      <c r="E2184">
        <v>46422</v>
      </c>
      <c r="F2184">
        <v>57097</v>
      </c>
      <c r="G2184">
        <v>-217118</v>
      </c>
      <c r="H2184">
        <v>132922</v>
      </c>
      <c r="I2184">
        <v>131706</v>
      </c>
      <c r="J2184">
        <v>3165</v>
      </c>
      <c r="K2184">
        <v>504281</v>
      </c>
      <c r="L2184">
        <v>216464</v>
      </c>
      <c r="M2184">
        <v>-129239</v>
      </c>
      <c r="N2184">
        <v>154408</v>
      </c>
      <c r="O2184" t="s">
        <v>2202</v>
      </c>
      <c r="P2184" s="9">
        <v>220447</v>
      </c>
      <c r="Q2184" s="9">
        <v>18169</v>
      </c>
      <c r="R2184" s="9">
        <v>238616</v>
      </c>
      <c r="S2184" s="9">
        <v>-134574</v>
      </c>
      <c r="T2184" s="10">
        <v>75927</v>
      </c>
      <c r="U2184" s="10">
        <v>916</v>
      </c>
    </row>
    <row r="2185" spans="1:21" x14ac:dyDescent="0.35">
      <c r="A2185" t="s">
        <v>15</v>
      </c>
      <c r="B2185" t="s">
        <v>20</v>
      </c>
      <c r="C2185" t="s">
        <v>17</v>
      </c>
      <c r="D2185">
        <v>215389</v>
      </c>
      <c r="E2185">
        <v>38960</v>
      </c>
      <c r="F2185">
        <v>48372</v>
      </c>
      <c r="G2185">
        <v>-185397</v>
      </c>
      <c r="H2185">
        <v>117324</v>
      </c>
      <c r="I2185">
        <v>113633</v>
      </c>
      <c r="J2185">
        <v>3209</v>
      </c>
      <c r="K2185">
        <v>669470</v>
      </c>
      <c r="L2185">
        <v>271443</v>
      </c>
      <c r="M2185">
        <v>-203938</v>
      </c>
      <c r="N2185">
        <v>186458</v>
      </c>
      <c r="O2185" t="s">
        <v>2203</v>
      </c>
      <c r="P2185" s="9">
        <v>210619</v>
      </c>
      <c r="Q2185" s="9">
        <v>14666</v>
      </c>
      <c r="R2185" s="9">
        <v>225285</v>
      </c>
      <c r="S2185" s="9">
        <v>-89944</v>
      </c>
      <c r="T2185" s="10">
        <v>76291</v>
      </c>
      <c r="U2185" s="10">
        <v>1665</v>
      </c>
    </row>
    <row r="2186" spans="1:21" x14ac:dyDescent="0.35">
      <c r="A2186" t="s">
        <v>15</v>
      </c>
      <c r="B2186" t="s">
        <v>16</v>
      </c>
      <c r="C2186" t="s">
        <v>21</v>
      </c>
      <c r="D2186">
        <v>208915</v>
      </c>
      <c r="E2186">
        <v>29497</v>
      </c>
      <c r="F2186">
        <v>25336</v>
      </c>
      <c r="G2186">
        <v>-170330</v>
      </c>
      <c r="H2186">
        <v>93418</v>
      </c>
      <c r="I2186">
        <v>95809</v>
      </c>
      <c r="J2186">
        <v>1103</v>
      </c>
      <c r="K2186">
        <v>635517</v>
      </c>
      <c r="L2186">
        <v>286977</v>
      </c>
      <c r="M2186">
        <v>-205721</v>
      </c>
      <c r="N2186">
        <v>86892</v>
      </c>
      <c r="O2186" t="s">
        <v>2204</v>
      </c>
      <c r="P2186" s="9">
        <v>194400</v>
      </c>
      <c r="Q2186" s="9">
        <v>15749</v>
      </c>
      <c r="R2186" s="9">
        <v>210149</v>
      </c>
      <c r="S2186" s="9">
        <v>-75640</v>
      </c>
      <c r="T2186" s="10">
        <v>38372</v>
      </c>
      <c r="U2186" s="10">
        <v>808</v>
      </c>
    </row>
    <row r="2187" spans="1:21" x14ac:dyDescent="0.35">
      <c r="A2187" t="s">
        <v>15</v>
      </c>
      <c r="B2187" t="s">
        <v>16</v>
      </c>
      <c r="C2187" t="s">
        <v>21</v>
      </c>
      <c r="D2187">
        <v>242164</v>
      </c>
      <c r="E2187">
        <v>30059</v>
      </c>
      <c r="F2187">
        <v>53982</v>
      </c>
      <c r="G2187">
        <v>-209827</v>
      </c>
      <c r="H2187">
        <v>116378</v>
      </c>
      <c r="I2187">
        <v>119266</v>
      </c>
      <c r="J2187">
        <v>2800</v>
      </c>
      <c r="K2187">
        <v>932232</v>
      </c>
      <c r="L2187">
        <v>267696</v>
      </c>
      <c r="M2187">
        <v>-127672</v>
      </c>
      <c r="N2187">
        <v>187203</v>
      </c>
      <c r="O2187" t="s">
        <v>2205</v>
      </c>
      <c r="P2187" s="9">
        <v>231888</v>
      </c>
      <c r="Q2187" s="9">
        <v>27916</v>
      </c>
      <c r="R2187" s="9">
        <v>259804</v>
      </c>
      <c r="S2187" s="9">
        <v>-65728</v>
      </c>
      <c r="T2187" s="10">
        <v>122336</v>
      </c>
      <c r="U2187" s="10">
        <v>1795</v>
      </c>
    </row>
    <row r="2188" spans="1:21" x14ac:dyDescent="0.35">
      <c r="A2188" t="s">
        <v>15</v>
      </c>
      <c r="B2188" t="s">
        <v>20</v>
      </c>
      <c r="C2188" t="s">
        <v>21</v>
      </c>
      <c r="D2188">
        <v>152856</v>
      </c>
      <c r="E2188">
        <v>27942</v>
      </c>
      <c r="F2188">
        <v>32312</v>
      </c>
      <c r="G2188">
        <v>-128705</v>
      </c>
      <c r="H2188">
        <v>84405</v>
      </c>
      <c r="I2188">
        <v>81784</v>
      </c>
      <c r="J2188">
        <v>1446</v>
      </c>
      <c r="K2188">
        <v>517102</v>
      </c>
      <c r="L2188">
        <v>224233</v>
      </c>
      <c r="M2188">
        <v>-131928</v>
      </c>
      <c r="N2188">
        <v>78165</v>
      </c>
      <c r="O2188" t="s">
        <v>2206</v>
      </c>
      <c r="P2188" s="9">
        <v>237458</v>
      </c>
      <c r="Q2188" s="9">
        <v>42432</v>
      </c>
      <c r="R2188" s="9">
        <v>279890</v>
      </c>
      <c r="S2188" s="9">
        <v>-62011</v>
      </c>
      <c r="T2188" s="10">
        <v>112745</v>
      </c>
      <c r="U2188" s="10">
        <v>2159</v>
      </c>
    </row>
    <row r="2189" spans="1:21" x14ac:dyDescent="0.35">
      <c r="A2189" t="s">
        <v>15</v>
      </c>
      <c r="B2189" t="s">
        <v>20</v>
      </c>
      <c r="C2189" t="s">
        <v>21</v>
      </c>
      <c r="D2189">
        <v>282332</v>
      </c>
      <c r="E2189">
        <v>35302</v>
      </c>
      <c r="F2189">
        <v>67322</v>
      </c>
      <c r="G2189">
        <v>-256911</v>
      </c>
      <c r="H2189">
        <v>128045</v>
      </c>
      <c r="I2189">
        <v>131558</v>
      </c>
      <c r="J2189">
        <v>3619</v>
      </c>
      <c r="K2189">
        <v>639125</v>
      </c>
      <c r="L2189">
        <v>156361</v>
      </c>
      <c r="M2189">
        <v>-80596</v>
      </c>
      <c r="N2189">
        <v>213102</v>
      </c>
      <c r="O2189" t="s">
        <v>2207</v>
      </c>
      <c r="P2189" s="9">
        <v>224344</v>
      </c>
      <c r="Q2189" s="9">
        <v>43884</v>
      </c>
      <c r="R2189" s="9">
        <v>268228</v>
      </c>
      <c r="S2189" s="9">
        <v>-153554</v>
      </c>
      <c r="T2189" s="10">
        <v>126854</v>
      </c>
      <c r="U2189" s="10">
        <v>3510</v>
      </c>
    </row>
    <row r="2190" spans="1:21" x14ac:dyDescent="0.35">
      <c r="A2190" t="s">
        <v>15</v>
      </c>
      <c r="B2190" t="s">
        <v>20</v>
      </c>
      <c r="C2190" t="s">
        <v>21</v>
      </c>
      <c r="D2190">
        <v>248115</v>
      </c>
      <c r="E2190">
        <v>32809</v>
      </c>
      <c r="F2190">
        <v>52406</v>
      </c>
      <c r="G2190">
        <v>-225945</v>
      </c>
      <c r="H2190">
        <v>107385</v>
      </c>
      <c r="I2190">
        <v>101711</v>
      </c>
      <c r="J2190">
        <v>2536</v>
      </c>
      <c r="K2190">
        <v>963101</v>
      </c>
      <c r="L2190">
        <v>327815</v>
      </c>
      <c r="M2190">
        <v>-261629</v>
      </c>
      <c r="N2190">
        <v>78888</v>
      </c>
      <c r="O2190" t="s">
        <v>2208</v>
      </c>
      <c r="P2190" s="9">
        <v>169517</v>
      </c>
      <c r="Q2190" s="9">
        <v>16930</v>
      </c>
      <c r="R2190" s="9">
        <v>186447</v>
      </c>
      <c r="S2190" s="9">
        <v>-71540</v>
      </c>
      <c r="T2190" s="10">
        <v>75620</v>
      </c>
      <c r="U2190" s="10">
        <v>1327</v>
      </c>
    </row>
    <row r="2191" spans="1:21" x14ac:dyDescent="0.35">
      <c r="A2191" t="s">
        <v>15</v>
      </c>
      <c r="B2191" t="s">
        <v>16</v>
      </c>
      <c r="C2191" t="s">
        <v>21</v>
      </c>
      <c r="D2191">
        <v>212721</v>
      </c>
      <c r="E2191">
        <v>18690</v>
      </c>
      <c r="F2191">
        <v>43937</v>
      </c>
      <c r="G2191">
        <v>-198377</v>
      </c>
      <c r="H2191">
        <v>76971</v>
      </c>
      <c r="I2191">
        <v>76956</v>
      </c>
      <c r="J2191">
        <v>1216</v>
      </c>
      <c r="K2191">
        <v>806772</v>
      </c>
      <c r="L2191">
        <v>302659</v>
      </c>
      <c r="M2191">
        <v>-198501</v>
      </c>
      <c r="N2191">
        <v>84715</v>
      </c>
      <c r="O2191" t="s">
        <v>2209</v>
      </c>
      <c r="P2191" s="9">
        <v>293162</v>
      </c>
      <c r="Q2191" s="9">
        <v>15051</v>
      </c>
      <c r="R2191" s="9">
        <v>308213</v>
      </c>
      <c r="S2191" s="9">
        <v>-144409</v>
      </c>
      <c r="T2191" s="10">
        <v>67564</v>
      </c>
      <c r="U2191" s="10">
        <v>1239</v>
      </c>
    </row>
    <row r="2192" spans="1:21" x14ac:dyDescent="0.35">
      <c r="A2192" t="s">
        <v>15</v>
      </c>
      <c r="B2192" t="s">
        <v>16</v>
      </c>
      <c r="C2192" t="s">
        <v>17</v>
      </c>
      <c r="D2192">
        <v>229419</v>
      </c>
      <c r="E2192">
        <v>42722</v>
      </c>
      <c r="F2192">
        <v>51168</v>
      </c>
      <c r="G2192">
        <v>-220290</v>
      </c>
      <c r="H2192">
        <v>103019</v>
      </c>
      <c r="I2192">
        <v>100059</v>
      </c>
      <c r="J2192">
        <v>2745</v>
      </c>
      <c r="K2192">
        <v>703929</v>
      </c>
      <c r="L2192">
        <v>342218</v>
      </c>
      <c r="M2192">
        <v>-138040</v>
      </c>
      <c r="N2192">
        <v>110962</v>
      </c>
      <c r="O2192" t="s">
        <v>2210</v>
      </c>
      <c r="P2192" s="9">
        <v>296458</v>
      </c>
      <c r="Q2192" s="9">
        <v>51043</v>
      </c>
      <c r="R2192" s="9">
        <v>347501</v>
      </c>
      <c r="S2192" s="9">
        <v>-201549</v>
      </c>
      <c r="T2192" s="10">
        <v>109021</v>
      </c>
      <c r="U2192" s="10">
        <v>1447</v>
      </c>
    </row>
    <row r="2193" spans="1:21" x14ac:dyDescent="0.35">
      <c r="A2193" t="s">
        <v>15</v>
      </c>
      <c r="B2193" t="s">
        <v>20</v>
      </c>
      <c r="C2193" t="s">
        <v>21</v>
      </c>
      <c r="D2193">
        <v>264957</v>
      </c>
      <c r="E2193">
        <v>46017</v>
      </c>
      <c r="F2193">
        <v>33967</v>
      </c>
      <c r="G2193">
        <v>-242069</v>
      </c>
      <c r="H2193">
        <v>102872</v>
      </c>
      <c r="I2193">
        <v>99341</v>
      </c>
      <c r="J2193">
        <v>1608</v>
      </c>
      <c r="K2193">
        <v>975902</v>
      </c>
      <c r="L2193">
        <v>415826</v>
      </c>
      <c r="M2193">
        <v>-152588</v>
      </c>
      <c r="N2193">
        <v>144005</v>
      </c>
      <c r="O2193" t="s">
        <v>2211</v>
      </c>
      <c r="P2193" s="9">
        <v>272403</v>
      </c>
      <c r="Q2193" s="9">
        <v>24600</v>
      </c>
      <c r="R2193" s="9">
        <v>297003</v>
      </c>
      <c r="S2193" s="9">
        <v>-150125</v>
      </c>
      <c r="T2193" s="10">
        <v>82095</v>
      </c>
      <c r="U2193" s="10">
        <v>1362</v>
      </c>
    </row>
    <row r="2194" spans="1:21" x14ac:dyDescent="0.35">
      <c r="A2194" t="s">
        <v>15</v>
      </c>
      <c r="B2194" t="s">
        <v>16</v>
      </c>
      <c r="C2194" t="s">
        <v>17</v>
      </c>
      <c r="D2194">
        <v>282900</v>
      </c>
      <c r="E2194">
        <v>37820</v>
      </c>
      <c r="F2194">
        <v>39383</v>
      </c>
      <c r="G2194">
        <v>-275737</v>
      </c>
      <c r="H2194">
        <v>84366</v>
      </c>
      <c r="I2194">
        <v>87581</v>
      </c>
      <c r="J2194">
        <v>1598</v>
      </c>
      <c r="K2194">
        <v>643706</v>
      </c>
      <c r="L2194">
        <v>287354</v>
      </c>
      <c r="M2194">
        <v>-142570</v>
      </c>
      <c r="N2194">
        <v>220380</v>
      </c>
      <c r="O2194" t="s">
        <v>2212</v>
      </c>
      <c r="P2194" s="9">
        <v>208835</v>
      </c>
      <c r="Q2194" s="9">
        <v>38111</v>
      </c>
      <c r="R2194" s="9">
        <v>246946</v>
      </c>
      <c r="S2194" s="9">
        <v>-67582</v>
      </c>
      <c r="T2194" s="10">
        <v>105955</v>
      </c>
      <c r="U2194" s="10">
        <v>1074</v>
      </c>
    </row>
    <row r="2195" spans="1:21" x14ac:dyDescent="0.35">
      <c r="A2195" t="s">
        <v>15</v>
      </c>
      <c r="B2195" t="s">
        <v>16</v>
      </c>
      <c r="C2195" t="s">
        <v>21</v>
      </c>
      <c r="D2195">
        <v>222600</v>
      </c>
      <c r="E2195">
        <v>13081</v>
      </c>
      <c r="F2195">
        <v>51871</v>
      </c>
      <c r="G2195">
        <v>-186252</v>
      </c>
      <c r="H2195">
        <v>101300</v>
      </c>
      <c r="I2195">
        <v>96405</v>
      </c>
      <c r="J2195">
        <v>2223</v>
      </c>
      <c r="K2195">
        <v>628311</v>
      </c>
      <c r="L2195">
        <v>249764</v>
      </c>
      <c r="M2195">
        <v>-244371</v>
      </c>
      <c r="N2195">
        <v>93011</v>
      </c>
      <c r="O2195" t="s">
        <v>2213</v>
      </c>
      <c r="P2195" s="9">
        <v>164502</v>
      </c>
      <c r="Q2195" s="9">
        <v>31265</v>
      </c>
      <c r="R2195" s="9">
        <v>195767</v>
      </c>
      <c r="S2195" s="9">
        <v>-96532</v>
      </c>
      <c r="T2195" s="10">
        <v>70681</v>
      </c>
      <c r="U2195" s="10">
        <v>749</v>
      </c>
    </row>
    <row r="2196" spans="1:21" x14ac:dyDescent="0.35">
      <c r="A2196" t="s">
        <v>15</v>
      </c>
      <c r="B2196" t="s">
        <v>16</v>
      </c>
      <c r="C2196" t="s">
        <v>21</v>
      </c>
      <c r="D2196">
        <v>226887</v>
      </c>
      <c r="E2196">
        <v>29070</v>
      </c>
      <c r="F2196">
        <v>46790</v>
      </c>
      <c r="G2196">
        <v>-199162</v>
      </c>
      <c r="H2196">
        <v>103585</v>
      </c>
      <c r="I2196">
        <v>94907</v>
      </c>
      <c r="J2196">
        <v>1424</v>
      </c>
      <c r="K2196">
        <v>771832</v>
      </c>
      <c r="L2196">
        <v>226506</v>
      </c>
      <c r="M2196">
        <v>-189271</v>
      </c>
      <c r="N2196">
        <v>85605</v>
      </c>
      <c r="O2196" t="s">
        <v>2214</v>
      </c>
      <c r="P2196" s="9">
        <v>301939</v>
      </c>
      <c r="Q2196" s="9">
        <v>31069</v>
      </c>
      <c r="R2196" s="9">
        <v>333008</v>
      </c>
      <c r="S2196" s="9">
        <v>-81228</v>
      </c>
      <c r="T2196" s="10">
        <v>134234</v>
      </c>
      <c r="U2196" s="10">
        <v>3023</v>
      </c>
    </row>
    <row r="2197" spans="1:21" x14ac:dyDescent="0.35">
      <c r="A2197" t="s">
        <v>15</v>
      </c>
      <c r="B2197" t="s">
        <v>20</v>
      </c>
      <c r="C2197" t="s">
        <v>17</v>
      </c>
      <c r="D2197">
        <v>197455</v>
      </c>
      <c r="E2197">
        <v>34961</v>
      </c>
      <c r="F2197">
        <v>26527</v>
      </c>
      <c r="G2197">
        <v>-189647</v>
      </c>
      <c r="H2197">
        <v>69296</v>
      </c>
      <c r="I2197">
        <v>68641</v>
      </c>
      <c r="J2197">
        <v>1219</v>
      </c>
      <c r="K2197">
        <v>418837</v>
      </c>
      <c r="L2197">
        <v>170073</v>
      </c>
      <c r="M2197">
        <v>-128142</v>
      </c>
      <c r="N2197">
        <v>119087</v>
      </c>
      <c r="O2197" t="s">
        <v>2215</v>
      </c>
      <c r="P2197" s="9">
        <v>234088</v>
      </c>
      <c r="Q2197" s="9">
        <v>17143</v>
      </c>
      <c r="R2197" s="9">
        <v>251231</v>
      </c>
      <c r="S2197" s="9">
        <v>-61460</v>
      </c>
      <c r="T2197" s="10">
        <v>82501</v>
      </c>
      <c r="U2197" s="10">
        <v>2139</v>
      </c>
    </row>
    <row r="2198" spans="1:21" x14ac:dyDescent="0.35">
      <c r="A2198" t="s">
        <v>15</v>
      </c>
      <c r="B2198" t="s">
        <v>16</v>
      </c>
      <c r="C2198" t="s">
        <v>21</v>
      </c>
      <c r="D2198">
        <v>211676</v>
      </c>
      <c r="E2198">
        <v>41581</v>
      </c>
      <c r="F2198">
        <v>50638</v>
      </c>
      <c r="G2198">
        <v>-191928</v>
      </c>
      <c r="H2198">
        <v>111967</v>
      </c>
      <c r="I2198">
        <v>105736</v>
      </c>
      <c r="J2198">
        <v>1223</v>
      </c>
      <c r="K2198">
        <v>561768</v>
      </c>
      <c r="L2198">
        <v>223922</v>
      </c>
      <c r="M2198">
        <v>-109172</v>
      </c>
      <c r="N2198">
        <v>186452</v>
      </c>
      <c r="O2198" t="s">
        <v>2216</v>
      </c>
      <c r="P2198" s="9">
        <v>235651</v>
      </c>
      <c r="Q2198" s="9">
        <v>43529</v>
      </c>
      <c r="R2198" s="9">
        <v>279180</v>
      </c>
      <c r="S2198" s="9">
        <v>-100117</v>
      </c>
      <c r="T2198" s="10">
        <v>113573</v>
      </c>
      <c r="U2198" s="10">
        <v>1508</v>
      </c>
    </row>
    <row r="2199" spans="1:21" x14ac:dyDescent="0.35">
      <c r="A2199" t="s">
        <v>15</v>
      </c>
      <c r="B2199" t="s">
        <v>16</v>
      </c>
      <c r="C2199" t="s">
        <v>21</v>
      </c>
      <c r="D2199">
        <v>162616</v>
      </c>
      <c r="E2199">
        <v>31508</v>
      </c>
      <c r="F2199">
        <v>29809</v>
      </c>
      <c r="G2199">
        <v>-130495</v>
      </c>
      <c r="H2199">
        <v>93438</v>
      </c>
      <c r="I2199">
        <v>84796</v>
      </c>
      <c r="J2199">
        <v>1335</v>
      </c>
      <c r="K2199">
        <v>601846</v>
      </c>
      <c r="L2199">
        <v>243932</v>
      </c>
      <c r="M2199">
        <v>-152896</v>
      </c>
      <c r="N2199">
        <v>71842</v>
      </c>
      <c r="O2199" t="s">
        <v>2217</v>
      </c>
      <c r="P2199" s="9">
        <v>202310</v>
      </c>
      <c r="Q2199" s="9">
        <v>28394</v>
      </c>
      <c r="R2199" s="9">
        <v>230704</v>
      </c>
      <c r="S2199" s="9">
        <v>-83531</v>
      </c>
      <c r="T2199" s="10">
        <v>62271</v>
      </c>
      <c r="U2199" s="10">
        <v>635</v>
      </c>
    </row>
    <row r="2200" spans="1:21" x14ac:dyDescent="0.35">
      <c r="A2200" t="s">
        <v>15</v>
      </c>
      <c r="B2200" t="s">
        <v>20</v>
      </c>
      <c r="C2200" t="s">
        <v>21</v>
      </c>
      <c r="D2200">
        <v>193382</v>
      </c>
      <c r="E2200">
        <v>25252</v>
      </c>
      <c r="F2200">
        <v>39067</v>
      </c>
      <c r="G2200">
        <v>-163485</v>
      </c>
      <c r="H2200">
        <v>94216</v>
      </c>
      <c r="I2200">
        <v>88175</v>
      </c>
      <c r="J2200">
        <v>2164</v>
      </c>
      <c r="K2200">
        <v>666582</v>
      </c>
      <c r="L2200">
        <v>202364</v>
      </c>
      <c r="M2200">
        <v>-220938</v>
      </c>
      <c r="N2200">
        <v>85573</v>
      </c>
      <c r="O2200" t="s">
        <v>2218</v>
      </c>
      <c r="P2200" s="9">
        <v>284685</v>
      </c>
      <c r="Q2200" s="9">
        <v>44887</v>
      </c>
      <c r="R2200" s="9">
        <v>329572</v>
      </c>
      <c r="S2200" s="9">
        <v>-157148</v>
      </c>
      <c r="T2200" s="10">
        <v>141760</v>
      </c>
      <c r="U2200" s="10">
        <v>3553</v>
      </c>
    </row>
    <row r="2201" spans="1:21" x14ac:dyDescent="0.35">
      <c r="A2201" t="s">
        <v>15</v>
      </c>
      <c r="B2201" t="s">
        <v>20</v>
      </c>
      <c r="C2201" t="s">
        <v>21</v>
      </c>
      <c r="D2201">
        <v>286736</v>
      </c>
      <c r="E2201">
        <v>36496</v>
      </c>
      <c r="F2201">
        <v>68012</v>
      </c>
      <c r="G2201">
        <v>-237980</v>
      </c>
      <c r="H2201">
        <v>153264</v>
      </c>
      <c r="I2201">
        <v>139602</v>
      </c>
      <c r="J2201">
        <v>2151</v>
      </c>
      <c r="K2201">
        <v>1070886</v>
      </c>
      <c r="L2201">
        <v>477784</v>
      </c>
      <c r="M2201">
        <v>-209579</v>
      </c>
      <c r="N2201">
        <v>93676</v>
      </c>
      <c r="O2201" t="s">
        <v>2219</v>
      </c>
      <c r="P2201" s="9">
        <v>241784</v>
      </c>
      <c r="Q2201" s="9">
        <v>33229</v>
      </c>
      <c r="R2201" s="9">
        <v>275013</v>
      </c>
      <c r="S2201" s="9">
        <v>-141068</v>
      </c>
      <c r="T2201" s="10">
        <v>105344</v>
      </c>
      <c r="U2201" s="10">
        <v>2383</v>
      </c>
    </row>
    <row r="2202" spans="1:21" x14ac:dyDescent="0.35">
      <c r="A2202" t="s">
        <v>15</v>
      </c>
      <c r="B2202" t="s">
        <v>20</v>
      </c>
      <c r="C2202" t="s">
        <v>17</v>
      </c>
      <c r="D2202">
        <v>228484</v>
      </c>
      <c r="E2202">
        <v>19264</v>
      </c>
      <c r="F2202">
        <v>42230</v>
      </c>
      <c r="G2202">
        <v>-202021</v>
      </c>
      <c r="H2202">
        <v>87957</v>
      </c>
      <c r="I2202">
        <v>83541</v>
      </c>
      <c r="J2202">
        <v>2438</v>
      </c>
      <c r="K2202">
        <v>747795</v>
      </c>
      <c r="L2202">
        <v>239865</v>
      </c>
      <c r="M2202">
        <v>-212037</v>
      </c>
      <c r="N2202">
        <v>174585</v>
      </c>
      <c r="O2202" t="s">
        <v>2220</v>
      </c>
      <c r="P2202" s="9">
        <v>257605</v>
      </c>
      <c r="Q2202" s="9">
        <v>15308</v>
      </c>
      <c r="R2202" s="9">
        <v>272913</v>
      </c>
      <c r="S2202" s="9">
        <v>-97517</v>
      </c>
      <c r="T2202" s="10">
        <v>97386</v>
      </c>
      <c r="U2202" s="10">
        <v>2403</v>
      </c>
    </row>
    <row r="2203" spans="1:21" x14ac:dyDescent="0.35">
      <c r="A2203" t="s">
        <v>15</v>
      </c>
      <c r="B2203" t="s">
        <v>20</v>
      </c>
      <c r="C2203" t="s">
        <v>21</v>
      </c>
      <c r="D2203">
        <v>249734</v>
      </c>
      <c r="E2203">
        <v>14334</v>
      </c>
      <c r="F2203">
        <v>44865</v>
      </c>
      <c r="G2203">
        <v>-239968</v>
      </c>
      <c r="H2203">
        <v>68965</v>
      </c>
      <c r="I2203">
        <v>68976</v>
      </c>
      <c r="J2203">
        <v>951</v>
      </c>
      <c r="K2203">
        <v>757921</v>
      </c>
      <c r="L2203">
        <v>328394</v>
      </c>
      <c r="M2203">
        <v>-245651</v>
      </c>
      <c r="N2203">
        <v>142029</v>
      </c>
      <c r="O2203" t="s">
        <v>2221</v>
      </c>
      <c r="P2203" s="9">
        <v>305255</v>
      </c>
      <c r="Q2203" s="9">
        <v>57482</v>
      </c>
      <c r="R2203" s="9">
        <v>362737</v>
      </c>
      <c r="S2203" s="9">
        <v>-85976</v>
      </c>
      <c r="T2203" s="10">
        <v>148363</v>
      </c>
      <c r="U2203" s="10">
        <v>2302</v>
      </c>
    </row>
    <row r="2204" spans="1:21" x14ac:dyDescent="0.35">
      <c r="A2204" t="s">
        <v>15</v>
      </c>
      <c r="B2204" t="s">
        <v>20</v>
      </c>
      <c r="C2204" t="s">
        <v>17</v>
      </c>
      <c r="D2204">
        <v>194287</v>
      </c>
      <c r="E2204">
        <v>25144</v>
      </c>
      <c r="F2204">
        <v>30263</v>
      </c>
      <c r="G2204">
        <v>-178558</v>
      </c>
      <c r="H2204">
        <v>71136</v>
      </c>
      <c r="I2204">
        <v>66046</v>
      </c>
      <c r="J2204">
        <v>1653</v>
      </c>
      <c r="K2204">
        <v>444507</v>
      </c>
      <c r="L2204">
        <v>89904</v>
      </c>
      <c r="M2204">
        <v>-95816</v>
      </c>
      <c r="N2204">
        <v>121403</v>
      </c>
      <c r="O2204" t="s">
        <v>2222</v>
      </c>
      <c r="P2204" s="9">
        <v>223708</v>
      </c>
      <c r="Q2204" s="9">
        <v>24572</v>
      </c>
      <c r="R2204" s="9">
        <v>248280</v>
      </c>
      <c r="S2204" s="9">
        <v>-140353</v>
      </c>
      <c r="T2204" s="10">
        <v>105389</v>
      </c>
      <c r="U2204" s="10">
        <v>2477</v>
      </c>
    </row>
    <row r="2205" spans="1:21" x14ac:dyDescent="0.35">
      <c r="A2205" t="s">
        <v>15</v>
      </c>
      <c r="B2205" t="s">
        <v>20</v>
      </c>
      <c r="C2205" t="s">
        <v>21</v>
      </c>
      <c r="D2205">
        <v>283870</v>
      </c>
      <c r="E2205">
        <v>25548</v>
      </c>
      <c r="F2205">
        <v>38401</v>
      </c>
      <c r="G2205">
        <v>-265373</v>
      </c>
      <c r="H2205">
        <v>82446</v>
      </c>
      <c r="I2205">
        <v>82736</v>
      </c>
      <c r="J2205">
        <v>1835</v>
      </c>
      <c r="K2205">
        <v>1051659</v>
      </c>
      <c r="L2205">
        <v>397292</v>
      </c>
      <c r="M2205">
        <v>-206613</v>
      </c>
      <c r="N2205">
        <v>87745</v>
      </c>
      <c r="O2205" t="s">
        <v>2223</v>
      </c>
      <c r="P2205" s="9">
        <v>159295</v>
      </c>
      <c r="Q2205" s="9">
        <v>8955</v>
      </c>
      <c r="R2205" s="9">
        <v>168250</v>
      </c>
      <c r="S2205" s="9">
        <v>-76683</v>
      </c>
      <c r="T2205" s="10">
        <v>32922</v>
      </c>
      <c r="U2205" s="10">
        <v>679</v>
      </c>
    </row>
    <row r="2206" spans="1:21" x14ac:dyDescent="0.35">
      <c r="A2206" t="s">
        <v>15</v>
      </c>
      <c r="B2206" t="s">
        <v>16</v>
      </c>
      <c r="C2206" t="s">
        <v>17</v>
      </c>
      <c r="D2206">
        <v>192972</v>
      </c>
      <c r="E2206">
        <v>21057</v>
      </c>
      <c r="F2206">
        <v>38060</v>
      </c>
      <c r="G2206">
        <v>-183361</v>
      </c>
      <c r="H2206">
        <v>68728</v>
      </c>
      <c r="I2206">
        <v>62363</v>
      </c>
      <c r="J2206">
        <v>1057</v>
      </c>
      <c r="K2206">
        <v>510916</v>
      </c>
      <c r="L2206">
        <v>245687</v>
      </c>
      <c r="M2206">
        <v>-152228</v>
      </c>
      <c r="N2206">
        <v>114401</v>
      </c>
      <c r="O2206" t="s">
        <v>2224</v>
      </c>
      <c r="P2206" s="9">
        <v>231510</v>
      </c>
      <c r="Q2206" s="9">
        <v>35476</v>
      </c>
      <c r="R2206" s="9">
        <v>266986</v>
      </c>
      <c r="S2206" s="9">
        <v>-68369</v>
      </c>
      <c r="T2206" s="10">
        <v>81214</v>
      </c>
      <c r="U2206" s="10">
        <v>1052</v>
      </c>
    </row>
    <row r="2207" spans="1:21" x14ac:dyDescent="0.35">
      <c r="A2207" t="s">
        <v>15</v>
      </c>
      <c r="B2207" t="s">
        <v>16</v>
      </c>
      <c r="C2207" t="s">
        <v>21</v>
      </c>
      <c r="D2207">
        <v>268010</v>
      </c>
      <c r="E2207">
        <v>21300</v>
      </c>
      <c r="F2207">
        <v>61969</v>
      </c>
      <c r="G2207">
        <v>-246073</v>
      </c>
      <c r="H2207">
        <v>105206</v>
      </c>
      <c r="I2207">
        <v>98619</v>
      </c>
      <c r="J2207">
        <v>1895</v>
      </c>
      <c r="K2207">
        <v>914625</v>
      </c>
      <c r="L2207">
        <v>119316</v>
      </c>
      <c r="M2207">
        <v>-277885</v>
      </c>
      <c r="N2207">
        <v>134865</v>
      </c>
      <c r="O2207" t="s">
        <v>2225</v>
      </c>
      <c r="P2207" s="9">
        <v>254632</v>
      </c>
      <c r="Q2207" s="9">
        <v>51398</v>
      </c>
      <c r="R2207" s="9">
        <v>306030</v>
      </c>
      <c r="S2207" s="9">
        <v>-71215</v>
      </c>
      <c r="T2207" s="10">
        <v>114707</v>
      </c>
      <c r="U2207" s="10">
        <v>2805</v>
      </c>
    </row>
    <row r="2208" spans="1:21" x14ac:dyDescent="0.35">
      <c r="A2208" t="s">
        <v>15</v>
      </c>
      <c r="B2208" t="s">
        <v>16</v>
      </c>
      <c r="C2208" t="s">
        <v>21</v>
      </c>
      <c r="D2208">
        <v>218211</v>
      </c>
      <c r="E2208">
        <v>34758</v>
      </c>
      <c r="F2208">
        <v>34169</v>
      </c>
      <c r="G2208">
        <v>-194997</v>
      </c>
      <c r="H2208">
        <v>92141</v>
      </c>
      <c r="I2208">
        <v>95169</v>
      </c>
      <c r="J2208">
        <v>2269</v>
      </c>
      <c r="K2208">
        <v>775561</v>
      </c>
      <c r="L2208">
        <v>287054</v>
      </c>
      <c r="M2208">
        <v>-270629</v>
      </c>
      <c r="N2208">
        <v>190483</v>
      </c>
      <c r="O2208" t="s">
        <v>2226</v>
      </c>
      <c r="P2208" s="9">
        <v>244492</v>
      </c>
      <c r="Q2208" s="9">
        <v>18372</v>
      </c>
      <c r="R2208" s="9">
        <v>262864</v>
      </c>
      <c r="S2208" s="9">
        <v>-81060</v>
      </c>
      <c r="T2208" s="10">
        <v>93901</v>
      </c>
      <c r="U2208" s="10">
        <v>1154</v>
      </c>
    </row>
    <row r="2209" spans="1:21" x14ac:dyDescent="0.35">
      <c r="A2209" t="s">
        <v>15</v>
      </c>
      <c r="B2209" t="s">
        <v>16</v>
      </c>
      <c r="C2209" t="s">
        <v>17</v>
      </c>
      <c r="D2209">
        <v>257444</v>
      </c>
      <c r="E2209">
        <v>47977</v>
      </c>
      <c r="F2209">
        <v>34254</v>
      </c>
      <c r="G2209">
        <v>-245551</v>
      </c>
      <c r="H2209">
        <v>94124</v>
      </c>
      <c r="I2209">
        <v>84928</v>
      </c>
      <c r="J2209">
        <v>1820</v>
      </c>
      <c r="K2209">
        <v>682675</v>
      </c>
      <c r="L2209">
        <v>308418</v>
      </c>
      <c r="M2209">
        <v>-230983</v>
      </c>
      <c r="N2209">
        <v>100802</v>
      </c>
      <c r="O2209" t="s">
        <v>2227</v>
      </c>
      <c r="P2209" s="9">
        <v>226370</v>
      </c>
      <c r="Q2209" s="9">
        <v>21569</v>
      </c>
      <c r="R2209" s="9">
        <v>247939</v>
      </c>
      <c r="S2209" s="9">
        <v>-125916</v>
      </c>
      <c r="T2209" s="10">
        <v>74939</v>
      </c>
      <c r="U2209" s="10">
        <v>1105</v>
      </c>
    </row>
    <row r="2210" spans="1:21" x14ac:dyDescent="0.35">
      <c r="A2210" t="s">
        <v>15</v>
      </c>
      <c r="B2210" t="s">
        <v>16</v>
      </c>
      <c r="C2210" t="s">
        <v>21</v>
      </c>
      <c r="D2210">
        <v>166620</v>
      </c>
      <c r="E2210">
        <v>27898</v>
      </c>
      <c r="F2210">
        <v>37657</v>
      </c>
      <c r="G2210">
        <v>-161313</v>
      </c>
      <c r="H2210">
        <v>70862</v>
      </c>
      <c r="I2210">
        <v>72759</v>
      </c>
      <c r="J2210">
        <v>761</v>
      </c>
      <c r="K2210">
        <v>460246</v>
      </c>
      <c r="L2210">
        <v>173196</v>
      </c>
      <c r="M2210">
        <v>-55224</v>
      </c>
      <c r="N2210">
        <v>50996</v>
      </c>
      <c r="O2210" t="s">
        <v>2228</v>
      </c>
      <c r="P2210" s="9">
        <v>322317</v>
      </c>
      <c r="Q2210" s="9">
        <v>15726</v>
      </c>
      <c r="R2210" s="9">
        <v>338043</v>
      </c>
      <c r="S2210" s="9">
        <v>-110191</v>
      </c>
      <c r="T2210" s="10">
        <v>72666</v>
      </c>
      <c r="U2210" s="10">
        <v>1330</v>
      </c>
    </row>
    <row r="2211" spans="1:21" x14ac:dyDescent="0.35">
      <c r="A2211" t="s">
        <v>15</v>
      </c>
      <c r="B2211" t="s">
        <v>20</v>
      </c>
      <c r="C2211" t="s">
        <v>21</v>
      </c>
      <c r="D2211">
        <v>173000</v>
      </c>
      <c r="E2211">
        <v>24189</v>
      </c>
      <c r="F2211">
        <v>36840</v>
      </c>
      <c r="G2211">
        <v>-154368</v>
      </c>
      <c r="H2211">
        <v>79661</v>
      </c>
      <c r="I2211">
        <v>73798</v>
      </c>
      <c r="J2211">
        <v>1208</v>
      </c>
      <c r="K2211">
        <v>671193</v>
      </c>
      <c r="L2211">
        <v>138194</v>
      </c>
      <c r="M2211">
        <v>-88380</v>
      </c>
      <c r="N2211">
        <v>127834</v>
      </c>
      <c r="O2211" t="s">
        <v>2229</v>
      </c>
      <c r="P2211" s="9">
        <v>253220</v>
      </c>
      <c r="Q2211" s="9">
        <v>41067</v>
      </c>
      <c r="R2211" s="9">
        <v>294287</v>
      </c>
      <c r="S2211" s="9">
        <v>-175243</v>
      </c>
      <c r="T2211" s="10">
        <v>92677</v>
      </c>
      <c r="U2211" s="10">
        <v>2607</v>
      </c>
    </row>
    <row r="2212" spans="1:21" x14ac:dyDescent="0.35">
      <c r="A2212" t="s">
        <v>15</v>
      </c>
      <c r="B2212" t="s">
        <v>16</v>
      </c>
      <c r="C2212" t="s">
        <v>17</v>
      </c>
      <c r="D2212">
        <v>269106</v>
      </c>
      <c r="E2212">
        <v>53138</v>
      </c>
      <c r="F2212">
        <v>59825</v>
      </c>
      <c r="G2212">
        <v>-260431</v>
      </c>
      <c r="H2212">
        <v>121638</v>
      </c>
      <c r="I2212">
        <v>122164</v>
      </c>
      <c r="J2212">
        <v>2309</v>
      </c>
      <c r="K2212">
        <v>676945</v>
      </c>
      <c r="L2212">
        <v>174610</v>
      </c>
      <c r="M2212">
        <v>-141263</v>
      </c>
      <c r="N2212">
        <v>210979</v>
      </c>
      <c r="O2212" t="s">
        <v>2230</v>
      </c>
      <c r="P2212" s="9">
        <v>248784</v>
      </c>
      <c r="Q2212" s="9">
        <v>18956</v>
      </c>
      <c r="R2212" s="9">
        <v>267740</v>
      </c>
      <c r="S2212" s="9">
        <v>-76878</v>
      </c>
      <c r="T2212" s="10">
        <v>96843</v>
      </c>
      <c r="U2212" s="10">
        <v>1807</v>
      </c>
    </row>
    <row r="2213" spans="1:21" x14ac:dyDescent="0.35">
      <c r="A2213" t="s">
        <v>15</v>
      </c>
      <c r="B2213" t="s">
        <v>16</v>
      </c>
      <c r="C2213" t="s">
        <v>21</v>
      </c>
      <c r="D2213">
        <v>183014</v>
      </c>
      <c r="E2213">
        <v>24011</v>
      </c>
      <c r="F2213">
        <v>44769</v>
      </c>
      <c r="G2213">
        <v>-161687</v>
      </c>
      <c r="H2213">
        <v>90107</v>
      </c>
      <c r="I2213">
        <v>91758</v>
      </c>
      <c r="J2213">
        <v>2119</v>
      </c>
      <c r="K2213">
        <v>440510</v>
      </c>
      <c r="L2213">
        <v>206293</v>
      </c>
      <c r="M2213">
        <v>-45417</v>
      </c>
      <c r="N2213">
        <v>143948</v>
      </c>
      <c r="O2213" t="s">
        <v>2231</v>
      </c>
      <c r="P2213" s="9">
        <v>239676</v>
      </c>
      <c r="Q2213" s="9">
        <v>35464</v>
      </c>
      <c r="R2213" s="9">
        <v>275140</v>
      </c>
      <c r="S2213" s="9">
        <v>-111559</v>
      </c>
      <c r="T2213" s="10">
        <v>98958</v>
      </c>
      <c r="U2213" s="10">
        <v>1712</v>
      </c>
    </row>
    <row r="2214" spans="1:21" x14ac:dyDescent="0.35">
      <c r="A2214" t="s">
        <v>15</v>
      </c>
      <c r="B2214" t="s">
        <v>16</v>
      </c>
      <c r="C2214" t="s">
        <v>21</v>
      </c>
      <c r="D2214">
        <v>245411</v>
      </c>
      <c r="E2214">
        <v>28399</v>
      </c>
      <c r="F2214">
        <v>30040</v>
      </c>
      <c r="G2214">
        <v>-210343</v>
      </c>
      <c r="H2214">
        <v>93507</v>
      </c>
      <c r="I2214">
        <v>89186</v>
      </c>
      <c r="J2214">
        <v>2399</v>
      </c>
      <c r="K2214">
        <v>843394</v>
      </c>
      <c r="L2214">
        <v>420587</v>
      </c>
      <c r="M2214">
        <v>-259342</v>
      </c>
      <c r="N2214">
        <v>212945</v>
      </c>
      <c r="O2214" t="s">
        <v>2232</v>
      </c>
      <c r="P2214" s="9">
        <v>213642</v>
      </c>
      <c r="Q2214" s="9">
        <v>39443</v>
      </c>
      <c r="R2214" s="9">
        <v>253085</v>
      </c>
      <c r="S2214" s="9">
        <v>-58909</v>
      </c>
      <c r="T2214" s="10">
        <v>113621</v>
      </c>
      <c r="U2214" s="10">
        <v>2101</v>
      </c>
    </row>
    <row r="2215" spans="1:21" x14ac:dyDescent="0.35">
      <c r="A2215" t="s">
        <v>15</v>
      </c>
      <c r="B2215" t="s">
        <v>16</v>
      </c>
      <c r="C2215" t="s">
        <v>17</v>
      </c>
      <c r="D2215">
        <v>299119</v>
      </c>
      <c r="E2215">
        <v>25336</v>
      </c>
      <c r="F2215">
        <v>73518</v>
      </c>
      <c r="G2215">
        <v>-283351</v>
      </c>
      <c r="H2215">
        <v>114622</v>
      </c>
      <c r="I2215">
        <v>116135</v>
      </c>
      <c r="J2215">
        <v>2662</v>
      </c>
      <c r="K2215">
        <v>767812</v>
      </c>
      <c r="L2215">
        <v>251330</v>
      </c>
      <c r="M2215">
        <v>-157947</v>
      </c>
      <c r="N2215">
        <v>146074</v>
      </c>
      <c r="O2215" t="s">
        <v>2233</v>
      </c>
      <c r="P2215" s="9">
        <v>278298</v>
      </c>
      <c r="Q2215" s="9">
        <v>20916</v>
      </c>
      <c r="R2215" s="9">
        <v>299214</v>
      </c>
      <c r="S2215" s="9">
        <v>-118734</v>
      </c>
      <c r="T2215" s="10">
        <v>89203</v>
      </c>
      <c r="U2215" s="10">
        <v>2096</v>
      </c>
    </row>
    <row r="2216" spans="1:21" x14ac:dyDescent="0.35">
      <c r="A2216" t="s">
        <v>15</v>
      </c>
      <c r="B2216" t="s">
        <v>20</v>
      </c>
      <c r="C2216" t="s">
        <v>21</v>
      </c>
      <c r="D2216">
        <v>267879</v>
      </c>
      <c r="E2216">
        <v>47087</v>
      </c>
      <c r="F2216">
        <v>48711</v>
      </c>
      <c r="G2216">
        <v>-262635</v>
      </c>
      <c r="H2216">
        <v>101042</v>
      </c>
      <c r="I2216">
        <v>104456</v>
      </c>
      <c r="J2216">
        <v>1889</v>
      </c>
      <c r="K2216">
        <v>818980</v>
      </c>
      <c r="L2216">
        <v>197797</v>
      </c>
      <c r="M2216">
        <v>-222150</v>
      </c>
      <c r="N2216">
        <v>173757</v>
      </c>
      <c r="O2216" t="s">
        <v>2234</v>
      </c>
      <c r="P2216" s="9">
        <v>282130</v>
      </c>
      <c r="Q2216" s="9">
        <v>17853</v>
      </c>
      <c r="R2216" s="9">
        <v>299983</v>
      </c>
      <c r="S2216" s="9">
        <v>-139291</v>
      </c>
      <c r="T2216" s="10">
        <v>94702</v>
      </c>
      <c r="U2216" s="10">
        <v>1863</v>
      </c>
    </row>
    <row r="2217" spans="1:21" x14ac:dyDescent="0.35">
      <c r="A2217" t="s">
        <v>15</v>
      </c>
      <c r="B2217" t="s">
        <v>20</v>
      </c>
      <c r="C2217" t="s">
        <v>21</v>
      </c>
      <c r="D2217">
        <v>223476</v>
      </c>
      <c r="E2217">
        <v>15439</v>
      </c>
      <c r="F2217">
        <v>52179</v>
      </c>
      <c r="G2217">
        <v>-207830</v>
      </c>
      <c r="H2217">
        <v>83264</v>
      </c>
      <c r="I2217">
        <v>75248</v>
      </c>
      <c r="J2217">
        <v>1799</v>
      </c>
      <c r="K2217">
        <v>762982</v>
      </c>
      <c r="L2217">
        <v>261958</v>
      </c>
      <c r="M2217">
        <v>-297275</v>
      </c>
      <c r="N2217">
        <v>90050</v>
      </c>
      <c r="O2217" t="s">
        <v>2235</v>
      </c>
      <c r="P2217" s="9">
        <v>245977</v>
      </c>
      <c r="Q2217" s="9">
        <v>42478</v>
      </c>
      <c r="R2217" s="9">
        <v>288455</v>
      </c>
      <c r="S2217" s="9">
        <v>-67974</v>
      </c>
      <c r="T2217" s="10">
        <v>124971</v>
      </c>
      <c r="U2217" s="10">
        <v>2940</v>
      </c>
    </row>
    <row r="2218" spans="1:21" x14ac:dyDescent="0.35">
      <c r="A2218" t="s">
        <v>15</v>
      </c>
      <c r="B2218" t="s">
        <v>20</v>
      </c>
      <c r="C2218" t="s">
        <v>21</v>
      </c>
      <c r="D2218">
        <v>284804</v>
      </c>
      <c r="E2218">
        <v>48368</v>
      </c>
      <c r="F2218">
        <v>57343</v>
      </c>
      <c r="G2218">
        <v>-233760</v>
      </c>
      <c r="H2218">
        <v>156755</v>
      </c>
      <c r="I2218">
        <v>143192</v>
      </c>
      <c r="J2218">
        <v>3444</v>
      </c>
      <c r="K2218">
        <v>850527</v>
      </c>
      <c r="L2218">
        <v>353081</v>
      </c>
      <c r="M2218">
        <v>-270704</v>
      </c>
      <c r="N2218">
        <v>155430</v>
      </c>
      <c r="O2218" t="s">
        <v>2236</v>
      </c>
      <c r="P2218" s="9">
        <v>220706</v>
      </c>
      <c r="Q2218" s="9">
        <v>36042</v>
      </c>
      <c r="R2218" s="9">
        <v>256748</v>
      </c>
      <c r="S2218" s="9">
        <v>-75217</v>
      </c>
      <c r="T2218" s="10">
        <v>116261</v>
      </c>
      <c r="U2218" s="10">
        <v>1414</v>
      </c>
    </row>
    <row r="2219" spans="1:21" x14ac:dyDescent="0.35">
      <c r="A2219" t="s">
        <v>15</v>
      </c>
      <c r="B2219" t="s">
        <v>20</v>
      </c>
      <c r="C2219" t="s">
        <v>21</v>
      </c>
      <c r="D2219">
        <v>211626</v>
      </c>
      <c r="E2219">
        <v>39337</v>
      </c>
      <c r="F2219">
        <v>49913</v>
      </c>
      <c r="G2219">
        <v>-190200</v>
      </c>
      <c r="H2219">
        <v>110676</v>
      </c>
      <c r="I2219">
        <v>115417</v>
      </c>
      <c r="J2219">
        <v>1784</v>
      </c>
      <c r="K2219">
        <v>578255</v>
      </c>
      <c r="L2219">
        <v>190056</v>
      </c>
      <c r="M2219">
        <v>-163711</v>
      </c>
      <c r="N2219">
        <v>105387</v>
      </c>
      <c r="O2219" t="s">
        <v>2237</v>
      </c>
      <c r="P2219" s="9">
        <v>229128</v>
      </c>
      <c r="Q2219" s="9">
        <v>29284</v>
      </c>
      <c r="R2219" s="9">
        <v>258412</v>
      </c>
      <c r="S2219" s="9">
        <v>-102784</v>
      </c>
      <c r="T2219" s="10">
        <v>74972</v>
      </c>
      <c r="U2219" s="10">
        <v>2119</v>
      </c>
    </row>
    <row r="2220" spans="1:21" x14ac:dyDescent="0.35">
      <c r="A2220" t="s">
        <v>15</v>
      </c>
      <c r="B2220" t="s">
        <v>16</v>
      </c>
      <c r="C2220" t="s">
        <v>21</v>
      </c>
      <c r="D2220">
        <v>173079</v>
      </c>
      <c r="E2220">
        <v>17694</v>
      </c>
      <c r="F2220">
        <v>23708</v>
      </c>
      <c r="G2220">
        <v>-154858</v>
      </c>
      <c r="H2220">
        <v>59623</v>
      </c>
      <c r="I2220">
        <v>57183</v>
      </c>
      <c r="J2220">
        <v>1609</v>
      </c>
      <c r="K2220">
        <v>406366</v>
      </c>
      <c r="L2220">
        <v>78899</v>
      </c>
      <c r="M2220">
        <v>-78644</v>
      </c>
      <c r="N2220">
        <v>63563</v>
      </c>
      <c r="O2220" t="s">
        <v>2238</v>
      </c>
      <c r="P2220" s="9">
        <v>168007</v>
      </c>
      <c r="Q2220" s="9">
        <v>14069</v>
      </c>
      <c r="R2220" s="9">
        <v>182076</v>
      </c>
      <c r="S2220" s="9">
        <v>-99914</v>
      </c>
      <c r="T2220" s="10">
        <v>56711</v>
      </c>
      <c r="U2220" s="10">
        <v>991</v>
      </c>
    </row>
    <row r="2221" spans="1:21" x14ac:dyDescent="0.35">
      <c r="A2221" t="s">
        <v>15</v>
      </c>
      <c r="B2221" t="s">
        <v>16</v>
      </c>
      <c r="C2221" t="s">
        <v>17</v>
      </c>
      <c r="D2221">
        <v>239762</v>
      </c>
      <c r="E2221">
        <v>37847</v>
      </c>
      <c r="F2221">
        <v>39611</v>
      </c>
      <c r="G2221">
        <v>-231610</v>
      </c>
      <c r="H2221">
        <v>85610</v>
      </c>
      <c r="I2221">
        <v>89501</v>
      </c>
      <c r="J2221">
        <v>1780</v>
      </c>
      <c r="K2221">
        <v>766878</v>
      </c>
      <c r="L2221">
        <v>167141</v>
      </c>
      <c r="M2221">
        <v>-142483</v>
      </c>
      <c r="N2221">
        <v>102984</v>
      </c>
      <c r="O2221" t="s">
        <v>2239</v>
      </c>
      <c r="P2221" s="9">
        <v>312146</v>
      </c>
      <c r="Q2221" s="9">
        <v>46058</v>
      </c>
      <c r="R2221" s="9">
        <v>358204</v>
      </c>
      <c r="S2221" s="9">
        <v>-184515</v>
      </c>
      <c r="T2221" s="10">
        <v>98952</v>
      </c>
      <c r="U2221" s="10">
        <v>2317</v>
      </c>
    </row>
    <row r="2222" spans="1:21" x14ac:dyDescent="0.35">
      <c r="A2222" t="s">
        <v>15</v>
      </c>
      <c r="B2222" t="s">
        <v>20</v>
      </c>
      <c r="C2222" t="s">
        <v>21</v>
      </c>
      <c r="D2222">
        <v>258598</v>
      </c>
      <c r="E2222">
        <v>26844</v>
      </c>
      <c r="F2222">
        <v>37209</v>
      </c>
      <c r="G2222">
        <v>-249066</v>
      </c>
      <c r="H2222">
        <v>73585</v>
      </c>
      <c r="I2222">
        <v>66818</v>
      </c>
      <c r="J2222">
        <v>1824</v>
      </c>
      <c r="K2222">
        <v>576189</v>
      </c>
      <c r="L2222">
        <v>246171</v>
      </c>
      <c r="M2222">
        <v>-185831</v>
      </c>
      <c r="N2222">
        <v>152115</v>
      </c>
      <c r="O2222" t="s">
        <v>2240</v>
      </c>
      <c r="P2222" s="9">
        <v>246511</v>
      </c>
      <c r="Q2222" s="9">
        <v>12847</v>
      </c>
      <c r="R2222" s="9">
        <v>259358</v>
      </c>
      <c r="S2222" s="9">
        <v>-110173</v>
      </c>
      <c r="T2222" s="10">
        <v>70974</v>
      </c>
      <c r="U2222" s="10">
        <v>1281</v>
      </c>
    </row>
    <row r="2223" spans="1:21" x14ac:dyDescent="0.35">
      <c r="A2223" t="s">
        <v>15</v>
      </c>
      <c r="B2223" t="s">
        <v>16</v>
      </c>
      <c r="C2223" t="s">
        <v>21</v>
      </c>
      <c r="D2223">
        <v>254779</v>
      </c>
      <c r="E2223">
        <v>30252</v>
      </c>
      <c r="F2223">
        <v>41224</v>
      </c>
      <c r="G2223">
        <v>-243608</v>
      </c>
      <c r="H2223">
        <v>82647</v>
      </c>
      <c r="I2223">
        <v>80240</v>
      </c>
      <c r="J2223">
        <v>1435</v>
      </c>
      <c r="K2223">
        <v>837165</v>
      </c>
      <c r="L2223">
        <v>294414</v>
      </c>
      <c r="M2223">
        <v>-190113</v>
      </c>
      <c r="N2223">
        <v>216101</v>
      </c>
      <c r="O2223" t="s">
        <v>2241</v>
      </c>
      <c r="P2223" s="9">
        <v>168641</v>
      </c>
      <c r="Q2223" s="9">
        <v>14122</v>
      </c>
      <c r="R2223" s="9">
        <v>182763</v>
      </c>
      <c r="S2223" s="9">
        <v>-62603</v>
      </c>
      <c r="T2223" s="10">
        <v>74016</v>
      </c>
      <c r="U2223" s="10">
        <v>1052</v>
      </c>
    </row>
    <row r="2224" spans="1:21" x14ac:dyDescent="0.35">
      <c r="A2224" t="s">
        <v>15</v>
      </c>
      <c r="B2224" t="s">
        <v>20</v>
      </c>
      <c r="C2224" t="s">
        <v>21</v>
      </c>
      <c r="D2224">
        <v>244848</v>
      </c>
      <c r="E2224">
        <v>42636</v>
      </c>
      <c r="F2224">
        <v>36147</v>
      </c>
      <c r="G2224">
        <v>-226062</v>
      </c>
      <c r="H2224">
        <v>97569</v>
      </c>
      <c r="I2224">
        <v>89105</v>
      </c>
      <c r="J2224">
        <v>1379</v>
      </c>
      <c r="K2224">
        <v>591908</v>
      </c>
      <c r="L2224">
        <v>224345</v>
      </c>
      <c r="M2224">
        <v>-213952</v>
      </c>
      <c r="N2224">
        <v>82858</v>
      </c>
      <c r="O2224" t="s">
        <v>2242</v>
      </c>
      <c r="P2224" s="9">
        <v>280492</v>
      </c>
      <c r="Q2224" s="9">
        <v>21580</v>
      </c>
      <c r="R2224" s="9">
        <v>302072</v>
      </c>
      <c r="S2224" s="9">
        <v>-105734</v>
      </c>
      <c r="T2224" s="10">
        <v>66348</v>
      </c>
      <c r="U2224" s="10">
        <v>1464</v>
      </c>
    </row>
    <row r="2225" spans="1:21" x14ac:dyDescent="0.35">
      <c r="A2225" t="s">
        <v>15</v>
      </c>
      <c r="B2225" t="s">
        <v>16</v>
      </c>
      <c r="C2225" t="s">
        <v>17</v>
      </c>
      <c r="D2225">
        <v>203230</v>
      </c>
      <c r="E2225">
        <v>32459</v>
      </c>
      <c r="F2225">
        <v>32012</v>
      </c>
      <c r="G2225">
        <v>-178297</v>
      </c>
      <c r="H2225">
        <v>89404</v>
      </c>
      <c r="I2225">
        <v>86530</v>
      </c>
      <c r="J2225">
        <v>1258</v>
      </c>
      <c r="K2225">
        <v>791857</v>
      </c>
      <c r="L2225">
        <v>195763</v>
      </c>
      <c r="M2225">
        <v>-221885</v>
      </c>
      <c r="N2225">
        <v>92792</v>
      </c>
      <c r="O2225" t="s">
        <v>2243</v>
      </c>
      <c r="P2225" s="9">
        <v>243342</v>
      </c>
      <c r="Q2225" s="9">
        <v>25425</v>
      </c>
      <c r="R2225" s="9">
        <v>268767</v>
      </c>
      <c r="S2225" s="9">
        <v>-90850</v>
      </c>
      <c r="T2225" s="10">
        <v>80478</v>
      </c>
      <c r="U2225" s="10">
        <v>1393</v>
      </c>
    </row>
    <row r="2226" spans="1:21" x14ac:dyDescent="0.35">
      <c r="A2226" t="s">
        <v>15</v>
      </c>
      <c r="B2226" t="s">
        <v>20</v>
      </c>
      <c r="C2226" t="s">
        <v>21</v>
      </c>
      <c r="D2226">
        <v>197760</v>
      </c>
      <c r="E2226">
        <v>28314</v>
      </c>
      <c r="F2226">
        <v>48705</v>
      </c>
      <c r="G2226">
        <v>-176703</v>
      </c>
      <c r="H2226">
        <v>98076</v>
      </c>
      <c r="I2226">
        <v>95938</v>
      </c>
      <c r="J2226">
        <v>1480</v>
      </c>
      <c r="K2226">
        <v>671207</v>
      </c>
      <c r="L2226">
        <v>239814</v>
      </c>
      <c r="M2226">
        <v>-193275</v>
      </c>
      <c r="N2226">
        <v>170292</v>
      </c>
      <c r="O2226" t="s">
        <v>2244</v>
      </c>
      <c r="P2226" s="9">
        <v>280647</v>
      </c>
      <c r="Q2226" s="9">
        <v>17958</v>
      </c>
      <c r="R2226" s="9">
        <v>298605</v>
      </c>
      <c r="S2226" s="9">
        <v>-176354</v>
      </c>
      <c r="T2226" s="10">
        <v>94975</v>
      </c>
      <c r="U2226" s="10">
        <v>1324</v>
      </c>
    </row>
    <row r="2227" spans="1:21" x14ac:dyDescent="0.35">
      <c r="A2227" t="s">
        <v>15</v>
      </c>
      <c r="B2227" t="s">
        <v>16</v>
      </c>
      <c r="C2227" t="s">
        <v>17</v>
      </c>
      <c r="D2227">
        <v>184674</v>
      </c>
      <c r="E2227">
        <v>31543</v>
      </c>
      <c r="F2227">
        <v>33916</v>
      </c>
      <c r="G2227">
        <v>-171590</v>
      </c>
      <c r="H2227">
        <v>78543</v>
      </c>
      <c r="I2227">
        <v>74458</v>
      </c>
      <c r="J2227">
        <v>1628</v>
      </c>
      <c r="K2227">
        <v>641532</v>
      </c>
      <c r="L2227">
        <v>199500</v>
      </c>
      <c r="M2227">
        <v>-111347</v>
      </c>
      <c r="N2227">
        <v>122655</v>
      </c>
      <c r="O2227" t="s">
        <v>2245</v>
      </c>
      <c r="P2227" s="9">
        <v>279424</v>
      </c>
      <c r="Q2227" s="9">
        <v>29814</v>
      </c>
      <c r="R2227" s="9">
        <v>309238</v>
      </c>
      <c r="S2227" s="9">
        <v>-105719</v>
      </c>
      <c r="T2227" s="10">
        <v>82714</v>
      </c>
      <c r="U2227" s="10">
        <v>1877</v>
      </c>
    </row>
    <row r="2228" spans="1:21" x14ac:dyDescent="0.35">
      <c r="A2228" t="s">
        <v>15</v>
      </c>
      <c r="B2228" t="s">
        <v>16</v>
      </c>
      <c r="C2228" t="s">
        <v>21</v>
      </c>
      <c r="D2228">
        <v>210763</v>
      </c>
      <c r="E2228">
        <v>41025</v>
      </c>
      <c r="F2228">
        <v>31209</v>
      </c>
      <c r="G2228">
        <v>-192132</v>
      </c>
      <c r="H2228">
        <v>90865</v>
      </c>
      <c r="I2228">
        <v>89509</v>
      </c>
      <c r="J2228">
        <v>1964</v>
      </c>
      <c r="K2228">
        <v>526699</v>
      </c>
      <c r="L2228">
        <v>223287</v>
      </c>
      <c r="M2228">
        <v>-70709</v>
      </c>
      <c r="N2228">
        <v>134189</v>
      </c>
      <c r="O2228" t="s">
        <v>2246</v>
      </c>
      <c r="P2228" s="9">
        <v>281683</v>
      </c>
      <c r="Q2228" s="9">
        <v>48095</v>
      </c>
      <c r="R2228" s="9">
        <v>329778</v>
      </c>
      <c r="S2228" s="9">
        <v>-168239</v>
      </c>
      <c r="T2228" s="10">
        <v>111532</v>
      </c>
      <c r="U2228" s="10">
        <v>2913</v>
      </c>
    </row>
    <row r="2229" spans="1:21" x14ac:dyDescent="0.35">
      <c r="A2229" t="s">
        <v>15</v>
      </c>
      <c r="B2229" t="s">
        <v>16</v>
      </c>
      <c r="C2229" t="s">
        <v>21</v>
      </c>
      <c r="D2229">
        <v>235448</v>
      </c>
      <c r="E2229">
        <v>31506</v>
      </c>
      <c r="F2229">
        <v>58545</v>
      </c>
      <c r="G2229">
        <v>-196978</v>
      </c>
      <c r="H2229">
        <v>128521</v>
      </c>
      <c r="I2229">
        <v>122704</v>
      </c>
      <c r="J2229">
        <v>2662</v>
      </c>
      <c r="K2229">
        <v>703575</v>
      </c>
      <c r="L2229">
        <v>173655</v>
      </c>
      <c r="M2229">
        <v>-268026</v>
      </c>
      <c r="N2229">
        <v>145442</v>
      </c>
      <c r="O2229" t="s">
        <v>2247</v>
      </c>
      <c r="P2229" s="9">
        <v>205485</v>
      </c>
      <c r="Q2229" s="9">
        <v>28538</v>
      </c>
      <c r="R2229" s="9">
        <v>234023</v>
      </c>
      <c r="S2229" s="9">
        <v>-123350</v>
      </c>
      <c r="T2229" s="10">
        <v>109276</v>
      </c>
      <c r="U2229" s="10">
        <v>2746</v>
      </c>
    </row>
    <row r="2230" spans="1:21" x14ac:dyDescent="0.35">
      <c r="A2230" t="s">
        <v>15</v>
      </c>
      <c r="B2230" t="s">
        <v>16</v>
      </c>
      <c r="C2230" t="s">
        <v>21</v>
      </c>
      <c r="D2230">
        <v>232508</v>
      </c>
      <c r="E2230">
        <v>42504</v>
      </c>
      <c r="F2230">
        <v>56739</v>
      </c>
      <c r="G2230">
        <v>-194456</v>
      </c>
      <c r="H2230">
        <v>137295</v>
      </c>
      <c r="I2230">
        <v>131927</v>
      </c>
      <c r="J2230">
        <v>3166</v>
      </c>
      <c r="K2230">
        <v>596002</v>
      </c>
      <c r="L2230">
        <v>85395</v>
      </c>
      <c r="M2230">
        <v>-141659</v>
      </c>
      <c r="N2230">
        <v>75508</v>
      </c>
      <c r="O2230" t="s">
        <v>2248</v>
      </c>
      <c r="P2230" s="9">
        <v>247508</v>
      </c>
      <c r="Q2230" s="9">
        <v>14898</v>
      </c>
      <c r="R2230" s="9">
        <v>262406</v>
      </c>
      <c r="S2230" s="9">
        <v>-107216</v>
      </c>
      <c r="T2230" s="10">
        <v>62189</v>
      </c>
      <c r="U2230" s="10">
        <v>1341</v>
      </c>
    </row>
    <row r="2231" spans="1:21" x14ac:dyDescent="0.35">
      <c r="A2231" t="s">
        <v>15</v>
      </c>
      <c r="B2231" t="s">
        <v>16</v>
      </c>
      <c r="C2231" t="s">
        <v>21</v>
      </c>
      <c r="D2231">
        <v>197580</v>
      </c>
      <c r="E2231">
        <v>16087</v>
      </c>
      <c r="F2231">
        <v>45102</v>
      </c>
      <c r="G2231">
        <v>-185084</v>
      </c>
      <c r="H2231">
        <v>73685</v>
      </c>
      <c r="I2231">
        <v>74338</v>
      </c>
      <c r="J2231">
        <v>802</v>
      </c>
      <c r="K2231">
        <v>524642</v>
      </c>
      <c r="L2231">
        <v>129843</v>
      </c>
      <c r="M2231">
        <v>-127967</v>
      </c>
      <c r="N2231">
        <v>171614</v>
      </c>
      <c r="O2231" t="s">
        <v>2249</v>
      </c>
      <c r="P2231" s="9">
        <v>155098</v>
      </c>
      <c r="Q2231" s="9">
        <v>29612</v>
      </c>
      <c r="R2231" s="9">
        <v>184710</v>
      </c>
      <c r="S2231" s="9">
        <v>-40219</v>
      </c>
      <c r="T2231" s="10">
        <v>84007</v>
      </c>
      <c r="U2231" s="10">
        <v>887</v>
      </c>
    </row>
    <row r="2232" spans="1:21" x14ac:dyDescent="0.35">
      <c r="A2232" t="s">
        <v>15</v>
      </c>
      <c r="B2232" t="s">
        <v>16</v>
      </c>
      <c r="C2232" t="s">
        <v>21</v>
      </c>
      <c r="D2232">
        <v>151726</v>
      </c>
      <c r="E2232">
        <v>26425</v>
      </c>
      <c r="F2232">
        <v>24461</v>
      </c>
      <c r="G2232">
        <v>-124084</v>
      </c>
      <c r="H2232">
        <v>78528</v>
      </c>
      <c r="I2232">
        <v>73562</v>
      </c>
      <c r="J2232">
        <v>1471</v>
      </c>
      <c r="K2232">
        <v>306398</v>
      </c>
      <c r="L2232">
        <v>91278</v>
      </c>
      <c r="M2232">
        <v>-84520</v>
      </c>
      <c r="N2232">
        <v>127086</v>
      </c>
      <c r="O2232" t="s">
        <v>2250</v>
      </c>
      <c r="P2232" s="9">
        <v>272233</v>
      </c>
      <c r="Q2232" s="9">
        <v>36313</v>
      </c>
      <c r="R2232" s="9">
        <v>308546</v>
      </c>
      <c r="S2232" s="9">
        <v>-69277</v>
      </c>
      <c r="T2232" s="10">
        <v>131670</v>
      </c>
      <c r="U2232" s="10">
        <v>1649</v>
      </c>
    </row>
    <row r="2233" spans="1:21" x14ac:dyDescent="0.35">
      <c r="A2233" t="s">
        <v>15</v>
      </c>
      <c r="B2233" t="s">
        <v>16</v>
      </c>
      <c r="C2233" t="s">
        <v>17</v>
      </c>
      <c r="D2233">
        <v>257340</v>
      </c>
      <c r="E2233">
        <v>50858</v>
      </c>
      <c r="F2233">
        <v>30754</v>
      </c>
      <c r="G2233">
        <v>-236202</v>
      </c>
      <c r="H2233">
        <v>102750</v>
      </c>
      <c r="I2233">
        <v>94357</v>
      </c>
      <c r="J2233">
        <v>2170</v>
      </c>
      <c r="K2233">
        <v>670411</v>
      </c>
      <c r="L2233">
        <v>70743</v>
      </c>
      <c r="M2233">
        <v>-232394</v>
      </c>
      <c r="N2233">
        <v>201849</v>
      </c>
      <c r="O2233" t="s">
        <v>2251</v>
      </c>
      <c r="P2233" s="9">
        <v>254016</v>
      </c>
      <c r="Q2233" s="9">
        <v>18683</v>
      </c>
      <c r="R2233" s="9">
        <v>272699</v>
      </c>
      <c r="S2233" s="9">
        <v>-57115</v>
      </c>
      <c r="T2233" s="10">
        <v>100036</v>
      </c>
      <c r="U2233" s="10">
        <v>1580</v>
      </c>
    </row>
    <row r="2234" spans="1:21" x14ac:dyDescent="0.35">
      <c r="A2234" t="s">
        <v>15</v>
      </c>
      <c r="B2234" t="s">
        <v>16</v>
      </c>
      <c r="C2234" t="s">
        <v>21</v>
      </c>
      <c r="D2234">
        <v>178369</v>
      </c>
      <c r="E2234">
        <v>17459</v>
      </c>
      <c r="F2234">
        <v>39565</v>
      </c>
      <c r="G2234">
        <v>-155847</v>
      </c>
      <c r="H2234">
        <v>79546</v>
      </c>
      <c r="I2234">
        <v>82557</v>
      </c>
      <c r="J2234">
        <v>1516</v>
      </c>
      <c r="K2234">
        <v>649605</v>
      </c>
      <c r="L2234">
        <v>87617</v>
      </c>
      <c r="M2234">
        <v>-130183</v>
      </c>
      <c r="N2234">
        <v>136683</v>
      </c>
      <c r="O2234" t="s">
        <v>2252</v>
      </c>
      <c r="P2234" s="9">
        <v>242480</v>
      </c>
      <c r="Q2234" s="9">
        <v>14968</v>
      </c>
      <c r="R2234" s="9">
        <v>257448</v>
      </c>
      <c r="S2234" s="9">
        <v>-107051</v>
      </c>
      <c r="T2234" s="10">
        <v>92019</v>
      </c>
      <c r="U2234" s="10">
        <v>998</v>
      </c>
    </row>
    <row r="2235" spans="1:21" x14ac:dyDescent="0.35">
      <c r="A2235" t="s">
        <v>15</v>
      </c>
      <c r="B2235" t="s">
        <v>20</v>
      </c>
      <c r="C2235" t="s">
        <v>21</v>
      </c>
      <c r="D2235">
        <v>299478</v>
      </c>
      <c r="E2235">
        <v>43044</v>
      </c>
      <c r="F2235">
        <v>44869</v>
      </c>
      <c r="G2235">
        <v>-294572</v>
      </c>
      <c r="H2235">
        <v>92819</v>
      </c>
      <c r="I2235">
        <v>97370</v>
      </c>
      <c r="J2235">
        <v>1814</v>
      </c>
      <c r="K2235">
        <v>961924</v>
      </c>
      <c r="L2235">
        <v>269934</v>
      </c>
      <c r="M2235">
        <v>-253047</v>
      </c>
      <c r="N2235">
        <v>104429</v>
      </c>
      <c r="O2235" t="s">
        <v>2253</v>
      </c>
      <c r="P2235" s="9">
        <v>294090</v>
      </c>
      <c r="Q2235" s="9">
        <v>22767</v>
      </c>
      <c r="R2235" s="9">
        <v>316857</v>
      </c>
      <c r="S2235" s="9">
        <v>-152930</v>
      </c>
      <c r="T2235" s="10">
        <v>73725</v>
      </c>
      <c r="U2235" s="10">
        <v>1690</v>
      </c>
    </row>
    <row r="2236" spans="1:21" x14ac:dyDescent="0.35">
      <c r="A2236" t="s">
        <v>15</v>
      </c>
      <c r="B2236" t="s">
        <v>20</v>
      </c>
      <c r="C2236" t="s">
        <v>17</v>
      </c>
      <c r="D2236">
        <v>172419</v>
      </c>
      <c r="E2236">
        <v>22353</v>
      </c>
      <c r="F2236">
        <v>23074</v>
      </c>
      <c r="G2236">
        <v>-165701</v>
      </c>
      <c r="H2236">
        <v>52145</v>
      </c>
      <c r="I2236">
        <v>50979</v>
      </c>
      <c r="J2236">
        <v>925</v>
      </c>
      <c r="K2236">
        <v>537454</v>
      </c>
      <c r="L2236">
        <v>187669</v>
      </c>
      <c r="M2236">
        <v>-103202</v>
      </c>
      <c r="N2236">
        <v>72655</v>
      </c>
      <c r="O2236" t="s">
        <v>2254</v>
      </c>
      <c r="P2236" s="9">
        <v>206553</v>
      </c>
      <c r="Q2236" s="9">
        <v>19402</v>
      </c>
      <c r="R2236" s="9">
        <v>225955</v>
      </c>
      <c r="S2236" s="9">
        <v>-79162</v>
      </c>
      <c r="T2236" s="10">
        <v>58710</v>
      </c>
      <c r="U2236" s="10">
        <v>1677</v>
      </c>
    </row>
    <row r="2237" spans="1:21" x14ac:dyDescent="0.35">
      <c r="A2237" t="s">
        <v>15</v>
      </c>
      <c r="B2237" t="s">
        <v>20</v>
      </c>
      <c r="C2237" t="s">
        <v>21</v>
      </c>
      <c r="D2237">
        <v>180583</v>
      </c>
      <c r="E2237">
        <v>34370</v>
      </c>
      <c r="F2237">
        <v>23963</v>
      </c>
      <c r="G2237">
        <v>-172692</v>
      </c>
      <c r="H2237">
        <v>66224</v>
      </c>
      <c r="I2237">
        <v>65347</v>
      </c>
      <c r="J2237">
        <v>1397</v>
      </c>
      <c r="K2237">
        <v>632117</v>
      </c>
      <c r="L2237">
        <v>199520</v>
      </c>
      <c r="M2237">
        <v>-153951</v>
      </c>
      <c r="N2237">
        <v>114313</v>
      </c>
      <c r="O2237" t="s">
        <v>2255</v>
      </c>
      <c r="P2237" s="9">
        <v>243079</v>
      </c>
      <c r="Q2237" s="9">
        <v>42413</v>
      </c>
      <c r="R2237" s="9">
        <v>285492</v>
      </c>
      <c r="S2237" s="9">
        <v>-71790</v>
      </c>
      <c r="T2237" s="10">
        <v>93206</v>
      </c>
      <c r="U2237" s="10">
        <v>1492</v>
      </c>
    </row>
    <row r="2238" spans="1:21" x14ac:dyDescent="0.35">
      <c r="A2238" t="s">
        <v>15</v>
      </c>
      <c r="B2238" t="s">
        <v>16</v>
      </c>
      <c r="C2238" t="s">
        <v>17</v>
      </c>
      <c r="D2238">
        <v>273382</v>
      </c>
      <c r="E2238">
        <v>40893</v>
      </c>
      <c r="F2238">
        <v>30166</v>
      </c>
      <c r="G2238">
        <v>-265718</v>
      </c>
      <c r="H2238">
        <v>78723</v>
      </c>
      <c r="I2238">
        <v>80099</v>
      </c>
      <c r="J2238">
        <v>1545</v>
      </c>
      <c r="K2238">
        <v>601342</v>
      </c>
      <c r="L2238">
        <v>63278</v>
      </c>
      <c r="M2238">
        <v>-237182</v>
      </c>
      <c r="N2238">
        <v>195863</v>
      </c>
      <c r="O2238" t="s">
        <v>2256</v>
      </c>
      <c r="P2238" s="9">
        <v>152675</v>
      </c>
      <c r="Q2238" s="9">
        <v>20000</v>
      </c>
      <c r="R2238" s="9">
        <v>172675</v>
      </c>
      <c r="S2238" s="9">
        <v>-72854</v>
      </c>
      <c r="T2238" s="10">
        <v>53061</v>
      </c>
      <c r="U2238" s="10">
        <v>688</v>
      </c>
    </row>
    <row r="2239" spans="1:21" x14ac:dyDescent="0.35">
      <c r="A2239" t="s">
        <v>15</v>
      </c>
      <c r="B2239" t="s">
        <v>16</v>
      </c>
      <c r="C2239" t="s">
        <v>17</v>
      </c>
      <c r="D2239">
        <v>291824</v>
      </c>
      <c r="E2239">
        <v>53415</v>
      </c>
      <c r="F2239">
        <v>53680</v>
      </c>
      <c r="G2239">
        <v>-234180</v>
      </c>
      <c r="H2239">
        <v>164739</v>
      </c>
      <c r="I2239">
        <v>171133</v>
      </c>
      <c r="J2239">
        <v>3475</v>
      </c>
      <c r="K2239">
        <v>816416</v>
      </c>
      <c r="L2239">
        <v>146418</v>
      </c>
      <c r="M2239">
        <v>-181486</v>
      </c>
      <c r="N2239">
        <v>142251</v>
      </c>
      <c r="O2239" t="s">
        <v>2257</v>
      </c>
      <c r="P2239" s="9">
        <v>147285</v>
      </c>
      <c r="Q2239" s="9">
        <v>19038</v>
      </c>
      <c r="R2239" s="9">
        <v>166323</v>
      </c>
      <c r="S2239" s="9">
        <v>-33971</v>
      </c>
      <c r="T2239" s="10">
        <v>40967</v>
      </c>
      <c r="U2239" s="10">
        <v>1052</v>
      </c>
    </row>
    <row r="2240" spans="1:21" x14ac:dyDescent="0.35">
      <c r="A2240" t="s">
        <v>15</v>
      </c>
      <c r="B2240" t="s">
        <v>16</v>
      </c>
      <c r="C2240" t="s">
        <v>21</v>
      </c>
      <c r="D2240">
        <v>294275</v>
      </c>
      <c r="E2240">
        <v>49037</v>
      </c>
      <c r="F2240">
        <v>59601</v>
      </c>
      <c r="G2240">
        <v>-247588</v>
      </c>
      <c r="H2240">
        <v>155325</v>
      </c>
      <c r="I2240">
        <v>149590</v>
      </c>
      <c r="J2240">
        <v>3417</v>
      </c>
      <c r="K2240">
        <v>881801</v>
      </c>
      <c r="L2240">
        <v>406341</v>
      </c>
      <c r="M2240">
        <v>-264496</v>
      </c>
      <c r="N2240">
        <v>140870</v>
      </c>
      <c r="O2240" t="s">
        <v>2258</v>
      </c>
      <c r="P2240" s="9">
        <v>204303</v>
      </c>
      <c r="Q2240" s="9">
        <v>16149</v>
      </c>
      <c r="R2240" s="9">
        <v>220452</v>
      </c>
      <c r="S2240" s="9">
        <v>-116244</v>
      </c>
      <c r="T2240" s="10">
        <v>77186</v>
      </c>
      <c r="U2240" s="10">
        <v>1749</v>
      </c>
    </row>
    <row r="2241" spans="1:21" x14ac:dyDescent="0.35">
      <c r="A2241" t="s">
        <v>15</v>
      </c>
      <c r="B2241" t="s">
        <v>16</v>
      </c>
      <c r="C2241" t="s">
        <v>17</v>
      </c>
      <c r="D2241">
        <v>244164</v>
      </c>
      <c r="E2241">
        <v>16083</v>
      </c>
      <c r="F2241">
        <v>41557</v>
      </c>
      <c r="G2241">
        <v>-216508</v>
      </c>
      <c r="H2241">
        <v>85296</v>
      </c>
      <c r="I2241">
        <v>79680</v>
      </c>
      <c r="J2241">
        <v>2006</v>
      </c>
      <c r="K2241">
        <v>970464</v>
      </c>
      <c r="L2241">
        <v>317833</v>
      </c>
      <c r="M2241">
        <v>-155662</v>
      </c>
      <c r="N2241">
        <v>159521</v>
      </c>
      <c r="O2241" t="s">
        <v>2259</v>
      </c>
      <c r="P2241" s="9">
        <v>189075</v>
      </c>
      <c r="Q2241" s="9">
        <v>25873</v>
      </c>
      <c r="R2241" s="9">
        <v>214948</v>
      </c>
      <c r="S2241" s="9">
        <v>-94150</v>
      </c>
      <c r="T2241" s="10">
        <v>66195</v>
      </c>
      <c r="U2241" s="10">
        <v>1379</v>
      </c>
    </row>
    <row r="2242" spans="1:21" x14ac:dyDescent="0.35">
      <c r="A2242" t="s">
        <v>15</v>
      </c>
      <c r="B2242" t="s">
        <v>20</v>
      </c>
      <c r="C2242" t="s">
        <v>21</v>
      </c>
      <c r="D2242">
        <v>178405</v>
      </c>
      <c r="E2242">
        <v>33234</v>
      </c>
      <c r="F2242">
        <v>24145</v>
      </c>
      <c r="G2242">
        <v>-167062</v>
      </c>
      <c r="H2242">
        <v>68722</v>
      </c>
      <c r="I2242">
        <v>70110</v>
      </c>
      <c r="J2242">
        <v>1565</v>
      </c>
      <c r="K2242">
        <v>657456</v>
      </c>
      <c r="L2242">
        <v>317934</v>
      </c>
      <c r="M2242">
        <v>-214700</v>
      </c>
      <c r="N2242">
        <v>57815</v>
      </c>
      <c r="O2242" t="s">
        <v>2260</v>
      </c>
      <c r="P2242" s="9">
        <v>252538</v>
      </c>
      <c r="Q2242" s="9">
        <v>20691</v>
      </c>
      <c r="R2242" s="9">
        <v>273229</v>
      </c>
      <c r="S2242" s="9">
        <v>-115150</v>
      </c>
      <c r="T2242" s="10">
        <v>78107</v>
      </c>
      <c r="U2242" s="10">
        <v>2172</v>
      </c>
    </row>
    <row r="2243" spans="1:21" x14ac:dyDescent="0.35">
      <c r="A2243" t="s">
        <v>15</v>
      </c>
      <c r="B2243" t="s">
        <v>20</v>
      </c>
      <c r="C2243" t="s">
        <v>21</v>
      </c>
      <c r="D2243">
        <v>206403</v>
      </c>
      <c r="E2243">
        <v>16517</v>
      </c>
      <c r="F2243">
        <v>24901</v>
      </c>
      <c r="G2243">
        <v>-201406</v>
      </c>
      <c r="H2243">
        <v>46415</v>
      </c>
      <c r="I2243">
        <v>42091</v>
      </c>
      <c r="J2243">
        <v>423</v>
      </c>
      <c r="K2243">
        <v>814979</v>
      </c>
      <c r="L2243">
        <v>95749</v>
      </c>
      <c r="M2243">
        <v>-225674</v>
      </c>
      <c r="N2243">
        <v>91718</v>
      </c>
      <c r="O2243" t="s">
        <v>2261</v>
      </c>
      <c r="P2243" s="9">
        <v>211385</v>
      </c>
      <c r="Q2243" s="9">
        <v>14673</v>
      </c>
      <c r="R2243" s="9">
        <v>226058</v>
      </c>
      <c r="S2243" s="9">
        <v>-126918</v>
      </c>
      <c r="T2243" s="10">
        <v>55944</v>
      </c>
      <c r="U2243" s="10">
        <v>1414</v>
      </c>
    </row>
    <row r="2244" spans="1:21" x14ac:dyDescent="0.35">
      <c r="A2244" t="s">
        <v>15</v>
      </c>
      <c r="B2244" t="s">
        <v>16</v>
      </c>
      <c r="C2244" t="s">
        <v>21</v>
      </c>
      <c r="D2244">
        <v>159026</v>
      </c>
      <c r="E2244">
        <v>23479</v>
      </c>
      <c r="F2244">
        <v>38083</v>
      </c>
      <c r="G2244">
        <v>-138994</v>
      </c>
      <c r="H2244">
        <v>81594</v>
      </c>
      <c r="I2244">
        <v>85587</v>
      </c>
      <c r="J2244">
        <v>1677</v>
      </c>
      <c r="K2244">
        <v>591894</v>
      </c>
      <c r="L2244">
        <v>282908</v>
      </c>
      <c r="M2244">
        <v>-219184</v>
      </c>
      <c r="N2244">
        <v>141803</v>
      </c>
      <c r="O2244" t="s">
        <v>2262</v>
      </c>
      <c r="P2244" s="9">
        <v>214138</v>
      </c>
      <c r="Q2244" s="9">
        <v>28463</v>
      </c>
      <c r="R2244" s="9">
        <v>242601</v>
      </c>
      <c r="S2244" s="9">
        <v>-120770</v>
      </c>
      <c r="T2244" s="10">
        <v>75756</v>
      </c>
      <c r="U2244" s="10">
        <v>1524</v>
      </c>
    </row>
    <row r="2245" spans="1:21" x14ac:dyDescent="0.35">
      <c r="A2245" t="s">
        <v>15</v>
      </c>
      <c r="B2245" t="s">
        <v>20</v>
      </c>
      <c r="C2245" t="s">
        <v>17</v>
      </c>
      <c r="D2245">
        <v>224929</v>
      </c>
      <c r="E2245">
        <v>34844</v>
      </c>
      <c r="F2245">
        <v>27449</v>
      </c>
      <c r="G2245">
        <v>-181796</v>
      </c>
      <c r="H2245">
        <v>105426</v>
      </c>
      <c r="I2245">
        <v>106234</v>
      </c>
      <c r="J2245">
        <v>2260</v>
      </c>
      <c r="K2245">
        <v>628296</v>
      </c>
      <c r="L2245">
        <v>240401</v>
      </c>
      <c r="M2245">
        <v>-150951</v>
      </c>
      <c r="N2245">
        <v>100777</v>
      </c>
      <c r="O2245" t="s">
        <v>2263</v>
      </c>
      <c r="P2245" s="9">
        <v>287286</v>
      </c>
      <c r="Q2245" s="9">
        <v>58311</v>
      </c>
      <c r="R2245" s="9">
        <v>345597</v>
      </c>
      <c r="S2245" s="9">
        <v>-134750</v>
      </c>
      <c r="T2245" s="10">
        <v>98653</v>
      </c>
      <c r="U2245" s="10">
        <v>1517</v>
      </c>
    </row>
    <row r="2246" spans="1:21" x14ac:dyDescent="0.35">
      <c r="A2246" t="s">
        <v>15</v>
      </c>
      <c r="B2246" t="s">
        <v>20</v>
      </c>
      <c r="C2246" t="s">
        <v>21</v>
      </c>
      <c r="D2246">
        <v>286775</v>
      </c>
      <c r="E2246">
        <v>32012</v>
      </c>
      <c r="F2246">
        <v>69783</v>
      </c>
      <c r="G2246">
        <v>-271652</v>
      </c>
      <c r="H2246">
        <v>116918</v>
      </c>
      <c r="I2246">
        <v>116163</v>
      </c>
      <c r="J2246">
        <v>1788</v>
      </c>
      <c r="K2246">
        <v>668599</v>
      </c>
      <c r="L2246">
        <v>151917</v>
      </c>
      <c r="M2246">
        <v>-244633</v>
      </c>
      <c r="N2246">
        <v>173356</v>
      </c>
      <c r="O2246" t="s">
        <v>2264</v>
      </c>
      <c r="P2246" s="9">
        <v>294516</v>
      </c>
      <c r="Q2246" s="9">
        <v>39250</v>
      </c>
      <c r="R2246" s="9">
        <v>333766</v>
      </c>
      <c r="S2246" s="9">
        <v>-196043</v>
      </c>
      <c r="T2246" s="10">
        <v>92074</v>
      </c>
      <c r="U2246" s="10">
        <v>2271</v>
      </c>
    </row>
    <row r="2247" spans="1:21" x14ac:dyDescent="0.35">
      <c r="A2247" t="s">
        <v>15</v>
      </c>
      <c r="B2247" t="s">
        <v>20</v>
      </c>
      <c r="C2247" t="s">
        <v>17</v>
      </c>
      <c r="D2247">
        <v>208938</v>
      </c>
      <c r="E2247">
        <v>31018</v>
      </c>
      <c r="F2247">
        <v>29255</v>
      </c>
      <c r="G2247">
        <v>-185736</v>
      </c>
      <c r="H2247">
        <v>83475</v>
      </c>
      <c r="I2247">
        <v>81653</v>
      </c>
      <c r="J2247">
        <v>1233</v>
      </c>
      <c r="K2247">
        <v>476361</v>
      </c>
      <c r="L2247">
        <v>218533</v>
      </c>
      <c r="M2247">
        <v>-149499</v>
      </c>
      <c r="N2247">
        <v>131859</v>
      </c>
      <c r="O2247" t="s">
        <v>2265</v>
      </c>
      <c r="P2247" s="9">
        <v>297903</v>
      </c>
      <c r="Q2247" s="9">
        <v>51200</v>
      </c>
      <c r="R2247" s="9">
        <v>349103</v>
      </c>
      <c r="S2247" s="9">
        <v>-70970</v>
      </c>
      <c r="T2247" s="10">
        <v>156920</v>
      </c>
      <c r="U2247" s="10">
        <v>3097</v>
      </c>
    </row>
    <row r="2248" spans="1:21" x14ac:dyDescent="0.35">
      <c r="A2248" t="s">
        <v>15</v>
      </c>
      <c r="B2248" t="s">
        <v>16</v>
      </c>
      <c r="C2248" t="s">
        <v>21</v>
      </c>
      <c r="D2248">
        <v>283095</v>
      </c>
      <c r="E2248">
        <v>54910</v>
      </c>
      <c r="F2248">
        <v>53177</v>
      </c>
      <c r="G2248">
        <v>-240430</v>
      </c>
      <c r="H2248">
        <v>150752</v>
      </c>
      <c r="I2248">
        <v>158099</v>
      </c>
      <c r="J2248">
        <v>1649</v>
      </c>
      <c r="K2248">
        <v>582001</v>
      </c>
      <c r="L2248">
        <v>134199</v>
      </c>
      <c r="M2248">
        <v>-170295</v>
      </c>
      <c r="N2248">
        <v>144953</v>
      </c>
      <c r="O2248" t="s">
        <v>2266</v>
      </c>
      <c r="P2248" s="9">
        <v>269458</v>
      </c>
      <c r="Q2248" s="9">
        <v>31613</v>
      </c>
      <c r="R2248" s="9">
        <v>301071</v>
      </c>
      <c r="S2248" s="9">
        <v>-64086</v>
      </c>
      <c r="T2248" s="10">
        <v>110552</v>
      </c>
      <c r="U2248" s="10">
        <v>1199</v>
      </c>
    </row>
    <row r="2249" spans="1:21" x14ac:dyDescent="0.35">
      <c r="A2249" t="s">
        <v>15</v>
      </c>
      <c r="B2249" t="s">
        <v>16</v>
      </c>
      <c r="C2249" t="s">
        <v>21</v>
      </c>
      <c r="D2249">
        <v>209723</v>
      </c>
      <c r="E2249">
        <v>31143</v>
      </c>
      <c r="F2249">
        <v>35733</v>
      </c>
      <c r="G2249">
        <v>-182064</v>
      </c>
      <c r="H2249">
        <v>94535</v>
      </c>
      <c r="I2249">
        <v>90621</v>
      </c>
      <c r="J2249">
        <v>2366</v>
      </c>
      <c r="K2249">
        <v>741903</v>
      </c>
      <c r="L2249">
        <v>356621</v>
      </c>
      <c r="M2249">
        <v>-180492</v>
      </c>
      <c r="N2249">
        <v>67233</v>
      </c>
      <c r="O2249" t="s">
        <v>2267</v>
      </c>
      <c r="P2249" s="9">
        <v>185881</v>
      </c>
      <c r="Q2249" s="9">
        <v>29159</v>
      </c>
      <c r="R2249" s="9">
        <v>215040</v>
      </c>
      <c r="S2249" s="9">
        <v>-95025</v>
      </c>
      <c r="T2249" s="10">
        <v>92687</v>
      </c>
      <c r="U2249" s="10">
        <v>1541</v>
      </c>
    </row>
    <row r="2250" spans="1:21" x14ac:dyDescent="0.35">
      <c r="A2250" t="s">
        <v>15</v>
      </c>
      <c r="B2250" t="s">
        <v>20</v>
      </c>
      <c r="C2250" t="s">
        <v>17</v>
      </c>
      <c r="D2250">
        <v>195822</v>
      </c>
      <c r="E2250">
        <v>16147</v>
      </c>
      <c r="F2250">
        <v>42686</v>
      </c>
      <c r="G2250">
        <v>-183527</v>
      </c>
      <c r="H2250">
        <v>71128</v>
      </c>
      <c r="I2250">
        <v>72114</v>
      </c>
      <c r="J2250">
        <v>958</v>
      </c>
      <c r="K2250">
        <v>680983</v>
      </c>
      <c r="L2250">
        <v>300165</v>
      </c>
      <c r="M2250">
        <v>-104597</v>
      </c>
      <c r="N2250">
        <v>101596</v>
      </c>
      <c r="O2250" t="s">
        <v>2268</v>
      </c>
      <c r="P2250" s="9">
        <v>194216</v>
      </c>
      <c r="Q2250" s="9">
        <v>32081</v>
      </c>
      <c r="R2250" s="9">
        <v>226297</v>
      </c>
      <c r="S2250" s="9">
        <v>-53428</v>
      </c>
      <c r="T2250" s="10">
        <v>62127</v>
      </c>
      <c r="U2250" s="10">
        <v>1249</v>
      </c>
    </row>
    <row r="2251" spans="1:21" x14ac:dyDescent="0.35">
      <c r="A2251" t="s">
        <v>15</v>
      </c>
      <c r="B2251" t="s">
        <v>16</v>
      </c>
      <c r="C2251" t="s">
        <v>21</v>
      </c>
      <c r="D2251">
        <v>246893</v>
      </c>
      <c r="E2251">
        <v>28094</v>
      </c>
      <c r="F2251">
        <v>60791</v>
      </c>
      <c r="G2251">
        <v>-241981</v>
      </c>
      <c r="H2251">
        <v>93797</v>
      </c>
      <c r="I2251">
        <v>87388</v>
      </c>
      <c r="J2251">
        <v>2480</v>
      </c>
      <c r="K2251">
        <v>575683</v>
      </c>
      <c r="L2251">
        <v>124679</v>
      </c>
      <c r="M2251">
        <v>-93302</v>
      </c>
      <c r="N2251">
        <v>207187</v>
      </c>
      <c r="O2251" t="s">
        <v>2269</v>
      </c>
      <c r="P2251" s="9">
        <v>255722</v>
      </c>
      <c r="Q2251" s="9">
        <v>36823</v>
      </c>
      <c r="R2251" s="9">
        <v>292545</v>
      </c>
      <c r="S2251" s="9">
        <v>-116951</v>
      </c>
      <c r="T2251" s="10">
        <v>116348</v>
      </c>
      <c r="U2251" s="10">
        <v>3476</v>
      </c>
    </row>
    <row r="2252" spans="1:21" x14ac:dyDescent="0.35">
      <c r="A2252" t="s">
        <v>15</v>
      </c>
      <c r="B2252" t="s">
        <v>16</v>
      </c>
      <c r="C2252" t="s">
        <v>21</v>
      </c>
      <c r="D2252">
        <v>150188</v>
      </c>
      <c r="E2252">
        <v>20742</v>
      </c>
      <c r="F2252">
        <v>18515</v>
      </c>
      <c r="G2252">
        <v>-121075</v>
      </c>
      <c r="H2252">
        <v>68370</v>
      </c>
      <c r="I2252">
        <v>61895</v>
      </c>
      <c r="J2252">
        <v>706</v>
      </c>
      <c r="K2252">
        <v>378360</v>
      </c>
      <c r="L2252">
        <v>168385</v>
      </c>
      <c r="M2252">
        <v>-102732</v>
      </c>
      <c r="N2252">
        <v>71748</v>
      </c>
      <c r="O2252" t="s">
        <v>2270</v>
      </c>
      <c r="P2252" s="9">
        <v>153496</v>
      </c>
      <c r="Q2252" s="9">
        <v>15647</v>
      </c>
      <c r="R2252" s="9">
        <v>169143</v>
      </c>
      <c r="S2252" s="9">
        <v>-97607</v>
      </c>
      <c r="T2252" s="10">
        <v>39555</v>
      </c>
      <c r="U2252" s="10">
        <v>1143</v>
      </c>
    </row>
    <row r="2253" spans="1:21" x14ac:dyDescent="0.35">
      <c r="A2253" t="s">
        <v>15</v>
      </c>
      <c r="B2253" t="s">
        <v>16</v>
      </c>
      <c r="C2253" t="s">
        <v>21</v>
      </c>
      <c r="D2253">
        <v>200869</v>
      </c>
      <c r="E2253">
        <v>39700</v>
      </c>
      <c r="F2253">
        <v>29533</v>
      </c>
      <c r="G2253">
        <v>-179437</v>
      </c>
      <c r="H2253">
        <v>90665</v>
      </c>
      <c r="I2253">
        <v>86394</v>
      </c>
      <c r="J2253">
        <v>1562</v>
      </c>
      <c r="K2253">
        <v>685169</v>
      </c>
      <c r="L2253">
        <v>255700</v>
      </c>
      <c r="M2253">
        <v>-79839</v>
      </c>
      <c r="N2253">
        <v>138528</v>
      </c>
      <c r="O2253" t="s">
        <v>2271</v>
      </c>
      <c r="P2253" s="9">
        <v>189614</v>
      </c>
      <c r="Q2253" s="9">
        <v>11303</v>
      </c>
      <c r="R2253" s="9">
        <v>200917</v>
      </c>
      <c r="S2253" s="9">
        <v>-105834</v>
      </c>
      <c r="T2253" s="10">
        <v>53783</v>
      </c>
      <c r="U2253" s="10">
        <v>819</v>
      </c>
    </row>
    <row r="2254" spans="1:21" x14ac:dyDescent="0.35">
      <c r="A2254" t="s">
        <v>15</v>
      </c>
      <c r="B2254" t="s">
        <v>16</v>
      </c>
      <c r="C2254" t="s">
        <v>21</v>
      </c>
      <c r="D2254">
        <v>239546</v>
      </c>
      <c r="E2254">
        <v>28857</v>
      </c>
      <c r="F2254">
        <v>40496</v>
      </c>
      <c r="G2254">
        <v>-234845</v>
      </c>
      <c r="H2254">
        <v>74054</v>
      </c>
      <c r="I2254">
        <v>77518</v>
      </c>
      <c r="J2254">
        <v>2302</v>
      </c>
      <c r="K2254">
        <v>879853</v>
      </c>
      <c r="L2254">
        <v>240730</v>
      </c>
      <c r="M2254">
        <v>-201198</v>
      </c>
      <c r="N2254">
        <v>146720</v>
      </c>
      <c r="O2254" t="s">
        <v>2272</v>
      </c>
      <c r="P2254" s="9">
        <v>300027</v>
      </c>
      <c r="Q2254" s="9">
        <v>19338</v>
      </c>
      <c r="R2254" s="9">
        <v>319365</v>
      </c>
      <c r="S2254" s="9">
        <v>-100596</v>
      </c>
      <c r="T2254" s="10">
        <v>135824</v>
      </c>
      <c r="U2254" s="10">
        <v>3906</v>
      </c>
    </row>
    <row r="2255" spans="1:21" x14ac:dyDescent="0.35">
      <c r="A2255" t="s">
        <v>15</v>
      </c>
      <c r="B2255" t="s">
        <v>20</v>
      </c>
      <c r="C2255" t="s">
        <v>21</v>
      </c>
      <c r="D2255">
        <v>244949</v>
      </c>
      <c r="E2255">
        <v>31437</v>
      </c>
      <c r="F2255">
        <v>59791</v>
      </c>
      <c r="G2255">
        <v>-242301</v>
      </c>
      <c r="H2255">
        <v>93876</v>
      </c>
      <c r="I2255">
        <v>91768</v>
      </c>
      <c r="J2255">
        <v>1442</v>
      </c>
      <c r="K2255">
        <v>973257</v>
      </c>
      <c r="L2255">
        <v>325835</v>
      </c>
      <c r="M2255">
        <v>-299884</v>
      </c>
      <c r="N2255">
        <v>124800</v>
      </c>
      <c r="O2255" t="s">
        <v>2273</v>
      </c>
      <c r="P2255" s="9">
        <v>232364</v>
      </c>
      <c r="Q2255" s="9">
        <v>15198</v>
      </c>
      <c r="R2255" s="9">
        <v>247562</v>
      </c>
      <c r="S2255" s="9">
        <v>-99029</v>
      </c>
      <c r="T2255" s="10">
        <v>104192</v>
      </c>
      <c r="U2255" s="10">
        <v>1488</v>
      </c>
    </row>
    <row r="2256" spans="1:21" x14ac:dyDescent="0.35">
      <c r="A2256" t="s">
        <v>15</v>
      </c>
      <c r="B2256" t="s">
        <v>16</v>
      </c>
      <c r="C2256" t="s">
        <v>17</v>
      </c>
      <c r="D2256">
        <v>234096</v>
      </c>
      <c r="E2256">
        <v>17197</v>
      </c>
      <c r="F2256">
        <v>25177</v>
      </c>
      <c r="G2256">
        <v>-231941</v>
      </c>
      <c r="H2256">
        <v>44529</v>
      </c>
      <c r="I2256">
        <v>41820</v>
      </c>
      <c r="J2256">
        <v>666</v>
      </c>
      <c r="K2256">
        <v>863867</v>
      </c>
      <c r="L2256">
        <v>387924</v>
      </c>
      <c r="M2256">
        <v>-87443</v>
      </c>
      <c r="N2256">
        <v>70382</v>
      </c>
      <c r="O2256" t="s">
        <v>2274</v>
      </c>
      <c r="P2256" s="9">
        <v>232366</v>
      </c>
      <c r="Q2256" s="9">
        <v>30962</v>
      </c>
      <c r="R2256" s="9">
        <v>263328</v>
      </c>
      <c r="S2256" s="9">
        <v>-91163</v>
      </c>
      <c r="T2256" s="10">
        <v>92701</v>
      </c>
      <c r="U2256" s="10">
        <v>2470</v>
      </c>
    </row>
    <row r="2257" spans="1:21" x14ac:dyDescent="0.35">
      <c r="A2257" t="s">
        <v>15</v>
      </c>
      <c r="B2257" t="s">
        <v>20</v>
      </c>
      <c r="C2257" t="s">
        <v>17</v>
      </c>
      <c r="D2257">
        <v>261470</v>
      </c>
      <c r="E2257">
        <v>44010</v>
      </c>
      <c r="F2257">
        <v>46703</v>
      </c>
      <c r="G2257">
        <v>-256909</v>
      </c>
      <c r="H2257">
        <v>95274</v>
      </c>
      <c r="I2257">
        <v>89291</v>
      </c>
      <c r="J2257">
        <v>1026</v>
      </c>
      <c r="K2257">
        <v>996241</v>
      </c>
      <c r="L2257">
        <v>119481</v>
      </c>
      <c r="M2257">
        <v>-354359</v>
      </c>
      <c r="N2257">
        <v>234603</v>
      </c>
      <c r="O2257" t="s">
        <v>2275</v>
      </c>
      <c r="P2257" s="9">
        <v>244250</v>
      </c>
      <c r="Q2257" s="9">
        <v>15589</v>
      </c>
      <c r="R2257" s="9">
        <v>259839</v>
      </c>
      <c r="S2257" s="9">
        <v>-110240</v>
      </c>
      <c r="T2257" s="10">
        <v>122008</v>
      </c>
      <c r="U2257" s="10">
        <v>2854</v>
      </c>
    </row>
    <row r="2258" spans="1:21" x14ac:dyDescent="0.35">
      <c r="A2258" t="s">
        <v>15</v>
      </c>
      <c r="B2258" t="s">
        <v>16</v>
      </c>
      <c r="C2258" t="s">
        <v>21</v>
      </c>
      <c r="D2258">
        <v>257632</v>
      </c>
      <c r="E2258">
        <v>32744</v>
      </c>
      <c r="F2258">
        <v>35654</v>
      </c>
      <c r="G2258">
        <v>-224809</v>
      </c>
      <c r="H2258">
        <v>101221</v>
      </c>
      <c r="I2258">
        <v>106206</v>
      </c>
      <c r="J2258">
        <v>1778</v>
      </c>
      <c r="K2258">
        <v>684128</v>
      </c>
      <c r="L2258">
        <v>223837</v>
      </c>
      <c r="M2258">
        <v>-178649</v>
      </c>
      <c r="N2258">
        <v>103885</v>
      </c>
      <c r="O2258" t="s">
        <v>2276</v>
      </c>
      <c r="P2258" s="9">
        <v>215957</v>
      </c>
      <c r="Q2258" s="9">
        <v>24226</v>
      </c>
      <c r="R2258" s="9">
        <v>240183</v>
      </c>
      <c r="S2258" s="9">
        <v>-60716</v>
      </c>
      <c r="T2258" s="10">
        <v>70874</v>
      </c>
      <c r="U2258" s="10">
        <v>1218</v>
      </c>
    </row>
    <row r="2259" spans="1:21" x14ac:dyDescent="0.35">
      <c r="A2259" t="s">
        <v>15</v>
      </c>
      <c r="B2259" t="s">
        <v>16</v>
      </c>
      <c r="C2259" t="s">
        <v>17</v>
      </c>
      <c r="D2259">
        <v>189243</v>
      </c>
      <c r="E2259">
        <v>21549</v>
      </c>
      <c r="F2259">
        <v>36000</v>
      </c>
      <c r="G2259">
        <v>-174754</v>
      </c>
      <c r="H2259">
        <v>72038</v>
      </c>
      <c r="I2259">
        <v>75408</v>
      </c>
      <c r="J2259">
        <v>1514</v>
      </c>
      <c r="K2259">
        <v>524824</v>
      </c>
      <c r="L2259">
        <v>173309</v>
      </c>
      <c r="M2259">
        <v>-145305</v>
      </c>
      <c r="N2259">
        <v>61088</v>
      </c>
      <c r="O2259" t="s">
        <v>2277</v>
      </c>
      <c r="P2259" s="9">
        <v>283559</v>
      </c>
      <c r="Q2259" s="9">
        <v>55660</v>
      </c>
      <c r="R2259" s="9">
        <v>339219</v>
      </c>
      <c r="S2259" s="9">
        <v>-143350</v>
      </c>
      <c r="T2259" s="10">
        <v>131909</v>
      </c>
      <c r="U2259" s="10">
        <v>1510</v>
      </c>
    </row>
    <row r="2260" spans="1:21" x14ac:dyDescent="0.35">
      <c r="A2260" t="s">
        <v>15</v>
      </c>
      <c r="B2260" t="s">
        <v>20</v>
      </c>
      <c r="C2260" t="s">
        <v>17</v>
      </c>
      <c r="D2260">
        <v>167102</v>
      </c>
      <c r="E2260">
        <v>12074</v>
      </c>
      <c r="F2260">
        <v>33379</v>
      </c>
      <c r="G2260">
        <v>-134012</v>
      </c>
      <c r="H2260">
        <v>78543</v>
      </c>
      <c r="I2260">
        <v>79546</v>
      </c>
      <c r="J2260">
        <v>1328</v>
      </c>
      <c r="K2260">
        <v>362194</v>
      </c>
      <c r="L2260">
        <v>65141</v>
      </c>
      <c r="M2260">
        <v>-60005</v>
      </c>
      <c r="N2260">
        <v>134980</v>
      </c>
      <c r="O2260" t="s">
        <v>2278</v>
      </c>
      <c r="P2260" s="9">
        <v>236097</v>
      </c>
      <c r="Q2260" s="9">
        <v>35156</v>
      </c>
      <c r="R2260" s="9">
        <v>271253</v>
      </c>
      <c r="S2260" s="9">
        <v>-78706</v>
      </c>
      <c r="T2260" s="10">
        <v>116841</v>
      </c>
      <c r="U2260" s="10">
        <v>3466</v>
      </c>
    </row>
    <row r="2261" spans="1:21" x14ac:dyDescent="0.35">
      <c r="A2261" t="s">
        <v>15</v>
      </c>
      <c r="B2261" t="s">
        <v>20</v>
      </c>
      <c r="C2261" t="s">
        <v>21</v>
      </c>
      <c r="D2261">
        <v>291352</v>
      </c>
      <c r="E2261">
        <v>44815</v>
      </c>
      <c r="F2261">
        <v>29993</v>
      </c>
      <c r="G2261">
        <v>-265354</v>
      </c>
      <c r="H2261">
        <v>100806</v>
      </c>
      <c r="I2261">
        <v>103430</v>
      </c>
      <c r="J2261">
        <v>2386</v>
      </c>
      <c r="K2261">
        <v>740732</v>
      </c>
      <c r="L2261">
        <v>144977</v>
      </c>
      <c r="M2261">
        <v>-125382</v>
      </c>
      <c r="N2261">
        <v>197119</v>
      </c>
      <c r="O2261" t="s">
        <v>2279</v>
      </c>
      <c r="P2261" s="9">
        <v>159552</v>
      </c>
      <c r="Q2261" s="9">
        <v>22894</v>
      </c>
      <c r="R2261" s="9">
        <v>182446</v>
      </c>
      <c r="S2261" s="9">
        <v>-78714</v>
      </c>
      <c r="T2261" s="10">
        <v>90364</v>
      </c>
      <c r="U2261" s="10">
        <v>2710</v>
      </c>
    </row>
    <row r="2262" spans="1:21" x14ac:dyDescent="0.35">
      <c r="A2262" t="s">
        <v>15</v>
      </c>
      <c r="B2262" t="s">
        <v>20</v>
      </c>
      <c r="C2262" t="s">
        <v>17</v>
      </c>
      <c r="D2262">
        <v>156913</v>
      </c>
      <c r="E2262">
        <v>25499</v>
      </c>
      <c r="F2262">
        <v>26274</v>
      </c>
      <c r="G2262">
        <v>-125594</v>
      </c>
      <c r="H2262">
        <v>83092</v>
      </c>
      <c r="I2262">
        <v>82970</v>
      </c>
      <c r="J2262">
        <v>2002</v>
      </c>
      <c r="K2262">
        <v>518763</v>
      </c>
      <c r="L2262">
        <v>202960</v>
      </c>
      <c r="M2262">
        <v>-159253</v>
      </c>
      <c r="N2262">
        <v>82859</v>
      </c>
      <c r="O2262" t="s">
        <v>2280</v>
      </c>
      <c r="P2262" s="9">
        <v>219344</v>
      </c>
      <c r="Q2262" s="9">
        <v>30622</v>
      </c>
      <c r="R2262" s="9">
        <v>249966</v>
      </c>
      <c r="S2262" s="9">
        <v>-125999</v>
      </c>
      <c r="T2262" s="10">
        <v>98211</v>
      </c>
      <c r="U2262" s="10">
        <v>2855</v>
      </c>
    </row>
    <row r="2263" spans="1:21" x14ac:dyDescent="0.35">
      <c r="A2263" t="s">
        <v>15</v>
      </c>
      <c r="B2263" t="s">
        <v>16</v>
      </c>
      <c r="C2263" t="s">
        <v>21</v>
      </c>
      <c r="D2263">
        <v>265054</v>
      </c>
      <c r="E2263">
        <v>48066</v>
      </c>
      <c r="F2263">
        <v>52596</v>
      </c>
      <c r="G2263">
        <v>-243254</v>
      </c>
      <c r="H2263">
        <v>122462</v>
      </c>
      <c r="I2263">
        <v>112646</v>
      </c>
      <c r="J2263">
        <v>2012</v>
      </c>
      <c r="K2263">
        <v>803963</v>
      </c>
      <c r="L2263">
        <v>281303</v>
      </c>
      <c r="M2263">
        <v>-195153</v>
      </c>
      <c r="N2263">
        <v>130627</v>
      </c>
      <c r="O2263" t="s">
        <v>2281</v>
      </c>
      <c r="P2263" s="9">
        <v>165689</v>
      </c>
      <c r="Q2263" s="9">
        <v>35709</v>
      </c>
      <c r="R2263" s="9">
        <v>201398</v>
      </c>
      <c r="S2263" s="9">
        <v>-112153</v>
      </c>
      <c r="T2263" s="10">
        <v>93283</v>
      </c>
      <c r="U2263" s="10">
        <v>2448</v>
      </c>
    </row>
    <row r="2264" spans="1:21" x14ac:dyDescent="0.35">
      <c r="A2264" t="s">
        <v>15</v>
      </c>
      <c r="B2264" t="s">
        <v>16</v>
      </c>
      <c r="C2264" t="s">
        <v>21</v>
      </c>
      <c r="D2264">
        <v>186399</v>
      </c>
      <c r="E2264">
        <v>30866</v>
      </c>
      <c r="F2264">
        <v>42282</v>
      </c>
      <c r="G2264">
        <v>-177711</v>
      </c>
      <c r="H2264">
        <v>81836</v>
      </c>
      <c r="I2264">
        <v>77887</v>
      </c>
      <c r="J2264">
        <v>1561</v>
      </c>
      <c r="K2264">
        <v>688897</v>
      </c>
      <c r="L2264">
        <v>168884</v>
      </c>
      <c r="M2264">
        <v>-199971</v>
      </c>
      <c r="N2264">
        <v>97333</v>
      </c>
      <c r="O2264" t="s">
        <v>2282</v>
      </c>
      <c r="P2264" s="9">
        <v>315031</v>
      </c>
      <c r="Q2264" s="9">
        <v>36484</v>
      </c>
      <c r="R2264" s="9">
        <v>351515</v>
      </c>
      <c r="S2264" s="9">
        <v>-96113</v>
      </c>
      <c r="T2264" s="10">
        <v>108489</v>
      </c>
      <c r="U2264" s="10">
        <v>2463</v>
      </c>
    </row>
    <row r="2265" spans="1:21" x14ac:dyDescent="0.35">
      <c r="A2265" t="s">
        <v>15</v>
      </c>
      <c r="B2265" t="s">
        <v>16</v>
      </c>
      <c r="C2265" t="s">
        <v>21</v>
      </c>
      <c r="D2265">
        <v>189592</v>
      </c>
      <c r="E2265">
        <v>9710</v>
      </c>
      <c r="F2265">
        <v>28783</v>
      </c>
      <c r="G2265">
        <v>-171218</v>
      </c>
      <c r="H2265">
        <v>56867</v>
      </c>
      <c r="I2265">
        <v>59485</v>
      </c>
      <c r="J2265">
        <v>1703</v>
      </c>
      <c r="K2265">
        <v>404635</v>
      </c>
      <c r="L2265">
        <v>194362</v>
      </c>
      <c r="M2265">
        <v>-76744</v>
      </c>
      <c r="N2265">
        <v>146986</v>
      </c>
      <c r="O2265" t="s">
        <v>2283</v>
      </c>
      <c r="P2265" s="9">
        <v>236695</v>
      </c>
      <c r="Q2265" s="9">
        <v>32181</v>
      </c>
      <c r="R2265" s="9">
        <v>268876</v>
      </c>
      <c r="S2265" s="9">
        <v>-87450</v>
      </c>
      <c r="T2265" s="10">
        <v>125921</v>
      </c>
      <c r="U2265" s="10">
        <v>1722</v>
      </c>
    </row>
    <row r="2266" spans="1:21" x14ac:dyDescent="0.35">
      <c r="A2266" t="s">
        <v>15</v>
      </c>
      <c r="B2266" t="s">
        <v>20</v>
      </c>
      <c r="C2266" t="s">
        <v>21</v>
      </c>
      <c r="D2266">
        <v>176442</v>
      </c>
      <c r="E2266">
        <v>30442</v>
      </c>
      <c r="F2266">
        <v>18047</v>
      </c>
      <c r="G2266">
        <v>-167773</v>
      </c>
      <c r="H2266">
        <v>57158</v>
      </c>
      <c r="I2266">
        <v>54191</v>
      </c>
      <c r="J2266">
        <v>1458</v>
      </c>
      <c r="K2266">
        <v>400347</v>
      </c>
      <c r="L2266">
        <v>149014</v>
      </c>
      <c r="M2266">
        <v>-40889</v>
      </c>
      <c r="N2266">
        <v>144333</v>
      </c>
      <c r="O2266" t="s">
        <v>2284</v>
      </c>
      <c r="P2266" s="9">
        <v>185010</v>
      </c>
      <c r="Q2266" s="9">
        <v>24750</v>
      </c>
      <c r="R2266" s="9">
        <v>209760</v>
      </c>
      <c r="S2266" s="9">
        <v>-81615</v>
      </c>
      <c r="T2266" s="10">
        <v>66942</v>
      </c>
      <c r="U2266" s="10">
        <v>1129</v>
      </c>
    </row>
    <row r="2267" spans="1:21" x14ac:dyDescent="0.35">
      <c r="A2267" t="s">
        <v>15</v>
      </c>
      <c r="B2267" t="s">
        <v>16</v>
      </c>
      <c r="C2267" t="s">
        <v>21</v>
      </c>
      <c r="D2267">
        <v>194975</v>
      </c>
      <c r="E2267">
        <v>10702</v>
      </c>
      <c r="F2267">
        <v>46058</v>
      </c>
      <c r="G2267">
        <v>-171614</v>
      </c>
      <c r="H2267">
        <v>80121</v>
      </c>
      <c r="I2267">
        <v>72924</v>
      </c>
      <c r="J2267">
        <v>1518</v>
      </c>
      <c r="K2267">
        <v>720357</v>
      </c>
      <c r="L2267">
        <v>73328</v>
      </c>
      <c r="M2267">
        <v>-205129</v>
      </c>
      <c r="N2267">
        <v>145618</v>
      </c>
      <c r="O2267" t="s">
        <v>2285</v>
      </c>
      <c r="P2267" s="9">
        <v>265068</v>
      </c>
      <c r="Q2267" s="9">
        <v>36967</v>
      </c>
      <c r="R2267" s="9">
        <v>302035</v>
      </c>
      <c r="S2267" s="9">
        <v>-89707</v>
      </c>
      <c r="T2267" s="10">
        <v>100333</v>
      </c>
      <c r="U2267" s="10">
        <v>2792</v>
      </c>
    </row>
    <row r="2268" spans="1:21" x14ac:dyDescent="0.35">
      <c r="A2268" t="s">
        <v>15</v>
      </c>
      <c r="B2268" t="s">
        <v>16</v>
      </c>
      <c r="C2268" t="s">
        <v>17</v>
      </c>
      <c r="D2268">
        <v>224054</v>
      </c>
      <c r="E2268">
        <v>20950</v>
      </c>
      <c r="F2268">
        <v>42416</v>
      </c>
      <c r="G2268">
        <v>-218544</v>
      </c>
      <c r="H2268">
        <v>68876</v>
      </c>
      <c r="I2268">
        <v>70775</v>
      </c>
      <c r="J2268">
        <v>1169</v>
      </c>
      <c r="K2268">
        <v>554683</v>
      </c>
      <c r="L2268">
        <v>187514</v>
      </c>
      <c r="M2268">
        <v>-173221</v>
      </c>
      <c r="N2268">
        <v>91660</v>
      </c>
      <c r="O2268" t="s">
        <v>2286</v>
      </c>
      <c r="P2268" s="9">
        <v>219946</v>
      </c>
      <c r="Q2268" s="9">
        <v>18809</v>
      </c>
      <c r="R2268" s="9">
        <v>238755</v>
      </c>
      <c r="S2268" s="9">
        <v>-118603</v>
      </c>
      <c r="T2268" s="10">
        <v>94337</v>
      </c>
      <c r="U2268" s="10">
        <v>2653</v>
      </c>
    </row>
    <row r="2269" spans="1:21" x14ac:dyDescent="0.35">
      <c r="A2269" t="s">
        <v>15</v>
      </c>
      <c r="B2269" t="s">
        <v>16</v>
      </c>
      <c r="C2269" t="s">
        <v>21</v>
      </c>
      <c r="D2269">
        <v>181536</v>
      </c>
      <c r="E2269">
        <v>30394</v>
      </c>
      <c r="F2269">
        <v>39144</v>
      </c>
      <c r="G2269">
        <v>-147051</v>
      </c>
      <c r="H2269">
        <v>104023</v>
      </c>
      <c r="I2269">
        <v>98693</v>
      </c>
      <c r="J2269">
        <v>2677</v>
      </c>
      <c r="K2269">
        <v>575345</v>
      </c>
      <c r="L2269">
        <v>60032</v>
      </c>
      <c r="M2269">
        <v>-206864</v>
      </c>
      <c r="N2269">
        <v>66448</v>
      </c>
      <c r="O2269" t="s">
        <v>2287</v>
      </c>
      <c r="P2269" s="9">
        <v>230562</v>
      </c>
      <c r="Q2269" s="9">
        <v>18008</v>
      </c>
      <c r="R2269" s="9">
        <v>248570</v>
      </c>
      <c r="S2269" s="9">
        <v>-74204</v>
      </c>
      <c r="T2269" s="10">
        <v>97103</v>
      </c>
      <c r="U2269" s="10">
        <v>2200</v>
      </c>
    </row>
    <row r="2270" spans="1:21" x14ac:dyDescent="0.35">
      <c r="A2270" t="s">
        <v>15</v>
      </c>
      <c r="B2270" t="s">
        <v>16</v>
      </c>
      <c r="C2270" t="s">
        <v>21</v>
      </c>
      <c r="D2270">
        <v>295780</v>
      </c>
      <c r="E2270">
        <v>41713</v>
      </c>
      <c r="F2270">
        <v>66486</v>
      </c>
      <c r="G2270">
        <v>-261883</v>
      </c>
      <c r="H2270">
        <v>142096</v>
      </c>
      <c r="I2270">
        <v>146396</v>
      </c>
      <c r="J2270">
        <v>4300</v>
      </c>
      <c r="K2270">
        <v>989600</v>
      </c>
      <c r="L2270">
        <v>294667</v>
      </c>
      <c r="M2270">
        <v>-101622</v>
      </c>
      <c r="N2270">
        <v>206555</v>
      </c>
      <c r="O2270" t="s">
        <v>2288</v>
      </c>
      <c r="P2270" s="9">
        <v>180406</v>
      </c>
      <c r="Q2270" s="9">
        <v>16119</v>
      </c>
      <c r="R2270" s="9">
        <v>196525</v>
      </c>
      <c r="S2270" s="9">
        <v>-83276</v>
      </c>
      <c r="T2270" s="10">
        <v>67616</v>
      </c>
      <c r="U2270" s="10">
        <v>1102</v>
      </c>
    </row>
    <row r="2271" spans="1:21" x14ac:dyDescent="0.35">
      <c r="A2271" t="s">
        <v>15</v>
      </c>
      <c r="B2271" t="s">
        <v>16</v>
      </c>
      <c r="C2271" t="s">
        <v>21</v>
      </c>
      <c r="D2271">
        <v>278531</v>
      </c>
      <c r="E2271">
        <v>50008</v>
      </c>
      <c r="F2271">
        <v>41617</v>
      </c>
      <c r="G2271">
        <v>-228294</v>
      </c>
      <c r="H2271">
        <v>141862</v>
      </c>
      <c r="I2271">
        <v>138915</v>
      </c>
      <c r="J2271">
        <v>3660</v>
      </c>
      <c r="K2271">
        <v>1078930</v>
      </c>
      <c r="L2271">
        <v>159958</v>
      </c>
      <c r="M2271">
        <v>-354292</v>
      </c>
      <c r="N2271">
        <v>100734</v>
      </c>
      <c r="O2271" t="s">
        <v>2289</v>
      </c>
      <c r="P2271" s="9">
        <v>183438</v>
      </c>
      <c r="Q2271" s="9">
        <v>20324</v>
      </c>
      <c r="R2271" s="9">
        <v>203762</v>
      </c>
      <c r="S2271" s="9">
        <v>-118362</v>
      </c>
      <c r="T2271" s="10">
        <v>91756</v>
      </c>
      <c r="U2271" s="10">
        <v>1753</v>
      </c>
    </row>
    <row r="2272" spans="1:21" x14ac:dyDescent="0.35">
      <c r="A2272" t="s">
        <v>15</v>
      </c>
      <c r="B2272" t="s">
        <v>16</v>
      </c>
      <c r="C2272" t="s">
        <v>21</v>
      </c>
      <c r="D2272">
        <v>237815</v>
      </c>
      <c r="E2272">
        <v>41034</v>
      </c>
      <c r="F2272">
        <v>41124</v>
      </c>
      <c r="G2272">
        <v>-235335</v>
      </c>
      <c r="H2272">
        <v>84638</v>
      </c>
      <c r="I2272">
        <v>80815</v>
      </c>
      <c r="J2272">
        <v>919</v>
      </c>
      <c r="K2272">
        <v>828819</v>
      </c>
      <c r="L2272">
        <v>135648</v>
      </c>
      <c r="M2272">
        <v>-277312</v>
      </c>
      <c r="N2272">
        <v>152056</v>
      </c>
      <c r="O2272" t="s">
        <v>2290</v>
      </c>
      <c r="P2272" s="9">
        <v>282491</v>
      </c>
      <c r="Q2272" s="9">
        <v>50380</v>
      </c>
      <c r="R2272" s="9">
        <v>332871</v>
      </c>
      <c r="S2272" s="9">
        <v>-76447</v>
      </c>
      <c r="T2272" s="10">
        <v>165528</v>
      </c>
      <c r="U2272" s="10">
        <v>3740</v>
      </c>
    </row>
    <row r="2273" spans="1:21" x14ac:dyDescent="0.35">
      <c r="A2273" t="s">
        <v>15</v>
      </c>
      <c r="B2273" t="s">
        <v>20</v>
      </c>
      <c r="C2273" t="s">
        <v>17</v>
      </c>
      <c r="D2273">
        <v>232165</v>
      </c>
      <c r="E2273">
        <v>19731</v>
      </c>
      <c r="F2273">
        <v>40788</v>
      </c>
      <c r="G2273">
        <v>-225720</v>
      </c>
      <c r="H2273">
        <v>66964</v>
      </c>
      <c r="I2273">
        <v>64230</v>
      </c>
      <c r="J2273">
        <v>1753</v>
      </c>
      <c r="K2273">
        <v>764535</v>
      </c>
      <c r="L2273">
        <v>368111</v>
      </c>
      <c r="M2273">
        <v>-206118</v>
      </c>
      <c r="N2273">
        <v>75530</v>
      </c>
      <c r="O2273" t="s">
        <v>2291</v>
      </c>
      <c r="P2273" s="9">
        <v>300573</v>
      </c>
      <c r="Q2273" s="9">
        <v>17757</v>
      </c>
      <c r="R2273" s="9">
        <v>318330</v>
      </c>
      <c r="S2273" s="9">
        <v>-91018</v>
      </c>
      <c r="T2273" s="10">
        <v>86876</v>
      </c>
      <c r="U2273" s="10">
        <v>1426</v>
      </c>
    </row>
    <row r="2274" spans="1:21" x14ac:dyDescent="0.35">
      <c r="A2274" t="s">
        <v>15</v>
      </c>
      <c r="B2274" t="s">
        <v>20</v>
      </c>
      <c r="C2274" t="s">
        <v>21</v>
      </c>
      <c r="D2274">
        <v>231561</v>
      </c>
      <c r="E2274">
        <v>39715</v>
      </c>
      <c r="F2274">
        <v>53574</v>
      </c>
      <c r="G2274">
        <v>-226273</v>
      </c>
      <c r="H2274">
        <v>98577</v>
      </c>
      <c r="I2274">
        <v>96839</v>
      </c>
      <c r="J2274">
        <v>2365</v>
      </c>
      <c r="K2274">
        <v>637529</v>
      </c>
      <c r="L2274">
        <v>286134</v>
      </c>
      <c r="M2274">
        <v>-67382</v>
      </c>
      <c r="N2274">
        <v>89796</v>
      </c>
      <c r="O2274" t="s">
        <v>2292</v>
      </c>
      <c r="P2274" s="9">
        <v>242141</v>
      </c>
      <c r="Q2274" s="9">
        <v>38666</v>
      </c>
      <c r="R2274" s="9">
        <v>280807</v>
      </c>
      <c r="S2274" s="9">
        <v>-88848</v>
      </c>
      <c r="T2274" s="10">
        <v>66956</v>
      </c>
      <c r="U2274" s="10">
        <v>1154</v>
      </c>
    </row>
    <row r="2275" spans="1:21" x14ac:dyDescent="0.35">
      <c r="A2275" t="s">
        <v>15</v>
      </c>
      <c r="B2275" t="s">
        <v>20</v>
      </c>
      <c r="C2275" t="s">
        <v>21</v>
      </c>
      <c r="D2275">
        <v>177887</v>
      </c>
      <c r="E2275">
        <v>10811</v>
      </c>
      <c r="F2275">
        <v>19991</v>
      </c>
      <c r="G2275">
        <v>-176993</v>
      </c>
      <c r="H2275">
        <v>31696</v>
      </c>
      <c r="I2275">
        <v>30641</v>
      </c>
      <c r="J2275">
        <v>816</v>
      </c>
      <c r="K2275">
        <v>394392</v>
      </c>
      <c r="L2275">
        <v>90839</v>
      </c>
      <c r="M2275">
        <v>-149229</v>
      </c>
      <c r="N2275">
        <v>116702</v>
      </c>
      <c r="O2275" t="s">
        <v>2293</v>
      </c>
      <c r="P2275" s="9">
        <v>268595</v>
      </c>
      <c r="Q2275" s="9">
        <v>17256</v>
      </c>
      <c r="R2275" s="9">
        <v>285851</v>
      </c>
      <c r="S2275" s="9">
        <v>-103140</v>
      </c>
      <c r="T2275" s="10">
        <v>46597</v>
      </c>
      <c r="U2275" s="10">
        <v>641</v>
      </c>
    </row>
    <row r="2276" spans="1:21" x14ac:dyDescent="0.35">
      <c r="A2276" t="s">
        <v>15</v>
      </c>
      <c r="B2276" t="s">
        <v>16</v>
      </c>
      <c r="C2276" t="s">
        <v>21</v>
      </c>
      <c r="D2276">
        <v>276880</v>
      </c>
      <c r="E2276">
        <v>32633</v>
      </c>
      <c r="F2276">
        <v>28192</v>
      </c>
      <c r="G2276">
        <v>-250368</v>
      </c>
      <c r="H2276">
        <v>87337</v>
      </c>
      <c r="I2276">
        <v>83100</v>
      </c>
      <c r="J2276">
        <v>1352</v>
      </c>
      <c r="K2276">
        <v>583166</v>
      </c>
      <c r="L2276">
        <v>75330</v>
      </c>
      <c r="M2276">
        <v>-108140</v>
      </c>
      <c r="N2276">
        <v>230780</v>
      </c>
      <c r="O2276" t="s">
        <v>2294</v>
      </c>
      <c r="P2276" s="9">
        <v>295260</v>
      </c>
      <c r="Q2276" s="9">
        <v>21003</v>
      </c>
      <c r="R2276" s="9">
        <v>316263</v>
      </c>
      <c r="S2276" s="9">
        <v>-158662</v>
      </c>
      <c r="T2276" s="10">
        <v>101738</v>
      </c>
      <c r="U2276" s="10">
        <v>1571</v>
      </c>
    </row>
    <row r="2277" spans="1:21" x14ac:dyDescent="0.35">
      <c r="A2277" t="s">
        <v>15</v>
      </c>
      <c r="B2277" t="s">
        <v>16</v>
      </c>
      <c r="C2277" t="s">
        <v>21</v>
      </c>
      <c r="D2277">
        <v>268338</v>
      </c>
      <c r="E2277">
        <v>25696</v>
      </c>
      <c r="F2277">
        <v>61303</v>
      </c>
      <c r="G2277">
        <v>-263422</v>
      </c>
      <c r="H2277">
        <v>91915</v>
      </c>
      <c r="I2277">
        <v>88039</v>
      </c>
      <c r="J2277">
        <v>1675</v>
      </c>
      <c r="K2277">
        <v>896905</v>
      </c>
      <c r="L2277">
        <v>327906</v>
      </c>
      <c r="M2277">
        <v>-329673</v>
      </c>
      <c r="N2277">
        <v>226880</v>
      </c>
      <c r="O2277" t="s">
        <v>2295</v>
      </c>
      <c r="P2277" s="9">
        <v>286573</v>
      </c>
      <c r="Q2277" s="9">
        <v>19539</v>
      </c>
      <c r="R2277" s="9">
        <v>306112</v>
      </c>
      <c r="S2277" s="9">
        <v>-114701</v>
      </c>
      <c r="T2277" s="10">
        <v>82761</v>
      </c>
      <c r="U2277" s="10">
        <v>2243</v>
      </c>
    </row>
    <row r="2278" spans="1:21" x14ac:dyDescent="0.35">
      <c r="A2278" t="s">
        <v>15</v>
      </c>
      <c r="B2278" t="s">
        <v>20</v>
      </c>
      <c r="C2278" t="s">
        <v>21</v>
      </c>
      <c r="D2278">
        <v>238994</v>
      </c>
      <c r="E2278">
        <v>16041</v>
      </c>
      <c r="F2278">
        <v>59225</v>
      </c>
      <c r="G2278">
        <v>-226602</v>
      </c>
      <c r="H2278">
        <v>87658</v>
      </c>
      <c r="I2278">
        <v>79345</v>
      </c>
      <c r="J2278">
        <v>1282</v>
      </c>
      <c r="K2278">
        <v>822715</v>
      </c>
      <c r="L2278">
        <v>125499</v>
      </c>
      <c r="M2278">
        <v>-193195</v>
      </c>
      <c r="N2278">
        <v>88016</v>
      </c>
      <c r="O2278" t="s">
        <v>2296</v>
      </c>
      <c r="P2278" s="9">
        <v>264613</v>
      </c>
      <c r="Q2278" s="9">
        <v>24953</v>
      </c>
      <c r="R2278" s="9">
        <v>289566</v>
      </c>
      <c r="S2278" s="9">
        <v>-158589</v>
      </c>
      <c r="T2278" s="10">
        <v>88636</v>
      </c>
      <c r="U2278" s="10">
        <v>2002</v>
      </c>
    </row>
    <row r="2279" spans="1:21" x14ac:dyDescent="0.35">
      <c r="A2279" t="s">
        <v>15</v>
      </c>
      <c r="B2279" t="s">
        <v>20</v>
      </c>
      <c r="C2279" t="s">
        <v>21</v>
      </c>
      <c r="D2279">
        <v>263377</v>
      </c>
      <c r="E2279">
        <v>41213</v>
      </c>
      <c r="F2279">
        <v>32049</v>
      </c>
      <c r="G2279">
        <v>-256813</v>
      </c>
      <c r="H2279">
        <v>79826</v>
      </c>
      <c r="I2279">
        <v>74616</v>
      </c>
      <c r="J2279">
        <v>762</v>
      </c>
      <c r="K2279">
        <v>571364</v>
      </c>
      <c r="L2279">
        <v>165916</v>
      </c>
      <c r="M2279">
        <v>-116313</v>
      </c>
      <c r="N2279">
        <v>101002</v>
      </c>
      <c r="O2279" t="s">
        <v>2297</v>
      </c>
      <c r="P2279" s="9">
        <v>164464</v>
      </c>
      <c r="Q2279" s="9">
        <v>36664</v>
      </c>
      <c r="R2279" s="9">
        <v>201128</v>
      </c>
      <c r="S2279" s="9">
        <v>-44177</v>
      </c>
      <c r="T2279" s="10">
        <v>78399</v>
      </c>
      <c r="U2279" s="10">
        <v>1174</v>
      </c>
    </row>
    <row r="2280" spans="1:21" x14ac:dyDescent="0.35">
      <c r="A2280" t="s">
        <v>15</v>
      </c>
      <c r="B2280" t="s">
        <v>20</v>
      </c>
      <c r="C2280" t="s">
        <v>17</v>
      </c>
      <c r="D2280">
        <v>291089</v>
      </c>
      <c r="E2280">
        <v>34535</v>
      </c>
      <c r="F2280">
        <v>63899</v>
      </c>
      <c r="G2280">
        <v>-267484</v>
      </c>
      <c r="H2280">
        <v>122039</v>
      </c>
      <c r="I2280">
        <v>122358</v>
      </c>
      <c r="J2280">
        <v>1741</v>
      </c>
      <c r="K2280">
        <v>748306</v>
      </c>
      <c r="L2280">
        <v>130706</v>
      </c>
      <c r="M2280">
        <v>-221500</v>
      </c>
      <c r="N2280">
        <v>89307</v>
      </c>
      <c r="O2280" t="s">
        <v>2298</v>
      </c>
      <c r="P2280" s="9">
        <v>178593</v>
      </c>
      <c r="Q2280" s="9">
        <v>33117</v>
      </c>
      <c r="R2280" s="9">
        <v>211710</v>
      </c>
      <c r="S2280" s="9">
        <v>-80367</v>
      </c>
      <c r="T2280" s="10">
        <v>84237</v>
      </c>
      <c r="U2280" s="10">
        <v>1250</v>
      </c>
    </row>
    <row r="2281" spans="1:21" x14ac:dyDescent="0.35">
      <c r="A2281" t="s">
        <v>15</v>
      </c>
      <c r="B2281" t="s">
        <v>16</v>
      </c>
      <c r="C2281" t="s">
        <v>21</v>
      </c>
      <c r="D2281">
        <v>216273</v>
      </c>
      <c r="E2281">
        <v>35192</v>
      </c>
      <c r="F2281">
        <v>43132</v>
      </c>
      <c r="G2281">
        <v>-212893</v>
      </c>
      <c r="H2281">
        <v>81704</v>
      </c>
      <c r="I2281">
        <v>84834</v>
      </c>
      <c r="J2281">
        <v>1468</v>
      </c>
      <c r="K2281">
        <v>778259</v>
      </c>
      <c r="L2281">
        <v>193309</v>
      </c>
      <c r="M2281">
        <v>-159842</v>
      </c>
      <c r="N2281">
        <v>87365</v>
      </c>
      <c r="O2281" t="s">
        <v>2299</v>
      </c>
      <c r="P2281" s="9">
        <v>252376</v>
      </c>
      <c r="Q2281" s="9">
        <v>22977</v>
      </c>
      <c r="R2281" s="9">
        <v>275353</v>
      </c>
      <c r="S2281" s="9">
        <v>-153244</v>
      </c>
      <c r="T2281" s="10">
        <v>89909</v>
      </c>
      <c r="U2281" s="10">
        <v>951</v>
      </c>
    </row>
    <row r="2282" spans="1:21" x14ac:dyDescent="0.35">
      <c r="A2282" t="s">
        <v>15</v>
      </c>
      <c r="B2282" t="s">
        <v>16</v>
      </c>
      <c r="C2282" t="s">
        <v>21</v>
      </c>
      <c r="D2282">
        <v>233886</v>
      </c>
      <c r="E2282">
        <v>38993</v>
      </c>
      <c r="F2282">
        <v>35573</v>
      </c>
      <c r="G2282">
        <v>-207881</v>
      </c>
      <c r="H2282">
        <v>100571</v>
      </c>
      <c r="I2282">
        <v>94847</v>
      </c>
      <c r="J2282">
        <v>1803</v>
      </c>
      <c r="K2282">
        <v>872186</v>
      </c>
      <c r="L2282">
        <v>225471</v>
      </c>
      <c r="M2282">
        <v>-271896</v>
      </c>
      <c r="N2282">
        <v>76743</v>
      </c>
      <c r="O2282" t="s">
        <v>2300</v>
      </c>
      <c r="P2282" s="9">
        <v>166050</v>
      </c>
      <c r="Q2282" s="9">
        <v>20064</v>
      </c>
      <c r="R2282" s="9">
        <v>186114</v>
      </c>
      <c r="S2282" s="9">
        <v>-104620</v>
      </c>
      <c r="T2282" s="10">
        <v>43984</v>
      </c>
      <c r="U2282" s="10">
        <v>688</v>
      </c>
    </row>
    <row r="2283" spans="1:21" x14ac:dyDescent="0.35">
      <c r="A2283" t="s">
        <v>15</v>
      </c>
      <c r="B2283" t="s">
        <v>16</v>
      </c>
      <c r="C2283" t="s">
        <v>17</v>
      </c>
      <c r="D2283">
        <v>241151</v>
      </c>
      <c r="E2283">
        <v>47539</v>
      </c>
      <c r="F2283">
        <v>53497</v>
      </c>
      <c r="G2283">
        <v>-207923</v>
      </c>
      <c r="H2283">
        <v>134264</v>
      </c>
      <c r="I2283">
        <v>127811</v>
      </c>
      <c r="J2283">
        <v>1791</v>
      </c>
      <c r="K2283">
        <v>845697</v>
      </c>
      <c r="L2283">
        <v>394530</v>
      </c>
      <c r="M2283">
        <v>-109497</v>
      </c>
      <c r="N2283">
        <v>104893</v>
      </c>
      <c r="O2283" t="s">
        <v>2301</v>
      </c>
      <c r="P2283" s="9">
        <v>268942</v>
      </c>
      <c r="Q2283" s="9">
        <v>24197</v>
      </c>
      <c r="R2283" s="9">
        <v>293139</v>
      </c>
      <c r="S2283" s="9">
        <v>-110595</v>
      </c>
      <c r="T2283" s="10">
        <v>94665</v>
      </c>
      <c r="U2283" s="10">
        <v>2447</v>
      </c>
    </row>
    <row r="2284" spans="1:21" x14ac:dyDescent="0.35">
      <c r="A2284" t="s">
        <v>15</v>
      </c>
      <c r="B2284" t="s">
        <v>16</v>
      </c>
      <c r="C2284" t="s">
        <v>21</v>
      </c>
      <c r="D2284">
        <v>239171</v>
      </c>
      <c r="E2284">
        <v>46656</v>
      </c>
      <c r="F2284">
        <v>53996</v>
      </c>
      <c r="G2284">
        <v>-226110</v>
      </c>
      <c r="H2284">
        <v>113713</v>
      </c>
      <c r="I2284">
        <v>114651</v>
      </c>
      <c r="J2284">
        <v>1282</v>
      </c>
      <c r="K2284">
        <v>820078</v>
      </c>
      <c r="L2284">
        <v>341952</v>
      </c>
      <c r="M2284">
        <v>-105101</v>
      </c>
      <c r="N2284">
        <v>77611</v>
      </c>
      <c r="O2284" t="s">
        <v>2302</v>
      </c>
      <c r="P2284" s="9">
        <v>234541</v>
      </c>
      <c r="Q2284" s="9">
        <v>26234</v>
      </c>
      <c r="R2284" s="9">
        <v>260775</v>
      </c>
      <c r="S2284" s="9">
        <v>-103747</v>
      </c>
      <c r="T2284" s="10">
        <v>68297</v>
      </c>
      <c r="U2284" s="10">
        <v>1781</v>
      </c>
    </row>
    <row r="2285" spans="1:21" x14ac:dyDescent="0.35">
      <c r="A2285" t="s">
        <v>15</v>
      </c>
      <c r="B2285" t="s">
        <v>16</v>
      </c>
      <c r="C2285" t="s">
        <v>21</v>
      </c>
      <c r="D2285">
        <v>202076</v>
      </c>
      <c r="E2285">
        <v>24594</v>
      </c>
      <c r="F2285">
        <v>33582</v>
      </c>
      <c r="G2285">
        <v>-174190</v>
      </c>
      <c r="H2285">
        <v>86062</v>
      </c>
      <c r="I2285">
        <v>88353</v>
      </c>
      <c r="J2285">
        <v>2168</v>
      </c>
      <c r="K2285">
        <v>598316</v>
      </c>
      <c r="L2285">
        <v>197569</v>
      </c>
      <c r="M2285">
        <v>-205190</v>
      </c>
      <c r="N2285">
        <v>85861</v>
      </c>
      <c r="O2285" t="s">
        <v>2303</v>
      </c>
      <c r="P2285" s="9">
        <v>217032</v>
      </c>
      <c r="Q2285" s="9">
        <v>24751</v>
      </c>
      <c r="R2285" s="9">
        <v>241783</v>
      </c>
      <c r="S2285" s="9">
        <v>-128577</v>
      </c>
      <c r="T2285" s="10">
        <v>92347</v>
      </c>
      <c r="U2285" s="10">
        <v>1916</v>
      </c>
    </row>
    <row r="2286" spans="1:21" x14ac:dyDescent="0.35">
      <c r="A2286" t="s">
        <v>15</v>
      </c>
      <c r="B2286" t="s">
        <v>16</v>
      </c>
      <c r="C2286" t="s">
        <v>21</v>
      </c>
      <c r="D2286">
        <v>263746</v>
      </c>
      <c r="E2286">
        <v>32948</v>
      </c>
      <c r="F2286">
        <v>27773</v>
      </c>
      <c r="G2286">
        <v>-249084</v>
      </c>
      <c r="H2286">
        <v>75383</v>
      </c>
      <c r="I2286">
        <v>71906</v>
      </c>
      <c r="J2286">
        <v>1785</v>
      </c>
      <c r="K2286">
        <v>881654</v>
      </c>
      <c r="L2286">
        <v>418138</v>
      </c>
      <c r="M2286">
        <v>-248357</v>
      </c>
      <c r="N2286">
        <v>232737</v>
      </c>
      <c r="O2286" t="s">
        <v>2304</v>
      </c>
      <c r="P2286" s="9">
        <v>315974</v>
      </c>
      <c r="Q2286" s="9">
        <v>57753</v>
      </c>
      <c r="R2286" s="9">
        <v>373727</v>
      </c>
      <c r="S2286" s="9">
        <v>-212993</v>
      </c>
      <c r="T2286" s="10">
        <v>120175</v>
      </c>
      <c r="U2286" s="10">
        <v>1530</v>
      </c>
    </row>
    <row r="2287" spans="1:21" x14ac:dyDescent="0.35">
      <c r="A2287" t="s">
        <v>15</v>
      </c>
      <c r="B2287" t="s">
        <v>16</v>
      </c>
      <c r="C2287" t="s">
        <v>21</v>
      </c>
      <c r="D2287">
        <v>279766</v>
      </c>
      <c r="E2287">
        <v>40184</v>
      </c>
      <c r="F2287">
        <v>40869</v>
      </c>
      <c r="G2287">
        <v>-260558</v>
      </c>
      <c r="H2287">
        <v>100261</v>
      </c>
      <c r="I2287">
        <v>99359</v>
      </c>
      <c r="J2287">
        <v>2205</v>
      </c>
      <c r="K2287">
        <v>622320</v>
      </c>
      <c r="L2287">
        <v>84545</v>
      </c>
      <c r="M2287">
        <v>-170025</v>
      </c>
      <c r="N2287">
        <v>205228</v>
      </c>
      <c r="O2287" t="s">
        <v>2305</v>
      </c>
      <c r="P2287" s="9">
        <v>250024</v>
      </c>
      <c r="Q2287" s="9">
        <v>44042</v>
      </c>
      <c r="R2287" s="9">
        <v>294066</v>
      </c>
      <c r="S2287" s="9">
        <v>-132775</v>
      </c>
      <c r="T2287" s="10">
        <v>104885</v>
      </c>
      <c r="U2287" s="10">
        <v>2783</v>
      </c>
    </row>
    <row r="2288" spans="1:21" x14ac:dyDescent="0.35">
      <c r="A2288" t="s">
        <v>15</v>
      </c>
      <c r="B2288" t="s">
        <v>20</v>
      </c>
      <c r="C2288" t="s">
        <v>21</v>
      </c>
      <c r="D2288">
        <v>179747</v>
      </c>
      <c r="E2288">
        <v>31265</v>
      </c>
      <c r="F2288">
        <v>21364</v>
      </c>
      <c r="G2288">
        <v>-160947</v>
      </c>
      <c r="H2288">
        <v>71429</v>
      </c>
      <c r="I2288">
        <v>67858</v>
      </c>
      <c r="J2288">
        <v>1685</v>
      </c>
      <c r="K2288">
        <v>461952</v>
      </c>
      <c r="L2288">
        <v>205713</v>
      </c>
      <c r="M2288">
        <v>-118755</v>
      </c>
      <c r="N2288">
        <v>108292</v>
      </c>
      <c r="O2288" t="s">
        <v>2306</v>
      </c>
      <c r="P2288" s="9">
        <v>259408</v>
      </c>
      <c r="Q2288" s="9">
        <v>51932</v>
      </c>
      <c r="R2288" s="9">
        <v>311340</v>
      </c>
      <c r="S2288" s="9">
        <v>-81617</v>
      </c>
      <c r="T2288" s="10">
        <v>113480</v>
      </c>
      <c r="U2288" s="10">
        <v>1997</v>
      </c>
    </row>
    <row r="2289" spans="1:21" x14ac:dyDescent="0.35">
      <c r="A2289" t="s">
        <v>15</v>
      </c>
      <c r="B2289" t="s">
        <v>20</v>
      </c>
      <c r="C2289" t="s">
        <v>17</v>
      </c>
      <c r="D2289">
        <v>224515</v>
      </c>
      <c r="E2289">
        <v>38330</v>
      </c>
      <c r="F2289">
        <v>27203</v>
      </c>
      <c r="G2289">
        <v>-209865</v>
      </c>
      <c r="H2289">
        <v>80183</v>
      </c>
      <c r="I2289">
        <v>82671</v>
      </c>
      <c r="J2289">
        <v>1404</v>
      </c>
      <c r="K2289">
        <v>547174</v>
      </c>
      <c r="L2289">
        <v>128491</v>
      </c>
      <c r="M2289">
        <v>-82364</v>
      </c>
      <c r="N2289">
        <v>86930</v>
      </c>
      <c r="O2289" t="s">
        <v>2307</v>
      </c>
      <c r="P2289" s="9">
        <v>201518</v>
      </c>
      <c r="Q2289" s="9">
        <v>32836</v>
      </c>
      <c r="R2289" s="9">
        <v>234354</v>
      </c>
      <c r="S2289" s="9">
        <v>-112920</v>
      </c>
      <c r="T2289" s="10">
        <v>80585</v>
      </c>
      <c r="U2289" s="10">
        <v>1264</v>
      </c>
    </row>
    <row r="2290" spans="1:21" x14ac:dyDescent="0.35">
      <c r="A2290" t="s">
        <v>15</v>
      </c>
      <c r="B2290" t="s">
        <v>16</v>
      </c>
      <c r="C2290" t="s">
        <v>21</v>
      </c>
      <c r="D2290">
        <v>185139</v>
      </c>
      <c r="E2290">
        <v>21825</v>
      </c>
      <c r="F2290">
        <v>34101</v>
      </c>
      <c r="G2290">
        <v>-157743</v>
      </c>
      <c r="H2290">
        <v>83322</v>
      </c>
      <c r="I2290">
        <v>82423</v>
      </c>
      <c r="J2290">
        <v>1524</v>
      </c>
      <c r="K2290">
        <v>525968</v>
      </c>
      <c r="L2290">
        <v>245709</v>
      </c>
      <c r="M2290">
        <v>-103289</v>
      </c>
      <c r="N2290">
        <v>70810</v>
      </c>
      <c r="O2290" t="s">
        <v>2308</v>
      </c>
      <c r="P2290" s="9">
        <v>181134</v>
      </c>
      <c r="Q2290" s="9">
        <v>29985</v>
      </c>
      <c r="R2290" s="9">
        <v>211119</v>
      </c>
      <c r="S2290" s="9">
        <v>-51112</v>
      </c>
      <c r="T2290" s="10">
        <v>108999</v>
      </c>
      <c r="U2290" s="10">
        <v>1886</v>
      </c>
    </row>
    <row r="2291" spans="1:21" x14ac:dyDescent="0.35">
      <c r="A2291" t="s">
        <v>15</v>
      </c>
      <c r="B2291" t="s">
        <v>20</v>
      </c>
      <c r="C2291" t="s">
        <v>21</v>
      </c>
      <c r="D2291">
        <v>175261</v>
      </c>
      <c r="E2291">
        <v>12857</v>
      </c>
      <c r="F2291">
        <v>43621</v>
      </c>
      <c r="G2291">
        <v>-162662</v>
      </c>
      <c r="H2291">
        <v>69077</v>
      </c>
      <c r="I2291">
        <v>63609</v>
      </c>
      <c r="J2291">
        <v>1484</v>
      </c>
      <c r="K2291">
        <v>434467</v>
      </c>
      <c r="L2291">
        <v>195949</v>
      </c>
      <c r="M2291">
        <v>-109953</v>
      </c>
      <c r="N2291">
        <v>61379</v>
      </c>
      <c r="O2291" t="s">
        <v>2309</v>
      </c>
      <c r="P2291" s="9">
        <v>228848</v>
      </c>
      <c r="Q2291" s="9">
        <v>15174</v>
      </c>
      <c r="R2291" s="9">
        <v>244022</v>
      </c>
      <c r="S2291" s="9">
        <v>-117854</v>
      </c>
      <c r="T2291" s="10">
        <v>55938</v>
      </c>
      <c r="U2291" s="10">
        <v>1377</v>
      </c>
    </row>
    <row r="2292" spans="1:21" x14ac:dyDescent="0.35">
      <c r="A2292" t="s">
        <v>15</v>
      </c>
      <c r="B2292" t="s">
        <v>16</v>
      </c>
      <c r="C2292" t="s">
        <v>21</v>
      </c>
      <c r="D2292">
        <v>200586</v>
      </c>
      <c r="E2292">
        <v>23423</v>
      </c>
      <c r="F2292">
        <v>24729</v>
      </c>
      <c r="G2292">
        <v>-185927</v>
      </c>
      <c r="H2292">
        <v>62811</v>
      </c>
      <c r="I2292">
        <v>57496</v>
      </c>
      <c r="J2292">
        <v>1403</v>
      </c>
      <c r="K2292">
        <v>661396</v>
      </c>
      <c r="L2292">
        <v>133843</v>
      </c>
      <c r="M2292">
        <v>-151331</v>
      </c>
      <c r="N2292">
        <v>128565</v>
      </c>
      <c r="O2292" t="s">
        <v>2310</v>
      </c>
      <c r="P2292" s="9">
        <v>155736</v>
      </c>
      <c r="Q2292" s="9">
        <v>20846</v>
      </c>
      <c r="R2292" s="9">
        <v>176582</v>
      </c>
      <c r="S2292" s="9">
        <v>-86214</v>
      </c>
      <c r="T2292" s="10">
        <v>71632</v>
      </c>
      <c r="U2292" s="10">
        <v>1562</v>
      </c>
    </row>
    <row r="2293" spans="1:21" x14ac:dyDescent="0.35">
      <c r="A2293" t="s">
        <v>15</v>
      </c>
      <c r="B2293" t="s">
        <v>20</v>
      </c>
      <c r="C2293" t="s">
        <v>21</v>
      </c>
      <c r="D2293">
        <v>203736</v>
      </c>
      <c r="E2293">
        <v>31532</v>
      </c>
      <c r="F2293">
        <v>39588</v>
      </c>
      <c r="G2293">
        <v>-191748</v>
      </c>
      <c r="H2293">
        <v>83108</v>
      </c>
      <c r="I2293">
        <v>85708</v>
      </c>
      <c r="J2293">
        <v>2252</v>
      </c>
      <c r="K2293">
        <v>426735</v>
      </c>
      <c r="L2293">
        <v>120563</v>
      </c>
      <c r="M2293">
        <v>-72244</v>
      </c>
      <c r="N2293">
        <v>137836</v>
      </c>
      <c r="O2293" t="s">
        <v>2311</v>
      </c>
      <c r="P2293" s="9">
        <v>240856</v>
      </c>
      <c r="Q2293" s="9">
        <v>28478</v>
      </c>
      <c r="R2293" s="9">
        <v>269334</v>
      </c>
      <c r="S2293" s="9">
        <v>-149862</v>
      </c>
      <c r="T2293" s="10">
        <v>109883</v>
      </c>
      <c r="U2293" s="10">
        <v>1605</v>
      </c>
    </row>
    <row r="2294" spans="1:21" x14ac:dyDescent="0.35">
      <c r="A2294" t="s">
        <v>15</v>
      </c>
      <c r="B2294" t="s">
        <v>20</v>
      </c>
      <c r="C2294" t="s">
        <v>21</v>
      </c>
      <c r="D2294">
        <v>179095</v>
      </c>
      <c r="E2294">
        <v>11270</v>
      </c>
      <c r="F2294">
        <v>31442</v>
      </c>
      <c r="G2294">
        <v>-154782</v>
      </c>
      <c r="H2294">
        <v>67025</v>
      </c>
      <c r="I2294">
        <v>61878</v>
      </c>
      <c r="J2294">
        <v>1154</v>
      </c>
      <c r="K2294">
        <v>411972</v>
      </c>
      <c r="L2294">
        <v>68894</v>
      </c>
      <c r="M2294">
        <v>-80324</v>
      </c>
      <c r="N2294">
        <v>125415</v>
      </c>
      <c r="O2294" t="s">
        <v>2312</v>
      </c>
      <c r="P2294" s="9">
        <v>316553</v>
      </c>
      <c r="Q2294" s="9">
        <v>27270</v>
      </c>
      <c r="R2294" s="9">
        <v>343823</v>
      </c>
      <c r="S2294" s="9">
        <v>-199780</v>
      </c>
      <c r="T2294" s="10">
        <v>106304</v>
      </c>
      <c r="U2294" s="10">
        <v>1173</v>
      </c>
    </row>
    <row r="2295" spans="1:21" x14ac:dyDescent="0.35">
      <c r="A2295" t="s">
        <v>15</v>
      </c>
      <c r="B2295" t="s">
        <v>16</v>
      </c>
      <c r="C2295" t="s">
        <v>17</v>
      </c>
      <c r="D2295">
        <v>169033</v>
      </c>
      <c r="E2295">
        <v>33610</v>
      </c>
      <c r="F2295">
        <v>32480</v>
      </c>
      <c r="G2295">
        <v>-157462</v>
      </c>
      <c r="H2295">
        <v>77661</v>
      </c>
      <c r="I2295">
        <v>77356</v>
      </c>
      <c r="J2295">
        <v>2222</v>
      </c>
      <c r="K2295">
        <v>657311</v>
      </c>
      <c r="L2295">
        <v>308544</v>
      </c>
      <c r="M2295">
        <v>-188489</v>
      </c>
      <c r="N2295">
        <v>103375</v>
      </c>
      <c r="O2295" t="s">
        <v>2313</v>
      </c>
      <c r="P2295" s="9">
        <v>201493</v>
      </c>
      <c r="Q2295" s="9">
        <v>36591</v>
      </c>
      <c r="R2295" s="9">
        <v>238084</v>
      </c>
      <c r="S2295" s="9">
        <v>-66705</v>
      </c>
      <c r="T2295" s="10">
        <v>87556</v>
      </c>
      <c r="U2295" s="10">
        <v>1437</v>
      </c>
    </row>
    <row r="2296" spans="1:21" x14ac:dyDescent="0.35">
      <c r="A2296" t="s">
        <v>15</v>
      </c>
      <c r="B2296" t="s">
        <v>16</v>
      </c>
      <c r="C2296" t="s">
        <v>17</v>
      </c>
      <c r="D2296">
        <v>284554</v>
      </c>
      <c r="E2296">
        <v>39427</v>
      </c>
      <c r="F2296">
        <v>51440</v>
      </c>
      <c r="G2296">
        <v>-231833</v>
      </c>
      <c r="H2296">
        <v>143588</v>
      </c>
      <c r="I2296">
        <v>129545</v>
      </c>
      <c r="J2296">
        <v>1564</v>
      </c>
      <c r="K2296">
        <v>873464</v>
      </c>
      <c r="L2296">
        <v>363213</v>
      </c>
      <c r="M2296">
        <v>-270288</v>
      </c>
      <c r="N2296">
        <v>121063</v>
      </c>
      <c r="O2296" t="s">
        <v>2314</v>
      </c>
      <c r="P2296" s="9">
        <v>201895</v>
      </c>
      <c r="Q2296" s="9">
        <v>32117</v>
      </c>
      <c r="R2296" s="9">
        <v>234012</v>
      </c>
      <c r="S2296" s="9">
        <v>-68399</v>
      </c>
      <c r="T2296" s="10">
        <v>91454</v>
      </c>
      <c r="U2296" s="10">
        <v>1526</v>
      </c>
    </row>
    <row r="2297" spans="1:21" x14ac:dyDescent="0.35">
      <c r="A2297" t="s">
        <v>15</v>
      </c>
      <c r="B2297" t="s">
        <v>16</v>
      </c>
      <c r="C2297" t="s">
        <v>21</v>
      </c>
      <c r="D2297">
        <v>192602</v>
      </c>
      <c r="E2297">
        <v>22996</v>
      </c>
      <c r="F2297">
        <v>23027</v>
      </c>
      <c r="G2297">
        <v>-184595</v>
      </c>
      <c r="H2297">
        <v>54030</v>
      </c>
      <c r="I2297">
        <v>50658</v>
      </c>
      <c r="J2297">
        <v>1352</v>
      </c>
      <c r="K2297">
        <v>418952</v>
      </c>
      <c r="L2297">
        <v>149849</v>
      </c>
      <c r="M2297">
        <v>-153911</v>
      </c>
      <c r="N2297">
        <v>140821</v>
      </c>
      <c r="O2297" t="s">
        <v>2315</v>
      </c>
      <c r="P2297" s="9">
        <v>270029</v>
      </c>
      <c r="Q2297" s="9">
        <v>24113</v>
      </c>
      <c r="R2297" s="9">
        <v>294142</v>
      </c>
      <c r="S2297" s="9">
        <v>-86487</v>
      </c>
      <c r="T2297" s="10">
        <v>94719</v>
      </c>
      <c r="U2297" s="10">
        <v>2548</v>
      </c>
    </row>
    <row r="2298" spans="1:21" x14ac:dyDescent="0.35">
      <c r="A2298" t="s">
        <v>15</v>
      </c>
      <c r="B2298" t="s">
        <v>16</v>
      </c>
      <c r="C2298" t="s">
        <v>17</v>
      </c>
      <c r="D2298">
        <v>264372</v>
      </c>
      <c r="E2298">
        <v>37420</v>
      </c>
      <c r="F2298">
        <v>31612</v>
      </c>
      <c r="G2298">
        <v>-224606</v>
      </c>
      <c r="H2298">
        <v>108798</v>
      </c>
      <c r="I2298">
        <v>112694</v>
      </c>
      <c r="J2298">
        <v>1831</v>
      </c>
      <c r="K2298">
        <v>545925</v>
      </c>
      <c r="L2298">
        <v>173555</v>
      </c>
      <c r="M2298">
        <v>-156191</v>
      </c>
      <c r="N2298">
        <v>231781</v>
      </c>
      <c r="O2298" t="s">
        <v>2316</v>
      </c>
      <c r="P2298" s="9">
        <v>254065</v>
      </c>
      <c r="Q2298" s="9">
        <v>18662</v>
      </c>
      <c r="R2298" s="9">
        <v>272727</v>
      </c>
      <c r="S2298" s="9">
        <v>-138718</v>
      </c>
      <c r="T2298" s="10">
        <v>77001</v>
      </c>
      <c r="U2298" s="10">
        <v>2097</v>
      </c>
    </row>
    <row r="2299" spans="1:21" x14ac:dyDescent="0.35">
      <c r="A2299" t="s">
        <v>15</v>
      </c>
      <c r="B2299" t="s">
        <v>20</v>
      </c>
      <c r="C2299" t="s">
        <v>21</v>
      </c>
      <c r="D2299">
        <v>231032</v>
      </c>
      <c r="E2299">
        <v>39702</v>
      </c>
      <c r="F2299">
        <v>32064</v>
      </c>
      <c r="G2299">
        <v>-210921</v>
      </c>
      <c r="H2299">
        <v>91877</v>
      </c>
      <c r="I2299">
        <v>84424</v>
      </c>
      <c r="J2299">
        <v>2142</v>
      </c>
      <c r="K2299">
        <v>802936</v>
      </c>
      <c r="L2299">
        <v>272475</v>
      </c>
      <c r="M2299">
        <v>-88231</v>
      </c>
      <c r="N2299">
        <v>186171</v>
      </c>
      <c r="O2299" t="s">
        <v>2317</v>
      </c>
      <c r="P2299" s="9">
        <v>191868</v>
      </c>
      <c r="Q2299" s="9">
        <v>37726</v>
      </c>
      <c r="R2299" s="9">
        <v>229594</v>
      </c>
      <c r="S2299" s="9">
        <v>-95381</v>
      </c>
      <c r="T2299" s="10">
        <v>94476</v>
      </c>
      <c r="U2299" s="10">
        <v>1870</v>
      </c>
    </row>
    <row r="2300" spans="1:21" x14ac:dyDescent="0.35">
      <c r="A2300" t="s">
        <v>15</v>
      </c>
      <c r="B2300" t="s">
        <v>16</v>
      </c>
      <c r="C2300" t="s">
        <v>21</v>
      </c>
      <c r="D2300">
        <v>201624</v>
      </c>
      <c r="E2300">
        <v>21423</v>
      </c>
      <c r="F2300">
        <v>28880</v>
      </c>
      <c r="G2300">
        <v>-170190</v>
      </c>
      <c r="H2300">
        <v>81737</v>
      </c>
      <c r="I2300">
        <v>80626</v>
      </c>
      <c r="J2300">
        <v>1367</v>
      </c>
      <c r="K2300">
        <v>418452</v>
      </c>
      <c r="L2300">
        <v>108558</v>
      </c>
      <c r="M2300">
        <v>-107005</v>
      </c>
      <c r="N2300">
        <v>151285</v>
      </c>
      <c r="O2300" t="s">
        <v>2318</v>
      </c>
      <c r="P2300" s="9">
        <v>239817</v>
      </c>
      <c r="Q2300" s="9">
        <v>27479</v>
      </c>
      <c r="R2300" s="9">
        <v>267296</v>
      </c>
      <c r="S2300" s="9">
        <v>-105381</v>
      </c>
      <c r="T2300" s="10">
        <v>90006</v>
      </c>
      <c r="U2300" s="10">
        <v>2592</v>
      </c>
    </row>
    <row r="2301" spans="1:21" x14ac:dyDescent="0.35">
      <c r="A2301" t="s">
        <v>15</v>
      </c>
      <c r="B2301" t="s">
        <v>16</v>
      </c>
      <c r="C2301" t="s">
        <v>17</v>
      </c>
      <c r="D2301">
        <v>299447</v>
      </c>
      <c r="E2301">
        <v>54282</v>
      </c>
      <c r="F2301">
        <v>66493</v>
      </c>
      <c r="G2301">
        <v>-241372</v>
      </c>
      <c r="H2301">
        <v>178850</v>
      </c>
      <c r="I2301">
        <v>173759</v>
      </c>
      <c r="J2301">
        <v>1795</v>
      </c>
      <c r="K2301">
        <v>940083</v>
      </c>
      <c r="L2301">
        <v>467874</v>
      </c>
      <c r="M2301">
        <v>-283139</v>
      </c>
      <c r="N2301">
        <v>97546</v>
      </c>
      <c r="O2301" t="s">
        <v>2319</v>
      </c>
      <c r="P2301" s="9">
        <v>228230</v>
      </c>
      <c r="Q2301" s="9">
        <v>20728</v>
      </c>
      <c r="R2301" s="9">
        <v>248958</v>
      </c>
      <c r="S2301" s="9">
        <v>-105702</v>
      </c>
      <c r="T2301" s="10">
        <v>104644</v>
      </c>
      <c r="U2301" s="10">
        <v>2721</v>
      </c>
    </row>
    <row r="2302" spans="1:21" x14ac:dyDescent="0.35">
      <c r="A2302" t="s">
        <v>15</v>
      </c>
      <c r="B2302" t="s">
        <v>16</v>
      </c>
      <c r="C2302" t="s">
        <v>17</v>
      </c>
      <c r="D2302">
        <v>274342</v>
      </c>
      <c r="E2302">
        <v>42612</v>
      </c>
      <c r="F2302">
        <v>64429</v>
      </c>
      <c r="G2302">
        <v>-241906</v>
      </c>
      <c r="H2302">
        <v>139477</v>
      </c>
      <c r="I2302">
        <v>132995</v>
      </c>
      <c r="J2302">
        <v>1859</v>
      </c>
      <c r="K2302">
        <v>678034</v>
      </c>
      <c r="L2302">
        <v>299294</v>
      </c>
      <c r="M2302">
        <v>-244046</v>
      </c>
      <c r="N2302">
        <v>102840</v>
      </c>
      <c r="O2302" t="s">
        <v>2320</v>
      </c>
      <c r="P2302" s="9">
        <v>271426</v>
      </c>
      <c r="Q2302" s="9">
        <v>22047</v>
      </c>
      <c r="R2302" s="9">
        <v>293473</v>
      </c>
      <c r="S2302" s="9">
        <v>-171286</v>
      </c>
      <c r="T2302" s="10">
        <v>102680</v>
      </c>
      <c r="U2302" s="10">
        <v>1084</v>
      </c>
    </row>
    <row r="2303" spans="1:21" x14ac:dyDescent="0.35">
      <c r="A2303" t="s">
        <v>15</v>
      </c>
      <c r="B2303" t="s">
        <v>16</v>
      </c>
      <c r="C2303" t="s">
        <v>17</v>
      </c>
      <c r="D2303">
        <v>159676</v>
      </c>
      <c r="E2303">
        <v>11737</v>
      </c>
      <c r="F2303">
        <v>30299</v>
      </c>
      <c r="G2303">
        <v>-152151</v>
      </c>
      <c r="H2303">
        <v>49561</v>
      </c>
      <c r="I2303">
        <v>46768</v>
      </c>
      <c r="J2303">
        <v>484</v>
      </c>
      <c r="K2303">
        <v>544545</v>
      </c>
      <c r="L2303">
        <v>188500</v>
      </c>
      <c r="M2303">
        <v>-151194</v>
      </c>
      <c r="N2303">
        <v>66782</v>
      </c>
      <c r="O2303" t="s">
        <v>2321</v>
      </c>
      <c r="P2303" s="9">
        <v>141175</v>
      </c>
      <c r="Q2303" s="9">
        <v>26966</v>
      </c>
      <c r="R2303" s="9">
        <v>168141</v>
      </c>
      <c r="S2303" s="9">
        <v>-72974</v>
      </c>
      <c r="T2303" s="10">
        <v>64063</v>
      </c>
      <c r="U2303" s="10">
        <v>838</v>
      </c>
    </row>
    <row r="2304" spans="1:21" x14ac:dyDescent="0.35">
      <c r="A2304" t="s">
        <v>15</v>
      </c>
      <c r="B2304" t="s">
        <v>20</v>
      </c>
      <c r="C2304" t="s">
        <v>21</v>
      </c>
      <c r="D2304">
        <v>277219</v>
      </c>
      <c r="E2304">
        <v>34329</v>
      </c>
      <c r="F2304">
        <v>29001</v>
      </c>
      <c r="G2304">
        <v>-250740</v>
      </c>
      <c r="H2304">
        <v>89809</v>
      </c>
      <c r="I2304">
        <v>82618</v>
      </c>
      <c r="J2304">
        <v>2158</v>
      </c>
      <c r="K2304">
        <v>1063546</v>
      </c>
      <c r="L2304">
        <v>269184</v>
      </c>
      <c r="M2304">
        <v>-325533</v>
      </c>
      <c r="N2304">
        <v>154884</v>
      </c>
      <c r="O2304" t="s">
        <v>2322</v>
      </c>
      <c r="P2304" s="9">
        <v>253237</v>
      </c>
      <c r="Q2304" s="9">
        <v>32034</v>
      </c>
      <c r="R2304" s="9">
        <v>285271</v>
      </c>
      <c r="S2304" s="9">
        <v>-151831</v>
      </c>
      <c r="T2304" s="10">
        <v>136370</v>
      </c>
      <c r="U2304" s="10">
        <v>3213</v>
      </c>
    </row>
    <row r="2305" spans="1:21" x14ac:dyDescent="0.35">
      <c r="A2305" t="s">
        <v>15</v>
      </c>
      <c r="B2305" t="s">
        <v>16</v>
      </c>
      <c r="C2305" t="s">
        <v>21</v>
      </c>
      <c r="D2305">
        <v>205815</v>
      </c>
      <c r="E2305">
        <v>15682</v>
      </c>
      <c r="F2305">
        <v>45905</v>
      </c>
      <c r="G2305">
        <v>-175820</v>
      </c>
      <c r="H2305">
        <v>91582</v>
      </c>
      <c r="I2305">
        <v>89304</v>
      </c>
      <c r="J2305">
        <v>2274</v>
      </c>
      <c r="K2305">
        <v>724634</v>
      </c>
      <c r="L2305">
        <v>75619</v>
      </c>
      <c r="M2305">
        <v>-131086</v>
      </c>
      <c r="N2305">
        <v>167816</v>
      </c>
      <c r="O2305" t="s">
        <v>2323</v>
      </c>
      <c r="P2305" s="9">
        <v>193611</v>
      </c>
      <c r="Q2305" s="9">
        <v>28136</v>
      </c>
      <c r="R2305" s="9">
        <v>221747</v>
      </c>
      <c r="S2305" s="9">
        <v>-59868</v>
      </c>
      <c r="T2305" s="10">
        <v>78999</v>
      </c>
      <c r="U2305" s="10">
        <v>850</v>
      </c>
    </row>
    <row r="2306" spans="1:21" x14ac:dyDescent="0.35">
      <c r="A2306" t="s">
        <v>15</v>
      </c>
      <c r="B2306" t="s">
        <v>16</v>
      </c>
      <c r="C2306" t="s">
        <v>21</v>
      </c>
      <c r="D2306">
        <v>187971</v>
      </c>
      <c r="E2306">
        <v>19781</v>
      </c>
      <c r="F2306">
        <v>32998</v>
      </c>
      <c r="G2306">
        <v>-180082</v>
      </c>
      <c r="H2306">
        <v>60668</v>
      </c>
      <c r="I2306">
        <v>60598</v>
      </c>
      <c r="J2306">
        <v>1147</v>
      </c>
      <c r="K2306">
        <v>485129</v>
      </c>
      <c r="L2306">
        <v>210442</v>
      </c>
      <c r="M2306">
        <v>-131625</v>
      </c>
      <c r="N2306">
        <v>69036</v>
      </c>
      <c r="O2306" t="s">
        <v>2324</v>
      </c>
      <c r="P2306" s="9">
        <v>158542</v>
      </c>
      <c r="Q2306" s="9">
        <v>18730</v>
      </c>
      <c r="R2306" s="9">
        <v>177272</v>
      </c>
      <c r="S2306" s="9">
        <v>-73715</v>
      </c>
      <c r="T2306" s="10">
        <v>54601</v>
      </c>
      <c r="U2306" s="10">
        <v>1486</v>
      </c>
    </row>
    <row r="2307" spans="1:21" x14ac:dyDescent="0.35">
      <c r="A2307" t="s">
        <v>15</v>
      </c>
      <c r="B2307" t="s">
        <v>16</v>
      </c>
      <c r="C2307" t="s">
        <v>17</v>
      </c>
      <c r="D2307">
        <v>231956</v>
      </c>
      <c r="E2307">
        <v>28828</v>
      </c>
      <c r="F2307">
        <v>46071</v>
      </c>
      <c r="G2307">
        <v>-219362</v>
      </c>
      <c r="H2307">
        <v>87493</v>
      </c>
      <c r="I2307">
        <v>82570</v>
      </c>
      <c r="J2307">
        <v>2430</v>
      </c>
      <c r="K2307">
        <v>726565</v>
      </c>
      <c r="L2307">
        <v>204872</v>
      </c>
      <c r="M2307">
        <v>-193812</v>
      </c>
      <c r="N2307">
        <v>123000</v>
      </c>
      <c r="O2307" t="s">
        <v>2325</v>
      </c>
      <c r="P2307" s="9">
        <v>289617</v>
      </c>
      <c r="Q2307" s="9">
        <v>39991</v>
      </c>
      <c r="R2307" s="9">
        <v>329608</v>
      </c>
      <c r="S2307" s="9">
        <v>-155831</v>
      </c>
      <c r="T2307" s="10">
        <v>81340</v>
      </c>
      <c r="U2307" s="10">
        <v>1936</v>
      </c>
    </row>
    <row r="2308" spans="1:21" x14ac:dyDescent="0.35">
      <c r="A2308" t="s">
        <v>15</v>
      </c>
      <c r="B2308" t="s">
        <v>20</v>
      </c>
      <c r="C2308" t="s">
        <v>21</v>
      </c>
      <c r="D2308">
        <v>266454</v>
      </c>
      <c r="E2308">
        <v>32256</v>
      </c>
      <c r="F2308">
        <v>43709</v>
      </c>
      <c r="G2308">
        <v>-213353</v>
      </c>
      <c r="H2308">
        <v>129066</v>
      </c>
      <c r="I2308">
        <v>124437</v>
      </c>
      <c r="J2308">
        <v>2610</v>
      </c>
      <c r="K2308">
        <v>736513</v>
      </c>
      <c r="L2308">
        <v>117841</v>
      </c>
      <c r="M2308">
        <v>-199549</v>
      </c>
      <c r="N2308">
        <v>191519</v>
      </c>
      <c r="O2308" t="s">
        <v>2326</v>
      </c>
      <c r="P2308" s="9">
        <v>279887</v>
      </c>
      <c r="Q2308" s="9">
        <v>40427</v>
      </c>
      <c r="R2308" s="9">
        <v>320314</v>
      </c>
      <c r="S2308" s="9">
        <v>-128614</v>
      </c>
      <c r="T2308" s="10">
        <v>137016</v>
      </c>
      <c r="U2308" s="10">
        <v>2911</v>
      </c>
    </row>
    <row r="2309" spans="1:21" x14ac:dyDescent="0.35">
      <c r="A2309" t="s">
        <v>15</v>
      </c>
      <c r="B2309" t="s">
        <v>16</v>
      </c>
      <c r="C2309" t="s">
        <v>17</v>
      </c>
      <c r="D2309">
        <v>184238</v>
      </c>
      <c r="E2309">
        <v>26870</v>
      </c>
      <c r="F2309">
        <v>30472</v>
      </c>
      <c r="G2309">
        <v>-158896</v>
      </c>
      <c r="H2309">
        <v>82684</v>
      </c>
      <c r="I2309">
        <v>84839</v>
      </c>
      <c r="J2309">
        <v>1298</v>
      </c>
      <c r="K2309">
        <v>372682</v>
      </c>
      <c r="L2309">
        <v>184644</v>
      </c>
      <c r="M2309">
        <v>-129177</v>
      </c>
      <c r="N2309">
        <v>85004</v>
      </c>
      <c r="O2309" t="s">
        <v>2327</v>
      </c>
      <c r="P2309" s="9">
        <v>208991</v>
      </c>
      <c r="Q2309" s="9">
        <v>32311</v>
      </c>
      <c r="R2309" s="9">
        <v>241302</v>
      </c>
      <c r="S2309" s="9">
        <v>-139929</v>
      </c>
      <c r="T2309" s="10">
        <v>80324</v>
      </c>
      <c r="U2309" s="10">
        <v>1603</v>
      </c>
    </row>
    <row r="2310" spans="1:21" x14ac:dyDescent="0.35">
      <c r="A2310" t="s">
        <v>15</v>
      </c>
      <c r="B2310" t="s">
        <v>16</v>
      </c>
      <c r="C2310" t="s">
        <v>21</v>
      </c>
      <c r="D2310">
        <v>287501</v>
      </c>
      <c r="E2310">
        <v>47440</v>
      </c>
      <c r="F2310">
        <v>42002</v>
      </c>
      <c r="G2310">
        <v>-252842</v>
      </c>
      <c r="H2310">
        <v>124101</v>
      </c>
      <c r="I2310">
        <v>119892</v>
      </c>
      <c r="J2310">
        <v>1766</v>
      </c>
      <c r="K2310">
        <v>863894</v>
      </c>
      <c r="L2310">
        <v>158481</v>
      </c>
      <c r="M2310">
        <v>-168961</v>
      </c>
      <c r="N2310">
        <v>193385</v>
      </c>
      <c r="O2310" t="s">
        <v>2328</v>
      </c>
      <c r="P2310" s="9">
        <v>177446</v>
      </c>
      <c r="Q2310" s="9">
        <v>11383</v>
      </c>
      <c r="R2310" s="9">
        <v>188829</v>
      </c>
      <c r="S2310" s="9">
        <v>-75288</v>
      </c>
      <c r="T2310" s="10">
        <v>31124</v>
      </c>
      <c r="U2310" s="10">
        <v>868</v>
      </c>
    </row>
    <row r="2311" spans="1:21" x14ac:dyDescent="0.35">
      <c r="A2311" t="s">
        <v>15</v>
      </c>
      <c r="B2311" t="s">
        <v>20</v>
      </c>
      <c r="C2311" t="s">
        <v>21</v>
      </c>
      <c r="D2311">
        <v>256453</v>
      </c>
      <c r="E2311">
        <v>27925</v>
      </c>
      <c r="F2311">
        <v>32494</v>
      </c>
      <c r="G2311">
        <v>-206018</v>
      </c>
      <c r="H2311">
        <v>110854</v>
      </c>
      <c r="I2311">
        <v>107060</v>
      </c>
      <c r="J2311">
        <v>2436</v>
      </c>
      <c r="K2311">
        <v>779705</v>
      </c>
      <c r="L2311">
        <v>122314</v>
      </c>
      <c r="M2311">
        <v>-216802</v>
      </c>
      <c r="N2311">
        <v>151768</v>
      </c>
      <c r="O2311" t="s">
        <v>2329</v>
      </c>
      <c r="P2311" s="9">
        <v>159641</v>
      </c>
      <c r="Q2311" s="9">
        <v>19307</v>
      </c>
      <c r="R2311" s="9">
        <v>178948</v>
      </c>
      <c r="S2311" s="9">
        <v>-49852</v>
      </c>
      <c r="T2311" s="10">
        <v>65284</v>
      </c>
      <c r="U2311" s="10">
        <v>1337</v>
      </c>
    </row>
    <row r="2312" spans="1:21" x14ac:dyDescent="0.35">
      <c r="A2312" t="s">
        <v>15</v>
      </c>
      <c r="B2312" t="s">
        <v>20</v>
      </c>
      <c r="C2312" t="s">
        <v>21</v>
      </c>
      <c r="D2312">
        <v>157646</v>
      </c>
      <c r="E2312">
        <v>23788</v>
      </c>
      <c r="F2312">
        <v>18563</v>
      </c>
      <c r="G2312">
        <v>-129948</v>
      </c>
      <c r="H2312">
        <v>70049</v>
      </c>
      <c r="I2312">
        <v>69189</v>
      </c>
      <c r="J2312">
        <v>1867</v>
      </c>
      <c r="K2312">
        <v>541965</v>
      </c>
      <c r="L2312">
        <v>212772</v>
      </c>
      <c r="M2312">
        <v>-95886</v>
      </c>
      <c r="N2312">
        <v>141217</v>
      </c>
      <c r="O2312" t="s">
        <v>2330</v>
      </c>
      <c r="P2312" s="9">
        <v>236750</v>
      </c>
      <c r="Q2312" s="9">
        <v>21217</v>
      </c>
      <c r="R2312" s="9">
        <v>257967</v>
      </c>
      <c r="S2312" s="9">
        <v>-116083</v>
      </c>
      <c r="T2312" s="10">
        <v>48536</v>
      </c>
      <c r="U2312" s="10">
        <v>1253</v>
      </c>
    </row>
    <row r="2313" spans="1:21" x14ac:dyDescent="0.35">
      <c r="A2313" t="s">
        <v>15</v>
      </c>
      <c r="B2313" t="s">
        <v>20</v>
      </c>
      <c r="C2313" t="s">
        <v>21</v>
      </c>
      <c r="D2313">
        <v>272318</v>
      </c>
      <c r="E2313">
        <v>20829</v>
      </c>
      <c r="F2313">
        <v>56093</v>
      </c>
      <c r="G2313">
        <v>-259904</v>
      </c>
      <c r="H2313">
        <v>89336</v>
      </c>
      <c r="I2313">
        <v>89318</v>
      </c>
      <c r="J2313">
        <v>1207</v>
      </c>
      <c r="K2313">
        <v>881958</v>
      </c>
      <c r="L2313">
        <v>346470</v>
      </c>
      <c r="M2313">
        <v>-171823</v>
      </c>
      <c r="N2313">
        <v>150375</v>
      </c>
      <c r="O2313" t="s">
        <v>2331</v>
      </c>
      <c r="P2313" s="9">
        <v>242254</v>
      </c>
      <c r="Q2313" s="9">
        <v>43888</v>
      </c>
      <c r="R2313" s="9">
        <v>286142</v>
      </c>
      <c r="S2313" s="9">
        <v>-139044</v>
      </c>
      <c r="T2313" s="10">
        <v>99120</v>
      </c>
      <c r="U2313" s="10">
        <v>1957</v>
      </c>
    </row>
    <row r="2314" spans="1:21" x14ac:dyDescent="0.35">
      <c r="A2314" t="s">
        <v>15</v>
      </c>
      <c r="B2314" t="s">
        <v>20</v>
      </c>
      <c r="C2314" t="s">
        <v>17</v>
      </c>
      <c r="D2314">
        <v>252570</v>
      </c>
      <c r="E2314">
        <v>12955</v>
      </c>
      <c r="F2314">
        <v>36552</v>
      </c>
      <c r="G2314">
        <v>-238513</v>
      </c>
      <c r="H2314">
        <v>63564</v>
      </c>
      <c r="I2314">
        <v>61302</v>
      </c>
      <c r="J2314">
        <v>827</v>
      </c>
      <c r="K2314">
        <v>966638</v>
      </c>
      <c r="L2314">
        <v>449868</v>
      </c>
      <c r="M2314">
        <v>-122315</v>
      </c>
      <c r="N2314">
        <v>147506</v>
      </c>
      <c r="O2314" t="s">
        <v>2332</v>
      </c>
      <c r="P2314" s="9">
        <v>230302</v>
      </c>
      <c r="Q2314" s="9">
        <v>17880</v>
      </c>
      <c r="R2314" s="9">
        <v>248182</v>
      </c>
      <c r="S2314" s="9">
        <v>-66189</v>
      </c>
      <c r="T2314" s="10">
        <v>48687</v>
      </c>
      <c r="U2314" s="10">
        <v>1217</v>
      </c>
    </row>
    <row r="2315" spans="1:21" x14ac:dyDescent="0.35">
      <c r="A2315" t="s">
        <v>15</v>
      </c>
      <c r="B2315" t="s">
        <v>20</v>
      </c>
      <c r="C2315" t="s">
        <v>21</v>
      </c>
      <c r="D2315">
        <v>209216</v>
      </c>
      <c r="E2315">
        <v>23211</v>
      </c>
      <c r="F2315">
        <v>28518</v>
      </c>
      <c r="G2315">
        <v>-191390</v>
      </c>
      <c r="H2315">
        <v>69555</v>
      </c>
      <c r="I2315">
        <v>66011</v>
      </c>
      <c r="J2315">
        <v>678</v>
      </c>
      <c r="K2315">
        <v>675504</v>
      </c>
      <c r="L2315">
        <v>325026</v>
      </c>
      <c r="M2315">
        <v>-200879</v>
      </c>
      <c r="N2315">
        <v>151878</v>
      </c>
      <c r="O2315" t="s">
        <v>2333</v>
      </c>
      <c r="P2315" s="9">
        <v>206367</v>
      </c>
      <c r="Q2315" s="9">
        <v>15533</v>
      </c>
      <c r="R2315" s="9">
        <v>221900</v>
      </c>
      <c r="S2315" s="9">
        <v>-63954</v>
      </c>
      <c r="T2315" s="10">
        <v>53211</v>
      </c>
      <c r="U2315" s="10">
        <v>1527</v>
      </c>
    </row>
    <row r="2316" spans="1:21" x14ac:dyDescent="0.35">
      <c r="A2316" t="s">
        <v>15</v>
      </c>
      <c r="B2316" t="s">
        <v>16</v>
      </c>
      <c r="C2316" t="s">
        <v>21</v>
      </c>
      <c r="D2316">
        <v>206572</v>
      </c>
      <c r="E2316">
        <v>32867</v>
      </c>
      <c r="F2316">
        <v>24520</v>
      </c>
      <c r="G2316">
        <v>-196056</v>
      </c>
      <c r="H2316">
        <v>67903</v>
      </c>
      <c r="I2316">
        <v>68664</v>
      </c>
      <c r="J2316">
        <v>1905</v>
      </c>
      <c r="K2316">
        <v>789189</v>
      </c>
      <c r="L2316">
        <v>206051</v>
      </c>
      <c r="M2316">
        <v>-183933</v>
      </c>
      <c r="N2316">
        <v>67714</v>
      </c>
      <c r="O2316" t="s">
        <v>2334</v>
      </c>
      <c r="P2316" s="9">
        <v>206311</v>
      </c>
      <c r="Q2316" s="9">
        <v>16008</v>
      </c>
      <c r="R2316" s="9">
        <v>222319</v>
      </c>
      <c r="S2316" s="9">
        <v>-65655</v>
      </c>
      <c r="T2316" s="10">
        <v>76604</v>
      </c>
      <c r="U2316" s="10">
        <v>2065</v>
      </c>
    </row>
    <row r="2317" spans="1:21" x14ac:dyDescent="0.35">
      <c r="A2317" t="s">
        <v>15</v>
      </c>
      <c r="B2317" t="s">
        <v>16</v>
      </c>
      <c r="C2317" t="s">
        <v>17</v>
      </c>
      <c r="D2317">
        <v>287754</v>
      </c>
      <c r="E2317">
        <v>24149</v>
      </c>
      <c r="F2317">
        <v>51313</v>
      </c>
      <c r="G2317">
        <v>-257899</v>
      </c>
      <c r="H2317">
        <v>105317</v>
      </c>
      <c r="I2317">
        <v>103440</v>
      </c>
      <c r="J2317">
        <v>2183</v>
      </c>
      <c r="K2317">
        <v>604766</v>
      </c>
      <c r="L2317">
        <v>161158</v>
      </c>
      <c r="M2317">
        <v>-67625</v>
      </c>
      <c r="N2317">
        <v>151312</v>
      </c>
      <c r="O2317" t="s">
        <v>2335</v>
      </c>
      <c r="P2317" s="9">
        <v>274680</v>
      </c>
      <c r="Q2317" s="9">
        <v>57003</v>
      </c>
      <c r="R2317" s="9">
        <v>331683</v>
      </c>
      <c r="S2317" s="9">
        <v>-97204</v>
      </c>
      <c r="T2317" s="10">
        <v>109339</v>
      </c>
      <c r="U2317" s="10">
        <v>2605</v>
      </c>
    </row>
    <row r="2318" spans="1:21" x14ac:dyDescent="0.35">
      <c r="A2318" t="s">
        <v>15</v>
      </c>
      <c r="B2318" t="s">
        <v>16</v>
      </c>
      <c r="C2318" t="s">
        <v>21</v>
      </c>
      <c r="D2318">
        <v>166005</v>
      </c>
      <c r="E2318">
        <v>26743</v>
      </c>
      <c r="F2318">
        <v>29973</v>
      </c>
      <c r="G2318">
        <v>-141418</v>
      </c>
      <c r="H2318">
        <v>81303</v>
      </c>
      <c r="I2318">
        <v>73847</v>
      </c>
      <c r="J2318">
        <v>1885</v>
      </c>
      <c r="K2318">
        <v>541302</v>
      </c>
      <c r="L2318">
        <v>228953</v>
      </c>
      <c r="M2318">
        <v>-161411</v>
      </c>
      <c r="N2318">
        <v>100383</v>
      </c>
      <c r="O2318" t="s">
        <v>2336</v>
      </c>
      <c r="P2318" s="9">
        <v>230777</v>
      </c>
      <c r="Q2318" s="9">
        <v>28707</v>
      </c>
      <c r="R2318" s="9">
        <v>259484</v>
      </c>
      <c r="S2318" s="9">
        <v>-110205</v>
      </c>
      <c r="T2318" s="10">
        <v>98959</v>
      </c>
      <c r="U2318" s="10">
        <v>1244</v>
      </c>
    </row>
    <row r="2319" spans="1:21" x14ac:dyDescent="0.35">
      <c r="A2319" t="s">
        <v>15</v>
      </c>
      <c r="B2319" t="s">
        <v>20</v>
      </c>
      <c r="C2319" t="s">
        <v>17</v>
      </c>
      <c r="D2319">
        <v>244996</v>
      </c>
      <c r="E2319">
        <v>29071</v>
      </c>
      <c r="F2319">
        <v>34902</v>
      </c>
      <c r="G2319">
        <v>-208030</v>
      </c>
      <c r="H2319">
        <v>100939</v>
      </c>
      <c r="I2319">
        <v>99680</v>
      </c>
      <c r="J2319">
        <v>2169</v>
      </c>
      <c r="K2319">
        <v>642826</v>
      </c>
      <c r="L2319">
        <v>184585</v>
      </c>
      <c r="M2319">
        <v>-126037</v>
      </c>
      <c r="N2319">
        <v>82148</v>
      </c>
      <c r="O2319" t="s">
        <v>2337</v>
      </c>
      <c r="P2319" s="9">
        <v>190759</v>
      </c>
      <c r="Q2319" s="9">
        <v>11811</v>
      </c>
      <c r="R2319" s="9">
        <v>202570</v>
      </c>
      <c r="S2319" s="9">
        <v>-92431</v>
      </c>
      <c r="T2319" s="10">
        <v>37537</v>
      </c>
      <c r="U2319" s="10">
        <v>882</v>
      </c>
    </row>
    <row r="2320" spans="1:21" x14ac:dyDescent="0.35">
      <c r="A2320" t="s">
        <v>15</v>
      </c>
      <c r="B2320" t="s">
        <v>16</v>
      </c>
      <c r="C2320" t="s">
        <v>21</v>
      </c>
      <c r="D2320">
        <v>252384</v>
      </c>
      <c r="E2320">
        <v>35222</v>
      </c>
      <c r="F2320">
        <v>57012</v>
      </c>
      <c r="G2320">
        <v>-243150</v>
      </c>
      <c r="H2320">
        <v>101468</v>
      </c>
      <c r="I2320">
        <v>106375</v>
      </c>
      <c r="J2320">
        <v>2540</v>
      </c>
      <c r="K2320">
        <v>759779</v>
      </c>
      <c r="L2320">
        <v>351895</v>
      </c>
      <c r="M2320">
        <v>-133527</v>
      </c>
      <c r="N2320">
        <v>126748</v>
      </c>
      <c r="O2320" t="s">
        <v>2338</v>
      </c>
      <c r="P2320" s="9">
        <v>192560</v>
      </c>
      <c r="Q2320" s="9">
        <v>18726</v>
      </c>
      <c r="R2320" s="9">
        <v>211286</v>
      </c>
      <c r="S2320" s="9">
        <v>-104260</v>
      </c>
      <c r="T2320" s="10">
        <v>69522</v>
      </c>
      <c r="U2320" s="10">
        <v>1041</v>
      </c>
    </row>
    <row r="2321" spans="1:21" x14ac:dyDescent="0.35">
      <c r="A2321" t="s">
        <v>15</v>
      </c>
      <c r="B2321" t="s">
        <v>20</v>
      </c>
      <c r="C2321" t="s">
        <v>21</v>
      </c>
      <c r="D2321">
        <v>199872</v>
      </c>
      <c r="E2321">
        <v>24497</v>
      </c>
      <c r="F2321">
        <v>25392</v>
      </c>
      <c r="G2321">
        <v>-162319</v>
      </c>
      <c r="H2321">
        <v>87442</v>
      </c>
      <c r="I2321">
        <v>91750</v>
      </c>
      <c r="J2321">
        <v>1034</v>
      </c>
      <c r="K2321">
        <v>426472</v>
      </c>
      <c r="L2321">
        <v>211783</v>
      </c>
      <c r="M2321">
        <v>-130672</v>
      </c>
      <c r="N2321">
        <v>95094</v>
      </c>
      <c r="O2321" t="s">
        <v>2339</v>
      </c>
      <c r="P2321" s="9">
        <v>223703</v>
      </c>
      <c r="Q2321" s="9">
        <v>33360</v>
      </c>
      <c r="R2321" s="9">
        <v>257063</v>
      </c>
      <c r="S2321" s="9">
        <v>-112493</v>
      </c>
      <c r="T2321" s="10">
        <v>99453</v>
      </c>
      <c r="U2321" s="10">
        <v>1100</v>
      </c>
    </row>
    <row r="2322" spans="1:21" x14ac:dyDescent="0.35">
      <c r="A2322" t="s">
        <v>15</v>
      </c>
      <c r="B2322" t="s">
        <v>20</v>
      </c>
      <c r="C2322" t="s">
        <v>21</v>
      </c>
      <c r="D2322">
        <v>204870</v>
      </c>
      <c r="E2322">
        <v>28116</v>
      </c>
      <c r="F2322">
        <v>26661</v>
      </c>
      <c r="G2322">
        <v>-164852</v>
      </c>
      <c r="H2322">
        <v>94795</v>
      </c>
      <c r="I2322">
        <v>94648</v>
      </c>
      <c r="J2322">
        <v>2296</v>
      </c>
      <c r="K2322">
        <v>639934</v>
      </c>
      <c r="L2322">
        <v>80122</v>
      </c>
      <c r="M2322">
        <v>-211575</v>
      </c>
      <c r="N2322">
        <v>91045</v>
      </c>
      <c r="O2322" t="s">
        <v>2340</v>
      </c>
      <c r="P2322" s="9">
        <v>282269</v>
      </c>
      <c r="Q2322" s="9">
        <v>46582</v>
      </c>
      <c r="R2322" s="9">
        <v>328851</v>
      </c>
      <c r="S2322" s="9">
        <v>-140902</v>
      </c>
      <c r="T2322" s="10">
        <v>124775</v>
      </c>
      <c r="U2322" s="10">
        <v>2981</v>
      </c>
    </row>
    <row r="2323" spans="1:21" x14ac:dyDescent="0.35">
      <c r="A2323" t="s">
        <v>15</v>
      </c>
      <c r="B2323" t="s">
        <v>20</v>
      </c>
      <c r="C2323" t="s">
        <v>21</v>
      </c>
      <c r="D2323">
        <v>211309</v>
      </c>
      <c r="E2323">
        <v>13660</v>
      </c>
      <c r="F2323">
        <v>34625</v>
      </c>
      <c r="G2323">
        <v>-196196</v>
      </c>
      <c r="H2323">
        <v>63398</v>
      </c>
      <c r="I2323">
        <v>65930</v>
      </c>
      <c r="J2323">
        <v>1018</v>
      </c>
      <c r="K2323">
        <v>536120</v>
      </c>
      <c r="L2323">
        <v>235274</v>
      </c>
      <c r="M2323">
        <v>-214215</v>
      </c>
      <c r="N2323">
        <v>146003</v>
      </c>
      <c r="O2323" t="s">
        <v>2341</v>
      </c>
      <c r="P2323" s="9">
        <v>165277</v>
      </c>
      <c r="Q2323" s="9">
        <v>21234</v>
      </c>
      <c r="R2323" s="9">
        <v>186511</v>
      </c>
      <c r="S2323" s="9">
        <v>-49932</v>
      </c>
      <c r="T2323" s="10">
        <v>95452</v>
      </c>
      <c r="U2323" s="10">
        <v>1034</v>
      </c>
    </row>
    <row r="2324" spans="1:21" x14ac:dyDescent="0.35">
      <c r="A2324" t="s">
        <v>15</v>
      </c>
      <c r="B2324" t="s">
        <v>16</v>
      </c>
      <c r="C2324" t="s">
        <v>21</v>
      </c>
      <c r="D2324">
        <v>164449</v>
      </c>
      <c r="E2324">
        <v>8585</v>
      </c>
      <c r="F2324">
        <v>23857</v>
      </c>
      <c r="G2324">
        <v>-147978</v>
      </c>
      <c r="H2324">
        <v>48913</v>
      </c>
      <c r="I2324">
        <v>49374</v>
      </c>
      <c r="J2324">
        <v>969</v>
      </c>
      <c r="K2324">
        <v>381763</v>
      </c>
      <c r="L2324">
        <v>154187</v>
      </c>
      <c r="M2324">
        <v>-124562</v>
      </c>
      <c r="N2324">
        <v>86998</v>
      </c>
      <c r="O2324" t="s">
        <v>2342</v>
      </c>
      <c r="P2324" s="9">
        <v>262557</v>
      </c>
      <c r="Q2324" s="9">
        <v>27152</v>
      </c>
      <c r="R2324" s="9">
        <v>289709</v>
      </c>
      <c r="S2324" s="9">
        <v>-105605</v>
      </c>
      <c r="T2324" s="10">
        <v>109596</v>
      </c>
      <c r="U2324" s="10">
        <v>2477</v>
      </c>
    </row>
    <row r="2325" spans="1:21" x14ac:dyDescent="0.35">
      <c r="A2325" t="s">
        <v>15</v>
      </c>
      <c r="B2325" t="s">
        <v>20</v>
      </c>
      <c r="C2325" t="s">
        <v>21</v>
      </c>
      <c r="D2325">
        <v>276289</v>
      </c>
      <c r="E2325">
        <v>31964</v>
      </c>
      <c r="F2325">
        <v>35883</v>
      </c>
      <c r="G2325">
        <v>-257345</v>
      </c>
      <c r="H2325">
        <v>86791</v>
      </c>
      <c r="I2325">
        <v>78622</v>
      </c>
      <c r="J2325">
        <v>1415</v>
      </c>
      <c r="K2325">
        <v>736993</v>
      </c>
      <c r="L2325">
        <v>103403</v>
      </c>
      <c r="M2325">
        <v>-266381</v>
      </c>
      <c r="N2325">
        <v>84788</v>
      </c>
      <c r="O2325" t="s">
        <v>2343</v>
      </c>
      <c r="P2325" s="9">
        <v>293566</v>
      </c>
      <c r="Q2325" s="9">
        <v>20108</v>
      </c>
      <c r="R2325" s="9">
        <v>313674</v>
      </c>
      <c r="S2325" s="9">
        <v>-145436</v>
      </c>
      <c r="T2325" s="10">
        <v>103989</v>
      </c>
      <c r="U2325" s="10">
        <v>2054</v>
      </c>
    </row>
    <row r="2326" spans="1:21" x14ac:dyDescent="0.35">
      <c r="A2326" t="s">
        <v>15</v>
      </c>
      <c r="B2326" t="s">
        <v>16</v>
      </c>
      <c r="C2326" t="s">
        <v>17</v>
      </c>
      <c r="D2326">
        <v>263922</v>
      </c>
      <c r="E2326">
        <v>14093</v>
      </c>
      <c r="F2326">
        <v>32930</v>
      </c>
      <c r="G2326">
        <v>-240686</v>
      </c>
      <c r="H2326">
        <v>70259</v>
      </c>
      <c r="I2326">
        <v>71412</v>
      </c>
      <c r="J2326">
        <v>1515</v>
      </c>
      <c r="K2326">
        <v>767044</v>
      </c>
      <c r="L2326">
        <v>295598</v>
      </c>
      <c r="M2326">
        <v>-287296</v>
      </c>
      <c r="N2326">
        <v>136996</v>
      </c>
      <c r="O2326" t="s">
        <v>2344</v>
      </c>
      <c r="P2326" s="9">
        <v>259555</v>
      </c>
      <c r="Q2326" s="9">
        <v>44369</v>
      </c>
      <c r="R2326" s="9">
        <v>303924</v>
      </c>
      <c r="S2326" s="9">
        <v>-142430</v>
      </c>
      <c r="T2326" s="10">
        <v>108787</v>
      </c>
      <c r="U2326" s="10">
        <v>2315</v>
      </c>
    </row>
    <row r="2327" spans="1:21" x14ac:dyDescent="0.35">
      <c r="A2327" t="s">
        <v>15</v>
      </c>
      <c r="B2327" t="s">
        <v>16</v>
      </c>
      <c r="C2327" t="s">
        <v>17</v>
      </c>
      <c r="D2327">
        <v>273585</v>
      </c>
      <c r="E2327">
        <v>16923</v>
      </c>
      <c r="F2327">
        <v>30425</v>
      </c>
      <c r="G2327">
        <v>-251477</v>
      </c>
      <c r="H2327">
        <v>69456</v>
      </c>
      <c r="I2327">
        <v>68077</v>
      </c>
      <c r="J2327">
        <v>1936</v>
      </c>
      <c r="K2327">
        <v>1015883</v>
      </c>
      <c r="L2327">
        <v>487259</v>
      </c>
      <c r="M2327">
        <v>-109071</v>
      </c>
      <c r="N2327">
        <v>169525</v>
      </c>
      <c r="O2327" t="s">
        <v>2345</v>
      </c>
      <c r="P2327" s="9">
        <v>158579</v>
      </c>
      <c r="Q2327" s="9">
        <v>29139</v>
      </c>
      <c r="R2327" s="9">
        <v>187718</v>
      </c>
      <c r="S2327" s="9">
        <v>-48169</v>
      </c>
      <c r="T2327" s="10">
        <v>83192</v>
      </c>
      <c r="U2327" s="10">
        <v>1346</v>
      </c>
    </row>
    <row r="2328" spans="1:21" x14ac:dyDescent="0.35">
      <c r="A2328" t="s">
        <v>15</v>
      </c>
      <c r="B2328" t="s">
        <v>16</v>
      </c>
      <c r="C2328" t="s">
        <v>21</v>
      </c>
      <c r="D2328">
        <v>178224</v>
      </c>
      <c r="E2328">
        <v>22308</v>
      </c>
      <c r="F2328">
        <v>39261</v>
      </c>
      <c r="G2328">
        <v>-153597</v>
      </c>
      <c r="H2328">
        <v>86196</v>
      </c>
      <c r="I2328">
        <v>83017</v>
      </c>
      <c r="J2328">
        <v>1002</v>
      </c>
      <c r="K2328">
        <v>630884</v>
      </c>
      <c r="L2328">
        <v>201377</v>
      </c>
      <c r="M2328">
        <v>-99141</v>
      </c>
      <c r="N2328">
        <v>54126</v>
      </c>
      <c r="O2328" t="s">
        <v>2346</v>
      </c>
      <c r="P2328" s="9">
        <v>155556</v>
      </c>
      <c r="Q2328" s="9">
        <v>11931</v>
      </c>
      <c r="R2328" s="9">
        <v>167487</v>
      </c>
      <c r="S2328" s="9">
        <v>-56743</v>
      </c>
      <c r="T2328" s="10">
        <v>47555</v>
      </c>
      <c r="U2328" s="10">
        <v>849</v>
      </c>
    </row>
    <row r="2329" spans="1:21" x14ac:dyDescent="0.35">
      <c r="A2329" t="s">
        <v>15</v>
      </c>
      <c r="B2329" t="s">
        <v>20</v>
      </c>
      <c r="C2329" t="s">
        <v>21</v>
      </c>
      <c r="D2329">
        <v>194489</v>
      </c>
      <c r="E2329">
        <v>10398</v>
      </c>
      <c r="F2329">
        <v>26643</v>
      </c>
      <c r="G2329">
        <v>-183795</v>
      </c>
      <c r="H2329">
        <v>47735</v>
      </c>
      <c r="I2329">
        <v>45184</v>
      </c>
      <c r="J2329">
        <v>484</v>
      </c>
      <c r="K2329">
        <v>760133</v>
      </c>
      <c r="L2329">
        <v>250670</v>
      </c>
      <c r="M2329">
        <v>-77096</v>
      </c>
      <c r="N2329">
        <v>89539</v>
      </c>
      <c r="O2329" t="s">
        <v>2347</v>
      </c>
      <c r="P2329" s="9">
        <v>177907</v>
      </c>
      <c r="Q2329" s="9">
        <v>34341</v>
      </c>
      <c r="R2329" s="9">
        <v>212248</v>
      </c>
      <c r="S2329" s="9">
        <v>-88124</v>
      </c>
      <c r="T2329" s="10">
        <v>71282</v>
      </c>
      <c r="U2329" s="10">
        <v>1340</v>
      </c>
    </row>
    <row r="2330" spans="1:21" x14ac:dyDescent="0.35">
      <c r="A2330" t="s">
        <v>15</v>
      </c>
      <c r="B2330" t="s">
        <v>16</v>
      </c>
      <c r="C2330" t="s">
        <v>21</v>
      </c>
      <c r="D2330">
        <v>153028</v>
      </c>
      <c r="E2330">
        <v>11559</v>
      </c>
      <c r="F2330">
        <v>17612</v>
      </c>
      <c r="G2330">
        <v>-140981</v>
      </c>
      <c r="H2330">
        <v>41218</v>
      </c>
      <c r="I2330">
        <v>39664</v>
      </c>
      <c r="J2330">
        <v>639</v>
      </c>
      <c r="K2330">
        <v>321851</v>
      </c>
      <c r="L2330">
        <v>33477</v>
      </c>
      <c r="M2330">
        <v>-35899</v>
      </c>
      <c r="N2330">
        <v>132746</v>
      </c>
      <c r="O2330" t="s">
        <v>2348</v>
      </c>
      <c r="P2330" s="9">
        <v>211006</v>
      </c>
      <c r="Q2330" s="9">
        <v>34885</v>
      </c>
      <c r="R2330" s="9">
        <v>245891</v>
      </c>
      <c r="S2330" s="9">
        <v>-123616</v>
      </c>
      <c r="T2330" s="10">
        <v>80108</v>
      </c>
      <c r="U2330" s="10">
        <v>1712</v>
      </c>
    </row>
    <row r="2331" spans="1:21" x14ac:dyDescent="0.35">
      <c r="A2331" t="s">
        <v>15</v>
      </c>
      <c r="B2331" t="s">
        <v>16</v>
      </c>
      <c r="C2331" t="s">
        <v>17</v>
      </c>
      <c r="D2331">
        <v>157862</v>
      </c>
      <c r="E2331">
        <v>18609</v>
      </c>
      <c r="F2331">
        <v>18119</v>
      </c>
      <c r="G2331">
        <v>-132193</v>
      </c>
      <c r="H2331">
        <v>62397</v>
      </c>
      <c r="I2331">
        <v>60826</v>
      </c>
      <c r="J2331">
        <v>1055</v>
      </c>
      <c r="K2331">
        <v>486887</v>
      </c>
      <c r="L2331">
        <v>130874</v>
      </c>
      <c r="M2331">
        <v>-80133</v>
      </c>
      <c r="N2331">
        <v>83356</v>
      </c>
      <c r="O2331" t="s">
        <v>2349</v>
      </c>
      <c r="P2331" s="9">
        <v>238732</v>
      </c>
      <c r="Q2331" s="9">
        <v>37889</v>
      </c>
      <c r="R2331" s="9">
        <v>276621</v>
      </c>
      <c r="S2331" s="9">
        <v>-78154</v>
      </c>
      <c r="T2331" s="10">
        <v>122623</v>
      </c>
      <c r="U2331" s="10">
        <v>2797</v>
      </c>
    </row>
    <row r="2332" spans="1:21" x14ac:dyDescent="0.35">
      <c r="A2332" t="s">
        <v>15</v>
      </c>
      <c r="B2332" t="s">
        <v>16</v>
      </c>
      <c r="C2332" t="s">
        <v>17</v>
      </c>
      <c r="D2332">
        <v>248243</v>
      </c>
      <c r="E2332">
        <v>25743</v>
      </c>
      <c r="F2332">
        <v>43530</v>
      </c>
      <c r="G2332">
        <v>-233808</v>
      </c>
      <c r="H2332">
        <v>83708</v>
      </c>
      <c r="I2332">
        <v>81614</v>
      </c>
      <c r="J2332">
        <v>1828</v>
      </c>
      <c r="K2332">
        <v>785456</v>
      </c>
      <c r="L2332">
        <v>342812</v>
      </c>
      <c r="M2332">
        <v>-112395</v>
      </c>
      <c r="N2332">
        <v>81597</v>
      </c>
      <c r="O2332" t="s">
        <v>2350</v>
      </c>
      <c r="P2332" s="9">
        <v>218901</v>
      </c>
      <c r="Q2332" s="9">
        <v>25884</v>
      </c>
      <c r="R2332" s="9">
        <v>244785</v>
      </c>
      <c r="S2332" s="9">
        <v>-117147</v>
      </c>
      <c r="T2332" s="10">
        <v>103956</v>
      </c>
      <c r="U2332" s="10">
        <v>2023</v>
      </c>
    </row>
    <row r="2333" spans="1:21" x14ac:dyDescent="0.35">
      <c r="A2333" t="s">
        <v>15</v>
      </c>
      <c r="B2333" t="s">
        <v>16</v>
      </c>
      <c r="C2333" t="s">
        <v>17</v>
      </c>
      <c r="D2333">
        <v>256421</v>
      </c>
      <c r="E2333">
        <v>41501</v>
      </c>
      <c r="F2333">
        <v>61886</v>
      </c>
      <c r="G2333">
        <v>-207841</v>
      </c>
      <c r="H2333">
        <v>151967</v>
      </c>
      <c r="I2333">
        <v>139596</v>
      </c>
      <c r="J2333">
        <v>3369</v>
      </c>
      <c r="K2333">
        <v>582164</v>
      </c>
      <c r="L2333">
        <v>153293</v>
      </c>
      <c r="M2333">
        <v>-133566</v>
      </c>
      <c r="N2333">
        <v>179435</v>
      </c>
      <c r="O2333" t="s">
        <v>2351</v>
      </c>
      <c r="P2333" s="9">
        <v>221085</v>
      </c>
      <c r="Q2333" s="9">
        <v>31483</v>
      </c>
      <c r="R2333" s="9">
        <v>252568</v>
      </c>
      <c r="S2333" s="9">
        <v>-90947</v>
      </c>
      <c r="T2333" s="10">
        <v>84412</v>
      </c>
      <c r="U2333" s="10">
        <v>1294</v>
      </c>
    </row>
    <row r="2334" spans="1:21" x14ac:dyDescent="0.35">
      <c r="A2334" t="s">
        <v>15</v>
      </c>
      <c r="B2334" t="s">
        <v>20</v>
      </c>
      <c r="C2334" t="s">
        <v>21</v>
      </c>
      <c r="D2334">
        <v>221931</v>
      </c>
      <c r="E2334">
        <v>20230</v>
      </c>
      <c r="F2334">
        <v>51016</v>
      </c>
      <c r="G2334">
        <v>-188895</v>
      </c>
      <c r="H2334">
        <v>104282</v>
      </c>
      <c r="I2334">
        <v>98855</v>
      </c>
      <c r="J2334">
        <v>1325</v>
      </c>
      <c r="K2334">
        <v>478220</v>
      </c>
      <c r="L2334">
        <v>188417</v>
      </c>
      <c r="M2334">
        <v>-77721</v>
      </c>
      <c r="N2334">
        <v>157403</v>
      </c>
      <c r="O2334" t="s">
        <v>2352</v>
      </c>
      <c r="P2334" s="9">
        <v>208739</v>
      </c>
      <c r="Q2334" s="9">
        <v>24152</v>
      </c>
      <c r="R2334" s="9">
        <v>232891</v>
      </c>
      <c r="S2334" s="9">
        <v>-133583</v>
      </c>
      <c r="T2334" s="10">
        <v>105363</v>
      </c>
      <c r="U2334" s="10">
        <v>2800</v>
      </c>
    </row>
    <row r="2335" spans="1:21" x14ac:dyDescent="0.35">
      <c r="A2335" t="s">
        <v>15</v>
      </c>
      <c r="B2335" t="s">
        <v>16</v>
      </c>
      <c r="C2335" t="s">
        <v>21</v>
      </c>
      <c r="D2335">
        <v>169823</v>
      </c>
      <c r="E2335">
        <v>13616</v>
      </c>
      <c r="F2335">
        <v>28028</v>
      </c>
      <c r="G2335">
        <v>-152055</v>
      </c>
      <c r="H2335">
        <v>59412</v>
      </c>
      <c r="I2335">
        <v>59623</v>
      </c>
      <c r="J2335">
        <v>1404</v>
      </c>
      <c r="K2335">
        <v>388209</v>
      </c>
      <c r="L2335">
        <v>127567</v>
      </c>
      <c r="M2335">
        <v>-107489</v>
      </c>
      <c r="N2335">
        <v>112720</v>
      </c>
      <c r="O2335" t="s">
        <v>2353</v>
      </c>
      <c r="P2335" s="9">
        <v>318461</v>
      </c>
      <c r="Q2335" s="9">
        <v>20378</v>
      </c>
      <c r="R2335" s="9">
        <v>338839</v>
      </c>
      <c r="S2335" s="9">
        <v>-179135</v>
      </c>
      <c r="T2335" s="10">
        <v>93910</v>
      </c>
      <c r="U2335" s="10">
        <v>1099</v>
      </c>
    </row>
    <row r="2336" spans="1:21" x14ac:dyDescent="0.35">
      <c r="A2336" t="s">
        <v>15</v>
      </c>
      <c r="B2336" t="s">
        <v>20</v>
      </c>
      <c r="C2336" t="s">
        <v>21</v>
      </c>
      <c r="D2336">
        <v>265748</v>
      </c>
      <c r="E2336">
        <v>28731</v>
      </c>
      <c r="F2336">
        <v>62562</v>
      </c>
      <c r="G2336">
        <v>-256734</v>
      </c>
      <c r="H2336">
        <v>100307</v>
      </c>
      <c r="I2336">
        <v>100368</v>
      </c>
      <c r="J2336">
        <v>1757</v>
      </c>
      <c r="K2336">
        <v>758377</v>
      </c>
      <c r="L2336">
        <v>295491</v>
      </c>
      <c r="M2336">
        <v>-80155</v>
      </c>
      <c r="N2336">
        <v>135924</v>
      </c>
      <c r="O2336" t="s">
        <v>2354</v>
      </c>
      <c r="P2336" s="9">
        <v>253472</v>
      </c>
      <c r="Q2336" s="9">
        <v>35286</v>
      </c>
      <c r="R2336" s="9">
        <v>288758</v>
      </c>
      <c r="S2336" s="9">
        <v>-124657</v>
      </c>
      <c r="T2336" s="10">
        <v>96213</v>
      </c>
      <c r="U2336" s="10">
        <v>2681</v>
      </c>
    </row>
    <row r="2337" spans="1:21" x14ac:dyDescent="0.35">
      <c r="A2337" t="s">
        <v>15</v>
      </c>
      <c r="B2337" t="s">
        <v>16</v>
      </c>
      <c r="C2337" t="s">
        <v>17</v>
      </c>
      <c r="D2337">
        <v>265654</v>
      </c>
      <c r="E2337">
        <v>14950</v>
      </c>
      <c r="F2337">
        <v>58518</v>
      </c>
      <c r="G2337">
        <v>-234533</v>
      </c>
      <c r="H2337">
        <v>104589</v>
      </c>
      <c r="I2337">
        <v>95395</v>
      </c>
      <c r="J2337">
        <v>2424</v>
      </c>
      <c r="K2337">
        <v>1046537</v>
      </c>
      <c r="L2337">
        <v>138354</v>
      </c>
      <c r="M2337">
        <v>-105688</v>
      </c>
      <c r="N2337">
        <v>200164</v>
      </c>
      <c r="O2337" t="s">
        <v>2355</v>
      </c>
      <c r="P2337" s="9">
        <v>215449</v>
      </c>
      <c r="Q2337" s="9">
        <v>39116</v>
      </c>
      <c r="R2337" s="9">
        <v>254565</v>
      </c>
      <c r="S2337" s="9">
        <v>-142647</v>
      </c>
      <c r="T2337" s="10">
        <v>91650</v>
      </c>
      <c r="U2337" s="10">
        <v>2466</v>
      </c>
    </row>
    <row r="2338" spans="1:21" x14ac:dyDescent="0.35">
      <c r="A2338" t="s">
        <v>15</v>
      </c>
      <c r="B2338" t="s">
        <v>16</v>
      </c>
      <c r="C2338" t="s">
        <v>21</v>
      </c>
      <c r="D2338">
        <v>175765</v>
      </c>
      <c r="E2338">
        <v>27880</v>
      </c>
      <c r="F2338">
        <v>19006</v>
      </c>
      <c r="G2338">
        <v>-156297</v>
      </c>
      <c r="H2338">
        <v>66354</v>
      </c>
      <c r="I2338">
        <v>63643</v>
      </c>
      <c r="J2338">
        <v>922</v>
      </c>
      <c r="K2338">
        <v>615143</v>
      </c>
      <c r="L2338">
        <v>76791</v>
      </c>
      <c r="M2338">
        <v>-108790</v>
      </c>
      <c r="N2338">
        <v>56331</v>
      </c>
      <c r="O2338" t="s">
        <v>2356</v>
      </c>
      <c r="P2338" s="9">
        <v>217980</v>
      </c>
      <c r="Q2338" s="9">
        <v>30537</v>
      </c>
      <c r="R2338" s="9">
        <v>248517</v>
      </c>
      <c r="S2338" s="9">
        <v>-106881</v>
      </c>
      <c r="T2338" s="10">
        <v>79900</v>
      </c>
      <c r="U2338" s="10">
        <v>1836</v>
      </c>
    </row>
    <row r="2339" spans="1:21" x14ac:dyDescent="0.35">
      <c r="A2339" t="s">
        <v>15</v>
      </c>
      <c r="B2339" t="s">
        <v>16</v>
      </c>
      <c r="C2339" t="s">
        <v>21</v>
      </c>
      <c r="D2339">
        <v>265317</v>
      </c>
      <c r="E2339">
        <v>21126</v>
      </c>
      <c r="F2339">
        <v>61471</v>
      </c>
      <c r="G2339">
        <v>-253824</v>
      </c>
      <c r="H2339">
        <v>94090</v>
      </c>
      <c r="I2339">
        <v>88261</v>
      </c>
      <c r="J2339">
        <v>886</v>
      </c>
      <c r="K2339">
        <v>704819</v>
      </c>
      <c r="L2339">
        <v>252210</v>
      </c>
      <c r="M2339">
        <v>-188855</v>
      </c>
      <c r="N2339">
        <v>105449</v>
      </c>
      <c r="O2339" t="s">
        <v>2357</v>
      </c>
      <c r="P2339" s="9">
        <v>187489</v>
      </c>
      <c r="Q2339" s="9">
        <v>27636</v>
      </c>
      <c r="R2339" s="9">
        <v>215125</v>
      </c>
      <c r="S2339" s="9">
        <v>-99330</v>
      </c>
      <c r="T2339" s="10">
        <v>95103</v>
      </c>
      <c r="U2339" s="10">
        <v>1431</v>
      </c>
    </row>
    <row r="2340" spans="1:21" x14ac:dyDescent="0.35">
      <c r="A2340" t="s">
        <v>15</v>
      </c>
      <c r="B2340" t="s">
        <v>20</v>
      </c>
      <c r="C2340" t="s">
        <v>21</v>
      </c>
      <c r="D2340">
        <v>165573</v>
      </c>
      <c r="E2340">
        <v>18637</v>
      </c>
      <c r="F2340">
        <v>41065</v>
      </c>
      <c r="G2340">
        <v>-157957</v>
      </c>
      <c r="H2340">
        <v>67318</v>
      </c>
      <c r="I2340">
        <v>64514</v>
      </c>
      <c r="J2340">
        <v>796</v>
      </c>
      <c r="K2340">
        <v>438212</v>
      </c>
      <c r="L2340">
        <v>185624</v>
      </c>
      <c r="M2340">
        <v>-172287</v>
      </c>
      <c r="N2340">
        <v>79293</v>
      </c>
      <c r="O2340" t="s">
        <v>2358</v>
      </c>
      <c r="P2340" s="9">
        <v>245359</v>
      </c>
      <c r="Q2340" s="9">
        <v>45309</v>
      </c>
      <c r="R2340" s="9">
        <v>290668</v>
      </c>
      <c r="S2340" s="9">
        <v>-157117</v>
      </c>
      <c r="T2340" s="10">
        <v>122766</v>
      </c>
      <c r="U2340" s="10">
        <v>1589</v>
      </c>
    </row>
    <row r="2341" spans="1:21" x14ac:dyDescent="0.35">
      <c r="A2341" t="s">
        <v>15</v>
      </c>
      <c r="B2341" t="s">
        <v>20</v>
      </c>
      <c r="C2341" t="s">
        <v>21</v>
      </c>
      <c r="D2341">
        <v>274376</v>
      </c>
      <c r="E2341">
        <v>21600</v>
      </c>
      <c r="F2341">
        <v>42057</v>
      </c>
      <c r="G2341">
        <v>-232949</v>
      </c>
      <c r="H2341">
        <v>105084</v>
      </c>
      <c r="I2341">
        <v>110071</v>
      </c>
      <c r="J2341">
        <v>2416</v>
      </c>
      <c r="K2341">
        <v>821717</v>
      </c>
      <c r="L2341">
        <v>395468</v>
      </c>
      <c r="M2341">
        <v>-165558</v>
      </c>
      <c r="N2341">
        <v>101956</v>
      </c>
      <c r="O2341" t="s">
        <v>2359</v>
      </c>
      <c r="P2341" s="9">
        <v>174879</v>
      </c>
      <c r="Q2341" s="9">
        <v>31025</v>
      </c>
      <c r="R2341" s="9">
        <v>205904</v>
      </c>
      <c r="S2341" s="9">
        <v>-55023</v>
      </c>
      <c r="T2341" s="10">
        <v>96225</v>
      </c>
      <c r="U2341" s="10">
        <v>1405</v>
      </c>
    </row>
    <row r="2342" spans="1:21" x14ac:dyDescent="0.35">
      <c r="A2342" t="s">
        <v>15</v>
      </c>
      <c r="B2342" t="s">
        <v>16</v>
      </c>
      <c r="C2342" t="s">
        <v>17</v>
      </c>
      <c r="D2342">
        <v>245347</v>
      </c>
      <c r="E2342">
        <v>24956</v>
      </c>
      <c r="F2342">
        <v>51300</v>
      </c>
      <c r="G2342">
        <v>-202184</v>
      </c>
      <c r="H2342">
        <v>119419</v>
      </c>
      <c r="I2342">
        <v>123118</v>
      </c>
      <c r="J2342">
        <v>1850</v>
      </c>
      <c r="K2342">
        <v>949222</v>
      </c>
      <c r="L2342">
        <v>294008</v>
      </c>
      <c r="M2342">
        <v>-114067</v>
      </c>
      <c r="N2342">
        <v>177695</v>
      </c>
      <c r="O2342" t="s">
        <v>2360</v>
      </c>
      <c r="P2342" s="9">
        <v>238480</v>
      </c>
      <c r="Q2342" s="9">
        <v>29340</v>
      </c>
      <c r="R2342" s="9">
        <v>267820</v>
      </c>
      <c r="S2342" s="9">
        <v>-116198</v>
      </c>
      <c r="T2342" s="10">
        <v>64132</v>
      </c>
      <c r="U2342" s="10">
        <v>671</v>
      </c>
    </row>
    <row r="2343" spans="1:21" x14ac:dyDescent="0.35">
      <c r="A2343" t="s">
        <v>15</v>
      </c>
      <c r="B2343" t="s">
        <v>16</v>
      </c>
      <c r="C2343" t="s">
        <v>21</v>
      </c>
      <c r="D2343">
        <v>259446</v>
      </c>
      <c r="E2343">
        <v>33993</v>
      </c>
      <c r="F2343">
        <v>58187</v>
      </c>
      <c r="G2343">
        <v>-208779</v>
      </c>
      <c r="H2343">
        <v>142847</v>
      </c>
      <c r="I2343">
        <v>142403</v>
      </c>
      <c r="J2343">
        <v>2601</v>
      </c>
      <c r="K2343">
        <v>662413</v>
      </c>
      <c r="L2343">
        <v>254229</v>
      </c>
      <c r="M2343">
        <v>-147506</v>
      </c>
      <c r="N2343">
        <v>166601</v>
      </c>
      <c r="O2343" t="s">
        <v>2361</v>
      </c>
      <c r="P2343" s="9">
        <v>221993</v>
      </c>
      <c r="Q2343" s="9">
        <v>35103</v>
      </c>
      <c r="R2343" s="9">
        <v>257096</v>
      </c>
      <c r="S2343" s="9">
        <v>-111671</v>
      </c>
      <c r="T2343" s="10">
        <v>120488</v>
      </c>
      <c r="U2343" s="10">
        <v>2944</v>
      </c>
    </row>
    <row r="2344" spans="1:21" x14ac:dyDescent="0.35">
      <c r="A2344" t="s">
        <v>15</v>
      </c>
      <c r="B2344" t="s">
        <v>20</v>
      </c>
      <c r="C2344" t="s">
        <v>17</v>
      </c>
      <c r="D2344">
        <v>183154</v>
      </c>
      <c r="E2344">
        <v>32630</v>
      </c>
      <c r="F2344">
        <v>23242</v>
      </c>
      <c r="G2344">
        <v>-161468</v>
      </c>
      <c r="H2344">
        <v>77558</v>
      </c>
      <c r="I2344">
        <v>81167</v>
      </c>
      <c r="J2344">
        <v>1091</v>
      </c>
      <c r="K2344">
        <v>514679</v>
      </c>
      <c r="L2344">
        <v>169615</v>
      </c>
      <c r="M2344">
        <v>-202576</v>
      </c>
      <c r="N2344">
        <v>121367</v>
      </c>
      <c r="O2344" t="s">
        <v>2362</v>
      </c>
      <c r="P2344" s="9">
        <v>269279</v>
      </c>
      <c r="Q2344" s="9">
        <v>50066</v>
      </c>
      <c r="R2344" s="9">
        <v>319345</v>
      </c>
      <c r="S2344" s="9">
        <v>-175859</v>
      </c>
      <c r="T2344" s="10">
        <v>101905</v>
      </c>
      <c r="U2344" s="10">
        <v>2004</v>
      </c>
    </row>
    <row r="2345" spans="1:21" x14ac:dyDescent="0.35">
      <c r="A2345" t="s">
        <v>15</v>
      </c>
      <c r="B2345" t="s">
        <v>20</v>
      </c>
      <c r="C2345" t="s">
        <v>17</v>
      </c>
      <c r="D2345">
        <v>181056</v>
      </c>
      <c r="E2345">
        <v>21926</v>
      </c>
      <c r="F2345">
        <v>25523</v>
      </c>
      <c r="G2345">
        <v>-156743</v>
      </c>
      <c r="H2345">
        <v>71762</v>
      </c>
      <c r="I2345">
        <v>71966</v>
      </c>
      <c r="J2345">
        <v>739</v>
      </c>
      <c r="K2345">
        <v>704795</v>
      </c>
      <c r="L2345">
        <v>153843</v>
      </c>
      <c r="M2345">
        <v>-202414</v>
      </c>
      <c r="N2345">
        <v>72534</v>
      </c>
      <c r="O2345" t="s">
        <v>2363</v>
      </c>
      <c r="P2345" s="9">
        <v>305944</v>
      </c>
      <c r="Q2345" s="9">
        <v>54076</v>
      </c>
      <c r="R2345" s="9">
        <v>360020</v>
      </c>
      <c r="S2345" s="9">
        <v>-189975</v>
      </c>
      <c r="T2345" s="10">
        <v>153585</v>
      </c>
      <c r="U2345" s="10">
        <v>1982</v>
      </c>
    </row>
    <row r="2346" spans="1:21" x14ac:dyDescent="0.35">
      <c r="A2346" t="s">
        <v>15</v>
      </c>
      <c r="B2346" t="s">
        <v>16</v>
      </c>
      <c r="C2346" t="s">
        <v>21</v>
      </c>
      <c r="D2346">
        <v>277771</v>
      </c>
      <c r="E2346">
        <v>23664</v>
      </c>
      <c r="F2346">
        <v>53448</v>
      </c>
      <c r="G2346">
        <v>-270665</v>
      </c>
      <c r="H2346">
        <v>84218</v>
      </c>
      <c r="I2346">
        <v>76816</v>
      </c>
      <c r="J2346">
        <v>2054</v>
      </c>
      <c r="K2346">
        <v>794937</v>
      </c>
      <c r="L2346">
        <v>133086</v>
      </c>
      <c r="M2346">
        <v>-314117</v>
      </c>
      <c r="N2346">
        <v>192499</v>
      </c>
      <c r="O2346" t="s">
        <v>2364</v>
      </c>
      <c r="P2346" s="9">
        <v>175913</v>
      </c>
      <c r="Q2346" s="9">
        <v>27276</v>
      </c>
      <c r="R2346" s="9">
        <v>203189</v>
      </c>
      <c r="S2346" s="9">
        <v>-82785</v>
      </c>
      <c r="T2346" s="10">
        <v>91173</v>
      </c>
      <c r="U2346" s="10">
        <v>2375</v>
      </c>
    </row>
    <row r="2347" spans="1:21" x14ac:dyDescent="0.35">
      <c r="A2347" t="s">
        <v>15</v>
      </c>
      <c r="B2347" t="s">
        <v>16</v>
      </c>
      <c r="C2347" t="s">
        <v>21</v>
      </c>
      <c r="D2347">
        <v>150826</v>
      </c>
      <c r="E2347">
        <v>26033</v>
      </c>
      <c r="F2347">
        <v>31278</v>
      </c>
      <c r="G2347">
        <v>-122249</v>
      </c>
      <c r="H2347">
        <v>85888</v>
      </c>
      <c r="I2347">
        <v>78249</v>
      </c>
      <c r="J2347">
        <v>1101</v>
      </c>
      <c r="K2347">
        <v>419130</v>
      </c>
      <c r="L2347">
        <v>155818</v>
      </c>
      <c r="M2347">
        <v>-151128</v>
      </c>
      <c r="N2347">
        <v>87549</v>
      </c>
      <c r="O2347" t="s">
        <v>2365</v>
      </c>
      <c r="P2347" s="9">
        <v>305338</v>
      </c>
      <c r="Q2347" s="9">
        <v>15671</v>
      </c>
      <c r="R2347" s="9">
        <v>321009</v>
      </c>
      <c r="S2347" s="9">
        <v>-116195</v>
      </c>
      <c r="T2347" s="10">
        <v>108304</v>
      </c>
      <c r="U2347" s="10">
        <v>2262</v>
      </c>
    </row>
    <row r="2348" spans="1:21" x14ac:dyDescent="0.35">
      <c r="A2348" t="s">
        <v>15</v>
      </c>
      <c r="B2348" t="s">
        <v>20</v>
      </c>
      <c r="C2348" t="s">
        <v>21</v>
      </c>
      <c r="D2348">
        <v>280415</v>
      </c>
      <c r="E2348">
        <v>25508</v>
      </c>
      <c r="F2348">
        <v>31482</v>
      </c>
      <c r="G2348">
        <v>-250718</v>
      </c>
      <c r="H2348">
        <v>86687</v>
      </c>
      <c r="I2348">
        <v>80918</v>
      </c>
      <c r="J2348">
        <v>883</v>
      </c>
      <c r="K2348">
        <v>745095</v>
      </c>
      <c r="L2348">
        <v>130195</v>
      </c>
      <c r="M2348">
        <v>-87060</v>
      </c>
      <c r="N2348">
        <v>218421</v>
      </c>
      <c r="O2348" t="s">
        <v>2366</v>
      </c>
      <c r="P2348" s="9">
        <v>158091</v>
      </c>
      <c r="Q2348" s="9">
        <v>23302</v>
      </c>
      <c r="R2348" s="9">
        <v>181393</v>
      </c>
      <c r="S2348" s="9">
        <v>-79228</v>
      </c>
      <c r="T2348" s="10">
        <v>59338</v>
      </c>
      <c r="U2348" s="10">
        <v>950</v>
      </c>
    </row>
    <row r="2349" spans="1:21" x14ac:dyDescent="0.35">
      <c r="A2349" t="s">
        <v>15</v>
      </c>
      <c r="B2349" t="s">
        <v>20</v>
      </c>
      <c r="C2349" t="s">
        <v>21</v>
      </c>
      <c r="D2349">
        <v>233837</v>
      </c>
      <c r="E2349">
        <v>40404</v>
      </c>
      <c r="F2349">
        <v>28511</v>
      </c>
      <c r="G2349">
        <v>-230365</v>
      </c>
      <c r="H2349">
        <v>72387</v>
      </c>
      <c r="I2349">
        <v>69820</v>
      </c>
      <c r="J2349">
        <v>1257</v>
      </c>
      <c r="K2349">
        <v>583091</v>
      </c>
      <c r="L2349">
        <v>148366</v>
      </c>
      <c r="M2349">
        <v>-131774</v>
      </c>
      <c r="N2349">
        <v>189274</v>
      </c>
      <c r="O2349" t="s">
        <v>2367</v>
      </c>
      <c r="P2349" s="9">
        <v>195469</v>
      </c>
      <c r="Q2349" s="9">
        <v>33654</v>
      </c>
      <c r="R2349" s="9">
        <v>229123</v>
      </c>
      <c r="S2349" s="9">
        <v>-62675</v>
      </c>
      <c r="T2349" s="10">
        <v>89397</v>
      </c>
      <c r="U2349" s="10">
        <v>1963</v>
      </c>
    </row>
    <row r="2350" spans="1:21" x14ac:dyDescent="0.35">
      <c r="A2350" t="s">
        <v>15</v>
      </c>
      <c r="B2350" t="s">
        <v>16</v>
      </c>
      <c r="C2350" t="s">
        <v>21</v>
      </c>
      <c r="D2350">
        <v>177957</v>
      </c>
      <c r="E2350">
        <v>27052</v>
      </c>
      <c r="F2350">
        <v>32671</v>
      </c>
      <c r="G2350">
        <v>-157426</v>
      </c>
      <c r="H2350">
        <v>80254</v>
      </c>
      <c r="I2350">
        <v>80795</v>
      </c>
      <c r="J2350">
        <v>1768</v>
      </c>
      <c r="K2350">
        <v>629734</v>
      </c>
      <c r="L2350">
        <v>176524</v>
      </c>
      <c r="M2350">
        <v>-193881</v>
      </c>
      <c r="N2350">
        <v>89950</v>
      </c>
      <c r="O2350" t="s">
        <v>2368</v>
      </c>
      <c r="P2350" s="9">
        <v>137295</v>
      </c>
      <c r="Q2350" s="9">
        <v>21144</v>
      </c>
      <c r="R2350" s="9">
        <v>158439</v>
      </c>
      <c r="S2350" s="9">
        <v>-94748</v>
      </c>
      <c r="T2350" s="10">
        <v>76979</v>
      </c>
      <c r="U2350" s="10">
        <v>2269</v>
      </c>
    </row>
    <row r="2351" spans="1:21" x14ac:dyDescent="0.35">
      <c r="A2351" t="s">
        <v>15</v>
      </c>
      <c r="B2351" t="s">
        <v>16</v>
      </c>
      <c r="C2351" t="s">
        <v>17</v>
      </c>
      <c r="D2351">
        <v>162312</v>
      </c>
      <c r="E2351">
        <v>21239</v>
      </c>
      <c r="F2351">
        <v>38330</v>
      </c>
      <c r="G2351">
        <v>-153868</v>
      </c>
      <c r="H2351">
        <v>68013</v>
      </c>
      <c r="I2351">
        <v>66828</v>
      </c>
      <c r="J2351">
        <v>1538</v>
      </c>
      <c r="K2351">
        <v>395652</v>
      </c>
      <c r="L2351">
        <v>185397</v>
      </c>
      <c r="M2351">
        <v>-58377</v>
      </c>
      <c r="N2351">
        <v>72296</v>
      </c>
      <c r="O2351" t="s">
        <v>2369</v>
      </c>
      <c r="P2351" s="9">
        <v>267133</v>
      </c>
      <c r="Q2351" s="9">
        <v>52839</v>
      </c>
      <c r="R2351" s="9">
        <v>319972</v>
      </c>
      <c r="S2351" s="9">
        <v>-162346</v>
      </c>
      <c r="T2351" s="10">
        <v>100338</v>
      </c>
      <c r="U2351" s="10">
        <v>2916</v>
      </c>
    </row>
    <row r="2352" spans="1:21" x14ac:dyDescent="0.35">
      <c r="A2352" t="s">
        <v>15</v>
      </c>
      <c r="B2352" t="s">
        <v>16</v>
      </c>
      <c r="C2352" t="s">
        <v>21</v>
      </c>
      <c r="D2352">
        <v>198868</v>
      </c>
      <c r="E2352">
        <v>24103</v>
      </c>
      <c r="F2352">
        <v>49558</v>
      </c>
      <c r="G2352">
        <v>-197116</v>
      </c>
      <c r="H2352">
        <v>75413</v>
      </c>
      <c r="I2352">
        <v>71053</v>
      </c>
      <c r="J2352">
        <v>1306</v>
      </c>
      <c r="K2352">
        <v>485021</v>
      </c>
      <c r="L2352">
        <v>62736</v>
      </c>
      <c r="M2352">
        <v>-52231</v>
      </c>
      <c r="N2352">
        <v>101917</v>
      </c>
      <c r="O2352" t="s">
        <v>2370</v>
      </c>
      <c r="P2352" s="9">
        <v>176282</v>
      </c>
      <c r="Q2352" s="9">
        <v>11846</v>
      </c>
      <c r="R2352" s="9">
        <v>188128</v>
      </c>
      <c r="S2352" s="9">
        <v>-87226</v>
      </c>
      <c r="T2352" s="10">
        <v>41786</v>
      </c>
      <c r="U2352" s="10">
        <v>836</v>
      </c>
    </row>
    <row r="2353" spans="1:21" x14ac:dyDescent="0.35">
      <c r="A2353" t="s">
        <v>15</v>
      </c>
      <c r="B2353" t="s">
        <v>16</v>
      </c>
      <c r="C2353" t="s">
        <v>21</v>
      </c>
      <c r="D2353">
        <v>273994</v>
      </c>
      <c r="E2353">
        <v>47313</v>
      </c>
      <c r="F2353">
        <v>33144</v>
      </c>
      <c r="G2353">
        <v>-234612</v>
      </c>
      <c r="H2353">
        <v>119839</v>
      </c>
      <c r="I2353">
        <v>109867</v>
      </c>
      <c r="J2353">
        <v>1892</v>
      </c>
      <c r="K2353">
        <v>597024</v>
      </c>
      <c r="L2353">
        <v>236737</v>
      </c>
      <c r="M2353">
        <v>-106684</v>
      </c>
      <c r="N2353">
        <v>88979</v>
      </c>
      <c r="O2353" t="s">
        <v>2371</v>
      </c>
      <c r="P2353" s="9">
        <v>203175</v>
      </c>
      <c r="Q2353" s="9">
        <v>25603</v>
      </c>
      <c r="R2353" s="9">
        <v>228778</v>
      </c>
      <c r="S2353" s="9">
        <v>-124686</v>
      </c>
      <c r="T2353" s="10">
        <v>49651</v>
      </c>
      <c r="U2353" s="10">
        <v>734</v>
      </c>
    </row>
    <row r="2354" spans="1:21" x14ac:dyDescent="0.35">
      <c r="A2354" t="s">
        <v>15</v>
      </c>
      <c r="B2354" t="s">
        <v>20</v>
      </c>
      <c r="C2354" t="s">
        <v>17</v>
      </c>
      <c r="D2354">
        <v>256918</v>
      </c>
      <c r="E2354">
        <v>34919</v>
      </c>
      <c r="F2354">
        <v>29131</v>
      </c>
      <c r="G2354">
        <v>-249044</v>
      </c>
      <c r="H2354">
        <v>71924</v>
      </c>
      <c r="I2354">
        <v>75501</v>
      </c>
      <c r="J2354">
        <v>2177</v>
      </c>
      <c r="K2354">
        <v>708869</v>
      </c>
      <c r="L2354">
        <v>192682</v>
      </c>
      <c r="M2354">
        <v>-164238</v>
      </c>
      <c r="N2354">
        <v>143980</v>
      </c>
      <c r="O2354" t="s">
        <v>2372</v>
      </c>
      <c r="P2354" s="9">
        <v>261777</v>
      </c>
      <c r="Q2354" s="9">
        <v>17123</v>
      </c>
      <c r="R2354" s="9">
        <v>278900</v>
      </c>
      <c r="S2354" s="9">
        <v>-153756</v>
      </c>
      <c r="T2354" s="10">
        <v>70079</v>
      </c>
      <c r="U2354" s="10">
        <v>930</v>
      </c>
    </row>
    <row r="2355" spans="1:21" x14ac:dyDescent="0.35">
      <c r="A2355" t="s">
        <v>15</v>
      </c>
      <c r="B2355" t="s">
        <v>16</v>
      </c>
      <c r="C2355" t="s">
        <v>17</v>
      </c>
      <c r="D2355">
        <v>237551</v>
      </c>
      <c r="E2355">
        <v>31827</v>
      </c>
      <c r="F2355">
        <v>51179</v>
      </c>
      <c r="G2355">
        <v>-236340</v>
      </c>
      <c r="H2355">
        <v>84217</v>
      </c>
      <c r="I2355">
        <v>85718</v>
      </c>
      <c r="J2355">
        <v>936</v>
      </c>
      <c r="K2355">
        <v>598294</v>
      </c>
      <c r="L2355">
        <v>87738</v>
      </c>
      <c r="M2355">
        <v>-156949</v>
      </c>
      <c r="N2355">
        <v>161612</v>
      </c>
      <c r="O2355" t="s">
        <v>2373</v>
      </c>
      <c r="P2355" s="9">
        <v>269665</v>
      </c>
      <c r="Q2355" s="9">
        <v>22582</v>
      </c>
      <c r="R2355" s="9">
        <v>292247</v>
      </c>
      <c r="S2355" s="9">
        <v>-143937</v>
      </c>
      <c r="T2355" s="10">
        <v>66141</v>
      </c>
      <c r="U2355" s="10">
        <v>1308</v>
      </c>
    </row>
    <row r="2356" spans="1:21" x14ac:dyDescent="0.35">
      <c r="A2356" t="s">
        <v>15</v>
      </c>
      <c r="B2356" t="s">
        <v>16</v>
      </c>
      <c r="C2356" t="s">
        <v>21</v>
      </c>
      <c r="D2356">
        <v>281285</v>
      </c>
      <c r="E2356">
        <v>32695</v>
      </c>
      <c r="F2356">
        <v>62293</v>
      </c>
      <c r="G2356">
        <v>-265546</v>
      </c>
      <c r="H2356">
        <v>110727</v>
      </c>
      <c r="I2356">
        <v>105636</v>
      </c>
      <c r="J2356">
        <v>2682</v>
      </c>
      <c r="K2356">
        <v>587636</v>
      </c>
      <c r="L2356">
        <v>168248</v>
      </c>
      <c r="M2356">
        <v>-226612</v>
      </c>
      <c r="N2356">
        <v>155157</v>
      </c>
      <c r="O2356" t="s">
        <v>2374</v>
      </c>
      <c r="P2356" s="9">
        <v>196334</v>
      </c>
      <c r="Q2356" s="9">
        <v>35594</v>
      </c>
      <c r="R2356" s="9">
        <v>231928</v>
      </c>
      <c r="S2356" s="9">
        <v>-89471</v>
      </c>
      <c r="T2356" s="10">
        <v>82234</v>
      </c>
      <c r="U2356" s="10">
        <v>1106</v>
      </c>
    </row>
    <row r="2357" spans="1:21" x14ac:dyDescent="0.35">
      <c r="A2357" t="s">
        <v>15</v>
      </c>
      <c r="B2357" t="s">
        <v>20</v>
      </c>
      <c r="C2357" t="s">
        <v>21</v>
      </c>
      <c r="D2357">
        <v>243481</v>
      </c>
      <c r="E2357">
        <v>20115</v>
      </c>
      <c r="F2357">
        <v>46031</v>
      </c>
      <c r="G2357">
        <v>-200110</v>
      </c>
      <c r="H2357">
        <v>109517</v>
      </c>
      <c r="I2357">
        <v>104706</v>
      </c>
      <c r="J2357">
        <v>2822</v>
      </c>
      <c r="K2357">
        <v>756728</v>
      </c>
      <c r="L2357">
        <v>292182</v>
      </c>
      <c r="M2357">
        <v>-250706</v>
      </c>
      <c r="N2357">
        <v>99659</v>
      </c>
      <c r="O2357" t="s">
        <v>2375</v>
      </c>
      <c r="P2357" s="9">
        <v>242662</v>
      </c>
      <c r="Q2357" s="9">
        <v>35506</v>
      </c>
      <c r="R2357" s="9">
        <v>278168</v>
      </c>
      <c r="S2357" s="9">
        <v>-116354</v>
      </c>
      <c r="T2357" s="10">
        <v>101136</v>
      </c>
      <c r="U2357" s="10">
        <v>1493</v>
      </c>
    </row>
    <row r="2358" spans="1:21" x14ac:dyDescent="0.35">
      <c r="A2358" t="s">
        <v>15</v>
      </c>
      <c r="B2358" t="s">
        <v>20</v>
      </c>
      <c r="C2358" t="s">
        <v>21</v>
      </c>
      <c r="D2358">
        <v>165337</v>
      </c>
      <c r="E2358">
        <v>14883</v>
      </c>
      <c r="F2358">
        <v>40407</v>
      </c>
      <c r="G2358">
        <v>-149033</v>
      </c>
      <c r="H2358">
        <v>71594</v>
      </c>
      <c r="I2358">
        <v>72239</v>
      </c>
      <c r="J2358">
        <v>1481</v>
      </c>
      <c r="K2358">
        <v>510274</v>
      </c>
      <c r="L2358">
        <v>120078</v>
      </c>
      <c r="M2358">
        <v>-177455</v>
      </c>
      <c r="N2358">
        <v>107640</v>
      </c>
      <c r="O2358" t="s">
        <v>2376</v>
      </c>
      <c r="P2358" s="9">
        <v>169954</v>
      </c>
      <c r="Q2358" s="9">
        <v>24512</v>
      </c>
      <c r="R2358" s="9">
        <v>194466</v>
      </c>
      <c r="S2358" s="9">
        <v>-86362</v>
      </c>
      <c r="T2358" s="10">
        <v>72929</v>
      </c>
      <c r="U2358" s="10">
        <v>2138</v>
      </c>
    </row>
    <row r="2359" spans="1:21" x14ac:dyDescent="0.35">
      <c r="A2359" t="s">
        <v>15</v>
      </c>
      <c r="B2359" t="s">
        <v>20</v>
      </c>
      <c r="C2359" t="s">
        <v>21</v>
      </c>
      <c r="D2359">
        <v>165254</v>
      </c>
      <c r="E2359">
        <v>22341</v>
      </c>
      <c r="F2359">
        <v>29586</v>
      </c>
      <c r="G2359">
        <v>-132741</v>
      </c>
      <c r="H2359">
        <v>84440</v>
      </c>
      <c r="I2359">
        <v>84487</v>
      </c>
      <c r="J2359">
        <v>2040</v>
      </c>
      <c r="K2359">
        <v>657434</v>
      </c>
      <c r="L2359">
        <v>120014</v>
      </c>
      <c r="M2359">
        <v>-140499</v>
      </c>
      <c r="N2359">
        <v>106276</v>
      </c>
      <c r="O2359" t="s">
        <v>2377</v>
      </c>
      <c r="P2359" s="9">
        <v>280257</v>
      </c>
      <c r="Q2359" s="9">
        <v>38959</v>
      </c>
      <c r="R2359" s="9">
        <v>319216</v>
      </c>
      <c r="S2359" s="9">
        <v>-145664</v>
      </c>
      <c r="T2359" s="10">
        <v>132039</v>
      </c>
      <c r="U2359" s="10">
        <v>2421</v>
      </c>
    </row>
    <row r="2360" spans="1:21" x14ac:dyDescent="0.35">
      <c r="A2360" t="s">
        <v>15</v>
      </c>
      <c r="B2360" t="s">
        <v>20</v>
      </c>
      <c r="C2360" t="s">
        <v>21</v>
      </c>
      <c r="D2360">
        <v>254436</v>
      </c>
      <c r="E2360">
        <v>33860</v>
      </c>
      <c r="F2360">
        <v>55825</v>
      </c>
      <c r="G2360">
        <v>-239188</v>
      </c>
      <c r="H2360">
        <v>104933</v>
      </c>
      <c r="I2360">
        <v>104335</v>
      </c>
      <c r="J2360">
        <v>1181</v>
      </c>
      <c r="K2360">
        <v>997305</v>
      </c>
      <c r="L2360">
        <v>228551</v>
      </c>
      <c r="M2360">
        <v>-161623</v>
      </c>
      <c r="N2360">
        <v>150818</v>
      </c>
      <c r="O2360" t="s">
        <v>2378</v>
      </c>
      <c r="P2360" s="9">
        <v>201245</v>
      </c>
      <c r="Q2360" s="9">
        <v>32492</v>
      </c>
      <c r="R2360" s="9">
        <v>233737</v>
      </c>
      <c r="S2360" s="9">
        <v>-81191</v>
      </c>
      <c r="T2360" s="10">
        <v>90174</v>
      </c>
      <c r="U2360" s="10">
        <v>1735</v>
      </c>
    </row>
    <row r="2361" spans="1:21" x14ac:dyDescent="0.35">
      <c r="A2361" t="s">
        <v>15</v>
      </c>
      <c r="B2361" t="s">
        <v>20</v>
      </c>
      <c r="C2361" t="s">
        <v>17</v>
      </c>
      <c r="D2361">
        <v>264371</v>
      </c>
      <c r="E2361">
        <v>26512</v>
      </c>
      <c r="F2361">
        <v>54198</v>
      </c>
      <c r="G2361">
        <v>-262348</v>
      </c>
      <c r="H2361">
        <v>82733</v>
      </c>
      <c r="I2361">
        <v>85043</v>
      </c>
      <c r="J2361">
        <v>1046</v>
      </c>
      <c r="K2361">
        <v>988842</v>
      </c>
      <c r="L2361">
        <v>443442</v>
      </c>
      <c r="M2361">
        <v>-278247</v>
      </c>
      <c r="N2361">
        <v>171974</v>
      </c>
      <c r="O2361" t="s">
        <v>2379</v>
      </c>
      <c r="P2361" s="9">
        <v>220294</v>
      </c>
      <c r="Q2361" s="9">
        <v>34587</v>
      </c>
      <c r="R2361" s="9">
        <v>254881</v>
      </c>
      <c r="S2361" s="9">
        <v>-101245</v>
      </c>
      <c r="T2361" s="10">
        <v>88853</v>
      </c>
      <c r="U2361" s="10">
        <v>1569</v>
      </c>
    </row>
    <row r="2362" spans="1:21" x14ac:dyDescent="0.35">
      <c r="A2362" t="s">
        <v>15</v>
      </c>
      <c r="B2362" t="s">
        <v>16</v>
      </c>
      <c r="C2362" t="s">
        <v>17</v>
      </c>
      <c r="D2362">
        <v>165958</v>
      </c>
      <c r="E2362">
        <v>12894</v>
      </c>
      <c r="F2362">
        <v>29950</v>
      </c>
      <c r="G2362">
        <v>-154028</v>
      </c>
      <c r="H2362">
        <v>54774</v>
      </c>
      <c r="I2362">
        <v>55980</v>
      </c>
      <c r="J2362">
        <v>952</v>
      </c>
      <c r="K2362">
        <v>454344</v>
      </c>
      <c r="L2362">
        <v>96010</v>
      </c>
      <c r="M2362">
        <v>-68901</v>
      </c>
      <c r="N2362">
        <v>137763</v>
      </c>
      <c r="O2362" t="s">
        <v>2380</v>
      </c>
      <c r="P2362" s="9">
        <v>181871</v>
      </c>
      <c r="Q2362" s="9">
        <v>27475</v>
      </c>
      <c r="R2362" s="9">
        <v>209346</v>
      </c>
      <c r="S2362" s="9">
        <v>-121292</v>
      </c>
      <c r="T2362" s="10">
        <v>59540</v>
      </c>
      <c r="U2362" s="10">
        <v>796</v>
      </c>
    </row>
    <row r="2363" spans="1:21" x14ac:dyDescent="0.35">
      <c r="A2363" t="s">
        <v>15</v>
      </c>
      <c r="B2363" t="s">
        <v>20</v>
      </c>
      <c r="C2363" t="s">
        <v>21</v>
      </c>
      <c r="D2363">
        <v>237938</v>
      </c>
      <c r="E2363">
        <v>17922</v>
      </c>
      <c r="F2363">
        <v>57737</v>
      </c>
      <c r="G2363">
        <v>-212224</v>
      </c>
      <c r="H2363">
        <v>101373</v>
      </c>
      <c r="I2363">
        <v>99845</v>
      </c>
      <c r="J2363">
        <v>2650</v>
      </c>
      <c r="K2363">
        <v>947267</v>
      </c>
      <c r="L2363">
        <v>224297</v>
      </c>
      <c r="M2363">
        <v>-254939</v>
      </c>
      <c r="N2363">
        <v>157679</v>
      </c>
      <c r="O2363" t="s">
        <v>2381</v>
      </c>
      <c r="P2363" s="9">
        <v>142988</v>
      </c>
      <c r="Q2363" s="9">
        <v>23333</v>
      </c>
      <c r="R2363" s="9">
        <v>166321</v>
      </c>
      <c r="S2363" s="9">
        <v>-67771</v>
      </c>
      <c r="T2363" s="10">
        <v>67702</v>
      </c>
      <c r="U2363" s="10">
        <v>1971</v>
      </c>
    </row>
    <row r="2364" spans="1:21" x14ac:dyDescent="0.35">
      <c r="A2364" t="s">
        <v>15</v>
      </c>
      <c r="B2364" t="s">
        <v>16</v>
      </c>
      <c r="C2364" t="s">
        <v>21</v>
      </c>
      <c r="D2364">
        <v>198151</v>
      </c>
      <c r="E2364">
        <v>24092</v>
      </c>
      <c r="F2364">
        <v>25899</v>
      </c>
      <c r="G2364">
        <v>-178477</v>
      </c>
      <c r="H2364">
        <v>69665</v>
      </c>
      <c r="I2364">
        <v>64658</v>
      </c>
      <c r="J2364">
        <v>1436</v>
      </c>
      <c r="K2364">
        <v>544736</v>
      </c>
      <c r="L2364">
        <v>82278</v>
      </c>
      <c r="M2364">
        <v>-85083</v>
      </c>
      <c r="N2364">
        <v>90028</v>
      </c>
      <c r="O2364" t="s">
        <v>2382</v>
      </c>
      <c r="P2364" s="9">
        <v>237760</v>
      </c>
      <c r="Q2364" s="9">
        <v>26706</v>
      </c>
      <c r="R2364" s="9">
        <v>264466</v>
      </c>
      <c r="S2364" s="9">
        <v>-67951</v>
      </c>
      <c r="T2364" s="10">
        <v>68250</v>
      </c>
      <c r="U2364" s="10">
        <v>1041</v>
      </c>
    </row>
    <row r="2365" spans="1:21" x14ac:dyDescent="0.35">
      <c r="A2365" t="s">
        <v>15</v>
      </c>
      <c r="B2365" t="s">
        <v>20</v>
      </c>
      <c r="C2365" t="s">
        <v>21</v>
      </c>
      <c r="D2365">
        <v>230342</v>
      </c>
      <c r="E2365">
        <v>45699</v>
      </c>
      <c r="F2365">
        <v>54221</v>
      </c>
      <c r="G2365">
        <v>-185881</v>
      </c>
      <c r="H2365">
        <v>144381</v>
      </c>
      <c r="I2365">
        <v>132768</v>
      </c>
      <c r="J2365">
        <v>2152</v>
      </c>
      <c r="K2365">
        <v>834611</v>
      </c>
      <c r="L2365">
        <v>309013</v>
      </c>
      <c r="M2365">
        <v>-207209</v>
      </c>
      <c r="N2365">
        <v>142538</v>
      </c>
      <c r="O2365" t="s">
        <v>2383</v>
      </c>
      <c r="P2365" s="9">
        <v>234782</v>
      </c>
      <c r="Q2365" s="9">
        <v>29486</v>
      </c>
      <c r="R2365" s="9">
        <v>264268</v>
      </c>
      <c r="S2365" s="9">
        <v>-94250</v>
      </c>
      <c r="T2365" s="10">
        <v>73136</v>
      </c>
      <c r="U2365" s="10">
        <v>1287</v>
      </c>
    </row>
    <row r="2366" spans="1:21" x14ac:dyDescent="0.35">
      <c r="A2366" t="s">
        <v>15</v>
      </c>
      <c r="B2366" t="s">
        <v>16</v>
      </c>
      <c r="C2366" t="s">
        <v>21</v>
      </c>
      <c r="D2366">
        <v>299565</v>
      </c>
      <c r="E2366">
        <v>57206</v>
      </c>
      <c r="F2366">
        <v>49937</v>
      </c>
      <c r="G2366">
        <v>-254108</v>
      </c>
      <c r="H2366">
        <v>152600</v>
      </c>
      <c r="I2366">
        <v>141884</v>
      </c>
      <c r="J2366">
        <v>2044</v>
      </c>
      <c r="K2366">
        <v>1170428</v>
      </c>
      <c r="L2366">
        <v>260480</v>
      </c>
      <c r="M2366">
        <v>-200935</v>
      </c>
      <c r="N2366">
        <v>200776</v>
      </c>
      <c r="O2366" t="s">
        <v>2384</v>
      </c>
      <c r="P2366" s="9">
        <v>220605</v>
      </c>
      <c r="Q2366" s="9">
        <v>44130</v>
      </c>
      <c r="R2366" s="9">
        <v>264735</v>
      </c>
      <c r="S2366" s="9">
        <v>-84868</v>
      </c>
      <c r="T2366" s="10">
        <v>107837</v>
      </c>
      <c r="U2366" s="10">
        <v>2184</v>
      </c>
    </row>
    <row r="2367" spans="1:21" x14ac:dyDescent="0.35">
      <c r="A2367" t="s">
        <v>15</v>
      </c>
      <c r="B2367" t="s">
        <v>16</v>
      </c>
      <c r="C2367" t="s">
        <v>21</v>
      </c>
      <c r="D2367">
        <v>290283</v>
      </c>
      <c r="E2367">
        <v>30833</v>
      </c>
      <c r="F2367">
        <v>72485</v>
      </c>
      <c r="G2367">
        <v>-241018</v>
      </c>
      <c r="H2367">
        <v>152583</v>
      </c>
      <c r="I2367">
        <v>138403</v>
      </c>
      <c r="J2367">
        <v>2018</v>
      </c>
      <c r="K2367">
        <v>733448</v>
      </c>
      <c r="L2367">
        <v>241487</v>
      </c>
      <c r="M2367">
        <v>-239168</v>
      </c>
      <c r="N2367">
        <v>184081</v>
      </c>
      <c r="O2367" t="s">
        <v>2385</v>
      </c>
      <c r="P2367" s="9">
        <v>262326</v>
      </c>
      <c r="Q2367" s="9">
        <v>51345</v>
      </c>
      <c r="R2367" s="9">
        <v>313671</v>
      </c>
      <c r="S2367" s="9">
        <v>-186374</v>
      </c>
      <c r="T2367" s="10">
        <v>111686</v>
      </c>
      <c r="U2367" s="10">
        <v>3168</v>
      </c>
    </row>
    <row r="2368" spans="1:21" x14ac:dyDescent="0.35">
      <c r="A2368" t="s">
        <v>15</v>
      </c>
      <c r="B2368" t="s">
        <v>20</v>
      </c>
      <c r="C2368" t="s">
        <v>17</v>
      </c>
      <c r="D2368">
        <v>157887</v>
      </c>
      <c r="E2368">
        <v>15599</v>
      </c>
      <c r="F2368">
        <v>17519</v>
      </c>
      <c r="G2368">
        <v>-140484</v>
      </c>
      <c r="H2368">
        <v>50521</v>
      </c>
      <c r="I2368">
        <v>46030</v>
      </c>
      <c r="J2368">
        <v>906</v>
      </c>
      <c r="K2368">
        <v>500374</v>
      </c>
      <c r="L2368">
        <v>190578</v>
      </c>
      <c r="M2368">
        <v>-118510</v>
      </c>
      <c r="N2368">
        <v>133003</v>
      </c>
      <c r="O2368" t="s">
        <v>2386</v>
      </c>
      <c r="P2368" s="9">
        <v>285995</v>
      </c>
      <c r="Q2368" s="9">
        <v>20361</v>
      </c>
      <c r="R2368" s="9">
        <v>306356</v>
      </c>
      <c r="S2368" s="9">
        <v>-145908</v>
      </c>
      <c r="T2368" s="10">
        <v>107295</v>
      </c>
      <c r="U2368" s="10">
        <v>1446</v>
      </c>
    </row>
    <row r="2369" spans="1:21" x14ac:dyDescent="0.35">
      <c r="A2369" t="s">
        <v>15</v>
      </c>
      <c r="B2369" t="s">
        <v>16</v>
      </c>
      <c r="C2369" t="s">
        <v>21</v>
      </c>
      <c r="D2369">
        <v>214876</v>
      </c>
      <c r="E2369">
        <v>27930</v>
      </c>
      <c r="F2369">
        <v>24409</v>
      </c>
      <c r="G2369">
        <v>-202046</v>
      </c>
      <c r="H2369">
        <v>65169</v>
      </c>
      <c r="I2369">
        <v>60811</v>
      </c>
      <c r="J2369">
        <v>1658</v>
      </c>
      <c r="K2369">
        <v>685775</v>
      </c>
      <c r="L2369">
        <v>83464</v>
      </c>
      <c r="M2369">
        <v>-212270</v>
      </c>
      <c r="N2369">
        <v>176249</v>
      </c>
      <c r="O2369" t="s">
        <v>2387</v>
      </c>
      <c r="P2369" s="9">
        <v>208098</v>
      </c>
      <c r="Q2369" s="9">
        <v>34354</v>
      </c>
      <c r="R2369" s="9">
        <v>242452</v>
      </c>
      <c r="S2369" s="9">
        <v>-115833</v>
      </c>
      <c r="T2369" s="10">
        <v>106452</v>
      </c>
      <c r="U2369" s="10">
        <v>1971</v>
      </c>
    </row>
    <row r="2370" spans="1:21" x14ac:dyDescent="0.35">
      <c r="A2370" t="s">
        <v>15</v>
      </c>
      <c r="B2370" t="s">
        <v>16</v>
      </c>
      <c r="C2370" t="s">
        <v>21</v>
      </c>
      <c r="D2370">
        <v>271207</v>
      </c>
      <c r="E2370">
        <v>26355</v>
      </c>
      <c r="F2370">
        <v>51963</v>
      </c>
      <c r="G2370">
        <v>-261840</v>
      </c>
      <c r="H2370">
        <v>87685</v>
      </c>
      <c r="I2370">
        <v>86842</v>
      </c>
      <c r="J2370">
        <v>1470</v>
      </c>
      <c r="K2370">
        <v>837110</v>
      </c>
      <c r="L2370">
        <v>367960</v>
      </c>
      <c r="M2370">
        <v>-93507</v>
      </c>
      <c r="N2370">
        <v>211561</v>
      </c>
      <c r="O2370" t="s">
        <v>2388</v>
      </c>
      <c r="P2370" s="9">
        <v>250835</v>
      </c>
      <c r="Q2370" s="9">
        <v>47264</v>
      </c>
      <c r="R2370" s="9">
        <v>298099</v>
      </c>
      <c r="S2370" s="9">
        <v>-165988</v>
      </c>
      <c r="T2370" s="10">
        <v>148768</v>
      </c>
      <c r="U2370" s="10">
        <v>2254</v>
      </c>
    </row>
    <row r="2371" spans="1:21" x14ac:dyDescent="0.35">
      <c r="A2371" t="s">
        <v>15</v>
      </c>
      <c r="B2371" t="s">
        <v>16</v>
      </c>
      <c r="C2371" t="s">
        <v>21</v>
      </c>
      <c r="D2371">
        <v>239630</v>
      </c>
      <c r="E2371">
        <v>19088</v>
      </c>
      <c r="F2371">
        <v>40219</v>
      </c>
      <c r="G2371">
        <v>-227234</v>
      </c>
      <c r="H2371">
        <v>71703</v>
      </c>
      <c r="I2371">
        <v>66597</v>
      </c>
      <c r="J2371">
        <v>1236</v>
      </c>
      <c r="K2371">
        <v>925192</v>
      </c>
      <c r="L2371">
        <v>426295</v>
      </c>
      <c r="M2371">
        <v>-318638</v>
      </c>
      <c r="N2371">
        <v>136684</v>
      </c>
      <c r="O2371" t="s">
        <v>2389</v>
      </c>
      <c r="P2371" s="9">
        <v>161625</v>
      </c>
      <c r="Q2371" s="9">
        <v>11963</v>
      </c>
      <c r="R2371" s="9">
        <v>173588</v>
      </c>
      <c r="S2371" s="9">
        <v>-49871</v>
      </c>
      <c r="T2371" s="10">
        <v>54676</v>
      </c>
      <c r="U2371" s="10">
        <v>1174</v>
      </c>
    </row>
    <row r="2372" spans="1:21" x14ac:dyDescent="0.35">
      <c r="A2372" t="s">
        <v>15</v>
      </c>
      <c r="B2372" t="s">
        <v>16</v>
      </c>
      <c r="C2372" t="s">
        <v>17</v>
      </c>
      <c r="D2372">
        <v>181360</v>
      </c>
      <c r="E2372">
        <v>11180</v>
      </c>
      <c r="F2372">
        <v>29542</v>
      </c>
      <c r="G2372">
        <v>-168568</v>
      </c>
      <c r="H2372">
        <v>53514</v>
      </c>
      <c r="I2372">
        <v>48808</v>
      </c>
      <c r="J2372">
        <v>1371</v>
      </c>
      <c r="K2372">
        <v>557989</v>
      </c>
      <c r="L2372">
        <v>70095</v>
      </c>
      <c r="M2372">
        <v>-173875</v>
      </c>
      <c r="N2372">
        <v>151232</v>
      </c>
      <c r="O2372" t="s">
        <v>2390</v>
      </c>
      <c r="P2372" s="9">
        <v>156730</v>
      </c>
      <c r="Q2372" s="9">
        <v>8493</v>
      </c>
      <c r="R2372" s="9">
        <v>165223</v>
      </c>
      <c r="S2372" s="9">
        <v>-62177</v>
      </c>
      <c r="T2372" s="10">
        <v>30815</v>
      </c>
      <c r="U2372" s="10">
        <v>330</v>
      </c>
    </row>
    <row r="2373" spans="1:21" x14ac:dyDescent="0.35">
      <c r="A2373" t="s">
        <v>15</v>
      </c>
      <c r="B2373" t="s">
        <v>20</v>
      </c>
      <c r="C2373" t="s">
        <v>21</v>
      </c>
      <c r="D2373">
        <v>175338</v>
      </c>
      <c r="E2373">
        <v>31753</v>
      </c>
      <c r="F2373">
        <v>36288</v>
      </c>
      <c r="G2373">
        <v>-159494</v>
      </c>
      <c r="H2373">
        <v>83885</v>
      </c>
      <c r="I2373">
        <v>77297</v>
      </c>
      <c r="J2373">
        <v>1941</v>
      </c>
      <c r="K2373">
        <v>366280</v>
      </c>
      <c r="L2373">
        <v>59675</v>
      </c>
      <c r="M2373">
        <v>-130147</v>
      </c>
      <c r="N2373">
        <v>123090</v>
      </c>
      <c r="O2373" t="s">
        <v>2391</v>
      </c>
      <c r="P2373" s="9">
        <v>252975</v>
      </c>
      <c r="Q2373" s="9">
        <v>36445</v>
      </c>
      <c r="R2373" s="9">
        <v>289420</v>
      </c>
      <c r="S2373" s="9">
        <v>-165321</v>
      </c>
      <c r="T2373" s="10">
        <v>99542</v>
      </c>
      <c r="U2373" s="10">
        <v>1769</v>
      </c>
    </row>
    <row r="2374" spans="1:21" x14ac:dyDescent="0.35">
      <c r="A2374" t="s">
        <v>15</v>
      </c>
      <c r="B2374" t="s">
        <v>16</v>
      </c>
      <c r="C2374" t="s">
        <v>21</v>
      </c>
      <c r="D2374">
        <v>288469</v>
      </c>
      <c r="E2374">
        <v>53157</v>
      </c>
      <c r="F2374">
        <v>36270</v>
      </c>
      <c r="G2374">
        <v>-231928</v>
      </c>
      <c r="H2374">
        <v>145968</v>
      </c>
      <c r="I2374">
        <v>147431</v>
      </c>
      <c r="J2374">
        <v>3197</v>
      </c>
      <c r="K2374">
        <v>911788</v>
      </c>
      <c r="L2374">
        <v>277816</v>
      </c>
      <c r="M2374">
        <v>-93315</v>
      </c>
      <c r="N2374">
        <v>176390</v>
      </c>
      <c r="O2374" t="s">
        <v>2392</v>
      </c>
      <c r="P2374" s="9">
        <v>225162</v>
      </c>
      <c r="Q2374" s="9">
        <v>21602</v>
      </c>
      <c r="R2374" s="9">
        <v>246764</v>
      </c>
      <c r="S2374" s="9">
        <v>-126289</v>
      </c>
      <c r="T2374" s="10">
        <v>91098</v>
      </c>
      <c r="U2374" s="10">
        <v>2219</v>
      </c>
    </row>
    <row r="2375" spans="1:21" x14ac:dyDescent="0.35">
      <c r="A2375" t="s">
        <v>15</v>
      </c>
      <c r="B2375" t="s">
        <v>16</v>
      </c>
      <c r="C2375" t="s">
        <v>21</v>
      </c>
      <c r="D2375">
        <v>221418</v>
      </c>
      <c r="E2375">
        <v>15834</v>
      </c>
      <c r="F2375">
        <v>44050</v>
      </c>
      <c r="G2375">
        <v>-180445</v>
      </c>
      <c r="H2375">
        <v>100857</v>
      </c>
      <c r="I2375">
        <v>100871</v>
      </c>
      <c r="J2375">
        <v>2381</v>
      </c>
      <c r="K2375">
        <v>519962</v>
      </c>
      <c r="L2375">
        <v>240191</v>
      </c>
      <c r="M2375">
        <v>-77151</v>
      </c>
      <c r="N2375">
        <v>76627</v>
      </c>
      <c r="O2375" t="s">
        <v>2393</v>
      </c>
      <c r="P2375" s="9">
        <v>251532</v>
      </c>
      <c r="Q2375" s="9">
        <v>53168</v>
      </c>
      <c r="R2375" s="9">
        <v>304700</v>
      </c>
      <c r="S2375" s="9">
        <v>-149782</v>
      </c>
      <c r="T2375" s="10">
        <v>143115</v>
      </c>
      <c r="U2375" s="10">
        <v>3930</v>
      </c>
    </row>
    <row r="2376" spans="1:21" x14ac:dyDescent="0.35">
      <c r="A2376" t="s">
        <v>15</v>
      </c>
      <c r="B2376" t="s">
        <v>20</v>
      </c>
      <c r="C2376" t="s">
        <v>17</v>
      </c>
      <c r="D2376">
        <v>268423</v>
      </c>
      <c r="E2376">
        <v>48864</v>
      </c>
      <c r="F2376">
        <v>33416</v>
      </c>
      <c r="G2376">
        <v>-258012</v>
      </c>
      <c r="H2376">
        <v>92691</v>
      </c>
      <c r="I2376">
        <v>94597</v>
      </c>
      <c r="J2376">
        <v>2517</v>
      </c>
      <c r="K2376">
        <v>1056160</v>
      </c>
      <c r="L2376">
        <v>109100</v>
      </c>
      <c r="M2376">
        <v>-143915</v>
      </c>
      <c r="N2376">
        <v>150048</v>
      </c>
      <c r="O2376" t="s">
        <v>2394</v>
      </c>
      <c r="P2376" s="9">
        <v>221483</v>
      </c>
      <c r="Q2376" s="9">
        <v>31436</v>
      </c>
      <c r="R2376" s="9">
        <v>252919</v>
      </c>
      <c r="S2376" s="9">
        <v>-75065</v>
      </c>
      <c r="T2376" s="10">
        <v>81143</v>
      </c>
      <c r="U2376" s="10">
        <v>2313</v>
      </c>
    </row>
    <row r="2377" spans="1:21" x14ac:dyDescent="0.35">
      <c r="A2377" t="s">
        <v>15</v>
      </c>
      <c r="B2377" t="s">
        <v>20</v>
      </c>
      <c r="C2377" t="s">
        <v>21</v>
      </c>
      <c r="D2377">
        <v>266530</v>
      </c>
      <c r="E2377">
        <v>29404</v>
      </c>
      <c r="F2377">
        <v>55881</v>
      </c>
      <c r="G2377">
        <v>-227043</v>
      </c>
      <c r="H2377">
        <v>124772</v>
      </c>
      <c r="I2377">
        <v>120573</v>
      </c>
      <c r="J2377">
        <v>3268</v>
      </c>
      <c r="K2377">
        <v>804341</v>
      </c>
      <c r="L2377">
        <v>152720</v>
      </c>
      <c r="M2377">
        <v>-230869</v>
      </c>
      <c r="N2377">
        <v>235302</v>
      </c>
      <c r="O2377" t="s">
        <v>2395</v>
      </c>
      <c r="P2377" s="9">
        <v>197516</v>
      </c>
      <c r="Q2377" s="9">
        <v>30863</v>
      </c>
      <c r="R2377" s="9">
        <v>228379</v>
      </c>
      <c r="S2377" s="9">
        <v>-91518</v>
      </c>
      <c r="T2377" s="10">
        <v>69727</v>
      </c>
      <c r="U2377" s="10">
        <v>705</v>
      </c>
    </row>
    <row r="2378" spans="1:21" x14ac:dyDescent="0.35">
      <c r="A2378" t="s">
        <v>15</v>
      </c>
      <c r="B2378" t="s">
        <v>16</v>
      </c>
      <c r="C2378" t="s">
        <v>17</v>
      </c>
      <c r="D2378">
        <v>162133</v>
      </c>
      <c r="E2378">
        <v>31644</v>
      </c>
      <c r="F2378">
        <v>20563</v>
      </c>
      <c r="G2378">
        <v>-154388</v>
      </c>
      <c r="H2378">
        <v>59952</v>
      </c>
      <c r="I2378">
        <v>58817</v>
      </c>
      <c r="J2378">
        <v>590</v>
      </c>
      <c r="K2378">
        <v>466178</v>
      </c>
      <c r="L2378">
        <v>103329</v>
      </c>
      <c r="M2378">
        <v>-181011</v>
      </c>
      <c r="N2378">
        <v>74824</v>
      </c>
      <c r="O2378" t="s">
        <v>2396</v>
      </c>
      <c r="P2378" s="9">
        <v>177657</v>
      </c>
      <c r="Q2378" s="9">
        <v>28149</v>
      </c>
      <c r="R2378" s="9">
        <v>205806</v>
      </c>
      <c r="S2378" s="9">
        <v>-120505</v>
      </c>
      <c r="T2378" s="10">
        <v>97963</v>
      </c>
      <c r="U2378" s="10">
        <v>1023</v>
      </c>
    </row>
    <row r="2379" spans="1:21" x14ac:dyDescent="0.35">
      <c r="A2379" t="s">
        <v>15</v>
      </c>
      <c r="B2379" t="s">
        <v>16</v>
      </c>
      <c r="C2379" t="s">
        <v>17</v>
      </c>
      <c r="D2379">
        <v>203534</v>
      </c>
      <c r="E2379">
        <v>36129</v>
      </c>
      <c r="F2379">
        <v>42465</v>
      </c>
      <c r="G2379">
        <v>-194062</v>
      </c>
      <c r="H2379">
        <v>88066</v>
      </c>
      <c r="I2379">
        <v>88349</v>
      </c>
      <c r="J2379">
        <v>2079</v>
      </c>
      <c r="K2379">
        <v>809694</v>
      </c>
      <c r="L2379">
        <v>152804</v>
      </c>
      <c r="M2379">
        <v>-215421</v>
      </c>
      <c r="N2379">
        <v>103757</v>
      </c>
      <c r="O2379" t="s">
        <v>2397</v>
      </c>
      <c r="P2379" s="9">
        <v>272669</v>
      </c>
      <c r="Q2379" s="9">
        <v>17872</v>
      </c>
      <c r="R2379" s="9">
        <v>290541</v>
      </c>
      <c r="S2379" s="9">
        <v>-83432</v>
      </c>
      <c r="T2379" s="10">
        <v>69546</v>
      </c>
      <c r="U2379" s="10">
        <v>1084</v>
      </c>
    </row>
    <row r="2380" spans="1:21" x14ac:dyDescent="0.35">
      <c r="A2380" t="s">
        <v>15</v>
      </c>
      <c r="B2380" t="s">
        <v>16</v>
      </c>
      <c r="C2380" t="s">
        <v>21</v>
      </c>
      <c r="D2380">
        <v>286887</v>
      </c>
      <c r="E2380">
        <v>42285</v>
      </c>
      <c r="F2380">
        <v>53985</v>
      </c>
      <c r="G2380">
        <v>-242445</v>
      </c>
      <c r="H2380">
        <v>140712</v>
      </c>
      <c r="I2380">
        <v>143128</v>
      </c>
      <c r="J2380">
        <v>2579</v>
      </c>
      <c r="K2380">
        <v>736734</v>
      </c>
      <c r="L2380">
        <v>241093</v>
      </c>
      <c r="M2380">
        <v>-103976</v>
      </c>
      <c r="N2380">
        <v>119858</v>
      </c>
      <c r="O2380" t="s">
        <v>2398</v>
      </c>
      <c r="P2380" s="9">
        <v>257971</v>
      </c>
      <c r="Q2380" s="9">
        <v>17137</v>
      </c>
      <c r="R2380" s="9">
        <v>275108</v>
      </c>
      <c r="S2380" s="9">
        <v>-90680</v>
      </c>
      <c r="T2380" s="10">
        <v>95304</v>
      </c>
      <c r="U2380" s="10">
        <v>1487</v>
      </c>
    </row>
    <row r="2381" spans="1:21" x14ac:dyDescent="0.35">
      <c r="A2381" t="s">
        <v>15</v>
      </c>
      <c r="B2381" t="s">
        <v>20</v>
      </c>
      <c r="C2381" t="s">
        <v>17</v>
      </c>
      <c r="D2381">
        <v>268793</v>
      </c>
      <c r="E2381">
        <v>39116</v>
      </c>
      <c r="F2381">
        <v>56643</v>
      </c>
      <c r="G2381">
        <v>-262211</v>
      </c>
      <c r="H2381">
        <v>102341</v>
      </c>
      <c r="I2381">
        <v>93052</v>
      </c>
      <c r="J2381">
        <v>2093</v>
      </c>
      <c r="K2381">
        <v>977502</v>
      </c>
      <c r="L2381">
        <v>417062</v>
      </c>
      <c r="M2381">
        <v>-237742</v>
      </c>
      <c r="N2381">
        <v>210593</v>
      </c>
      <c r="O2381" t="s">
        <v>2399</v>
      </c>
      <c r="P2381" s="9">
        <v>166183</v>
      </c>
      <c r="Q2381" s="9">
        <v>24400</v>
      </c>
      <c r="R2381" s="9">
        <v>190583</v>
      </c>
      <c r="S2381" s="9">
        <v>-87030</v>
      </c>
      <c r="T2381" s="10">
        <v>64193</v>
      </c>
      <c r="U2381" s="10">
        <v>936</v>
      </c>
    </row>
    <row r="2382" spans="1:21" x14ac:dyDescent="0.35">
      <c r="A2382" t="s">
        <v>15</v>
      </c>
      <c r="B2382" t="s">
        <v>16</v>
      </c>
      <c r="C2382" t="s">
        <v>17</v>
      </c>
      <c r="D2382">
        <v>161785</v>
      </c>
      <c r="E2382">
        <v>13404</v>
      </c>
      <c r="F2382">
        <v>30464</v>
      </c>
      <c r="G2382">
        <v>-159086</v>
      </c>
      <c r="H2382">
        <v>46567</v>
      </c>
      <c r="I2382">
        <v>48228</v>
      </c>
      <c r="J2382">
        <v>830</v>
      </c>
      <c r="K2382">
        <v>326138</v>
      </c>
      <c r="L2382">
        <v>79577</v>
      </c>
      <c r="M2382">
        <v>-80413</v>
      </c>
      <c r="N2382">
        <v>75301</v>
      </c>
      <c r="O2382" t="s">
        <v>2400</v>
      </c>
      <c r="P2382" s="9">
        <v>224183</v>
      </c>
      <c r="Q2382" s="9">
        <v>26508</v>
      </c>
      <c r="R2382" s="9">
        <v>250691</v>
      </c>
      <c r="S2382" s="9">
        <v>-82718</v>
      </c>
      <c r="T2382" s="10">
        <v>67260</v>
      </c>
      <c r="U2382" s="10">
        <v>1873</v>
      </c>
    </row>
    <row r="2383" spans="1:21" x14ac:dyDescent="0.35">
      <c r="A2383" t="s">
        <v>15</v>
      </c>
      <c r="B2383" t="s">
        <v>20</v>
      </c>
      <c r="C2383" t="s">
        <v>17</v>
      </c>
      <c r="D2383">
        <v>232092</v>
      </c>
      <c r="E2383">
        <v>27703</v>
      </c>
      <c r="F2383">
        <v>41127</v>
      </c>
      <c r="G2383">
        <v>-197340</v>
      </c>
      <c r="H2383">
        <v>103582</v>
      </c>
      <c r="I2383">
        <v>104602</v>
      </c>
      <c r="J2383">
        <v>2230</v>
      </c>
      <c r="K2383">
        <v>682251</v>
      </c>
      <c r="L2383">
        <v>129631</v>
      </c>
      <c r="M2383">
        <v>-248393</v>
      </c>
      <c r="N2383">
        <v>105472</v>
      </c>
      <c r="O2383" t="s">
        <v>2401</v>
      </c>
      <c r="P2383" s="9">
        <v>294930</v>
      </c>
      <c r="Q2383" s="9">
        <v>32774</v>
      </c>
      <c r="R2383" s="9">
        <v>327704</v>
      </c>
      <c r="S2383" s="9">
        <v>-170855</v>
      </c>
      <c r="T2383" s="10">
        <v>119618</v>
      </c>
      <c r="U2383" s="10">
        <v>2338</v>
      </c>
    </row>
    <row r="2384" spans="1:21" x14ac:dyDescent="0.35">
      <c r="A2384" t="s">
        <v>15</v>
      </c>
      <c r="B2384" t="s">
        <v>16</v>
      </c>
      <c r="C2384" t="s">
        <v>21</v>
      </c>
      <c r="D2384">
        <v>246480</v>
      </c>
      <c r="E2384">
        <v>20651</v>
      </c>
      <c r="F2384">
        <v>39608</v>
      </c>
      <c r="G2384">
        <v>-237051</v>
      </c>
      <c r="H2384">
        <v>69688</v>
      </c>
      <c r="I2384">
        <v>69662</v>
      </c>
      <c r="J2384">
        <v>874</v>
      </c>
      <c r="K2384">
        <v>499267</v>
      </c>
      <c r="L2384">
        <v>220378</v>
      </c>
      <c r="M2384">
        <v>-163297</v>
      </c>
      <c r="N2384">
        <v>164283</v>
      </c>
      <c r="O2384" t="s">
        <v>2402</v>
      </c>
      <c r="P2384" s="9">
        <v>249058</v>
      </c>
      <c r="Q2384" s="9">
        <v>41066</v>
      </c>
      <c r="R2384" s="9">
        <v>290124</v>
      </c>
      <c r="S2384" s="9">
        <v>-78842</v>
      </c>
      <c r="T2384" s="10">
        <v>121087</v>
      </c>
      <c r="U2384" s="10">
        <v>2902</v>
      </c>
    </row>
    <row r="2385" spans="1:21" x14ac:dyDescent="0.35">
      <c r="A2385" t="s">
        <v>15</v>
      </c>
      <c r="B2385" t="s">
        <v>16</v>
      </c>
      <c r="C2385" t="s">
        <v>21</v>
      </c>
      <c r="D2385">
        <v>205965</v>
      </c>
      <c r="E2385">
        <v>35395</v>
      </c>
      <c r="F2385">
        <v>22704</v>
      </c>
      <c r="G2385">
        <v>-188859</v>
      </c>
      <c r="H2385">
        <v>75205</v>
      </c>
      <c r="I2385">
        <v>78375</v>
      </c>
      <c r="J2385">
        <v>1509</v>
      </c>
      <c r="K2385">
        <v>802447</v>
      </c>
      <c r="L2385">
        <v>86363</v>
      </c>
      <c r="M2385">
        <v>-188577</v>
      </c>
      <c r="N2385">
        <v>146784</v>
      </c>
      <c r="O2385" t="s">
        <v>2403</v>
      </c>
      <c r="P2385" s="9">
        <v>206992</v>
      </c>
      <c r="Q2385" s="9">
        <v>22692</v>
      </c>
      <c r="R2385" s="9">
        <v>229684</v>
      </c>
      <c r="S2385" s="9">
        <v>-137425</v>
      </c>
      <c r="T2385" s="10">
        <v>72995</v>
      </c>
      <c r="U2385" s="10">
        <v>801</v>
      </c>
    </row>
    <row r="2386" spans="1:21" x14ac:dyDescent="0.35">
      <c r="A2386" t="s">
        <v>15</v>
      </c>
      <c r="B2386" t="s">
        <v>16</v>
      </c>
      <c r="C2386" t="s">
        <v>21</v>
      </c>
      <c r="D2386">
        <v>264245</v>
      </c>
      <c r="E2386">
        <v>35086</v>
      </c>
      <c r="F2386">
        <v>48644</v>
      </c>
      <c r="G2386">
        <v>-255855</v>
      </c>
      <c r="H2386">
        <v>92120</v>
      </c>
      <c r="I2386">
        <v>96488</v>
      </c>
      <c r="J2386">
        <v>2331</v>
      </c>
      <c r="K2386">
        <v>997823</v>
      </c>
      <c r="L2386">
        <v>108843</v>
      </c>
      <c r="M2386">
        <v>-311103</v>
      </c>
      <c r="N2386">
        <v>125076</v>
      </c>
      <c r="O2386" t="s">
        <v>2404</v>
      </c>
      <c r="P2386" s="9">
        <v>184307</v>
      </c>
      <c r="Q2386" s="9">
        <v>16002</v>
      </c>
      <c r="R2386" s="9">
        <v>200309</v>
      </c>
      <c r="S2386" s="9">
        <v>-118796</v>
      </c>
      <c r="T2386" s="10">
        <v>53588</v>
      </c>
      <c r="U2386" s="10">
        <v>1439</v>
      </c>
    </row>
    <row r="2387" spans="1:21" x14ac:dyDescent="0.35">
      <c r="A2387" t="s">
        <v>15</v>
      </c>
      <c r="B2387" t="s">
        <v>20</v>
      </c>
      <c r="C2387" t="s">
        <v>17</v>
      </c>
      <c r="D2387">
        <v>253511</v>
      </c>
      <c r="E2387">
        <v>14010</v>
      </c>
      <c r="F2387">
        <v>45065</v>
      </c>
      <c r="G2387">
        <v>-252655</v>
      </c>
      <c r="H2387">
        <v>59931</v>
      </c>
      <c r="I2387">
        <v>59103</v>
      </c>
      <c r="J2387">
        <v>1450</v>
      </c>
      <c r="K2387">
        <v>901804</v>
      </c>
      <c r="L2387">
        <v>269121</v>
      </c>
      <c r="M2387">
        <v>-193292</v>
      </c>
      <c r="N2387">
        <v>135108</v>
      </c>
      <c r="O2387" t="s">
        <v>2405</v>
      </c>
      <c r="P2387" s="9">
        <v>199442</v>
      </c>
      <c r="Q2387" s="9">
        <v>31408</v>
      </c>
      <c r="R2387" s="9">
        <v>230850</v>
      </c>
      <c r="S2387" s="9">
        <v>-76825</v>
      </c>
      <c r="T2387" s="10">
        <v>65105</v>
      </c>
      <c r="U2387" s="10">
        <v>1262</v>
      </c>
    </row>
    <row r="2388" spans="1:21" x14ac:dyDescent="0.35">
      <c r="A2388" t="s">
        <v>15</v>
      </c>
      <c r="B2388" t="s">
        <v>16</v>
      </c>
      <c r="C2388" t="s">
        <v>21</v>
      </c>
      <c r="D2388">
        <v>179630</v>
      </c>
      <c r="E2388">
        <v>12635</v>
      </c>
      <c r="F2388">
        <v>21717</v>
      </c>
      <c r="G2388">
        <v>-166530</v>
      </c>
      <c r="H2388">
        <v>47452</v>
      </c>
      <c r="I2388">
        <v>48640</v>
      </c>
      <c r="J2388">
        <v>991</v>
      </c>
      <c r="K2388">
        <v>663126</v>
      </c>
      <c r="L2388">
        <v>170891</v>
      </c>
      <c r="M2388">
        <v>-122549</v>
      </c>
      <c r="N2388">
        <v>96063</v>
      </c>
      <c r="O2388" t="s">
        <v>2406</v>
      </c>
      <c r="P2388" s="9">
        <v>254154</v>
      </c>
      <c r="Q2388" s="9">
        <v>36042</v>
      </c>
      <c r="R2388" s="9">
        <v>290196</v>
      </c>
      <c r="S2388" s="9">
        <v>-121257</v>
      </c>
      <c r="T2388" s="10">
        <v>103819</v>
      </c>
      <c r="U2388" s="10">
        <v>2490</v>
      </c>
    </row>
    <row r="2389" spans="1:21" x14ac:dyDescent="0.35">
      <c r="A2389" t="s">
        <v>15</v>
      </c>
      <c r="B2389" t="s">
        <v>16</v>
      </c>
      <c r="C2389" t="s">
        <v>17</v>
      </c>
      <c r="D2389">
        <v>167483</v>
      </c>
      <c r="E2389">
        <v>25378</v>
      </c>
      <c r="F2389">
        <v>20220</v>
      </c>
      <c r="G2389">
        <v>-135685</v>
      </c>
      <c r="H2389">
        <v>77396</v>
      </c>
      <c r="I2389">
        <v>73246</v>
      </c>
      <c r="J2389">
        <v>1034</v>
      </c>
      <c r="K2389">
        <v>359552</v>
      </c>
      <c r="L2389">
        <v>81406</v>
      </c>
      <c r="M2389">
        <v>-109753</v>
      </c>
      <c r="N2389">
        <v>132937</v>
      </c>
      <c r="O2389" t="s">
        <v>2407</v>
      </c>
      <c r="P2389" s="9">
        <v>224861</v>
      </c>
      <c r="Q2389" s="9">
        <v>50165</v>
      </c>
      <c r="R2389" s="9">
        <v>275026</v>
      </c>
      <c r="S2389" s="9">
        <v>-152878</v>
      </c>
      <c r="T2389" s="10">
        <v>137555</v>
      </c>
      <c r="U2389" s="10">
        <v>1893</v>
      </c>
    </row>
    <row r="2390" spans="1:21" x14ac:dyDescent="0.35">
      <c r="A2390" t="s">
        <v>15</v>
      </c>
      <c r="B2390" t="s">
        <v>20</v>
      </c>
      <c r="C2390" t="s">
        <v>21</v>
      </c>
      <c r="D2390">
        <v>191906</v>
      </c>
      <c r="E2390">
        <v>18540</v>
      </c>
      <c r="F2390">
        <v>19282</v>
      </c>
      <c r="G2390">
        <v>-190758</v>
      </c>
      <c r="H2390">
        <v>38970</v>
      </c>
      <c r="I2390">
        <v>37442</v>
      </c>
      <c r="J2390">
        <v>688</v>
      </c>
      <c r="K2390">
        <v>580825</v>
      </c>
      <c r="L2390">
        <v>263874</v>
      </c>
      <c r="M2390">
        <v>-144392</v>
      </c>
      <c r="N2390">
        <v>125139</v>
      </c>
      <c r="O2390" t="s">
        <v>2408</v>
      </c>
      <c r="P2390" s="9">
        <v>176185</v>
      </c>
      <c r="Q2390" s="9">
        <v>26880</v>
      </c>
      <c r="R2390" s="9">
        <v>203065</v>
      </c>
      <c r="S2390" s="9">
        <v>-70021</v>
      </c>
      <c r="T2390" s="10">
        <v>100420</v>
      </c>
      <c r="U2390" s="10">
        <v>1850</v>
      </c>
    </row>
    <row r="2391" spans="1:21" x14ac:dyDescent="0.35">
      <c r="A2391" t="s">
        <v>15</v>
      </c>
      <c r="B2391" t="s">
        <v>16</v>
      </c>
      <c r="C2391" t="s">
        <v>21</v>
      </c>
      <c r="D2391">
        <v>258424</v>
      </c>
      <c r="E2391">
        <v>25765</v>
      </c>
      <c r="F2391">
        <v>58873</v>
      </c>
      <c r="G2391">
        <v>-246277</v>
      </c>
      <c r="H2391">
        <v>96785</v>
      </c>
      <c r="I2391">
        <v>101339</v>
      </c>
      <c r="J2391">
        <v>2787</v>
      </c>
      <c r="K2391">
        <v>836545</v>
      </c>
      <c r="L2391">
        <v>116074</v>
      </c>
      <c r="M2391">
        <v>-248047</v>
      </c>
      <c r="N2391">
        <v>134015</v>
      </c>
      <c r="O2391" t="s">
        <v>2409</v>
      </c>
      <c r="P2391" s="9">
        <v>192730</v>
      </c>
      <c r="Q2391" s="9">
        <v>16095</v>
      </c>
      <c r="R2391" s="9">
        <v>208825</v>
      </c>
      <c r="S2391" s="9">
        <v>-68935</v>
      </c>
      <c r="T2391" s="10">
        <v>74397</v>
      </c>
      <c r="U2391" s="10">
        <v>2195</v>
      </c>
    </row>
    <row r="2392" spans="1:21" x14ac:dyDescent="0.35">
      <c r="A2392" t="s">
        <v>15</v>
      </c>
      <c r="B2392" t="s">
        <v>20</v>
      </c>
      <c r="C2392" t="s">
        <v>17</v>
      </c>
      <c r="D2392">
        <v>217460</v>
      </c>
      <c r="E2392">
        <v>24519</v>
      </c>
      <c r="F2392">
        <v>37090</v>
      </c>
      <c r="G2392">
        <v>-215450</v>
      </c>
      <c r="H2392">
        <v>63619</v>
      </c>
      <c r="I2392">
        <v>66485</v>
      </c>
      <c r="J2392">
        <v>1383</v>
      </c>
      <c r="K2392">
        <v>630212</v>
      </c>
      <c r="L2392">
        <v>225139</v>
      </c>
      <c r="M2392">
        <v>-249781</v>
      </c>
      <c r="N2392">
        <v>160885</v>
      </c>
      <c r="O2392" t="s">
        <v>2410</v>
      </c>
      <c r="P2392" s="9">
        <v>160442</v>
      </c>
      <c r="Q2392" s="9">
        <v>26883</v>
      </c>
      <c r="R2392" s="9">
        <v>187325</v>
      </c>
      <c r="S2392" s="9">
        <v>-58224</v>
      </c>
      <c r="T2392" s="10">
        <v>64398</v>
      </c>
      <c r="U2392" s="10">
        <v>753</v>
      </c>
    </row>
    <row r="2393" spans="1:21" x14ac:dyDescent="0.35">
      <c r="A2393" t="s">
        <v>15</v>
      </c>
      <c r="B2393" t="s">
        <v>20</v>
      </c>
      <c r="C2393" t="s">
        <v>21</v>
      </c>
      <c r="D2393">
        <v>225187</v>
      </c>
      <c r="E2393">
        <v>20993</v>
      </c>
      <c r="F2393">
        <v>45047</v>
      </c>
      <c r="G2393">
        <v>-192644</v>
      </c>
      <c r="H2393">
        <v>98583</v>
      </c>
      <c r="I2393">
        <v>96457</v>
      </c>
      <c r="J2393">
        <v>2180</v>
      </c>
      <c r="K2393">
        <v>896839</v>
      </c>
      <c r="L2393">
        <v>331604</v>
      </c>
      <c r="M2393">
        <v>-249510</v>
      </c>
      <c r="N2393">
        <v>162734</v>
      </c>
      <c r="O2393" t="s">
        <v>2411</v>
      </c>
      <c r="P2393" s="9">
        <v>255565</v>
      </c>
      <c r="Q2393" s="9">
        <v>32171</v>
      </c>
      <c r="R2393" s="9">
        <v>287736</v>
      </c>
      <c r="S2393" s="9">
        <v>-60208</v>
      </c>
      <c r="T2393" s="10">
        <v>83010</v>
      </c>
      <c r="U2393" s="10">
        <v>1208</v>
      </c>
    </row>
    <row r="2394" spans="1:21" x14ac:dyDescent="0.35">
      <c r="A2394" t="s">
        <v>15</v>
      </c>
      <c r="B2394" t="s">
        <v>20</v>
      </c>
      <c r="C2394" t="s">
        <v>21</v>
      </c>
      <c r="D2394">
        <v>251441</v>
      </c>
      <c r="E2394">
        <v>30069</v>
      </c>
      <c r="F2394">
        <v>49228</v>
      </c>
      <c r="G2394">
        <v>-222779</v>
      </c>
      <c r="H2394">
        <v>107959</v>
      </c>
      <c r="I2394">
        <v>112516</v>
      </c>
      <c r="J2394">
        <v>1873</v>
      </c>
      <c r="K2394">
        <v>651823</v>
      </c>
      <c r="L2394">
        <v>146819</v>
      </c>
      <c r="M2394">
        <v>-215162</v>
      </c>
      <c r="N2394">
        <v>123988</v>
      </c>
      <c r="O2394" t="s">
        <v>2412</v>
      </c>
      <c r="P2394" s="9">
        <v>221604</v>
      </c>
      <c r="Q2394" s="9">
        <v>15857</v>
      </c>
      <c r="R2394" s="9">
        <v>237461</v>
      </c>
      <c r="S2394" s="9">
        <v>-133048</v>
      </c>
      <c r="T2394" s="10">
        <v>89467</v>
      </c>
      <c r="U2394" s="10">
        <v>2036</v>
      </c>
    </row>
    <row r="2395" spans="1:21" x14ac:dyDescent="0.35">
      <c r="A2395" t="s">
        <v>15</v>
      </c>
      <c r="B2395" t="s">
        <v>20</v>
      </c>
      <c r="C2395" t="s">
        <v>21</v>
      </c>
      <c r="D2395">
        <v>253666</v>
      </c>
      <c r="E2395">
        <v>40794</v>
      </c>
      <c r="F2395">
        <v>42451</v>
      </c>
      <c r="G2395">
        <v>-242816</v>
      </c>
      <c r="H2395">
        <v>94095</v>
      </c>
      <c r="I2395">
        <v>87283</v>
      </c>
      <c r="J2395">
        <v>2595</v>
      </c>
      <c r="K2395">
        <v>585304</v>
      </c>
      <c r="L2395">
        <v>208079</v>
      </c>
      <c r="M2395">
        <v>-162692</v>
      </c>
      <c r="N2395">
        <v>76715</v>
      </c>
      <c r="O2395" t="s">
        <v>2413</v>
      </c>
      <c r="P2395" s="9">
        <v>161961</v>
      </c>
      <c r="Q2395" s="9">
        <v>14950</v>
      </c>
      <c r="R2395" s="9">
        <v>176911</v>
      </c>
      <c r="S2395" s="9">
        <v>-87158</v>
      </c>
      <c r="T2395" s="10">
        <v>62047</v>
      </c>
      <c r="U2395" s="10">
        <v>1487</v>
      </c>
    </row>
    <row r="2396" spans="1:21" x14ac:dyDescent="0.35">
      <c r="A2396" t="s">
        <v>15</v>
      </c>
      <c r="B2396" t="s">
        <v>16</v>
      </c>
      <c r="C2396" t="s">
        <v>17</v>
      </c>
      <c r="D2396">
        <v>168135</v>
      </c>
      <c r="E2396">
        <v>22711</v>
      </c>
      <c r="F2396">
        <v>36935</v>
      </c>
      <c r="G2396">
        <v>-139555</v>
      </c>
      <c r="H2396">
        <v>88226</v>
      </c>
      <c r="I2396">
        <v>82302</v>
      </c>
      <c r="J2396">
        <v>1416</v>
      </c>
      <c r="K2396">
        <v>561990</v>
      </c>
      <c r="L2396">
        <v>70216</v>
      </c>
      <c r="M2396">
        <v>-207916</v>
      </c>
      <c r="N2396">
        <v>141810</v>
      </c>
      <c r="O2396" t="s">
        <v>2414</v>
      </c>
      <c r="P2396" s="9">
        <v>195737</v>
      </c>
      <c r="Q2396" s="9">
        <v>29881</v>
      </c>
      <c r="R2396" s="9">
        <v>225618</v>
      </c>
      <c r="S2396" s="9">
        <v>-82545</v>
      </c>
      <c r="T2396" s="10">
        <v>58054</v>
      </c>
      <c r="U2396" s="10">
        <v>1048</v>
      </c>
    </row>
    <row r="2397" spans="1:21" x14ac:dyDescent="0.35">
      <c r="A2397" t="s">
        <v>15</v>
      </c>
      <c r="B2397" t="s">
        <v>16</v>
      </c>
      <c r="C2397" t="s">
        <v>21</v>
      </c>
      <c r="D2397">
        <v>291781</v>
      </c>
      <c r="E2397">
        <v>49196</v>
      </c>
      <c r="F2397">
        <v>50064</v>
      </c>
      <c r="G2397">
        <v>-236298</v>
      </c>
      <c r="H2397">
        <v>154743</v>
      </c>
      <c r="I2397">
        <v>159983</v>
      </c>
      <c r="J2397">
        <v>4584</v>
      </c>
      <c r="K2397">
        <v>1050347</v>
      </c>
      <c r="L2397">
        <v>381017</v>
      </c>
      <c r="M2397">
        <v>-251922</v>
      </c>
      <c r="N2397">
        <v>245334</v>
      </c>
      <c r="O2397" t="s">
        <v>2415</v>
      </c>
      <c r="P2397" s="9">
        <v>212340</v>
      </c>
      <c r="Q2397" s="9">
        <v>29339</v>
      </c>
      <c r="R2397" s="9">
        <v>241679</v>
      </c>
      <c r="S2397" s="9">
        <v>-120480</v>
      </c>
      <c r="T2397" s="10">
        <v>89230</v>
      </c>
      <c r="U2397" s="10">
        <v>2648</v>
      </c>
    </row>
    <row r="2398" spans="1:21" x14ac:dyDescent="0.35">
      <c r="A2398" t="s">
        <v>15</v>
      </c>
      <c r="B2398" t="s">
        <v>20</v>
      </c>
      <c r="C2398" t="s">
        <v>21</v>
      </c>
      <c r="D2398">
        <v>253834</v>
      </c>
      <c r="E2398">
        <v>13073</v>
      </c>
      <c r="F2398">
        <v>47247</v>
      </c>
      <c r="G2398">
        <v>-250229</v>
      </c>
      <c r="H2398">
        <v>63925</v>
      </c>
      <c r="I2398">
        <v>60514</v>
      </c>
      <c r="J2398">
        <v>1740</v>
      </c>
      <c r="K2398">
        <v>783870</v>
      </c>
      <c r="L2398">
        <v>275271</v>
      </c>
      <c r="M2398">
        <v>-209594</v>
      </c>
      <c r="N2398">
        <v>174794</v>
      </c>
      <c r="O2398" t="s">
        <v>2416</v>
      </c>
      <c r="P2398" s="9">
        <v>185206</v>
      </c>
      <c r="Q2398" s="9">
        <v>16761</v>
      </c>
      <c r="R2398" s="9">
        <v>201967</v>
      </c>
      <c r="S2398" s="9">
        <v>-88022</v>
      </c>
      <c r="T2398" s="10">
        <v>94833</v>
      </c>
      <c r="U2398" s="10">
        <v>1315</v>
      </c>
    </row>
    <row r="2399" spans="1:21" x14ac:dyDescent="0.35">
      <c r="A2399" t="s">
        <v>15</v>
      </c>
      <c r="B2399" t="s">
        <v>20</v>
      </c>
      <c r="C2399" t="s">
        <v>17</v>
      </c>
      <c r="D2399">
        <v>176712</v>
      </c>
      <c r="E2399">
        <v>18065</v>
      </c>
      <c r="F2399">
        <v>42728</v>
      </c>
      <c r="G2399">
        <v>-153308</v>
      </c>
      <c r="H2399">
        <v>84197</v>
      </c>
      <c r="I2399">
        <v>88366</v>
      </c>
      <c r="J2399">
        <v>2393</v>
      </c>
      <c r="K2399">
        <v>696257</v>
      </c>
      <c r="L2399">
        <v>145834</v>
      </c>
      <c r="M2399">
        <v>-75696</v>
      </c>
      <c r="N2399">
        <v>85412</v>
      </c>
      <c r="O2399" t="s">
        <v>2417</v>
      </c>
      <c r="P2399" s="9">
        <v>220560</v>
      </c>
      <c r="Q2399" s="9">
        <v>11166</v>
      </c>
      <c r="R2399" s="9">
        <v>231726</v>
      </c>
      <c r="S2399" s="9">
        <v>-47577</v>
      </c>
      <c r="T2399" s="10">
        <v>84331</v>
      </c>
      <c r="U2399" s="10">
        <v>2515</v>
      </c>
    </row>
    <row r="2400" spans="1:21" x14ac:dyDescent="0.35">
      <c r="A2400" t="s">
        <v>15</v>
      </c>
      <c r="B2400" t="s">
        <v>20</v>
      </c>
      <c r="C2400" t="s">
        <v>21</v>
      </c>
      <c r="D2400">
        <v>261334</v>
      </c>
      <c r="E2400">
        <v>48492</v>
      </c>
      <c r="F2400">
        <v>54501</v>
      </c>
      <c r="G2400">
        <v>-243735</v>
      </c>
      <c r="H2400">
        <v>120592</v>
      </c>
      <c r="I2400">
        <v>123285</v>
      </c>
      <c r="J2400">
        <v>2840</v>
      </c>
      <c r="K2400">
        <v>710506</v>
      </c>
      <c r="L2400">
        <v>339335</v>
      </c>
      <c r="M2400">
        <v>-81910</v>
      </c>
      <c r="N2400">
        <v>87123</v>
      </c>
      <c r="O2400" t="s">
        <v>2418</v>
      </c>
      <c r="P2400" s="9">
        <v>235472</v>
      </c>
      <c r="Q2400" s="9">
        <v>36057</v>
      </c>
      <c r="R2400" s="9">
        <v>271529</v>
      </c>
      <c r="S2400" s="9">
        <v>-155220</v>
      </c>
      <c r="T2400" s="10">
        <v>109530</v>
      </c>
      <c r="U2400" s="10">
        <v>2802</v>
      </c>
    </row>
    <row r="2401" spans="1:21" x14ac:dyDescent="0.35">
      <c r="A2401" t="s">
        <v>15</v>
      </c>
      <c r="B2401" t="s">
        <v>20</v>
      </c>
      <c r="C2401" t="s">
        <v>17</v>
      </c>
      <c r="D2401">
        <v>156881</v>
      </c>
      <c r="E2401">
        <v>31372</v>
      </c>
      <c r="F2401">
        <v>34076</v>
      </c>
      <c r="G2401">
        <v>-151315</v>
      </c>
      <c r="H2401">
        <v>71014</v>
      </c>
      <c r="I2401">
        <v>73978</v>
      </c>
      <c r="J2401">
        <v>1915</v>
      </c>
      <c r="K2401">
        <v>383731</v>
      </c>
      <c r="L2401">
        <v>85945</v>
      </c>
      <c r="M2401">
        <v>-84097</v>
      </c>
      <c r="N2401">
        <v>112658</v>
      </c>
      <c r="O2401" t="s">
        <v>2419</v>
      </c>
      <c r="P2401" s="9">
        <v>227177</v>
      </c>
      <c r="Q2401" s="9">
        <v>46875</v>
      </c>
      <c r="R2401" s="9">
        <v>274052</v>
      </c>
      <c r="S2401" s="9">
        <v>-73563</v>
      </c>
      <c r="T2401" s="10">
        <v>99898</v>
      </c>
      <c r="U2401" s="10">
        <v>1736</v>
      </c>
    </row>
    <row r="2402" spans="1:21" x14ac:dyDescent="0.35">
      <c r="A2402" t="s">
        <v>15</v>
      </c>
      <c r="B2402" t="s">
        <v>16</v>
      </c>
      <c r="C2402" t="s">
        <v>17</v>
      </c>
      <c r="D2402">
        <v>181629</v>
      </c>
      <c r="E2402">
        <v>25395</v>
      </c>
      <c r="F2402">
        <v>31662</v>
      </c>
      <c r="G2402">
        <v>-167720</v>
      </c>
      <c r="H2402">
        <v>70966</v>
      </c>
      <c r="I2402">
        <v>67776</v>
      </c>
      <c r="J2402">
        <v>1028</v>
      </c>
      <c r="K2402">
        <v>453237</v>
      </c>
      <c r="L2402">
        <v>144771</v>
      </c>
      <c r="M2402">
        <v>-150670</v>
      </c>
      <c r="N2402">
        <v>57850</v>
      </c>
      <c r="O2402" t="s">
        <v>2420</v>
      </c>
      <c r="P2402" s="9">
        <v>167389</v>
      </c>
      <c r="Q2402" s="9">
        <v>23146</v>
      </c>
      <c r="R2402" s="9">
        <v>190535</v>
      </c>
      <c r="S2402" s="9">
        <v>-87946</v>
      </c>
      <c r="T2402" s="10">
        <v>65694</v>
      </c>
      <c r="U2402" s="10">
        <v>1113</v>
      </c>
    </row>
    <row r="2403" spans="1:21" x14ac:dyDescent="0.35">
      <c r="A2403" t="s">
        <v>15</v>
      </c>
      <c r="B2403" t="s">
        <v>20</v>
      </c>
      <c r="C2403" t="s">
        <v>17</v>
      </c>
      <c r="D2403">
        <v>245994</v>
      </c>
      <c r="E2403">
        <v>36528</v>
      </c>
      <c r="F2403">
        <v>28254</v>
      </c>
      <c r="G2403">
        <v>-231615</v>
      </c>
      <c r="H2403">
        <v>79161</v>
      </c>
      <c r="I2403">
        <v>78611</v>
      </c>
      <c r="J2403">
        <v>867</v>
      </c>
      <c r="K2403">
        <v>680534</v>
      </c>
      <c r="L2403">
        <v>204957</v>
      </c>
      <c r="M2403">
        <v>-153760</v>
      </c>
      <c r="N2403">
        <v>103435</v>
      </c>
      <c r="O2403" t="s">
        <v>2421</v>
      </c>
      <c r="P2403" s="9">
        <v>215602</v>
      </c>
      <c r="Q2403" s="9">
        <v>34888</v>
      </c>
      <c r="R2403" s="9">
        <v>250490</v>
      </c>
      <c r="S2403" s="9">
        <v>-51942</v>
      </c>
      <c r="T2403" s="10">
        <v>97200</v>
      </c>
      <c r="U2403" s="10">
        <v>2768</v>
      </c>
    </row>
    <row r="2404" spans="1:21" x14ac:dyDescent="0.35">
      <c r="A2404" t="s">
        <v>15</v>
      </c>
      <c r="B2404" t="s">
        <v>20</v>
      </c>
      <c r="C2404" t="s">
        <v>17</v>
      </c>
      <c r="D2404">
        <v>219559</v>
      </c>
      <c r="E2404">
        <v>22875</v>
      </c>
      <c r="F2404">
        <v>30408</v>
      </c>
      <c r="G2404">
        <v>-182307</v>
      </c>
      <c r="H2404">
        <v>90535</v>
      </c>
      <c r="I2404">
        <v>87206</v>
      </c>
      <c r="J2404">
        <v>1123</v>
      </c>
      <c r="K2404">
        <v>647752</v>
      </c>
      <c r="L2404">
        <v>158016</v>
      </c>
      <c r="M2404">
        <v>-150029</v>
      </c>
      <c r="N2404">
        <v>137026</v>
      </c>
      <c r="O2404" t="s">
        <v>2422</v>
      </c>
      <c r="P2404" s="9">
        <v>237060</v>
      </c>
      <c r="Q2404" s="9">
        <v>23095</v>
      </c>
      <c r="R2404" s="9">
        <v>260155</v>
      </c>
      <c r="S2404" s="9">
        <v>-108225</v>
      </c>
      <c r="T2404" s="10">
        <v>74167</v>
      </c>
      <c r="U2404" s="10">
        <v>1547</v>
      </c>
    </row>
    <row r="2405" spans="1:21" x14ac:dyDescent="0.35">
      <c r="A2405" t="s">
        <v>15</v>
      </c>
      <c r="B2405" t="s">
        <v>20</v>
      </c>
      <c r="C2405" t="s">
        <v>21</v>
      </c>
      <c r="D2405">
        <v>222261</v>
      </c>
      <c r="E2405">
        <v>25004</v>
      </c>
      <c r="F2405">
        <v>27001</v>
      </c>
      <c r="G2405">
        <v>-209463</v>
      </c>
      <c r="H2405">
        <v>64803</v>
      </c>
      <c r="I2405">
        <v>63114</v>
      </c>
      <c r="J2405">
        <v>943</v>
      </c>
      <c r="K2405">
        <v>749677</v>
      </c>
      <c r="L2405">
        <v>317760</v>
      </c>
      <c r="M2405">
        <v>-200176</v>
      </c>
      <c r="N2405">
        <v>122435</v>
      </c>
      <c r="O2405" t="s">
        <v>2423</v>
      </c>
      <c r="P2405" s="9">
        <v>167010</v>
      </c>
      <c r="Q2405" s="9">
        <v>32523</v>
      </c>
      <c r="R2405" s="9">
        <v>199533</v>
      </c>
      <c r="S2405" s="9">
        <v>-66264</v>
      </c>
      <c r="T2405" s="10">
        <v>58897</v>
      </c>
      <c r="U2405" s="10">
        <v>891</v>
      </c>
    </row>
    <row r="2406" spans="1:21" x14ac:dyDescent="0.35">
      <c r="A2406" t="s">
        <v>15</v>
      </c>
      <c r="B2406" t="s">
        <v>16</v>
      </c>
      <c r="C2406" t="s">
        <v>21</v>
      </c>
      <c r="D2406">
        <v>177382</v>
      </c>
      <c r="E2406">
        <v>10645</v>
      </c>
      <c r="F2406">
        <v>40866</v>
      </c>
      <c r="G2406">
        <v>-168041</v>
      </c>
      <c r="H2406">
        <v>60852</v>
      </c>
      <c r="I2406">
        <v>60656</v>
      </c>
      <c r="J2406">
        <v>1575</v>
      </c>
      <c r="K2406">
        <v>661410</v>
      </c>
      <c r="L2406">
        <v>138855</v>
      </c>
      <c r="M2406">
        <v>-93960</v>
      </c>
      <c r="N2406">
        <v>60358</v>
      </c>
      <c r="O2406" t="s">
        <v>2424</v>
      </c>
      <c r="P2406" s="9">
        <v>185155</v>
      </c>
      <c r="Q2406" s="9">
        <v>26047</v>
      </c>
      <c r="R2406" s="9">
        <v>211202</v>
      </c>
      <c r="S2406" s="9">
        <v>-51878</v>
      </c>
      <c r="T2406" s="10">
        <v>82039</v>
      </c>
      <c r="U2406" s="10">
        <v>1069</v>
      </c>
    </row>
    <row r="2407" spans="1:21" x14ac:dyDescent="0.35">
      <c r="A2407" t="s">
        <v>15</v>
      </c>
      <c r="B2407" t="s">
        <v>16</v>
      </c>
      <c r="C2407" t="s">
        <v>21</v>
      </c>
      <c r="D2407">
        <v>238680</v>
      </c>
      <c r="E2407">
        <v>33220</v>
      </c>
      <c r="F2407">
        <v>48248</v>
      </c>
      <c r="G2407">
        <v>-228692</v>
      </c>
      <c r="H2407">
        <v>91456</v>
      </c>
      <c r="I2407">
        <v>89564</v>
      </c>
      <c r="J2407">
        <v>1679</v>
      </c>
      <c r="K2407">
        <v>549414</v>
      </c>
      <c r="L2407">
        <v>164677</v>
      </c>
      <c r="M2407">
        <v>-154516</v>
      </c>
      <c r="N2407">
        <v>142686</v>
      </c>
      <c r="O2407" t="s">
        <v>2425</v>
      </c>
      <c r="P2407" s="9">
        <v>176036</v>
      </c>
      <c r="Q2407" s="9">
        <v>33917</v>
      </c>
      <c r="R2407" s="9">
        <v>209953</v>
      </c>
      <c r="S2407" s="9">
        <v>-83773</v>
      </c>
      <c r="T2407" s="10">
        <v>93481</v>
      </c>
      <c r="U2407" s="10">
        <v>2756</v>
      </c>
    </row>
    <row r="2408" spans="1:21" x14ac:dyDescent="0.35">
      <c r="A2408" t="s">
        <v>15</v>
      </c>
      <c r="B2408" t="s">
        <v>16</v>
      </c>
      <c r="C2408" t="s">
        <v>21</v>
      </c>
      <c r="D2408">
        <v>157131</v>
      </c>
      <c r="E2408">
        <v>8513</v>
      </c>
      <c r="F2408">
        <v>22929</v>
      </c>
      <c r="G2408">
        <v>-153000</v>
      </c>
      <c r="H2408">
        <v>35573</v>
      </c>
      <c r="I2408">
        <v>34663</v>
      </c>
      <c r="J2408">
        <v>841</v>
      </c>
      <c r="K2408">
        <v>348944</v>
      </c>
      <c r="L2408">
        <v>112256</v>
      </c>
      <c r="M2408">
        <v>-89997</v>
      </c>
      <c r="N2408">
        <v>68707</v>
      </c>
      <c r="O2408" t="s">
        <v>2426</v>
      </c>
      <c r="P2408" s="9">
        <v>283956</v>
      </c>
      <c r="Q2408" s="9">
        <v>18689</v>
      </c>
      <c r="R2408" s="9">
        <v>302645</v>
      </c>
      <c r="S2408" s="9">
        <v>-103980</v>
      </c>
      <c r="T2408" s="10">
        <v>102204</v>
      </c>
      <c r="U2408" s="10">
        <v>1153</v>
      </c>
    </row>
    <row r="2409" spans="1:21" x14ac:dyDescent="0.35">
      <c r="A2409" t="s">
        <v>15</v>
      </c>
      <c r="B2409" t="s">
        <v>16</v>
      </c>
      <c r="C2409" t="s">
        <v>21</v>
      </c>
      <c r="D2409">
        <v>203632</v>
      </c>
      <c r="E2409">
        <v>12873</v>
      </c>
      <c r="F2409">
        <v>46518</v>
      </c>
      <c r="G2409">
        <v>-187114</v>
      </c>
      <c r="H2409">
        <v>75909</v>
      </c>
      <c r="I2409">
        <v>71794</v>
      </c>
      <c r="J2409">
        <v>2040</v>
      </c>
      <c r="K2409">
        <v>409423</v>
      </c>
      <c r="L2409">
        <v>41432</v>
      </c>
      <c r="M2409">
        <v>-115994</v>
      </c>
      <c r="N2409">
        <v>135869</v>
      </c>
      <c r="O2409" t="s">
        <v>2427</v>
      </c>
      <c r="P2409" s="9">
        <v>256113</v>
      </c>
      <c r="Q2409" s="9">
        <v>31890</v>
      </c>
      <c r="R2409" s="9">
        <v>288003</v>
      </c>
      <c r="S2409" s="9">
        <v>-69063</v>
      </c>
      <c r="T2409" s="10">
        <v>110566</v>
      </c>
      <c r="U2409" s="10">
        <v>2855</v>
      </c>
    </row>
    <row r="2410" spans="1:21" x14ac:dyDescent="0.35">
      <c r="A2410" t="s">
        <v>15</v>
      </c>
      <c r="B2410" t="s">
        <v>16</v>
      </c>
      <c r="C2410" t="s">
        <v>17</v>
      </c>
      <c r="D2410">
        <v>250071</v>
      </c>
      <c r="E2410">
        <v>40815</v>
      </c>
      <c r="F2410">
        <v>36679</v>
      </c>
      <c r="G2410">
        <v>-223603</v>
      </c>
      <c r="H2410">
        <v>103962</v>
      </c>
      <c r="I2410">
        <v>98990</v>
      </c>
      <c r="J2410">
        <v>1134</v>
      </c>
      <c r="K2410">
        <v>940864</v>
      </c>
      <c r="L2410">
        <v>287752</v>
      </c>
      <c r="M2410">
        <v>-241190</v>
      </c>
      <c r="N2410">
        <v>109007</v>
      </c>
      <c r="O2410" t="s">
        <v>2428</v>
      </c>
      <c r="P2410" s="9">
        <v>232597</v>
      </c>
      <c r="Q2410" s="9">
        <v>25197</v>
      </c>
      <c r="R2410" s="9">
        <v>257794</v>
      </c>
      <c r="S2410" s="9">
        <v>-90703</v>
      </c>
      <c r="T2410" s="10">
        <v>96169</v>
      </c>
      <c r="U2410" s="10">
        <v>1749</v>
      </c>
    </row>
    <row r="2411" spans="1:21" x14ac:dyDescent="0.35">
      <c r="A2411" t="s">
        <v>15</v>
      </c>
      <c r="B2411" t="s">
        <v>16</v>
      </c>
      <c r="C2411" t="s">
        <v>21</v>
      </c>
      <c r="D2411">
        <v>197708</v>
      </c>
      <c r="E2411">
        <v>17857</v>
      </c>
      <c r="F2411">
        <v>23204</v>
      </c>
      <c r="G2411">
        <v>-168917</v>
      </c>
      <c r="H2411">
        <v>69852</v>
      </c>
      <c r="I2411">
        <v>66163</v>
      </c>
      <c r="J2411">
        <v>1142</v>
      </c>
      <c r="K2411">
        <v>765985</v>
      </c>
      <c r="L2411">
        <v>213291</v>
      </c>
      <c r="M2411">
        <v>-277472</v>
      </c>
      <c r="N2411">
        <v>85106</v>
      </c>
      <c r="O2411" t="s">
        <v>2429</v>
      </c>
      <c r="P2411" s="9">
        <v>139450</v>
      </c>
      <c r="Q2411" s="9">
        <v>15022</v>
      </c>
      <c r="R2411" s="9">
        <v>154472</v>
      </c>
      <c r="S2411" s="9">
        <v>-36006</v>
      </c>
      <c r="T2411" s="10">
        <v>49319</v>
      </c>
      <c r="U2411" s="10">
        <v>1181</v>
      </c>
    </row>
    <row r="2412" spans="1:21" x14ac:dyDescent="0.35">
      <c r="A2412" t="s">
        <v>15</v>
      </c>
      <c r="B2412" t="s">
        <v>16</v>
      </c>
      <c r="C2412" t="s">
        <v>17</v>
      </c>
      <c r="D2412">
        <v>226830</v>
      </c>
      <c r="E2412">
        <v>13240</v>
      </c>
      <c r="F2412">
        <v>39420</v>
      </c>
      <c r="G2412">
        <v>-200155</v>
      </c>
      <c r="H2412">
        <v>79335</v>
      </c>
      <c r="I2412">
        <v>74932</v>
      </c>
      <c r="J2412">
        <v>1538</v>
      </c>
      <c r="K2412">
        <v>762256</v>
      </c>
      <c r="L2412">
        <v>323845</v>
      </c>
      <c r="M2412">
        <v>-134231</v>
      </c>
      <c r="N2412">
        <v>74182</v>
      </c>
      <c r="O2412" t="s">
        <v>2430</v>
      </c>
      <c r="P2412" s="9">
        <v>169907</v>
      </c>
      <c r="Q2412" s="9">
        <v>31955</v>
      </c>
      <c r="R2412" s="9">
        <v>201862</v>
      </c>
      <c r="S2412" s="9">
        <v>-81922</v>
      </c>
      <c r="T2412" s="10">
        <v>99578</v>
      </c>
      <c r="U2412" s="10">
        <v>2602</v>
      </c>
    </row>
    <row r="2413" spans="1:21" x14ac:dyDescent="0.35">
      <c r="A2413" t="s">
        <v>15</v>
      </c>
      <c r="B2413" t="s">
        <v>16</v>
      </c>
      <c r="C2413" t="s">
        <v>21</v>
      </c>
      <c r="D2413">
        <v>177789</v>
      </c>
      <c r="E2413">
        <v>33052</v>
      </c>
      <c r="F2413">
        <v>19055</v>
      </c>
      <c r="G2413">
        <v>-177350</v>
      </c>
      <c r="H2413">
        <v>52546</v>
      </c>
      <c r="I2413">
        <v>49098</v>
      </c>
      <c r="J2413">
        <v>800</v>
      </c>
      <c r="K2413">
        <v>479248</v>
      </c>
      <c r="L2413">
        <v>118888</v>
      </c>
      <c r="M2413">
        <v>-81590</v>
      </c>
      <c r="N2413">
        <v>109878</v>
      </c>
      <c r="O2413" t="s">
        <v>2431</v>
      </c>
      <c r="P2413" s="9">
        <v>167991</v>
      </c>
      <c r="Q2413" s="9">
        <v>27774</v>
      </c>
      <c r="R2413" s="9">
        <v>195765</v>
      </c>
      <c r="S2413" s="9">
        <v>-50138</v>
      </c>
      <c r="T2413" s="10">
        <v>78746</v>
      </c>
      <c r="U2413" s="10">
        <v>2261</v>
      </c>
    </row>
    <row r="2414" spans="1:21" x14ac:dyDescent="0.35">
      <c r="A2414" t="s">
        <v>15</v>
      </c>
      <c r="B2414" t="s">
        <v>16</v>
      </c>
      <c r="C2414" t="s">
        <v>21</v>
      </c>
      <c r="D2414">
        <v>205885</v>
      </c>
      <c r="E2414">
        <v>17384</v>
      </c>
      <c r="F2414">
        <v>22116</v>
      </c>
      <c r="G2414">
        <v>-180356</v>
      </c>
      <c r="H2414">
        <v>65029</v>
      </c>
      <c r="I2414">
        <v>59076</v>
      </c>
      <c r="J2414">
        <v>1032</v>
      </c>
      <c r="K2414">
        <v>648425</v>
      </c>
      <c r="L2414">
        <v>71846</v>
      </c>
      <c r="M2414">
        <v>-255674</v>
      </c>
      <c r="N2414">
        <v>94382</v>
      </c>
      <c r="O2414" t="s">
        <v>2432</v>
      </c>
      <c r="P2414" s="9">
        <v>177372</v>
      </c>
      <c r="Q2414" s="9">
        <v>12457</v>
      </c>
      <c r="R2414" s="9">
        <v>189829</v>
      </c>
      <c r="S2414" s="9">
        <v>-62450</v>
      </c>
      <c r="T2414" s="10">
        <v>54251</v>
      </c>
      <c r="U2414" s="10">
        <v>732</v>
      </c>
    </row>
    <row r="2415" spans="1:21" x14ac:dyDescent="0.35">
      <c r="A2415" t="s">
        <v>15</v>
      </c>
      <c r="B2415" t="s">
        <v>16</v>
      </c>
      <c r="C2415" t="s">
        <v>21</v>
      </c>
      <c r="D2415">
        <v>253573</v>
      </c>
      <c r="E2415">
        <v>17948</v>
      </c>
      <c r="F2415">
        <v>36960</v>
      </c>
      <c r="G2415">
        <v>-242040</v>
      </c>
      <c r="H2415">
        <v>66441</v>
      </c>
      <c r="I2415">
        <v>61773</v>
      </c>
      <c r="J2415">
        <v>1200</v>
      </c>
      <c r="K2415">
        <v>687997</v>
      </c>
      <c r="L2415">
        <v>207550</v>
      </c>
      <c r="M2415">
        <v>-111906</v>
      </c>
      <c r="N2415">
        <v>189653</v>
      </c>
      <c r="O2415" t="s">
        <v>2433</v>
      </c>
      <c r="P2415" s="9">
        <v>172084</v>
      </c>
      <c r="Q2415" s="9">
        <v>30335</v>
      </c>
      <c r="R2415" s="9">
        <v>202419</v>
      </c>
      <c r="S2415" s="9">
        <v>-121276</v>
      </c>
      <c r="T2415" s="10">
        <v>61204</v>
      </c>
      <c r="U2415" s="10">
        <v>1604</v>
      </c>
    </row>
    <row r="2416" spans="1:21" x14ac:dyDescent="0.35">
      <c r="A2416" t="s">
        <v>15</v>
      </c>
      <c r="B2416" t="s">
        <v>16</v>
      </c>
      <c r="C2416" t="s">
        <v>17</v>
      </c>
      <c r="D2416">
        <v>179811</v>
      </c>
      <c r="E2416">
        <v>9906</v>
      </c>
      <c r="F2416">
        <v>30116</v>
      </c>
      <c r="G2416">
        <v>-145327</v>
      </c>
      <c r="H2416">
        <v>74506</v>
      </c>
      <c r="I2416">
        <v>71745</v>
      </c>
      <c r="J2416">
        <v>1081</v>
      </c>
      <c r="K2416">
        <v>709168</v>
      </c>
      <c r="L2416">
        <v>171757</v>
      </c>
      <c r="M2416">
        <v>-152319</v>
      </c>
      <c r="N2416">
        <v>148508</v>
      </c>
      <c r="O2416" t="s">
        <v>2434</v>
      </c>
      <c r="P2416" s="9">
        <v>254827</v>
      </c>
      <c r="Q2416" s="9">
        <v>29490</v>
      </c>
      <c r="R2416" s="9">
        <v>284317</v>
      </c>
      <c r="S2416" s="9">
        <v>-100521</v>
      </c>
      <c r="T2416" s="10">
        <v>81171</v>
      </c>
      <c r="U2416" s="10">
        <v>1073</v>
      </c>
    </row>
    <row r="2417" spans="1:21" x14ac:dyDescent="0.35">
      <c r="A2417" t="s">
        <v>15</v>
      </c>
      <c r="B2417" t="s">
        <v>16</v>
      </c>
      <c r="C2417" t="s">
        <v>21</v>
      </c>
      <c r="D2417">
        <v>267060</v>
      </c>
      <c r="E2417">
        <v>33446</v>
      </c>
      <c r="F2417">
        <v>50415</v>
      </c>
      <c r="G2417">
        <v>-223161</v>
      </c>
      <c r="H2417">
        <v>127760</v>
      </c>
      <c r="I2417">
        <v>120433</v>
      </c>
      <c r="J2417">
        <v>1597</v>
      </c>
      <c r="K2417">
        <v>968026</v>
      </c>
      <c r="L2417">
        <v>138215</v>
      </c>
      <c r="M2417">
        <v>-335232</v>
      </c>
      <c r="N2417">
        <v>219316</v>
      </c>
      <c r="O2417" t="s">
        <v>2435</v>
      </c>
      <c r="P2417" s="9">
        <v>217074</v>
      </c>
      <c r="Q2417" s="9">
        <v>24487</v>
      </c>
      <c r="R2417" s="9">
        <v>241561</v>
      </c>
      <c r="S2417" s="9">
        <v>-144634</v>
      </c>
      <c r="T2417" s="10">
        <v>71509</v>
      </c>
      <c r="U2417" s="10">
        <v>1608</v>
      </c>
    </row>
    <row r="2418" spans="1:21" x14ac:dyDescent="0.35">
      <c r="A2418" t="s">
        <v>15</v>
      </c>
      <c r="B2418" t="s">
        <v>16</v>
      </c>
      <c r="C2418" t="s">
        <v>17</v>
      </c>
      <c r="D2418">
        <v>179856</v>
      </c>
      <c r="E2418">
        <v>30419</v>
      </c>
      <c r="F2418">
        <v>31840</v>
      </c>
      <c r="G2418">
        <v>-172018</v>
      </c>
      <c r="H2418">
        <v>70097</v>
      </c>
      <c r="I2418">
        <v>73545</v>
      </c>
      <c r="J2418">
        <v>1109</v>
      </c>
      <c r="K2418">
        <v>394859</v>
      </c>
      <c r="L2418">
        <v>53874</v>
      </c>
      <c r="M2418">
        <v>-53355</v>
      </c>
      <c r="N2418">
        <v>143028</v>
      </c>
      <c r="O2418" t="s">
        <v>2436</v>
      </c>
      <c r="P2418" s="9">
        <v>198090</v>
      </c>
      <c r="Q2418" s="9">
        <v>30089</v>
      </c>
      <c r="R2418" s="9">
        <v>228179</v>
      </c>
      <c r="S2418" s="9">
        <v>-91647</v>
      </c>
      <c r="T2418" s="10">
        <v>57165</v>
      </c>
      <c r="U2418" s="10">
        <v>1394</v>
      </c>
    </row>
    <row r="2419" spans="1:21" x14ac:dyDescent="0.35">
      <c r="A2419" t="s">
        <v>15</v>
      </c>
      <c r="B2419" t="s">
        <v>16</v>
      </c>
      <c r="C2419" t="s">
        <v>21</v>
      </c>
      <c r="D2419">
        <v>186555</v>
      </c>
      <c r="E2419">
        <v>23686</v>
      </c>
      <c r="F2419">
        <v>19512</v>
      </c>
      <c r="G2419">
        <v>-152191</v>
      </c>
      <c r="H2419">
        <v>77562</v>
      </c>
      <c r="I2419">
        <v>77594</v>
      </c>
      <c r="J2419">
        <v>1124</v>
      </c>
      <c r="K2419">
        <v>557460</v>
      </c>
      <c r="L2419">
        <v>156354</v>
      </c>
      <c r="M2419">
        <v>-111221</v>
      </c>
      <c r="N2419">
        <v>64533</v>
      </c>
      <c r="O2419" t="s">
        <v>2437</v>
      </c>
      <c r="P2419" s="9">
        <v>210032</v>
      </c>
      <c r="Q2419" s="9">
        <v>42911</v>
      </c>
      <c r="R2419" s="9">
        <v>252943</v>
      </c>
      <c r="S2419" s="9">
        <v>-55796</v>
      </c>
      <c r="T2419" s="10">
        <v>95602</v>
      </c>
      <c r="U2419" s="10">
        <v>1100</v>
      </c>
    </row>
    <row r="2420" spans="1:21" x14ac:dyDescent="0.35">
      <c r="A2420" t="s">
        <v>15</v>
      </c>
      <c r="B2420" t="s">
        <v>16</v>
      </c>
      <c r="C2420" t="s">
        <v>21</v>
      </c>
      <c r="D2420">
        <v>198641</v>
      </c>
      <c r="E2420">
        <v>33917</v>
      </c>
      <c r="F2420">
        <v>37004</v>
      </c>
      <c r="G2420">
        <v>-166188</v>
      </c>
      <c r="H2420">
        <v>103374</v>
      </c>
      <c r="I2420">
        <v>107279</v>
      </c>
      <c r="J2420">
        <v>1901</v>
      </c>
      <c r="K2420">
        <v>770953</v>
      </c>
      <c r="L2420">
        <v>298046</v>
      </c>
      <c r="M2420">
        <v>-90165</v>
      </c>
      <c r="N2420">
        <v>116516</v>
      </c>
      <c r="O2420" t="s">
        <v>2438</v>
      </c>
      <c r="P2420" s="9">
        <v>197080</v>
      </c>
      <c r="Q2420" s="9">
        <v>14719</v>
      </c>
      <c r="R2420" s="9">
        <v>211799</v>
      </c>
      <c r="S2420" s="9">
        <v>-60697</v>
      </c>
      <c r="T2420" s="10">
        <v>67293</v>
      </c>
      <c r="U2420" s="10">
        <v>1131</v>
      </c>
    </row>
    <row r="2421" spans="1:21" x14ac:dyDescent="0.35">
      <c r="A2421" t="s">
        <v>15</v>
      </c>
      <c r="B2421" t="s">
        <v>20</v>
      </c>
      <c r="C2421" t="s">
        <v>21</v>
      </c>
      <c r="D2421">
        <v>188906</v>
      </c>
      <c r="E2421">
        <v>30665</v>
      </c>
      <c r="F2421">
        <v>23852</v>
      </c>
      <c r="G2421">
        <v>-154010</v>
      </c>
      <c r="H2421">
        <v>89413</v>
      </c>
      <c r="I2421">
        <v>87950</v>
      </c>
      <c r="J2421">
        <v>2434</v>
      </c>
      <c r="K2421">
        <v>391286</v>
      </c>
      <c r="L2421">
        <v>165262</v>
      </c>
      <c r="M2421">
        <v>-73625</v>
      </c>
      <c r="N2421">
        <v>78777</v>
      </c>
      <c r="O2421" t="s">
        <v>2439</v>
      </c>
      <c r="P2421" s="9">
        <v>168709</v>
      </c>
      <c r="Q2421" s="9">
        <v>10365</v>
      </c>
      <c r="R2421" s="9">
        <v>179074</v>
      </c>
      <c r="S2421" s="9">
        <v>-40146</v>
      </c>
      <c r="T2421" s="10">
        <v>55986</v>
      </c>
      <c r="U2421" s="10">
        <v>1086</v>
      </c>
    </row>
    <row r="2422" spans="1:21" x14ac:dyDescent="0.35">
      <c r="A2422" t="s">
        <v>15</v>
      </c>
      <c r="B2422" t="s">
        <v>16</v>
      </c>
      <c r="C2422" t="s">
        <v>17</v>
      </c>
      <c r="D2422">
        <v>287955</v>
      </c>
      <c r="E2422">
        <v>44993</v>
      </c>
      <c r="F2422">
        <v>47492</v>
      </c>
      <c r="G2422">
        <v>-241912</v>
      </c>
      <c r="H2422">
        <v>138528</v>
      </c>
      <c r="I2422">
        <v>130529</v>
      </c>
      <c r="J2422">
        <v>3392</v>
      </c>
      <c r="K2422">
        <v>954009</v>
      </c>
      <c r="L2422">
        <v>269959</v>
      </c>
      <c r="M2422">
        <v>-155937</v>
      </c>
      <c r="N2422">
        <v>205685</v>
      </c>
      <c r="O2422" t="s">
        <v>2440</v>
      </c>
      <c r="P2422" s="9">
        <v>304817</v>
      </c>
      <c r="Q2422" s="9">
        <v>22890</v>
      </c>
      <c r="R2422" s="9">
        <v>327707</v>
      </c>
      <c r="S2422" s="9">
        <v>-73541</v>
      </c>
      <c r="T2422" s="10">
        <v>95158</v>
      </c>
      <c r="U2422" s="10">
        <v>1035</v>
      </c>
    </row>
    <row r="2423" spans="1:21" x14ac:dyDescent="0.35">
      <c r="A2423" t="s">
        <v>15</v>
      </c>
      <c r="B2423" t="s">
        <v>20</v>
      </c>
      <c r="C2423" t="s">
        <v>21</v>
      </c>
      <c r="D2423">
        <v>247665</v>
      </c>
      <c r="E2423">
        <v>13598</v>
      </c>
      <c r="F2423">
        <v>56638</v>
      </c>
      <c r="G2423">
        <v>-218636</v>
      </c>
      <c r="H2423">
        <v>99265</v>
      </c>
      <c r="I2423">
        <v>104108</v>
      </c>
      <c r="J2423">
        <v>2325</v>
      </c>
      <c r="K2423">
        <v>895709</v>
      </c>
      <c r="L2423">
        <v>338516</v>
      </c>
      <c r="M2423">
        <v>-299684</v>
      </c>
      <c r="N2423">
        <v>161468</v>
      </c>
      <c r="O2423" t="s">
        <v>2441</v>
      </c>
      <c r="P2423" s="9">
        <v>268653</v>
      </c>
      <c r="Q2423" s="9">
        <v>52514</v>
      </c>
      <c r="R2423" s="9">
        <v>321167</v>
      </c>
      <c r="S2423" s="9">
        <v>-78498</v>
      </c>
      <c r="T2423" s="10">
        <v>136303</v>
      </c>
      <c r="U2423" s="10">
        <v>3505</v>
      </c>
    </row>
    <row r="2424" spans="1:21" x14ac:dyDescent="0.35">
      <c r="A2424" t="s">
        <v>15</v>
      </c>
      <c r="B2424" t="s">
        <v>20</v>
      </c>
      <c r="C2424" t="s">
        <v>17</v>
      </c>
      <c r="D2424">
        <v>232719</v>
      </c>
      <c r="E2424">
        <v>35160</v>
      </c>
      <c r="F2424">
        <v>45980</v>
      </c>
      <c r="G2424">
        <v>-232264</v>
      </c>
      <c r="H2424">
        <v>81595</v>
      </c>
      <c r="I2424">
        <v>76804</v>
      </c>
      <c r="J2424">
        <v>1982</v>
      </c>
      <c r="K2424">
        <v>743485</v>
      </c>
      <c r="L2424">
        <v>248077</v>
      </c>
      <c r="M2424">
        <v>-106897</v>
      </c>
      <c r="N2424">
        <v>129618</v>
      </c>
      <c r="O2424" t="s">
        <v>2442</v>
      </c>
      <c r="P2424" s="9">
        <v>170875</v>
      </c>
      <c r="Q2424" s="9">
        <v>13959</v>
      </c>
      <c r="R2424" s="9">
        <v>184834</v>
      </c>
      <c r="S2424" s="9">
        <v>-100519</v>
      </c>
      <c r="T2424" s="10">
        <v>55207</v>
      </c>
      <c r="U2424" s="10">
        <v>1491</v>
      </c>
    </row>
    <row r="2425" spans="1:21" x14ac:dyDescent="0.35">
      <c r="A2425" t="s">
        <v>15</v>
      </c>
      <c r="B2425" t="s">
        <v>16</v>
      </c>
      <c r="C2425" t="s">
        <v>17</v>
      </c>
      <c r="D2425">
        <v>279469</v>
      </c>
      <c r="E2425">
        <v>25601</v>
      </c>
      <c r="F2425">
        <v>63078</v>
      </c>
      <c r="G2425">
        <v>-262262</v>
      </c>
      <c r="H2425">
        <v>105886</v>
      </c>
      <c r="I2425">
        <v>102341</v>
      </c>
      <c r="J2425">
        <v>2296</v>
      </c>
      <c r="K2425">
        <v>897179</v>
      </c>
      <c r="L2425">
        <v>334090</v>
      </c>
      <c r="M2425">
        <v>-268419</v>
      </c>
      <c r="N2425">
        <v>238561</v>
      </c>
      <c r="O2425" t="s">
        <v>2443</v>
      </c>
      <c r="P2425" s="9">
        <v>228264</v>
      </c>
      <c r="Q2425" s="9">
        <v>28128</v>
      </c>
      <c r="R2425" s="9">
        <v>256392</v>
      </c>
      <c r="S2425" s="9">
        <v>-151504</v>
      </c>
      <c r="T2425" s="10">
        <v>109251</v>
      </c>
      <c r="U2425" s="10">
        <v>1704</v>
      </c>
    </row>
    <row r="2426" spans="1:21" x14ac:dyDescent="0.35">
      <c r="A2426" t="s">
        <v>15</v>
      </c>
      <c r="B2426" t="s">
        <v>20</v>
      </c>
      <c r="C2426" t="s">
        <v>21</v>
      </c>
      <c r="D2426">
        <v>296391</v>
      </c>
      <c r="E2426">
        <v>27711</v>
      </c>
      <c r="F2426">
        <v>58956</v>
      </c>
      <c r="G2426">
        <v>-282376</v>
      </c>
      <c r="H2426">
        <v>100682</v>
      </c>
      <c r="I2426">
        <v>96408</v>
      </c>
      <c r="J2426">
        <v>1332</v>
      </c>
      <c r="K2426">
        <v>947292</v>
      </c>
      <c r="L2426">
        <v>258805</v>
      </c>
      <c r="M2426">
        <v>-150997</v>
      </c>
      <c r="N2426">
        <v>240180</v>
      </c>
      <c r="O2426" t="s">
        <v>2444</v>
      </c>
      <c r="P2426" s="9">
        <v>228000</v>
      </c>
      <c r="Q2426" s="9">
        <v>17898</v>
      </c>
      <c r="R2426" s="9">
        <v>245898</v>
      </c>
      <c r="S2426" s="9">
        <v>-118337</v>
      </c>
      <c r="T2426" s="10">
        <v>57965</v>
      </c>
      <c r="U2426" s="10">
        <v>1329</v>
      </c>
    </row>
    <row r="2427" spans="1:21" x14ac:dyDescent="0.35">
      <c r="A2427" t="s">
        <v>15</v>
      </c>
      <c r="B2427" t="s">
        <v>16</v>
      </c>
      <c r="C2427" t="s">
        <v>21</v>
      </c>
      <c r="D2427">
        <v>293787</v>
      </c>
      <c r="E2427">
        <v>47634</v>
      </c>
      <c r="F2427">
        <v>36955</v>
      </c>
      <c r="G2427">
        <v>-279757</v>
      </c>
      <c r="H2427">
        <v>98619</v>
      </c>
      <c r="I2427">
        <v>96599</v>
      </c>
      <c r="J2427">
        <v>2300</v>
      </c>
      <c r="K2427">
        <v>1051933</v>
      </c>
      <c r="L2427">
        <v>117852</v>
      </c>
      <c r="M2427">
        <v>-173004</v>
      </c>
      <c r="N2427">
        <v>169431</v>
      </c>
      <c r="O2427" t="s">
        <v>2445</v>
      </c>
      <c r="P2427" s="9">
        <v>137153</v>
      </c>
      <c r="Q2427" s="9">
        <v>28822</v>
      </c>
      <c r="R2427" s="9">
        <v>165975</v>
      </c>
      <c r="S2427" s="9">
        <v>-68475</v>
      </c>
      <c r="T2427" s="10">
        <v>65234</v>
      </c>
      <c r="U2427" s="10">
        <v>1897</v>
      </c>
    </row>
    <row r="2428" spans="1:21" x14ac:dyDescent="0.35">
      <c r="A2428" t="s">
        <v>15</v>
      </c>
      <c r="B2428" t="s">
        <v>20</v>
      </c>
      <c r="C2428" t="s">
        <v>17</v>
      </c>
      <c r="D2428">
        <v>175911</v>
      </c>
      <c r="E2428">
        <v>31295</v>
      </c>
      <c r="F2428">
        <v>33105</v>
      </c>
      <c r="G2428">
        <v>-146760</v>
      </c>
      <c r="H2428">
        <v>93551</v>
      </c>
      <c r="I2428">
        <v>86961</v>
      </c>
      <c r="J2428">
        <v>2380</v>
      </c>
      <c r="K2428">
        <v>447033</v>
      </c>
      <c r="L2428">
        <v>118811</v>
      </c>
      <c r="M2428">
        <v>-137122</v>
      </c>
      <c r="N2428">
        <v>136484</v>
      </c>
      <c r="O2428" t="s">
        <v>2446</v>
      </c>
      <c r="P2428" s="9">
        <v>166182</v>
      </c>
      <c r="Q2428" s="9">
        <v>34692</v>
      </c>
      <c r="R2428" s="9">
        <v>200874</v>
      </c>
      <c r="S2428" s="9">
        <v>-48495</v>
      </c>
      <c r="T2428" s="10">
        <v>81165</v>
      </c>
      <c r="U2428" s="10">
        <v>1385</v>
      </c>
    </row>
    <row r="2429" spans="1:21" x14ac:dyDescent="0.35">
      <c r="A2429" t="s">
        <v>15</v>
      </c>
      <c r="B2429" t="s">
        <v>20</v>
      </c>
      <c r="C2429" t="s">
        <v>21</v>
      </c>
      <c r="D2429">
        <v>208746</v>
      </c>
      <c r="E2429">
        <v>39066</v>
      </c>
      <c r="F2429">
        <v>51534</v>
      </c>
      <c r="G2429">
        <v>-168232</v>
      </c>
      <c r="H2429">
        <v>131114</v>
      </c>
      <c r="I2429">
        <v>118049</v>
      </c>
      <c r="J2429">
        <v>2290</v>
      </c>
      <c r="K2429">
        <v>556013</v>
      </c>
      <c r="L2429">
        <v>128469</v>
      </c>
      <c r="M2429">
        <v>-169503</v>
      </c>
      <c r="N2429">
        <v>83934</v>
      </c>
      <c r="O2429" t="s">
        <v>2447</v>
      </c>
      <c r="P2429" s="9">
        <v>191046</v>
      </c>
      <c r="Q2429" s="9">
        <v>18415</v>
      </c>
      <c r="R2429" s="9">
        <v>209461</v>
      </c>
      <c r="S2429" s="9">
        <v>-105232</v>
      </c>
      <c r="T2429" s="10">
        <v>54106</v>
      </c>
      <c r="U2429" s="10">
        <v>1537</v>
      </c>
    </row>
    <row r="2430" spans="1:21" x14ac:dyDescent="0.35">
      <c r="A2430" t="s">
        <v>15</v>
      </c>
      <c r="B2430" t="s">
        <v>16</v>
      </c>
      <c r="C2430" t="s">
        <v>21</v>
      </c>
      <c r="D2430">
        <v>268296</v>
      </c>
      <c r="E2430">
        <v>46776</v>
      </c>
      <c r="F2430">
        <v>46817</v>
      </c>
      <c r="G2430">
        <v>-238749</v>
      </c>
      <c r="H2430">
        <v>123140</v>
      </c>
      <c r="I2430">
        <v>119329</v>
      </c>
      <c r="J2430">
        <v>3267</v>
      </c>
      <c r="K2430">
        <v>550993</v>
      </c>
      <c r="L2430">
        <v>258155</v>
      </c>
      <c r="M2430">
        <v>-177459</v>
      </c>
      <c r="N2430">
        <v>132500</v>
      </c>
      <c r="O2430" t="s">
        <v>2448</v>
      </c>
      <c r="P2430" s="9">
        <v>203354</v>
      </c>
      <c r="Q2430" s="9">
        <v>14083</v>
      </c>
      <c r="R2430" s="9">
        <v>217437</v>
      </c>
      <c r="S2430" s="9">
        <v>-68683</v>
      </c>
      <c r="T2430" s="10">
        <v>52198</v>
      </c>
      <c r="U2430" s="10">
        <v>642</v>
      </c>
    </row>
    <row r="2431" spans="1:21" x14ac:dyDescent="0.35">
      <c r="A2431" t="s">
        <v>15</v>
      </c>
      <c r="B2431" t="s">
        <v>20</v>
      </c>
      <c r="C2431" t="s">
        <v>17</v>
      </c>
      <c r="D2431">
        <v>197154</v>
      </c>
      <c r="E2431">
        <v>25209</v>
      </c>
      <c r="F2431">
        <v>34309</v>
      </c>
      <c r="G2431">
        <v>-159589</v>
      </c>
      <c r="H2431">
        <v>97083</v>
      </c>
      <c r="I2431">
        <v>97855</v>
      </c>
      <c r="J2431">
        <v>1190</v>
      </c>
      <c r="K2431">
        <v>778958</v>
      </c>
      <c r="L2431">
        <v>344591</v>
      </c>
      <c r="M2431">
        <v>-82104</v>
      </c>
      <c r="N2431">
        <v>96892</v>
      </c>
      <c r="O2431" t="s">
        <v>2449</v>
      </c>
      <c r="P2431" s="9">
        <v>256072</v>
      </c>
      <c r="Q2431" s="9">
        <v>17214</v>
      </c>
      <c r="R2431" s="9">
        <v>273286</v>
      </c>
      <c r="S2431" s="9">
        <v>-96553</v>
      </c>
      <c r="T2431" s="10">
        <v>103915</v>
      </c>
      <c r="U2431" s="10">
        <v>1597</v>
      </c>
    </row>
    <row r="2432" spans="1:21" x14ac:dyDescent="0.35">
      <c r="A2432" t="s">
        <v>15</v>
      </c>
      <c r="B2432" t="s">
        <v>16</v>
      </c>
      <c r="C2432" t="s">
        <v>21</v>
      </c>
      <c r="D2432">
        <v>245075</v>
      </c>
      <c r="E2432">
        <v>35216</v>
      </c>
      <c r="F2432">
        <v>43009</v>
      </c>
      <c r="G2432">
        <v>-213307</v>
      </c>
      <c r="H2432">
        <v>109993</v>
      </c>
      <c r="I2432">
        <v>107099</v>
      </c>
      <c r="J2432">
        <v>3159</v>
      </c>
      <c r="K2432">
        <v>584565</v>
      </c>
      <c r="L2432">
        <v>94178</v>
      </c>
      <c r="M2432">
        <v>-162659</v>
      </c>
      <c r="N2432">
        <v>88189</v>
      </c>
      <c r="O2432" t="s">
        <v>2450</v>
      </c>
      <c r="P2432" s="9">
        <v>163834</v>
      </c>
      <c r="Q2432" s="9">
        <v>31879</v>
      </c>
      <c r="R2432" s="9">
        <v>195713</v>
      </c>
      <c r="S2432" s="9">
        <v>-109343</v>
      </c>
      <c r="T2432" s="10">
        <v>81172</v>
      </c>
      <c r="U2432" s="10">
        <v>2279</v>
      </c>
    </row>
    <row r="2433" spans="1:21" x14ac:dyDescent="0.35">
      <c r="A2433" t="s">
        <v>15</v>
      </c>
      <c r="B2433" t="s">
        <v>16</v>
      </c>
      <c r="C2433" t="s">
        <v>21</v>
      </c>
      <c r="D2433">
        <v>243750</v>
      </c>
      <c r="E2433">
        <v>46152</v>
      </c>
      <c r="F2433">
        <v>47563</v>
      </c>
      <c r="G2433">
        <v>-195789</v>
      </c>
      <c r="H2433">
        <v>141676</v>
      </c>
      <c r="I2433">
        <v>129641</v>
      </c>
      <c r="J2433">
        <v>1612</v>
      </c>
      <c r="K2433">
        <v>882801</v>
      </c>
      <c r="L2433">
        <v>421347</v>
      </c>
      <c r="M2433">
        <v>-282540</v>
      </c>
      <c r="N2433">
        <v>86953</v>
      </c>
      <c r="O2433" t="s">
        <v>2451</v>
      </c>
      <c r="P2433" s="9">
        <v>165553</v>
      </c>
      <c r="Q2433" s="9">
        <v>21337</v>
      </c>
      <c r="R2433" s="9">
        <v>186890</v>
      </c>
      <c r="S2433" s="9">
        <v>-89855</v>
      </c>
      <c r="T2433" s="10">
        <v>70591</v>
      </c>
      <c r="U2433" s="10">
        <v>1957</v>
      </c>
    </row>
    <row r="2434" spans="1:21" x14ac:dyDescent="0.35">
      <c r="A2434" t="s">
        <v>15</v>
      </c>
      <c r="B2434" t="s">
        <v>16</v>
      </c>
      <c r="C2434" t="s">
        <v>21</v>
      </c>
      <c r="D2434">
        <v>297146</v>
      </c>
      <c r="E2434">
        <v>18756</v>
      </c>
      <c r="F2434">
        <v>35061</v>
      </c>
      <c r="G2434">
        <v>-277328</v>
      </c>
      <c r="H2434">
        <v>73635</v>
      </c>
      <c r="I2434">
        <v>75486</v>
      </c>
      <c r="J2434">
        <v>2129</v>
      </c>
      <c r="K2434">
        <v>1017320</v>
      </c>
      <c r="L2434">
        <v>468919</v>
      </c>
      <c r="M2434">
        <v>-399583</v>
      </c>
      <c r="N2434">
        <v>140473</v>
      </c>
      <c r="O2434" t="s">
        <v>2452</v>
      </c>
      <c r="P2434" s="9">
        <v>156441</v>
      </c>
      <c r="Q2434" s="9">
        <v>32024</v>
      </c>
      <c r="R2434" s="9">
        <v>188465</v>
      </c>
      <c r="S2434" s="9">
        <v>-95255</v>
      </c>
      <c r="T2434" s="10">
        <v>83695</v>
      </c>
      <c r="U2434" s="10">
        <v>2329</v>
      </c>
    </row>
    <row r="2435" spans="1:21" x14ac:dyDescent="0.35">
      <c r="A2435" t="s">
        <v>15</v>
      </c>
      <c r="B2435" t="s">
        <v>16</v>
      </c>
      <c r="C2435" t="s">
        <v>21</v>
      </c>
      <c r="D2435">
        <v>248650</v>
      </c>
      <c r="E2435">
        <v>25769</v>
      </c>
      <c r="F2435">
        <v>42214</v>
      </c>
      <c r="G2435">
        <v>-210194</v>
      </c>
      <c r="H2435">
        <v>106439</v>
      </c>
      <c r="I2435">
        <v>96355</v>
      </c>
      <c r="J2435">
        <v>2375</v>
      </c>
      <c r="K2435">
        <v>855418</v>
      </c>
      <c r="L2435">
        <v>114131</v>
      </c>
      <c r="M2435">
        <v>-166666</v>
      </c>
      <c r="N2435">
        <v>77430</v>
      </c>
      <c r="O2435" t="s">
        <v>2453</v>
      </c>
      <c r="P2435" s="9">
        <v>294091</v>
      </c>
      <c r="Q2435" s="9">
        <v>39800</v>
      </c>
      <c r="R2435" s="9">
        <v>333891</v>
      </c>
      <c r="S2435" s="9">
        <v>-195378</v>
      </c>
      <c r="T2435" s="10">
        <v>130503</v>
      </c>
      <c r="U2435" s="10">
        <v>2279</v>
      </c>
    </row>
    <row r="2436" spans="1:21" x14ac:dyDescent="0.35">
      <c r="A2436" t="s">
        <v>15</v>
      </c>
      <c r="B2436" t="s">
        <v>16</v>
      </c>
      <c r="C2436" t="s">
        <v>21</v>
      </c>
      <c r="D2436">
        <v>244521</v>
      </c>
      <c r="E2436">
        <v>41259</v>
      </c>
      <c r="F2436">
        <v>37186</v>
      </c>
      <c r="G2436">
        <v>-233850</v>
      </c>
      <c r="H2436">
        <v>89116</v>
      </c>
      <c r="I2436">
        <v>91069</v>
      </c>
      <c r="J2436">
        <v>1933</v>
      </c>
      <c r="K2436">
        <v>718794</v>
      </c>
      <c r="L2436">
        <v>136089</v>
      </c>
      <c r="M2436">
        <v>-210382</v>
      </c>
      <c r="N2436">
        <v>97655</v>
      </c>
      <c r="O2436" t="s">
        <v>2454</v>
      </c>
      <c r="P2436" s="9">
        <v>154875</v>
      </c>
      <c r="Q2436" s="9">
        <v>8921</v>
      </c>
      <c r="R2436" s="9">
        <v>163796</v>
      </c>
      <c r="S2436" s="9">
        <v>-61056</v>
      </c>
      <c r="T2436" s="10">
        <v>47832</v>
      </c>
      <c r="U2436" s="10">
        <v>762</v>
      </c>
    </row>
    <row r="2437" spans="1:21" x14ac:dyDescent="0.35">
      <c r="A2437" t="s">
        <v>15</v>
      </c>
      <c r="B2437" t="s">
        <v>16</v>
      </c>
      <c r="C2437" t="s">
        <v>21</v>
      </c>
      <c r="D2437">
        <v>278262</v>
      </c>
      <c r="E2437">
        <v>47868</v>
      </c>
      <c r="F2437">
        <v>66630</v>
      </c>
      <c r="G2437">
        <v>-270935</v>
      </c>
      <c r="H2437">
        <v>121825</v>
      </c>
      <c r="I2437">
        <v>114755</v>
      </c>
      <c r="J2437">
        <v>2249</v>
      </c>
      <c r="K2437">
        <v>800077</v>
      </c>
      <c r="L2437">
        <v>107314</v>
      </c>
      <c r="M2437">
        <v>-133177</v>
      </c>
      <c r="N2437">
        <v>134504</v>
      </c>
      <c r="O2437" t="s">
        <v>2455</v>
      </c>
      <c r="P2437" s="9">
        <v>257842</v>
      </c>
      <c r="Q2437" s="9">
        <v>22830</v>
      </c>
      <c r="R2437" s="9">
        <v>280672</v>
      </c>
      <c r="S2437" s="9">
        <v>-144561</v>
      </c>
      <c r="T2437" s="10">
        <v>111635</v>
      </c>
      <c r="U2437" s="10">
        <v>2916</v>
      </c>
    </row>
    <row r="2438" spans="1:21" x14ac:dyDescent="0.35">
      <c r="A2438" t="s">
        <v>15</v>
      </c>
      <c r="B2438" t="s">
        <v>20</v>
      </c>
      <c r="C2438" t="s">
        <v>17</v>
      </c>
      <c r="D2438">
        <v>265713</v>
      </c>
      <c r="E2438">
        <v>23581</v>
      </c>
      <c r="F2438">
        <v>66336</v>
      </c>
      <c r="G2438">
        <v>-259165</v>
      </c>
      <c r="H2438">
        <v>96465</v>
      </c>
      <c r="I2438">
        <v>89209</v>
      </c>
      <c r="J2438">
        <v>1918</v>
      </c>
      <c r="K2438">
        <v>628461</v>
      </c>
      <c r="L2438">
        <v>104691</v>
      </c>
      <c r="M2438">
        <v>-216110</v>
      </c>
      <c r="N2438">
        <v>84960</v>
      </c>
      <c r="O2438" t="s">
        <v>2456</v>
      </c>
      <c r="P2438" s="9">
        <v>243323</v>
      </c>
      <c r="Q2438" s="9">
        <v>13843</v>
      </c>
      <c r="R2438" s="9">
        <v>257166</v>
      </c>
      <c r="S2438" s="9">
        <v>-52334</v>
      </c>
      <c r="T2438" s="10">
        <v>68735</v>
      </c>
      <c r="U2438" s="10">
        <v>1194</v>
      </c>
    </row>
    <row r="2439" spans="1:21" x14ac:dyDescent="0.35">
      <c r="A2439" t="s">
        <v>15</v>
      </c>
      <c r="B2439" t="s">
        <v>16</v>
      </c>
      <c r="C2439" t="s">
        <v>17</v>
      </c>
      <c r="D2439">
        <v>293768</v>
      </c>
      <c r="E2439">
        <v>23786</v>
      </c>
      <c r="F2439">
        <v>48808</v>
      </c>
      <c r="G2439">
        <v>-261078</v>
      </c>
      <c r="H2439">
        <v>105284</v>
      </c>
      <c r="I2439">
        <v>102796</v>
      </c>
      <c r="J2439">
        <v>2386</v>
      </c>
      <c r="K2439">
        <v>683187</v>
      </c>
      <c r="L2439">
        <v>225043</v>
      </c>
      <c r="M2439">
        <v>-112653</v>
      </c>
      <c r="N2439">
        <v>227640</v>
      </c>
      <c r="O2439" t="s">
        <v>2457</v>
      </c>
      <c r="P2439" s="9">
        <v>201983</v>
      </c>
      <c r="Q2439" s="9">
        <v>13047</v>
      </c>
      <c r="R2439" s="9">
        <v>215030</v>
      </c>
      <c r="S2439" s="9">
        <v>-51437</v>
      </c>
      <c r="T2439" s="10">
        <v>44191</v>
      </c>
      <c r="U2439" s="10">
        <v>576</v>
      </c>
    </row>
    <row r="2440" spans="1:21" x14ac:dyDescent="0.35">
      <c r="A2440" t="s">
        <v>15</v>
      </c>
      <c r="B2440" t="s">
        <v>16</v>
      </c>
      <c r="C2440" t="s">
        <v>21</v>
      </c>
      <c r="D2440">
        <v>211109</v>
      </c>
      <c r="E2440">
        <v>37856</v>
      </c>
      <c r="F2440">
        <v>26651</v>
      </c>
      <c r="G2440">
        <v>-176195</v>
      </c>
      <c r="H2440">
        <v>99421</v>
      </c>
      <c r="I2440">
        <v>91564</v>
      </c>
      <c r="J2440">
        <v>1774</v>
      </c>
      <c r="K2440">
        <v>759270</v>
      </c>
      <c r="L2440">
        <v>100430</v>
      </c>
      <c r="M2440">
        <v>-218025</v>
      </c>
      <c r="N2440">
        <v>101971</v>
      </c>
      <c r="O2440" t="s">
        <v>2458</v>
      </c>
      <c r="P2440" s="9">
        <v>194776</v>
      </c>
      <c r="Q2440" s="9">
        <v>12677</v>
      </c>
      <c r="R2440" s="9">
        <v>207453</v>
      </c>
      <c r="S2440" s="9">
        <v>-98561</v>
      </c>
      <c r="T2440" s="10">
        <v>67118</v>
      </c>
      <c r="U2440" s="10">
        <v>1069</v>
      </c>
    </row>
    <row r="2441" spans="1:21" x14ac:dyDescent="0.35">
      <c r="A2441" t="s">
        <v>15</v>
      </c>
      <c r="B2441" t="s">
        <v>16</v>
      </c>
      <c r="C2441" t="s">
        <v>21</v>
      </c>
      <c r="D2441">
        <v>237959</v>
      </c>
      <c r="E2441">
        <v>31267</v>
      </c>
      <c r="F2441">
        <v>38976</v>
      </c>
      <c r="G2441">
        <v>-190975</v>
      </c>
      <c r="H2441">
        <v>117227</v>
      </c>
      <c r="I2441">
        <v>107109</v>
      </c>
      <c r="J2441">
        <v>2732</v>
      </c>
      <c r="K2441">
        <v>772434</v>
      </c>
      <c r="L2441">
        <v>148029</v>
      </c>
      <c r="M2441">
        <v>-183410</v>
      </c>
      <c r="N2441">
        <v>202544</v>
      </c>
      <c r="O2441" t="s">
        <v>2459</v>
      </c>
      <c r="P2441" s="9">
        <v>275455</v>
      </c>
      <c r="Q2441" s="9">
        <v>15674</v>
      </c>
      <c r="R2441" s="9">
        <v>291129</v>
      </c>
      <c r="S2441" s="9">
        <v>-122896</v>
      </c>
      <c r="T2441" s="10">
        <v>84240</v>
      </c>
      <c r="U2441" s="10">
        <v>2208</v>
      </c>
    </row>
    <row r="2442" spans="1:21" x14ac:dyDescent="0.35">
      <c r="A2442" t="s">
        <v>15</v>
      </c>
      <c r="B2442" t="s">
        <v>16</v>
      </c>
      <c r="C2442" t="s">
        <v>21</v>
      </c>
      <c r="D2442">
        <v>160012</v>
      </c>
      <c r="E2442">
        <v>12962</v>
      </c>
      <c r="F2442">
        <v>18493</v>
      </c>
      <c r="G2442">
        <v>-158283</v>
      </c>
      <c r="H2442">
        <v>33184</v>
      </c>
      <c r="I2442">
        <v>34586</v>
      </c>
      <c r="J2442">
        <v>346</v>
      </c>
      <c r="K2442">
        <v>390361</v>
      </c>
      <c r="L2442">
        <v>138837</v>
      </c>
      <c r="M2442">
        <v>-132911</v>
      </c>
      <c r="N2442">
        <v>138295</v>
      </c>
      <c r="O2442" t="s">
        <v>2460</v>
      </c>
      <c r="P2442" s="9">
        <v>315822</v>
      </c>
      <c r="Q2442" s="9">
        <v>45385</v>
      </c>
      <c r="R2442" s="9">
        <v>361207</v>
      </c>
      <c r="S2442" s="9">
        <v>-143577</v>
      </c>
      <c r="T2442" s="10">
        <v>147261</v>
      </c>
      <c r="U2442" s="10">
        <v>4274</v>
      </c>
    </row>
    <row r="2443" spans="1:21" x14ac:dyDescent="0.35">
      <c r="A2443" t="s">
        <v>15</v>
      </c>
      <c r="B2443" t="s">
        <v>16</v>
      </c>
      <c r="C2443" t="s">
        <v>17</v>
      </c>
      <c r="D2443">
        <v>185694</v>
      </c>
      <c r="E2443">
        <v>15667</v>
      </c>
      <c r="F2443">
        <v>31802</v>
      </c>
      <c r="G2443">
        <v>-181237</v>
      </c>
      <c r="H2443">
        <v>51926</v>
      </c>
      <c r="I2443">
        <v>50781</v>
      </c>
      <c r="J2443">
        <v>828</v>
      </c>
      <c r="K2443">
        <v>377739</v>
      </c>
      <c r="L2443">
        <v>185370</v>
      </c>
      <c r="M2443">
        <v>-104597</v>
      </c>
      <c r="N2443">
        <v>63520</v>
      </c>
      <c r="O2443" t="s">
        <v>2461</v>
      </c>
      <c r="P2443" s="9">
        <v>249876</v>
      </c>
      <c r="Q2443" s="9">
        <v>42252</v>
      </c>
      <c r="R2443" s="9">
        <v>292128</v>
      </c>
      <c r="S2443" s="9">
        <v>-156454</v>
      </c>
      <c r="T2443" s="10">
        <v>105990</v>
      </c>
      <c r="U2443" s="10">
        <v>2580</v>
      </c>
    </row>
    <row r="2444" spans="1:21" x14ac:dyDescent="0.35">
      <c r="A2444" t="s">
        <v>15</v>
      </c>
      <c r="B2444" t="s">
        <v>16</v>
      </c>
      <c r="C2444" t="s">
        <v>21</v>
      </c>
      <c r="D2444">
        <v>205490</v>
      </c>
      <c r="E2444">
        <v>29388</v>
      </c>
      <c r="F2444">
        <v>39869</v>
      </c>
      <c r="G2444">
        <v>-165910</v>
      </c>
      <c r="H2444">
        <v>108837</v>
      </c>
      <c r="I2444">
        <v>105547</v>
      </c>
      <c r="J2444">
        <v>1303</v>
      </c>
      <c r="K2444">
        <v>425620</v>
      </c>
      <c r="L2444">
        <v>83127</v>
      </c>
      <c r="M2444">
        <v>-141518</v>
      </c>
      <c r="N2444">
        <v>94402</v>
      </c>
      <c r="O2444" t="s">
        <v>2462</v>
      </c>
      <c r="P2444" s="9">
        <v>257682</v>
      </c>
      <c r="Q2444" s="9">
        <v>37213</v>
      </c>
      <c r="R2444" s="9">
        <v>294895</v>
      </c>
      <c r="S2444" s="9">
        <v>-128296</v>
      </c>
      <c r="T2444" s="10">
        <v>98485</v>
      </c>
      <c r="U2444" s="10">
        <v>1681</v>
      </c>
    </row>
    <row r="2445" spans="1:21" x14ac:dyDescent="0.35">
      <c r="A2445" t="s">
        <v>15</v>
      </c>
      <c r="B2445" t="s">
        <v>20</v>
      </c>
      <c r="C2445" t="s">
        <v>17</v>
      </c>
      <c r="D2445">
        <v>277657</v>
      </c>
      <c r="E2445">
        <v>34021</v>
      </c>
      <c r="F2445">
        <v>66048</v>
      </c>
      <c r="G2445">
        <v>-245736</v>
      </c>
      <c r="H2445">
        <v>131990</v>
      </c>
      <c r="I2445">
        <v>128260</v>
      </c>
      <c r="J2445">
        <v>1365</v>
      </c>
      <c r="K2445">
        <v>643556</v>
      </c>
      <c r="L2445">
        <v>127196</v>
      </c>
      <c r="M2445">
        <v>-155335</v>
      </c>
      <c r="N2445">
        <v>180171</v>
      </c>
      <c r="O2445" t="s">
        <v>2463</v>
      </c>
      <c r="P2445" s="9">
        <v>274542</v>
      </c>
      <c r="Q2445" s="9">
        <v>37815</v>
      </c>
      <c r="R2445" s="9">
        <v>312357</v>
      </c>
      <c r="S2445" s="9">
        <v>-159655</v>
      </c>
      <c r="T2445" s="10">
        <v>123686</v>
      </c>
      <c r="U2445" s="10">
        <v>2841</v>
      </c>
    </row>
    <row r="2446" spans="1:21" x14ac:dyDescent="0.35">
      <c r="A2446" t="s">
        <v>15</v>
      </c>
      <c r="B2446" t="s">
        <v>16</v>
      </c>
      <c r="C2446" t="s">
        <v>21</v>
      </c>
      <c r="D2446">
        <v>207896</v>
      </c>
      <c r="E2446">
        <v>35179</v>
      </c>
      <c r="F2446">
        <v>32344</v>
      </c>
      <c r="G2446">
        <v>-182983</v>
      </c>
      <c r="H2446">
        <v>92436</v>
      </c>
      <c r="I2446">
        <v>85531</v>
      </c>
      <c r="J2446">
        <v>1934</v>
      </c>
      <c r="K2446">
        <v>472718</v>
      </c>
      <c r="L2446">
        <v>147931</v>
      </c>
      <c r="M2446">
        <v>-188361</v>
      </c>
      <c r="N2446">
        <v>78764</v>
      </c>
      <c r="O2446" t="s">
        <v>2464</v>
      </c>
      <c r="P2446" s="9">
        <v>242579</v>
      </c>
      <c r="Q2446" s="9">
        <v>31023</v>
      </c>
      <c r="R2446" s="9">
        <v>273602</v>
      </c>
      <c r="S2446" s="9">
        <v>-90005</v>
      </c>
      <c r="T2446" s="10">
        <v>58126</v>
      </c>
      <c r="U2446" s="10">
        <v>1515</v>
      </c>
    </row>
    <row r="2447" spans="1:21" x14ac:dyDescent="0.35">
      <c r="A2447" t="s">
        <v>15</v>
      </c>
      <c r="B2447" t="s">
        <v>16</v>
      </c>
      <c r="C2447" t="s">
        <v>21</v>
      </c>
      <c r="D2447">
        <v>272231</v>
      </c>
      <c r="E2447">
        <v>28716</v>
      </c>
      <c r="F2447">
        <v>41637</v>
      </c>
      <c r="G2447">
        <v>-264649</v>
      </c>
      <c r="H2447">
        <v>77935</v>
      </c>
      <c r="I2447">
        <v>80692</v>
      </c>
      <c r="J2447">
        <v>1823</v>
      </c>
      <c r="K2447">
        <v>956289</v>
      </c>
      <c r="L2447">
        <v>380662</v>
      </c>
      <c r="M2447">
        <v>-146661</v>
      </c>
      <c r="N2447">
        <v>244530</v>
      </c>
      <c r="O2447" t="s">
        <v>2465</v>
      </c>
      <c r="P2447" s="9">
        <v>195424</v>
      </c>
      <c r="Q2447" s="9">
        <v>24116</v>
      </c>
      <c r="R2447" s="9">
        <v>219540</v>
      </c>
      <c r="S2447" s="9">
        <v>-124778</v>
      </c>
      <c r="T2447" s="10">
        <v>90391</v>
      </c>
      <c r="U2447" s="10">
        <v>2230</v>
      </c>
    </row>
    <row r="2448" spans="1:21" x14ac:dyDescent="0.35">
      <c r="A2448" t="s">
        <v>15</v>
      </c>
      <c r="B2448" t="s">
        <v>16</v>
      </c>
      <c r="C2448" t="s">
        <v>17</v>
      </c>
      <c r="D2448">
        <v>207371</v>
      </c>
      <c r="E2448">
        <v>11364</v>
      </c>
      <c r="F2448">
        <v>21542</v>
      </c>
      <c r="G2448">
        <v>-201285</v>
      </c>
      <c r="H2448">
        <v>38992</v>
      </c>
      <c r="I2448">
        <v>36702</v>
      </c>
      <c r="J2448">
        <v>418</v>
      </c>
      <c r="K2448">
        <v>439806</v>
      </c>
      <c r="L2448">
        <v>82999</v>
      </c>
      <c r="M2448">
        <v>-61649</v>
      </c>
      <c r="N2448">
        <v>157309</v>
      </c>
      <c r="O2448" t="s">
        <v>2466</v>
      </c>
      <c r="P2448" s="9">
        <v>214727</v>
      </c>
      <c r="Q2448" s="9">
        <v>29243</v>
      </c>
      <c r="R2448" s="9">
        <v>243970</v>
      </c>
      <c r="S2448" s="9">
        <v>-98735</v>
      </c>
      <c r="T2448" s="10">
        <v>97108</v>
      </c>
      <c r="U2448" s="10">
        <v>995</v>
      </c>
    </row>
    <row r="2449" spans="1:21" x14ac:dyDescent="0.35">
      <c r="A2449" t="s">
        <v>15</v>
      </c>
      <c r="B2449" t="s">
        <v>20</v>
      </c>
      <c r="C2449" t="s">
        <v>21</v>
      </c>
      <c r="D2449">
        <v>289265</v>
      </c>
      <c r="E2449">
        <v>25819</v>
      </c>
      <c r="F2449">
        <v>40596</v>
      </c>
      <c r="G2449">
        <v>-248791</v>
      </c>
      <c r="H2449">
        <v>106889</v>
      </c>
      <c r="I2449">
        <v>96591</v>
      </c>
      <c r="J2449">
        <v>2735</v>
      </c>
      <c r="K2449">
        <v>1050108</v>
      </c>
      <c r="L2449">
        <v>341709</v>
      </c>
      <c r="M2449">
        <v>-150622</v>
      </c>
      <c r="N2449">
        <v>124477</v>
      </c>
      <c r="O2449" t="s">
        <v>2467</v>
      </c>
      <c r="P2449" s="9">
        <v>183937</v>
      </c>
      <c r="Q2449" s="9">
        <v>33039</v>
      </c>
      <c r="R2449" s="9">
        <v>216976</v>
      </c>
      <c r="S2449" s="9">
        <v>-65858</v>
      </c>
      <c r="T2449" s="10">
        <v>90909</v>
      </c>
      <c r="U2449" s="10">
        <v>2635</v>
      </c>
    </row>
    <row r="2450" spans="1:21" x14ac:dyDescent="0.35">
      <c r="A2450" t="s">
        <v>15</v>
      </c>
      <c r="B2450" t="s">
        <v>16</v>
      </c>
      <c r="C2450" t="s">
        <v>21</v>
      </c>
      <c r="D2450">
        <v>262381</v>
      </c>
      <c r="E2450">
        <v>18874</v>
      </c>
      <c r="F2450">
        <v>39469</v>
      </c>
      <c r="G2450">
        <v>-228749</v>
      </c>
      <c r="H2450">
        <v>91975</v>
      </c>
      <c r="I2450">
        <v>89268</v>
      </c>
      <c r="J2450">
        <v>2577</v>
      </c>
      <c r="K2450">
        <v>1032487</v>
      </c>
      <c r="L2450">
        <v>285233</v>
      </c>
      <c r="M2450">
        <v>-222099</v>
      </c>
      <c r="N2450">
        <v>181416</v>
      </c>
      <c r="O2450" t="s">
        <v>2468</v>
      </c>
      <c r="P2450" s="9">
        <v>272986</v>
      </c>
      <c r="Q2450" s="9">
        <v>43055</v>
      </c>
      <c r="R2450" s="9">
        <v>316041</v>
      </c>
      <c r="S2450" s="9">
        <v>-186421</v>
      </c>
      <c r="T2450" s="10">
        <v>91617</v>
      </c>
      <c r="U2450" s="10">
        <v>2557</v>
      </c>
    </row>
    <row r="2451" spans="1:21" x14ac:dyDescent="0.35">
      <c r="A2451" t="s">
        <v>15</v>
      </c>
      <c r="B2451" t="s">
        <v>16</v>
      </c>
      <c r="C2451" t="s">
        <v>21</v>
      </c>
      <c r="D2451">
        <v>224385</v>
      </c>
      <c r="E2451">
        <v>26765</v>
      </c>
      <c r="F2451">
        <v>28626</v>
      </c>
      <c r="G2451">
        <v>-207752</v>
      </c>
      <c r="H2451">
        <v>72024</v>
      </c>
      <c r="I2451">
        <v>69743</v>
      </c>
      <c r="J2451">
        <v>740</v>
      </c>
      <c r="K2451">
        <v>624057</v>
      </c>
      <c r="L2451">
        <v>283371</v>
      </c>
      <c r="M2451">
        <v>-224766</v>
      </c>
      <c r="N2451">
        <v>153290</v>
      </c>
      <c r="O2451" t="s">
        <v>2469</v>
      </c>
      <c r="P2451" s="9">
        <v>277866</v>
      </c>
      <c r="Q2451" s="9">
        <v>34532</v>
      </c>
      <c r="R2451" s="9">
        <v>312398</v>
      </c>
      <c r="S2451" s="9">
        <v>-111974</v>
      </c>
      <c r="T2451" s="10">
        <v>137634</v>
      </c>
      <c r="U2451" s="10">
        <v>1403</v>
      </c>
    </row>
    <row r="2452" spans="1:21" x14ac:dyDescent="0.35">
      <c r="A2452" t="s">
        <v>15</v>
      </c>
      <c r="B2452" t="s">
        <v>20</v>
      </c>
      <c r="C2452" t="s">
        <v>21</v>
      </c>
      <c r="D2452">
        <v>150321</v>
      </c>
      <c r="E2452">
        <v>16715</v>
      </c>
      <c r="F2452">
        <v>26563</v>
      </c>
      <c r="G2452">
        <v>-149602</v>
      </c>
      <c r="H2452">
        <v>43997</v>
      </c>
      <c r="I2452">
        <v>40712</v>
      </c>
      <c r="J2452">
        <v>703</v>
      </c>
      <c r="K2452">
        <v>317351</v>
      </c>
      <c r="L2452">
        <v>63208</v>
      </c>
      <c r="M2452">
        <v>-90329</v>
      </c>
      <c r="N2452">
        <v>127999</v>
      </c>
      <c r="O2452" t="s">
        <v>2470</v>
      </c>
      <c r="P2452" s="9">
        <v>189426</v>
      </c>
      <c r="Q2452" s="9">
        <v>25137</v>
      </c>
      <c r="R2452" s="9">
        <v>214563</v>
      </c>
      <c r="S2452" s="9">
        <v>-99444</v>
      </c>
      <c r="T2452" s="10">
        <v>70911</v>
      </c>
      <c r="U2452" s="10">
        <v>1576</v>
      </c>
    </row>
    <row r="2453" spans="1:21" x14ac:dyDescent="0.35">
      <c r="A2453" t="s">
        <v>15</v>
      </c>
      <c r="B2453" t="s">
        <v>20</v>
      </c>
      <c r="C2453" t="s">
        <v>21</v>
      </c>
      <c r="D2453">
        <v>154865</v>
      </c>
      <c r="E2453">
        <v>24336</v>
      </c>
      <c r="F2453">
        <v>29365</v>
      </c>
      <c r="G2453">
        <v>-131162</v>
      </c>
      <c r="H2453">
        <v>77404</v>
      </c>
      <c r="I2453">
        <v>72725</v>
      </c>
      <c r="J2453">
        <v>2119</v>
      </c>
      <c r="K2453">
        <v>395744</v>
      </c>
      <c r="L2453">
        <v>151121</v>
      </c>
      <c r="M2453">
        <v>-106118</v>
      </c>
      <c r="N2453">
        <v>87021</v>
      </c>
      <c r="O2453" t="s">
        <v>2471</v>
      </c>
      <c r="P2453" s="9">
        <v>245207</v>
      </c>
      <c r="Q2453" s="9">
        <v>23819</v>
      </c>
      <c r="R2453" s="9">
        <v>269026</v>
      </c>
      <c r="S2453" s="9">
        <v>-79831</v>
      </c>
      <c r="T2453" s="10">
        <v>70421</v>
      </c>
      <c r="U2453" s="10">
        <v>1237</v>
      </c>
    </row>
    <row r="2454" spans="1:21" x14ac:dyDescent="0.35">
      <c r="A2454" t="s">
        <v>15</v>
      </c>
      <c r="B2454" t="s">
        <v>16</v>
      </c>
      <c r="C2454" t="s">
        <v>21</v>
      </c>
      <c r="D2454">
        <v>195861</v>
      </c>
      <c r="E2454">
        <v>22383</v>
      </c>
      <c r="F2454">
        <v>20416</v>
      </c>
      <c r="G2454">
        <v>-162036</v>
      </c>
      <c r="H2454">
        <v>76624</v>
      </c>
      <c r="I2454">
        <v>70588</v>
      </c>
      <c r="J2454">
        <v>904</v>
      </c>
      <c r="K2454">
        <v>707642</v>
      </c>
      <c r="L2454">
        <v>158981</v>
      </c>
      <c r="M2454">
        <v>-145012</v>
      </c>
      <c r="N2454">
        <v>79563</v>
      </c>
      <c r="O2454" t="s">
        <v>2472</v>
      </c>
      <c r="P2454" s="9">
        <v>157202</v>
      </c>
      <c r="Q2454" s="9">
        <v>32579</v>
      </c>
      <c r="R2454" s="9">
        <v>189781</v>
      </c>
      <c r="S2454" s="9">
        <v>-103614</v>
      </c>
      <c r="T2454" s="10">
        <v>78075</v>
      </c>
      <c r="U2454" s="10">
        <v>2120</v>
      </c>
    </row>
    <row r="2455" spans="1:21" x14ac:dyDescent="0.35">
      <c r="A2455" t="s">
        <v>15</v>
      </c>
      <c r="B2455" t="s">
        <v>16</v>
      </c>
      <c r="C2455" t="s">
        <v>17</v>
      </c>
      <c r="D2455">
        <v>197601</v>
      </c>
      <c r="E2455">
        <v>10309</v>
      </c>
      <c r="F2455">
        <v>41046</v>
      </c>
      <c r="G2455">
        <v>-162739</v>
      </c>
      <c r="H2455">
        <v>86217</v>
      </c>
      <c r="I2455">
        <v>78147</v>
      </c>
      <c r="J2455">
        <v>1669</v>
      </c>
      <c r="K2455">
        <v>451267</v>
      </c>
      <c r="L2455">
        <v>189640</v>
      </c>
      <c r="M2455">
        <v>-156863</v>
      </c>
      <c r="N2455">
        <v>144676</v>
      </c>
      <c r="O2455" t="s">
        <v>2473</v>
      </c>
      <c r="P2455" s="9">
        <v>232541</v>
      </c>
      <c r="Q2455" s="9">
        <v>30876</v>
      </c>
      <c r="R2455" s="9">
        <v>263417</v>
      </c>
      <c r="S2455" s="9">
        <v>-115026</v>
      </c>
      <c r="T2455" s="10">
        <v>85080</v>
      </c>
      <c r="U2455" s="10">
        <v>1142</v>
      </c>
    </row>
    <row r="2456" spans="1:21" x14ac:dyDescent="0.35">
      <c r="A2456" t="s">
        <v>15</v>
      </c>
      <c r="B2456" t="s">
        <v>20</v>
      </c>
      <c r="C2456" t="s">
        <v>21</v>
      </c>
      <c r="D2456">
        <v>249035</v>
      </c>
      <c r="E2456">
        <v>36518</v>
      </c>
      <c r="F2456">
        <v>42385</v>
      </c>
      <c r="G2456">
        <v>-240397</v>
      </c>
      <c r="H2456">
        <v>87541</v>
      </c>
      <c r="I2456">
        <v>90686</v>
      </c>
      <c r="J2456">
        <v>1719</v>
      </c>
      <c r="K2456">
        <v>805039</v>
      </c>
      <c r="L2456">
        <v>144197</v>
      </c>
      <c r="M2456">
        <v>-81548</v>
      </c>
      <c r="N2456">
        <v>200352</v>
      </c>
      <c r="O2456" t="s">
        <v>2474</v>
      </c>
      <c r="P2456" s="9">
        <v>250901</v>
      </c>
      <c r="Q2456" s="9">
        <v>39415</v>
      </c>
      <c r="R2456" s="9">
        <v>290316</v>
      </c>
      <c r="S2456" s="9">
        <v>-152464</v>
      </c>
      <c r="T2456" s="10">
        <v>111002</v>
      </c>
      <c r="U2456" s="10">
        <v>2392</v>
      </c>
    </row>
    <row r="2457" spans="1:21" x14ac:dyDescent="0.35">
      <c r="A2457" t="s">
        <v>15</v>
      </c>
      <c r="B2457" t="s">
        <v>16</v>
      </c>
      <c r="C2457" t="s">
        <v>17</v>
      </c>
      <c r="D2457">
        <v>211972</v>
      </c>
      <c r="E2457">
        <v>15547</v>
      </c>
      <c r="F2457">
        <v>21217</v>
      </c>
      <c r="G2457">
        <v>-206221</v>
      </c>
      <c r="H2457">
        <v>42515</v>
      </c>
      <c r="I2457">
        <v>41322</v>
      </c>
      <c r="J2457">
        <v>484</v>
      </c>
      <c r="K2457">
        <v>768292</v>
      </c>
      <c r="L2457">
        <v>134927</v>
      </c>
      <c r="M2457">
        <v>-96994</v>
      </c>
      <c r="N2457">
        <v>116629</v>
      </c>
      <c r="O2457" t="s">
        <v>2475</v>
      </c>
      <c r="P2457" s="9">
        <v>301859</v>
      </c>
      <c r="Q2457" s="9">
        <v>22385</v>
      </c>
      <c r="R2457" s="9">
        <v>324244</v>
      </c>
      <c r="S2457" s="9">
        <v>-81239</v>
      </c>
      <c r="T2457" s="10">
        <v>76995</v>
      </c>
      <c r="U2457" s="10">
        <v>1008</v>
      </c>
    </row>
    <row r="2458" spans="1:21" x14ac:dyDescent="0.35">
      <c r="A2458" t="s">
        <v>15</v>
      </c>
      <c r="B2458" t="s">
        <v>20</v>
      </c>
      <c r="C2458" t="s">
        <v>17</v>
      </c>
      <c r="D2458">
        <v>259445</v>
      </c>
      <c r="E2458">
        <v>15921</v>
      </c>
      <c r="F2458">
        <v>39218</v>
      </c>
      <c r="G2458">
        <v>-228084</v>
      </c>
      <c r="H2458">
        <v>86500</v>
      </c>
      <c r="I2458">
        <v>83102</v>
      </c>
      <c r="J2458">
        <v>2402</v>
      </c>
      <c r="K2458">
        <v>768433</v>
      </c>
      <c r="L2458">
        <v>100185</v>
      </c>
      <c r="M2458">
        <v>-284855</v>
      </c>
      <c r="N2458">
        <v>220741</v>
      </c>
      <c r="O2458" t="s">
        <v>2476</v>
      </c>
      <c r="P2458" s="9">
        <v>213947</v>
      </c>
      <c r="Q2458" s="9">
        <v>23385</v>
      </c>
      <c r="R2458" s="9">
        <v>237332</v>
      </c>
      <c r="S2458" s="9">
        <v>-102646</v>
      </c>
      <c r="T2458" s="10">
        <v>59947</v>
      </c>
      <c r="U2458" s="10">
        <v>1787</v>
      </c>
    </row>
    <row r="2459" spans="1:21" x14ac:dyDescent="0.35">
      <c r="A2459" t="s">
        <v>15</v>
      </c>
      <c r="B2459" t="s">
        <v>16</v>
      </c>
      <c r="C2459" t="s">
        <v>21</v>
      </c>
      <c r="D2459">
        <v>256808</v>
      </c>
      <c r="E2459">
        <v>27321</v>
      </c>
      <c r="F2459">
        <v>51836</v>
      </c>
      <c r="G2459">
        <v>-206666</v>
      </c>
      <c r="H2459">
        <v>129299</v>
      </c>
      <c r="I2459">
        <v>118513</v>
      </c>
      <c r="J2459">
        <v>1737</v>
      </c>
      <c r="K2459">
        <v>944473</v>
      </c>
      <c r="L2459">
        <v>286648</v>
      </c>
      <c r="M2459">
        <v>-325487</v>
      </c>
      <c r="N2459">
        <v>101075</v>
      </c>
      <c r="O2459" t="s">
        <v>2477</v>
      </c>
      <c r="P2459" s="9">
        <v>254167</v>
      </c>
      <c r="Q2459" s="9">
        <v>39195</v>
      </c>
      <c r="R2459" s="9">
        <v>293362</v>
      </c>
      <c r="S2459" s="9">
        <v>-167825</v>
      </c>
      <c r="T2459" s="10">
        <v>66083</v>
      </c>
      <c r="U2459" s="10">
        <v>1670</v>
      </c>
    </row>
    <row r="2460" spans="1:21" x14ac:dyDescent="0.35">
      <c r="A2460" t="s">
        <v>15</v>
      </c>
      <c r="B2460" t="s">
        <v>16</v>
      </c>
      <c r="C2460" t="s">
        <v>21</v>
      </c>
      <c r="D2460">
        <v>213773</v>
      </c>
      <c r="E2460">
        <v>26140</v>
      </c>
      <c r="F2460">
        <v>21594</v>
      </c>
      <c r="G2460">
        <v>-172037</v>
      </c>
      <c r="H2460">
        <v>89470</v>
      </c>
      <c r="I2460">
        <v>92059</v>
      </c>
      <c r="J2460">
        <v>1515</v>
      </c>
      <c r="K2460">
        <v>597630</v>
      </c>
      <c r="L2460">
        <v>186485</v>
      </c>
      <c r="M2460">
        <v>-108427</v>
      </c>
      <c r="N2460">
        <v>79612</v>
      </c>
      <c r="O2460" t="s">
        <v>2478</v>
      </c>
      <c r="P2460" s="9">
        <v>166555</v>
      </c>
      <c r="Q2460" s="9">
        <v>31653</v>
      </c>
      <c r="R2460" s="9">
        <v>198208</v>
      </c>
      <c r="S2460" s="9">
        <v>-69547</v>
      </c>
      <c r="T2460" s="10">
        <v>71938</v>
      </c>
      <c r="U2460" s="10">
        <v>1689</v>
      </c>
    </row>
    <row r="2461" spans="1:21" x14ac:dyDescent="0.35">
      <c r="A2461" t="s">
        <v>15</v>
      </c>
      <c r="B2461" t="s">
        <v>16</v>
      </c>
      <c r="C2461" t="s">
        <v>21</v>
      </c>
      <c r="D2461">
        <v>159738</v>
      </c>
      <c r="E2461">
        <v>18804</v>
      </c>
      <c r="F2461">
        <v>39405</v>
      </c>
      <c r="G2461">
        <v>-131075</v>
      </c>
      <c r="H2461">
        <v>86872</v>
      </c>
      <c r="I2461">
        <v>88185</v>
      </c>
      <c r="J2461">
        <v>2389</v>
      </c>
      <c r="K2461">
        <v>555599</v>
      </c>
      <c r="L2461">
        <v>200462</v>
      </c>
      <c r="M2461">
        <v>-63738</v>
      </c>
      <c r="N2461">
        <v>122017</v>
      </c>
      <c r="O2461" t="s">
        <v>2479</v>
      </c>
      <c r="P2461" s="9">
        <v>261121</v>
      </c>
      <c r="Q2461" s="9">
        <v>22058</v>
      </c>
      <c r="R2461" s="9">
        <v>283179</v>
      </c>
      <c r="S2461" s="9">
        <v>-164566</v>
      </c>
      <c r="T2461" s="10">
        <v>61937</v>
      </c>
      <c r="U2461" s="10">
        <v>984</v>
      </c>
    </row>
    <row r="2462" spans="1:21" x14ac:dyDescent="0.35">
      <c r="A2462" t="s">
        <v>15</v>
      </c>
      <c r="B2462" t="s">
        <v>20</v>
      </c>
      <c r="C2462" t="s">
        <v>21</v>
      </c>
      <c r="D2462">
        <v>229700</v>
      </c>
      <c r="E2462">
        <v>28267</v>
      </c>
      <c r="F2462">
        <v>32351</v>
      </c>
      <c r="G2462">
        <v>-228433</v>
      </c>
      <c r="H2462">
        <v>61885</v>
      </c>
      <c r="I2462">
        <v>55799</v>
      </c>
      <c r="J2462">
        <v>925</v>
      </c>
      <c r="K2462">
        <v>527399</v>
      </c>
      <c r="L2462">
        <v>228726</v>
      </c>
      <c r="M2462">
        <v>-88749</v>
      </c>
      <c r="N2462">
        <v>148940</v>
      </c>
      <c r="O2462" t="s">
        <v>2480</v>
      </c>
      <c r="P2462" s="9">
        <v>149980</v>
      </c>
      <c r="Q2462" s="9">
        <v>28183</v>
      </c>
      <c r="R2462" s="9">
        <v>178163</v>
      </c>
      <c r="S2462" s="9">
        <v>-35725</v>
      </c>
      <c r="T2462" s="10">
        <v>53754</v>
      </c>
      <c r="U2462" s="10">
        <v>1607</v>
      </c>
    </row>
    <row r="2463" spans="1:21" x14ac:dyDescent="0.35">
      <c r="A2463" t="s">
        <v>15</v>
      </c>
      <c r="B2463" t="s">
        <v>16</v>
      </c>
      <c r="C2463" t="s">
        <v>21</v>
      </c>
      <c r="D2463">
        <v>256360</v>
      </c>
      <c r="E2463">
        <v>22781</v>
      </c>
      <c r="F2463">
        <v>49424</v>
      </c>
      <c r="G2463">
        <v>-242056</v>
      </c>
      <c r="H2463">
        <v>86509</v>
      </c>
      <c r="I2463">
        <v>78387</v>
      </c>
      <c r="J2463">
        <v>2304</v>
      </c>
      <c r="K2463">
        <v>829629</v>
      </c>
      <c r="L2463">
        <v>273600</v>
      </c>
      <c r="M2463">
        <v>-227260</v>
      </c>
      <c r="N2463">
        <v>224075</v>
      </c>
      <c r="O2463" t="s">
        <v>2481</v>
      </c>
      <c r="P2463" s="9">
        <v>291002</v>
      </c>
      <c r="Q2463" s="9">
        <v>35049</v>
      </c>
      <c r="R2463" s="9">
        <v>326051</v>
      </c>
      <c r="S2463" s="9">
        <v>-95484</v>
      </c>
      <c r="T2463" s="10">
        <v>98232</v>
      </c>
      <c r="U2463" s="10">
        <v>1763</v>
      </c>
    </row>
    <row r="2464" spans="1:21" x14ac:dyDescent="0.35">
      <c r="A2464" t="s">
        <v>15</v>
      </c>
      <c r="B2464" t="s">
        <v>20</v>
      </c>
      <c r="C2464" t="s">
        <v>21</v>
      </c>
      <c r="D2464">
        <v>256075</v>
      </c>
      <c r="E2464">
        <v>13757</v>
      </c>
      <c r="F2464">
        <v>37389</v>
      </c>
      <c r="G2464">
        <v>-228845</v>
      </c>
      <c r="H2464">
        <v>78376</v>
      </c>
      <c r="I2464">
        <v>80644</v>
      </c>
      <c r="J2464">
        <v>1500</v>
      </c>
      <c r="K2464">
        <v>939604</v>
      </c>
      <c r="L2464">
        <v>127845</v>
      </c>
      <c r="M2464">
        <v>-152745</v>
      </c>
      <c r="N2464">
        <v>169737</v>
      </c>
      <c r="O2464" t="s">
        <v>2482</v>
      </c>
      <c r="P2464" s="9">
        <v>312904</v>
      </c>
      <c r="Q2464" s="9">
        <v>17275</v>
      </c>
      <c r="R2464" s="9">
        <v>330179</v>
      </c>
      <c r="S2464" s="9">
        <v>-196793</v>
      </c>
      <c r="T2464" s="10">
        <v>69467</v>
      </c>
      <c r="U2464" s="10">
        <v>1401</v>
      </c>
    </row>
    <row r="2465" spans="1:21" x14ac:dyDescent="0.35">
      <c r="A2465" t="s">
        <v>15</v>
      </c>
      <c r="B2465" t="s">
        <v>16</v>
      </c>
      <c r="C2465" t="s">
        <v>17</v>
      </c>
      <c r="D2465">
        <v>219777</v>
      </c>
      <c r="E2465">
        <v>32901</v>
      </c>
      <c r="F2465">
        <v>34347</v>
      </c>
      <c r="G2465">
        <v>-184787</v>
      </c>
      <c r="H2465">
        <v>102238</v>
      </c>
      <c r="I2465">
        <v>101225</v>
      </c>
      <c r="J2465">
        <v>1338</v>
      </c>
      <c r="K2465">
        <v>484365</v>
      </c>
      <c r="L2465">
        <v>235454</v>
      </c>
      <c r="M2465">
        <v>-136719</v>
      </c>
      <c r="N2465">
        <v>189655</v>
      </c>
      <c r="O2465" t="s">
        <v>2483</v>
      </c>
      <c r="P2465" s="9">
        <v>188222</v>
      </c>
      <c r="Q2465" s="9">
        <v>18855</v>
      </c>
      <c r="R2465" s="9">
        <v>207077</v>
      </c>
      <c r="S2465" s="9">
        <v>-70504</v>
      </c>
      <c r="T2465" s="10">
        <v>80492</v>
      </c>
      <c r="U2465" s="10">
        <v>1304</v>
      </c>
    </row>
    <row r="2466" spans="1:21" x14ac:dyDescent="0.35">
      <c r="A2466" t="s">
        <v>15</v>
      </c>
      <c r="B2466" t="s">
        <v>20</v>
      </c>
      <c r="C2466" t="s">
        <v>17</v>
      </c>
      <c r="D2466">
        <v>299683</v>
      </c>
      <c r="E2466">
        <v>29942</v>
      </c>
      <c r="F2466">
        <v>39352</v>
      </c>
      <c r="G2466">
        <v>-251080</v>
      </c>
      <c r="H2466">
        <v>117897</v>
      </c>
      <c r="I2466">
        <v>115610</v>
      </c>
      <c r="J2466">
        <v>2923</v>
      </c>
      <c r="K2466">
        <v>985170</v>
      </c>
      <c r="L2466">
        <v>361303</v>
      </c>
      <c r="M2466">
        <v>-321846</v>
      </c>
      <c r="N2466">
        <v>155393</v>
      </c>
      <c r="O2466" t="s">
        <v>2484</v>
      </c>
      <c r="P2466" s="9">
        <v>205395</v>
      </c>
      <c r="Q2466" s="9">
        <v>21031</v>
      </c>
      <c r="R2466" s="9">
        <v>226426</v>
      </c>
      <c r="S2466" s="9">
        <v>-106773</v>
      </c>
      <c r="T2466" s="10">
        <v>78622</v>
      </c>
      <c r="U2466" s="10">
        <v>2294</v>
      </c>
    </row>
    <row r="2467" spans="1:21" x14ac:dyDescent="0.35">
      <c r="A2467" t="s">
        <v>15</v>
      </c>
      <c r="B2467" t="s">
        <v>20</v>
      </c>
      <c r="C2467" t="s">
        <v>17</v>
      </c>
      <c r="D2467">
        <v>248745</v>
      </c>
      <c r="E2467">
        <v>35021</v>
      </c>
      <c r="F2467">
        <v>57012</v>
      </c>
      <c r="G2467">
        <v>-227489</v>
      </c>
      <c r="H2467">
        <v>113289</v>
      </c>
      <c r="I2467">
        <v>105973</v>
      </c>
      <c r="J2467">
        <v>2929</v>
      </c>
      <c r="K2467">
        <v>848945</v>
      </c>
      <c r="L2467">
        <v>279005</v>
      </c>
      <c r="M2467">
        <v>-286077</v>
      </c>
      <c r="N2467">
        <v>86412</v>
      </c>
      <c r="O2467" t="s">
        <v>2485</v>
      </c>
      <c r="P2467" s="9">
        <v>224097</v>
      </c>
      <c r="Q2467" s="9">
        <v>24976</v>
      </c>
      <c r="R2467" s="9">
        <v>249073</v>
      </c>
      <c r="S2467" s="9">
        <v>-76497</v>
      </c>
      <c r="T2467" s="10">
        <v>121175</v>
      </c>
      <c r="U2467" s="10">
        <v>1589</v>
      </c>
    </row>
    <row r="2468" spans="1:21" x14ac:dyDescent="0.35">
      <c r="A2468" t="s">
        <v>15</v>
      </c>
      <c r="B2468" t="s">
        <v>16</v>
      </c>
      <c r="C2468" t="s">
        <v>21</v>
      </c>
      <c r="D2468">
        <v>184339</v>
      </c>
      <c r="E2468">
        <v>24738</v>
      </c>
      <c r="F2468">
        <v>19760</v>
      </c>
      <c r="G2468">
        <v>-148869</v>
      </c>
      <c r="H2468">
        <v>79968</v>
      </c>
      <c r="I2468">
        <v>75425</v>
      </c>
      <c r="J2468">
        <v>1004</v>
      </c>
      <c r="K2468">
        <v>374928</v>
      </c>
      <c r="L2468">
        <v>125441</v>
      </c>
      <c r="M2468">
        <v>-91309</v>
      </c>
      <c r="N2468">
        <v>130632</v>
      </c>
      <c r="O2468" t="s">
        <v>2486</v>
      </c>
      <c r="P2468" s="9">
        <v>184881</v>
      </c>
      <c r="Q2468" s="9">
        <v>19457</v>
      </c>
      <c r="R2468" s="9">
        <v>204338</v>
      </c>
      <c r="S2468" s="9">
        <v>-55272</v>
      </c>
      <c r="T2468" s="10">
        <v>76479</v>
      </c>
      <c r="U2468" s="10">
        <v>2228</v>
      </c>
    </row>
    <row r="2469" spans="1:21" x14ac:dyDescent="0.35">
      <c r="A2469" t="s">
        <v>15</v>
      </c>
      <c r="B2469" t="s">
        <v>16</v>
      </c>
      <c r="C2469" t="s">
        <v>17</v>
      </c>
      <c r="D2469">
        <v>290943</v>
      </c>
      <c r="E2469">
        <v>24141</v>
      </c>
      <c r="F2469">
        <v>57076</v>
      </c>
      <c r="G2469">
        <v>-278111</v>
      </c>
      <c r="H2469">
        <v>94049</v>
      </c>
      <c r="I2469">
        <v>98119</v>
      </c>
      <c r="J2469">
        <v>2334</v>
      </c>
      <c r="K2469">
        <v>1103890</v>
      </c>
      <c r="L2469">
        <v>229058</v>
      </c>
      <c r="M2469">
        <v>-186041</v>
      </c>
      <c r="N2469">
        <v>184170</v>
      </c>
      <c r="O2469" t="s">
        <v>2487</v>
      </c>
      <c r="P2469" s="9">
        <v>257436</v>
      </c>
      <c r="Q2469" s="9">
        <v>42367</v>
      </c>
      <c r="R2469" s="9">
        <v>299803</v>
      </c>
      <c r="S2469" s="9">
        <v>-145709</v>
      </c>
      <c r="T2469" s="10">
        <v>79611</v>
      </c>
      <c r="U2469" s="10">
        <v>1026</v>
      </c>
    </row>
    <row r="2470" spans="1:21" x14ac:dyDescent="0.35">
      <c r="A2470" t="s">
        <v>15</v>
      </c>
      <c r="B2470" t="s">
        <v>20</v>
      </c>
      <c r="C2470" t="s">
        <v>21</v>
      </c>
      <c r="D2470">
        <v>264272</v>
      </c>
      <c r="E2470">
        <v>32035</v>
      </c>
      <c r="F2470">
        <v>42135</v>
      </c>
      <c r="G2470">
        <v>-222007</v>
      </c>
      <c r="H2470">
        <v>116435</v>
      </c>
      <c r="I2470">
        <v>108103</v>
      </c>
      <c r="J2470">
        <v>1550</v>
      </c>
      <c r="K2470">
        <v>752189</v>
      </c>
      <c r="L2470">
        <v>228480</v>
      </c>
      <c r="M2470">
        <v>-135623</v>
      </c>
      <c r="N2470">
        <v>152521</v>
      </c>
      <c r="O2470" t="s">
        <v>2488</v>
      </c>
      <c r="P2470" s="9">
        <v>204716</v>
      </c>
      <c r="Q2470" s="9">
        <v>36515</v>
      </c>
      <c r="R2470" s="9">
        <v>241231</v>
      </c>
      <c r="S2470" s="9">
        <v>-55886</v>
      </c>
      <c r="T2470" s="10">
        <v>92306</v>
      </c>
      <c r="U2470" s="10">
        <v>1472</v>
      </c>
    </row>
    <row r="2471" spans="1:21" x14ac:dyDescent="0.35">
      <c r="A2471" t="s">
        <v>15</v>
      </c>
      <c r="B2471" t="s">
        <v>16</v>
      </c>
      <c r="C2471" t="s">
        <v>21</v>
      </c>
      <c r="D2471">
        <v>263745</v>
      </c>
      <c r="E2471">
        <v>32369</v>
      </c>
      <c r="F2471">
        <v>53510</v>
      </c>
      <c r="G2471">
        <v>-234850</v>
      </c>
      <c r="H2471">
        <v>114774</v>
      </c>
      <c r="I2471">
        <v>103580</v>
      </c>
      <c r="J2471">
        <v>3103</v>
      </c>
      <c r="K2471">
        <v>626054</v>
      </c>
      <c r="L2471">
        <v>305318</v>
      </c>
      <c r="M2471">
        <v>-87757</v>
      </c>
      <c r="N2471">
        <v>83537</v>
      </c>
      <c r="O2471" t="s">
        <v>2489</v>
      </c>
      <c r="P2471" s="9">
        <v>245355</v>
      </c>
      <c r="Q2471" s="9">
        <v>35235</v>
      </c>
      <c r="R2471" s="9">
        <v>280590</v>
      </c>
      <c r="S2471" s="9">
        <v>-83373</v>
      </c>
      <c r="T2471" s="10">
        <v>87403</v>
      </c>
      <c r="U2471" s="10">
        <v>1799</v>
      </c>
    </row>
    <row r="2472" spans="1:21" x14ac:dyDescent="0.35">
      <c r="A2472" t="s">
        <v>15</v>
      </c>
      <c r="B2472" t="s">
        <v>20</v>
      </c>
      <c r="C2472" t="s">
        <v>17</v>
      </c>
      <c r="D2472">
        <v>184633</v>
      </c>
      <c r="E2472">
        <v>32243</v>
      </c>
      <c r="F2472">
        <v>45805</v>
      </c>
      <c r="G2472">
        <v>-173810</v>
      </c>
      <c r="H2472">
        <v>88871</v>
      </c>
      <c r="I2472">
        <v>87024</v>
      </c>
      <c r="J2472">
        <v>2132</v>
      </c>
      <c r="K2472">
        <v>529566</v>
      </c>
      <c r="L2472">
        <v>251079</v>
      </c>
      <c r="M2472">
        <v>-67818</v>
      </c>
      <c r="N2472">
        <v>102176</v>
      </c>
      <c r="O2472" t="s">
        <v>2490</v>
      </c>
      <c r="P2472" s="9">
        <v>223930</v>
      </c>
      <c r="Q2472" s="9">
        <v>28907</v>
      </c>
      <c r="R2472" s="9">
        <v>252837</v>
      </c>
      <c r="S2472" s="9">
        <v>-125714</v>
      </c>
      <c r="T2472" s="10">
        <v>92660</v>
      </c>
      <c r="U2472" s="10">
        <v>1524</v>
      </c>
    </row>
    <row r="2473" spans="1:21" x14ac:dyDescent="0.35">
      <c r="A2473" t="s">
        <v>15</v>
      </c>
      <c r="B2473" t="s">
        <v>20</v>
      </c>
      <c r="C2473" t="s">
        <v>21</v>
      </c>
      <c r="D2473">
        <v>184433</v>
      </c>
      <c r="E2473">
        <v>19258</v>
      </c>
      <c r="F2473">
        <v>42988</v>
      </c>
      <c r="G2473">
        <v>-159659</v>
      </c>
      <c r="H2473">
        <v>87020</v>
      </c>
      <c r="I2473">
        <v>82710</v>
      </c>
      <c r="J2473">
        <v>2323</v>
      </c>
      <c r="K2473">
        <v>601120</v>
      </c>
      <c r="L2473">
        <v>199490</v>
      </c>
      <c r="M2473">
        <v>-205681</v>
      </c>
      <c r="N2473">
        <v>159832</v>
      </c>
      <c r="O2473" t="s">
        <v>2491</v>
      </c>
      <c r="P2473" s="9">
        <v>183046</v>
      </c>
      <c r="Q2473" s="9">
        <v>35057</v>
      </c>
      <c r="R2473" s="9">
        <v>218103</v>
      </c>
      <c r="S2473" s="9">
        <v>-46775</v>
      </c>
      <c r="T2473" s="10">
        <v>89615</v>
      </c>
      <c r="U2473" s="10">
        <v>2566</v>
      </c>
    </row>
    <row r="2474" spans="1:21" x14ac:dyDescent="0.35">
      <c r="A2474" t="s">
        <v>15</v>
      </c>
      <c r="B2474" t="s">
        <v>20</v>
      </c>
      <c r="C2474" t="s">
        <v>21</v>
      </c>
      <c r="D2474">
        <v>291698</v>
      </c>
      <c r="E2474">
        <v>38607</v>
      </c>
      <c r="F2474">
        <v>35245</v>
      </c>
      <c r="G2474">
        <v>-284824</v>
      </c>
      <c r="H2474">
        <v>80726</v>
      </c>
      <c r="I2474">
        <v>81380</v>
      </c>
      <c r="J2474">
        <v>1420</v>
      </c>
      <c r="K2474">
        <v>1101972</v>
      </c>
      <c r="L2474">
        <v>411499</v>
      </c>
      <c r="M2474">
        <v>-220215</v>
      </c>
      <c r="N2474">
        <v>210884</v>
      </c>
      <c r="O2474" t="s">
        <v>2492</v>
      </c>
      <c r="P2474" s="9">
        <v>140287</v>
      </c>
      <c r="Q2474" s="9">
        <v>11071</v>
      </c>
      <c r="R2474" s="9">
        <v>151358</v>
      </c>
      <c r="S2474" s="9">
        <v>-54845</v>
      </c>
      <c r="T2474" s="10">
        <v>54063</v>
      </c>
      <c r="U2474" s="10">
        <v>1562</v>
      </c>
    </row>
    <row r="2475" spans="1:21" x14ac:dyDescent="0.35">
      <c r="A2475" t="s">
        <v>15</v>
      </c>
      <c r="B2475" t="s">
        <v>16</v>
      </c>
      <c r="C2475" t="s">
        <v>21</v>
      </c>
      <c r="D2475">
        <v>217405</v>
      </c>
      <c r="E2475">
        <v>42581</v>
      </c>
      <c r="F2475">
        <v>52637</v>
      </c>
      <c r="G2475">
        <v>-178209</v>
      </c>
      <c r="H2475">
        <v>134414</v>
      </c>
      <c r="I2475">
        <v>134048</v>
      </c>
      <c r="J2475">
        <v>3789</v>
      </c>
      <c r="K2475">
        <v>550659</v>
      </c>
      <c r="L2475">
        <v>246954</v>
      </c>
      <c r="M2475">
        <v>-207779</v>
      </c>
      <c r="N2475">
        <v>154135</v>
      </c>
      <c r="O2475" t="s">
        <v>2493</v>
      </c>
      <c r="P2475" s="9">
        <v>160837</v>
      </c>
      <c r="Q2475" s="9">
        <v>17251</v>
      </c>
      <c r="R2475" s="9">
        <v>178088</v>
      </c>
      <c r="S2475" s="9">
        <v>-78276</v>
      </c>
      <c r="T2475" s="10">
        <v>57705</v>
      </c>
      <c r="U2475" s="10">
        <v>1145</v>
      </c>
    </row>
    <row r="2476" spans="1:21" x14ac:dyDescent="0.35">
      <c r="A2476" t="s">
        <v>15</v>
      </c>
      <c r="B2476" t="s">
        <v>20</v>
      </c>
      <c r="C2476" t="s">
        <v>21</v>
      </c>
      <c r="D2476">
        <v>234660</v>
      </c>
      <c r="E2476">
        <v>13300</v>
      </c>
      <c r="F2476">
        <v>38731</v>
      </c>
      <c r="G2476">
        <v>-215043</v>
      </c>
      <c r="H2476">
        <v>71648</v>
      </c>
      <c r="I2476">
        <v>70252</v>
      </c>
      <c r="J2476">
        <v>1890</v>
      </c>
      <c r="K2476">
        <v>913707</v>
      </c>
      <c r="L2476">
        <v>428364</v>
      </c>
      <c r="M2476">
        <v>-216834</v>
      </c>
      <c r="N2476">
        <v>156705</v>
      </c>
      <c r="O2476" t="s">
        <v>2494</v>
      </c>
      <c r="P2476" s="9">
        <v>304336</v>
      </c>
      <c r="Q2476" s="9">
        <v>27603</v>
      </c>
      <c r="R2476" s="9">
        <v>331939</v>
      </c>
      <c r="S2476" s="9">
        <v>-76274</v>
      </c>
      <c r="T2476" s="10">
        <v>132274</v>
      </c>
      <c r="U2476" s="10">
        <v>2918</v>
      </c>
    </row>
    <row r="2477" spans="1:21" x14ac:dyDescent="0.35">
      <c r="A2477" t="s">
        <v>15</v>
      </c>
      <c r="B2477" t="s">
        <v>20</v>
      </c>
      <c r="C2477" t="s">
        <v>21</v>
      </c>
      <c r="D2477">
        <v>172554</v>
      </c>
      <c r="E2477">
        <v>8904</v>
      </c>
      <c r="F2477">
        <v>21405</v>
      </c>
      <c r="G2477">
        <v>-144583</v>
      </c>
      <c r="H2477">
        <v>58280</v>
      </c>
      <c r="I2477">
        <v>58779</v>
      </c>
      <c r="J2477">
        <v>623</v>
      </c>
      <c r="K2477">
        <v>418824</v>
      </c>
      <c r="L2477">
        <v>123748</v>
      </c>
      <c r="M2477">
        <v>-117021</v>
      </c>
      <c r="N2477">
        <v>125607</v>
      </c>
      <c r="O2477" t="s">
        <v>2495</v>
      </c>
      <c r="P2477" s="9">
        <v>230705</v>
      </c>
      <c r="Q2477" s="9">
        <v>31267</v>
      </c>
      <c r="R2477" s="9">
        <v>261972</v>
      </c>
      <c r="S2477" s="9">
        <v>-140593</v>
      </c>
      <c r="T2477" s="10">
        <v>104209</v>
      </c>
      <c r="U2477" s="10">
        <v>1444</v>
      </c>
    </row>
    <row r="2478" spans="1:21" x14ac:dyDescent="0.35">
      <c r="A2478" t="s">
        <v>15</v>
      </c>
      <c r="B2478" t="s">
        <v>16</v>
      </c>
      <c r="C2478" t="s">
        <v>21</v>
      </c>
      <c r="D2478">
        <v>214565</v>
      </c>
      <c r="E2478">
        <v>20307</v>
      </c>
      <c r="F2478">
        <v>23184</v>
      </c>
      <c r="G2478">
        <v>-208774</v>
      </c>
      <c r="H2478">
        <v>49282</v>
      </c>
      <c r="I2478">
        <v>47102</v>
      </c>
      <c r="J2478">
        <v>944</v>
      </c>
      <c r="K2478">
        <v>751409</v>
      </c>
      <c r="L2478">
        <v>328243</v>
      </c>
      <c r="M2478">
        <v>-114975</v>
      </c>
      <c r="N2478">
        <v>65661</v>
      </c>
      <c r="O2478" t="s">
        <v>2496</v>
      </c>
      <c r="P2478" s="9">
        <v>177035</v>
      </c>
      <c r="Q2478" s="9">
        <v>9234</v>
      </c>
      <c r="R2478" s="9">
        <v>186269</v>
      </c>
      <c r="S2478" s="9">
        <v>-62905</v>
      </c>
      <c r="T2478" s="10">
        <v>67997</v>
      </c>
      <c r="U2478" s="10">
        <v>977</v>
      </c>
    </row>
    <row r="2479" spans="1:21" x14ac:dyDescent="0.35">
      <c r="A2479" t="s">
        <v>15</v>
      </c>
      <c r="B2479" t="s">
        <v>16</v>
      </c>
      <c r="C2479" t="s">
        <v>21</v>
      </c>
      <c r="D2479">
        <v>160328</v>
      </c>
      <c r="E2479">
        <v>16072</v>
      </c>
      <c r="F2479">
        <v>36364</v>
      </c>
      <c r="G2479">
        <v>-137623</v>
      </c>
      <c r="H2479">
        <v>75141</v>
      </c>
      <c r="I2479">
        <v>74441</v>
      </c>
      <c r="J2479">
        <v>942</v>
      </c>
      <c r="K2479">
        <v>427070</v>
      </c>
      <c r="L2479">
        <v>140523</v>
      </c>
      <c r="M2479">
        <v>-103011</v>
      </c>
      <c r="N2479">
        <v>53504</v>
      </c>
      <c r="O2479" t="s">
        <v>2497</v>
      </c>
      <c r="P2479" s="9">
        <v>181497</v>
      </c>
      <c r="Q2479" s="9">
        <v>26997</v>
      </c>
      <c r="R2479" s="9">
        <v>208494</v>
      </c>
      <c r="S2479" s="9">
        <v>-110904</v>
      </c>
      <c r="T2479" s="10">
        <v>53571</v>
      </c>
      <c r="U2479" s="10">
        <v>1164</v>
      </c>
    </row>
    <row r="2480" spans="1:21" x14ac:dyDescent="0.35">
      <c r="A2480" t="s">
        <v>15</v>
      </c>
      <c r="B2480" t="s">
        <v>20</v>
      </c>
      <c r="C2480" t="s">
        <v>21</v>
      </c>
      <c r="D2480">
        <v>253140</v>
      </c>
      <c r="E2480">
        <v>29760</v>
      </c>
      <c r="F2480">
        <v>41763</v>
      </c>
      <c r="G2480">
        <v>-214886</v>
      </c>
      <c r="H2480">
        <v>109777</v>
      </c>
      <c r="I2480">
        <v>115029</v>
      </c>
      <c r="J2480">
        <v>2015</v>
      </c>
      <c r="K2480">
        <v>786683</v>
      </c>
      <c r="L2480">
        <v>341911</v>
      </c>
      <c r="M2480">
        <v>-122823</v>
      </c>
      <c r="N2480">
        <v>173634</v>
      </c>
      <c r="O2480" t="s">
        <v>2498</v>
      </c>
      <c r="P2480" s="9">
        <v>227866</v>
      </c>
      <c r="Q2480" s="9">
        <v>46036</v>
      </c>
      <c r="R2480" s="9">
        <v>273902</v>
      </c>
      <c r="S2480" s="9">
        <v>-133009</v>
      </c>
      <c r="T2480" s="10">
        <v>91522</v>
      </c>
      <c r="U2480" s="10">
        <v>1189</v>
      </c>
    </row>
    <row r="2481" spans="1:21" x14ac:dyDescent="0.35">
      <c r="A2481" t="s">
        <v>15</v>
      </c>
      <c r="B2481" t="s">
        <v>16</v>
      </c>
      <c r="C2481" t="s">
        <v>21</v>
      </c>
      <c r="D2481">
        <v>187734</v>
      </c>
      <c r="E2481">
        <v>35408</v>
      </c>
      <c r="F2481">
        <v>29982</v>
      </c>
      <c r="G2481">
        <v>-176812</v>
      </c>
      <c r="H2481">
        <v>76312</v>
      </c>
      <c r="I2481">
        <v>80075</v>
      </c>
      <c r="J2481">
        <v>1826</v>
      </c>
      <c r="K2481">
        <v>533188</v>
      </c>
      <c r="L2481">
        <v>224420</v>
      </c>
      <c r="M2481">
        <v>-110820</v>
      </c>
      <c r="N2481">
        <v>107407</v>
      </c>
      <c r="O2481" t="s">
        <v>2499</v>
      </c>
      <c r="P2481" s="9">
        <v>232662</v>
      </c>
      <c r="Q2481" s="9">
        <v>43897</v>
      </c>
      <c r="R2481" s="9">
        <v>276559</v>
      </c>
      <c r="S2481" s="9">
        <v>-152294</v>
      </c>
      <c r="T2481" s="10">
        <v>102212</v>
      </c>
      <c r="U2481" s="10">
        <v>2368</v>
      </c>
    </row>
    <row r="2482" spans="1:21" x14ac:dyDescent="0.35">
      <c r="A2482" t="s">
        <v>15</v>
      </c>
      <c r="B2482" t="s">
        <v>16</v>
      </c>
      <c r="C2482" t="s">
        <v>21</v>
      </c>
      <c r="D2482">
        <v>168769</v>
      </c>
      <c r="E2482">
        <v>11339</v>
      </c>
      <c r="F2482">
        <v>32005</v>
      </c>
      <c r="G2482">
        <v>-150263</v>
      </c>
      <c r="H2482">
        <v>61850</v>
      </c>
      <c r="I2482">
        <v>55956</v>
      </c>
      <c r="J2482">
        <v>1264</v>
      </c>
      <c r="K2482">
        <v>577378</v>
      </c>
      <c r="L2482">
        <v>60639</v>
      </c>
      <c r="M2482">
        <v>-95691</v>
      </c>
      <c r="N2482">
        <v>92327</v>
      </c>
      <c r="O2482" t="s">
        <v>2500</v>
      </c>
      <c r="P2482" s="9">
        <v>187065</v>
      </c>
      <c r="Q2482" s="9">
        <v>12247</v>
      </c>
      <c r="R2482" s="9">
        <v>199312</v>
      </c>
      <c r="S2482" s="9">
        <v>-69054</v>
      </c>
      <c r="T2482" s="10">
        <v>49046</v>
      </c>
      <c r="U2482" s="10">
        <v>610</v>
      </c>
    </row>
    <row r="2483" spans="1:21" x14ac:dyDescent="0.35">
      <c r="A2483" t="s">
        <v>15</v>
      </c>
      <c r="B2483" t="s">
        <v>16</v>
      </c>
      <c r="C2483" t="s">
        <v>21</v>
      </c>
      <c r="D2483">
        <v>254785</v>
      </c>
      <c r="E2483">
        <v>25056</v>
      </c>
      <c r="F2483">
        <v>58960</v>
      </c>
      <c r="G2483">
        <v>-252277</v>
      </c>
      <c r="H2483">
        <v>86524</v>
      </c>
      <c r="I2483">
        <v>87871</v>
      </c>
      <c r="J2483">
        <v>1637</v>
      </c>
      <c r="K2483">
        <v>537614</v>
      </c>
      <c r="L2483">
        <v>194201</v>
      </c>
      <c r="M2483">
        <v>-205635</v>
      </c>
      <c r="N2483">
        <v>134174</v>
      </c>
      <c r="O2483" t="s">
        <v>2501</v>
      </c>
      <c r="P2483" s="9">
        <v>304349</v>
      </c>
      <c r="Q2483" s="9">
        <v>36470</v>
      </c>
      <c r="R2483" s="9">
        <v>340819</v>
      </c>
      <c r="S2483" s="9">
        <v>-76926</v>
      </c>
      <c r="T2483" s="10">
        <v>106335</v>
      </c>
      <c r="U2483" s="10">
        <v>2356</v>
      </c>
    </row>
    <row r="2484" spans="1:21" x14ac:dyDescent="0.35">
      <c r="A2484" t="s">
        <v>15</v>
      </c>
      <c r="B2484" t="s">
        <v>20</v>
      </c>
      <c r="C2484" t="s">
        <v>21</v>
      </c>
      <c r="D2484">
        <v>203113</v>
      </c>
      <c r="E2484">
        <v>38274</v>
      </c>
      <c r="F2484">
        <v>40512</v>
      </c>
      <c r="G2484">
        <v>-173868</v>
      </c>
      <c r="H2484">
        <v>108031</v>
      </c>
      <c r="I2484">
        <v>105742</v>
      </c>
      <c r="J2484">
        <v>2204</v>
      </c>
      <c r="K2484">
        <v>584450</v>
      </c>
      <c r="L2484">
        <v>131373</v>
      </c>
      <c r="M2484">
        <v>-102291</v>
      </c>
      <c r="N2484">
        <v>116437</v>
      </c>
      <c r="O2484" t="s">
        <v>2502</v>
      </c>
      <c r="P2484" s="9">
        <v>244342</v>
      </c>
      <c r="Q2484" s="9">
        <v>41595</v>
      </c>
      <c r="R2484" s="9">
        <v>285937</v>
      </c>
      <c r="S2484" s="9">
        <v>-133456</v>
      </c>
      <c r="T2484" s="10">
        <v>108688</v>
      </c>
      <c r="U2484" s="10">
        <v>1287</v>
      </c>
    </row>
    <row r="2485" spans="1:21" x14ac:dyDescent="0.35">
      <c r="A2485" t="s">
        <v>15</v>
      </c>
      <c r="B2485" t="s">
        <v>16</v>
      </c>
      <c r="C2485" t="s">
        <v>21</v>
      </c>
      <c r="D2485">
        <v>298014</v>
      </c>
      <c r="E2485">
        <v>23526</v>
      </c>
      <c r="F2485">
        <v>34464</v>
      </c>
      <c r="G2485">
        <v>-250994</v>
      </c>
      <c r="H2485">
        <v>105010</v>
      </c>
      <c r="I2485">
        <v>96980</v>
      </c>
      <c r="J2485">
        <v>2265</v>
      </c>
      <c r="K2485">
        <v>692235</v>
      </c>
      <c r="L2485">
        <v>288591</v>
      </c>
      <c r="M2485">
        <v>-161245</v>
      </c>
      <c r="N2485">
        <v>175365</v>
      </c>
      <c r="O2485" t="s">
        <v>2503</v>
      </c>
      <c r="P2485" s="9">
        <v>187224</v>
      </c>
      <c r="Q2485" s="9">
        <v>24659</v>
      </c>
      <c r="R2485" s="9">
        <v>211883</v>
      </c>
      <c r="S2485" s="9">
        <v>-81260</v>
      </c>
      <c r="T2485" s="10">
        <v>84744</v>
      </c>
      <c r="U2485" s="10">
        <v>1577</v>
      </c>
    </row>
    <row r="2486" spans="1:21" x14ac:dyDescent="0.35">
      <c r="A2486" t="s">
        <v>15</v>
      </c>
      <c r="B2486" t="s">
        <v>16</v>
      </c>
      <c r="C2486" t="s">
        <v>21</v>
      </c>
      <c r="D2486">
        <v>221759</v>
      </c>
      <c r="E2486">
        <v>25608</v>
      </c>
      <c r="F2486">
        <v>24725</v>
      </c>
      <c r="G2486">
        <v>-183947</v>
      </c>
      <c r="H2486">
        <v>88145</v>
      </c>
      <c r="I2486">
        <v>85472</v>
      </c>
      <c r="J2486">
        <v>2069</v>
      </c>
      <c r="K2486">
        <v>560827</v>
      </c>
      <c r="L2486">
        <v>219290</v>
      </c>
      <c r="M2486">
        <v>-202052</v>
      </c>
      <c r="N2486">
        <v>113404</v>
      </c>
      <c r="O2486" t="s">
        <v>2504</v>
      </c>
      <c r="P2486" s="9">
        <v>161323</v>
      </c>
      <c r="Q2486" s="9">
        <v>25719</v>
      </c>
      <c r="R2486" s="9">
        <v>187042</v>
      </c>
      <c r="S2486" s="9">
        <v>-62557</v>
      </c>
      <c r="T2486" s="10">
        <v>75760</v>
      </c>
      <c r="U2486" s="10">
        <v>861</v>
      </c>
    </row>
    <row r="2487" spans="1:21" x14ac:dyDescent="0.35">
      <c r="A2487" t="s">
        <v>15</v>
      </c>
      <c r="B2487" t="s">
        <v>16</v>
      </c>
      <c r="C2487" t="s">
        <v>17</v>
      </c>
      <c r="D2487">
        <v>297398</v>
      </c>
      <c r="E2487">
        <v>45194</v>
      </c>
      <c r="F2487">
        <v>50556</v>
      </c>
      <c r="G2487">
        <v>-293730</v>
      </c>
      <c r="H2487">
        <v>99418</v>
      </c>
      <c r="I2487">
        <v>93646</v>
      </c>
      <c r="J2487">
        <v>1126</v>
      </c>
      <c r="K2487">
        <v>1070915</v>
      </c>
      <c r="L2487">
        <v>346108</v>
      </c>
      <c r="M2487">
        <v>-168875</v>
      </c>
      <c r="N2487">
        <v>169649</v>
      </c>
      <c r="O2487" t="s">
        <v>2505</v>
      </c>
      <c r="P2487" s="9">
        <v>191531</v>
      </c>
      <c r="Q2487" s="9">
        <v>38635</v>
      </c>
      <c r="R2487" s="9">
        <v>230166</v>
      </c>
      <c r="S2487" s="9">
        <v>-103547</v>
      </c>
      <c r="T2487" s="10">
        <v>81717</v>
      </c>
      <c r="U2487" s="10">
        <v>1248</v>
      </c>
    </row>
    <row r="2488" spans="1:21" x14ac:dyDescent="0.35">
      <c r="A2488" t="s">
        <v>15</v>
      </c>
      <c r="B2488" t="s">
        <v>16</v>
      </c>
      <c r="C2488" t="s">
        <v>21</v>
      </c>
      <c r="D2488">
        <v>164584</v>
      </c>
      <c r="E2488">
        <v>29062</v>
      </c>
      <c r="F2488">
        <v>38310</v>
      </c>
      <c r="G2488">
        <v>-153737</v>
      </c>
      <c r="H2488">
        <v>78219</v>
      </c>
      <c r="I2488">
        <v>78468</v>
      </c>
      <c r="J2488">
        <v>1389</v>
      </c>
      <c r="K2488">
        <v>511478</v>
      </c>
      <c r="L2488">
        <v>82170</v>
      </c>
      <c r="M2488">
        <v>-193102</v>
      </c>
      <c r="N2488">
        <v>64170</v>
      </c>
      <c r="O2488" t="s">
        <v>2506</v>
      </c>
      <c r="P2488" s="9">
        <v>238376</v>
      </c>
      <c r="Q2488" s="9">
        <v>29916</v>
      </c>
      <c r="R2488" s="9">
        <v>268292</v>
      </c>
      <c r="S2488" s="9">
        <v>-142656</v>
      </c>
      <c r="T2488" s="10">
        <v>111575</v>
      </c>
      <c r="U2488" s="10">
        <v>2194</v>
      </c>
    </row>
    <row r="2489" spans="1:21" x14ac:dyDescent="0.35">
      <c r="A2489" t="s">
        <v>15</v>
      </c>
      <c r="B2489" t="s">
        <v>20</v>
      </c>
      <c r="C2489" t="s">
        <v>21</v>
      </c>
      <c r="D2489">
        <v>152334</v>
      </c>
      <c r="E2489">
        <v>28129</v>
      </c>
      <c r="F2489">
        <v>34589</v>
      </c>
      <c r="G2489">
        <v>-139984</v>
      </c>
      <c r="H2489">
        <v>75068</v>
      </c>
      <c r="I2489">
        <v>73894</v>
      </c>
      <c r="J2489">
        <v>1560</v>
      </c>
      <c r="K2489">
        <v>403558</v>
      </c>
      <c r="L2489">
        <v>42875</v>
      </c>
      <c r="M2489">
        <v>-131154</v>
      </c>
      <c r="N2489">
        <v>127700</v>
      </c>
      <c r="O2489" t="s">
        <v>2507</v>
      </c>
      <c r="P2489" s="9">
        <v>223008</v>
      </c>
      <c r="Q2489" s="9">
        <v>19897</v>
      </c>
      <c r="R2489" s="9">
        <v>242905</v>
      </c>
      <c r="S2489" s="9">
        <v>-113482</v>
      </c>
      <c r="T2489" s="10">
        <v>92999</v>
      </c>
      <c r="U2489" s="10">
        <v>2357</v>
      </c>
    </row>
    <row r="2490" spans="1:21" x14ac:dyDescent="0.35">
      <c r="A2490" t="s">
        <v>15</v>
      </c>
      <c r="B2490" t="s">
        <v>16</v>
      </c>
      <c r="C2490" t="s">
        <v>21</v>
      </c>
      <c r="D2490">
        <v>240902</v>
      </c>
      <c r="E2490">
        <v>19022</v>
      </c>
      <c r="F2490">
        <v>30179</v>
      </c>
      <c r="G2490">
        <v>-212557</v>
      </c>
      <c r="H2490">
        <v>77546</v>
      </c>
      <c r="I2490">
        <v>78624</v>
      </c>
      <c r="J2490">
        <v>1525</v>
      </c>
      <c r="K2490">
        <v>820570</v>
      </c>
      <c r="L2490">
        <v>89951</v>
      </c>
      <c r="M2490">
        <v>-94334</v>
      </c>
      <c r="N2490">
        <v>156570</v>
      </c>
      <c r="O2490" t="s">
        <v>2508</v>
      </c>
      <c r="P2490" s="9">
        <v>172931</v>
      </c>
      <c r="Q2490" s="9">
        <v>9003</v>
      </c>
      <c r="R2490" s="9">
        <v>181934</v>
      </c>
      <c r="S2490" s="9">
        <v>-100800</v>
      </c>
      <c r="T2490" s="10">
        <v>29505</v>
      </c>
      <c r="U2490" s="10">
        <v>412</v>
      </c>
    </row>
    <row r="2491" spans="1:21" x14ac:dyDescent="0.35">
      <c r="A2491" t="s">
        <v>15</v>
      </c>
      <c r="B2491" t="s">
        <v>16</v>
      </c>
      <c r="C2491" t="s">
        <v>21</v>
      </c>
      <c r="D2491">
        <v>236230</v>
      </c>
      <c r="E2491">
        <v>38022</v>
      </c>
      <c r="F2491">
        <v>31416</v>
      </c>
      <c r="G2491">
        <v>-208204</v>
      </c>
      <c r="H2491">
        <v>97464</v>
      </c>
      <c r="I2491">
        <v>94973</v>
      </c>
      <c r="J2491">
        <v>1768</v>
      </c>
      <c r="K2491">
        <v>518745</v>
      </c>
      <c r="L2491">
        <v>111121</v>
      </c>
      <c r="M2491">
        <v>-169020</v>
      </c>
      <c r="N2491">
        <v>202927</v>
      </c>
      <c r="O2491" t="s">
        <v>2509</v>
      </c>
      <c r="P2491" s="9">
        <v>148039</v>
      </c>
      <c r="Q2491" s="9">
        <v>10393</v>
      </c>
      <c r="R2491" s="9">
        <v>158432</v>
      </c>
      <c r="S2491" s="9">
        <v>-86594</v>
      </c>
      <c r="T2491" s="10">
        <v>42079</v>
      </c>
      <c r="U2491" s="10">
        <v>1073</v>
      </c>
    </row>
    <row r="2492" spans="1:21" x14ac:dyDescent="0.35">
      <c r="A2492" t="s">
        <v>15</v>
      </c>
      <c r="B2492" t="s">
        <v>16</v>
      </c>
      <c r="C2492" t="s">
        <v>21</v>
      </c>
      <c r="D2492">
        <v>268637</v>
      </c>
      <c r="E2492">
        <v>20278</v>
      </c>
      <c r="F2492">
        <v>56958</v>
      </c>
      <c r="G2492">
        <v>-258158</v>
      </c>
      <c r="H2492">
        <v>87715</v>
      </c>
      <c r="I2492">
        <v>91182</v>
      </c>
      <c r="J2492">
        <v>970</v>
      </c>
      <c r="K2492">
        <v>834782</v>
      </c>
      <c r="L2492">
        <v>303991</v>
      </c>
      <c r="M2492">
        <v>-280590</v>
      </c>
      <c r="N2492">
        <v>168338</v>
      </c>
      <c r="O2492" t="s">
        <v>2510</v>
      </c>
      <c r="P2492" s="9">
        <v>297388</v>
      </c>
      <c r="Q2492" s="9">
        <v>33999</v>
      </c>
      <c r="R2492" s="9">
        <v>331387</v>
      </c>
      <c r="S2492" s="9">
        <v>-79536</v>
      </c>
      <c r="T2492" s="10">
        <v>104410</v>
      </c>
      <c r="U2492" s="10">
        <v>2760</v>
      </c>
    </row>
    <row r="2493" spans="1:21" x14ac:dyDescent="0.35">
      <c r="A2493" t="s">
        <v>15</v>
      </c>
      <c r="B2493" t="s">
        <v>20</v>
      </c>
      <c r="C2493" t="s">
        <v>21</v>
      </c>
      <c r="D2493">
        <v>288364</v>
      </c>
      <c r="E2493">
        <v>38992</v>
      </c>
      <c r="F2493">
        <v>56403</v>
      </c>
      <c r="G2493">
        <v>-256892</v>
      </c>
      <c r="H2493">
        <v>126867</v>
      </c>
      <c r="I2493">
        <v>123368</v>
      </c>
      <c r="J2493">
        <v>1732</v>
      </c>
      <c r="K2493">
        <v>1028658</v>
      </c>
      <c r="L2493">
        <v>236669</v>
      </c>
      <c r="M2493">
        <v>-398671</v>
      </c>
      <c r="N2493">
        <v>214153</v>
      </c>
      <c r="O2493" t="s">
        <v>2511</v>
      </c>
      <c r="P2493" s="9">
        <v>181147</v>
      </c>
      <c r="Q2493" s="9">
        <v>15854</v>
      </c>
      <c r="R2493" s="9">
        <v>197001</v>
      </c>
      <c r="S2493" s="9">
        <v>-99947</v>
      </c>
      <c r="T2493" s="10">
        <v>60098</v>
      </c>
      <c r="U2493" s="10">
        <v>993</v>
      </c>
    </row>
    <row r="2494" spans="1:21" x14ac:dyDescent="0.35">
      <c r="A2494" t="s">
        <v>15</v>
      </c>
      <c r="B2494" t="s">
        <v>20</v>
      </c>
      <c r="C2494" t="s">
        <v>21</v>
      </c>
      <c r="D2494">
        <v>244692</v>
      </c>
      <c r="E2494">
        <v>12242</v>
      </c>
      <c r="F2494">
        <v>25411</v>
      </c>
      <c r="G2494">
        <v>-232046</v>
      </c>
      <c r="H2494">
        <v>50299</v>
      </c>
      <c r="I2494">
        <v>47395</v>
      </c>
      <c r="J2494">
        <v>1349</v>
      </c>
      <c r="K2494">
        <v>894043</v>
      </c>
      <c r="L2494">
        <v>440963</v>
      </c>
      <c r="M2494">
        <v>-172425</v>
      </c>
      <c r="N2494">
        <v>190415</v>
      </c>
      <c r="O2494" t="s">
        <v>2512</v>
      </c>
      <c r="P2494" s="9">
        <v>166068</v>
      </c>
      <c r="Q2494" s="9">
        <v>14199</v>
      </c>
      <c r="R2494" s="9">
        <v>180267</v>
      </c>
      <c r="S2494" s="9">
        <v>-41888</v>
      </c>
      <c r="T2494" s="10">
        <v>39503</v>
      </c>
      <c r="U2494" s="10">
        <v>740</v>
      </c>
    </row>
    <row r="2495" spans="1:21" x14ac:dyDescent="0.35">
      <c r="A2495" t="s">
        <v>15</v>
      </c>
      <c r="B2495" t="s">
        <v>16</v>
      </c>
      <c r="C2495" t="s">
        <v>21</v>
      </c>
      <c r="D2495">
        <v>202431</v>
      </c>
      <c r="E2495">
        <v>16560</v>
      </c>
      <c r="F2495">
        <v>41482</v>
      </c>
      <c r="G2495">
        <v>-177675</v>
      </c>
      <c r="H2495">
        <v>82798</v>
      </c>
      <c r="I2495">
        <v>74781</v>
      </c>
      <c r="J2495">
        <v>753</v>
      </c>
      <c r="K2495">
        <v>771049</v>
      </c>
      <c r="L2495">
        <v>286432</v>
      </c>
      <c r="M2495">
        <v>-107871</v>
      </c>
      <c r="N2495">
        <v>159156</v>
      </c>
      <c r="O2495" t="s">
        <v>2513</v>
      </c>
      <c r="P2495" s="9">
        <v>302969</v>
      </c>
      <c r="Q2495" s="9">
        <v>59525</v>
      </c>
      <c r="R2495" s="9">
        <v>362494</v>
      </c>
      <c r="S2495" s="9">
        <v>-157638</v>
      </c>
      <c r="T2495" s="10">
        <v>161092</v>
      </c>
      <c r="U2495" s="10">
        <v>2794</v>
      </c>
    </row>
    <row r="2496" spans="1:21" x14ac:dyDescent="0.35">
      <c r="A2496" t="s">
        <v>15</v>
      </c>
      <c r="B2496" t="s">
        <v>20</v>
      </c>
      <c r="C2496" t="s">
        <v>17</v>
      </c>
      <c r="D2496">
        <v>271537</v>
      </c>
      <c r="E2496">
        <v>26764</v>
      </c>
      <c r="F2496">
        <v>48769</v>
      </c>
      <c r="G2496">
        <v>-269562</v>
      </c>
      <c r="H2496">
        <v>77508</v>
      </c>
      <c r="I2496">
        <v>73385</v>
      </c>
      <c r="J2496">
        <v>1705</v>
      </c>
      <c r="K2496">
        <v>749649</v>
      </c>
      <c r="L2496">
        <v>135832</v>
      </c>
      <c r="M2496">
        <v>-94458</v>
      </c>
      <c r="N2496">
        <v>198678</v>
      </c>
      <c r="O2496" t="s">
        <v>2514</v>
      </c>
      <c r="P2496" s="9">
        <v>276747</v>
      </c>
      <c r="Q2496" s="9">
        <v>35923</v>
      </c>
      <c r="R2496" s="9">
        <v>312670</v>
      </c>
      <c r="S2496" s="9">
        <v>-67719</v>
      </c>
      <c r="T2496" s="10">
        <v>122567</v>
      </c>
      <c r="U2496" s="10">
        <v>1938</v>
      </c>
    </row>
    <row r="2497" spans="1:21" x14ac:dyDescent="0.35">
      <c r="A2497" t="s">
        <v>15</v>
      </c>
      <c r="B2497" t="s">
        <v>16</v>
      </c>
      <c r="C2497" t="s">
        <v>21</v>
      </c>
      <c r="D2497">
        <v>255830</v>
      </c>
      <c r="E2497">
        <v>42719</v>
      </c>
      <c r="F2497">
        <v>35942</v>
      </c>
      <c r="G2497">
        <v>-229435</v>
      </c>
      <c r="H2497">
        <v>105056</v>
      </c>
      <c r="I2497">
        <v>97197</v>
      </c>
      <c r="J2497">
        <v>2636</v>
      </c>
      <c r="K2497">
        <v>594967</v>
      </c>
      <c r="L2497">
        <v>239069</v>
      </c>
      <c r="M2497">
        <v>-115968</v>
      </c>
      <c r="N2497">
        <v>120306</v>
      </c>
      <c r="O2497" t="s">
        <v>2515</v>
      </c>
      <c r="P2497" s="9">
        <v>183382</v>
      </c>
      <c r="Q2497" s="9">
        <v>15717</v>
      </c>
      <c r="R2497" s="9">
        <v>199099</v>
      </c>
      <c r="S2497" s="9">
        <v>-105837</v>
      </c>
      <c r="T2497" s="10">
        <v>55192</v>
      </c>
      <c r="U2497" s="10">
        <v>1026</v>
      </c>
    </row>
    <row r="2498" spans="1:21" x14ac:dyDescent="0.35">
      <c r="A2498" t="s">
        <v>15</v>
      </c>
      <c r="B2498" t="s">
        <v>16</v>
      </c>
      <c r="C2498" t="s">
        <v>17</v>
      </c>
      <c r="D2498">
        <v>174039</v>
      </c>
      <c r="E2498">
        <v>22372</v>
      </c>
      <c r="F2498">
        <v>24321</v>
      </c>
      <c r="G2498">
        <v>-161763</v>
      </c>
      <c r="H2498">
        <v>58969</v>
      </c>
      <c r="I2498">
        <v>61826</v>
      </c>
      <c r="J2498">
        <v>1785</v>
      </c>
      <c r="K2498">
        <v>628861</v>
      </c>
      <c r="L2498">
        <v>244186</v>
      </c>
      <c r="M2498">
        <v>-76703</v>
      </c>
      <c r="N2498">
        <v>136694</v>
      </c>
      <c r="O2498" t="s">
        <v>2516</v>
      </c>
      <c r="P2498" s="9">
        <v>258878</v>
      </c>
      <c r="Q2498" s="9">
        <v>40891</v>
      </c>
      <c r="R2498" s="9">
        <v>299769</v>
      </c>
      <c r="S2498" s="9">
        <v>-156297</v>
      </c>
      <c r="T2498" s="10">
        <v>139345</v>
      </c>
      <c r="U2498" s="10">
        <v>2851</v>
      </c>
    </row>
    <row r="2499" spans="1:21" x14ac:dyDescent="0.35">
      <c r="A2499" t="s">
        <v>15</v>
      </c>
      <c r="B2499" t="s">
        <v>16</v>
      </c>
      <c r="C2499" t="s">
        <v>21</v>
      </c>
      <c r="D2499">
        <v>209058</v>
      </c>
      <c r="E2499">
        <v>31144</v>
      </c>
      <c r="F2499">
        <v>42744</v>
      </c>
      <c r="G2499">
        <v>-190504</v>
      </c>
      <c r="H2499">
        <v>92442</v>
      </c>
      <c r="I2499">
        <v>90085</v>
      </c>
      <c r="J2499">
        <v>2563</v>
      </c>
      <c r="K2499">
        <v>698868</v>
      </c>
      <c r="L2499">
        <v>70584</v>
      </c>
      <c r="M2499">
        <v>-154558</v>
      </c>
      <c r="N2499">
        <v>114874</v>
      </c>
      <c r="O2499" t="s">
        <v>2517</v>
      </c>
      <c r="P2499" s="9">
        <v>183406</v>
      </c>
      <c r="Q2499" s="9">
        <v>22602</v>
      </c>
      <c r="R2499" s="9">
        <v>206008</v>
      </c>
      <c r="S2499" s="9">
        <v>-108724</v>
      </c>
      <c r="T2499" s="10">
        <v>78839</v>
      </c>
      <c r="U2499" s="10">
        <v>1874</v>
      </c>
    </row>
    <row r="2500" spans="1:21" x14ac:dyDescent="0.35">
      <c r="A2500" t="s">
        <v>15</v>
      </c>
      <c r="B2500" t="s">
        <v>20</v>
      </c>
      <c r="C2500" t="s">
        <v>21</v>
      </c>
      <c r="D2500">
        <v>221552</v>
      </c>
      <c r="E2500">
        <v>25888</v>
      </c>
      <c r="F2500">
        <v>39522</v>
      </c>
      <c r="G2500">
        <v>-199594</v>
      </c>
      <c r="H2500">
        <v>87368</v>
      </c>
      <c r="I2500">
        <v>85038</v>
      </c>
      <c r="J2500">
        <v>1410</v>
      </c>
      <c r="K2500">
        <v>625353</v>
      </c>
      <c r="L2500">
        <v>253515</v>
      </c>
      <c r="M2500">
        <v>-128647</v>
      </c>
      <c r="N2500">
        <v>140722</v>
      </c>
      <c r="O2500" t="s">
        <v>2518</v>
      </c>
      <c r="P2500" s="9">
        <v>296720</v>
      </c>
      <c r="Q2500" s="9">
        <v>41450</v>
      </c>
      <c r="R2500" s="9">
        <v>338170</v>
      </c>
      <c r="S2500" s="9">
        <v>-118930</v>
      </c>
      <c r="T2500" s="10">
        <v>103671</v>
      </c>
      <c r="U2500" s="10">
        <v>1856</v>
      </c>
    </row>
    <row r="2501" spans="1:21" x14ac:dyDescent="0.35">
      <c r="A2501" t="s">
        <v>15</v>
      </c>
      <c r="B2501" t="s">
        <v>16</v>
      </c>
      <c r="C2501" t="s">
        <v>21</v>
      </c>
      <c r="D2501">
        <v>246844</v>
      </c>
      <c r="E2501">
        <v>23624</v>
      </c>
      <c r="F2501">
        <v>54367</v>
      </c>
      <c r="G2501">
        <v>-212823</v>
      </c>
      <c r="H2501">
        <v>112012</v>
      </c>
      <c r="I2501">
        <v>109295</v>
      </c>
      <c r="J2501">
        <v>2880</v>
      </c>
      <c r="K2501">
        <v>867734</v>
      </c>
      <c r="L2501">
        <v>260778</v>
      </c>
      <c r="M2501">
        <v>-155953</v>
      </c>
      <c r="N2501">
        <v>128704</v>
      </c>
      <c r="O2501" t="s">
        <v>2519</v>
      </c>
      <c r="P2501" s="9">
        <v>165895</v>
      </c>
      <c r="Q2501" s="9">
        <v>12213</v>
      </c>
      <c r="R2501" s="9">
        <v>178108</v>
      </c>
      <c r="S2501" s="9">
        <v>-87637</v>
      </c>
      <c r="T2501" s="10">
        <v>39201</v>
      </c>
      <c r="U2501" s="10">
        <v>579</v>
      </c>
    </row>
    <row r="2502" spans="1:21" x14ac:dyDescent="0.35">
      <c r="A2502" t="s">
        <v>15</v>
      </c>
      <c r="B2502" t="s">
        <v>20</v>
      </c>
      <c r="C2502" t="s">
        <v>21</v>
      </c>
      <c r="D2502">
        <v>204431</v>
      </c>
      <c r="E2502">
        <v>29263</v>
      </c>
      <c r="F2502">
        <v>36872</v>
      </c>
      <c r="G2502">
        <v>-195627</v>
      </c>
      <c r="H2502">
        <v>74939</v>
      </c>
      <c r="I2502">
        <v>75291</v>
      </c>
      <c r="J2502">
        <v>1352</v>
      </c>
      <c r="K2502">
        <v>611176</v>
      </c>
      <c r="L2502">
        <v>215658</v>
      </c>
      <c r="M2502">
        <v>-160780</v>
      </c>
      <c r="N2502">
        <v>171859</v>
      </c>
      <c r="O2502" t="s">
        <v>2520</v>
      </c>
      <c r="P2502" s="9">
        <v>291365</v>
      </c>
      <c r="Q2502" s="9">
        <v>48547</v>
      </c>
      <c r="R2502" s="9">
        <v>339912</v>
      </c>
      <c r="S2502" s="9">
        <v>-138723</v>
      </c>
      <c r="T2502" s="10">
        <v>128051</v>
      </c>
      <c r="U2502" s="10">
        <v>3653</v>
      </c>
    </row>
    <row r="2503" spans="1:21" x14ac:dyDescent="0.35">
      <c r="A2503" t="s">
        <v>15</v>
      </c>
      <c r="B2503" t="s">
        <v>16</v>
      </c>
      <c r="C2503" t="s">
        <v>21</v>
      </c>
      <c r="D2503">
        <v>192212</v>
      </c>
      <c r="E2503">
        <v>20114</v>
      </c>
      <c r="F2503">
        <v>40468</v>
      </c>
      <c r="G2503">
        <v>-171688</v>
      </c>
      <c r="H2503">
        <v>81106</v>
      </c>
      <c r="I2503">
        <v>75374</v>
      </c>
      <c r="J2503">
        <v>760</v>
      </c>
      <c r="K2503">
        <v>427918</v>
      </c>
      <c r="L2503">
        <v>74154</v>
      </c>
      <c r="M2503">
        <v>-168131</v>
      </c>
      <c r="N2503">
        <v>151288</v>
      </c>
      <c r="O2503" t="s">
        <v>2521</v>
      </c>
      <c r="P2503" s="9">
        <v>258330</v>
      </c>
      <c r="Q2503" s="9">
        <v>24447</v>
      </c>
      <c r="R2503" s="9">
        <v>282777</v>
      </c>
      <c r="S2503" s="9">
        <v>-102798</v>
      </c>
      <c r="T2503" s="10">
        <v>90321</v>
      </c>
      <c r="U2503" s="10">
        <v>1714</v>
      </c>
    </row>
    <row r="2504" spans="1:21" x14ac:dyDescent="0.35">
      <c r="A2504" t="s">
        <v>15</v>
      </c>
      <c r="B2504" t="s">
        <v>16</v>
      </c>
      <c r="C2504" t="s">
        <v>17</v>
      </c>
      <c r="D2504">
        <v>296289</v>
      </c>
      <c r="E2504">
        <v>17631</v>
      </c>
      <c r="F2504">
        <v>71325</v>
      </c>
      <c r="G2504">
        <v>-285578</v>
      </c>
      <c r="H2504">
        <v>99667</v>
      </c>
      <c r="I2504">
        <v>97516</v>
      </c>
      <c r="J2504">
        <v>2881</v>
      </c>
      <c r="K2504">
        <v>725959</v>
      </c>
      <c r="L2504">
        <v>271384</v>
      </c>
      <c r="M2504">
        <v>-181883</v>
      </c>
      <c r="N2504">
        <v>178772</v>
      </c>
      <c r="O2504" t="s">
        <v>2522</v>
      </c>
      <c r="P2504" s="9">
        <v>286984</v>
      </c>
      <c r="Q2504" s="9">
        <v>44609</v>
      </c>
      <c r="R2504" s="9">
        <v>331593</v>
      </c>
      <c r="S2504" s="9">
        <v>-75290</v>
      </c>
      <c r="T2504" s="10">
        <v>162983</v>
      </c>
      <c r="U2504" s="10">
        <v>3134</v>
      </c>
    </row>
    <row r="2505" spans="1:21" x14ac:dyDescent="0.35">
      <c r="A2505" t="s">
        <v>15</v>
      </c>
      <c r="B2505" t="s">
        <v>16</v>
      </c>
      <c r="C2505" t="s">
        <v>21</v>
      </c>
      <c r="D2505">
        <v>299013</v>
      </c>
      <c r="E2505">
        <v>56455</v>
      </c>
      <c r="F2505">
        <v>73307</v>
      </c>
      <c r="G2505">
        <v>-256728</v>
      </c>
      <c r="H2505">
        <v>172047</v>
      </c>
      <c r="I2505">
        <v>171319</v>
      </c>
      <c r="J2505">
        <v>2232</v>
      </c>
      <c r="K2505">
        <v>619804</v>
      </c>
      <c r="L2505">
        <v>289509</v>
      </c>
      <c r="M2505">
        <v>-135520</v>
      </c>
      <c r="N2505">
        <v>103592</v>
      </c>
      <c r="O2505" t="s">
        <v>2523</v>
      </c>
      <c r="P2505" s="9">
        <v>174344</v>
      </c>
      <c r="Q2505" s="9">
        <v>8112</v>
      </c>
      <c r="R2505" s="9">
        <v>182456</v>
      </c>
      <c r="S2505" s="9">
        <v>-47045</v>
      </c>
      <c r="T2505" s="10">
        <v>64728</v>
      </c>
      <c r="U2505" s="10">
        <v>668</v>
      </c>
    </row>
    <row r="2506" spans="1:21" x14ac:dyDescent="0.35">
      <c r="A2506" t="s">
        <v>15</v>
      </c>
      <c r="B2506" t="s">
        <v>16</v>
      </c>
      <c r="C2506" t="s">
        <v>21</v>
      </c>
      <c r="D2506">
        <v>247135</v>
      </c>
      <c r="E2506">
        <v>25520</v>
      </c>
      <c r="F2506">
        <v>33900</v>
      </c>
      <c r="G2506">
        <v>-242803</v>
      </c>
      <c r="H2506">
        <v>63752</v>
      </c>
      <c r="I2506">
        <v>65260</v>
      </c>
      <c r="J2506">
        <v>1898</v>
      </c>
      <c r="K2506">
        <v>834644</v>
      </c>
      <c r="L2506">
        <v>204435</v>
      </c>
      <c r="M2506">
        <v>-101577</v>
      </c>
      <c r="N2506">
        <v>192976</v>
      </c>
      <c r="O2506" t="s">
        <v>2524</v>
      </c>
      <c r="P2506" s="9">
        <v>282573</v>
      </c>
      <c r="Q2506" s="9">
        <v>20113</v>
      </c>
      <c r="R2506" s="9">
        <v>302686</v>
      </c>
      <c r="S2506" s="9">
        <v>-90639</v>
      </c>
      <c r="T2506" s="10">
        <v>108794</v>
      </c>
      <c r="U2506" s="10">
        <v>1536</v>
      </c>
    </row>
    <row r="2507" spans="1:21" x14ac:dyDescent="0.35">
      <c r="A2507" t="s">
        <v>15</v>
      </c>
      <c r="B2507" t="s">
        <v>16</v>
      </c>
      <c r="C2507" t="s">
        <v>21</v>
      </c>
      <c r="D2507">
        <v>210119</v>
      </c>
      <c r="E2507">
        <v>17584</v>
      </c>
      <c r="F2507">
        <v>40522</v>
      </c>
      <c r="G2507">
        <v>-175660</v>
      </c>
      <c r="H2507">
        <v>92565</v>
      </c>
      <c r="I2507">
        <v>91764</v>
      </c>
      <c r="J2507">
        <v>2731</v>
      </c>
      <c r="K2507">
        <v>487191</v>
      </c>
      <c r="L2507">
        <v>152142</v>
      </c>
      <c r="M2507">
        <v>-104172</v>
      </c>
      <c r="N2507">
        <v>156170</v>
      </c>
      <c r="O2507" t="s">
        <v>2525</v>
      </c>
      <c r="P2507" s="9">
        <v>323855</v>
      </c>
      <c r="Q2507" s="9">
        <v>53150</v>
      </c>
      <c r="R2507" s="9">
        <v>377005</v>
      </c>
      <c r="S2507" s="9">
        <v>-205657</v>
      </c>
      <c r="T2507" s="10">
        <v>172138</v>
      </c>
      <c r="U2507" s="10">
        <v>4651</v>
      </c>
    </row>
    <row r="2508" spans="1:21" x14ac:dyDescent="0.35">
      <c r="A2508" t="s">
        <v>15</v>
      </c>
      <c r="B2508" t="s">
        <v>16</v>
      </c>
      <c r="C2508" t="s">
        <v>21</v>
      </c>
      <c r="D2508">
        <v>268339</v>
      </c>
      <c r="E2508">
        <v>37044</v>
      </c>
      <c r="F2508">
        <v>32692</v>
      </c>
      <c r="G2508">
        <v>-216129</v>
      </c>
      <c r="H2508">
        <v>121946</v>
      </c>
      <c r="I2508">
        <v>126204</v>
      </c>
      <c r="J2508">
        <v>3704</v>
      </c>
      <c r="K2508">
        <v>832350</v>
      </c>
      <c r="L2508">
        <v>188495</v>
      </c>
      <c r="M2508">
        <v>-203158</v>
      </c>
      <c r="N2508">
        <v>151499</v>
      </c>
      <c r="O2508" t="s">
        <v>2526</v>
      </c>
      <c r="P2508" s="9">
        <v>245146</v>
      </c>
      <c r="Q2508" s="9">
        <v>17287</v>
      </c>
      <c r="R2508" s="9">
        <v>262433</v>
      </c>
      <c r="S2508" s="9">
        <v>-73322</v>
      </c>
      <c r="T2508" s="10">
        <v>78432</v>
      </c>
      <c r="U2508" s="10">
        <v>2296</v>
      </c>
    </row>
    <row r="2509" spans="1:21" x14ac:dyDescent="0.35">
      <c r="A2509" t="s">
        <v>15</v>
      </c>
      <c r="B2509" t="s">
        <v>16</v>
      </c>
      <c r="C2509" t="s">
        <v>21</v>
      </c>
      <c r="D2509">
        <v>268920</v>
      </c>
      <c r="E2509">
        <v>17391</v>
      </c>
      <c r="F2509">
        <v>32245</v>
      </c>
      <c r="G2509">
        <v>-225048</v>
      </c>
      <c r="H2509">
        <v>93508</v>
      </c>
      <c r="I2509">
        <v>86124</v>
      </c>
      <c r="J2509">
        <v>2133</v>
      </c>
      <c r="K2509">
        <v>840603</v>
      </c>
      <c r="L2509">
        <v>400994</v>
      </c>
      <c r="M2509">
        <v>-200947</v>
      </c>
      <c r="N2509">
        <v>191230</v>
      </c>
      <c r="O2509" t="s">
        <v>2527</v>
      </c>
      <c r="P2509" s="9">
        <v>164940</v>
      </c>
      <c r="Q2509" s="9">
        <v>18320</v>
      </c>
      <c r="R2509" s="9">
        <v>183260</v>
      </c>
      <c r="S2509" s="9">
        <v>-71034</v>
      </c>
      <c r="T2509" s="10">
        <v>83317</v>
      </c>
      <c r="U2509" s="10">
        <v>1659</v>
      </c>
    </row>
    <row r="2510" spans="1:21" x14ac:dyDescent="0.35">
      <c r="A2510" t="s">
        <v>15</v>
      </c>
      <c r="B2510" t="s">
        <v>20</v>
      </c>
      <c r="C2510" t="s">
        <v>21</v>
      </c>
      <c r="D2510">
        <v>229766</v>
      </c>
      <c r="E2510">
        <v>35407</v>
      </c>
      <c r="F2510">
        <v>29240</v>
      </c>
      <c r="G2510">
        <v>-183968</v>
      </c>
      <c r="H2510">
        <v>110445</v>
      </c>
      <c r="I2510">
        <v>114838</v>
      </c>
      <c r="J2510">
        <v>2980</v>
      </c>
      <c r="K2510">
        <v>526690</v>
      </c>
      <c r="L2510">
        <v>89102</v>
      </c>
      <c r="M2510">
        <v>-131864</v>
      </c>
      <c r="N2510">
        <v>131278</v>
      </c>
      <c r="O2510" t="s">
        <v>2528</v>
      </c>
      <c r="P2510" s="9">
        <v>191058</v>
      </c>
      <c r="Q2510" s="9">
        <v>14106</v>
      </c>
      <c r="R2510" s="9">
        <v>205164</v>
      </c>
      <c r="S2510" s="9">
        <v>-81464</v>
      </c>
      <c r="T2510" s="10">
        <v>54855</v>
      </c>
      <c r="U2510" s="10">
        <v>1430</v>
      </c>
    </row>
    <row r="2511" spans="1:21" x14ac:dyDescent="0.35">
      <c r="A2511" t="s">
        <v>15</v>
      </c>
      <c r="B2511" t="s">
        <v>20</v>
      </c>
      <c r="C2511" t="s">
        <v>17</v>
      </c>
      <c r="D2511">
        <v>163823</v>
      </c>
      <c r="E2511">
        <v>18334</v>
      </c>
      <c r="F2511">
        <v>40192</v>
      </c>
      <c r="G2511">
        <v>-145593</v>
      </c>
      <c r="H2511">
        <v>76756</v>
      </c>
      <c r="I2511">
        <v>79123</v>
      </c>
      <c r="J2511">
        <v>1198</v>
      </c>
      <c r="K2511">
        <v>494996</v>
      </c>
      <c r="L2511">
        <v>216916</v>
      </c>
      <c r="M2511">
        <v>-185058</v>
      </c>
      <c r="N2511">
        <v>115557</v>
      </c>
      <c r="O2511" t="s">
        <v>2529</v>
      </c>
      <c r="P2511" s="9">
        <v>197007</v>
      </c>
      <c r="Q2511" s="9">
        <v>22863</v>
      </c>
      <c r="R2511" s="9">
        <v>219870</v>
      </c>
      <c r="S2511" s="9">
        <v>-65218</v>
      </c>
      <c r="T2511" s="10">
        <v>69624</v>
      </c>
      <c r="U2511" s="10">
        <v>1185</v>
      </c>
    </row>
    <row r="2512" spans="1:21" x14ac:dyDescent="0.35">
      <c r="A2512" t="s">
        <v>15</v>
      </c>
      <c r="B2512" t="s">
        <v>20</v>
      </c>
      <c r="C2512" t="s">
        <v>21</v>
      </c>
      <c r="D2512">
        <v>217452</v>
      </c>
      <c r="E2512">
        <v>32919</v>
      </c>
      <c r="F2512">
        <v>51450</v>
      </c>
      <c r="G2512">
        <v>-202961</v>
      </c>
      <c r="H2512">
        <v>98860</v>
      </c>
      <c r="I2512">
        <v>89077</v>
      </c>
      <c r="J2512">
        <v>2588</v>
      </c>
      <c r="K2512">
        <v>643233</v>
      </c>
      <c r="L2512">
        <v>293410</v>
      </c>
      <c r="M2512">
        <v>-104509</v>
      </c>
      <c r="N2512">
        <v>94520</v>
      </c>
      <c r="O2512" t="s">
        <v>2530</v>
      </c>
      <c r="P2512" s="9">
        <v>269086</v>
      </c>
      <c r="Q2512" s="9">
        <v>18421</v>
      </c>
      <c r="R2512" s="9">
        <v>287507</v>
      </c>
      <c r="S2512" s="9">
        <v>-169685</v>
      </c>
      <c r="T2512" s="10">
        <v>118798</v>
      </c>
      <c r="U2512" s="10">
        <v>2537</v>
      </c>
    </row>
    <row r="2513" spans="1:21" x14ac:dyDescent="0.35">
      <c r="A2513" t="s">
        <v>15</v>
      </c>
      <c r="B2513" t="s">
        <v>16</v>
      </c>
      <c r="C2513" t="s">
        <v>21</v>
      </c>
      <c r="D2513">
        <v>267386</v>
      </c>
      <c r="E2513">
        <v>17410</v>
      </c>
      <c r="F2513">
        <v>40406</v>
      </c>
      <c r="G2513">
        <v>-247988</v>
      </c>
      <c r="H2513">
        <v>77214</v>
      </c>
      <c r="I2513">
        <v>79494</v>
      </c>
      <c r="J2513">
        <v>1808</v>
      </c>
      <c r="K2513">
        <v>773102</v>
      </c>
      <c r="L2513">
        <v>197723</v>
      </c>
      <c r="M2513">
        <v>-270395</v>
      </c>
      <c r="N2513">
        <v>121311</v>
      </c>
      <c r="O2513" t="s">
        <v>2531</v>
      </c>
      <c r="P2513" s="9">
        <v>176936</v>
      </c>
      <c r="Q2513" s="9">
        <v>30083</v>
      </c>
      <c r="R2513" s="9">
        <v>207019</v>
      </c>
      <c r="S2513" s="9">
        <v>-100666</v>
      </c>
      <c r="T2513" s="10">
        <v>77862</v>
      </c>
      <c r="U2513" s="10">
        <v>2215</v>
      </c>
    </row>
    <row r="2514" spans="1:21" x14ac:dyDescent="0.35">
      <c r="A2514" t="s">
        <v>15</v>
      </c>
      <c r="B2514" t="s">
        <v>16</v>
      </c>
      <c r="C2514" t="s">
        <v>21</v>
      </c>
      <c r="D2514">
        <v>177096</v>
      </c>
      <c r="E2514">
        <v>21165</v>
      </c>
      <c r="F2514">
        <v>28262</v>
      </c>
      <c r="G2514">
        <v>-150874</v>
      </c>
      <c r="H2514">
        <v>75649</v>
      </c>
      <c r="I2514">
        <v>71621</v>
      </c>
      <c r="J2514">
        <v>1403</v>
      </c>
      <c r="K2514">
        <v>577295</v>
      </c>
      <c r="L2514">
        <v>201542</v>
      </c>
      <c r="M2514">
        <v>-135633</v>
      </c>
      <c r="N2514">
        <v>107204</v>
      </c>
      <c r="O2514" t="s">
        <v>2532</v>
      </c>
      <c r="P2514" s="9">
        <v>159794</v>
      </c>
      <c r="Q2514" s="9">
        <v>22190</v>
      </c>
      <c r="R2514" s="9">
        <v>181984</v>
      </c>
      <c r="S2514" s="9">
        <v>-53246</v>
      </c>
      <c r="T2514" s="10">
        <v>79264</v>
      </c>
      <c r="U2514" s="10">
        <v>1341</v>
      </c>
    </row>
    <row r="2515" spans="1:21" x14ac:dyDescent="0.35">
      <c r="A2515" t="s">
        <v>15</v>
      </c>
      <c r="B2515" t="s">
        <v>20</v>
      </c>
      <c r="C2515" t="s">
        <v>21</v>
      </c>
      <c r="D2515">
        <v>283256</v>
      </c>
      <c r="E2515">
        <v>40943</v>
      </c>
      <c r="F2515">
        <v>34142</v>
      </c>
      <c r="G2515">
        <v>-275167</v>
      </c>
      <c r="H2515">
        <v>83174</v>
      </c>
      <c r="I2515">
        <v>85974</v>
      </c>
      <c r="J2515">
        <v>1630</v>
      </c>
      <c r="K2515">
        <v>769247</v>
      </c>
      <c r="L2515">
        <v>86562</v>
      </c>
      <c r="M2515">
        <v>-176502</v>
      </c>
      <c r="N2515">
        <v>88840</v>
      </c>
      <c r="O2515" t="s">
        <v>2533</v>
      </c>
      <c r="P2515" s="9">
        <v>151320</v>
      </c>
      <c r="Q2515" s="9">
        <v>12209</v>
      </c>
      <c r="R2515" s="9">
        <v>163529</v>
      </c>
      <c r="S2515" s="9">
        <v>-82247</v>
      </c>
      <c r="T2515" s="10">
        <v>57644</v>
      </c>
      <c r="U2515" s="10">
        <v>734</v>
      </c>
    </row>
    <row r="2516" spans="1:21" x14ac:dyDescent="0.35">
      <c r="A2516" t="s">
        <v>15</v>
      </c>
      <c r="B2516" t="s">
        <v>16</v>
      </c>
      <c r="C2516" t="s">
        <v>21</v>
      </c>
      <c r="D2516">
        <v>297070</v>
      </c>
      <c r="E2516">
        <v>58271</v>
      </c>
      <c r="F2516">
        <v>63004</v>
      </c>
      <c r="G2516">
        <v>-265843</v>
      </c>
      <c r="H2516">
        <v>152502</v>
      </c>
      <c r="I2516">
        <v>149628</v>
      </c>
      <c r="J2516">
        <v>1738</v>
      </c>
      <c r="K2516">
        <v>996999</v>
      </c>
      <c r="L2516">
        <v>388002</v>
      </c>
      <c r="M2516">
        <v>-333399</v>
      </c>
      <c r="N2516">
        <v>214112</v>
      </c>
      <c r="O2516" t="s">
        <v>2534</v>
      </c>
      <c r="P2516" s="9">
        <v>266512</v>
      </c>
      <c r="Q2516" s="9">
        <v>46386</v>
      </c>
      <c r="R2516" s="9">
        <v>312898</v>
      </c>
      <c r="S2516" s="9">
        <v>-143203</v>
      </c>
      <c r="T2516" s="10">
        <v>130751</v>
      </c>
      <c r="U2516" s="10">
        <v>3471</v>
      </c>
    </row>
    <row r="2517" spans="1:21" x14ac:dyDescent="0.35">
      <c r="A2517" t="s">
        <v>15</v>
      </c>
      <c r="B2517" t="s">
        <v>20</v>
      </c>
      <c r="C2517" t="s">
        <v>21</v>
      </c>
      <c r="D2517">
        <v>267079</v>
      </c>
      <c r="E2517">
        <v>26917</v>
      </c>
      <c r="F2517">
        <v>38245</v>
      </c>
      <c r="G2517">
        <v>-232366</v>
      </c>
      <c r="H2517">
        <v>99875</v>
      </c>
      <c r="I2517">
        <v>101854</v>
      </c>
      <c r="J2517">
        <v>2407</v>
      </c>
      <c r="K2517">
        <v>756723</v>
      </c>
      <c r="L2517">
        <v>102853</v>
      </c>
      <c r="M2517">
        <v>-299407</v>
      </c>
      <c r="N2517">
        <v>232178</v>
      </c>
      <c r="O2517" t="s">
        <v>2535</v>
      </c>
      <c r="P2517" s="9">
        <v>266481</v>
      </c>
      <c r="Q2517" s="9">
        <v>49111</v>
      </c>
      <c r="R2517" s="9">
        <v>315592</v>
      </c>
      <c r="S2517" s="9">
        <v>-156745</v>
      </c>
      <c r="T2517" s="10">
        <v>81170</v>
      </c>
      <c r="U2517" s="10">
        <v>2298</v>
      </c>
    </row>
    <row r="2518" spans="1:21" x14ac:dyDescent="0.35">
      <c r="A2518" t="s">
        <v>15</v>
      </c>
      <c r="B2518" t="s">
        <v>16</v>
      </c>
      <c r="C2518" t="s">
        <v>17</v>
      </c>
      <c r="D2518">
        <v>170721</v>
      </c>
      <c r="E2518">
        <v>24201</v>
      </c>
      <c r="F2518">
        <v>42372</v>
      </c>
      <c r="G2518">
        <v>-157396</v>
      </c>
      <c r="H2518">
        <v>79898</v>
      </c>
      <c r="I2518">
        <v>77866</v>
      </c>
      <c r="J2518">
        <v>1745</v>
      </c>
      <c r="K2518">
        <v>595220</v>
      </c>
      <c r="L2518">
        <v>116418</v>
      </c>
      <c r="M2518">
        <v>-187059</v>
      </c>
      <c r="N2518">
        <v>64445</v>
      </c>
      <c r="O2518" t="s">
        <v>2536</v>
      </c>
      <c r="P2518" s="9">
        <v>257276</v>
      </c>
      <c r="Q2518" s="9">
        <v>19833</v>
      </c>
      <c r="R2518" s="9">
        <v>277109</v>
      </c>
      <c r="S2518" s="9">
        <v>-111734</v>
      </c>
      <c r="T2518" s="10">
        <v>84774</v>
      </c>
      <c r="U2518" s="10">
        <v>1288</v>
      </c>
    </row>
    <row r="2519" spans="1:21" x14ac:dyDescent="0.35">
      <c r="A2519" t="s">
        <v>15</v>
      </c>
      <c r="B2519" t="s">
        <v>16</v>
      </c>
      <c r="C2519" t="s">
        <v>17</v>
      </c>
      <c r="D2519">
        <v>204831</v>
      </c>
      <c r="E2519">
        <v>36313</v>
      </c>
      <c r="F2519">
        <v>43229</v>
      </c>
      <c r="G2519">
        <v>-175926</v>
      </c>
      <c r="H2519">
        <v>108447</v>
      </c>
      <c r="I2519">
        <v>102722</v>
      </c>
      <c r="J2519">
        <v>1416</v>
      </c>
      <c r="K2519">
        <v>426893</v>
      </c>
      <c r="L2519">
        <v>80789</v>
      </c>
      <c r="M2519">
        <v>-155154</v>
      </c>
      <c r="N2519">
        <v>162673</v>
      </c>
      <c r="O2519" t="s">
        <v>2537</v>
      </c>
      <c r="P2519" s="9">
        <v>169517</v>
      </c>
      <c r="Q2519" s="9">
        <v>29464</v>
      </c>
      <c r="R2519" s="9">
        <v>198981</v>
      </c>
      <c r="S2519" s="9">
        <v>-62807</v>
      </c>
      <c r="T2519" s="10">
        <v>84938</v>
      </c>
      <c r="U2519" s="10">
        <v>1468</v>
      </c>
    </row>
    <row r="2520" spans="1:21" x14ac:dyDescent="0.35">
      <c r="A2520" t="s">
        <v>15</v>
      </c>
      <c r="B2520" t="s">
        <v>20</v>
      </c>
      <c r="C2520" t="s">
        <v>21</v>
      </c>
      <c r="D2520">
        <v>162347</v>
      </c>
      <c r="E2520">
        <v>19980</v>
      </c>
      <c r="F2520">
        <v>35275</v>
      </c>
      <c r="G2520">
        <v>-146750</v>
      </c>
      <c r="H2520">
        <v>70852</v>
      </c>
      <c r="I2520">
        <v>73513</v>
      </c>
      <c r="J2520">
        <v>1467</v>
      </c>
      <c r="K2520">
        <v>510673</v>
      </c>
      <c r="L2520">
        <v>118017</v>
      </c>
      <c r="M2520">
        <v>-62017</v>
      </c>
      <c r="N2520">
        <v>105564</v>
      </c>
      <c r="O2520" t="s">
        <v>2538</v>
      </c>
      <c r="P2520" s="9">
        <v>168876</v>
      </c>
      <c r="Q2520" s="9">
        <v>18505</v>
      </c>
      <c r="R2520" s="9">
        <v>187381</v>
      </c>
      <c r="S2520" s="9">
        <v>-94762</v>
      </c>
      <c r="T2520" s="10">
        <v>71990</v>
      </c>
      <c r="U2520" s="10">
        <v>2109</v>
      </c>
    </row>
    <row r="2521" spans="1:21" x14ac:dyDescent="0.35">
      <c r="A2521" t="s">
        <v>15</v>
      </c>
      <c r="B2521" t="s">
        <v>16</v>
      </c>
      <c r="C2521" t="s">
        <v>21</v>
      </c>
      <c r="D2521">
        <v>253783</v>
      </c>
      <c r="E2521">
        <v>23429</v>
      </c>
      <c r="F2521">
        <v>62513</v>
      </c>
      <c r="G2521">
        <v>-208112</v>
      </c>
      <c r="H2521">
        <v>131613</v>
      </c>
      <c r="I2521">
        <v>123856</v>
      </c>
      <c r="J2521">
        <v>2189</v>
      </c>
      <c r="K2521">
        <v>592731</v>
      </c>
      <c r="L2521">
        <v>109834</v>
      </c>
      <c r="M2521">
        <v>-90411</v>
      </c>
      <c r="N2521">
        <v>144083</v>
      </c>
      <c r="O2521" t="s">
        <v>2539</v>
      </c>
      <c r="P2521" s="9">
        <v>265122</v>
      </c>
      <c r="Q2521" s="9">
        <v>47865</v>
      </c>
      <c r="R2521" s="9">
        <v>312987</v>
      </c>
      <c r="S2521" s="9">
        <v>-74199</v>
      </c>
      <c r="T2521" s="10">
        <v>103985</v>
      </c>
      <c r="U2521" s="10">
        <v>2180</v>
      </c>
    </row>
    <row r="2522" spans="1:21" x14ac:dyDescent="0.35">
      <c r="A2522" t="s">
        <v>15</v>
      </c>
      <c r="B2522" t="s">
        <v>20</v>
      </c>
      <c r="C2522" t="s">
        <v>17</v>
      </c>
      <c r="D2522">
        <v>281052</v>
      </c>
      <c r="E2522">
        <v>30928</v>
      </c>
      <c r="F2522">
        <v>56977</v>
      </c>
      <c r="G2522">
        <v>-231305</v>
      </c>
      <c r="H2522">
        <v>137652</v>
      </c>
      <c r="I2522">
        <v>138447</v>
      </c>
      <c r="J2522">
        <v>1782</v>
      </c>
      <c r="K2522">
        <v>827425</v>
      </c>
      <c r="L2522">
        <v>100406</v>
      </c>
      <c r="M2522">
        <v>-319945</v>
      </c>
      <c r="N2522">
        <v>151586</v>
      </c>
      <c r="O2522" t="s">
        <v>2540</v>
      </c>
      <c r="P2522" s="9">
        <v>266874</v>
      </c>
      <c r="Q2522" s="9">
        <v>29536</v>
      </c>
      <c r="R2522" s="9">
        <v>296410</v>
      </c>
      <c r="S2522" s="9">
        <v>-105405</v>
      </c>
      <c r="T2522" s="10">
        <v>120336</v>
      </c>
      <c r="U2522" s="10">
        <v>2120</v>
      </c>
    </row>
    <row r="2523" spans="1:21" x14ac:dyDescent="0.35">
      <c r="A2523" t="s">
        <v>15</v>
      </c>
      <c r="B2523" t="s">
        <v>16</v>
      </c>
      <c r="C2523" t="s">
        <v>21</v>
      </c>
      <c r="D2523">
        <v>168991</v>
      </c>
      <c r="E2523">
        <v>33754</v>
      </c>
      <c r="F2523">
        <v>34462</v>
      </c>
      <c r="G2523">
        <v>-142076</v>
      </c>
      <c r="H2523">
        <v>95131</v>
      </c>
      <c r="I2523">
        <v>86012</v>
      </c>
      <c r="J2523">
        <v>1580</v>
      </c>
      <c r="K2523">
        <v>612045</v>
      </c>
      <c r="L2523">
        <v>252240</v>
      </c>
      <c r="M2523">
        <v>-210101</v>
      </c>
      <c r="N2523">
        <v>130211</v>
      </c>
      <c r="O2523" t="s">
        <v>2541</v>
      </c>
      <c r="P2523" s="9">
        <v>284222</v>
      </c>
      <c r="Q2523" s="9">
        <v>49447</v>
      </c>
      <c r="R2523" s="9">
        <v>333669</v>
      </c>
      <c r="S2523" s="9">
        <v>-194656</v>
      </c>
      <c r="T2523" s="10">
        <v>143641</v>
      </c>
      <c r="U2523" s="10">
        <v>2835</v>
      </c>
    </row>
    <row r="2524" spans="1:21" x14ac:dyDescent="0.35">
      <c r="A2524" t="s">
        <v>15</v>
      </c>
      <c r="B2524" t="s">
        <v>16</v>
      </c>
      <c r="C2524" t="s">
        <v>21</v>
      </c>
      <c r="D2524">
        <v>210676</v>
      </c>
      <c r="E2524">
        <v>35563</v>
      </c>
      <c r="F2524">
        <v>25853</v>
      </c>
      <c r="G2524">
        <v>-190042</v>
      </c>
      <c r="H2524">
        <v>82050</v>
      </c>
      <c r="I2524">
        <v>85999</v>
      </c>
      <c r="J2524">
        <v>1435</v>
      </c>
      <c r="K2524">
        <v>775098</v>
      </c>
      <c r="L2524">
        <v>173778</v>
      </c>
      <c r="M2524">
        <v>-185454</v>
      </c>
      <c r="N2524">
        <v>163891</v>
      </c>
      <c r="O2524" t="s">
        <v>2542</v>
      </c>
      <c r="P2524" s="9">
        <v>275604</v>
      </c>
      <c r="Q2524" s="9">
        <v>34421</v>
      </c>
      <c r="R2524" s="9">
        <v>310025</v>
      </c>
      <c r="S2524" s="9">
        <v>-111334</v>
      </c>
      <c r="T2524" s="10">
        <v>91949</v>
      </c>
      <c r="U2524" s="10">
        <v>1111</v>
      </c>
    </row>
    <row r="2525" spans="1:21" x14ac:dyDescent="0.35">
      <c r="A2525" t="s">
        <v>15</v>
      </c>
      <c r="B2525" t="s">
        <v>16</v>
      </c>
      <c r="C2525" t="s">
        <v>21</v>
      </c>
      <c r="D2525">
        <v>188195</v>
      </c>
      <c r="E2525">
        <v>9502</v>
      </c>
      <c r="F2525">
        <v>45287</v>
      </c>
      <c r="G2525">
        <v>-150567</v>
      </c>
      <c r="H2525">
        <v>92417</v>
      </c>
      <c r="I2525">
        <v>85618</v>
      </c>
      <c r="J2525">
        <v>1238</v>
      </c>
      <c r="K2525">
        <v>512445</v>
      </c>
      <c r="L2525">
        <v>197453</v>
      </c>
      <c r="M2525">
        <v>-114377</v>
      </c>
      <c r="N2525">
        <v>132237</v>
      </c>
      <c r="O2525" t="s">
        <v>2543</v>
      </c>
      <c r="P2525" s="9">
        <v>186992</v>
      </c>
      <c r="Q2525" s="9">
        <v>21588</v>
      </c>
      <c r="R2525" s="9">
        <v>208580</v>
      </c>
      <c r="S2525" s="9">
        <v>-101840</v>
      </c>
      <c r="T2525" s="10">
        <v>74101</v>
      </c>
      <c r="U2525" s="10">
        <v>1478</v>
      </c>
    </row>
    <row r="2526" spans="1:21" x14ac:dyDescent="0.35">
      <c r="A2526" t="s">
        <v>15</v>
      </c>
      <c r="B2526" t="s">
        <v>16</v>
      </c>
      <c r="C2526" t="s">
        <v>17</v>
      </c>
      <c r="D2526">
        <v>291391</v>
      </c>
      <c r="E2526">
        <v>38241</v>
      </c>
      <c r="F2526">
        <v>64821</v>
      </c>
      <c r="G2526">
        <v>-270008</v>
      </c>
      <c r="H2526">
        <v>124445</v>
      </c>
      <c r="I2526">
        <v>129756</v>
      </c>
      <c r="J2526">
        <v>2077</v>
      </c>
      <c r="K2526">
        <v>1123927</v>
      </c>
      <c r="L2526">
        <v>386153</v>
      </c>
      <c r="M2526">
        <v>-276419</v>
      </c>
      <c r="N2526">
        <v>196691</v>
      </c>
      <c r="O2526" t="s">
        <v>2544</v>
      </c>
      <c r="P2526" s="9">
        <v>195765</v>
      </c>
      <c r="Q2526" s="9">
        <v>28546</v>
      </c>
      <c r="R2526" s="9">
        <v>224311</v>
      </c>
      <c r="S2526" s="9">
        <v>-110668</v>
      </c>
      <c r="T2526" s="10">
        <v>79302</v>
      </c>
      <c r="U2526" s="10">
        <v>1832</v>
      </c>
    </row>
    <row r="2527" spans="1:21" x14ac:dyDescent="0.35">
      <c r="A2527" t="s">
        <v>15</v>
      </c>
      <c r="B2527" t="s">
        <v>20</v>
      </c>
      <c r="C2527" t="s">
        <v>21</v>
      </c>
      <c r="D2527">
        <v>154570</v>
      </c>
      <c r="E2527">
        <v>9462</v>
      </c>
      <c r="F2527">
        <v>37720</v>
      </c>
      <c r="G2527">
        <v>-133830</v>
      </c>
      <c r="H2527">
        <v>67922</v>
      </c>
      <c r="I2527">
        <v>65153</v>
      </c>
      <c r="J2527">
        <v>1617</v>
      </c>
      <c r="K2527">
        <v>573110</v>
      </c>
      <c r="L2527">
        <v>132936</v>
      </c>
      <c r="M2527">
        <v>-150452</v>
      </c>
      <c r="N2527">
        <v>67709</v>
      </c>
      <c r="O2527" t="s">
        <v>2545</v>
      </c>
      <c r="P2527" s="9">
        <v>221625</v>
      </c>
      <c r="Q2527" s="9">
        <v>29842</v>
      </c>
      <c r="R2527" s="9">
        <v>251467</v>
      </c>
      <c r="S2527" s="9">
        <v>-83422</v>
      </c>
      <c r="T2527" s="10">
        <v>101175</v>
      </c>
      <c r="U2527" s="10">
        <v>1890</v>
      </c>
    </row>
    <row r="2528" spans="1:21" x14ac:dyDescent="0.35">
      <c r="A2528" t="s">
        <v>15</v>
      </c>
      <c r="B2528" t="s">
        <v>16</v>
      </c>
      <c r="C2528" t="s">
        <v>17</v>
      </c>
      <c r="D2528">
        <v>216883</v>
      </c>
      <c r="E2528">
        <v>39033</v>
      </c>
      <c r="F2528">
        <v>53845</v>
      </c>
      <c r="G2528">
        <v>-211806</v>
      </c>
      <c r="H2528">
        <v>97955</v>
      </c>
      <c r="I2528">
        <v>100547</v>
      </c>
      <c r="J2528">
        <v>1936</v>
      </c>
      <c r="K2528">
        <v>517299</v>
      </c>
      <c r="L2528">
        <v>249883</v>
      </c>
      <c r="M2528">
        <v>-76887</v>
      </c>
      <c r="N2528">
        <v>75046</v>
      </c>
      <c r="O2528" t="s">
        <v>2546</v>
      </c>
      <c r="P2528" s="9">
        <v>212571</v>
      </c>
      <c r="Q2528" s="9">
        <v>14605</v>
      </c>
      <c r="R2528" s="9">
        <v>227176</v>
      </c>
      <c r="S2528" s="9">
        <v>-133502</v>
      </c>
      <c r="T2528" s="10">
        <v>66847</v>
      </c>
      <c r="U2528" s="10">
        <v>1558</v>
      </c>
    </row>
    <row r="2529" spans="1:21" x14ac:dyDescent="0.35">
      <c r="A2529" t="s">
        <v>15</v>
      </c>
      <c r="B2529" t="s">
        <v>16</v>
      </c>
      <c r="C2529" t="s">
        <v>21</v>
      </c>
      <c r="D2529">
        <v>206488</v>
      </c>
      <c r="E2529">
        <v>21551</v>
      </c>
      <c r="F2529">
        <v>27484</v>
      </c>
      <c r="G2529">
        <v>-186435</v>
      </c>
      <c r="H2529">
        <v>69088</v>
      </c>
      <c r="I2529">
        <v>71867</v>
      </c>
      <c r="J2529">
        <v>1168</v>
      </c>
      <c r="K2529">
        <v>489637</v>
      </c>
      <c r="L2529">
        <v>114160</v>
      </c>
      <c r="M2529">
        <v>-115223</v>
      </c>
      <c r="N2529">
        <v>97213</v>
      </c>
      <c r="O2529" t="s">
        <v>2547</v>
      </c>
      <c r="P2529" s="9">
        <v>282291</v>
      </c>
      <c r="Q2529" s="9">
        <v>34575</v>
      </c>
      <c r="R2529" s="9">
        <v>316866</v>
      </c>
      <c r="S2529" s="9">
        <v>-102987</v>
      </c>
      <c r="T2529" s="10">
        <v>112212</v>
      </c>
      <c r="U2529" s="10">
        <v>1994</v>
      </c>
    </row>
    <row r="2530" spans="1:21" x14ac:dyDescent="0.35">
      <c r="A2530" t="s">
        <v>15</v>
      </c>
      <c r="B2530" t="s">
        <v>20</v>
      </c>
      <c r="C2530" t="s">
        <v>21</v>
      </c>
      <c r="D2530">
        <v>299304</v>
      </c>
      <c r="E2530">
        <v>52079</v>
      </c>
      <c r="F2530">
        <v>39637</v>
      </c>
      <c r="G2530">
        <v>-248770</v>
      </c>
      <c r="H2530">
        <v>142250</v>
      </c>
      <c r="I2530">
        <v>147258</v>
      </c>
      <c r="J2530">
        <v>3966</v>
      </c>
      <c r="K2530">
        <v>888510</v>
      </c>
      <c r="L2530">
        <v>342113</v>
      </c>
      <c r="M2530">
        <v>-158350</v>
      </c>
      <c r="N2530">
        <v>259912</v>
      </c>
      <c r="O2530" t="s">
        <v>2548</v>
      </c>
      <c r="P2530" s="9">
        <v>284646</v>
      </c>
      <c r="Q2530" s="9">
        <v>18059</v>
      </c>
      <c r="R2530" s="9">
        <v>302705</v>
      </c>
      <c r="S2530" s="9">
        <v>-102428</v>
      </c>
      <c r="T2530" s="10">
        <v>69613</v>
      </c>
      <c r="U2530" s="10">
        <v>883</v>
      </c>
    </row>
    <row r="2531" spans="1:21" x14ac:dyDescent="0.35">
      <c r="A2531" t="s">
        <v>15</v>
      </c>
      <c r="B2531" t="s">
        <v>16</v>
      </c>
      <c r="C2531" t="s">
        <v>21</v>
      </c>
      <c r="D2531">
        <v>159245</v>
      </c>
      <c r="E2531">
        <v>29050</v>
      </c>
      <c r="F2531">
        <v>16330</v>
      </c>
      <c r="G2531">
        <v>-156231</v>
      </c>
      <c r="H2531">
        <v>48394</v>
      </c>
      <c r="I2531">
        <v>48657</v>
      </c>
      <c r="J2531">
        <v>1075</v>
      </c>
      <c r="K2531">
        <v>624132</v>
      </c>
      <c r="L2531">
        <v>184152</v>
      </c>
      <c r="M2531">
        <v>-198823</v>
      </c>
      <c r="N2531">
        <v>53479</v>
      </c>
      <c r="O2531" t="s">
        <v>2549</v>
      </c>
      <c r="P2531" s="9">
        <v>169129</v>
      </c>
      <c r="Q2531" s="9">
        <v>34777</v>
      </c>
      <c r="R2531" s="9">
        <v>203906</v>
      </c>
      <c r="S2531" s="9">
        <v>-64222</v>
      </c>
      <c r="T2531" s="10">
        <v>97035</v>
      </c>
      <c r="U2531" s="10">
        <v>2225</v>
      </c>
    </row>
    <row r="2532" spans="1:21" x14ac:dyDescent="0.35">
      <c r="A2532" t="s">
        <v>15</v>
      </c>
      <c r="B2532" t="s">
        <v>16</v>
      </c>
      <c r="C2532" t="s">
        <v>17</v>
      </c>
      <c r="D2532">
        <v>152640</v>
      </c>
      <c r="E2532">
        <v>21512</v>
      </c>
      <c r="F2532">
        <v>32793</v>
      </c>
      <c r="G2532">
        <v>-138766</v>
      </c>
      <c r="H2532">
        <v>68179</v>
      </c>
      <c r="I2532">
        <v>63420</v>
      </c>
      <c r="J2532">
        <v>1217</v>
      </c>
      <c r="K2532">
        <v>314006</v>
      </c>
      <c r="L2532">
        <v>76750</v>
      </c>
      <c r="M2532">
        <v>-91057</v>
      </c>
      <c r="N2532">
        <v>72043</v>
      </c>
      <c r="O2532" t="s">
        <v>2550</v>
      </c>
      <c r="P2532" s="9">
        <v>217720</v>
      </c>
      <c r="Q2532" s="9">
        <v>33468</v>
      </c>
      <c r="R2532" s="9">
        <v>251188</v>
      </c>
      <c r="S2532" s="9">
        <v>-96541</v>
      </c>
      <c r="T2532" s="10">
        <v>129494</v>
      </c>
      <c r="U2532" s="10">
        <v>1666</v>
      </c>
    </row>
    <row r="2533" spans="1:21" x14ac:dyDescent="0.35">
      <c r="A2533" t="s">
        <v>15</v>
      </c>
      <c r="B2533" t="s">
        <v>20</v>
      </c>
      <c r="C2533" t="s">
        <v>17</v>
      </c>
      <c r="D2533">
        <v>163780</v>
      </c>
      <c r="E2533">
        <v>30390</v>
      </c>
      <c r="F2533">
        <v>27621</v>
      </c>
      <c r="G2533">
        <v>-144328</v>
      </c>
      <c r="H2533">
        <v>77463</v>
      </c>
      <c r="I2533">
        <v>73455</v>
      </c>
      <c r="J2533">
        <v>1513</v>
      </c>
      <c r="K2533">
        <v>404517</v>
      </c>
      <c r="L2533">
        <v>169747</v>
      </c>
      <c r="M2533">
        <v>-66325</v>
      </c>
      <c r="N2533">
        <v>72483</v>
      </c>
      <c r="O2533" t="s">
        <v>2551</v>
      </c>
      <c r="P2533" s="9">
        <v>197594</v>
      </c>
      <c r="Q2533" s="9">
        <v>19028</v>
      </c>
      <c r="R2533" s="9">
        <v>216622</v>
      </c>
      <c r="S2533" s="9">
        <v>-87137</v>
      </c>
      <c r="T2533" s="10">
        <v>72303</v>
      </c>
      <c r="U2533" s="10">
        <v>830</v>
      </c>
    </row>
    <row r="2534" spans="1:21" x14ac:dyDescent="0.35">
      <c r="A2534" t="s">
        <v>15</v>
      </c>
      <c r="B2534" t="s">
        <v>16</v>
      </c>
      <c r="C2534" t="s">
        <v>21</v>
      </c>
      <c r="D2534">
        <v>260471</v>
      </c>
      <c r="E2534">
        <v>27012</v>
      </c>
      <c r="F2534">
        <v>31658</v>
      </c>
      <c r="G2534">
        <v>-240567</v>
      </c>
      <c r="H2534">
        <v>78574</v>
      </c>
      <c r="I2534">
        <v>78778</v>
      </c>
      <c r="J2534">
        <v>1696</v>
      </c>
      <c r="K2534">
        <v>818535</v>
      </c>
      <c r="L2534">
        <v>158280</v>
      </c>
      <c r="M2534">
        <v>-225175</v>
      </c>
      <c r="N2534">
        <v>199914</v>
      </c>
      <c r="O2534" t="s">
        <v>2552</v>
      </c>
      <c r="P2534" s="9">
        <v>162196</v>
      </c>
      <c r="Q2534" s="9">
        <v>19650</v>
      </c>
      <c r="R2534" s="9">
        <v>181846</v>
      </c>
      <c r="S2534" s="9">
        <v>-105405</v>
      </c>
      <c r="T2534" s="10">
        <v>69163</v>
      </c>
      <c r="U2534" s="10">
        <v>1868</v>
      </c>
    </row>
    <row r="2535" spans="1:21" x14ac:dyDescent="0.35">
      <c r="A2535" t="s">
        <v>15</v>
      </c>
      <c r="B2535" t="s">
        <v>16</v>
      </c>
      <c r="C2535" t="s">
        <v>21</v>
      </c>
      <c r="D2535">
        <v>256945</v>
      </c>
      <c r="E2535">
        <v>43331</v>
      </c>
      <c r="F2535">
        <v>63975</v>
      </c>
      <c r="G2535">
        <v>-216977</v>
      </c>
      <c r="H2535">
        <v>147274</v>
      </c>
      <c r="I2535">
        <v>148471</v>
      </c>
      <c r="J2535">
        <v>1977</v>
      </c>
      <c r="K2535">
        <v>730695</v>
      </c>
      <c r="L2535">
        <v>75481</v>
      </c>
      <c r="M2535">
        <v>-114181</v>
      </c>
      <c r="N2535">
        <v>140459</v>
      </c>
      <c r="O2535" t="s">
        <v>2553</v>
      </c>
      <c r="P2535" s="9">
        <v>284066</v>
      </c>
      <c r="Q2535" s="9">
        <v>48954</v>
      </c>
      <c r="R2535" s="9">
        <v>333020</v>
      </c>
      <c r="S2535" s="9">
        <v>-168289</v>
      </c>
      <c r="T2535" s="10">
        <v>132186</v>
      </c>
      <c r="U2535" s="10">
        <v>2707</v>
      </c>
    </row>
    <row r="2536" spans="1:21" x14ac:dyDescent="0.35">
      <c r="A2536" t="s">
        <v>15</v>
      </c>
      <c r="B2536" t="s">
        <v>20</v>
      </c>
      <c r="C2536" t="s">
        <v>17</v>
      </c>
      <c r="D2536">
        <v>211368</v>
      </c>
      <c r="E2536">
        <v>13672</v>
      </c>
      <c r="F2536">
        <v>38031</v>
      </c>
      <c r="G2536">
        <v>-194819</v>
      </c>
      <c r="H2536">
        <v>68252</v>
      </c>
      <c r="I2536">
        <v>64696</v>
      </c>
      <c r="J2536">
        <v>1317</v>
      </c>
      <c r="K2536">
        <v>431191</v>
      </c>
      <c r="L2536">
        <v>65437</v>
      </c>
      <c r="M2536">
        <v>-57448</v>
      </c>
      <c r="N2536">
        <v>73203</v>
      </c>
      <c r="O2536" t="s">
        <v>2554</v>
      </c>
      <c r="P2536" s="9">
        <v>154257</v>
      </c>
      <c r="Q2536" s="9">
        <v>36309</v>
      </c>
      <c r="R2536" s="9">
        <v>190566</v>
      </c>
      <c r="S2536" s="9">
        <v>-94712</v>
      </c>
      <c r="T2536" s="10">
        <v>59961</v>
      </c>
      <c r="U2536" s="10">
        <v>625</v>
      </c>
    </row>
    <row r="2537" spans="1:21" x14ac:dyDescent="0.35">
      <c r="A2537" t="s">
        <v>15</v>
      </c>
      <c r="B2537" t="s">
        <v>20</v>
      </c>
      <c r="C2537" t="s">
        <v>21</v>
      </c>
      <c r="D2537">
        <v>280293</v>
      </c>
      <c r="E2537">
        <v>21981</v>
      </c>
      <c r="F2537">
        <v>53353</v>
      </c>
      <c r="G2537">
        <v>-243063</v>
      </c>
      <c r="H2537">
        <v>112564</v>
      </c>
      <c r="I2537">
        <v>105752</v>
      </c>
      <c r="J2537">
        <v>1489</v>
      </c>
      <c r="K2537">
        <v>1028141</v>
      </c>
      <c r="L2537">
        <v>202412</v>
      </c>
      <c r="M2537">
        <v>-355656</v>
      </c>
      <c r="N2537">
        <v>120625</v>
      </c>
      <c r="O2537" t="s">
        <v>2555</v>
      </c>
      <c r="P2537" s="9">
        <v>169050</v>
      </c>
      <c r="Q2537" s="9">
        <v>12989</v>
      </c>
      <c r="R2537" s="9">
        <v>182039</v>
      </c>
      <c r="S2537" s="9">
        <v>-88562</v>
      </c>
      <c r="T2537" s="10">
        <v>50243</v>
      </c>
      <c r="U2537" s="10">
        <v>1033</v>
      </c>
    </row>
    <row r="2538" spans="1:21" x14ac:dyDescent="0.35">
      <c r="A2538" t="s">
        <v>15</v>
      </c>
      <c r="B2538" t="s">
        <v>16</v>
      </c>
      <c r="C2538" t="s">
        <v>21</v>
      </c>
      <c r="D2538">
        <v>237624</v>
      </c>
      <c r="E2538">
        <v>18293</v>
      </c>
      <c r="F2538">
        <v>30972</v>
      </c>
      <c r="G2538">
        <v>-237416</v>
      </c>
      <c r="H2538">
        <v>49473</v>
      </c>
      <c r="I2538">
        <v>45163</v>
      </c>
      <c r="J2538">
        <v>780</v>
      </c>
      <c r="K2538">
        <v>775838</v>
      </c>
      <c r="L2538">
        <v>190329</v>
      </c>
      <c r="M2538">
        <v>-222021</v>
      </c>
      <c r="N2538">
        <v>73493</v>
      </c>
      <c r="O2538" t="s">
        <v>2556</v>
      </c>
      <c r="P2538" s="9">
        <v>220543</v>
      </c>
      <c r="Q2538" s="9">
        <v>36075</v>
      </c>
      <c r="R2538" s="9">
        <v>256618</v>
      </c>
      <c r="S2538" s="9">
        <v>-95168</v>
      </c>
      <c r="T2538" s="10">
        <v>119484</v>
      </c>
      <c r="U2538" s="10">
        <v>2543</v>
      </c>
    </row>
    <row r="2539" spans="1:21" x14ac:dyDescent="0.35">
      <c r="A2539" t="s">
        <v>15</v>
      </c>
      <c r="B2539" t="s">
        <v>16</v>
      </c>
      <c r="C2539" t="s">
        <v>21</v>
      </c>
      <c r="D2539">
        <v>285274</v>
      </c>
      <c r="E2539">
        <v>23127</v>
      </c>
      <c r="F2539">
        <v>43267</v>
      </c>
      <c r="G2539">
        <v>-232137</v>
      </c>
      <c r="H2539">
        <v>119531</v>
      </c>
      <c r="I2539">
        <v>124136</v>
      </c>
      <c r="J2539">
        <v>2410</v>
      </c>
      <c r="K2539">
        <v>911389</v>
      </c>
      <c r="L2539">
        <v>244885</v>
      </c>
      <c r="M2539">
        <v>-107165</v>
      </c>
      <c r="N2539">
        <v>196036</v>
      </c>
      <c r="O2539" t="s">
        <v>2557</v>
      </c>
      <c r="P2539" s="9">
        <v>182974</v>
      </c>
      <c r="Q2539" s="9">
        <v>32823</v>
      </c>
      <c r="R2539" s="9">
        <v>215797</v>
      </c>
      <c r="S2539" s="9">
        <v>-125482</v>
      </c>
      <c r="T2539" s="10">
        <v>81373</v>
      </c>
      <c r="U2539" s="10">
        <v>1605</v>
      </c>
    </row>
    <row r="2540" spans="1:21" x14ac:dyDescent="0.35">
      <c r="A2540" t="s">
        <v>15</v>
      </c>
      <c r="B2540" t="s">
        <v>16</v>
      </c>
      <c r="C2540" t="s">
        <v>21</v>
      </c>
      <c r="D2540">
        <v>173969</v>
      </c>
      <c r="E2540">
        <v>30888</v>
      </c>
      <c r="F2540">
        <v>39346</v>
      </c>
      <c r="G2540">
        <v>-165963</v>
      </c>
      <c r="H2540">
        <v>78240</v>
      </c>
      <c r="I2540">
        <v>77677</v>
      </c>
      <c r="J2540">
        <v>809</v>
      </c>
      <c r="K2540">
        <v>638856</v>
      </c>
      <c r="L2540">
        <v>228735</v>
      </c>
      <c r="M2540">
        <v>-106930</v>
      </c>
      <c r="N2540">
        <v>119398</v>
      </c>
      <c r="O2540" t="s">
        <v>2558</v>
      </c>
      <c r="P2540" s="9">
        <v>217916</v>
      </c>
      <c r="Q2540" s="9">
        <v>45220</v>
      </c>
      <c r="R2540" s="9">
        <v>263136</v>
      </c>
      <c r="S2540" s="9">
        <v>-146856</v>
      </c>
      <c r="T2540" s="10">
        <v>88644</v>
      </c>
      <c r="U2540" s="10">
        <v>2021</v>
      </c>
    </row>
    <row r="2541" spans="1:21" x14ac:dyDescent="0.35">
      <c r="A2541" t="s">
        <v>15</v>
      </c>
      <c r="B2541" t="s">
        <v>16</v>
      </c>
      <c r="C2541" t="s">
        <v>17</v>
      </c>
      <c r="D2541">
        <v>168041</v>
      </c>
      <c r="E2541">
        <v>20742</v>
      </c>
      <c r="F2541">
        <v>18937</v>
      </c>
      <c r="G2541">
        <v>-158848</v>
      </c>
      <c r="H2541">
        <v>48872</v>
      </c>
      <c r="I2541">
        <v>45467</v>
      </c>
      <c r="J2541">
        <v>794</v>
      </c>
      <c r="K2541">
        <v>477682</v>
      </c>
      <c r="L2541">
        <v>55776</v>
      </c>
      <c r="M2541">
        <v>-171225</v>
      </c>
      <c r="N2541">
        <v>52326</v>
      </c>
      <c r="O2541" t="s">
        <v>2559</v>
      </c>
      <c r="P2541" s="9">
        <v>296568</v>
      </c>
      <c r="Q2541" s="9">
        <v>19679</v>
      </c>
      <c r="R2541" s="9">
        <v>316247</v>
      </c>
      <c r="S2541" s="9">
        <v>-161605</v>
      </c>
      <c r="T2541" s="10">
        <v>67350</v>
      </c>
      <c r="U2541" s="10">
        <v>1883</v>
      </c>
    </row>
    <row r="2542" spans="1:21" x14ac:dyDescent="0.35">
      <c r="A2542" t="s">
        <v>15</v>
      </c>
      <c r="B2542" t="s">
        <v>16</v>
      </c>
      <c r="C2542" t="s">
        <v>17</v>
      </c>
      <c r="D2542">
        <v>246446</v>
      </c>
      <c r="E2542">
        <v>43605</v>
      </c>
      <c r="F2542">
        <v>35209</v>
      </c>
      <c r="G2542">
        <v>-205784</v>
      </c>
      <c r="H2542">
        <v>119476</v>
      </c>
      <c r="I2542">
        <v>111977</v>
      </c>
      <c r="J2542">
        <v>1560</v>
      </c>
      <c r="K2542">
        <v>638738</v>
      </c>
      <c r="L2542">
        <v>147903</v>
      </c>
      <c r="M2542">
        <v>-190848</v>
      </c>
      <c r="N2542">
        <v>168004</v>
      </c>
      <c r="O2542" t="s">
        <v>2560</v>
      </c>
      <c r="P2542" s="9">
        <v>218589</v>
      </c>
      <c r="Q2542" s="9">
        <v>29239</v>
      </c>
      <c r="R2542" s="9">
        <v>247828</v>
      </c>
      <c r="S2542" s="9">
        <v>-107764</v>
      </c>
      <c r="T2542" s="10">
        <v>78152</v>
      </c>
      <c r="U2542" s="10">
        <v>1754</v>
      </c>
    </row>
    <row r="2543" spans="1:21" x14ac:dyDescent="0.35">
      <c r="A2543" t="s">
        <v>15</v>
      </c>
      <c r="B2543" t="s">
        <v>16</v>
      </c>
      <c r="C2543" t="s">
        <v>21</v>
      </c>
      <c r="D2543">
        <v>269470</v>
      </c>
      <c r="E2543">
        <v>39979</v>
      </c>
      <c r="F2543">
        <v>39283</v>
      </c>
      <c r="G2543">
        <v>-223941</v>
      </c>
      <c r="H2543">
        <v>124791</v>
      </c>
      <c r="I2543">
        <v>119463</v>
      </c>
      <c r="J2543">
        <v>2578</v>
      </c>
      <c r="K2543">
        <v>1035602</v>
      </c>
      <c r="L2543">
        <v>346522</v>
      </c>
      <c r="M2543">
        <v>-118097</v>
      </c>
      <c r="N2543">
        <v>215739</v>
      </c>
      <c r="O2543" t="s">
        <v>2561</v>
      </c>
      <c r="P2543" s="9">
        <v>169243</v>
      </c>
      <c r="Q2543" s="9">
        <v>15531</v>
      </c>
      <c r="R2543" s="9">
        <v>184774</v>
      </c>
      <c r="S2543" s="9">
        <v>-104246</v>
      </c>
      <c r="T2543" s="10">
        <v>50953</v>
      </c>
      <c r="U2543" s="10">
        <v>789</v>
      </c>
    </row>
    <row r="2544" spans="1:21" x14ac:dyDescent="0.35">
      <c r="A2544" t="s">
        <v>15</v>
      </c>
      <c r="B2544" t="s">
        <v>16</v>
      </c>
      <c r="C2544" t="s">
        <v>21</v>
      </c>
      <c r="D2544">
        <v>238534</v>
      </c>
      <c r="E2544">
        <v>23215</v>
      </c>
      <c r="F2544">
        <v>48052</v>
      </c>
      <c r="G2544">
        <v>-220719</v>
      </c>
      <c r="H2544">
        <v>89082</v>
      </c>
      <c r="I2544">
        <v>91581</v>
      </c>
      <c r="J2544">
        <v>1400</v>
      </c>
      <c r="K2544">
        <v>505908</v>
      </c>
      <c r="L2544">
        <v>165540</v>
      </c>
      <c r="M2544">
        <v>-169682</v>
      </c>
      <c r="N2544">
        <v>205599</v>
      </c>
      <c r="O2544" t="s">
        <v>2562</v>
      </c>
      <c r="P2544" s="9">
        <v>210722</v>
      </c>
      <c r="Q2544" s="9">
        <v>35404</v>
      </c>
      <c r="R2544" s="9">
        <v>246126</v>
      </c>
      <c r="S2544" s="9">
        <v>-99175</v>
      </c>
      <c r="T2544" s="10">
        <v>98968</v>
      </c>
      <c r="U2544" s="10">
        <v>2767</v>
      </c>
    </row>
    <row r="2545" spans="1:21" x14ac:dyDescent="0.35">
      <c r="A2545" t="s">
        <v>15</v>
      </c>
      <c r="B2545" t="s">
        <v>16</v>
      </c>
      <c r="C2545" t="s">
        <v>21</v>
      </c>
      <c r="D2545">
        <v>232065</v>
      </c>
      <c r="E2545">
        <v>16508</v>
      </c>
      <c r="F2545">
        <v>42445</v>
      </c>
      <c r="G2545">
        <v>-216218</v>
      </c>
      <c r="H2545">
        <v>74800</v>
      </c>
      <c r="I2545">
        <v>74433</v>
      </c>
      <c r="J2545">
        <v>1752</v>
      </c>
      <c r="K2545">
        <v>864885</v>
      </c>
      <c r="L2545">
        <v>177807</v>
      </c>
      <c r="M2545">
        <v>-139636</v>
      </c>
      <c r="N2545">
        <v>178905</v>
      </c>
      <c r="O2545" t="s">
        <v>2563</v>
      </c>
      <c r="P2545" s="9">
        <v>269727</v>
      </c>
      <c r="Q2545" s="9">
        <v>20979</v>
      </c>
      <c r="R2545" s="9">
        <v>290706</v>
      </c>
      <c r="S2545" s="9">
        <v>-96379</v>
      </c>
      <c r="T2545" s="10">
        <v>80159</v>
      </c>
      <c r="U2545" s="10">
        <v>2371</v>
      </c>
    </row>
    <row r="2546" spans="1:21" x14ac:dyDescent="0.35">
      <c r="A2546" t="s">
        <v>15</v>
      </c>
      <c r="B2546" t="s">
        <v>16</v>
      </c>
      <c r="C2546" t="s">
        <v>21</v>
      </c>
      <c r="D2546">
        <v>177945</v>
      </c>
      <c r="E2546">
        <v>17819</v>
      </c>
      <c r="F2546">
        <v>35695</v>
      </c>
      <c r="G2546">
        <v>-170009</v>
      </c>
      <c r="H2546">
        <v>61450</v>
      </c>
      <c r="I2546">
        <v>64121</v>
      </c>
      <c r="J2546">
        <v>1690</v>
      </c>
      <c r="K2546">
        <v>605465</v>
      </c>
      <c r="L2546">
        <v>80226</v>
      </c>
      <c r="M2546">
        <v>-99437</v>
      </c>
      <c r="N2546">
        <v>92675</v>
      </c>
      <c r="O2546" t="s">
        <v>2564</v>
      </c>
      <c r="P2546" s="9">
        <v>274355</v>
      </c>
      <c r="Q2546" s="9">
        <v>33997</v>
      </c>
      <c r="R2546" s="9">
        <v>308352</v>
      </c>
      <c r="S2546" s="9">
        <v>-117677</v>
      </c>
      <c r="T2546" s="10">
        <v>141860</v>
      </c>
      <c r="U2546" s="10">
        <v>3238</v>
      </c>
    </row>
    <row r="2547" spans="1:21" x14ac:dyDescent="0.35">
      <c r="A2547" t="s">
        <v>15</v>
      </c>
      <c r="B2547" t="s">
        <v>16</v>
      </c>
      <c r="C2547" t="s">
        <v>17</v>
      </c>
      <c r="D2547">
        <v>157750</v>
      </c>
      <c r="E2547">
        <v>12091</v>
      </c>
      <c r="F2547">
        <v>18571</v>
      </c>
      <c r="G2547">
        <v>-130102</v>
      </c>
      <c r="H2547">
        <v>58310</v>
      </c>
      <c r="I2547">
        <v>52726</v>
      </c>
      <c r="J2547">
        <v>1126</v>
      </c>
      <c r="K2547">
        <v>442762</v>
      </c>
      <c r="L2547">
        <v>219372</v>
      </c>
      <c r="M2547">
        <v>-89233</v>
      </c>
      <c r="N2547">
        <v>98979</v>
      </c>
      <c r="O2547" t="s">
        <v>2565</v>
      </c>
      <c r="P2547" s="9">
        <v>151782</v>
      </c>
      <c r="Q2547" s="9">
        <v>11295</v>
      </c>
      <c r="R2547" s="9">
        <v>163077</v>
      </c>
      <c r="S2547" s="9">
        <v>-45699</v>
      </c>
      <c r="T2547" s="10">
        <v>46070</v>
      </c>
      <c r="U2547" s="10">
        <v>598</v>
      </c>
    </row>
    <row r="2548" spans="1:21" x14ac:dyDescent="0.35">
      <c r="A2548" t="s">
        <v>15</v>
      </c>
      <c r="B2548" t="s">
        <v>16</v>
      </c>
      <c r="C2548" t="s">
        <v>17</v>
      </c>
      <c r="D2548">
        <v>156765</v>
      </c>
      <c r="E2548">
        <v>18450</v>
      </c>
      <c r="F2548">
        <v>19340</v>
      </c>
      <c r="G2548">
        <v>-146136</v>
      </c>
      <c r="H2548">
        <v>48419</v>
      </c>
      <c r="I2548">
        <v>44041</v>
      </c>
      <c r="J2548">
        <v>1168</v>
      </c>
      <c r="K2548">
        <v>581266</v>
      </c>
      <c r="L2548">
        <v>252978</v>
      </c>
      <c r="M2548">
        <v>-120657</v>
      </c>
      <c r="N2548">
        <v>65329</v>
      </c>
      <c r="O2548" t="s">
        <v>2566</v>
      </c>
      <c r="P2548" s="9">
        <v>234122</v>
      </c>
      <c r="Q2548" s="9">
        <v>42090</v>
      </c>
      <c r="R2548" s="9">
        <v>276212</v>
      </c>
      <c r="S2548" s="9">
        <v>-126291</v>
      </c>
      <c r="T2548" s="10">
        <v>137002</v>
      </c>
      <c r="U2548" s="10">
        <v>3647</v>
      </c>
    </row>
    <row r="2549" spans="1:21" x14ac:dyDescent="0.35">
      <c r="A2549" t="s">
        <v>15</v>
      </c>
      <c r="B2549" t="s">
        <v>16</v>
      </c>
      <c r="C2549" t="s">
        <v>21</v>
      </c>
      <c r="D2549">
        <v>236498</v>
      </c>
      <c r="E2549">
        <v>15442</v>
      </c>
      <c r="F2549">
        <v>40786</v>
      </c>
      <c r="G2549">
        <v>-215498</v>
      </c>
      <c r="H2549">
        <v>77228</v>
      </c>
      <c r="I2549">
        <v>75254</v>
      </c>
      <c r="J2549">
        <v>1825</v>
      </c>
      <c r="K2549">
        <v>633612</v>
      </c>
      <c r="L2549">
        <v>272868</v>
      </c>
      <c r="M2549">
        <v>-235173</v>
      </c>
      <c r="N2549">
        <v>192942</v>
      </c>
      <c r="O2549" t="s">
        <v>2567</v>
      </c>
      <c r="P2549" s="9">
        <v>202491</v>
      </c>
      <c r="Q2549" s="9">
        <v>34441</v>
      </c>
      <c r="R2549" s="9">
        <v>236932</v>
      </c>
      <c r="S2549" s="9">
        <v>-72971</v>
      </c>
      <c r="T2549" s="10">
        <v>71303</v>
      </c>
      <c r="U2549" s="10">
        <v>753</v>
      </c>
    </row>
    <row r="2550" spans="1:21" x14ac:dyDescent="0.35">
      <c r="A2550" t="s">
        <v>15</v>
      </c>
      <c r="B2550" t="s">
        <v>20</v>
      </c>
      <c r="C2550" t="s">
        <v>21</v>
      </c>
      <c r="D2550">
        <v>208661</v>
      </c>
      <c r="E2550">
        <v>24903</v>
      </c>
      <c r="F2550">
        <v>40670</v>
      </c>
      <c r="G2550">
        <v>-183460</v>
      </c>
      <c r="H2550">
        <v>90774</v>
      </c>
      <c r="I2550">
        <v>87146</v>
      </c>
      <c r="J2550">
        <v>2360</v>
      </c>
      <c r="K2550">
        <v>441713</v>
      </c>
      <c r="L2550">
        <v>93017</v>
      </c>
      <c r="M2550">
        <v>-84213</v>
      </c>
      <c r="N2550">
        <v>84667</v>
      </c>
      <c r="O2550" t="s">
        <v>2568</v>
      </c>
      <c r="P2550" s="9">
        <v>193627</v>
      </c>
      <c r="Q2550" s="9">
        <v>28777</v>
      </c>
      <c r="R2550" s="9">
        <v>222404</v>
      </c>
      <c r="S2550" s="9">
        <v>-72123</v>
      </c>
      <c r="T2550" s="10">
        <v>71725</v>
      </c>
      <c r="U2550" s="10">
        <v>1199</v>
      </c>
    </row>
    <row r="2551" spans="1:21" x14ac:dyDescent="0.35">
      <c r="A2551" t="s">
        <v>15</v>
      </c>
      <c r="B2551" t="s">
        <v>20</v>
      </c>
      <c r="C2551" t="s">
        <v>21</v>
      </c>
      <c r="D2551">
        <v>272775</v>
      </c>
      <c r="E2551">
        <v>45625</v>
      </c>
      <c r="F2551">
        <v>39118</v>
      </c>
      <c r="G2551">
        <v>-258853</v>
      </c>
      <c r="H2551">
        <v>98665</v>
      </c>
      <c r="I2551">
        <v>101409</v>
      </c>
      <c r="J2551">
        <v>1551</v>
      </c>
      <c r="K2551">
        <v>763287</v>
      </c>
      <c r="L2551">
        <v>269802</v>
      </c>
      <c r="M2551">
        <v>-231934</v>
      </c>
      <c r="N2551">
        <v>201765</v>
      </c>
      <c r="O2551" t="s">
        <v>2569</v>
      </c>
      <c r="P2551" s="9">
        <v>263294</v>
      </c>
      <c r="Q2551" s="9">
        <v>24916</v>
      </c>
      <c r="R2551" s="9">
        <v>288210</v>
      </c>
      <c r="S2551" s="9">
        <v>-59093</v>
      </c>
      <c r="T2551" s="10">
        <v>83700</v>
      </c>
      <c r="U2551" s="10">
        <v>2494</v>
      </c>
    </row>
    <row r="2552" spans="1:21" x14ac:dyDescent="0.35">
      <c r="A2552" t="s">
        <v>15</v>
      </c>
      <c r="B2552" t="s">
        <v>20</v>
      </c>
      <c r="C2552" t="s">
        <v>21</v>
      </c>
      <c r="D2552">
        <v>247974</v>
      </c>
      <c r="E2552">
        <v>37634</v>
      </c>
      <c r="F2552">
        <v>45023</v>
      </c>
      <c r="G2552">
        <v>-220170</v>
      </c>
      <c r="H2552">
        <v>110461</v>
      </c>
      <c r="I2552">
        <v>101268</v>
      </c>
      <c r="J2552">
        <v>2786</v>
      </c>
      <c r="K2552">
        <v>511683</v>
      </c>
      <c r="L2552">
        <v>122365</v>
      </c>
      <c r="M2552">
        <v>-148678</v>
      </c>
      <c r="N2552">
        <v>192991</v>
      </c>
      <c r="O2552" t="s">
        <v>2570</v>
      </c>
      <c r="P2552" s="9">
        <v>293497</v>
      </c>
      <c r="Q2552" s="9">
        <v>29756</v>
      </c>
      <c r="R2552" s="9">
        <v>323253</v>
      </c>
      <c r="S2552" s="9">
        <v>-97084</v>
      </c>
      <c r="T2552" s="10">
        <v>113076</v>
      </c>
      <c r="U2552" s="10">
        <v>1158</v>
      </c>
    </row>
    <row r="2553" spans="1:21" x14ac:dyDescent="0.35">
      <c r="A2553" t="s">
        <v>15</v>
      </c>
      <c r="B2553" t="s">
        <v>16</v>
      </c>
      <c r="C2553" t="s">
        <v>21</v>
      </c>
      <c r="D2553">
        <v>256178</v>
      </c>
      <c r="E2553">
        <v>28417</v>
      </c>
      <c r="F2553">
        <v>58826</v>
      </c>
      <c r="G2553">
        <v>-222371</v>
      </c>
      <c r="H2553">
        <v>121050</v>
      </c>
      <c r="I2553">
        <v>113786</v>
      </c>
      <c r="J2553">
        <v>1756</v>
      </c>
      <c r="K2553">
        <v>564442</v>
      </c>
      <c r="L2553">
        <v>148248</v>
      </c>
      <c r="M2553">
        <v>-194896</v>
      </c>
      <c r="N2553">
        <v>203471</v>
      </c>
      <c r="O2553" t="s">
        <v>2571</v>
      </c>
      <c r="P2553" s="9">
        <v>193783</v>
      </c>
      <c r="Q2553" s="9">
        <v>16978</v>
      </c>
      <c r="R2553" s="9">
        <v>210761</v>
      </c>
      <c r="S2553" s="9">
        <v>-111869</v>
      </c>
      <c r="T2553" s="10">
        <v>48989</v>
      </c>
      <c r="U2553" s="10">
        <v>585</v>
      </c>
    </row>
    <row r="2554" spans="1:21" x14ac:dyDescent="0.35">
      <c r="A2554" t="s">
        <v>15</v>
      </c>
      <c r="B2554" t="s">
        <v>20</v>
      </c>
      <c r="C2554" t="s">
        <v>17</v>
      </c>
      <c r="D2554">
        <v>238434</v>
      </c>
      <c r="E2554">
        <v>18738</v>
      </c>
      <c r="F2554">
        <v>34836</v>
      </c>
      <c r="G2554">
        <v>-234796</v>
      </c>
      <c r="H2554">
        <v>57212</v>
      </c>
      <c r="I2554">
        <v>54484</v>
      </c>
      <c r="J2554">
        <v>1439</v>
      </c>
      <c r="K2554">
        <v>779344</v>
      </c>
      <c r="L2554">
        <v>350061</v>
      </c>
      <c r="M2554">
        <v>-217061</v>
      </c>
      <c r="N2554">
        <v>177584</v>
      </c>
      <c r="O2554" t="s">
        <v>2572</v>
      </c>
      <c r="P2554" s="9">
        <v>166004</v>
      </c>
      <c r="Q2554" s="9">
        <v>24444</v>
      </c>
      <c r="R2554" s="9">
        <v>190448</v>
      </c>
      <c r="S2554" s="9">
        <v>-64933</v>
      </c>
      <c r="T2554" s="10">
        <v>65017</v>
      </c>
      <c r="U2554" s="10">
        <v>1234</v>
      </c>
    </row>
    <row r="2555" spans="1:21" x14ac:dyDescent="0.35">
      <c r="A2555" t="s">
        <v>15</v>
      </c>
      <c r="B2555" t="s">
        <v>16</v>
      </c>
      <c r="C2555" t="s">
        <v>21</v>
      </c>
      <c r="D2555">
        <v>298073</v>
      </c>
      <c r="E2555">
        <v>46002</v>
      </c>
      <c r="F2555">
        <v>35467</v>
      </c>
      <c r="G2555">
        <v>-280031</v>
      </c>
      <c r="H2555">
        <v>99511</v>
      </c>
      <c r="I2555">
        <v>98584</v>
      </c>
      <c r="J2555">
        <v>1877</v>
      </c>
      <c r="K2555">
        <v>709540</v>
      </c>
      <c r="L2555">
        <v>127981</v>
      </c>
      <c r="M2555">
        <v>-147410</v>
      </c>
      <c r="N2555">
        <v>125098</v>
      </c>
      <c r="O2555" t="s">
        <v>2573</v>
      </c>
      <c r="P2555" s="9">
        <v>276186</v>
      </c>
      <c r="Q2555" s="9">
        <v>33876</v>
      </c>
      <c r="R2555" s="9">
        <v>310062</v>
      </c>
      <c r="S2555" s="9">
        <v>-71866</v>
      </c>
      <c r="T2555" s="10">
        <v>91165</v>
      </c>
      <c r="U2555" s="10">
        <v>1250</v>
      </c>
    </row>
    <row r="2556" spans="1:21" x14ac:dyDescent="0.35">
      <c r="A2556" t="s">
        <v>15</v>
      </c>
      <c r="B2556" t="s">
        <v>20</v>
      </c>
      <c r="C2556" t="s">
        <v>17</v>
      </c>
      <c r="D2556">
        <v>254392</v>
      </c>
      <c r="E2556">
        <v>18143</v>
      </c>
      <c r="F2556">
        <v>26420</v>
      </c>
      <c r="G2556">
        <v>-244243</v>
      </c>
      <c r="H2556">
        <v>54712</v>
      </c>
      <c r="I2556">
        <v>52735</v>
      </c>
      <c r="J2556">
        <v>902</v>
      </c>
      <c r="K2556">
        <v>886687</v>
      </c>
      <c r="L2556">
        <v>256463</v>
      </c>
      <c r="M2556">
        <v>-195252</v>
      </c>
      <c r="N2556">
        <v>96564</v>
      </c>
      <c r="O2556" t="s">
        <v>2574</v>
      </c>
      <c r="P2556" s="9">
        <v>174950</v>
      </c>
      <c r="Q2556" s="9">
        <v>12763</v>
      </c>
      <c r="R2556" s="9">
        <v>187713</v>
      </c>
      <c r="S2556" s="9">
        <v>-50065</v>
      </c>
      <c r="T2556" s="10">
        <v>58082</v>
      </c>
      <c r="U2556" s="10">
        <v>1077</v>
      </c>
    </row>
    <row r="2557" spans="1:21" x14ac:dyDescent="0.35">
      <c r="A2557" t="s">
        <v>15</v>
      </c>
      <c r="B2557" t="s">
        <v>16</v>
      </c>
      <c r="C2557" t="s">
        <v>21</v>
      </c>
      <c r="D2557">
        <v>210217</v>
      </c>
      <c r="E2557">
        <v>12396</v>
      </c>
      <c r="F2557">
        <v>33224</v>
      </c>
      <c r="G2557">
        <v>-202325</v>
      </c>
      <c r="H2557">
        <v>53512</v>
      </c>
      <c r="I2557">
        <v>55800</v>
      </c>
      <c r="J2557">
        <v>1467</v>
      </c>
      <c r="K2557">
        <v>764091</v>
      </c>
      <c r="L2557">
        <v>229159</v>
      </c>
      <c r="M2557">
        <v>-282689</v>
      </c>
      <c r="N2557">
        <v>163544</v>
      </c>
      <c r="O2557" t="s">
        <v>2575</v>
      </c>
      <c r="P2557" s="9">
        <v>164323</v>
      </c>
      <c r="Q2557" s="9">
        <v>31807</v>
      </c>
      <c r="R2557" s="9">
        <v>196130</v>
      </c>
      <c r="S2557" s="9">
        <v>-39338</v>
      </c>
      <c r="T2557" s="10">
        <v>57296</v>
      </c>
      <c r="U2557" s="10">
        <v>1109</v>
      </c>
    </row>
    <row r="2558" spans="1:21" x14ac:dyDescent="0.35">
      <c r="A2558" t="s">
        <v>15</v>
      </c>
      <c r="B2558" t="s">
        <v>16</v>
      </c>
      <c r="C2558" t="s">
        <v>17</v>
      </c>
      <c r="D2558">
        <v>220827</v>
      </c>
      <c r="E2558">
        <v>16110</v>
      </c>
      <c r="F2558">
        <v>36958</v>
      </c>
      <c r="G2558">
        <v>-180213</v>
      </c>
      <c r="H2558">
        <v>93682</v>
      </c>
      <c r="I2558">
        <v>84596</v>
      </c>
      <c r="J2558">
        <v>2372</v>
      </c>
      <c r="K2558">
        <v>488439</v>
      </c>
      <c r="L2558">
        <v>219310</v>
      </c>
      <c r="M2558">
        <v>-166654</v>
      </c>
      <c r="N2558">
        <v>106765</v>
      </c>
      <c r="O2558" t="s">
        <v>2576</v>
      </c>
      <c r="P2558" s="9">
        <v>318027</v>
      </c>
      <c r="Q2558" s="9">
        <v>21691</v>
      </c>
      <c r="R2558" s="9">
        <v>339718</v>
      </c>
      <c r="S2558" s="9">
        <v>-174066</v>
      </c>
      <c r="T2558" s="10">
        <v>98818</v>
      </c>
      <c r="U2558" s="10">
        <v>2051</v>
      </c>
    </row>
    <row r="2559" spans="1:21" x14ac:dyDescent="0.35">
      <c r="A2559" t="s">
        <v>15</v>
      </c>
      <c r="B2559" t="s">
        <v>16</v>
      </c>
      <c r="C2559" t="s">
        <v>21</v>
      </c>
      <c r="D2559">
        <v>188677</v>
      </c>
      <c r="E2559">
        <v>16006</v>
      </c>
      <c r="F2559">
        <v>39184</v>
      </c>
      <c r="G2559">
        <v>-158487</v>
      </c>
      <c r="H2559">
        <v>85380</v>
      </c>
      <c r="I2559">
        <v>89299</v>
      </c>
      <c r="J2559">
        <v>1017</v>
      </c>
      <c r="K2559">
        <v>708592</v>
      </c>
      <c r="L2559">
        <v>72554</v>
      </c>
      <c r="M2559">
        <v>-215249</v>
      </c>
      <c r="N2559">
        <v>69976</v>
      </c>
      <c r="O2559" t="s">
        <v>2577</v>
      </c>
      <c r="P2559" s="9">
        <v>262962</v>
      </c>
      <c r="Q2559" s="9">
        <v>27178</v>
      </c>
      <c r="R2559" s="9">
        <v>290140</v>
      </c>
      <c r="S2559" s="9">
        <v>-72185</v>
      </c>
      <c r="T2559" s="10">
        <v>58582</v>
      </c>
      <c r="U2559" s="10">
        <v>1073</v>
      </c>
    </row>
    <row r="2560" spans="1:21" x14ac:dyDescent="0.35">
      <c r="A2560" t="s">
        <v>15</v>
      </c>
      <c r="B2560" t="s">
        <v>20</v>
      </c>
      <c r="C2560" t="s">
        <v>21</v>
      </c>
      <c r="D2560">
        <v>236455</v>
      </c>
      <c r="E2560">
        <v>22451</v>
      </c>
      <c r="F2560">
        <v>31961</v>
      </c>
      <c r="G2560">
        <v>-196009</v>
      </c>
      <c r="H2560">
        <v>94858</v>
      </c>
      <c r="I2560">
        <v>97747</v>
      </c>
      <c r="J2560">
        <v>1238</v>
      </c>
      <c r="K2560">
        <v>680180</v>
      </c>
      <c r="L2560">
        <v>272848</v>
      </c>
      <c r="M2560">
        <v>-113518</v>
      </c>
      <c r="N2560">
        <v>211414</v>
      </c>
      <c r="O2560" t="s">
        <v>2578</v>
      </c>
      <c r="P2560" s="9">
        <v>232591</v>
      </c>
      <c r="Q2560" s="9">
        <v>48825</v>
      </c>
      <c r="R2560" s="9">
        <v>281416</v>
      </c>
      <c r="S2560" s="9">
        <v>-137586</v>
      </c>
      <c r="T2560" s="10">
        <v>90097</v>
      </c>
      <c r="U2560" s="10">
        <v>1380</v>
      </c>
    </row>
    <row r="2561" spans="1:21" x14ac:dyDescent="0.35">
      <c r="A2561" t="s">
        <v>15</v>
      </c>
      <c r="B2561" t="s">
        <v>16</v>
      </c>
      <c r="C2561" t="s">
        <v>21</v>
      </c>
      <c r="D2561">
        <v>160356</v>
      </c>
      <c r="E2561">
        <v>24480</v>
      </c>
      <c r="F2561">
        <v>20433</v>
      </c>
      <c r="G2561">
        <v>-136258</v>
      </c>
      <c r="H2561">
        <v>69011</v>
      </c>
      <c r="I2561">
        <v>63029</v>
      </c>
      <c r="J2561">
        <v>1681</v>
      </c>
      <c r="K2561">
        <v>564933</v>
      </c>
      <c r="L2561">
        <v>271887</v>
      </c>
      <c r="M2561">
        <v>-100054</v>
      </c>
      <c r="N2561">
        <v>65548</v>
      </c>
      <c r="O2561" t="s">
        <v>2579</v>
      </c>
      <c r="P2561" s="9">
        <v>175120</v>
      </c>
      <c r="Q2561" s="9">
        <v>14892</v>
      </c>
      <c r="R2561" s="9">
        <v>190012</v>
      </c>
      <c r="S2561" s="9">
        <v>-101131</v>
      </c>
      <c r="T2561" s="10">
        <v>59375</v>
      </c>
      <c r="U2561" s="10">
        <v>1326</v>
      </c>
    </row>
    <row r="2562" spans="1:21" x14ac:dyDescent="0.35">
      <c r="A2562" t="s">
        <v>15</v>
      </c>
      <c r="B2562" t="s">
        <v>20</v>
      </c>
      <c r="C2562" t="s">
        <v>21</v>
      </c>
      <c r="D2562">
        <v>180512</v>
      </c>
      <c r="E2562">
        <v>15465</v>
      </c>
      <c r="F2562">
        <v>22355</v>
      </c>
      <c r="G2562">
        <v>-161298</v>
      </c>
      <c r="H2562">
        <v>57034</v>
      </c>
      <c r="I2562">
        <v>58392</v>
      </c>
      <c r="J2562">
        <v>1363</v>
      </c>
      <c r="K2562">
        <v>716373</v>
      </c>
      <c r="L2562">
        <v>214701</v>
      </c>
      <c r="M2562">
        <v>-226582</v>
      </c>
      <c r="N2562">
        <v>70259</v>
      </c>
      <c r="O2562" t="s">
        <v>2580</v>
      </c>
      <c r="P2562" s="9">
        <v>176132</v>
      </c>
      <c r="Q2562" s="9">
        <v>20703</v>
      </c>
      <c r="R2562" s="9">
        <v>196835</v>
      </c>
      <c r="S2562" s="9">
        <v>-68861</v>
      </c>
      <c r="T2562" s="10">
        <v>47233</v>
      </c>
      <c r="U2562" s="10">
        <v>727</v>
      </c>
    </row>
    <row r="2563" spans="1:21" x14ac:dyDescent="0.35">
      <c r="A2563" t="s">
        <v>15</v>
      </c>
      <c r="B2563" t="s">
        <v>20</v>
      </c>
      <c r="C2563" t="s">
        <v>21</v>
      </c>
      <c r="D2563">
        <v>299319</v>
      </c>
      <c r="E2563">
        <v>58321</v>
      </c>
      <c r="F2563">
        <v>70092</v>
      </c>
      <c r="G2563">
        <v>-267418</v>
      </c>
      <c r="H2563">
        <v>160314</v>
      </c>
      <c r="I2563">
        <v>150857</v>
      </c>
      <c r="J2563">
        <v>3020</v>
      </c>
      <c r="K2563">
        <v>880136</v>
      </c>
      <c r="L2563">
        <v>120497</v>
      </c>
      <c r="M2563">
        <v>-255855</v>
      </c>
      <c r="N2563">
        <v>89928</v>
      </c>
      <c r="O2563" t="s">
        <v>2581</v>
      </c>
      <c r="P2563" s="9">
        <v>291858</v>
      </c>
      <c r="Q2563" s="9">
        <v>40360</v>
      </c>
      <c r="R2563" s="9">
        <v>332218</v>
      </c>
      <c r="S2563" s="9">
        <v>-161436</v>
      </c>
      <c r="T2563" s="10">
        <v>116481</v>
      </c>
      <c r="U2563" s="10">
        <v>2378</v>
      </c>
    </row>
    <row r="2564" spans="1:21" x14ac:dyDescent="0.35">
      <c r="A2564" t="s">
        <v>15</v>
      </c>
      <c r="B2564" t="s">
        <v>16</v>
      </c>
      <c r="C2564" t="s">
        <v>21</v>
      </c>
      <c r="D2564">
        <v>291986</v>
      </c>
      <c r="E2564">
        <v>35637</v>
      </c>
      <c r="F2564">
        <v>40567</v>
      </c>
      <c r="G2564">
        <v>-251246</v>
      </c>
      <c r="H2564">
        <v>116944</v>
      </c>
      <c r="I2564">
        <v>116995</v>
      </c>
      <c r="J2564">
        <v>2071</v>
      </c>
      <c r="K2564">
        <v>760976</v>
      </c>
      <c r="L2564">
        <v>366207</v>
      </c>
      <c r="M2564">
        <v>-299235</v>
      </c>
      <c r="N2564">
        <v>202875</v>
      </c>
      <c r="O2564" t="s">
        <v>2582</v>
      </c>
      <c r="P2564" s="9">
        <v>171815</v>
      </c>
      <c r="Q2564" s="9">
        <v>13331</v>
      </c>
      <c r="R2564" s="9">
        <v>185146</v>
      </c>
      <c r="S2564" s="9">
        <v>-41618</v>
      </c>
      <c r="T2564" s="10">
        <v>57941</v>
      </c>
      <c r="U2564" s="10">
        <v>1004</v>
      </c>
    </row>
    <row r="2565" spans="1:21" x14ac:dyDescent="0.35">
      <c r="A2565" t="s">
        <v>15</v>
      </c>
      <c r="B2565" t="s">
        <v>16</v>
      </c>
      <c r="C2565" t="s">
        <v>21</v>
      </c>
      <c r="D2565">
        <v>167451</v>
      </c>
      <c r="E2565">
        <v>15507</v>
      </c>
      <c r="F2565">
        <v>29608</v>
      </c>
      <c r="G2565">
        <v>-149816</v>
      </c>
      <c r="H2565">
        <v>62750</v>
      </c>
      <c r="I2565">
        <v>59515</v>
      </c>
      <c r="J2565">
        <v>1012</v>
      </c>
      <c r="K2565">
        <v>433612</v>
      </c>
      <c r="L2565">
        <v>186582</v>
      </c>
      <c r="M2565">
        <v>-111619</v>
      </c>
      <c r="N2565">
        <v>90845</v>
      </c>
      <c r="O2565" t="s">
        <v>2583</v>
      </c>
      <c r="P2565" s="9">
        <v>178231</v>
      </c>
      <c r="Q2565" s="9">
        <v>32104</v>
      </c>
      <c r="R2565" s="9">
        <v>210335</v>
      </c>
      <c r="S2565" s="9">
        <v>-67337</v>
      </c>
      <c r="T2565" s="10">
        <v>103037</v>
      </c>
      <c r="U2565" s="10">
        <v>2329</v>
      </c>
    </row>
    <row r="2566" spans="1:21" x14ac:dyDescent="0.35">
      <c r="A2566" t="s">
        <v>15</v>
      </c>
      <c r="B2566" t="s">
        <v>20</v>
      </c>
      <c r="C2566" t="s">
        <v>17</v>
      </c>
      <c r="D2566">
        <v>169702</v>
      </c>
      <c r="E2566">
        <v>18995</v>
      </c>
      <c r="F2566">
        <v>31781</v>
      </c>
      <c r="G2566">
        <v>-148212</v>
      </c>
      <c r="H2566">
        <v>72266</v>
      </c>
      <c r="I2566">
        <v>71578</v>
      </c>
      <c r="J2566">
        <v>2050</v>
      </c>
      <c r="K2566">
        <v>397860</v>
      </c>
      <c r="L2566">
        <v>55233</v>
      </c>
      <c r="M2566">
        <v>-94255</v>
      </c>
      <c r="N2566">
        <v>101694</v>
      </c>
      <c r="O2566" t="s">
        <v>2584</v>
      </c>
      <c r="P2566" s="9">
        <v>278427</v>
      </c>
      <c r="Q2566" s="9">
        <v>16815</v>
      </c>
      <c r="R2566" s="9">
        <v>295242</v>
      </c>
      <c r="S2566" s="9">
        <v>-116397</v>
      </c>
      <c r="T2566" s="10">
        <v>126593</v>
      </c>
      <c r="U2566" s="10">
        <v>3704</v>
      </c>
    </row>
    <row r="2567" spans="1:21" x14ac:dyDescent="0.35">
      <c r="A2567" t="s">
        <v>15</v>
      </c>
      <c r="B2567" t="s">
        <v>16</v>
      </c>
      <c r="C2567" t="s">
        <v>21</v>
      </c>
      <c r="D2567">
        <v>181364</v>
      </c>
      <c r="E2567">
        <v>19879</v>
      </c>
      <c r="F2567">
        <v>44977</v>
      </c>
      <c r="G2567">
        <v>-148395</v>
      </c>
      <c r="H2567">
        <v>97825</v>
      </c>
      <c r="I2567">
        <v>100211</v>
      </c>
      <c r="J2567">
        <v>2372</v>
      </c>
      <c r="K2567">
        <v>376991</v>
      </c>
      <c r="L2567">
        <v>46678</v>
      </c>
      <c r="M2567">
        <v>-97937</v>
      </c>
      <c r="N2567">
        <v>86694</v>
      </c>
      <c r="O2567" t="s">
        <v>2585</v>
      </c>
      <c r="P2567" s="9">
        <v>220518</v>
      </c>
      <c r="Q2567" s="9">
        <v>46569</v>
      </c>
      <c r="R2567" s="9">
        <v>267087</v>
      </c>
      <c r="S2567" s="9">
        <v>-140625</v>
      </c>
      <c r="T2567" s="10">
        <v>73073</v>
      </c>
      <c r="U2567" s="10">
        <v>1481</v>
      </c>
    </row>
    <row r="2568" spans="1:21" x14ac:dyDescent="0.35">
      <c r="A2568" t="s">
        <v>15</v>
      </c>
      <c r="B2568" t="s">
        <v>16</v>
      </c>
      <c r="C2568" t="s">
        <v>21</v>
      </c>
      <c r="D2568">
        <v>239567</v>
      </c>
      <c r="E2568">
        <v>32811</v>
      </c>
      <c r="F2568">
        <v>24081</v>
      </c>
      <c r="G2568">
        <v>-215982</v>
      </c>
      <c r="H2568">
        <v>80477</v>
      </c>
      <c r="I2568">
        <v>75970</v>
      </c>
      <c r="J2568">
        <v>1882</v>
      </c>
      <c r="K2568">
        <v>497369</v>
      </c>
      <c r="L2568">
        <v>224640</v>
      </c>
      <c r="M2568">
        <v>-96509</v>
      </c>
      <c r="N2568">
        <v>144819</v>
      </c>
      <c r="O2568" t="s">
        <v>2586</v>
      </c>
      <c r="P2568" s="9">
        <v>162955</v>
      </c>
      <c r="Q2568" s="9">
        <v>18776</v>
      </c>
      <c r="R2568" s="9">
        <v>181731</v>
      </c>
      <c r="S2568" s="9">
        <v>-71750</v>
      </c>
      <c r="T2568" s="10">
        <v>70371</v>
      </c>
      <c r="U2568" s="10">
        <v>1127</v>
      </c>
    </row>
    <row r="2569" spans="1:21" x14ac:dyDescent="0.35">
      <c r="A2569" t="s">
        <v>15</v>
      </c>
      <c r="B2569" t="s">
        <v>16</v>
      </c>
      <c r="C2569" t="s">
        <v>21</v>
      </c>
      <c r="D2569">
        <v>278875</v>
      </c>
      <c r="E2569">
        <v>45990</v>
      </c>
      <c r="F2569">
        <v>32517</v>
      </c>
      <c r="G2569">
        <v>-271375</v>
      </c>
      <c r="H2569">
        <v>86007</v>
      </c>
      <c r="I2569">
        <v>80252</v>
      </c>
      <c r="J2569">
        <v>1408</v>
      </c>
      <c r="K2569">
        <v>1089671</v>
      </c>
      <c r="L2569">
        <v>220780</v>
      </c>
      <c r="M2569">
        <v>-174719</v>
      </c>
      <c r="N2569">
        <v>201808</v>
      </c>
      <c r="O2569" t="s">
        <v>2587</v>
      </c>
      <c r="P2569" s="9">
        <v>261898</v>
      </c>
      <c r="Q2569" s="9">
        <v>15592</v>
      </c>
      <c r="R2569" s="9">
        <v>277490</v>
      </c>
      <c r="S2569" s="9">
        <v>-103435</v>
      </c>
      <c r="T2569" s="10">
        <v>58793</v>
      </c>
      <c r="U2569" s="10">
        <v>1265</v>
      </c>
    </row>
    <row r="2570" spans="1:21" x14ac:dyDescent="0.35">
      <c r="A2570" t="s">
        <v>15</v>
      </c>
      <c r="B2570" t="s">
        <v>20</v>
      </c>
      <c r="C2570" t="s">
        <v>17</v>
      </c>
      <c r="D2570">
        <v>240354</v>
      </c>
      <c r="E2570">
        <v>31248</v>
      </c>
      <c r="F2570">
        <v>26928</v>
      </c>
      <c r="G2570">
        <v>-195270</v>
      </c>
      <c r="H2570">
        <v>103260</v>
      </c>
      <c r="I2570">
        <v>105605</v>
      </c>
      <c r="J2570">
        <v>1274</v>
      </c>
      <c r="K2570">
        <v>740920</v>
      </c>
      <c r="L2570">
        <v>101023</v>
      </c>
      <c r="M2570">
        <v>-148639</v>
      </c>
      <c r="N2570">
        <v>90865</v>
      </c>
      <c r="O2570" t="s">
        <v>2588</v>
      </c>
      <c r="P2570" s="9">
        <v>271745</v>
      </c>
      <c r="Q2570" s="9">
        <v>27630</v>
      </c>
      <c r="R2570" s="9">
        <v>299375</v>
      </c>
      <c r="S2570" s="9">
        <v>-168423</v>
      </c>
      <c r="T2570" s="10">
        <v>109606</v>
      </c>
      <c r="U2570" s="10">
        <v>2906</v>
      </c>
    </row>
    <row r="2571" spans="1:21" x14ac:dyDescent="0.35">
      <c r="A2571" t="s">
        <v>15</v>
      </c>
      <c r="B2571" t="s">
        <v>16</v>
      </c>
      <c r="C2571" t="s">
        <v>17</v>
      </c>
      <c r="D2571">
        <v>260205</v>
      </c>
      <c r="E2571">
        <v>20811</v>
      </c>
      <c r="F2571">
        <v>27001</v>
      </c>
      <c r="G2571">
        <v>-229018</v>
      </c>
      <c r="H2571">
        <v>78999</v>
      </c>
      <c r="I2571">
        <v>73497</v>
      </c>
      <c r="J2571">
        <v>830</v>
      </c>
      <c r="K2571">
        <v>796622</v>
      </c>
      <c r="L2571">
        <v>98477</v>
      </c>
      <c r="M2571">
        <v>-209299</v>
      </c>
      <c r="N2571">
        <v>121423</v>
      </c>
      <c r="O2571" t="s">
        <v>2589</v>
      </c>
      <c r="P2571" s="9">
        <v>171755</v>
      </c>
      <c r="Q2571" s="9">
        <v>16191</v>
      </c>
      <c r="R2571" s="9">
        <v>187946</v>
      </c>
      <c r="S2571" s="9">
        <v>-87489</v>
      </c>
      <c r="T2571" s="10">
        <v>45267</v>
      </c>
      <c r="U2571" s="10">
        <v>721</v>
      </c>
    </row>
    <row r="2572" spans="1:21" x14ac:dyDescent="0.35">
      <c r="A2572" t="s">
        <v>15</v>
      </c>
      <c r="B2572" t="s">
        <v>20</v>
      </c>
      <c r="C2572" t="s">
        <v>21</v>
      </c>
      <c r="D2572">
        <v>252758</v>
      </c>
      <c r="E2572">
        <v>17837</v>
      </c>
      <c r="F2572">
        <v>49402</v>
      </c>
      <c r="G2572">
        <v>-252211</v>
      </c>
      <c r="H2572">
        <v>67786</v>
      </c>
      <c r="I2572">
        <v>67064</v>
      </c>
      <c r="J2572">
        <v>1970</v>
      </c>
      <c r="K2572">
        <v>571431</v>
      </c>
      <c r="L2572">
        <v>270854</v>
      </c>
      <c r="M2572">
        <v>-199762</v>
      </c>
      <c r="N2572">
        <v>153768</v>
      </c>
      <c r="O2572" t="s">
        <v>2590</v>
      </c>
      <c r="P2572" s="9">
        <v>245361</v>
      </c>
      <c r="Q2572" s="9">
        <v>37773</v>
      </c>
      <c r="R2572" s="9">
        <v>283134</v>
      </c>
      <c r="S2572" s="9">
        <v>-153731</v>
      </c>
      <c r="T2572" s="10">
        <v>99388</v>
      </c>
      <c r="U2572" s="10">
        <v>1356</v>
      </c>
    </row>
    <row r="2573" spans="1:21" x14ac:dyDescent="0.35">
      <c r="A2573" t="s">
        <v>15</v>
      </c>
      <c r="B2573" t="s">
        <v>20</v>
      </c>
      <c r="C2573" t="s">
        <v>21</v>
      </c>
      <c r="D2573">
        <v>280871</v>
      </c>
      <c r="E2573">
        <v>41796</v>
      </c>
      <c r="F2573">
        <v>35644</v>
      </c>
      <c r="G2573">
        <v>-235345</v>
      </c>
      <c r="H2573">
        <v>122966</v>
      </c>
      <c r="I2573">
        <v>114176</v>
      </c>
      <c r="J2573">
        <v>1961</v>
      </c>
      <c r="K2573">
        <v>795628</v>
      </c>
      <c r="L2573">
        <v>166165</v>
      </c>
      <c r="M2573">
        <v>-125331</v>
      </c>
      <c r="N2573">
        <v>115745</v>
      </c>
      <c r="O2573" t="s">
        <v>2591</v>
      </c>
      <c r="P2573" s="9">
        <v>202795</v>
      </c>
      <c r="Q2573" s="9">
        <v>36691</v>
      </c>
      <c r="R2573" s="9">
        <v>239486</v>
      </c>
      <c r="S2573" s="9">
        <v>-98837</v>
      </c>
      <c r="T2573" s="10">
        <v>89574</v>
      </c>
      <c r="U2573" s="10">
        <v>2362</v>
      </c>
    </row>
    <row r="2574" spans="1:21" x14ac:dyDescent="0.35">
      <c r="A2574" t="s">
        <v>15</v>
      </c>
      <c r="B2574" t="s">
        <v>16</v>
      </c>
      <c r="C2574" t="s">
        <v>21</v>
      </c>
      <c r="D2574">
        <v>173716</v>
      </c>
      <c r="E2574">
        <v>20822</v>
      </c>
      <c r="F2574">
        <v>20570</v>
      </c>
      <c r="G2574">
        <v>-146924</v>
      </c>
      <c r="H2574">
        <v>68184</v>
      </c>
      <c r="I2574">
        <v>61399</v>
      </c>
      <c r="J2574">
        <v>1527</v>
      </c>
      <c r="K2574">
        <v>603663</v>
      </c>
      <c r="L2574">
        <v>199259</v>
      </c>
      <c r="M2574">
        <v>-177581</v>
      </c>
      <c r="N2574">
        <v>123083</v>
      </c>
      <c r="O2574" t="s">
        <v>2592</v>
      </c>
      <c r="P2574" s="9">
        <v>275515</v>
      </c>
      <c r="Q2574" s="9">
        <v>21748</v>
      </c>
      <c r="R2574" s="9">
        <v>297263</v>
      </c>
      <c r="S2574" s="9">
        <v>-144688</v>
      </c>
      <c r="T2574" s="10">
        <v>129035</v>
      </c>
      <c r="U2574" s="10">
        <v>2739</v>
      </c>
    </row>
    <row r="2575" spans="1:21" x14ac:dyDescent="0.35">
      <c r="A2575" t="s">
        <v>15</v>
      </c>
      <c r="B2575" t="s">
        <v>20</v>
      </c>
      <c r="C2575" t="s">
        <v>17</v>
      </c>
      <c r="D2575">
        <v>179101</v>
      </c>
      <c r="E2575">
        <v>26325</v>
      </c>
      <c r="F2575">
        <v>30846</v>
      </c>
      <c r="G2575">
        <v>-146621</v>
      </c>
      <c r="H2575">
        <v>89651</v>
      </c>
      <c r="I2575">
        <v>84898</v>
      </c>
      <c r="J2575">
        <v>2111</v>
      </c>
      <c r="K2575">
        <v>542325</v>
      </c>
      <c r="L2575">
        <v>203417</v>
      </c>
      <c r="M2575">
        <v>-77506</v>
      </c>
      <c r="N2575">
        <v>86079</v>
      </c>
      <c r="O2575" t="s">
        <v>2593</v>
      </c>
      <c r="P2575" s="9">
        <v>150941</v>
      </c>
      <c r="Q2575" s="9">
        <v>16565</v>
      </c>
      <c r="R2575" s="9">
        <v>167506</v>
      </c>
      <c r="S2575" s="9">
        <v>-58459</v>
      </c>
      <c r="T2575" s="10">
        <v>60064</v>
      </c>
      <c r="U2575" s="10">
        <v>747</v>
      </c>
    </row>
    <row r="2576" spans="1:21" x14ac:dyDescent="0.35">
      <c r="A2576" t="s">
        <v>15</v>
      </c>
      <c r="B2576" t="s">
        <v>16</v>
      </c>
      <c r="C2576" t="s">
        <v>21</v>
      </c>
      <c r="D2576">
        <v>266688</v>
      </c>
      <c r="E2576">
        <v>41071</v>
      </c>
      <c r="F2576">
        <v>56802</v>
      </c>
      <c r="G2576">
        <v>-238988</v>
      </c>
      <c r="H2576">
        <v>125573</v>
      </c>
      <c r="I2576">
        <v>128646</v>
      </c>
      <c r="J2576">
        <v>3810</v>
      </c>
      <c r="K2576">
        <v>798800</v>
      </c>
      <c r="L2576">
        <v>373110</v>
      </c>
      <c r="M2576">
        <v>-178150</v>
      </c>
      <c r="N2576">
        <v>181246</v>
      </c>
      <c r="O2576" t="s">
        <v>2594</v>
      </c>
      <c r="P2576" s="9">
        <v>174009</v>
      </c>
      <c r="Q2576" s="9">
        <v>35104</v>
      </c>
      <c r="R2576" s="9">
        <v>209113</v>
      </c>
      <c r="S2576" s="9">
        <v>-89216</v>
      </c>
      <c r="T2576" s="10">
        <v>92867</v>
      </c>
      <c r="U2576" s="10">
        <v>1820</v>
      </c>
    </row>
    <row r="2577" spans="1:21" x14ac:dyDescent="0.35">
      <c r="A2577" t="s">
        <v>15</v>
      </c>
      <c r="B2577" t="s">
        <v>16</v>
      </c>
      <c r="C2577" t="s">
        <v>21</v>
      </c>
      <c r="D2577">
        <v>184277</v>
      </c>
      <c r="E2577">
        <v>12673</v>
      </c>
      <c r="F2577">
        <v>30583</v>
      </c>
      <c r="G2577">
        <v>-181120</v>
      </c>
      <c r="H2577">
        <v>46413</v>
      </c>
      <c r="I2577">
        <v>44386</v>
      </c>
      <c r="J2577">
        <v>997</v>
      </c>
      <c r="K2577">
        <v>571633</v>
      </c>
      <c r="L2577">
        <v>231832</v>
      </c>
      <c r="M2577">
        <v>-139844</v>
      </c>
      <c r="N2577">
        <v>158850</v>
      </c>
      <c r="O2577" t="s">
        <v>2595</v>
      </c>
      <c r="P2577" s="9">
        <v>243052</v>
      </c>
      <c r="Q2577" s="9">
        <v>13750</v>
      </c>
      <c r="R2577" s="9">
        <v>256802</v>
      </c>
      <c r="S2577" s="9">
        <v>-79296</v>
      </c>
      <c r="T2577" s="10">
        <v>99385</v>
      </c>
      <c r="U2577" s="10">
        <v>1410</v>
      </c>
    </row>
    <row r="2578" spans="1:21" x14ac:dyDescent="0.35">
      <c r="A2578" t="s">
        <v>15</v>
      </c>
      <c r="B2578" t="s">
        <v>20</v>
      </c>
      <c r="C2578" t="s">
        <v>17</v>
      </c>
      <c r="D2578">
        <v>239495</v>
      </c>
      <c r="E2578">
        <v>47510</v>
      </c>
      <c r="F2578">
        <v>36309</v>
      </c>
      <c r="G2578">
        <v>-200493</v>
      </c>
      <c r="H2578">
        <v>122821</v>
      </c>
      <c r="I2578">
        <v>124993</v>
      </c>
      <c r="J2578">
        <v>2879</v>
      </c>
      <c r="K2578">
        <v>484433</v>
      </c>
      <c r="L2578">
        <v>67799</v>
      </c>
      <c r="M2578">
        <v>-76666</v>
      </c>
      <c r="N2578">
        <v>185667</v>
      </c>
      <c r="O2578" t="s">
        <v>2596</v>
      </c>
      <c r="P2578" s="9">
        <v>308009</v>
      </c>
      <c r="Q2578" s="9">
        <v>48341</v>
      </c>
      <c r="R2578" s="9">
        <v>356350</v>
      </c>
      <c r="S2578" s="9">
        <v>-100356</v>
      </c>
      <c r="T2578" s="10">
        <v>137540</v>
      </c>
      <c r="U2578" s="10">
        <v>1959</v>
      </c>
    </row>
    <row r="2579" spans="1:21" x14ac:dyDescent="0.35">
      <c r="A2579" t="s">
        <v>15</v>
      </c>
      <c r="B2579" t="s">
        <v>16</v>
      </c>
      <c r="C2579" t="s">
        <v>21</v>
      </c>
      <c r="D2579">
        <v>265805</v>
      </c>
      <c r="E2579">
        <v>14019</v>
      </c>
      <c r="F2579">
        <v>34622</v>
      </c>
      <c r="G2579">
        <v>-250296</v>
      </c>
      <c r="H2579">
        <v>64150</v>
      </c>
      <c r="I2579">
        <v>62536</v>
      </c>
      <c r="J2579">
        <v>1003</v>
      </c>
      <c r="K2579">
        <v>542344</v>
      </c>
      <c r="L2579">
        <v>259492</v>
      </c>
      <c r="M2579">
        <v>-122260</v>
      </c>
      <c r="N2579">
        <v>176409</v>
      </c>
      <c r="O2579" t="s">
        <v>2597</v>
      </c>
      <c r="P2579" s="9">
        <v>306532</v>
      </c>
      <c r="Q2579" s="9">
        <v>39811</v>
      </c>
      <c r="R2579" s="9">
        <v>346343</v>
      </c>
      <c r="S2579" s="9">
        <v>-152695</v>
      </c>
      <c r="T2579" s="10">
        <v>77494</v>
      </c>
      <c r="U2579" s="10">
        <v>1514</v>
      </c>
    </row>
    <row r="2580" spans="1:21" x14ac:dyDescent="0.35">
      <c r="A2580" t="s">
        <v>15</v>
      </c>
      <c r="B2580" t="s">
        <v>16</v>
      </c>
      <c r="C2580" t="s">
        <v>17</v>
      </c>
      <c r="D2580">
        <v>212999</v>
      </c>
      <c r="E2580">
        <v>31819</v>
      </c>
      <c r="F2580">
        <v>35682</v>
      </c>
      <c r="G2580">
        <v>-193964</v>
      </c>
      <c r="H2580">
        <v>86536</v>
      </c>
      <c r="I2580">
        <v>90764</v>
      </c>
      <c r="J2580">
        <v>1564</v>
      </c>
      <c r="K2580">
        <v>566143</v>
      </c>
      <c r="L2580">
        <v>208968</v>
      </c>
      <c r="M2580">
        <v>-59011</v>
      </c>
      <c r="N2580">
        <v>154137</v>
      </c>
      <c r="O2580" t="s">
        <v>2598</v>
      </c>
      <c r="P2580" s="9">
        <v>157978</v>
      </c>
      <c r="Q2580" s="9">
        <v>22898</v>
      </c>
      <c r="R2580" s="9">
        <v>180876</v>
      </c>
      <c r="S2580" s="9">
        <v>-97093</v>
      </c>
      <c r="T2580" s="10">
        <v>57367</v>
      </c>
      <c r="U2580" s="10">
        <v>1706</v>
      </c>
    </row>
    <row r="2581" spans="1:21" x14ac:dyDescent="0.35">
      <c r="A2581" t="s">
        <v>15</v>
      </c>
      <c r="B2581" t="s">
        <v>16</v>
      </c>
      <c r="C2581" t="s">
        <v>21</v>
      </c>
      <c r="D2581">
        <v>171618</v>
      </c>
      <c r="E2581">
        <v>28115</v>
      </c>
      <c r="F2581">
        <v>34662</v>
      </c>
      <c r="G2581">
        <v>-167437</v>
      </c>
      <c r="H2581">
        <v>66958</v>
      </c>
      <c r="I2581">
        <v>61944</v>
      </c>
      <c r="J2581">
        <v>1726</v>
      </c>
      <c r="K2581">
        <v>556978</v>
      </c>
      <c r="L2581">
        <v>195833</v>
      </c>
      <c r="M2581">
        <v>-63698</v>
      </c>
      <c r="N2581">
        <v>52601</v>
      </c>
      <c r="O2581" t="s">
        <v>2599</v>
      </c>
      <c r="P2581" s="9">
        <v>246975</v>
      </c>
      <c r="Q2581" s="9">
        <v>46012</v>
      </c>
      <c r="R2581" s="9">
        <v>292987</v>
      </c>
      <c r="S2581" s="9">
        <v>-174251</v>
      </c>
      <c r="T2581" s="10">
        <v>123337</v>
      </c>
      <c r="U2581" s="10">
        <v>3355</v>
      </c>
    </row>
    <row r="2582" spans="1:21" x14ac:dyDescent="0.35">
      <c r="A2582" t="s">
        <v>15</v>
      </c>
      <c r="B2582" t="s">
        <v>20</v>
      </c>
      <c r="C2582" t="s">
        <v>21</v>
      </c>
      <c r="D2582">
        <v>201950</v>
      </c>
      <c r="E2582">
        <v>16099</v>
      </c>
      <c r="F2582">
        <v>33224</v>
      </c>
      <c r="G2582">
        <v>-171111</v>
      </c>
      <c r="H2582">
        <v>80162</v>
      </c>
      <c r="I2582">
        <v>80519</v>
      </c>
      <c r="J2582">
        <v>1477</v>
      </c>
      <c r="K2582">
        <v>465698</v>
      </c>
      <c r="L2582">
        <v>178563</v>
      </c>
      <c r="M2582">
        <v>-171056</v>
      </c>
      <c r="N2582">
        <v>114962</v>
      </c>
      <c r="O2582" t="s">
        <v>2600</v>
      </c>
      <c r="P2582" s="9">
        <v>219647</v>
      </c>
      <c r="Q2582" s="9">
        <v>14180</v>
      </c>
      <c r="R2582" s="9">
        <v>233827</v>
      </c>
      <c r="S2582" s="9">
        <v>-116953</v>
      </c>
      <c r="T2582" s="10">
        <v>80222</v>
      </c>
      <c r="U2582" s="10">
        <v>1490</v>
      </c>
    </row>
    <row r="2583" spans="1:21" x14ac:dyDescent="0.35">
      <c r="A2583" t="s">
        <v>15</v>
      </c>
      <c r="B2583" t="s">
        <v>16</v>
      </c>
      <c r="C2583" t="s">
        <v>21</v>
      </c>
      <c r="D2583">
        <v>218914</v>
      </c>
      <c r="E2583">
        <v>11042</v>
      </c>
      <c r="F2583">
        <v>38638</v>
      </c>
      <c r="G2583">
        <v>-209184</v>
      </c>
      <c r="H2583">
        <v>59410</v>
      </c>
      <c r="I2583">
        <v>54774</v>
      </c>
      <c r="J2583">
        <v>1342</v>
      </c>
      <c r="K2583">
        <v>505781</v>
      </c>
      <c r="L2583">
        <v>87729</v>
      </c>
      <c r="M2583">
        <v>-175322</v>
      </c>
      <c r="N2583">
        <v>180888</v>
      </c>
      <c r="O2583" t="s">
        <v>2601</v>
      </c>
      <c r="P2583" s="9">
        <v>310758</v>
      </c>
      <c r="Q2583" s="9">
        <v>32774</v>
      </c>
      <c r="R2583" s="9">
        <v>343532</v>
      </c>
      <c r="S2583" s="9">
        <v>-99161</v>
      </c>
      <c r="T2583" s="10">
        <v>126603</v>
      </c>
      <c r="U2583" s="10">
        <v>2159</v>
      </c>
    </row>
    <row r="2584" spans="1:21" x14ac:dyDescent="0.35">
      <c r="A2584" t="s">
        <v>15</v>
      </c>
      <c r="B2584" t="s">
        <v>16</v>
      </c>
      <c r="C2584" t="s">
        <v>21</v>
      </c>
      <c r="D2584">
        <v>224905</v>
      </c>
      <c r="E2584">
        <v>15022</v>
      </c>
      <c r="F2584">
        <v>36426</v>
      </c>
      <c r="G2584">
        <v>-206711</v>
      </c>
      <c r="H2584">
        <v>69642</v>
      </c>
      <c r="I2584">
        <v>66444</v>
      </c>
      <c r="J2584">
        <v>766</v>
      </c>
      <c r="K2584">
        <v>594928</v>
      </c>
      <c r="L2584">
        <v>130995</v>
      </c>
      <c r="M2584">
        <v>-86847</v>
      </c>
      <c r="N2584">
        <v>137761</v>
      </c>
      <c r="O2584" t="s">
        <v>2602</v>
      </c>
      <c r="P2584" s="9">
        <v>206256</v>
      </c>
      <c r="Q2584" s="9">
        <v>18902</v>
      </c>
      <c r="R2584" s="9">
        <v>225158</v>
      </c>
      <c r="S2584" s="9">
        <v>-64862</v>
      </c>
      <c r="T2584" s="10">
        <v>61432</v>
      </c>
      <c r="U2584" s="10">
        <v>1291</v>
      </c>
    </row>
    <row r="2585" spans="1:21" x14ac:dyDescent="0.35">
      <c r="A2585" t="s">
        <v>15</v>
      </c>
      <c r="B2585" t="s">
        <v>16</v>
      </c>
      <c r="C2585" t="s">
        <v>21</v>
      </c>
      <c r="D2585">
        <v>299189</v>
      </c>
      <c r="E2585">
        <v>39010</v>
      </c>
      <c r="F2585">
        <v>72475</v>
      </c>
      <c r="G2585">
        <v>-249445</v>
      </c>
      <c r="H2585">
        <v>161229</v>
      </c>
      <c r="I2585">
        <v>158172</v>
      </c>
      <c r="J2585">
        <v>4627</v>
      </c>
      <c r="K2585">
        <v>906861</v>
      </c>
      <c r="L2585">
        <v>123237</v>
      </c>
      <c r="M2585">
        <v>-295165</v>
      </c>
      <c r="N2585">
        <v>184326</v>
      </c>
      <c r="O2585" t="s">
        <v>2603</v>
      </c>
      <c r="P2585" s="9">
        <v>165170</v>
      </c>
      <c r="Q2585" s="9">
        <v>29133</v>
      </c>
      <c r="R2585" s="9">
        <v>194303</v>
      </c>
      <c r="S2585" s="9">
        <v>-79046</v>
      </c>
      <c r="T2585" s="10">
        <v>69746</v>
      </c>
      <c r="U2585" s="10">
        <v>1290</v>
      </c>
    </row>
    <row r="2586" spans="1:21" x14ac:dyDescent="0.35">
      <c r="A2586" t="s">
        <v>15</v>
      </c>
      <c r="B2586" t="s">
        <v>16</v>
      </c>
      <c r="C2586" t="s">
        <v>17</v>
      </c>
      <c r="D2586">
        <v>235428</v>
      </c>
      <c r="E2586">
        <v>22615</v>
      </c>
      <c r="F2586">
        <v>39784</v>
      </c>
      <c r="G2586">
        <v>-225031</v>
      </c>
      <c r="H2586">
        <v>72796</v>
      </c>
      <c r="I2586">
        <v>74234</v>
      </c>
      <c r="J2586">
        <v>1326</v>
      </c>
      <c r="K2586">
        <v>646988</v>
      </c>
      <c r="L2586">
        <v>179599</v>
      </c>
      <c r="M2586">
        <v>-82659</v>
      </c>
      <c r="N2586">
        <v>142046</v>
      </c>
      <c r="O2586" t="s">
        <v>2604</v>
      </c>
      <c r="P2586" s="9">
        <v>273222</v>
      </c>
      <c r="Q2586" s="9">
        <v>29065</v>
      </c>
      <c r="R2586" s="9">
        <v>302287</v>
      </c>
      <c r="S2586" s="9">
        <v>-94161</v>
      </c>
      <c r="T2586" s="10">
        <v>100477</v>
      </c>
      <c r="U2586" s="10">
        <v>3009</v>
      </c>
    </row>
    <row r="2587" spans="1:21" x14ac:dyDescent="0.35">
      <c r="A2587" t="s">
        <v>15</v>
      </c>
      <c r="B2587" t="s">
        <v>16</v>
      </c>
      <c r="C2587" t="s">
        <v>21</v>
      </c>
      <c r="D2587">
        <v>251864</v>
      </c>
      <c r="E2587">
        <v>16054</v>
      </c>
      <c r="F2587">
        <v>53721</v>
      </c>
      <c r="G2587">
        <v>-215285</v>
      </c>
      <c r="H2587">
        <v>106354</v>
      </c>
      <c r="I2587">
        <v>110091</v>
      </c>
      <c r="J2587">
        <v>3258</v>
      </c>
      <c r="K2587">
        <v>994961</v>
      </c>
      <c r="L2587">
        <v>269461</v>
      </c>
      <c r="M2587">
        <v>-171249</v>
      </c>
      <c r="N2587">
        <v>76529</v>
      </c>
      <c r="O2587" t="s">
        <v>2605</v>
      </c>
      <c r="P2587" s="9">
        <v>199850</v>
      </c>
      <c r="Q2587" s="9">
        <v>20086</v>
      </c>
      <c r="R2587" s="9">
        <v>219936</v>
      </c>
      <c r="S2587" s="9">
        <v>-105556</v>
      </c>
      <c r="T2587" s="10">
        <v>73395</v>
      </c>
      <c r="U2587" s="10">
        <v>1405</v>
      </c>
    </row>
    <row r="2588" spans="1:21" x14ac:dyDescent="0.35">
      <c r="A2588" t="s">
        <v>15</v>
      </c>
      <c r="B2588" t="s">
        <v>20</v>
      </c>
      <c r="C2588" t="s">
        <v>21</v>
      </c>
      <c r="D2588">
        <v>289894</v>
      </c>
      <c r="E2588">
        <v>22778</v>
      </c>
      <c r="F2588">
        <v>67496</v>
      </c>
      <c r="G2588">
        <v>-274919</v>
      </c>
      <c r="H2588">
        <v>105249</v>
      </c>
      <c r="I2588">
        <v>105474</v>
      </c>
      <c r="J2588">
        <v>3118</v>
      </c>
      <c r="K2588">
        <v>1154717</v>
      </c>
      <c r="L2588">
        <v>401870</v>
      </c>
      <c r="M2588">
        <v>-437179</v>
      </c>
      <c r="N2588">
        <v>88111</v>
      </c>
      <c r="O2588" t="s">
        <v>2606</v>
      </c>
      <c r="P2588" s="9">
        <v>242679</v>
      </c>
      <c r="Q2588" s="9">
        <v>21286</v>
      </c>
      <c r="R2588" s="9">
        <v>263965</v>
      </c>
      <c r="S2588" s="9">
        <v>-99597</v>
      </c>
      <c r="T2588" s="10">
        <v>108223</v>
      </c>
      <c r="U2588" s="10">
        <v>1287</v>
      </c>
    </row>
    <row r="2589" spans="1:21" x14ac:dyDescent="0.35">
      <c r="A2589" t="s">
        <v>15</v>
      </c>
      <c r="B2589" t="s">
        <v>16</v>
      </c>
      <c r="C2589" t="s">
        <v>21</v>
      </c>
      <c r="D2589">
        <v>234624</v>
      </c>
      <c r="E2589">
        <v>14730</v>
      </c>
      <c r="F2589">
        <v>52467</v>
      </c>
      <c r="G2589">
        <v>-208283</v>
      </c>
      <c r="H2589">
        <v>93538</v>
      </c>
      <c r="I2589">
        <v>97207</v>
      </c>
      <c r="J2589">
        <v>2341</v>
      </c>
      <c r="K2589">
        <v>471956</v>
      </c>
      <c r="L2589">
        <v>235245</v>
      </c>
      <c r="M2589">
        <v>-180844</v>
      </c>
      <c r="N2589">
        <v>73578</v>
      </c>
      <c r="O2589" t="s">
        <v>2607</v>
      </c>
      <c r="P2589" s="9">
        <v>193897</v>
      </c>
      <c r="Q2589" s="9">
        <v>30682</v>
      </c>
      <c r="R2589" s="9">
        <v>224579</v>
      </c>
      <c r="S2589" s="9">
        <v>-118369</v>
      </c>
      <c r="T2589" s="10">
        <v>82989</v>
      </c>
      <c r="U2589" s="10">
        <v>1156</v>
      </c>
    </row>
    <row r="2590" spans="1:21" x14ac:dyDescent="0.35">
      <c r="A2590" t="s">
        <v>15</v>
      </c>
      <c r="B2590" t="s">
        <v>16</v>
      </c>
      <c r="C2590" t="s">
        <v>21</v>
      </c>
      <c r="D2590">
        <v>220712</v>
      </c>
      <c r="E2590">
        <v>16036</v>
      </c>
      <c r="F2590">
        <v>50767</v>
      </c>
      <c r="G2590">
        <v>-219903</v>
      </c>
      <c r="H2590">
        <v>67612</v>
      </c>
      <c r="I2590">
        <v>70771</v>
      </c>
      <c r="J2590">
        <v>1677</v>
      </c>
      <c r="K2590">
        <v>793813</v>
      </c>
      <c r="L2590">
        <v>255434</v>
      </c>
      <c r="M2590">
        <v>-271515</v>
      </c>
      <c r="N2590">
        <v>145657</v>
      </c>
      <c r="O2590" t="s">
        <v>2608</v>
      </c>
      <c r="P2590" s="9">
        <v>273523</v>
      </c>
      <c r="Q2590" s="9">
        <v>18292</v>
      </c>
      <c r="R2590" s="9">
        <v>291815</v>
      </c>
      <c r="S2590" s="9">
        <v>-98349</v>
      </c>
      <c r="T2590" s="10">
        <v>120010</v>
      </c>
      <c r="U2590" s="10">
        <v>1626</v>
      </c>
    </row>
    <row r="2591" spans="1:21" x14ac:dyDescent="0.35">
      <c r="A2591" t="s">
        <v>15</v>
      </c>
      <c r="B2591" t="s">
        <v>16</v>
      </c>
      <c r="C2591" t="s">
        <v>21</v>
      </c>
      <c r="D2591">
        <v>292278</v>
      </c>
      <c r="E2591">
        <v>50046</v>
      </c>
      <c r="F2591">
        <v>37752</v>
      </c>
      <c r="G2591">
        <v>-254164</v>
      </c>
      <c r="H2591">
        <v>125912</v>
      </c>
      <c r="I2591">
        <v>123140</v>
      </c>
      <c r="J2591">
        <v>2217</v>
      </c>
      <c r="K2591">
        <v>1005193</v>
      </c>
      <c r="L2591">
        <v>146071</v>
      </c>
      <c r="M2591">
        <v>-385995</v>
      </c>
      <c r="N2591">
        <v>121533</v>
      </c>
      <c r="O2591" t="s">
        <v>2609</v>
      </c>
      <c r="P2591" s="9">
        <v>261760</v>
      </c>
      <c r="Q2591" s="9">
        <v>29748</v>
      </c>
      <c r="R2591" s="9">
        <v>291508</v>
      </c>
      <c r="S2591" s="9">
        <v>-83435</v>
      </c>
      <c r="T2591" s="10">
        <v>94271</v>
      </c>
      <c r="U2591" s="10">
        <v>2202</v>
      </c>
    </row>
    <row r="2592" spans="1:21" x14ac:dyDescent="0.35">
      <c r="A2592" t="s">
        <v>15</v>
      </c>
      <c r="B2592" t="s">
        <v>20</v>
      </c>
      <c r="C2592" t="s">
        <v>17</v>
      </c>
      <c r="D2592">
        <v>169940</v>
      </c>
      <c r="E2592">
        <v>29520</v>
      </c>
      <c r="F2592">
        <v>33053</v>
      </c>
      <c r="G2592">
        <v>-166887</v>
      </c>
      <c r="H2592">
        <v>65626</v>
      </c>
      <c r="I2592">
        <v>62506</v>
      </c>
      <c r="J2592">
        <v>1416</v>
      </c>
      <c r="K2592">
        <v>385690</v>
      </c>
      <c r="L2592">
        <v>93071</v>
      </c>
      <c r="M2592">
        <v>-152399</v>
      </c>
      <c r="N2592">
        <v>135724</v>
      </c>
      <c r="O2592" t="s">
        <v>2610</v>
      </c>
      <c r="P2592" s="9">
        <v>231812</v>
      </c>
      <c r="Q2592" s="9">
        <v>14602</v>
      </c>
      <c r="R2592" s="9">
        <v>246414</v>
      </c>
      <c r="S2592" s="9">
        <v>-145151</v>
      </c>
      <c r="T2592" s="10">
        <v>80100</v>
      </c>
      <c r="U2592" s="10">
        <v>1991</v>
      </c>
    </row>
    <row r="2593" spans="1:21" x14ac:dyDescent="0.35">
      <c r="A2593" t="s">
        <v>15</v>
      </c>
      <c r="B2593" t="s">
        <v>16</v>
      </c>
      <c r="C2593" t="s">
        <v>21</v>
      </c>
      <c r="D2593">
        <v>259510</v>
      </c>
      <c r="E2593">
        <v>41770</v>
      </c>
      <c r="F2593">
        <v>48302</v>
      </c>
      <c r="G2593">
        <v>-219781</v>
      </c>
      <c r="H2593">
        <v>129801</v>
      </c>
      <c r="I2593">
        <v>131105</v>
      </c>
      <c r="J2593">
        <v>1610</v>
      </c>
      <c r="K2593">
        <v>860785</v>
      </c>
      <c r="L2593">
        <v>302930</v>
      </c>
      <c r="M2593">
        <v>-253766</v>
      </c>
      <c r="N2593">
        <v>207768</v>
      </c>
      <c r="O2593" t="s">
        <v>2611</v>
      </c>
      <c r="P2593" s="9">
        <v>241320</v>
      </c>
      <c r="Q2593" s="9">
        <v>36392</v>
      </c>
      <c r="R2593" s="9">
        <v>277712</v>
      </c>
      <c r="S2593" s="9">
        <v>-70131</v>
      </c>
      <c r="T2593" s="10">
        <v>115612</v>
      </c>
      <c r="U2593" s="10">
        <v>2027</v>
      </c>
    </row>
    <row r="2594" spans="1:21" x14ac:dyDescent="0.35">
      <c r="A2594" t="s">
        <v>15</v>
      </c>
      <c r="B2594" t="s">
        <v>20</v>
      </c>
      <c r="C2594" t="s">
        <v>21</v>
      </c>
      <c r="D2594">
        <v>247210</v>
      </c>
      <c r="E2594">
        <v>45282</v>
      </c>
      <c r="F2594">
        <v>49444</v>
      </c>
      <c r="G2594">
        <v>-200818</v>
      </c>
      <c r="H2594">
        <v>141118</v>
      </c>
      <c r="I2594">
        <v>127857</v>
      </c>
      <c r="J2594">
        <v>2313</v>
      </c>
      <c r="K2594">
        <v>696618</v>
      </c>
      <c r="L2594">
        <v>178529</v>
      </c>
      <c r="M2594">
        <v>-102274</v>
      </c>
      <c r="N2594">
        <v>125984</v>
      </c>
      <c r="O2594" t="s">
        <v>2612</v>
      </c>
      <c r="P2594" s="9">
        <v>189604</v>
      </c>
      <c r="Q2594" s="9">
        <v>14183</v>
      </c>
      <c r="R2594" s="9">
        <v>203787</v>
      </c>
      <c r="S2594" s="9">
        <v>-78341</v>
      </c>
      <c r="T2594" s="10">
        <v>81702</v>
      </c>
      <c r="U2594" s="10">
        <v>939</v>
      </c>
    </row>
    <row r="2595" spans="1:21" x14ac:dyDescent="0.35">
      <c r="A2595" t="s">
        <v>15</v>
      </c>
      <c r="B2595" t="s">
        <v>16</v>
      </c>
      <c r="C2595" t="s">
        <v>21</v>
      </c>
      <c r="D2595">
        <v>250332</v>
      </c>
      <c r="E2595">
        <v>36963</v>
      </c>
      <c r="F2595">
        <v>41207</v>
      </c>
      <c r="G2595">
        <v>-226163</v>
      </c>
      <c r="H2595">
        <v>102339</v>
      </c>
      <c r="I2595">
        <v>98640</v>
      </c>
      <c r="J2595">
        <v>1205</v>
      </c>
      <c r="K2595">
        <v>562057</v>
      </c>
      <c r="L2595">
        <v>137542</v>
      </c>
      <c r="M2595">
        <v>-61673</v>
      </c>
      <c r="N2595">
        <v>157319</v>
      </c>
      <c r="O2595" t="s">
        <v>2613</v>
      </c>
      <c r="P2595" s="9">
        <v>288959</v>
      </c>
      <c r="Q2595" s="9">
        <v>58929</v>
      </c>
      <c r="R2595" s="9">
        <v>347888</v>
      </c>
      <c r="S2595" s="9">
        <v>-160637</v>
      </c>
      <c r="T2595" s="10">
        <v>150503</v>
      </c>
      <c r="U2595" s="10">
        <v>4483</v>
      </c>
    </row>
    <row r="2596" spans="1:21" x14ac:dyDescent="0.35">
      <c r="A2596" t="s">
        <v>15</v>
      </c>
      <c r="B2596" t="s">
        <v>16</v>
      </c>
      <c r="C2596" t="s">
        <v>21</v>
      </c>
      <c r="D2596">
        <v>168691</v>
      </c>
      <c r="E2596">
        <v>22719</v>
      </c>
      <c r="F2596">
        <v>21952</v>
      </c>
      <c r="G2596">
        <v>-166241</v>
      </c>
      <c r="H2596">
        <v>47121</v>
      </c>
      <c r="I2596">
        <v>46131</v>
      </c>
      <c r="J2596">
        <v>627</v>
      </c>
      <c r="K2596">
        <v>422948</v>
      </c>
      <c r="L2596">
        <v>118119</v>
      </c>
      <c r="M2596">
        <v>-115225</v>
      </c>
      <c r="N2596">
        <v>61345</v>
      </c>
      <c r="O2596" t="s">
        <v>2614</v>
      </c>
      <c r="P2596" s="9">
        <v>218537</v>
      </c>
      <c r="Q2596" s="9">
        <v>41279</v>
      </c>
      <c r="R2596" s="9">
        <v>259816</v>
      </c>
      <c r="S2596" s="9">
        <v>-138492</v>
      </c>
      <c r="T2596" s="10">
        <v>133709</v>
      </c>
      <c r="U2596" s="10">
        <v>2513</v>
      </c>
    </row>
    <row r="2597" spans="1:21" x14ac:dyDescent="0.35">
      <c r="A2597" t="s">
        <v>15</v>
      </c>
      <c r="B2597" t="s">
        <v>20</v>
      </c>
      <c r="C2597" t="s">
        <v>21</v>
      </c>
      <c r="D2597">
        <v>294245</v>
      </c>
      <c r="E2597">
        <v>52237</v>
      </c>
      <c r="F2597">
        <v>54414</v>
      </c>
      <c r="G2597">
        <v>-280259</v>
      </c>
      <c r="H2597">
        <v>120637</v>
      </c>
      <c r="I2597">
        <v>116644</v>
      </c>
      <c r="J2597">
        <v>2373</v>
      </c>
      <c r="K2597">
        <v>753034</v>
      </c>
      <c r="L2597">
        <v>209183</v>
      </c>
      <c r="M2597">
        <v>-136652</v>
      </c>
      <c r="N2597">
        <v>223410</v>
      </c>
      <c r="O2597" t="s">
        <v>2615</v>
      </c>
      <c r="P2597" s="9">
        <v>255017</v>
      </c>
      <c r="Q2597" s="9">
        <v>40432</v>
      </c>
      <c r="R2597" s="9">
        <v>295449</v>
      </c>
      <c r="S2597" s="9">
        <v>-158636</v>
      </c>
      <c r="T2597" s="10">
        <v>71881</v>
      </c>
      <c r="U2597" s="10">
        <v>1245</v>
      </c>
    </row>
    <row r="2598" spans="1:21" x14ac:dyDescent="0.35">
      <c r="A2598" t="s">
        <v>15</v>
      </c>
      <c r="B2598" t="s">
        <v>20</v>
      </c>
      <c r="C2598" t="s">
        <v>21</v>
      </c>
      <c r="D2598">
        <v>214677</v>
      </c>
      <c r="E2598">
        <v>13310</v>
      </c>
      <c r="F2598">
        <v>42003</v>
      </c>
      <c r="G2598">
        <v>-188637</v>
      </c>
      <c r="H2598">
        <v>81353</v>
      </c>
      <c r="I2598">
        <v>77236</v>
      </c>
      <c r="J2598">
        <v>1156</v>
      </c>
      <c r="K2598">
        <v>832868</v>
      </c>
      <c r="L2598">
        <v>200557</v>
      </c>
      <c r="M2598">
        <v>-206981</v>
      </c>
      <c r="N2598">
        <v>141632</v>
      </c>
      <c r="O2598" t="s">
        <v>2616</v>
      </c>
      <c r="P2598" s="9">
        <v>267261</v>
      </c>
      <c r="Q2598" s="9">
        <v>28457</v>
      </c>
      <c r="R2598" s="9">
        <v>295718</v>
      </c>
      <c r="S2598" s="9">
        <v>-112427</v>
      </c>
      <c r="T2598" s="10">
        <v>73826</v>
      </c>
      <c r="U2598" s="10">
        <v>1180</v>
      </c>
    </row>
    <row r="2599" spans="1:21" x14ac:dyDescent="0.35">
      <c r="A2599" t="s">
        <v>15</v>
      </c>
      <c r="B2599" t="s">
        <v>20</v>
      </c>
      <c r="C2599" t="s">
        <v>21</v>
      </c>
      <c r="D2599">
        <v>151831</v>
      </c>
      <c r="E2599">
        <v>7833</v>
      </c>
      <c r="F2599">
        <v>16047</v>
      </c>
      <c r="G2599">
        <v>-122542</v>
      </c>
      <c r="H2599">
        <v>53169</v>
      </c>
      <c r="I2599">
        <v>49251</v>
      </c>
      <c r="J2599">
        <v>785</v>
      </c>
      <c r="K2599">
        <v>478687</v>
      </c>
      <c r="L2599">
        <v>68246</v>
      </c>
      <c r="M2599">
        <v>-123587</v>
      </c>
      <c r="N2599">
        <v>127004</v>
      </c>
      <c r="O2599" t="s">
        <v>2617</v>
      </c>
      <c r="P2599" s="9">
        <v>185582</v>
      </c>
      <c r="Q2599" s="9">
        <v>15817</v>
      </c>
      <c r="R2599" s="9">
        <v>201399</v>
      </c>
      <c r="S2599" s="9">
        <v>-90768</v>
      </c>
      <c r="T2599" s="10">
        <v>61957</v>
      </c>
      <c r="U2599" s="10">
        <v>626</v>
      </c>
    </row>
    <row r="2600" spans="1:21" x14ac:dyDescent="0.35">
      <c r="A2600" t="s">
        <v>15</v>
      </c>
      <c r="B2600" t="s">
        <v>20</v>
      </c>
      <c r="C2600" t="s">
        <v>17</v>
      </c>
      <c r="D2600">
        <v>247759</v>
      </c>
      <c r="E2600">
        <v>24346</v>
      </c>
      <c r="F2600">
        <v>38587</v>
      </c>
      <c r="G2600">
        <v>-227949</v>
      </c>
      <c r="H2600">
        <v>82743</v>
      </c>
      <c r="I2600">
        <v>81678</v>
      </c>
      <c r="J2600">
        <v>2169</v>
      </c>
      <c r="K2600">
        <v>940443</v>
      </c>
      <c r="L2600">
        <v>387074</v>
      </c>
      <c r="M2600">
        <v>-142259</v>
      </c>
      <c r="N2600">
        <v>103163</v>
      </c>
      <c r="O2600" t="s">
        <v>2618</v>
      </c>
      <c r="P2600" s="9">
        <v>270998</v>
      </c>
      <c r="Q2600" s="9">
        <v>48849</v>
      </c>
      <c r="R2600" s="9">
        <v>319847</v>
      </c>
      <c r="S2600" s="9">
        <v>-186554</v>
      </c>
      <c r="T2600" s="10">
        <v>114132</v>
      </c>
      <c r="U2600" s="10">
        <v>3229</v>
      </c>
    </row>
    <row r="2601" spans="1:21" x14ac:dyDescent="0.35">
      <c r="A2601" t="s">
        <v>15</v>
      </c>
      <c r="B2601" t="s">
        <v>20</v>
      </c>
      <c r="C2601" t="s">
        <v>21</v>
      </c>
      <c r="D2601">
        <v>168491</v>
      </c>
      <c r="E2601">
        <v>31351</v>
      </c>
      <c r="F2601">
        <v>26179</v>
      </c>
      <c r="G2601">
        <v>-146933</v>
      </c>
      <c r="H2601">
        <v>79088</v>
      </c>
      <c r="I2601">
        <v>74209</v>
      </c>
      <c r="J2601">
        <v>1273</v>
      </c>
      <c r="K2601">
        <v>392744</v>
      </c>
      <c r="L2601">
        <v>128261</v>
      </c>
      <c r="M2601">
        <v>-47026</v>
      </c>
      <c r="N2601">
        <v>97146</v>
      </c>
      <c r="O2601" t="s">
        <v>2619</v>
      </c>
      <c r="P2601" s="9">
        <v>205567</v>
      </c>
      <c r="Q2601" s="9">
        <v>10333</v>
      </c>
      <c r="R2601" s="9">
        <v>215900</v>
      </c>
      <c r="S2601" s="9">
        <v>-79525</v>
      </c>
      <c r="T2601" s="10">
        <v>87762</v>
      </c>
      <c r="U2601" s="10">
        <v>1208</v>
      </c>
    </row>
    <row r="2602" spans="1:21" x14ac:dyDescent="0.35">
      <c r="A2602" t="s">
        <v>15</v>
      </c>
      <c r="B2602" t="s">
        <v>20</v>
      </c>
      <c r="C2602" t="s">
        <v>21</v>
      </c>
      <c r="D2602">
        <v>256054</v>
      </c>
      <c r="E2602">
        <v>26901</v>
      </c>
      <c r="F2602">
        <v>26213</v>
      </c>
      <c r="G2602">
        <v>-215808</v>
      </c>
      <c r="H2602">
        <v>93360</v>
      </c>
      <c r="I2602">
        <v>85298</v>
      </c>
      <c r="J2602">
        <v>1781</v>
      </c>
      <c r="K2602">
        <v>753444</v>
      </c>
      <c r="L2602">
        <v>369203</v>
      </c>
      <c r="M2602">
        <v>-80000</v>
      </c>
      <c r="N2602">
        <v>169957</v>
      </c>
      <c r="O2602" t="s">
        <v>2620</v>
      </c>
      <c r="P2602" s="9">
        <v>246155</v>
      </c>
      <c r="Q2602" s="9">
        <v>29947</v>
      </c>
      <c r="R2602" s="9">
        <v>276102</v>
      </c>
      <c r="S2602" s="9">
        <v>-158960</v>
      </c>
      <c r="T2602" s="10">
        <v>91067</v>
      </c>
      <c r="U2602" s="10">
        <v>2592</v>
      </c>
    </row>
    <row r="2603" spans="1:21" x14ac:dyDescent="0.35">
      <c r="A2603" t="s">
        <v>15</v>
      </c>
      <c r="B2603" t="s">
        <v>20</v>
      </c>
      <c r="C2603" t="s">
        <v>21</v>
      </c>
      <c r="D2603">
        <v>161893</v>
      </c>
      <c r="E2603">
        <v>26110</v>
      </c>
      <c r="F2603">
        <v>26588</v>
      </c>
      <c r="G2603">
        <v>-144261</v>
      </c>
      <c r="H2603">
        <v>70330</v>
      </c>
      <c r="I2603">
        <v>70537</v>
      </c>
      <c r="J2603">
        <v>1457</v>
      </c>
      <c r="K2603">
        <v>592135</v>
      </c>
      <c r="L2603">
        <v>149614</v>
      </c>
      <c r="M2603">
        <v>-232965</v>
      </c>
      <c r="N2603">
        <v>121778</v>
      </c>
      <c r="O2603" t="s">
        <v>2621</v>
      </c>
      <c r="P2603" s="9">
        <v>181436</v>
      </c>
      <c r="Q2603" s="9">
        <v>18739</v>
      </c>
      <c r="R2603" s="9">
        <v>200175</v>
      </c>
      <c r="S2603" s="9">
        <v>-80413</v>
      </c>
      <c r="T2603" s="10">
        <v>72475</v>
      </c>
      <c r="U2603" s="10">
        <v>1385</v>
      </c>
    </row>
    <row r="2604" spans="1:21" x14ac:dyDescent="0.35">
      <c r="A2604" t="s">
        <v>15</v>
      </c>
      <c r="B2604" t="s">
        <v>20</v>
      </c>
      <c r="C2604" t="s">
        <v>21</v>
      </c>
      <c r="D2604">
        <v>184803</v>
      </c>
      <c r="E2604">
        <v>24182</v>
      </c>
      <c r="F2604">
        <v>44608</v>
      </c>
      <c r="G2604">
        <v>-168043</v>
      </c>
      <c r="H2604">
        <v>85550</v>
      </c>
      <c r="I2604">
        <v>85480</v>
      </c>
      <c r="J2604">
        <v>1489</v>
      </c>
      <c r="K2604">
        <v>515868</v>
      </c>
      <c r="L2604">
        <v>133714</v>
      </c>
      <c r="M2604">
        <v>-166649</v>
      </c>
      <c r="N2604">
        <v>111981</v>
      </c>
      <c r="O2604" t="s">
        <v>2622</v>
      </c>
      <c r="P2604" s="9">
        <v>160119</v>
      </c>
      <c r="Q2604" s="9">
        <v>18294</v>
      </c>
      <c r="R2604" s="9">
        <v>178413</v>
      </c>
      <c r="S2604" s="9">
        <v>-54054</v>
      </c>
      <c r="T2604" s="10">
        <v>61150</v>
      </c>
      <c r="U2604" s="10">
        <v>1026</v>
      </c>
    </row>
    <row r="2605" spans="1:21" x14ac:dyDescent="0.35">
      <c r="A2605" t="s">
        <v>15</v>
      </c>
      <c r="B2605" t="s">
        <v>16</v>
      </c>
      <c r="C2605" t="s">
        <v>21</v>
      </c>
      <c r="D2605">
        <v>162735</v>
      </c>
      <c r="E2605">
        <v>17621</v>
      </c>
      <c r="F2605">
        <v>35269</v>
      </c>
      <c r="G2605">
        <v>-130812</v>
      </c>
      <c r="H2605">
        <v>84813</v>
      </c>
      <c r="I2605">
        <v>76353</v>
      </c>
      <c r="J2605">
        <v>1564</v>
      </c>
      <c r="K2605">
        <v>456015</v>
      </c>
      <c r="L2605">
        <v>202160</v>
      </c>
      <c r="M2605">
        <v>-90220</v>
      </c>
      <c r="N2605">
        <v>137013</v>
      </c>
      <c r="O2605" t="s">
        <v>2623</v>
      </c>
      <c r="P2605" s="9">
        <v>179512</v>
      </c>
      <c r="Q2605" s="9">
        <v>19892</v>
      </c>
      <c r="R2605" s="9">
        <v>199404</v>
      </c>
      <c r="S2605" s="9">
        <v>-111509</v>
      </c>
      <c r="T2605" s="10">
        <v>48961</v>
      </c>
      <c r="U2605" s="10">
        <v>1069</v>
      </c>
    </row>
    <row r="2606" spans="1:21" x14ac:dyDescent="0.35">
      <c r="A2606" t="s">
        <v>15</v>
      </c>
      <c r="B2606" t="s">
        <v>20</v>
      </c>
      <c r="C2606" t="s">
        <v>17</v>
      </c>
      <c r="D2606">
        <v>198768</v>
      </c>
      <c r="E2606">
        <v>22134</v>
      </c>
      <c r="F2606">
        <v>29600</v>
      </c>
      <c r="G2606">
        <v>-196457</v>
      </c>
      <c r="H2606">
        <v>54045</v>
      </c>
      <c r="I2606">
        <v>55465</v>
      </c>
      <c r="J2606">
        <v>581</v>
      </c>
      <c r="K2606">
        <v>684321</v>
      </c>
      <c r="L2606">
        <v>305811</v>
      </c>
      <c r="M2606">
        <v>-115241</v>
      </c>
      <c r="N2606">
        <v>121767</v>
      </c>
      <c r="O2606" t="s">
        <v>2624</v>
      </c>
      <c r="P2606" s="9">
        <v>247711</v>
      </c>
      <c r="Q2606" s="9">
        <v>30087</v>
      </c>
      <c r="R2606" s="9">
        <v>277798</v>
      </c>
      <c r="S2606" s="9">
        <v>-92548</v>
      </c>
      <c r="T2606" s="10">
        <v>59349</v>
      </c>
      <c r="U2606" s="10">
        <v>1300</v>
      </c>
    </row>
    <row r="2607" spans="1:21" x14ac:dyDescent="0.35">
      <c r="A2607" t="s">
        <v>15</v>
      </c>
      <c r="B2607" t="s">
        <v>20</v>
      </c>
      <c r="C2607" t="s">
        <v>21</v>
      </c>
      <c r="D2607">
        <v>287256</v>
      </c>
      <c r="E2607">
        <v>49657</v>
      </c>
      <c r="F2607">
        <v>69631</v>
      </c>
      <c r="G2607">
        <v>-234728</v>
      </c>
      <c r="H2607">
        <v>171816</v>
      </c>
      <c r="I2607">
        <v>169630</v>
      </c>
      <c r="J2607">
        <v>2571</v>
      </c>
      <c r="K2607">
        <v>905346</v>
      </c>
      <c r="L2607">
        <v>332166</v>
      </c>
      <c r="M2607">
        <v>-209881</v>
      </c>
      <c r="N2607">
        <v>107488</v>
      </c>
      <c r="O2607" t="s">
        <v>2625</v>
      </c>
      <c r="P2607" s="9">
        <v>240859</v>
      </c>
      <c r="Q2607" s="9">
        <v>14845</v>
      </c>
      <c r="R2607" s="9">
        <v>255704</v>
      </c>
      <c r="S2607" s="9">
        <v>-63281</v>
      </c>
      <c r="T2607" s="10">
        <v>97183</v>
      </c>
      <c r="U2607" s="10">
        <v>1567</v>
      </c>
    </row>
    <row r="2608" spans="1:21" x14ac:dyDescent="0.35">
      <c r="A2608" t="s">
        <v>15</v>
      </c>
      <c r="B2608" t="s">
        <v>16</v>
      </c>
      <c r="C2608" t="s">
        <v>17</v>
      </c>
      <c r="D2608">
        <v>214319</v>
      </c>
      <c r="E2608">
        <v>26365</v>
      </c>
      <c r="F2608">
        <v>44891</v>
      </c>
      <c r="G2608">
        <v>-175872</v>
      </c>
      <c r="H2608">
        <v>109703</v>
      </c>
      <c r="I2608">
        <v>111301</v>
      </c>
      <c r="J2608">
        <v>1375</v>
      </c>
      <c r="K2608">
        <v>615085</v>
      </c>
      <c r="L2608">
        <v>243553</v>
      </c>
      <c r="M2608">
        <v>-161529</v>
      </c>
      <c r="N2608">
        <v>169459</v>
      </c>
      <c r="O2608" t="s">
        <v>2626</v>
      </c>
      <c r="P2608" s="9">
        <v>147279</v>
      </c>
      <c r="Q2608" s="9">
        <v>13979</v>
      </c>
      <c r="R2608" s="9">
        <v>161258</v>
      </c>
      <c r="S2608" s="9">
        <v>-72052</v>
      </c>
      <c r="T2608" s="10">
        <v>56633</v>
      </c>
      <c r="U2608" s="10">
        <v>1399</v>
      </c>
    </row>
    <row r="2609" spans="1:21" x14ac:dyDescent="0.35">
      <c r="A2609" t="s">
        <v>15</v>
      </c>
      <c r="B2609" t="s">
        <v>16</v>
      </c>
      <c r="C2609" t="s">
        <v>21</v>
      </c>
      <c r="D2609">
        <v>220164</v>
      </c>
      <c r="E2609">
        <v>24929</v>
      </c>
      <c r="F2609">
        <v>37074</v>
      </c>
      <c r="G2609">
        <v>-196296</v>
      </c>
      <c r="H2609">
        <v>85871</v>
      </c>
      <c r="I2609">
        <v>80738</v>
      </c>
      <c r="J2609">
        <v>1810</v>
      </c>
      <c r="K2609">
        <v>661056</v>
      </c>
      <c r="L2609">
        <v>279640</v>
      </c>
      <c r="M2609">
        <v>-146751</v>
      </c>
      <c r="N2609">
        <v>116565</v>
      </c>
      <c r="O2609" t="s">
        <v>2627</v>
      </c>
      <c r="P2609" s="9">
        <v>189852</v>
      </c>
      <c r="Q2609" s="9">
        <v>11562</v>
      </c>
      <c r="R2609" s="9">
        <v>201414</v>
      </c>
      <c r="S2609" s="9">
        <v>-57511</v>
      </c>
      <c r="T2609" s="10">
        <v>52296</v>
      </c>
      <c r="U2609" s="10">
        <v>928</v>
      </c>
    </row>
    <row r="2610" spans="1:21" x14ac:dyDescent="0.35">
      <c r="A2610" t="s">
        <v>15</v>
      </c>
      <c r="B2610" t="s">
        <v>16</v>
      </c>
      <c r="C2610" t="s">
        <v>17</v>
      </c>
      <c r="D2610">
        <v>177269</v>
      </c>
      <c r="E2610">
        <v>22767</v>
      </c>
      <c r="F2610">
        <v>30116</v>
      </c>
      <c r="G2610">
        <v>-160760</v>
      </c>
      <c r="H2610">
        <v>69392</v>
      </c>
      <c r="I2610">
        <v>70683</v>
      </c>
      <c r="J2610">
        <v>892</v>
      </c>
      <c r="K2610">
        <v>584004</v>
      </c>
      <c r="L2610">
        <v>250012</v>
      </c>
      <c r="M2610">
        <v>-154498</v>
      </c>
      <c r="N2610">
        <v>95822</v>
      </c>
      <c r="O2610" t="s">
        <v>2628</v>
      </c>
      <c r="P2610" s="9">
        <v>222203</v>
      </c>
      <c r="Q2610" s="9">
        <v>18471</v>
      </c>
      <c r="R2610" s="9">
        <v>240674</v>
      </c>
      <c r="S2610" s="9">
        <v>-91475</v>
      </c>
      <c r="T2610" s="10">
        <v>63467</v>
      </c>
      <c r="U2610" s="10">
        <v>1039</v>
      </c>
    </row>
    <row r="2611" spans="1:21" x14ac:dyDescent="0.35">
      <c r="A2611" t="s">
        <v>15</v>
      </c>
      <c r="B2611" t="s">
        <v>16</v>
      </c>
      <c r="C2611" t="s">
        <v>21</v>
      </c>
      <c r="D2611">
        <v>178376</v>
      </c>
      <c r="E2611">
        <v>35277</v>
      </c>
      <c r="F2611">
        <v>34933</v>
      </c>
      <c r="G2611">
        <v>-174831</v>
      </c>
      <c r="H2611">
        <v>73755</v>
      </c>
      <c r="I2611">
        <v>76225</v>
      </c>
      <c r="J2611">
        <v>1313</v>
      </c>
      <c r="K2611">
        <v>402639</v>
      </c>
      <c r="L2611">
        <v>149695</v>
      </c>
      <c r="M2611">
        <v>-137948</v>
      </c>
      <c r="N2611">
        <v>122862</v>
      </c>
      <c r="O2611" t="s">
        <v>2629</v>
      </c>
      <c r="P2611" s="9">
        <v>241403</v>
      </c>
      <c r="Q2611" s="9">
        <v>15945</v>
      </c>
      <c r="R2611" s="9">
        <v>257348</v>
      </c>
      <c r="S2611" s="9">
        <v>-74551</v>
      </c>
      <c r="T2611" s="10">
        <v>67953</v>
      </c>
      <c r="U2611" s="10">
        <v>976</v>
      </c>
    </row>
    <row r="2612" spans="1:21" x14ac:dyDescent="0.35">
      <c r="A2612" t="s">
        <v>15</v>
      </c>
      <c r="B2612" t="s">
        <v>20</v>
      </c>
      <c r="C2612" t="s">
        <v>21</v>
      </c>
      <c r="D2612">
        <v>187912</v>
      </c>
      <c r="E2612">
        <v>12907</v>
      </c>
      <c r="F2612">
        <v>31622</v>
      </c>
      <c r="G2612">
        <v>-183146</v>
      </c>
      <c r="H2612">
        <v>49295</v>
      </c>
      <c r="I2612">
        <v>50059</v>
      </c>
      <c r="J2612">
        <v>878</v>
      </c>
      <c r="K2612">
        <v>523429</v>
      </c>
      <c r="L2612">
        <v>171169</v>
      </c>
      <c r="M2612">
        <v>-173108</v>
      </c>
      <c r="N2612">
        <v>65740</v>
      </c>
      <c r="O2612" t="s">
        <v>2630</v>
      </c>
      <c r="P2612" s="9">
        <v>183717</v>
      </c>
      <c r="Q2612" s="9">
        <v>24107</v>
      </c>
      <c r="R2612" s="9">
        <v>207824</v>
      </c>
      <c r="S2612" s="9">
        <v>-44515</v>
      </c>
      <c r="T2612" s="10">
        <v>55091</v>
      </c>
      <c r="U2612" s="10">
        <v>828</v>
      </c>
    </row>
    <row r="2613" spans="1:21" x14ac:dyDescent="0.35">
      <c r="A2613" t="s">
        <v>15</v>
      </c>
      <c r="B2613" t="s">
        <v>16</v>
      </c>
      <c r="C2613" t="s">
        <v>21</v>
      </c>
      <c r="D2613">
        <v>271485</v>
      </c>
      <c r="E2613">
        <v>28969</v>
      </c>
      <c r="F2613">
        <v>55762</v>
      </c>
      <c r="G2613">
        <v>-256634</v>
      </c>
      <c r="H2613">
        <v>99582</v>
      </c>
      <c r="I2613">
        <v>103660</v>
      </c>
      <c r="J2613">
        <v>1118</v>
      </c>
      <c r="K2613">
        <v>679585</v>
      </c>
      <c r="L2613">
        <v>150513</v>
      </c>
      <c r="M2613">
        <v>-133488</v>
      </c>
      <c r="N2613">
        <v>234743</v>
      </c>
      <c r="O2613" t="s">
        <v>2631</v>
      </c>
      <c r="P2613" s="9">
        <v>162666</v>
      </c>
      <c r="Q2613" s="9">
        <v>15111</v>
      </c>
      <c r="R2613" s="9">
        <v>177777</v>
      </c>
      <c r="S2613" s="9">
        <v>-48923</v>
      </c>
      <c r="T2613" s="10">
        <v>51702</v>
      </c>
      <c r="U2613" s="10">
        <v>544</v>
      </c>
    </row>
    <row r="2614" spans="1:21" x14ac:dyDescent="0.35">
      <c r="A2614" t="s">
        <v>15</v>
      </c>
      <c r="B2614" t="s">
        <v>20</v>
      </c>
      <c r="C2614" t="s">
        <v>21</v>
      </c>
      <c r="D2614">
        <v>181261</v>
      </c>
      <c r="E2614">
        <v>24662</v>
      </c>
      <c r="F2614">
        <v>45144</v>
      </c>
      <c r="G2614">
        <v>-155273</v>
      </c>
      <c r="H2614">
        <v>95794</v>
      </c>
      <c r="I2614">
        <v>98117</v>
      </c>
      <c r="J2614">
        <v>1169</v>
      </c>
      <c r="K2614">
        <v>364747</v>
      </c>
      <c r="L2614">
        <v>65440</v>
      </c>
      <c r="M2614">
        <v>-142632</v>
      </c>
      <c r="N2614">
        <v>54514</v>
      </c>
      <c r="O2614" t="s">
        <v>2632</v>
      </c>
      <c r="P2614" s="9">
        <v>215266</v>
      </c>
      <c r="Q2614" s="9">
        <v>15512</v>
      </c>
      <c r="R2614" s="9">
        <v>230778</v>
      </c>
      <c r="S2614" s="9">
        <v>-47297</v>
      </c>
      <c r="T2614" s="10">
        <v>80488</v>
      </c>
      <c r="U2614" s="10">
        <v>1514</v>
      </c>
    </row>
    <row r="2615" spans="1:21" x14ac:dyDescent="0.35">
      <c r="A2615" t="s">
        <v>15</v>
      </c>
      <c r="B2615" t="s">
        <v>16</v>
      </c>
      <c r="C2615" t="s">
        <v>21</v>
      </c>
      <c r="D2615">
        <v>283558</v>
      </c>
      <c r="E2615">
        <v>52790</v>
      </c>
      <c r="F2615">
        <v>28378</v>
      </c>
      <c r="G2615">
        <v>-280430</v>
      </c>
      <c r="H2615">
        <v>84296</v>
      </c>
      <c r="I2615">
        <v>76875</v>
      </c>
      <c r="J2615">
        <v>1676</v>
      </c>
      <c r="K2615">
        <v>1046712</v>
      </c>
      <c r="L2615">
        <v>298652</v>
      </c>
      <c r="M2615">
        <v>-307434</v>
      </c>
      <c r="N2615">
        <v>222049</v>
      </c>
      <c r="O2615" t="s">
        <v>2633</v>
      </c>
      <c r="P2615" s="9">
        <v>288400</v>
      </c>
      <c r="Q2615" s="9">
        <v>42609</v>
      </c>
      <c r="R2615" s="9">
        <v>331009</v>
      </c>
      <c r="S2615" s="9">
        <v>-117148</v>
      </c>
      <c r="T2615" s="10">
        <v>146610</v>
      </c>
      <c r="U2615" s="10">
        <v>1786</v>
      </c>
    </row>
    <row r="2616" spans="1:21" x14ac:dyDescent="0.35">
      <c r="A2616" t="s">
        <v>15</v>
      </c>
      <c r="B2616" t="s">
        <v>20</v>
      </c>
      <c r="C2616" t="s">
        <v>21</v>
      </c>
      <c r="D2616">
        <v>287942</v>
      </c>
      <c r="E2616">
        <v>34568</v>
      </c>
      <c r="F2616">
        <v>50112</v>
      </c>
      <c r="G2616">
        <v>-265803</v>
      </c>
      <c r="H2616">
        <v>106819</v>
      </c>
      <c r="I2616">
        <v>102738</v>
      </c>
      <c r="J2616">
        <v>1084</v>
      </c>
      <c r="K2616">
        <v>1135887</v>
      </c>
      <c r="L2616">
        <v>388509</v>
      </c>
      <c r="M2616">
        <v>-414583</v>
      </c>
      <c r="N2616">
        <v>142711</v>
      </c>
      <c r="O2616" t="s">
        <v>2634</v>
      </c>
      <c r="P2616" s="9">
        <v>203981</v>
      </c>
      <c r="Q2616" s="9">
        <v>18600</v>
      </c>
      <c r="R2616" s="9">
        <v>222581</v>
      </c>
      <c r="S2616" s="9">
        <v>-89875</v>
      </c>
      <c r="T2616" s="10">
        <v>91519</v>
      </c>
      <c r="U2616" s="10">
        <v>2177</v>
      </c>
    </row>
    <row r="2617" spans="1:21" x14ac:dyDescent="0.35">
      <c r="A2617" t="s">
        <v>15</v>
      </c>
      <c r="B2617" t="s">
        <v>20</v>
      </c>
      <c r="C2617" t="s">
        <v>21</v>
      </c>
      <c r="D2617">
        <v>174016</v>
      </c>
      <c r="E2617">
        <v>27016</v>
      </c>
      <c r="F2617">
        <v>21887</v>
      </c>
      <c r="G2617">
        <v>-156150</v>
      </c>
      <c r="H2617">
        <v>66769</v>
      </c>
      <c r="I2617">
        <v>65773</v>
      </c>
      <c r="J2617">
        <v>693</v>
      </c>
      <c r="K2617">
        <v>531423</v>
      </c>
      <c r="L2617">
        <v>54493</v>
      </c>
      <c r="M2617">
        <v>-94807</v>
      </c>
      <c r="N2617">
        <v>84143</v>
      </c>
      <c r="O2617" t="s">
        <v>2635</v>
      </c>
      <c r="P2617" s="9">
        <v>177192</v>
      </c>
      <c r="Q2617" s="9">
        <v>35761</v>
      </c>
      <c r="R2617" s="9">
        <v>212953</v>
      </c>
      <c r="S2617" s="9">
        <v>-74790</v>
      </c>
      <c r="T2617" s="10">
        <v>94473</v>
      </c>
      <c r="U2617" s="10">
        <v>982</v>
      </c>
    </row>
    <row r="2618" spans="1:21" x14ac:dyDescent="0.35">
      <c r="A2618" t="s">
        <v>15</v>
      </c>
      <c r="B2618" t="s">
        <v>16</v>
      </c>
      <c r="C2618" t="s">
        <v>17</v>
      </c>
      <c r="D2618">
        <v>159459</v>
      </c>
      <c r="E2618">
        <v>20593</v>
      </c>
      <c r="F2618">
        <v>17428</v>
      </c>
      <c r="G2618">
        <v>-143945</v>
      </c>
      <c r="H2618">
        <v>53535</v>
      </c>
      <c r="I2618">
        <v>52402</v>
      </c>
      <c r="J2618">
        <v>1304</v>
      </c>
      <c r="K2618">
        <v>561617</v>
      </c>
      <c r="L2618">
        <v>59986</v>
      </c>
      <c r="M2618">
        <v>-135516</v>
      </c>
      <c r="N2618">
        <v>66411</v>
      </c>
      <c r="O2618" t="s">
        <v>2636</v>
      </c>
      <c r="P2618" s="9">
        <v>211881</v>
      </c>
      <c r="Q2618" s="9">
        <v>32054</v>
      </c>
      <c r="R2618" s="9">
        <v>243935</v>
      </c>
      <c r="S2618" s="9">
        <v>-121866</v>
      </c>
      <c r="T2618" s="10">
        <v>97423</v>
      </c>
      <c r="U2618" s="10">
        <v>1248</v>
      </c>
    </row>
    <row r="2619" spans="1:21" x14ac:dyDescent="0.35">
      <c r="A2619" t="s">
        <v>15</v>
      </c>
      <c r="B2619" t="s">
        <v>20</v>
      </c>
      <c r="C2619" t="s">
        <v>21</v>
      </c>
      <c r="D2619">
        <v>207513</v>
      </c>
      <c r="E2619">
        <v>31887</v>
      </c>
      <c r="F2619">
        <v>49113</v>
      </c>
      <c r="G2619">
        <v>-167338</v>
      </c>
      <c r="H2619">
        <v>121175</v>
      </c>
      <c r="I2619">
        <v>125845</v>
      </c>
      <c r="J2619">
        <v>3585</v>
      </c>
      <c r="K2619">
        <v>450153</v>
      </c>
      <c r="L2619">
        <v>142643</v>
      </c>
      <c r="M2619">
        <v>-63634</v>
      </c>
      <c r="N2619">
        <v>71629</v>
      </c>
      <c r="O2619" t="s">
        <v>2637</v>
      </c>
      <c r="P2619" s="9">
        <v>227322</v>
      </c>
      <c r="Q2619" s="9">
        <v>36323</v>
      </c>
      <c r="R2619" s="9">
        <v>263645</v>
      </c>
      <c r="S2619" s="9">
        <v>-73494</v>
      </c>
      <c r="T2619" s="10">
        <v>93218</v>
      </c>
      <c r="U2619" s="10">
        <v>1225</v>
      </c>
    </row>
    <row r="2620" spans="1:21" x14ac:dyDescent="0.35">
      <c r="A2620" t="s">
        <v>15</v>
      </c>
      <c r="B2620" t="s">
        <v>20</v>
      </c>
      <c r="C2620" t="s">
        <v>21</v>
      </c>
      <c r="D2620">
        <v>226400</v>
      </c>
      <c r="E2620">
        <v>14623</v>
      </c>
      <c r="F2620">
        <v>31015</v>
      </c>
      <c r="G2620">
        <v>-200580</v>
      </c>
      <c r="H2620">
        <v>71458</v>
      </c>
      <c r="I2620">
        <v>72449</v>
      </c>
      <c r="J2620">
        <v>1171</v>
      </c>
      <c r="K2620">
        <v>766562</v>
      </c>
      <c r="L2620">
        <v>270108</v>
      </c>
      <c r="M2620">
        <v>-268762</v>
      </c>
      <c r="N2620">
        <v>92104</v>
      </c>
      <c r="O2620" t="s">
        <v>2638</v>
      </c>
      <c r="P2620" s="9">
        <v>215254</v>
      </c>
      <c r="Q2620" s="9">
        <v>27877</v>
      </c>
      <c r="R2620" s="9">
        <v>243131</v>
      </c>
      <c r="S2620" s="9">
        <v>-133102</v>
      </c>
      <c r="T2620" s="10">
        <v>55668</v>
      </c>
      <c r="U2620" s="10">
        <v>786</v>
      </c>
    </row>
    <row r="2621" spans="1:21" x14ac:dyDescent="0.35">
      <c r="A2621" t="s">
        <v>15</v>
      </c>
      <c r="B2621" t="s">
        <v>16</v>
      </c>
      <c r="C2621" t="s">
        <v>21</v>
      </c>
      <c r="D2621">
        <v>159372</v>
      </c>
      <c r="E2621">
        <v>18388</v>
      </c>
      <c r="F2621">
        <v>23233</v>
      </c>
      <c r="G2621">
        <v>-158448</v>
      </c>
      <c r="H2621">
        <v>42545</v>
      </c>
      <c r="I2621">
        <v>38750</v>
      </c>
      <c r="J2621">
        <v>632</v>
      </c>
      <c r="K2621">
        <v>568649</v>
      </c>
      <c r="L2621">
        <v>204132</v>
      </c>
      <c r="M2621">
        <v>-164156</v>
      </c>
      <c r="N2621">
        <v>57261</v>
      </c>
      <c r="O2621" t="s">
        <v>2639</v>
      </c>
      <c r="P2621" s="9">
        <v>183779</v>
      </c>
      <c r="Q2621" s="9">
        <v>14888</v>
      </c>
      <c r="R2621" s="9">
        <v>198667</v>
      </c>
      <c r="S2621" s="9">
        <v>-104158</v>
      </c>
      <c r="T2621" s="10">
        <v>44893</v>
      </c>
      <c r="U2621" s="10">
        <v>926</v>
      </c>
    </row>
    <row r="2622" spans="1:21" x14ac:dyDescent="0.35">
      <c r="A2622" t="s">
        <v>15</v>
      </c>
      <c r="B2622" t="s">
        <v>20</v>
      </c>
      <c r="C2622" t="s">
        <v>17</v>
      </c>
      <c r="D2622">
        <v>201494</v>
      </c>
      <c r="E2622">
        <v>37124</v>
      </c>
      <c r="F2622">
        <v>48963</v>
      </c>
      <c r="G2622">
        <v>-174270</v>
      </c>
      <c r="H2622">
        <v>113311</v>
      </c>
      <c r="I2622">
        <v>101982</v>
      </c>
      <c r="J2622">
        <v>2796</v>
      </c>
      <c r="K2622">
        <v>470877</v>
      </c>
      <c r="L2622">
        <v>74320</v>
      </c>
      <c r="M2622">
        <v>-100697</v>
      </c>
      <c r="N2622">
        <v>116750</v>
      </c>
      <c r="O2622" t="s">
        <v>2640</v>
      </c>
      <c r="P2622" s="9">
        <v>202908</v>
      </c>
      <c r="Q2622" s="9">
        <v>36126</v>
      </c>
      <c r="R2622" s="9">
        <v>239034</v>
      </c>
      <c r="S2622" s="9">
        <v>-108192</v>
      </c>
      <c r="T2622" s="10">
        <v>92676</v>
      </c>
      <c r="U2622" s="10">
        <v>2017</v>
      </c>
    </row>
    <row r="2623" spans="1:21" x14ac:dyDescent="0.35">
      <c r="A2623" t="s">
        <v>15</v>
      </c>
      <c r="B2623" t="s">
        <v>16</v>
      </c>
      <c r="C2623" t="s">
        <v>17</v>
      </c>
      <c r="D2623">
        <v>153042</v>
      </c>
      <c r="E2623">
        <v>29248</v>
      </c>
      <c r="F2623">
        <v>22703</v>
      </c>
      <c r="G2623">
        <v>-136859</v>
      </c>
      <c r="H2623">
        <v>68134</v>
      </c>
      <c r="I2623">
        <v>65877</v>
      </c>
      <c r="J2623">
        <v>1067</v>
      </c>
      <c r="K2623">
        <v>473150</v>
      </c>
      <c r="L2623">
        <v>185148</v>
      </c>
      <c r="M2623">
        <v>-134408</v>
      </c>
      <c r="N2623">
        <v>129866</v>
      </c>
      <c r="O2623" t="s">
        <v>2641</v>
      </c>
      <c r="P2623" s="9">
        <v>291841</v>
      </c>
      <c r="Q2623" s="9">
        <v>30018</v>
      </c>
      <c r="R2623" s="9">
        <v>321859</v>
      </c>
      <c r="S2623" s="9">
        <v>-174488</v>
      </c>
      <c r="T2623" s="10">
        <v>90249</v>
      </c>
      <c r="U2623" s="10">
        <v>1811</v>
      </c>
    </row>
    <row r="2624" spans="1:21" x14ac:dyDescent="0.35">
      <c r="A2624" t="s">
        <v>15</v>
      </c>
      <c r="B2624" t="s">
        <v>16</v>
      </c>
      <c r="C2624" t="s">
        <v>21</v>
      </c>
      <c r="D2624">
        <v>245910</v>
      </c>
      <c r="E2624">
        <v>31496</v>
      </c>
      <c r="F2624">
        <v>52752</v>
      </c>
      <c r="G2624">
        <v>-217508</v>
      </c>
      <c r="H2624">
        <v>112650</v>
      </c>
      <c r="I2624">
        <v>116611</v>
      </c>
      <c r="J2624">
        <v>2797</v>
      </c>
      <c r="K2624">
        <v>787956</v>
      </c>
      <c r="L2624">
        <v>145377</v>
      </c>
      <c r="M2624">
        <v>-162930</v>
      </c>
      <c r="N2624">
        <v>192581</v>
      </c>
      <c r="O2624" t="s">
        <v>2642</v>
      </c>
      <c r="P2624" s="9">
        <v>202957</v>
      </c>
      <c r="Q2624" s="9">
        <v>33375</v>
      </c>
      <c r="R2624" s="9">
        <v>236332</v>
      </c>
      <c r="S2624" s="9">
        <v>-115165</v>
      </c>
      <c r="T2624" s="10">
        <v>105196</v>
      </c>
      <c r="U2624" s="10">
        <v>1348</v>
      </c>
    </row>
    <row r="2625" spans="1:21" x14ac:dyDescent="0.35">
      <c r="A2625" t="s">
        <v>15</v>
      </c>
      <c r="B2625" t="s">
        <v>20</v>
      </c>
      <c r="C2625" t="s">
        <v>17</v>
      </c>
      <c r="D2625">
        <v>252129</v>
      </c>
      <c r="E2625">
        <v>43134</v>
      </c>
      <c r="F2625">
        <v>39212</v>
      </c>
      <c r="G2625">
        <v>-235987</v>
      </c>
      <c r="H2625">
        <v>98488</v>
      </c>
      <c r="I2625">
        <v>90043</v>
      </c>
      <c r="J2625">
        <v>2447</v>
      </c>
      <c r="K2625">
        <v>880379</v>
      </c>
      <c r="L2625">
        <v>290700</v>
      </c>
      <c r="M2625">
        <v>-110175</v>
      </c>
      <c r="N2625">
        <v>175305</v>
      </c>
      <c r="O2625" t="s">
        <v>2643</v>
      </c>
      <c r="P2625" s="9">
        <v>247506</v>
      </c>
      <c r="Q2625" s="9">
        <v>14051</v>
      </c>
      <c r="R2625" s="9">
        <v>261557</v>
      </c>
      <c r="S2625" s="9">
        <v>-120756</v>
      </c>
      <c r="T2625" s="10">
        <v>98057</v>
      </c>
      <c r="U2625" s="10">
        <v>2189</v>
      </c>
    </row>
    <row r="2626" spans="1:21" x14ac:dyDescent="0.35">
      <c r="A2626" t="s">
        <v>15</v>
      </c>
      <c r="B2626" t="s">
        <v>16</v>
      </c>
      <c r="C2626" t="s">
        <v>21</v>
      </c>
      <c r="D2626">
        <v>198211</v>
      </c>
      <c r="E2626">
        <v>38627</v>
      </c>
      <c r="F2626">
        <v>34834</v>
      </c>
      <c r="G2626">
        <v>-187456</v>
      </c>
      <c r="H2626">
        <v>84216</v>
      </c>
      <c r="I2626">
        <v>87406</v>
      </c>
      <c r="J2626">
        <v>1822</v>
      </c>
      <c r="K2626">
        <v>461503</v>
      </c>
      <c r="L2626">
        <v>146222</v>
      </c>
      <c r="M2626">
        <v>-53756</v>
      </c>
      <c r="N2626">
        <v>62156</v>
      </c>
      <c r="O2626" t="s">
        <v>2644</v>
      </c>
      <c r="P2626" s="9">
        <v>194550</v>
      </c>
      <c r="Q2626" s="9">
        <v>30965</v>
      </c>
      <c r="R2626" s="9">
        <v>225515</v>
      </c>
      <c r="S2626" s="9">
        <v>-68366</v>
      </c>
      <c r="T2626" s="10">
        <v>108194</v>
      </c>
      <c r="U2626" s="10">
        <v>1485</v>
      </c>
    </row>
    <row r="2627" spans="1:21" x14ac:dyDescent="0.35">
      <c r="A2627" t="s">
        <v>15</v>
      </c>
      <c r="B2627" t="s">
        <v>20</v>
      </c>
      <c r="C2627" t="s">
        <v>21</v>
      </c>
      <c r="D2627">
        <v>275119</v>
      </c>
      <c r="E2627">
        <v>16008</v>
      </c>
      <c r="F2627">
        <v>57104</v>
      </c>
      <c r="G2627">
        <v>-227320</v>
      </c>
      <c r="H2627">
        <v>120911</v>
      </c>
      <c r="I2627">
        <v>124762</v>
      </c>
      <c r="J2627">
        <v>2503</v>
      </c>
      <c r="K2627">
        <v>1046948</v>
      </c>
      <c r="L2627">
        <v>181962</v>
      </c>
      <c r="M2627">
        <v>-304253</v>
      </c>
      <c r="N2627">
        <v>123714</v>
      </c>
      <c r="O2627" t="s">
        <v>2645</v>
      </c>
      <c r="P2627" s="9">
        <v>228894</v>
      </c>
      <c r="Q2627" s="9">
        <v>17910</v>
      </c>
      <c r="R2627" s="9">
        <v>246804</v>
      </c>
      <c r="S2627" s="9">
        <v>-64260</v>
      </c>
      <c r="T2627" s="10">
        <v>97001</v>
      </c>
      <c r="U2627" s="10">
        <v>1981</v>
      </c>
    </row>
    <row r="2628" spans="1:21" x14ac:dyDescent="0.35">
      <c r="A2628" t="s">
        <v>15</v>
      </c>
      <c r="B2628" t="s">
        <v>16</v>
      </c>
      <c r="C2628" t="s">
        <v>21</v>
      </c>
      <c r="D2628">
        <v>238558</v>
      </c>
      <c r="E2628">
        <v>25508</v>
      </c>
      <c r="F2628">
        <v>50136</v>
      </c>
      <c r="G2628">
        <v>-202428</v>
      </c>
      <c r="H2628">
        <v>111774</v>
      </c>
      <c r="I2628">
        <v>102717</v>
      </c>
      <c r="J2628">
        <v>1096</v>
      </c>
      <c r="K2628">
        <v>860894</v>
      </c>
      <c r="L2628">
        <v>274687</v>
      </c>
      <c r="M2628">
        <v>-329013</v>
      </c>
      <c r="N2628">
        <v>210309</v>
      </c>
      <c r="O2628" t="s">
        <v>2646</v>
      </c>
      <c r="P2628" s="9">
        <v>176685</v>
      </c>
      <c r="Q2628" s="9">
        <v>20318</v>
      </c>
      <c r="R2628" s="9">
        <v>197003</v>
      </c>
      <c r="S2628" s="9">
        <v>-60657</v>
      </c>
      <c r="T2628" s="10">
        <v>87518</v>
      </c>
      <c r="U2628" s="10">
        <v>2038</v>
      </c>
    </row>
    <row r="2629" spans="1:21" x14ac:dyDescent="0.35">
      <c r="A2629" t="s">
        <v>15</v>
      </c>
      <c r="B2629" t="s">
        <v>16</v>
      </c>
      <c r="C2629" t="s">
        <v>21</v>
      </c>
      <c r="D2629">
        <v>299879</v>
      </c>
      <c r="E2629">
        <v>24451</v>
      </c>
      <c r="F2629">
        <v>52079</v>
      </c>
      <c r="G2629">
        <v>-294833</v>
      </c>
      <c r="H2629">
        <v>81576</v>
      </c>
      <c r="I2629">
        <v>80977</v>
      </c>
      <c r="J2629">
        <v>1034</v>
      </c>
      <c r="K2629">
        <v>1193068</v>
      </c>
      <c r="L2629">
        <v>553391</v>
      </c>
      <c r="M2629">
        <v>-332155</v>
      </c>
      <c r="N2629">
        <v>111755</v>
      </c>
      <c r="O2629" t="s">
        <v>2647</v>
      </c>
      <c r="P2629" s="9">
        <v>204735</v>
      </c>
      <c r="Q2629" s="9">
        <v>15559</v>
      </c>
      <c r="R2629" s="9">
        <v>220294</v>
      </c>
      <c r="S2629" s="9">
        <v>-46842</v>
      </c>
      <c r="T2629" s="10">
        <v>59599</v>
      </c>
      <c r="U2629" s="10">
        <v>970</v>
      </c>
    </row>
    <row r="2630" spans="1:21" x14ac:dyDescent="0.35">
      <c r="A2630" t="s">
        <v>15</v>
      </c>
      <c r="B2630" t="s">
        <v>16</v>
      </c>
      <c r="C2630" t="s">
        <v>21</v>
      </c>
      <c r="D2630">
        <v>259538</v>
      </c>
      <c r="E2630">
        <v>23097</v>
      </c>
      <c r="F2630">
        <v>50439</v>
      </c>
      <c r="G2630">
        <v>-207816</v>
      </c>
      <c r="H2630">
        <v>125258</v>
      </c>
      <c r="I2630">
        <v>116689</v>
      </c>
      <c r="J2630">
        <v>1392</v>
      </c>
      <c r="K2630">
        <v>756859</v>
      </c>
      <c r="L2630">
        <v>294308</v>
      </c>
      <c r="M2630">
        <v>-172255</v>
      </c>
      <c r="N2630">
        <v>215536</v>
      </c>
      <c r="O2630" t="s">
        <v>2648</v>
      </c>
      <c r="P2630" s="9">
        <v>173345</v>
      </c>
      <c r="Q2630" s="9">
        <v>20260</v>
      </c>
      <c r="R2630" s="9">
        <v>193605</v>
      </c>
      <c r="S2630" s="9">
        <v>-58331</v>
      </c>
      <c r="T2630" s="10">
        <v>73642</v>
      </c>
      <c r="U2630" s="10">
        <v>1693</v>
      </c>
    </row>
    <row r="2631" spans="1:21" x14ac:dyDescent="0.35">
      <c r="A2631" t="s">
        <v>15</v>
      </c>
      <c r="B2631" t="s">
        <v>20</v>
      </c>
      <c r="C2631" t="s">
        <v>21</v>
      </c>
      <c r="D2631">
        <v>260776</v>
      </c>
      <c r="E2631">
        <v>49648</v>
      </c>
      <c r="F2631">
        <v>34649</v>
      </c>
      <c r="G2631">
        <v>-233707</v>
      </c>
      <c r="H2631">
        <v>111366</v>
      </c>
      <c r="I2631">
        <v>112599</v>
      </c>
      <c r="J2631">
        <v>2175</v>
      </c>
      <c r="K2631">
        <v>850270</v>
      </c>
      <c r="L2631">
        <v>373273</v>
      </c>
      <c r="M2631">
        <v>-327389</v>
      </c>
      <c r="N2631">
        <v>199781</v>
      </c>
      <c r="O2631" t="s">
        <v>2649</v>
      </c>
      <c r="P2631" s="9">
        <v>246417</v>
      </c>
      <c r="Q2631" s="9">
        <v>19254</v>
      </c>
      <c r="R2631" s="9">
        <v>265671</v>
      </c>
      <c r="S2631" s="9">
        <v>-143555</v>
      </c>
      <c r="T2631" s="10">
        <v>70120</v>
      </c>
      <c r="U2631" s="10">
        <v>1337</v>
      </c>
    </row>
    <row r="2632" spans="1:21" x14ac:dyDescent="0.35">
      <c r="A2632" t="s">
        <v>15</v>
      </c>
      <c r="B2632" t="s">
        <v>16</v>
      </c>
      <c r="C2632" t="s">
        <v>21</v>
      </c>
      <c r="D2632">
        <v>276260</v>
      </c>
      <c r="E2632">
        <v>31131</v>
      </c>
      <c r="F2632">
        <v>43936</v>
      </c>
      <c r="G2632">
        <v>-259378</v>
      </c>
      <c r="H2632">
        <v>91949</v>
      </c>
      <c r="I2632">
        <v>92095</v>
      </c>
      <c r="J2632">
        <v>1548</v>
      </c>
      <c r="K2632">
        <v>861512</v>
      </c>
      <c r="L2632">
        <v>401599</v>
      </c>
      <c r="M2632">
        <v>-107580</v>
      </c>
      <c r="N2632">
        <v>231133</v>
      </c>
      <c r="O2632" t="s">
        <v>2650</v>
      </c>
      <c r="P2632" s="9">
        <v>247362</v>
      </c>
      <c r="Q2632" s="9">
        <v>34155</v>
      </c>
      <c r="R2632" s="9">
        <v>281517</v>
      </c>
      <c r="S2632" s="9">
        <v>-144884</v>
      </c>
      <c r="T2632" s="10">
        <v>85367</v>
      </c>
      <c r="U2632" s="10">
        <v>1388</v>
      </c>
    </row>
    <row r="2633" spans="1:21" x14ac:dyDescent="0.35">
      <c r="A2633" t="s">
        <v>15</v>
      </c>
      <c r="B2633" t="s">
        <v>20</v>
      </c>
      <c r="C2633" t="s">
        <v>21</v>
      </c>
      <c r="D2633">
        <v>240014</v>
      </c>
      <c r="E2633">
        <v>18974</v>
      </c>
      <c r="F2633">
        <v>49082</v>
      </c>
      <c r="G2633">
        <v>-228046</v>
      </c>
      <c r="H2633">
        <v>80024</v>
      </c>
      <c r="I2633">
        <v>77739</v>
      </c>
      <c r="J2633">
        <v>804</v>
      </c>
      <c r="K2633">
        <v>662048</v>
      </c>
      <c r="L2633">
        <v>229756</v>
      </c>
      <c r="M2633">
        <v>-122381</v>
      </c>
      <c r="N2633">
        <v>177834</v>
      </c>
      <c r="O2633" t="s">
        <v>2651</v>
      </c>
      <c r="P2633" s="9">
        <v>260091</v>
      </c>
      <c r="Q2633" s="9">
        <v>20891</v>
      </c>
      <c r="R2633" s="9">
        <v>280982</v>
      </c>
      <c r="S2633" s="9">
        <v>-92643</v>
      </c>
      <c r="T2633" s="10">
        <v>100113</v>
      </c>
      <c r="U2633" s="10">
        <v>2639</v>
      </c>
    </row>
    <row r="2634" spans="1:21" x14ac:dyDescent="0.35">
      <c r="A2634" t="s">
        <v>15</v>
      </c>
      <c r="B2634" t="s">
        <v>20</v>
      </c>
      <c r="C2634" t="s">
        <v>21</v>
      </c>
      <c r="D2634">
        <v>270917</v>
      </c>
      <c r="E2634">
        <v>36893</v>
      </c>
      <c r="F2634">
        <v>48277</v>
      </c>
      <c r="G2634">
        <v>-225617</v>
      </c>
      <c r="H2634">
        <v>130470</v>
      </c>
      <c r="I2634">
        <v>118723</v>
      </c>
      <c r="J2634">
        <v>3286</v>
      </c>
      <c r="K2634">
        <v>960790</v>
      </c>
      <c r="L2634">
        <v>100055</v>
      </c>
      <c r="M2634">
        <v>-303056</v>
      </c>
      <c r="N2634">
        <v>153080</v>
      </c>
      <c r="O2634" t="s">
        <v>2652</v>
      </c>
      <c r="P2634" s="9">
        <v>221616</v>
      </c>
      <c r="Q2634" s="9">
        <v>39573</v>
      </c>
      <c r="R2634" s="9">
        <v>261189</v>
      </c>
      <c r="S2634" s="9">
        <v>-125945</v>
      </c>
      <c r="T2634" s="10">
        <v>77665</v>
      </c>
      <c r="U2634" s="10">
        <v>920</v>
      </c>
    </row>
    <row r="2635" spans="1:21" x14ac:dyDescent="0.35">
      <c r="A2635" t="s">
        <v>15</v>
      </c>
      <c r="B2635" t="s">
        <v>16</v>
      </c>
      <c r="C2635" t="s">
        <v>21</v>
      </c>
      <c r="D2635">
        <v>194769</v>
      </c>
      <c r="E2635">
        <v>24298</v>
      </c>
      <c r="F2635">
        <v>39653</v>
      </c>
      <c r="G2635">
        <v>-192382</v>
      </c>
      <c r="H2635">
        <v>66338</v>
      </c>
      <c r="I2635">
        <v>64517</v>
      </c>
      <c r="J2635">
        <v>1011</v>
      </c>
      <c r="K2635">
        <v>564400</v>
      </c>
      <c r="L2635">
        <v>200587</v>
      </c>
      <c r="M2635">
        <v>-155600</v>
      </c>
      <c r="N2635">
        <v>173553</v>
      </c>
      <c r="O2635" t="s">
        <v>2653</v>
      </c>
      <c r="P2635" s="9">
        <v>182645</v>
      </c>
      <c r="Q2635" s="9">
        <v>22708</v>
      </c>
      <c r="R2635" s="9">
        <v>205353</v>
      </c>
      <c r="S2635" s="9">
        <v>-66509</v>
      </c>
      <c r="T2635" s="10">
        <v>52121</v>
      </c>
      <c r="U2635" s="10">
        <v>1401</v>
      </c>
    </row>
    <row r="2636" spans="1:21" x14ac:dyDescent="0.35">
      <c r="A2636" t="s">
        <v>15</v>
      </c>
      <c r="B2636" t="s">
        <v>16</v>
      </c>
      <c r="C2636" t="s">
        <v>21</v>
      </c>
      <c r="D2636">
        <v>269448</v>
      </c>
      <c r="E2636">
        <v>49030</v>
      </c>
      <c r="F2636">
        <v>34175</v>
      </c>
      <c r="G2636">
        <v>-215694</v>
      </c>
      <c r="H2636">
        <v>136959</v>
      </c>
      <c r="I2636">
        <v>139185</v>
      </c>
      <c r="J2636">
        <v>2288</v>
      </c>
      <c r="K2636">
        <v>771318</v>
      </c>
      <c r="L2636">
        <v>187675</v>
      </c>
      <c r="M2636">
        <v>-232974</v>
      </c>
      <c r="N2636">
        <v>136300</v>
      </c>
      <c r="O2636" t="s">
        <v>2654</v>
      </c>
      <c r="P2636" s="9">
        <v>223322</v>
      </c>
      <c r="Q2636" s="9">
        <v>14809</v>
      </c>
      <c r="R2636" s="9">
        <v>238131</v>
      </c>
      <c r="S2636" s="9">
        <v>-65426</v>
      </c>
      <c r="T2636" s="10">
        <v>81705</v>
      </c>
      <c r="U2636" s="10">
        <v>2049</v>
      </c>
    </row>
    <row r="2637" spans="1:21" x14ac:dyDescent="0.35">
      <c r="A2637" t="s">
        <v>15</v>
      </c>
      <c r="B2637" t="s">
        <v>16</v>
      </c>
      <c r="C2637" t="s">
        <v>17</v>
      </c>
      <c r="D2637">
        <v>240373</v>
      </c>
      <c r="E2637">
        <v>42395</v>
      </c>
      <c r="F2637">
        <v>39710</v>
      </c>
      <c r="G2637">
        <v>-200667</v>
      </c>
      <c r="H2637">
        <v>121811</v>
      </c>
      <c r="I2637">
        <v>110914</v>
      </c>
      <c r="J2637">
        <v>1425</v>
      </c>
      <c r="K2637">
        <v>537099</v>
      </c>
      <c r="L2637">
        <v>86852</v>
      </c>
      <c r="M2637">
        <v>-101433</v>
      </c>
      <c r="N2637">
        <v>138395</v>
      </c>
      <c r="O2637" t="s">
        <v>2655</v>
      </c>
      <c r="P2637" s="9">
        <v>245045</v>
      </c>
      <c r="Q2637" s="9">
        <v>33919</v>
      </c>
      <c r="R2637" s="9">
        <v>278964</v>
      </c>
      <c r="S2637" s="9">
        <v>-157797</v>
      </c>
      <c r="T2637" s="10">
        <v>85513</v>
      </c>
      <c r="U2637" s="10">
        <v>1991</v>
      </c>
    </row>
    <row r="2638" spans="1:21" x14ac:dyDescent="0.35">
      <c r="A2638" t="s">
        <v>15</v>
      </c>
      <c r="B2638" t="s">
        <v>16</v>
      </c>
      <c r="C2638" t="s">
        <v>17</v>
      </c>
      <c r="D2638">
        <v>193309</v>
      </c>
      <c r="E2638">
        <v>11567</v>
      </c>
      <c r="F2638">
        <v>32339</v>
      </c>
      <c r="G2638">
        <v>-178228</v>
      </c>
      <c r="H2638">
        <v>58987</v>
      </c>
      <c r="I2638">
        <v>56234</v>
      </c>
      <c r="J2638">
        <v>1360</v>
      </c>
      <c r="K2638">
        <v>551181</v>
      </c>
      <c r="L2638">
        <v>196762</v>
      </c>
      <c r="M2638">
        <v>-75428</v>
      </c>
      <c r="N2638">
        <v>153733</v>
      </c>
      <c r="O2638" t="s">
        <v>2656</v>
      </c>
      <c r="P2638" s="9">
        <v>230499</v>
      </c>
      <c r="Q2638" s="9">
        <v>45183</v>
      </c>
      <c r="R2638" s="9">
        <v>275682</v>
      </c>
      <c r="S2638" s="9">
        <v>-152398</v>
      </c>
      <c r="T2638" s="10">
        <v>111451</v>
      </c>
      <c r="U2638" s="10">
        <v>2018</v>
      </c>
    </row>
    <row r="2639" spans="1:21" x14ac:dyDescent="0.35">
      <c r="A2639" t="s">
        <v>15</v>
      </c>
      <c r="B2639" t="s">
        <v>20</v>
      </c>
      <c r="C2639" t="s">
        <v>21</v>
      </c>
      <c r="D2639">
        <v>237630</v>
      </c>
      <c r="E2639">
        <v>40731</v>
      </c>
      <c r="F2639">
        <v>58987</v>
      </c>
      <c r="G2639">
        <v>-219142</v>
      </c>
      <c r="H2639">
        <v>118206</v>
      </c>
      <c r="I2639">
        <v>121445</v>
      </c>
      <c r="J2639">
        <v>3040</v>
      </c>
      <c r="K2639">
        <v>538040</v>
      </c>
      <c r="L2639">
        <v>213954</v>
      </c>
      <c r="M2639">
        <v>-126141</v>
      </c>
      <c r="N2639">
        <v>195554</v>
      </c>
      <c r="O2639" t="s">
        <v>2657</v>
      </c>
      <c r="P2639" s="9">
        <v>247588</v>
      </c>
      <c r="Q2639" s="9">
        <v>14047</v>
      </c>
      <c r="R2639" s="9">
        <v>261635</v>
      </c>
      <c r="S2639" s="9">
        <v>-87343</v>
      </c>
      <c r="T2639" s="10">
        <v>77795</v>
      </c>
      <c r="U2639" s="10">
        <v>1299</v>
      </c>
    </row>
    <row r="2640" spans="1:21" x14ac:dyDescent="0.35">
      <c r="A2640" t="s">
        <v>15</v>
      </c>
      <c r="B2640" t="s">
        <v>20</v>
      </c>
      <c r="C2640" t="s">
        <v>21</v>
      </c>
      <c r="D2640">
        <v>215235</v>
      </c>
      <c r="E2640">
        <v>13245</v>
      </c>
      <c r="F2640">
        <v>23365</v>
      </c>
      <c r="G2640">
        <v>-204576</v>
      </c>
      <c r="H2640">
        <v>47269</v>
      </c>
      <c r="I2640">
        <v>46947</v>
      </c>
      <c r="J2640">
        <v>891</v>
      </c>
      <c r="K2640">
        <v>523431</v>
      </c>
      <c r="L2640">
        <v>67843</v>
      </c>
      <c r="M2640">
        <v>-99923</v>
      </c>
      <c r="N2640">
        <v>92366</v>
      </c>
      <c r="O2640" t="s">
        <v>2658</v>
      </c>
      <c r="P2640" s="9">
        <v>218597</v>
      </c>
      <c r="Q2640" s="9">
        <v>29409</v>
      </c>
      <c r="R2640" s="9">
        <v>248006</v>
      </c>
      <c r="S2640" s="9">
        <v>-118019</v>
      </c>
      <c r="T2640" s="10">
        <v>103007</v>
      </c>
      <c r="U2640" s="10">
        <v>1535</v>
      </c>
    </row>
    <row r="2641" spans="1:21" x14ac:dyDescent="0.35">
      <c r="A2641" t="s">
        <v>15</v>
      </c>
      <c r="B2641" t="s">
        <v>16</v>
      </c>
      <c r="C2641" t="s">
        <v>21</v>
      </c>
      <c r="D2641">
        <v>252633</v>
      </c>
      <c r="E2641">
        <v>39843</v>
      </c>
      <c r="F2641">
        <v>39032</v>
      </c>
      <c r="G2641">
        <v>-227705</v>
      </c>
      <c r="H2641">
        <v>103803</v>
      </c>
      <c r="I2641">
        <v>95708</v>
      </c>
      <c r="J2641">
        <v>1891</v>
      </c>
      <c r="K2641">
        <v>919270</v>
      </c>
      <c r="L2641">
        <v>193030</v>
      </c>
      <c r="M2641">
        <v>-290604</v>
      </c>
      <c r="N2641">
        <v>212365</v>
      </c>
      <c r="O2641" t="s">
        <v>2659</v>
      </c>
      <c r="P2641" s="9">
        <v>190867</v>
      </c>
      <c r="Q2641" s="9">
        <v>35169</v>
      </c>
      <c r="R2641" s="9">
        <v>226036</v>
      </c>
      <c r="S2641" s="9">
        <v>-86873</v>
      </c>
      <c r="T2641" s="10">
        <v>62315</v>
      </c>
      <c r="U2641" s="10">
        <v>1361</v>
      </c>
    </row>
    <row r="2642" spans="1:21" x14ac:dyDescent="0.35">
      <c r="A2642" t="s">
        <v>15</v>
      </c>
      <c r="B2642" t="s">
        <v>16</v>
      </c>
      <c r="C2642" t="s">
        <v>21</v>
      </c>
      <c r="D2642">
        <v>237541</v>
      </c>
      <c r="E2642">
        <v>22074</v>
      </c>
      <c r="F2642">
        <v>29891</v>
      </c>
      <c r="G2642">
        <v>-206730</v>
      </c>
      <c r="H2642">
        <v>82776</v>
      </c>
      <c r="I2642">
        <v>76798</v>
      </c>
      <c r="J2642">
        <v>1706</v>
      </c>
      <c r="K2642">
        <v>774869</v>
      </c>
      <c r="L2642">
        <v>327712</v>
      </c>
      <c r="M2642">
        <v>-236662</v>
      </c>
      <c r="N2642">
        <v>72011</v>
      </c>
      <c r="O2642" t="s">
        <v>2660</v>
      </c>
      <c r="P2642" s="9">
        <v>197339</v>
      </c>
      <c r="Q2642" s="9">
        <v>15896</v>
      </c>
      <c r="R2642" s="9">
        <v>213235</v>
      </c>
      <c r="S2642" s="9">
        <v>-108592</v>
      </c>
      <c r="T2642" s="10">
        <v>55784</v>
      </c>
      <c r="U2642" s="10">
        <v>1144</v>
      </c>
    </row>
    <row r="2643" spans="1:21" x14ac:dyDescent="0.35">
      <c r="A2643" t="s">
        <v>15</v>
      </c>
      <c r="B2643" t="s">
        <v>16</v>
      </c>
      <c r="C2643" t="s">
        <v>21</v>
      </c>
      <c r="D2643">
        <v>257087</v>
      </c>
      <c r="E2643">
        <v>30657</v>
      </c>
      <c r="F2643">
        <v>27912</v>
      </c>
      <c r="G2643">
        <v>-214859</v>
      </c>
      <c r="H2643">
        <v>100797</v>
      </c>
      <c r="I2643">
        <v>99355</v>
      </c>
      <c r="J2643">
        <v>1920</v>
      </c>
      <c r="K2643">
        <v>701386</v>
      </c>
      <c r="L2643">
        <v>324159</v>
      </c>
      <c r="M2643">
        <v>-168671</v>
      </c>
      <c r="N2643">
        <v>102242</v>
      </c>
      <c r="O2643" t="s">
        <v>2661</v>
      </c>
      <c r="P2643" s="9">
        <v>236680</v>
      </c>
      <c r="Q2643" s="9">
        <v>21169</v>
      </c>
      <c r="R2643" s="9">
        <v>257849</v>
      </c>
      <c r="S2643" s="9">
        <v>-129429</v>
      </c>
      <c r="T2643" s="10">
        <v>93598</v>
      </c>
      <c r="U2643" s="10">
        <v>2228</v>
      </c>
    </row>
    <row r="2644" spans="1:21" x14ac:dyDescent="0.35">
      <c r="A2644" t="s">
        <v>15</v>
      </c>
      <c r="B2644" t="s">
        <v>20</v>
      </c>
      <c r="C2644" t="s">
        <v>21</v>
      </c>
      <c r="D2644">
        <v>286479</v>
      </c>
      <c r="E2644">
        <v>26263</v>
      </c>
      <c r="F2644">
        <v>60759</v>
      </c>
      <c r="G2644">
        <v>-231948</v>
      </c>
      <c r="H2644">
        <v>141553</v>
      </c>
      <c r="I2644">
        <v>131680</v>
      </c>
      <c r="J2644">
        <v>2092</v>
      </c>
      <c r="K2644">
        <v>788670</v>
      </c>
      <c r="L2644">
        <v>193216</v>
      </c>
      <c r="M2644">
        <v>-291103</v>
      </c>
      <c r="N2644">
        <v>144424</v>
      </c>
      <c r="O2644" t="s">
        <v>2662</v>
      </c>
      <c r="P2644" s="9">
        <v>271258</v>
      </c>
      <c r="Q2644" s="9">
        <v>39970</v>
      </c>
      <c r="R2644" s="9">
        <v>311228</v>
      </c>
      <c r="S2644" s="9">
        <v>-65478</v>
      </c>
      <c r="T2644" s="10">
        <v>102599</v>
      </c>
      <c r="U2644" s="10">
        <v>2059</v>
      </c>
    </row>
    <row r="2645" spans="1:21" x14ac:dyDescent="0.35">
      <c r="A2645" t="s">
        <v>15</v>
      </c>
      <c r="B2645" t="s">
        <v>20</v>
      </c>
      <c r="C2645" t="s">
        <v>17</v>
      </c>
      <c r="D2645">
        <v>223250</v>
      </c>
      <c r="E2645">
        <v>39591</v>
      </c>
      <c r="F2645">
        <v>39906</v>
      </c>
      <c r="G2645">
        <v>-219370</v>
      </c>
      <c r="H2645">
        <v>83377</v>
      </c>
      <c r="I2645">
        <v>82697</v>
      </c>
      <c r="J2645">
        <v>2087</v>
      </c>
      <c r="K2645">
        <v>505759</v>
      </c>
      <c r="L2645">
        <v>215216</v>
      </c>
      <c r="M2645">
        <v>-103016</v>
      </c>
      <c r="N2645">
        <v>175982</v>
      </c>
      <c r="O2645" t="s">
        <v>2663</v>
      </c>
      <c r="P2645" s="9">
        <v>257931</v>
      </c>
      <c r="Q2645" s="9">
        <v>49210</v>
      </c>
      <c r="R2645" s="9">
        <v>307141</v>
      </c>
      <c r="S2645" s="9">
        <v>-86338</v>
      </c>
      <c r="T2645" s="10">
        <v>141091</v>
      </c>
      <c r="U2645" s="10">
        <v>2330</v>
      </c>
    </row>
    <row r="2646" spans="1:21" x14ac:dyDescent="0.35">
      <c r="A2646" t="s">
        <v>15</v>
      </c>
      <c r="B2646" t="s">
        <v>16</v>
      </c>
      <c r="C2646" t="s">
        <v>21</v>
      </c>
      <c r="D2646">
        <v>151903</v>
      </c>
      <c r="E2646">
        <v>19869</v>
      </c>
      <c r="F2646">
        <v>26069</v>
      </c>
      <c r="G2646">
        <v>-126755</v>
      </c>
      <c r="H2646">
        <v>71086</v>
      </c>
      <c r="I2646">
        <v>65268</v>
      </c>
      <c r="J2646">
        <v>1237</v>
      </c>
      <c r="K2646">
        <v>312407</v>
      </c>
      <c r="L2646">
        <v>131302</v>
      </c>
      <c r="M2646">
        <v>-54303</v>
      </c>
      <c r="N2646">
        <v>101062</v>
      </c>
      <c r="O2646" t="s">
        <v>2664</v>
      </c>
      <c r="P2646" s="9">
        <v>279507</v>
      </c>
      <c r="Q2646" s="9">
        <v>19728</v>
      </c>
      <c r="R2646" s="9">
        <v>299235</v>
      </c>
      <c r="S2646" s="9">
        <v>-130031</v>
      </c>
      <c r="T2646" s="10">
        <v>55210</v>
      </c>
      <c r="U2646" s="10">
        <v>652</v>
      </c>
    </row>
    <row r="2647" spans="1:21" x14ac:dyDescent="0.35">
      <c r="A2647" t="s">
        <v>15</v>
      </c>
      <c r="B2647" t="s">
        <v>16</v>
      </c>
      <c r="C2647" t="s">
        <v>21</v>
      </c>
      <c r="D2647">
        <v>187211</v>
      </c>
      <c r="E2647">
        <v>17442</v>
      </c>
      <c r="F2647">
        <v>22910</v>
      </c>
      <c r="G2647">
        <v>-157506</v>
      </c>
      <c r="H2647">
        <v>70057</v>
      </c>
      <c r="I2647">
        <v>65104</v>
      </c>
      <c r="J2647">
        <v>1647</v>
      </c>
      <c r="K2647">
        <v>489739</v>
      </c>
      <c r="L2647">
        <v>204801</v>
      </c>
      <c r="M2647">
        <v>-171905</v>
      </c>
      <c r="N2647">
        <v>77879</v>
      </c>
      <c r="O2647" t="s">
        <v>2665</v>
      </c>
      <c r="P2647" s="9">
        <v>265949</v>
      </c>
      <c r="Q2647" s="9">
        <v>40517</v>
      </c>
      <c r="R2647" s="9">
        <v>306466</v>
      </c>
      <c r="S2647" s="9">
        <v>-108670</v>
      </c>
      <c r="T2647" s="10">
        <v>72553</v>
      </c>
      <c r="U2647" s="10">
        <v>1611</v>
      </c>
    </row>
    <row r="2648" spans="1:21" x14ac:dyDescent="0.35">
      <c r="A2648" t="s">
        <v>15</v>
      </c>
      <c r="B2648" t="s">
        <v>16</v>
      </c>
      <c r="C2648" t="s">
        <v>17</v>
      </c>
      <c r="D2648">
        <v>257456</v>
      </c>
      <c r="E2648">
        <v>17067</v>
      </c>
      <c r="F2648">
        <v>27172</v>
      </c>
      <c r="G2648">
        <v>-256482</v>
      </c>
      <c r="H2648">
        <v>45213</v>
      </c>
      <c r="I2648">
        <v>46712</v>
      </c>
      <c r="J2648">
        <v>1269</v>
      </c>
      <c r="K2648">
        <v>714959</v>
      </c>
      <c r="L2648">
        <v>198536</v>
      </c>
      <c r="M2648">
        <v>-85386</v>
      </c>
      <c r="N2648">
        <v>96956</v>
      </c>
      <c r="O2648" t="s">
        <v>2666</v>
      </c>
      <c r="P2648" s="9">
        <v>238048</v>
      </c>
      <c r="Q2648" s="9">
        <v>12891</v>
      </c>
      <c r="R2648" s="9">
        <v>250939</v>
      </c>
      <c r="S2648" s="9">
        <v>-87927</v>
      </c>
      <c r="T2648" s="10">
        <v>63601</v>
      </c>
      <c r="U2648" s="10">
        <v>1618</v>
      </c>
    </row>
    <row r="2649" spans="1:21" x14ac:dyDescent="0.35">
      <c r="A2649" t="s">
        <v>15</v>
      </c>
      <c r="B2649" t="s">
        <v>16</v>
      </c>
      <c r="C2649" t="s">
        <v>17</v>
      </c>
      <c r="D2649">
        <v>221593</v>
      </c>
      <c r="E2649">
        <v>14371</v>
      </c>
      <c r="F2649">
        <v>28195</v>
      </c>
      <c r="G2649">
        <v>-178195</v>
      </c>
      <c r="H2649">
        <v>85964</v>
      </c>
      <c r="I2649">
        <v>87398</v>
      </c>
      <c r="J2649">
        <v>1870</v>
      </c>
      <c r="K2649">
        <v>775728</v>
      </c>
      <c r="L2649">
        <v>231529</v>
      </c>
      <c r="M2649">
        <v>-223213</v>
      </c>
      <c r="N2649">
        <v>95116</v>
      </c>
      <c r="O2649" t="s">
        <v>2667</v>
      </c>
      <c r="P2649" s="9">
        <v>158591</v>
      </c>
      <c r="Q2649" s="9">
        <v>15221</v>
      </c>
      <c r="R2649" s="9">
        <v>173812</v>
      </c>
      <c r="S2649" s="9">
        <v>-41644</v>
      </c>
      <c r="T2649" s="10">
        <v>76492</v>
      </c>
      <c r="U2649" s="10">
        <v>943</v>
      </c>
    </row>
    <row r="2650" spans="1:21" x14ac:dyDescent="0.35">
      <c r="A2650" t="s">
        <v>15</v>
      </c>
      <c r="B2650" t="s">
        <v>16</v>
      </c>
      <c r="C2650" t="s">
        <v>21</v>
      </c>
      <c r="D2650">
        <v>212904</v>
      </c>
      <c r="E2650">
        <v>37295</v>
      </c>
      <c r="F2650">
        <v>28257</v>
      </c>
      <c r="G2650">
        <v>-202205</v>
      </c>
      <c r="H2650">
        <v>76251</v>
      </c>
      <c r="I2650">
        <v>69886</v>
      </c>
      <c r="J2650">
        <v>1581</v>
      </c>
      <c r="K2650">
        <v>445515</v>
      </c>
      <c r="L2650">
        <v>48123</v>
      </c>
      <c r="M2650">
        <v>-111580</v>
      </c>
      <c r="N2650">
        <v>142346</v>
      </c>
      <c r="O2650" t="s">
        <v>2668</v>
      </c>
      <c r="P2650" s="9">
        <v>309211</v>
      </c>
      <c r="Q2650" s="9">
        <v>18193</v>
      </c>
      <c r="R2650" s="9">
        <v>327404</v>
      </c>
      <c r="S2650" s="9">
        <v>-108074</v>
      </c>
      <c r="T2650" s="10">
        <v>101429</v>
      </c>
      <c r="U2650" s="10">
        <v>2812</v>
      </c>
    </row>
    <row r="2651" spans="1:21" x14ac:dyDescent="0.35">
      <c r="A2651" t="s">
        <v>15</v>
      </c>
      <c r="B2651" t="s">
        <v>16</v>
      </c>
      <c r="C2651" t="s">
        <v>17</v>
      </c>
      <c r="D2651">
        <v>216749</v>
      </c>
      <c r="E2651">
        <v>23338</v>
      </c>
      <c r="F2651">
        <v>40844</v>
      </c>
      <c r="G2651">
        <v>-193564</v>
      </c>
      <c r="H2651">
        <v>87367</v>
      </c>
      <c r="I2651">
        <v>83143</v>
      </c>
      <c r="J2651">
        <v>1435</v>
      </c>
      <c r="K2651">
        <v>447635</v>
      </c>
      <c r="L2651">
        <v>78104</v>
      </c>
      <c r="M2651">
        <v>-114043</v>
      </c>
      <c r="N2651">
        <v>120127</v>
      </c>
      <c r="O2651" t="s">
        <v>2669</v>
      </c>
      <c r="P2651" s="9">
        <v>251181</v>
      </c>
      <c r="Q2651" s="9">
        <v>33571</v>
      </c>
      <c r="R2651" s="9">
        <v>284752</v>
      </c>
      <c r="S2651" s="9">
        <v>-123854</v>
      </c>
      <c r="T2651" s="10">
        <v>79824</v>
      </c>
      <c r="U2651" s="10">
        <v>909</v>
      </c>
    </row>
    <row r="2652" spans="1:21" x14ac:dyDescent="0.35">
      <c r="A2652" t="s">
        <v>15</v>
      </c>
      <c r="B2652" t="s">
        <v>16</v>
      </c>
      <c r="C2652" t="s">
        <v>21</v>
      </c>
      <c r="D2652">
        <v>287596</v>
      </c>
      <c r="E2652">
        <v>32184</v>
      </c>
      <c r="F2652">
        <v>68567</v>
      </c>
      <c r="G2652">
        <v>-280270</v>
      </c>
      <c r="H2652">
        <v>108077</v>
      </c>
      <c r="I2652">
        <v>106800</v>
      </c>
      <c r="J2652">
        <v>1775</v>
      </c>
      <c r="K2652">
        <v>1008607</v>
      </c>
      <c r="L2652">
        <v>352218</v>
      </c>
      <c r="M2652">
        <v>-393525</v>
      </c>
      <c r="N2652">
        <v>101390</v>
      </c>
      <c r="O2652" t="s">
        <v>2670</v>
      </c>
      <c r="P2652" s="9">
        <v>219949</v>
      </c>
      <c r="Q2652" s="9">
        <v>24116</v>
      </c>
      <c r="R2652" s="9">
        <v>244065</v>
      </c>
      <c r="S2652" s="9">
        <v>-115742</v>
      </c>
      <c r="T2652" s="10">
        <v>52783</v>
      </c>
      <c r="U2652" s="10">
        <v>827</v>
      </c>
    </row>
    <row r="2653" spans="1:21" x14ac:dyDescent="0.35">
      <c r="A2653" t="s">
        <v>15</v>
      </c>
      <c r="B2653" t="s">
        <v>16</v>
      </c>
      <c r="C2653" t="s">
        <v>21</v>
      </c>
      <c r="D2653">
        <v>164466</v>
      </c>
      <c r="E2653">
        <v>9298</v>
      </c>
      <c r="F2653">
        <v>41048</v>
      </c>
      <c r="G2653">
        <v>-153198</v>
      </c>
      <c r="H2653">
        <v>61614</v>
      </c>
      <c r="I2653">
        <v>64395</v>
      </c>
      <c r="J2653">
        <v>1853</v>
      </c>
      <c r="K2653">
        <v>483874</v>
      </c>
      <c r="L2653">
        <v>81978</v>
      </c>
      <c r="M2653">
        <v>-187953</v>
      </c>
      <c r="N2653">
        <v>102146</v>
      </c>
      <c r="O2653" t="s">
        <v>2671</v>
      </c>
      <c r="P2653" s="9">
        <v>236628</v>
      </c>
      <c r="Q2653" s="9">
        <v>22029</v>
      </c>
      <c r="R2653" s="9">
        <v>258657</v>
      </c>
      <c r="S2653" s="9">
        <v>-76254</v>
      </c>
      <c r="T2653" s="10">
        <v>91704</v>
      </c>
      <c r="U2653" s="10">
        <v>2178</v>
      </c>
    </row>
    <row r="2654" spans="1:21" x14ac:dyDescent="0.35">
      <c r="A2654" t="s">
        <v>15</v>
      </c>
      <c r="B2654" t="s">
        <v>20</v>
      </c>
      <c r="C2654" t="s">
        <v>21</v>
      </c>
      <c r="D2654">
        <v>172320</v>
      </c>
      <c r="E2654">
        <v>12327</v>
      </c>
      <c r="F2654">
        <v>20751</v>
      </c>
      <c r="G2654">
        <v>-144150</v>
      </c>
      <c r="H2654">
        <v>61248</v>
      </c>
      <c r="I2654">
        <v>56401</v>
      </c>
      <c r="J2654">
        <v>1489</v>
      </c>
      <c r="K2654">
        <v>675028</v>
      </c>
      <c r="L2654">
        <v>151090</v>
      </c>
      <c r="M2654">
        <v>-253863</v>
      </c>
      <c r="N2654">
        <v>75797</v>
      </c>
      <c r="O2654" t="s">
        <v>2672</v>
      </c>
      <c r="P2654" s="9">
        <v>246860</v>
      </c>
      <c r="Q2654" s="9">
        <v>37659</v>
      </c>
      <c r="R2654" s="9">
        <v>284519</v>
      </c>
      <c r="S2654" s="9">
        <v>-120090</v>
      </c>
      <c r="T2654" s="10">
        <v>133002</v>
      </c>
      <c r="U2654" s="10">
        <v>3160</v>
      </c>
    </row>
    <row r="2655" spans="1:21" x14ac:dyDescent="0.35">
      <c r="A2655" t="s">
        <v>15</v>
      </c>
      <c r="B2655" t="s">
        <v>20</v>
      </c>
      <c r="C2655" t="s">
        <v>21</v>
      </c>
      <c r="D2655">
        <v>209529</v>
      </c>
      <c r="E2655">
        <v>21873</v>
      </c>
      <c r="F2655">
        <v>46719</v>
      </c>
      <c r="G2655">
        <v>-196887</v>
      </c>
      <c r="H2655">
        <v>81234</v>
      </c>
      <c r="I2655">
        <v>82417</v>
      </c>
      <c r="J2655">
        <v>1559</v>
      </c>
      <c r="K2655">
        <v>684719</v>
      </c>
      <c r="L2655">
        <v>85010</v>
      </c>
      <c r="M2655">
        <v>-107943</v>
      </c>
      <c r="N2655">
        <v>160970</v>
      </c>
      <c r="O2655" t="s">
        <v>2673</v>
      </c>
      <c r="P2655" s="9">
        <v>175900</v>
      </c>
      <c r="Q2655" s="9">
        <v>36411</v>
      </c>
      <c r="R2655" s="9">
        <v>212311</v>
      </c>
      <c r="S2655" s="9">
        <v>-106836</v>
      </c>
      <c r="T2655" s="10">
        <v>92613</v>
      </c>
      <c r="U2655" s="10">
        <v>1530</v>
      </c>
    </row>
    <row r="2656" spans="1:21" x14ac:dyDescent="0.35">
      <c r="A2656" t="s">
        <v>15</v>
      </c>
      <c r="B2656" t="s">
        <v>16</v>
      </c>
      <c r="C2656" t="s">
        <v>21</v>
      </c>
      <c r="D2656">
        <v>228275</v>
      </c>
      <c r="E2656">
        <v>19131</v>
      </c>
      <c r="F2656">
        <v>50321</v>
      </c>
      <c r="G2656">
        <v>-211517</v>
      </c>
      <c r="H2656">
        <v>86210</v>
      </c>
      <c r="I2656">
        <v>82769</v>
      </c>
      <c r="J2656">
        <v>1617</v>
      </c>
      <c r="K2656">
        <v>853473</v>
      </c>
      <c r="L2656">
        <v>140752</v>
      </c>
      <c r="M2656">
        <v>-140099</v>
      </c>
      <c r="N2656">
        <v>68970</v>
      </c>
      <c r="O2656" t="s">
        <v>2674</v>
      </c>
      <c r="P2656" s="9">
        <v>162513</v>
      </c>
      <c r="Q2656" s="9">
        <v>30363</v>
      </c>
      <c r="R2656" s="9">
        <v>192876</v>
      </c>
      <c r="S2656" s="9">
        <v>-87858</v>
      </c>
      <c r="T2656" s="10">
        <v>75979</v>
      </c>
      <c r="U2656" s="10">
        <v>907</v>
      </c>
    </row>
    <row r="2657" spans="1:21" x14ac:dyDescent="0.35">
      <c r="A2657" t="s">
        <v>15</v>
      </c>
      <c r="B2657" t="s">
        <v>16</v>
      </c>
      <c r="C2657" t="s">
        <v>21</v>
      </c>
      <c r="D2657">
        <v>171312</v>
      </c>
      <c r="E2657">
        <v>25648</v>
      </c>
      <c r="F2657">
        <v>33000</v>
      </c>
      <c r="G2657">
        <v>-170881</v>
      </c>
      <c r="H2657">
        <v>59079</v>
      </c>
      <c r="I2657">
        <v>55798</v>
      </c>
      <c r="J2657">
        <v>1396</v>
      </c>
      <c r="K2657">
        <v>421674</v>
      </c>
      <c r="L2657">
        <v>121902</v>
      </c>
      <c r="M2657">
        <v>-132004</v>
      </c>
      <c r="N2657">
        <v>64620</v>
      </c>
      <c r="O2657" t="s">
        <v>2675</v>
      </c>
      <c r="P2657" s="9">
        <v>206279</v>
      </c>
      <c r="Q2657" s="9">
        <v>36733</v>
      </c>
      <c r="R2657" s="9">
        <v>243012</v>
      </c>
      <c r="S2657" s="9">
        <v>-99565</v>
      </c>
      <c r="T2657" s="10">
        <v>95518</v>
      </c>
      <c r="U2657" s="10">
        <v>1438</v>
      </c>
    </row>
    <row r="2658" spans="1:21" x14ac:dyDescent="0.35">
      <c r="A2658" t="s">
        <v>15</v>
      </c>
      <c r="B2658" t="s">
        <v>20</v>
      </c>
      <c r="C2658" t="s">
        <v>21</v>
      </c>
      <c r="D2658">
        <v>160079</v>
      </c>
      <c r="E2658">
        <v>30952</v>
      </c>
      <c r="F2658">
        <v>26553</v>
      </c>
      <c r="G2658">
        <v>-135217</v>
      </c>
      <c r="H2658">
        <v>82367</v>
      </c>
      <c r="I2658">
        <v>79590</v>
      </c>
      <c r="J2658">
        <v>1495</v>
      </c>
      <c r="K2658">
        <v>435296</v>
      </c>
      <c r="L2658">
        <v>171151</v>
      </c>
      <c r="M2658">
        <v>-114629</v>
      </c>
      <c r="N2658">
        <v>129783</v>
      </c>
      <c r="O2658" t="s">
        <v>2676</v>
      </c>
      <c r="P2658" s="9">
        <v>303795</v>
      </c>
      <c r="Q2658" s="9">
        <v>50971</v>
      </c>
      <c r="R2658" s="9">
        <v>354766</v>
      </c>
      <c r="S2658" s="9">
        <v>-130682</v>
      </c>
      <c r="T2658" s="10">
        <v>125090</v>
      </c>
      <c r="U2658" s="10">
        <v>2623</v>
      </c>
    </row>
    <row r="2659" spans="1:21" x14ac:dyDescent="0.35">
      <c r="A2659" t="s">
        <v>15</v>
      </c>
      <c r="B2659" t="s">
        <v>20</v>
      </c>
      <c r="C2659" t="s">
        <v>21</v>
      </c>
      <c r="D2659">
        <v>246578</v>
      </c>
      <c r="E2659">
        <v>46240</v>
      </c>
      <c r="F2659">
        <v>53285</v>
      </c>
      <c r="G2659">
        <v>-242367</v>
      </c>
      <c r="H2659">
        <v>103736</v>
      </c>
      <c r="I2659">
        <v>106424</v>
      </c>
      <c r="J2659">
        <v>1477</v>
      </c>
      <c r="K2659">
        <v>884077</v>
      </c>
      <c r="L2659">
        <v>120361</v>
      </c>
      <c r="M2659">
        <v>-136091</v>
      </c>
      <c r="N2659">
        <v>105004</v>
      </c>
      <c r="O2659" t="s">
        <v>2677</v>
      </c>
      <c r="P2659" s="9">
        <v>290718</v>
      </c>
      <c r="Q2659" s="9">
        <v>56700</v>
      </c>
      <c r="R2659" s="9">
        <v>347418</v>
      </c>
      <c r="S2659" s="9">
        <v>-172662</v>
      </c>
      <c r="T2659" s="10">
        <v>128209</v>
      </c>
      <c r="U2659" s="10">
        <v>1912</v>
      </c>
    </row>
    <row r="2660" spans="1:21" x14ac:dyDescent="0.35">
      <c r="A2660" t="s">
        <v>15</v>
      </c>
      <c r="B2660" t="s">
        <v>20</v>
      </c>
      <c r="C2660" t="s">
        <v>17</v>
      </c>
      <c r="D2660">
        <v>174730</v>
      </c>
      <c r="E2660">
        <v>12226</v>
      </c>
      <c r="F2660">
        <v>34516</v>
      </c>
      <c r="G2660">
        <v>-161232</v>
      </c>
      <c r="H2660">
        <v>60240</v>
      </c>
      <c r="I2660">
        <v>61215</v>
      </c>
      <c r="J2660">
        <v>1281</v>
      </c>
      <c r="K2660">
        <v>512939</v>
      </c>
      <c r="L2660">
        <v>246909</v>
      </c>
      <c r="M2660">
        <v>-126033</v>
      </c>
      <c r="N2660">
        <v>86586</v>
      </c>
      <c r="O2660" t="s">
        <v>2678</v>
      </c>
      <c r="P2660" s="9">
        <v>248163</v>
      </c>
      <c r="Q2660" s="9">
        <v>27197</v>
      </c>
      <c r="R2660" s="9">
        <v>275360</v>
      </c>
      <c r="S2660" s="9">
        <v>-138637</v>
      </c>
      <c r="T2660" s="10">
        <v>99263</v>
      </c>
      <c r="U2660" s="10">
        <v>2244</v>
      </c>
    </row>
    <row r="2661" spans="1:21" x14ac:dyDescent="0.35">
      <c r="A2661" t="s">
        <v>15</v>
      </c>
      <c r="B2661" t="s">
        <v>20</v>
      </c>
      <c r="C2661" t="s">
        <v>21</v>
      </c>
      <c r="D2661">
        <v>229204</v>
      </c>
      <c r="E2661">
        <v>28178</v>
      </c>
      <c r="F2661">
        <v>36361</v>
      </c>
      <c r="G2661">
        <v>-225290</v>
      </c>
      <c r="H2661">
        <v>68453</v>
      </c>
      <c r="I2661">
        <v>69105</v>
      </c>
      <c r="J2661">
        <v>1397</v>
      </c>
      <c r="K2661">
        <v>723140</v>
      </c>
      <c r="L2661">
        <v>192555</v>
      </c>
      <c r="M2661">
        <v>-94600</v>
      </c>
      <c r="N2661">
        <v>158873</v>
      </c>
      <c r="O2661" t="s">
        <v>2679</v>
      </c>
      <c r="P2661" s="9">
        <v>163018</v>
      </c>
      <c r="Q2661" s="9">
        <v>33285</v>
      </c>
      <c r="R2661" s="9">
        <v>196303</v>
      </c>
      <c r="S2661" s="9">
        <v>-95982</v>
      </c>
      <c r="T2661" s="10">
        <v>61952</v>
      </c>
      <c r="U2661" s="10">
        <v>1678</v>
      </c>
    </row>
    <row r="2662" spans="1:21" x14ac:dyDescent="0.35">
      <c r="A2662" t="s">
        <v>15</v>
      </c>
      <c r="B2662" t="s">
        <v>16</v>
      </c>
      <c r="C2662" t="s">
        <v>21</v>
      </c>
      <c r="D2662">
        <v>289991</v>
      </c>
      <c r="E2662">
        <v>26448</v>
      </c>
      <c r="F2662">
        <v>67690</v>
      </c>
      <c r="G2662">
        <v>-282504</v>
      </c>
      <c r="H2662">
        <v>101625</v>
      </c>
      <c r="I2662">
        <v>99506</v>
      </c>
      <c r="J2662">
        <v>2368</v>
      </c>
      <c r="K2662">
        <v>794281</v>
      </c>
      <c r="L2662">
        <v>115187</v>
      </c>
      <c r="M2662">
        <v>-184669</v>
      </c>
      <c r="N2662">
        <v>115228</v>
      </c>
      <c r="O2662" t="s">
        <v>2680</v>
      </c>
      <c r="P2662" s="9">
        <v>143500</v>
      </c>
      <c r="Q2662" s="9">
        <v>25420</v>
      </c>
      <c r="R2662" s="9">
        <v>168920</v>
      </c>
      <c r="S2662" s="9">
        <v>-90302</v>
      </c>
      <c r="T2662" s="10">
        <v>51865</v>
      </c>
      <c r="U2662" s="10">
        <v>640</v>
      </c>
    </row>
    <row r="2663" spans="1:21" x14ac:dyDescent="0.35">
      <c r="A2663" t="s">
        <v>15</v>
      </c>
      <c r="B2663" t="s">
        <v>16</v>
      </c>
      <c r="C2663" t="s">
        <v>21</v>
      </c>
      <c r="D2663">
        <v>203060</v>
      </c>
      <c r="E2663">
        <v>34502</v>
      </c>
      <c r="F2663">
        <v>26963</v>
      </c>
      <c r="G2663">
        <v>-166528</v>
      </c>
      <c r="H2663">
        <v>97997</v>
      </c>
      <c r="I2663">
        <v>97054</v>
      </c>
      <c r="J2663">
        <v>2909</v>
      </c>
      <c r="K2663">
        <v>614779</v>
      </c>
      <c r="L2663">
        <v>196414</v>
      </c>
      <c r="M2663">
        <v>-199630</v>
      </c>
      <c r="N2663">
        <v>96052</v>
      </c>
      <c r="O2663" t="s">
        <v>2681</v>
      </c>
      <c r="P2663" s="9">
        <v>262679</v>
      </c>
      <c r="Q2663" s="9">
        <v>42650</v>
      </c>
      <c r="R2663" s="9">
        <v>305329</v>
      </c>
      <c r="S2663" s="9">
        <v>-169120</v>
      </c>
      <c r="T2663" s="10">
        <v>110032</v>
      </c>
      <c r="U2663" s="10">
        <v>1932</v>
      </c>
    </row>
    <row r="2664" spans="1:21" x14ac:dyDescent="0.35">
      <c r="A2664" t="s">
        <v>15</v>
      </c>
      <c r="B2664" t="s">
        <v>16</v>
      </c>
      <c r="C2664" t="s">
        <v>21</v>
      </c>
      <c r="D2664">
        <v>190207</v>
      </c>
      <c r="E2664">
        <v>32338</v>
      </c>
      <c r="F2664">
        <v>36624</v>
      </c>
      <c r="G2664">
        <v>-183356</v>
      </c>
      <c r="H2664">
        <v>75813</v>
      </c>
      <c r="I2664">
        <v>78321</v>
      </c>
      <c r="J2664">
        <v>1192</v>
      </c>
      <c r="K2664">
        <v>685610</v>
      </c>
      <c r="L2664">
        <v>264575</v>
      </c>
      <c r="M2664">
        <v>-150059</v>
      </c>
      <c r="N2664">
        <v>113278</v>
      </c>
      <c r="O2664" t="s">
        <v>2682</v>
      </c>
      <c r="P2664" s="9">
        <v>205929</v>
      </c>
      <c r="Q2664" s="9">
        <v>12860</v>
      </c>
      <c r="R2664" s="9">
        <v>218789</v>
      </c>
      <c r="S2664" s="9">
        <v>-53676</v>
      </c>
      <c r="T2664" s="10">
        <v>89140</v>
      </c>
      <c r="U2664" s="10">
        <v>2486</v>
      </c>
    </row>
    <row r="2665" spans="1:21" x14ac:dyDescent="0.35">
      <c r="A2665" t="s">
        <v>15</v>
      </c>
      <c r="B2665" t="s">
        <v>16</v>
      </c>
      <c r="C2665" t="s">
        <v>17</v>
      </c>
      <c r="D2665">
        <v>277848</v>
      </c>
      <c r="E2665">
        <v>46396</v>
      </c>
      <c r="F2665">
        <v>42492</v>
      </c>
      <c r="G2665">
        <v>-247152</v>
      </c>
      <c r="H2665">
        <v>119584</v>
      </c>
      <c r="I2665">
        <v>111348</v>
      </c>
      <c r="J2665">
        <v>1598</v>
      </c>
      <c r="K2665">
        <v>655102</v>
      </c>
      <c r="L2665">
        <v>214971</v>
      </c>
      <c r="M2665">
        <v>-173469</v>
      </c>
      <c r="N2665">
        <v>191675</v>
      </c>
      <c r="O2665" t="s">
        <v>2683</v>
      </c>
      <c r="P2665" s="9">
        <v>239597</v>
      </c>
      <c r="Q2665" s="9">
        <v>38284</v>
      </c>
      <c r="R2665" s="9">
        <v>277881</v>
      </c>
      <c r="S2665" s="9">
        <v>-117645</v>
      </c>
      <c r="T2665" s="10">
        <v>147167</v>
      </c>
      <c r="U2665" s="10">
        <v>2034</v>
      </c>
    </row>
    <row r="2666" spans="1:21" x14ac:dyDescent="0.35">
      <c r="A2666" t="s">
        <v>15</v>
      </c>
      <c r="B2666" t="s">
        <v>16</v>
      </c>
      <c r="C2666" t="s">
        <v>17</v>
      </c>
      <c r="D2666">
        <v>247043</v>
      </c>
      <c r="E2666">
        <v>16921</v>
      </c>
      <c r="F2666">
        <v>56888</v>
      </c>
      <c r="G2666">
        <v>-209354</v>
      </c>
      <c r="H2666">
        <v>111498</v>
      </c>
      <c r="I2666">
        <v>108404</v>
      </c>
      <c r="J2666">
        <v>1858</v>
      </c>
      <c r="K2666">
        <v>508204</v>
      </c>
      <c r="L2666">
        <v>75024</v>
      </c>
      <c r="M2666">
        <v>-200297</v>
      </c>
      <c r="N2666">
        <v>100793</v>
      </c>
      <c r="O2666" t="s">
        <v>2684</v>
      </c>
      <c r="P2666" s="9">
        <v>299687</v>
      </c>
      <c r="Q2666" s="9">
        <v>22628</v>
      </c>
      <c r="R2666" s="9">
        <v>322315</v>
      </c>
      <c r="S2666" s="9">
        <v>-171791</v>
      </c>
      <c r="T2666" s="10">
        <v>130454</v>
      </c>
      <c r="U2666" s="10">
        <v>1531</v>
      </c>
    </row>
    <row r="2667" spans="1:21" x14ac:dyDescent="0.35">
      <c r="A2667" t="s">
        <v>15</v>
      </c>
      <c r="B2667" t="s">
        <v>16</v>
      </c>
      <c r="C2667" t="s">
        <v>21</v>
      </c>
      <c r="D2667">
        <v>209301</v>
      </c>
      <c r="E2667">
        <v>33834</v>
      </c>
      <c r="F2667">
        <v>50876</v>
      </c>
      <c r="G2667">
        <v>-206699</v>
      </c>
      <c r="H2667">
        <v>87312</v>
      </c>
      <c r="I2667">
        <v>87357</v>
      </c>
      <c r="J2667">
        <v>881</v>
      </c>
      <c r="K2667">
        <v>536211</v>
      </c>
      <c r="L2667">
        <v>125665</v>
      </c>
      <c r="M2667">
        <v>-133857</v>
      </c>
      <c r="N2667">
        <v>186663</v>
      </c>
      <c r="O2667" t="s">
        <v>2685</v>
      </c>
      <c r="P2667" s="9">
        <v>198946</v>
      </c>
      <c r="Q2667" s="9">
        <v>23224</v>
      </c>
      <c r="R2667" s="9">
        <v>222170</v>
      </c>
      <c r="S2667" s="9">
        <v>-130659</v>
      </c>
      <c r="T2667" s="10">
        <v>99381</v>
      </c>
      <c r="U2667" s="10">
        <v>1622</v>
      </c>
    </row>
    <row r="2668" spans="1:21" x14ac:dyDescent="0.35">
      <c r="A2668" t="s">
        <v>15</v>
      </c>
      <c r="B2668" t="s">
        <v>20</v>
      </c>
      <c r="C2668" t="s">
        <v>21</v>
      </c>
      <c r="D2668">
        <v>236861</v>
      </c>
      <c r="E2668">
        <v>37621</v>
      </c>
      <c r="F2668">
        <v>24085</v>
      </c>
      <c r="G2668">
        <v>-215244</v>
      </c>
      <c r="H2668">
        <v>83323</v>
      </c>
      <c r="I2668">
        <v>80704</v>
      </c>
      <c r="J2668">
        <v>1490</v>
      </c>
      <c r="K2668">
        <v>504489</v>
      </c>
      <c r="L2668">
        <v>175409</v>
      </c>
      <c r="M2668">
        <v>-150672</v>
      </c>
      <c r="N2668">
        <v>148049</v>
      </c>
      <c r="O2668" t="s">
        <v>2686</v>
      </c>
      <c r="P2668" s="9">
        <v>231993</v>
      </c>
      <c r="Q2668" s="9">
        <v>43610</v>
      </c>
      <c r="R2668" s="9">
        <v>275603</v>
      </c>
      <c r="S2668" s="9">
        <v>-112667</v>
      </c>
      <c r="T2668" s="10">
        <v>77581</v>
      </c>
      <c r="U2668" s="10">
        <v>1475</v>
      </c>
    </row>
    <row r="2669" spans="1:21" x14ac:dyDescent="0.35">
      <c r="A2669" t="s">
        <v>15</v>
      </c>
      <c r="B2669" t="s">
        <v>20</v>
      </c>
      <c r="C2669" t="s">
        <v>21</v>
      </c>
      <c r="D2669">
        <v>226542</v>
      </c>
      <c r="E2669">
        <v>40906</v>
      </c>
      <c r="F2669">
        <v>30849</v>
      </c>
      <c r="G2669">
        <v>-204774</v>
      </c>
      <c r="H2669">
        <v>93523</v>
      </c>
      <c r="I2669">
        <v>84844</v>
      </c>
      <c r="J2669">
        <v>2533</v>
      </c>
      <c r="K2669">
        <v>632511</v>
      </c>
      <c r="L2669">
        <v>87554</v>
      </c>
      <c r="M2669">
        <v>-245375</v>
      </c>
      <c r="N2669">
        <v>70995</v>
      </c>
      <c r="O2669" t="s">
        <v>2687</v>
      </c>
      <c r="P2669" s="9">
        <v>190575</v>
      </c>
      <c r="Q2669" s="9">
        <v>35201</v>
      </c>
      <c r="R2669" s="9">
        <v>225776</v>
      </c>
      <c r="S2669" s="9">
        <v>-105715</v>
      </c>
      <c r="T2669" s="10">
        <v>104734</v>
      </c>
      <c r="U2669" s="10">
        <v>1449</v>
      </c>
    </row>
    <row r="2670" spans="1:21" x14ac:dyDescent="0.35">
      <c r="A2670" t="s">
        <v>15</v>
      </c>
      <c r="B2670" t="s">
        <v>16</v>
      </c>
      <c r="C2670" t="s">
        <v>17</v>
      </c>
      <c r="D2670">
        <v>187696</v>
      </c>
      <c r="E2670">
        <v>24377</v>
      </c>
      <c r="F2670">
        <v>41271</v>
      </c>
      <c r="G2670">
        <v>-155404</v>
      </c>
      <c r="H2670">
        <v>97940</v>
      </c>
      <c r="I2670">
        <v>93698</v>
      </c>
      <c r="J2670">
        <v>1530</v>
      </c>
      <c r="K2670">
        <v>740599</v>
      </c>
      <c r="L2670">
        <v>156739</v>
      </c>
      <c r="M2670">
        <v>-116650</v>
      </c>
      <c r="N2670">
        <v>143419</v>
      </c>
      <c r="O2670" t="s">
        <v>2688</v>
      </c>
      <c r="P2670" s="9">
        <v>217375</v>
      </c>
      <c r="Q2670" s="9">
        <v>29065</v>
      </c>
      <c r="R2670" s="9">
        <v>246440</v>
      </c>
      <c r="S2670" s="9">
        <v>-57188</v>
      </c>
      <c r="T2670" s="10">
        <v>63337</v>
      </c>
      <c r="U2670" s="10">
        <v>1540</v>
      </c>
    </row>
    <row r="2671" spans="1:21" x14ac:dyDescent="0.35">
      <c r="A2671" t="s">
        <v>15</v>
      </c>
      <c r="B2671" t="s">
        <v>20</v>
      </c>
      <c r="C2671" t="s">
        <v>21</v>
      </c>
      <c r="D2671">
        <v>231931</v>
      </c>
      <c r="E2671">
        <v>19996</v>
      </c>
      <c r="F2671">
        <v>28907</v>
      </c>
      <c r="G2671">
        <v>-189865</v>
      </c>
      <c r="H2671">
        <v>90969</v>
      </c>
      <c r="I2671">
        <v>84621</v>
      </c>
      <c r="J2671">
        <v>2189</v>
      </c>
      <c r="K2671">
        <v>868238</v>
      </c>
      <c r="L2671">
        <v>384608</v>
      </c>
      <c r="M2671">
        <v>-207561</v>
      </c>
      <c r="N2671">
        <v>205922</v>
      </c>
      <c r="O2671" t="s">
        <v>2689</v>
      </c>
      <c r="P2671" s="9">
        <v>278920</v>
      </c>
      <c r="Q2671" s="9">
        <v>18722</v>
      </c>
      <c r="R2671" s="9">
        <v>297642</v>
      </c>
      <c r="S2671" s="9">
        <v>-111530</v>
      </c>
      <c r="T2671" s="10">
        <v>113886</v>
      </c>
      <c r="U2671" s="10">
        <v>2048</v>
      </c>
    </row>
    <row r="2672" spans="1:21" x14ac:dyDescent="0.35">
      <c r="A2672" t="s">
        <v>15</v>
      </c>
      <c r="B2672" t="s">
        <v>20</v>
      </c>
      <c r="C2672" t="s">
        <v>21</v>
      </c>
      <c r="D2672">
        <v>217077</v>
      </c>
      <c r="E2672">
        <v>13240</v>
      </c>
      <c r="F2672">
        <v>43623</v>
      </c>
      <c r="G2672">
        <v>-199936</v>
      </c>
      <c r="H2672">
        <v>74004</v>
      </c>
      <c r="I2672">
        <v>70896</v>
      </c>
      <c r="J2672">
        <v>1306</v>
      </c>
      <c r="K2672">
        <v>648540</v>
      </c>
      <c r="L2672">
        <v>85190</v>
      </c>
      <c r="M2672">
        <v>-86952</v>
      </c>
      <c r="N2672">
        <v>165564</v>
      </c>
      <c r="O2672" t="s">
        <v>2690</v>
      </c>
      <c r="P2672" s="9">
        <v>260925</v>
      </c>
      <c r="Q2672" s="9">
        <v>31099</v>
      </c>
      <c r="R2672" s="9">
        <v>292024</v>
      </c>
      <c r="S2672" s="9">
        <v>-89625</v>
      </c>
      <c r="T2672" s="10">
        <v>65396</v>
      </c>
      <c r="U2672" s="10">
        <v>1725</v>
      </c>
    </row>
    <row r="2673" spans="1:21" x14ac:dyDescent="0.35">
      <c r="A2673" t="s">
        <v>15</v>
      </c>
      <c r="B2673" t="s">
        <v>20</v>
      </c>
      <c r="C2673" t="s">
        <v>17</v>
      </c>
      <c r="D2673">
        <v>253228</v>
      </c>
      <c r="E2673">
        <v>31123</v>
      </c>
      <c r="F2673">
        <v>48553</v>
      </c>
      <c r="G2673">
        <v>-220722</v>
      </c>
      <c r="H2673">
        <v>112182</v>
      </c>
      <c r="I2673">
        <v>117591</v>
      </c>
      <c r="J2673">
        <v>2300</v>
      </c>
      <c r="K2673">
        <v>884200</v>
      </c>
      <c r="L2673">
        <v>415317</v>
      </c>
      <c r="M2673">
        <v>-210438</v>
      </c>
      <c r="N2673">
        <v>212834</v>
      </c>
      <c r="O2673" t="s">
        <v>2691</v>
      </c>
      <c r="P2673" s="9">
        <v>227932</v>
      </c>
      <c r="Q2673" s="9">
        <v>32755</v>
      </c>
      <c r="R2673" s="9">
        <v>260687</v>
      </c>
      <c r="S2673" s="9">
        <v>-68051</v>
      </c>
      <c r="T2673" s="10">
        <v>98992</v>
      </c>
      <c r="U2673" s="10">
        <v>2705</v>
      </c>
    </row>
    <row r="2674" spans="1:21" x14ac:dyDescent="0.35">
      <c r="A2674" t="s">
        <v>15</v>
      </c>
      <c r="B2674" t="s">
        <v>20</v>
      </c>
      <c r="C2674" t="s">
        <v>17</v>
      </c>
      <c r="D2674">
        <v>298878</v>
      </c>
      <c r="E2674">
        <v>33250</v>
      </c>
      <c r="F2674">
        <v>40039</v>
      </c>
      <c r="G2674">
        <v>-247470</v>
      </c>
      <c r="H2674">
        <v>124697</v>
      </c>
      <c r="I2674">
        <v>122531</v>
      </c>
      <c r="J2674">
        <v>3214</v>
      </c>
      <c r="K2674">
        <v>616304</v>
      </c>
      <c r="L2674">
        <v>194503</v>
      </c>
      <c r="M2674">
        <v>-224892</v>
      </c>
      <c r="N2674">
        <v>131796</v>
      </c>
      <c r="O2674" t="s">
        <v>2692</v>
      </c>
      <c r="P2674" s="9">
        <v>170041</v>
      </c>
      <c r="Q2674" s="9">
        <v>22105</v>
      </c>
      <c r="R2674" s="9">
        <v>192146</v>
      </c>
      <c r="S2674" s="9">
        <v>-93995</v>
      </c>
      <c r="T2674" s="10">
        <v>71490</v>
      </c>
      <c r="U2674" s="10">
        <v>2058</v>
      </c>
    </row>
    <row r="2675" spans="1:21" x14ac:dyDescent="0.35">
      <c r="A2675" t="s">
        <v>15</v>
      </c>
      <c r="B2675" t="s">
        <v>16</v>
      </c>
      <c r="C2675" t="s">
        <v>21</v>
      </c>
      <c r="D2675">
        <v>294561</v>
      </c>
      <c r="E2675">
        <v>41966</v>
      </c>
      <c r="F2675">
        <v>30416</v>
      </c>
      <c r="G2675">
        <v>-266028</v>
      </c>
      <c r="H2675">
        <v>100915</v>
      </c>
      <c r="I2675">
        <v>97370</v>
      </c>
      <c r="J2675">
        <v>2626</v>
      </c>
      <c r="K2675">
        <v>781797</v>
      </c>
      <c r="L2675">
        <v>168469</v>
      </c>
      <c r="M2675">
        <v>-141014</v>
      </c>
      <c r="N2675">
        <v>98359</v>
      </c>
      <c r="O2675" t="s">
        <v>2693</v>
      </c>
      <c r="P2675" s="9">
        <v>181884</v>
      </c>
      <c r="Q2675" s="9">
        <v>10632</v>
      </c>
      <c r="R2675" s="9">
        <v>192516</v>
      </c>
      <c r="S2675" s="9">
        <v>-95135</v>
      </c>
      <c r="T2675" s="10">
        <v>63750</v>
      </c>
      <c r="U2675" s="10">
        <v>782</v>
      </c>
    </row>
    <row r="2676" spans="1:21" x14ac:dyDescent="0.35">
      <c r="A2676" t="s">
        <v>15</v>
      </c>
      <c r="B2676" t="s">
        <v>20</v>
      </c>
      <c r="C2676" t="s">
        <v>17</v>
      </c>
      <c r="D2676">
        <v>196569</v>
      </c>
      <c r="E2676">
        <v>25460</v>
      </c>
      <c r="F2676">
        <v>21299</v>
      </c>
      <c r="G2676">
        <v>-178378</v>
      </c>
      <c r="H2676">
        <v>64950</v>
      </c>
      <c r="I2676">
        <v>65121</v>
      </c>
      <c r="J2676">
        <v>793</v>
      </c>
      <c r="K2676">
        <v>525747</v>
      </c>
      <c r="L2676">
        <v>126804</v>
      </c>
      <c r="M2676">
        <v>-152179</v>
      </c>
      <c r="N2676">
        <v>171303</v>
      </c>
      <c r="O2676" t="s">
        <v>2694</v>
      </c>
      <c r="P2676" s="9">
        <v>253715</v>
      </c>
      <c r="Q2676" s="9">
        <v>43021</v>
      </c>
      <c r="R2676" s="9">
        <v>296736</v>
      </c>
      <c r="S2676" s="9">
        <v>-95189</v>
      </c>
      <c r="T2676" s="10">
        <v>118109</v>
      </c>
      <c r="U2676" s="10">
        <v>2082</v>
      </c>
    </row>
    <row r="2677" spans="1:21" x14ac:dyDescent="0.35">
      <c r="A2677" t="s">
        <v>15</v>
      </c>
      <c r="B2677" t="s">
        <v>20</v>
      </c>
      <c r="C2677" t="s">
        <v>21</v>
      </c>
      <c r="D2677">
        <v>271767</v>
      </c>
      <c r="E2677">
        <v>21024</v>
      </c>
      <c r="F2677">
        <v>57647</v>
      </c>
      <c r="G2677">
        <v>-250966</v>
      </c>
      <c r="H2677">
        <v>99472</v>
      </c>
      <c r="I2677">
        <v>102420</v>
      </c>
      <c r="J2677">
        <v>2436</v>
      </c>
      <c r="K2677">
        <v>1081578</v>
      </c>
      <c r="L2677">
        <v>332436</v>
      </c>
      <c r="M2677">
        <v>-161714</v>
      </c>
      <c r="N2677">
        <v>187883</v>
      </c>
      <c r="O2677" t="s">
        <v>2695</v>
      </c>
      <c r="P2677" s="9">
        <v>296408</v>
      </c>
      <c r="Q2677" s="9">
        <v>49416</v>
      </c>
      <c r="R2677" s="9">
        <v>345824</v>
      </c>
      <c r="S2677" s="9">
        <v>-114243</v>
      </c>
      <c r="T2677" s="10">
        <v>133688</v>
      </c>
      <c r="U2677" s="10">
        <v>1740</v>
      </c>
    </row>
    <row r="2678" spans="1:21" x14ac:dyDescent="0.35">
      <c r="A2678" t="s">
        <v>15</v>
      </c>
      <c r="B2678" t="s">
        <v>16</v>
      </c>
      <c r="C2678" t="s">
        <v>17</v>
      </c>
      <c r="D2678">
        <v>205716</v>
      </c>
      <c r="E2678">
        <v>11526</v>
      </c>
      <c r="F2678">
        <v>28082</v>
      </c>
      <c r="G2678">
        <v>-172912</v>
      </c>
      <c r="H2678">
        <v>72412</v>
      </c>
      <c r="I2678">
        <v>66586</v>
      </c>
      <c r="J2678">
        <v>1240</v>
      </c>
      <c r="K2678">
        <v>555148</v>
      </c>
      <c r="L2678">
        <v>112312</v>
      </c>
      <c r="M2678">
        <v>-56236</v>
      </c>
      <c r="N2678">
        <v>82036</v>
      </c>
      <c r="O2678" t="s">
        <v>2696</v>
      </c>
      <c r="P2678" s="9">
        <v>246112</v>
      </c>
      <c r="Q2678" s="9">
        <v>47224</v>
      </c>
      <c r="R2678" s="9">
        <v>293336</v>
      </c>
      <c r="S2678" s="9">
        <v>-105873</v>
      </c>
      <c r="T2678" s="10">
        <v>115756</v>
      </c>
      <c r="U2678" s="10">
        <v>3342</v>
      </c>
    </row>
    <row r="2679" spans="1:21" x14ac:dyDescent="0.35">
      <c r="A2679" t="s">
        <v>15</v>
      </c>
      <c r="B2679" t="s">
        <v>16</v>
      </c>
      <c r="C2679" t="s">
        <v>17</v>
      </c>
      <c r="D2679">
        <v>229900</v>
      </c>
      <c r="E2679">
        <v>40423</v>
      </c>
      <c r="F2679">
        <v>50051</v>
      </c>
      <c r="G2679">
        <v>-208908</v>
      </c>
      <c r="H2679">
        <v>111466</v>
      </c>
      <c r="I2679">
        <v>102987</v>
      </c>
      <c r="J2679">
        <v>2186</v>
      </c>
      <c r="K2679">
        <v>785336</v>
      </c>
      <c r="L2679">
        <v>347462</v>
      </c>
      <c r="M2679">
        <v>-85028</v>
      </c>
      <c r="N2679">
        <v>143167</v>
      </c>
      <c r="O2679" t="s">
        <v>2697</v>
      </c>
      <c r="P2679" s="9">
        <v>314102</v>
      </c>
      <c r="Q2679" s="9">
        <v>47685</v>
      </c>
      <c r="R2679" s="9">
        <v>361787</v>
      </c>
      <c r="S2679" s="9">
        <v>-170319</v>
      </c>
      <c r="T2679" s="10">
        <v>130236</v>
      </c>
      <c r="U2679" s="10">
        <v>2210</v>
      </c>
    </row>
    <row r="2680" spans="1:21" x14ac:dyDescent="0.35">
      <c r="A2680" t="s">
        <v>15</v>
      </c>
      <c r="B2680" t="s">
        <v>20</v>
      </c>
      <c r="C2680" t="s">
        <v>17</v>
      </c>
      <c r="D2680">
        <v>192752</v>
      </c>
      <c r="E2680">
        <v>25872</v>
      </c>
      <c r="F2680">
        <v>31747</v>
      </c>
      <c r="G2680">
        <v>-165275</v>
      </c>
      <c r="H2680">
        <v>85096</v>
      </c>
      <c r="I2680">
        <v>78708</v>
      </c>
      <c r="J2680">
        <v>2129</v>
      </c>
      <c r="K2680">
        <v>588963</v>
      </c>
      <c r="L2680">
        <v>164677</v>
      </c>
      <c r="M2680">
        <v>-201304</v>
      </c>
      <c r="N2680">
        <v>139660</v>
      </c>
      <c r="O2680" t="s">
        <v>2698</v>
      </c>
      <c r="P2680" s="9">
        <v>224539</v>
      </c>
      <c r="Q2680" s="9">
        <v>21326</v>
      </c>
      <c r="R2680" s="9">
        <v>245865</v>
      </c>
      <c r="S2680" s="9">
        <v>-49472</v>
      </c>
      <c r="T2680" s="10">
        <v>91510</v>
      </c>
      <c r="U2680" s="10">
        <v>2105</v>
      </c>
    </row>
    <row r="2681" spans="1:21" x14ac:dyDescent="0.35">
      <c r="A2681" t="s">
        <v>15</v>
      </c>
      <c r="B2681" t="s">
        <v>16</v>
      </c>
      <c r="C2681" t="s">
        <v>17</v>
      </c>
      <c r="D2681">
        <v>278580</v>
      </c>
      <c r="E2681">
        <v>37708</v>
      </c>
      <c r="F2681">
        <v>49400</v>
      </c>
      <c r="G2681">
        <v>-238396</v>
      </c>
      <c r="H2681">
        <v>127292</v>
      </c>
      <c r="I2681">
        <v>123006</v>
      </c>
      <c r="J2681">
        <v>2738</v>
      </c>
      <c r="K2681">
        <v>577042</v>
      </c>
      <c r="L2681">
        <v>128727</v>
      </c>
      <c r="M2681">
        <v>-147355</v>
      </c>
      <c r="N2681">
        <v>118998</v>
      </c>
      <c r="O2681" t="s">
        <v>2699</v>
      </c>
      <c r="P2681" s="9">
        <v>215370</v>
      </c>
      <c r="Q2681" s="9">
        <v>33365</v>
      </c>
      <c r="R2681" s="9">
        <v>248735</v>
      </c>
      <c r="S2681" s="9">
        <v>-93974</v>
      </c>
      <c r="T2681" s="10">
        <v>90622</v>
      </c>
      <c r="U2681" s="10">
        <v>2087</v>
      </c>
    </row>
    <row r="2682" spans="1:21" x14ac:dyDescent="0.35">
      <c r="A2682" t="s">
        <v>15</v>
      </c>
      <c r="B2682" t="s">
        <v>20</v>
      </c>
      <c r="C2682" t="s">
        <v>21</v>
      </c>
      <c r="D2682">
        <v>296119</v>
      </c>
      <c r="E2682">
        <v>26196</v>
      </c>
      <c r="F2682">
        <v>35337</v>
      </c>
      <c r="G2682">
        <v>-247316</v>
      </c>
      <c r="H2682">
        <v>110336</v>
      </c>
      <c r="I2682">
        <v>99341</v>
      </c>
      <c r="J2682">
        <v>2769</v>
      </c>
      <c r="K2682">
        <v>779528</v>
      </c>
      <c r="L2682">
        <v>163128</v>
      </c>
      <c r="M2682">
        <v>-83163</v>
      </c>
      <c r="N2682">
        <v>201196</v>
      </c>
      <c r="O2682" t="s">
        <v>2700</v>
      </c>
      <c r="P2682" s="9">
        <v>264331</v>
      </c>
      <c r="Q2682" s="9">
        <v>18690</v>
      </c>
      <c r="R2682" s="9">
        <v>283021</v>
      </c>
      <c r="S2682" s="9">
        <v>-127122</v>
      </c>
      <c r="T2682" s="10">
        <v>97924</v>
      </c>
      <c r="U2682" s="10">
        <v>2327</v>
      </c>
    </row>
    <row r="2683" spans="1:21" x14ac:dyDescent="0.35">
      <c r="A2683" t="s">
        <v>15</v>
      </c>
      <c r="B2683" t="s">
        <v>16</v>
      </c>
      <c r="C2683" t="s">
        <v>21</v>
      </c>
      <c r="D2683">
        <v>271113</v>
      </c>
      <c r="E2683">
        <v>26880</v>
      </c>
      <c r="F2683">
        <v>27301</v>
      </c>
      <c r="G2683">
        <v>-252834</v>
      </c>
      <c r="H2683">
        <v>72460</v>
      </c>
      <c r="I2683">
        <v>69709</v>
      </c>
      <c r="J2683">
        <v>852</v>
      </c>
      <c r="K2683">
        <v>661913</v>
      </c>
      <c r="L2683">
        <v>313911</v>
      </c>
      <c r="M2683">
        <v>-209728</v>
      </c>
      <c r="N2683">
        <v>126271</v>
      </c>
      <c r="O2683" t="s">
        <v>2701</v>
      </c>
      <c r="P2683" s="9">
        <v>198878</v>
      </c>
      <c r="Q2683" s="9">
        <v>40545</v>
      </c>
      <c r="R2683" s="9">
        <v>239423</v>
      </c>
      <c r="S2683" s="9">
        <v>-82713</v>
      </c>
      <c r="T2683" s="10">
        <v>94357</v>
      </c>
      <c r="U2683" s="10">
        <v>2667</v>
      </c>
    </row>
    <row r="2684" spans="1:21" x14ac:dyDescent="0.35">
      <c r="A2684" t="s">
        <v>15</v>
      </c>
      <c r="B2684" t="s">
        <v>16</v>
      </c>
      <c r="C2684" t="s">
        <v>21</v>
      </c>
      <c r="D2684">
        <v>198330</v>
      </c>
      <c r="E2684">
        <v>31900</v>
      </c>
      <c r="F2684">
        <v>45886</v>
      </c>
      <c r="G2684">
        <v>-185821</v>
      </c>
      <c r="H2684">
        <v>90295</v>
      </c>
      <c r="I2684">
        <v>84632</v>
      </c>
      <c r="J2684">
        <v>1699</v>
      </c>
      <c r="K2684">
        <v>663516</v>
      </c>
      <c r="L2684">
        <v>183614</v>
      </c>
      <c r="M2684">
        <v>-130325</v>
      </c>
      <c r="N2684">
        <v>95229</v>
      </c>
      <c r="O2684" t="s">
        <v>2702</v>
      </c>
      <c r="P2684" s="9">
        <v>165384</v>
      </c>
      <c r="Q2684" s="9">
        <v>29339</v>
      </c>
      <c r="R2684" s="9">
        <v>194723</v>
      </c>
      <c r="S2684" s="9">
        <v>-77129</v>
      </c>
      <c r="T2684" s="10">
        <v>90033</v>
      </c>
      <c r="U2684" s="10">
        <v>914</v>
      </c>
    </row>
    <row r="2685" spans="1:21" x14ac:dyDescent="0.35">
      <c r="A2685" t="s">
        <v>15</v>
      </c>
      <c r="B2685" t="s">
        <v>20</v>
      </c>
      <c r="C2685" t="s">
        <v>21</v>
      </c>
      <c r="D2685">
        <v>204067</v>
      </c>
      <c r="E2685">
        <v>13561</v>
      </c>
      <c r="F2685">
        <v>27456</v>
      </c>
      <c r="G2685">
        <v>-193552</v>
      </c>
      <c r="H2685">
        <v>51532</v>
      </c>
      <c r="I2685">
        <v>52500</v>
      </c>
      <c r="J2685">
        <v>1140</v>
      </c>
      <c r="K2685">
        <v>584345</v>
      </c>
      <c r="L2685">
        <v>82128</v>
      </c>
      <c r="M2685">
        <v>-75915</v>
      </c>
      <c r="N2685">
        <v>72178</v>
      </c>
      <c r="O2685" t="s">
        <v>2703</v>
      </c>
      <c r="P2685" s="9">
        <v>222637</v>
      </c>
      <c r="Q2685" s="9">
        <v>29183</v>
      </c>
      <c r="R2685" s="9">
        <v>251820</v>
      </c>
      <c r="S2685" s="9">
        <v>-98355</v>
      </c>
      <c r="T2685" s="10">
        <v>78261</v>
      </c>
      <c r="U2685" s="10">
        <v>1265</v>
      </c>
    </row>
    <row r="2686" spans="1:21" x14ac:dyDescent="0.35">
      <c r="A2686" t="s">
        <v>15</v>
      </c>
      <c r="B2686" t="s">
        <v>16</v>
      </c>
      <c r="C2686" t="s">
        <v>17</v>
      </c>
      <c r="D2686">
        <v>250677</v>
      </c>
      <c r="E2686">
        <v>20393</v>
      </c>
      <c r="F2686">
        <v>40121</v>
      </c>
      <c r="G2686">
        <v>-223985</v>
      </c>
      <c r="H2686">
        <v>87206</v>
      </c>
      <c r="I2686">
        <v>80801</v>
      </c>
      <c r="J2686">
        <v>2097</v>
      </c>
      <c r="K2686">
        <v>652753</v>
      </c>
      <c r="L2686">
        <v>237931</v>
      </c>
      <c r="M2686">
        <v>-240352</v>
      </c>
      <c r="N2686">
        <v>99907</v>
      </c>
      <c r="O2686" t="s">
        <v>2704</v>
      </c>
      <c r="P2686" s="9">
        <v>208053</v>
      </c>
      <c r="Q2686" s="9">
        <v>16535</v>
      </c>
      <c r="R2686" s="9">
        <v>224588</v>
      </c>
      <c r="S2686" s="9">
        <v>-99471</v>
      </c>
      <c r="T2686" s="10">
        <v>79251</v>
      </c>
      <c r="U2686" s="10">
        <v>1162</v>
      </c>
    </row>
    <row r="2687" spans="1:21" x14ac:dyDescent="0.35">
      <c r="A2687" t="s">
        <v>15</v>
      </c>
      <c r="B2687" t="s">
        <v>16</v>
      </c>
      <c r="C2687" t="s">
        <v>21</v>
      </c>
      <c r="D2687">
        <v>264770</v>
      </c>
      <c r="E2687">
        <v>37351</v>
      </c>
      <c r="F2687">
        <v>55858</v>
      </c>
      <c r="G2687">
        <v>-236123</v>
      </c>
      <c r="H2687">
        <v>121856</v>
      </c>
      <c r="I2687">
        <v>115662</v>
      </c>
      <c r="J2687">
        <v>1372</v>
      </c>
      <c r="K2687">
        <v>1015892</v>
      </c>
      <c r="L2687">
        <v>341991</v>
      </c>
      <c r="M2687">
        <v>-321059</v>
      </c>
      <c r="N2687">
        <v>131745</v>
      </c>
      <c r="O2687" t="s">
        <v>2705</v>
      </c>
      <c r="P2687" s="9">
        <v>189138</v>
      </c>
      <c r="Q2687" s="9">
        <v>14486</v>
      </c>
      <c r="R2687" s="9">
        <v>203624</v>
      </c>
      <c r="S2687" s="9">
        <v>-120000</v>
      </c>
      <c r="T2687" s="10">
        <v>58890</v>
      </c>
      <c r="U2687" s="10">
        <v>1320</v>
      </c>
    </row>
    <row r="2688" spans="1:21" x14ac:dyDescent="0.35">
      <c r="A2688" t="s">
        <v>15</v>
      </c>
      <c r="B2688" t="s">
        <v>16</v>
      </c>
      <c r="C2688" t="s">
        <v>21</v>
      </c>
      <c r="D2688">
        <v>298935</v>
      </c>
      <c r="E2688">
        <v>23289</v>
      </c>
      <c r="F2688">
        <v>43226</v>
      </c>
      <c r="G2688">
        <v>-274115</v>
      </c>
      <c r="H2688">
        <v>91335</v>
      </c>
      <c r="I2688">
        <v>95755</v>
      </c>
      <c r="J2688">
        <v>1998</v>
      </c>
      <c r="K2688">
        <v>834120</v>
      </c>
      <c r="L2688">
        <v>413224</v>
      </c>
      <c r="M2688">
        <v>-231414</v>
      </c>
      <c r="N2688">
        <v>205835</v>
      </c>
      <c r="O2688" t="s">
        <v>2706</v>
      </c>
      <c r="P2688" s="9">
        <v>299207</v>
      </c>
      <c r="Q2688" s="9">
        <v>35982</v>
      </c>
      <c r="R2688" s="9">
        <v>335189</v>
      </c>
      <c r="S2688" s="9">
        <v>-195941</v>
      </c>
      <c r="T2688" s="10">
        <v>105015</v>
      </c>
      <c r="U2688" s="10">
        <v>1337</v>
      </c>
    </row>
    <row r="2689" spans="1:21" x14ac:dyDescent="0.35">
      <c r="A2689" t="s">
        <v>15</v>
      </c>
      <c r="B2689" t="s">
        <v>16</v>
      </c>
      <c r="C2689" t="s">
        <v>21</v>
      </c>
      <c r="D2689">
        <v>253447</v>
      </c>
      <c r="E2689">
        <v>14938</v>
      </c>
      <c r="F2689">
        <v>29177</v>
      </c>
      <c r="G2689">
        <v>-211068</v>
      </c>
      <c r="H2689">
        <v>86494</v>
      </c>
      <c r="I2689">
        <v>88641</v>
      </c>
      <c r="J2689">
        <v>1731</v>
      </c>
      <c r="K2689">
        <v>727006</v>
      </c>
      <c r="L2689">
        <v>323702</v>
      </c>
      <c r="M2689">
        <v>-98090</v>
      </c>
      <c r="N2689">
        <v>218259</v>
      </c>
      <c r="O2689" t="s">
        <v>2707</v>
      </c>
      <c r="P2689" s="9">
        <v>271078</v>
      </c>
      <c r="Q2689" s="9">
        <v>37687</v>
      </c>
      <c r="R2689" s="9">
        <v>308765</v>
      </c>
      <c r="S2689" s="9">
        <v>-104794</v>
      </c>
      <c r="T2689" s="10">
        <v>106246</v>
      </c>
      <c r="U2689" s="10">
        <v>1450</v>
      </c>
    </row>
    <row r="2690" spans="1:21" x14ac:dyDescent="0.35">
      <c r="A2690" t="s">
        <v>15</v>
      </c>
      <c r="B2690" t="s">
        <v>20</v>
      </c>
      <c r="C2690" t="s">
        <v>21</v>
      </c>
      <c r="D2690">
        <v>228793</v>
      </c>
      <c r="E2690">
        <v>28004</v>
      </c>
      <c r="F2690">
        <v>43583</v>
      </c>
      <c r="G2690">
        <v>-188622</v>
      </c>
      <c r="H2690">
        <v>111758</v>
      </c>
      <c r="I2690">
        <v>106557</v>
      </c>
      <c r="J2690">
        <v>2191</v>
      </c>
      <c r="K2690">
        <v>688913</v>
      </c>
      <c r="L2690">
        <v>130674</v>
      </c>
      <c r="M2690">
        <v>-85018</v>
      </c>
      <c r="N2690">
        <v>87962</v>
      </c>
      <c r="O2690" t="s">
        <v>2708</v>
      </c>
      <c r="P2690" s="9">
        <v>271697</v>
      </c>
      <c r="Q2690" s="9">
        <v>24541</v>
      </c>
      <c r="R2690" s="9">
        <v>296238</v>
      </c>
      <c r="S2690" s="9">
        <v>-108601</v>
      </c>
      <c r="T2690" s="10">
        <v>103370</v>
      </c>
      <c r="U2690" s="10">
        <v>2958</v>
      </c>
    </row>
    <row r="2691" spans="1:21" x14ac:dyDescent="0.35">
      <c r="A2691" t="s">
        <v>15</v>
      </c>
      <c r="B2691" t="s">
        <v>16</v>
      </c>
      <c r="C2691" t="s">
        <v>17</v>
      </c>
      <c r="D2691">
        <v>273824</v>
      </c>
      <c r="E2691">
        <v>48048</v>
      </c>
      <c r="F2691">
        <v>63398</v>
      </c>
      <c r="G2691">
        <v>-266800</v>
      </c>
      <c r="H2691">
        <v>118470</v>
      </c>
      <c r="I2691">
        <v>109221</v>
      </c>
      <c r="J2691">
        <v>3101</v>
      </c>
      <c r="K2691">
        <v>873759</v>
      </c>
      <c r="L2691">
        <v>395537</v>
      </c>
      <c r="M2691">
        <v>-136339</v>
      </c>
      <c r="N2691">
        <v>182956</v>
      </c>
      <c r="O2691" t="s">
        <v>2709</v>
      </c>
      <c r="P2691" s="9">
        <v>163730</v>
      </c>
      <c r="Q2691" s="9">
        <v>30312</v>
      </c>
      <c r="R2691" s="9">
        <v>194042</v>
      </c>
      <c r="S2691" s="9">
        <v>-115923</v>
      </c>
      <c r="T2691" s="10">
        <v>87314</v>
      </c>
      <c r="U2691" s="10">
        <v>1169</v>
      </c>
    </row>
    <row r="2692" spans="1:21" x14ac:dyDescent="0.35">
      <c r="A2692" t="s">
        <v>15</v>
      </c>
      <c r="B2692" t="s">
        <v>20</v>
      </c>
      <c r="C2692" t="s">
        <v>21</v>
      </c>
      <c r="D2692">
        <v>299791</v>
      </c>
      <c r="E2692">
        <v>45997</v>
      </c>
      <c r="F2692">
        <v>73803</v>
      </c>
      <c r="G2692">
        <v>-261226</v>
      </c>
      <c r="H2692">
        <v>158365</v>
      </c>
      <c r="I2692">
        <v>146560</v>
      </c>
      <c r="J2692">
        <v>3816</v>
      </c>
      <c r="K2692">
        <v>612909</v>
      </c>
      <c r="L2692">
        <v>95678</v>
      </c>
      <c r="M2692">
        <v>-182866</v>
      </c>
      <c r="N2692">
        <v>227958</v>
      </c>
      <c r="O2692" t="s">
        <v>2710</v>
      </c>
      <c r="P2692" s="9">
        <v>228378</v>
      </c>
      <c r="Q2692" s="9">
        <v>37188</v>
      </c>
      <c r="R2692" s="9">
        <v>265566</v>
      </c>
      <c r="S2692" s="9">
        <v>-132522</v>
      </c>
      <c r="T2692" s="10">
        <v>99850</v>
      </c>
      <c r="U2692" s="10">
        <v>2549</v>
      </c>
    </row>
    <row r="2693" spans="1:21" x14ac:dyDescent="0.35">
      <c r="A2693" t="s">
        <v>15</v>
      </c>
      <c r="B2693" t="s">
        <v>16</v>
      </c>
      <c r="C2693" t="s">
        <v>21</v>
      </c>
      <c r="D2693">
        <v>188519</v>
      </c>
      <c r="E2693">
        <v>28064</v>
      </c>
      <c r="F2693">
        <v>26665</v>
      </c>
      <c r="G2693">
        <v>-159195</v>
      </c>
      <c r="H2693">
        <v>84053</v>
      </c>
      <c r="I2693">
        <v>77947</v>
      </c>
      <c r="J2693">
        <v>1052</v>
      </c>
      <c r="K2693">
        <v>511348</v>
      </c>
      <c r="L2693">
        <v>69254</v>
      </c>
      <c r="M2693">
        <v>-133825</v>
      </c>
      <c r="N2693">
        <v>64052</v>
      </c>
      <c r="O2693" t="s">
        <v>2711</v>
      </c>
      <c r="P2693" s="9">
        <v>284290</v>
      </c>
      <c r="Q2693" s="9">
        <v>52589</v>
      </c>
      <c r="R2693" s="9">
        <v>336879</v>
      </c>
      <c r="S2693" s="9">
        <v>-108176</v>
      </c>
      <c r="T2693" s="10">
        <v>143229</v>
      </c>
      <c r="U2693" s="10">
        <v>2093</v>
      </c>
    </row>
    <row r="2694" spans="1:21" x14ac:dyDescent="0.35">
      <c r="A2694" t="s">
        <v>15</v>
      </c>
      <c r="B2694" t="s">
        <v>16</v>
      </c>
      <c r="C2694" t="s">
        <v>21</v>
      </c>
      <c r="D2694">
        <v>152661</v>
      </c>
      <c r="E2694">
        <v>9999</v>
      </c>
      <c r="F2694">
        <v>31831</v>
      </c>
      <c r="G2694">
        <v>-138089</v>
      </c>
      <c r="H2694">
        <v>56402</v>
      </c>
      <c r="I2694">
        <v>55596</v>
      </c>
      <c r="J2694">
        <v>752</v>
      </c>
      <c r="K2694">
        <v>508163</v>
      </c>
      <c r="L2694">
        <v>192893</v>
      </c>
      <c r="M2694">
        <v>-86379</v>
      </c>
      <c r="N2694">
        <v>92166</v>
      </c>
      <c r="O2694" t="s">
        <v>2712</v>
      </c>
      <c r="P2694" s="9">
        <v>275041</v>
      </c>
      <c r="Q2694" s="9">
        <v>41234</v>
      </c>
      <c r="R2694" s="9">
        <v>316275</v>
      </c>
      <c r="S2694" s="9">
        <v>-81988</v>
      </c>
      <c r="T2694" s="10">
        <v>102236</v>
      </c>
      <c r="U2694" s="10">
        <v>1185</v>
      </c>
    </row>
    <row r="2695" spans="1:21" x14ac:dyDescent="0.35">
      <c r="A2695" t="s">
        <v>15</v>
      </c>
      <c r="B2695" t="s">
        <v>16</v>
      </c>
      <c r="C2695" t="s">
        <v>21</v>
      </c>
      <c r="D2695">
        <v>165301</v>
      </c>
      <c r="E2695">
        <v>19693</v>
      </c>
      <c r="F2695">
        <v>16566</v>
      </c>
      <c r="G2695">
        <v>-139531</v>
      </c>
      <c r="H2695">
        <v>62029</v>
      </c>
      <c r="I2695">
        <v>59689</v>
      </c>
      <c r="J2695">
        <v>1296</v>
      </c>
      <c r="K2695">
        <v>463558</v>
      </c>
      <c r="L2695">
        <v>110163</v>
      </c>
      <c r="M2695">
        <v>-157407</v>
      </c>
      <c r="N2695">
        <v>101200</v>
      </c>
      <c r="O2695" t="s">
        <v>2713</v>
      </c>
      <c r="P2695" s="9">
        <v>262955</v>
      </c>
      <c r="Q2695" s="9">
        <v>36100</v>
      </c>
      <c r="R2695" s="9">
        <v>299055</v>
      </c>
      <c r="S2695" s="9">
        <v>-104432</v>
      </c>
      <c r="T2695" s="10">
        <v>138057</v>
      </c>
      <c r="U2695" s="10">
        <v>2820</v>
      </c>
    </row>
    <row r="2696" spans="1:21" x14ac:dyDescent="0.35">
      <c r="A2696" t="s">
        <v>15</v>
      </c>
      <c r="B2696" t="s">
        <v>20</v>
      </c>
      <c r="C2696" t="s">
        <v>21</v>
      </c>
      <c r="D2696">
        <v>195967</v>
      </c>
      <c r="E2696">
        <v>19801</v>
      </c>
      <c r="F2696">
        <v>31859</v>
      </c>
      <c r="G2696">
        <v>-157278</v>
      </c>
      <c r="H2696">
        <v>90349</v>
      </c>
      <c r="I2696">
        <v>84920</v>
      </c>
      <c r="J2696">
        <v>2319</v>
      </c>
      <c r="K2696">
        <v>753259</v>
      </c>
      <c r="L2696">
        <v>283177</v>
      </c>
      <c r="M2696">
        <v>-275656</v>
      </c>
      <c r="N2696">
        <v>88617</v>
      </c>
      <c r="O2696" t="s">
        <v>2714</v>
      </c>
      <c r="P2696" s="9">
        <v>244895</v>
      </c>
      <c r="Q2696" s="9">
        <v>47541</v>
      </c>
      <c r="R2696" s="9">
        <v>292436</v>
      </c>
      <c r="S2696" s="9">
        <v>-171600</v>
      </c>
      <c r="T2696" s="10">
        <v>111248</v>
      </c>
      <c r="U2696" s="10">
        <v>2861</v>
      </c>
    </row>
    <row r="2697" spans="1:21" x14ac:dyDescent="0.35">
      <c r="A2697" t="s">
        <v>15</v>
      </c>
      <c r="B2697" t="s">
        <v>20</v>
      </c>
      <c r="C2697" t="s">
        <v>17</v>
      </c>
      <c r="D2697">
        <v>234650</v>
      </c>
      <c r="E2697">
        <v>37767</v>
      </c>
      <c r="F2697">
        <v>43795</v>
      </c>
      <c r="G2697">
        <v>-229260</v>
      </c>
      <c r="H2697">
        <v>86952</v>
      </c>
      <c r="I2697">
        <v>86846</v>
      </c>
      <c r="J2697">
        <v>1429</v>
      </c>
      <c r="K2697">
        <v>678309</v>
      </c>
      <c r="L2697">
        <v>98206</v>
      </c>
      <c r="M2697">
        <v>-76185</v>
      </c>
      <c r="N2697">
        <v>206776</v>
      </c>
      <c r="O2697" t="s">
        <v>2715</v>
      </c>
      <c r="P2697" s="9">
        <v>205669</v>
      </c>
      <c r="Q2697" s="9">
        <v>34443</v>
      </c>
      <c r="R2697" s="9">
        <v>240112</v>
      </c>
      <c r="S2697" s="9">
        <v>-71884</v>
      </c>
      <c r="T2697" s="10">
        <v>90045</v>
      </c>
      <c r="U2697" s="10">
        <v>967</v>
      </c>
    </row>
    <row r="2698" spans="1:21" x14ac:dyDescent="0.35">
      <c r="A2698" t="s">
        <v>15</v>
      </c>
      <c r="B2698" t="s">
        <v>16</v>
      </c>
      <c r="C2698" t="s">
        <v>17</v>
      </c>
      <c r="D2698">
        <v>171069</v>
      </c>
      <c r="E2698">
        <v>9367</v>
      </c>
      <c r="F2698">
        <v>28244</v>
      </c>
      <c r="G2698">
        <v>-152796</v>
      </c>
      <c r="H2698">
        <v>55884</v>
      </c>
      <c r="I2698">
        <v>57789</v>
      </c>
      <c r="J2698">
        <v>997</v>
      </c>
      <c r="K2698">
        <v>448430</v>
      </c>
      <c r="L2698">
        <v>109201</v>
      </c>
      <c r="M2698">
        <v>-147989</v>
      </c>
      <c r="N2698">
        <v>121525</v>
      </c>
      <c r="O2698" t="s">
        <v>2716</v>
      </c>
      <c r="P2698" s="9">
        <v>168762</v>
      </c>
      <c r="Q2698" s="9">
        <v>28438</v>
      </c>
      <c r="R2698" s="9">
        <v>197200</v>
      </c>
      <c r="S2698" s="9">
        <v>-89525</v>
      </c>
      <c r="T2698" s="10">
        <v>71384</v>
      </c>
      <c r="U2698" s="10">
        <v>1707</v>
      </c>
    </row>
    <row r="2699" spans="1:21" x14ac:dyDescent="0.35">
      <c r="A2699" t="s">
        <v>15</v>
      </c>
      <c r="B2699" t="s">
        <v>16</v>
      </c>
      <c r="C2699" t="s">
        <v>17</v>
      </c>
      <c r="D2699">
        <v>230303</v>
      </c>
      <c r="E2699">
        <v>16048</v>
      </c>
      <c r="F2699">
        <v>35491</v>
      </c>
      <c r="G2699">
        <v>-227503</v>
      </c>
      <c r="H2699">
        <v>54339</v>
      </c>
      <c r="I2699">
        <v>49472</v>
      </c>
      <c r="J2699">
        <v>1042</v>
      </c>
      <c r="K2699">
        <v>470663</v>
      </c>
      <c r="L2699">
        <v>180013</v>
      </c>
      <c r="M2699">
        <v>-181530</v>
      </c>
      <c r="N2699">
        <v>81885</v>
      </c>
      <c r="O2699" t="s">
        <v>2717</v>
      </c>
      <c r="P2699" s="9">
        <v>156042</v>
      </c>
      <c r="Q2699" s="9">
        <v>16603</v>
      </c>
      <c r="R2699" s="9">
        <v>172645</v>
      </c>
      <c r="S2699" s="9">
        <v>-69819</v>
      </c>
      <c r="T2699" s="10">
        <v>55816</v>
      </c>
      <c r="U2699" s="10">
        <v>569</v>
      </c>
    </row>
    <row r="2700" spans="1:21" x14ac:dyDescent="0.35">
      <c r="A2700" t="s">
        <v>15</v>
      </c>
      <c r="B2700" t="s">
        <v>16</v>
      </c>
      <c r="C2700" t="s">
        <v>21</v>
      </c>
      <c r="D2700">
        <v>296945</v>
      </c>
      <c r="E2700">
        <v>52241</v>
      </c>
      <c r="F2700">
        <v>67690</v>
      </c>
      <c r="G2700">
        <v>-288579</v>
      </c>
      <c r="H2700">
        <v>128297</v>
      </c>
      <c r="I2700">
        <v>124371</v>
      </c>
      <c r="J2700">
        <v>2633</v>
      </c>
      <c r="K2700">
        <v>628838</v>
      </c>
      <c r="L2700">
        <v>253345</v>
      </c>
      <c r="M2700">
        <v>-97730</v>
      </c>
      <c r="N2700">
        <v>138918</v>
      </c>
      <c r="O2700" t="s">
        <v>2718</v>
      </c>
      <c r="P2700" s="9">
        <v>214216</v>
      </c>
      <c r="Q2700" s="9">
        <v>29418</v>
      </c>
      <c r="R2700" s="9">
        <v>243634</v>
      </c>
      <c r="S2700" s="9">
        <v>-141983</v>
      </c>
      <c r="T2700" s="10">
        <v>102769</v>
      </c>
      <c r="U2700" s="10">
        <v>1642</v>
      </c>
    </row>
    <row r="2701" spans="1:21" x14ac:dyDescent="0.35">
      <c r="A2701" t="s">
        <v>15</v>
      </c>
      <c r="B2701" t="s">
        <v>20</v>
      </c>
      <c r="C2701" t="s">
        <v>17</v>
      </c>
      <c r="D2701">
        <v>195643</v>
      </c>
      <c r="E2701">
        <v>9892</v>
      </c>
      <c r="F2701">
        <v>24266</v>
      </c>
      <c r="G2701">
        <v>-178992</v>
      </c>
      <c r="H2701">
        <v>50809</v>
      </c>
      <c r="I2701">
        <v>52212</v>
      </c>
      <c r="J2701">
        <v>910</v>
      </c>
      <c r="K2701">
        <v>694595</v>
      </c>
      <c r="L2701">
        <v>294390</v>
      </c>
      <c r="M2701">
        <v>-95578</v>
      </c>
      <c r="N2701">
        <v>117017</v>
      </c>
      <c r="O2701" t="s">
        <v>2719</v>
      </c>
      <c r="P2701" s="9">
        <v>203923</v>
      </c>
      <c r="Q2701" s="9">
        <v>34289</v>
      </c>
      <c r="R2701" s="9">
        <v>238212</v>
      </c>
      <c r="S2701" s="9">
        <v>-79495</v>
      </c>
      <c r="T2701" s="10">
        <v>90429</v>
      </c>
      <c r="U2701" s="10">
        <v>1553</v>
      </c>
    </row>
    <row r="2702" spans="1:21" x14ac:dyDescent="0.35">
      <c r="A2702" t="s">
        <v>15</v>
      </c>
      <c r="B2702" t="s">
        <v>16</v>
      </c>
      <c r="C2702" t="s">
        <v>17</v>
      </c>
      <c r="D2702">
        <v>219743</v>
      </c>
      <c r="E2702">
        <v>38939</v>
      </c>
      <c r="F2702">
        <v>35144</v>
      </c>
      <c r="G2702">
        <v>-185169</v>
      </c>
      <c r="H2702">
        <v>108657</v>
      </c>
      <c r="I2702">
        <v>110200</v>
      </c>
      <c r="J2702">
        <v>3108</v>
      </c>
      <c r="K2702">
        <v>655373</v>
      </c>
      <c r="L2702">
        <v>288142</v>
      </c>
      <c r="M2702">
        <v>-168501</v>
      </c>
      <c r="N2702">
        <v>85180</v>
      </c>
      <c r="O2702" t="s">
        <v>2720</v>
      </c>
      <c r="P2702" s="9">
        <v>255355</v>
      </c>
      <c r="Q2702" s="9">
        <v>26807</v>
      </c>
      <c r="R2702" s="9">
        <v>282162</v>
      </c>
      <c r="S2702" s="9">
        <v>-97610</v>
      </c>
      <c r="T2702" s="10">
        <v>102799</v>
      </c>
      <c r="U2702" s="10">
        <v>2444</v>
      </c>
    </row>
    <row r="2703" spans="1:21" x14ac:dyDescent="0.35">
      <c r="A2703" t="s">
        <v>15</v>
      </c>
      <c r="B2703" t="s">
        <v>16</v>
      </c>
      <c r="C2703" t="s">
        <v>21</v>
      </c>
      <c r="D2703">
        <v>226963</v>
      </c>
      <c r="E2703">
        <v>35215</v>
      </c>
      <c r="F2703">
        <v>43057</v>
      </c>
      <c r="G2703">
        <v>-207443</v>
      </c>
      <c r="H2703">
        <v>97792</v>
      </c>
      <c r="I2703">
        <v>101593</v>
      </c>
      <c r="J2703">
        <v>2895</v>
      </c>
      <c r="K2703">
        <v>650346</v>
      </c>
      <c r="L2703">
        <v>89343</v>
      </c>
      <c r="M2703">
        <v>-187903</v>
      </c>
      <c r="N2703">
        <v>168946</v>
      </c>
      <c r="O2703" t="s">
        <v>2721</v>
      </c>
      <c r="P2703" s="9">
        <v>250264</v>
      </c>
      <c r="Q2703" s="9">
        <v>34755</v>
      </c>
      <c r="R2703" s="9">
        <v>285019</v>
      </c>
      <c r="S2703" s="9">
        <v>-64480</v>
      </c>
      <c r="T2703" s="10">
        <v>112178</v>
      </c>
      <c r="U2703" s="10">
        <v>2621</v>
      </c>
    </row>
    <row r="2704" spans="1:21" x14ac:dyDescent="0.35">
      <c r="A2704" t="s">
        <v>15</v>
      </c>
      <c r="B2704" t="s">
        <v>20</v>
      </c>
      <c r="C2704" t="s">
        <v>17</v>
      </c>
      <c r="D2704">
        <v>193038</v>
      </c>
      <c r="E2704">
        <v>34610</v>
      </c>
      <c r="F2704">
        <v>32792</v>
      </c>
      <c r="G2704">
        <v>-185987</v>
      </c>
      <c r="H2704">
        <v>74453</v>
      </c>
      <c r="I2704">
        <v>72141</v>
      </c>
      <c r="J2704">
        <v>1124</v>
      </c>
      <c r="K2704">
        <v>659750</v>
      </c>
      <c r="L2704">
        <v>120605</v>
      </c>
      <c r="M2704">
        <v>-157682</v>
      </c>
      <c r="N2704">
        <v>87749</v>
      </c>
      <c r="O2704" t="s">
        <v>2722</v>
      </c>
      <c r="P2704" s="9">
        <v>157720</v>
      </c>
      <c r="Q2704" s="9">
        <v>10496</v>
      </c>
      <c r="R2704" s="9">
        <v>168216</v>
      </c>
      <c r="S2704" s="9">
        <v>-54877</v>
      </c>
      <c r="T2704" s="10">
        <v>54565</v>
      </c>
      <c r="U2704" s="10">
        <v>1327</v>
      </c>
    </row>
    <row r="2705" spans="1:21" x14ac:dyDescent="0.35">
      <c r="A2705" t="s">
        <v>15</v>
      </c>
      <c r="B2705" t="s">
        <v>16</v>
      </c>
      <c r="C2705" t="s">
        <v>21</v>
      </c>
      <c r="D2705">
        <v>260303</v>
      </c>
      <c r="E2705">
        <v>14129</v>
      </c>
      <c r="F2705">
        <v>41180</v>
      </c>
      <c r="G2705">
        <v>-247131</v>
      </c>
      <c r="H2705">
        <v>68481</v>
      </c>
      <c r="I2705">
        <v>67204</v>
      </c>
      <c r="J2705">
        <v>1890</v>
      </c>
      <c r="K2705">
        <v>920818</v>
      </c>
      <c r="L2705">
        <v>440789</v>
      </c>
      <c r="M2705">
        <v>-222406</v>
      </c>
      <c r="N2705">
        <v>131000</v>
      </c>
      <c r="O2705" t="s">
        <v>2723</v>
      </c>
      <c r="P2705" s="9">
        <v>153072</v>
      </c>
      <c r="Q2705" s="9">
        <v>11481</v>
      </c>
      <c r="R2705" s="9">
        <v>164553</v>
      </c>
      <c r="S2705" s="9">
        <v>-96232</v>
      </c>
      <c r="T2705" s="10">
        <v>54673</v>
      </c>
      <c r="U2705" s="10">
        <v>658</v>
      </c>
    </row>
    <row r="2706" spans="1:21" x14ac:dyDescent="0.35">
      <c r="A2706" t="s">
        <v>15</v>
      </c>
      <c r="B2706" t="s">
        <v>16</v>
      </c>
      <c r="C2706" t="s">
        <v>17</v>
      </c>
      <c r="D2706">
        <v>187037</v>
      </c>
      <c r="E2706">
        <v>34811</v>
      </c>
      <c r="F2706">
        <v>25321</v>
      </c>
      <c r="G2706">
        <v>-184195</v>
      </c>
      <c r="H2706">
        <v>62974</v>
      </c>
      <c r="I2706">
        <v>65004</v>
      </c>
      <c r="J2706">
        <v>806</v>
      </c>
      <c r="K2706">
        <v>693986</v>
      </c>
      <c r="L2706">
        <v>181802</v>
      </c>
      <c r="M2706">
        <v>-82374</v>
      </c>
      <c r="N2706">
        <v>80365</v>
      </c>
      <c r="O2706" t="s">
        <v>2724</v>
      </c>
      <c r="P2706" s="9">
        <v>214067</v>
      </c>
      <c r="Q2706" s="9">
        <v>18073</v>
      </c>
      <c r="R2706" s="9">
        <v>232140</v>
      </c>
      <c r="S2706" s="9">
        <v>-64739</v>
      </c>
      <c r="T2706" s="10">
        <v>90663</v>
      </c>
      <c r="U2706" s="10">
        <v>1699</v>
      </c>
    </row>
    <row r="2707" spans="1:21" x14ac:dyDescent="0.35">
      <c r="A2707" t="s">
        <v>15</v>
      </c>
      <c r="B2707" t="s">
        <v>16</v>
      </c>
      <c r="C2707" t="s">
        <v>21</v>
      </c>
      <c r="D2707">
        <v>151395</v>
      </c>
      <c r="E2707">
        <v>29560</v>
      </c>
      <c r="F2707">
        <v>25220</v>
      </c>
      <c r="G2707">
        <v>-138957</v>
      </c>
      <c r="H2707">
        <v>67218</v>
      </c>
      <c r="I2707">
        <v>61984</v>
      </c>
      <c r="J2707">
        <v>1345</v>
      </c>
      <c r="K2707">
        <v>448486</v>
      </c>
      <c r="L2707">
        <v>184849</v>
      </c>
      <c r="M2707">
        <v>-84062</v>
      </c>
      <c r="N2707">
        <v>129031</v>
      </c>
      <c r="O2707" t="s">
        <v>2725</v>
      </c>
      <c r="P2707" s="9">
        <v>190205</v>
      </c>
      <c r="Q2707" s="9">
        <v>14239</v>
      </c>
      <c r="R2707" s="9">
        <v>204444</v>
      </c>
      <c r="S2707" s="9">
        <v>-91286</v>
      </c>
      <c r="T2707" s="10">
        <v>82158</v>
      </c>
      <c r="U2707" s="10">
        <v>1472</v>
      </c>
    </row>
    <row r="2708" spans="1:21" x14ac:dyDescent="0.35">
      <c r="A2708" t="s">
        <v>15</v>
      </c>
      <c r="B2708" t="s">
        <v>20</v>
      </c>
      <c r="C2708" t="s">
        <v>17</v>
      </c>
      <c r="D2708">
        <v>206875</v>
      </c>
      <c r="E2708">
        <v>41335</v>
      </c>
      <c r="F2708">
        <v>21510</v>
      </c>
      <c r="G2708">
        <v>-197702</v>
      </c>
      <c r="H2708">
        <v>72018</v>
      </c>
      <c r="I2708">
        <v>74888</v>
      </c>
      <c r="J2708">
        <v>1829</v>
      </c>
      <c r="K2708">
        <v>588945</v>
      </c>
      <c r="L2708">
        <v>265815</v>
      </c>
      <c r="M2708">
        <v>-98044</v>
      </c>
      <c r="N2708">
        <v>130430</v>
      </c>
      <c r="O2708" t="s">
        <v>2726</v>
      </c>
      <c r="P2708" s="9">
        <v>237131</v>
      </c>
      <c r="Q2708" s="9">
        <v>30417</v>
      </c>
      <c r="R2708" s="9">
        <v>267548</v>
      </c>
      <c r="S2708" s="9">
        <v>-145287</v>
      </c>
      <c r="T2708" s="10">
        <v>100753</v>
      </c>
      <c r="U2708" s="10">
        <v>2735</v>
      </c>
    </row>
    <row r="2709" spans="1:21" x14ac:dyDescent="0.35">
      <c r="A2709" t="s">
        <v>15</v>
      </c>
      <c r="B2709" t="s">
        <v>16</v>
      </c>
      <c r="C2709" t="s">
        <v>21</v>
      </c>
      <c r="D2709">
        <v>198307</v>
      </c>
      <c r="E2709">
        <v>26138</v>
      </c>
      <c r="F2709">
        <v>23232</v>
      </c>
      <c r="G2709">
        <v>-189724</v>
      </c>
      <c r="H2709">
        <v>57953</v>
      </c>
      <c r="I2709">
        <v>53251</v>
      </c>
      <c r="J2709">
        <v>1348</v>
      </c>
      <c r="K2709">
        <v>631270</v>
      </c>
      <c r="L2709">
        <v>105158</v>
      </c>
      <c r="M2709">
        <v>-151751</v>
      </c>
      <c r="N2709">
        <v>124828</v>
      </c>
      <c r="O2709" t="s">
        <v>2727</v>
      </c>
      <c r="P2709" s="9">
        <v>150876</v>
      </c>
      <c r="Q2709" s="9">
        <v>23304</v>
      </c>
      <c r="R2709" s="9">
        <v>174180</v>
      </c>
      <c r="S2709" s="9">
        <v>-52929</v>
      </c>
      <c r="T2709" s="10">
        <v>55426</v>
      </c>
      <c r="U2709" s="10">
        <v>588</v>
      </c>
    </row>
    <row r="2710" spans="1:21" x14ac:dyDescent="0.35">
      <c r="A2710" t="s">
        <v>15</v>
      </c>
      <c r="B2710" t="s">
        <v>16</v>
      </c>
      <c r="C2710" t="s">
        <v>17</v>
      </c>
      <c r="D2710">
        <v>157486</v>
      </c>
      <c r="E2710">
        <v>14463</v>
      </c>
      <c r="F2710">
        <v>33246</v>
      </c>
      <c r="G2710">
        <v>-149921</v>
      </c>
      <c r="H2710">
        <v>55274</v>
      </c>
      <c r="I2710">
        <v>57723</v>
      </c>
      <c r="J2710">
        <v>1307</v>
      </c>
      <c r="K2710">
        <v>484978</v>
      </c>
      <c r="L2710">
        <v>58995</v>
      </c>
      <c r="M2710">
        <v>-184972</v>
      </c>
      <c r="N2710">
        <v>136784</v>
      </c>
      <c r="O2710" t="s">
        <v>2728</v>
      </c>
      <c r="P2710" s="9">
        <v>271615</v>
      </c>
      <c r="Q2710" s="9">
        <v>44059</v>
      </c>
      <c r="R2710" s="9">
        <v>315674</v>
      </c>
      <c r="S2710" s="9">
        <v>-145569</v>
      </c>
      <c r="T2710" s="10">
        <v>97693</v>
      </c>
      <c r="U2710" s="10">
        <v>2264</v>
      </c>
    </row>
    <row r="2711" spans="1:21" x14ac:dyDescent="0.35">
      <c r="A2711" t="s">
        <v>15</v>
      </c>
      <c r="B2711" t="s">
        <v>20</v>
      </c>
      <c r="C2711" t="s">
        <v>21</v>
      </c>
      <c r="D2711">
        <v>298257</v>
      </c>
      <c r="E2711">
        <v>25336</v>
      </c>
      <c r="F2711">
        <v>51421</v>
      </c>
      <c r="G2711">
        <v>-241629</v>
      </c>
      <c r="H2711">
        <v>133385</v>
      </c>
      <c r="I2711">
        <v>137487</v>
      </c>
      <c r="J2711">
        <v>3354</v>
      </c>
      <c r="K2711">
        <v>1065584</v>
      </c>
      <c r="L2711">
        <v>510077</v>
      </c>
      <c r="M2711">
        <v>-389020</v>
      </c>
      <c r="N2711">
        <v>176104</v>
      </c>
      <c r="O2711" t="s">
        <v>2729</v>
      </c>
      <c r="P2711" s="9">
        <v>166261</v>
      </c>
      <c r="Q2711" s="9">
        <v>33080</v>
      </c>
      <c r="R2711" s="9">
        <v>199341</v>
      </c>
      <c r="S2711" s="9">
        <v>-94697</v>
      </c>
      <c r="T2711" s="10">
        <v>78767</v>
      </c>
      <c r="U2711" s="10">
        <v>1569</v>
      </c>
    </row>
    <row r="2712" spans="1:21" x14ac:dyDescent="0.35">
      <c r="A2712" t="s">
        <v>15</v>
      </c>
      <c r="B2712" t="s">
        <v>20</v>
      </c>
      <c r="C2712" t="s">
        <v>17</v>
      </c>
      <c r="D2712">
        <v>224868</v>
      </c>
      <c r="E2712">
        <v>31148</v>
      </c>
      <c r="F2712">
        <v>36858</v>
      </c>
      <c r="G2712">
        <v>-202950</v>
      </c>
      <c r="H2712">
        <v>89924</v>
      </c>
      <c r="I2712">
        <v>90647</v>
      </c>
      <c r="J2712">
        <v>1155</v>
      </c>
      <c r="K2712">
        <v>864106</v>
      </c>
      <c r="L2712">
        <v>319289</v>
      </c>
      <c r="M2712">
        <v>-116104</v>
      </c>
      <c r="N2712">
        <v>167315</v>
      </c>
      <c r="O2712" t="s">
        <v>2730</v>
      </c>
      <c r="P2712" s="9">
        <v>188084</v>
      </c>
      <c r="Q2712" s="9">
        <v>26579</v>
      </c>
      <c r="R2712" s="9">
        <v>214663</v>
      </c>
      <c r="S2712" s="9">
        <v>-65391</v>
      </c>
      <c r="T2712" s="10">
        <v>84916</v>
      </c>
      <c r="U2712" s="10">
        <v>1667</v>
      </c>
    </row>
    <row r="2713" spans="1:21" x14ac:dyDescent="0.35">
      <c r="A2713" t="s">
        <v>15</v>
      </c>
      <c r="B2713" t="s">
        <v>16</v>
      </c>
      <c r="C2713" t="s">
        <v>21</v>
      </c>
      <c r="D2713">
        <v>194569</v>
      </c>
      <c r="E2713">
        <v>19684</v>
      </c>
      <c r="F2713">
        <v>42062</v>
      </c>
      <c r="G2713">
        <v>-175145</v>
      </c>
      <c r="H2713">
        <v>81170</v>
      </c>
      <c r="I2713">
        <v>73840</v>
      </c>
      <c r="J2713">
        <v>1483</v>
      </c>
      <c r="K2713">
        <v>545746</v>
      </c>
      <c r="L2713">
        <v>245641</v>
      </c>
      <c r="M2713">
        <v>-191730</v>
      </c>
      <c r="N2713">
        <v>161399</v>
      </c>
      <c r="O2713" t="s">
        <v>2731</v>
      </c>
      <c r="P2713" s="9">
        <v>195627</v>
      </c>
      <c r="Q2713" s="9">
        <v>37768</v>
      </c>
      <c r="R2713" s="9">
        <v>233395</v>
      </c>
      <c r="S2713" s="9">
        <v>-56121</v>
      </c>
      <c r="T2713" s="10">
        <v>78244</v>
      </c>
      <c r="U2713" s="10">
        <v>2196</v>
      </c>
    </row>
    <row r="2714" spans="1:21" x14ac:dyDescent="0.35">
      <c r="A2714" t="s">
        <v>15</v>
      </c>
      <c r="B2714" t="s">
        <v>16</v>
      </c>
      <c r="C2714" t="s">
        <v>21</v>
      </c>
      <c r="D2714">
        <v>207303</v>
      </c>
      <c r="E2714">
        <v>14671</v>
      </c>
      <c r="F2714">
        <v>47232</v>
      </c>
      <c r="G2714">
        <v>-178409</v>
      </c>
      <c r="H2714">
        <v>90797</v>
      </c>
      <c r="I2714">
        <v>90615</v>
      </c>
      <c r="J2714">
        <v>1864</v>
      </c>
      <c r="K2714">
        <v>688876</v>
      </c>
      <c r="L2714">
        <v>95197</v>
      </c>
      <c r="M2714">
        <v>-206305</v>
      </c>
      <c r="N2714">
        <v>109168</v>
      </c>
      <c r="O2714" t="s">
        <v>2732</v>
      </c>
      <c r="P2714" s="9">
        <v>183958</v>
      </c>
      <c r="Q2714" s="9">
        <v>32034</v>
      </c>
      <c r="R2714" s="9">
        <v>215992</v>
      </c>
      <c r="S2714" s="9">
        <v>-60017</v>
      </c>
      <c r="T2714" s="10">
        <v>88993</v>
      </c>
      <c r="U2714" s="10">
        <v>1365</v>
      </c>
    </row>
    <row r="2715" spans="1:21" x14ac:dyDescent="0.35">
      <c r="A2715" t="s">
        <v>15</v>
      </c>
      <c r="B2715" t="s">
        <v>16</v>
      </c>
      <c r="C2715" t="s">
        <v>21</v>
      </c>
      <c r="D2715">
        <v>181629</v>
      </c>
      <c r="E2715">
        <v>11920</v>
      </c>
      <c r="F2715">
        <v>22938</v>
      </c>
      <c r="G2715">
        <v>-168582</v>
      </c>
      <c r="H2715">
        <v>47905</v>
      </c>
      <c r="I2715">
        <v>48750</v>
      </c>
      <c r="J2715">
        <v>936</v>
      </c>
      <c r="K2715">
        <v>606869</v>
      </c>
      <c r="L2715">
        <v>295620</v>
      </c>
      <c r="M2715">
        <v>-197617</v>
      </c>
      <c r="N2715">
        <v>69907</v>
      </c>
      <c r="O2715" t="s">
        <v>2733</v>
      </c>
      <c r="P2715" s="9">
        <v>201646</v>
      </c>
      <c r="Q2715" s="9">
        <v>18239</v>
      </c>
      <c r="R2715" s="9">
        <v>219885</v>
      </c>
      <c r="S2715" s="9">
        <v>-82142</v>
      </c>
      <c r="T2715" s="10">
        <v>74894</v>
      </c>
      <c r="U2715" s="10">
        <v>931</v>
      </c>
    </row>
    <row r="2716" spans="1:21" x14ac:dyDescent="0.35">
      <c r="A2716" t="s">
        <v>15</v>
      </c>
      <c r="B2716" t="s">
        <v>16</v>
      </c>
      <c r="C2716" t="s">
        <v>17</v>
      </c>
      <c r="D2716">
        <v>239413</v>
      </c>
      <c r="E2716">
        <v>29095</v>
      </c>
      <c r="F2716">
        <v>53030</v>
      </c>
      <c r="G2716">
        <v>-205504</v>
      </c>
      <c r="H2716">
        <v>116034</v>
      </c>
      <c r="I2716">
        <v>116754</v>
      </c>
      <c r="J2716">
        <v>1264</v>
      </c>
      <c r="K2716">
        <v>700145</v>
      </c>
      <c r="L2716">
        <v>316301</v>
      </c>
      <c r="M2716">
        <v>-152967</v>
      </c>
      <c r="N2716">
        <v>195123</v>
      </c>
      <c r="O2716" t="s">
        <v>2734</v>
      </c>
      <c r="P2716" s="9">
        <v>194053</v>
      </c>
      <c r="Q2716" s="9">
        <v>31185</v>
      </c>
      <c r="R2716" s="9">
        <v>225238</v>
      </c>
      <c r="S2716" s="9">
        <v>-114073</v>
      </c>
      <c r="T2716" s="10">
        <v>79550</v>
      </c>
      <c r="U2716" s="10">
        <v>1181</v>
      </c>
    </row>
    <row r="2717" spans="1:21" x14ac:dyDescent="0.35">
      <c r="A2717" t="s">
        <v>15</v>
      </c>
      <c r="B2717" t="s">
        <v>20</v>
      </c>
      <c r="C2717" t="s">
        <v>17</v>
      </c>
      <c r="D2717">
        <v>261709</v>
      </c>
      <c r="E2717">
        <v>39438</v>
      </c>
      <c r="F2717">
        <v>27254</v>
      </c>
      <c r="G2717">
        <v>-220539</v>
      </c>
      <c r="H2717">
        <v>107862</v>
      </c>
      <c r="I2717">
        <v>110315</v>
      </c>
      <c r="J2717">
        <v>1967</v>
      </c>
      <c r="K2717">
        <v>526055</v>
      </c>
      <c r="L2717">
        <v>205956</v>
      </c>
      <c r="M2717">
        <v>-126870</v>
      </c>
      <c r="N2717">
        <v>100486</v>
      </c>
      <c r="O2717" t="s">
        <v>2735</v>
      </c>
      <c r="P2717" s="9">
        <v>194154</v>
      </c>
      <c r="Q2717" s="9">
        <v>26516</v>
      </c>
      <c r="R2717" s="9">
        <v>220670</v>
      </c>
      <c r="S2717" s="9">
        <v>-65460</v>
      </c>
      <c r="T2717" s="10">
        <v>96475</v>
      </c>
      <c r="U2717" s="10">
        <v>2081</v>
      </c>
    </row>
    <row r="2718" spans="1:21" x14ac:dyDescent="0.35">
      <c r="A2718" t="s">
        <v>15</v>
      </c>
      <c r="B2718" t="s">
        <v>16</v>
      </c>
      <c r="C2718" t="s">
        <v>21</v>
      </c>
      <c r="D2718">
        <v>181231</v>
      </c>
      <c r="E2718">
        <v>11133</v>
      </c>
      <c r="F2718">
        <v>31715</v>
      </c>
      <c r="G2718">
        <v>-175794</v>
      </c>
      <c r="H2718">
        <v>48285</v>
      </c>
      <c r="I2718">
        <v>48756</v>
      </c>
      <c r="J2718">
        <v>758</v>
      </c>
      <c r="K2718">
        <v>425521</v>
      </c>
      <c r="L2718">
        <v>46943</v>
      </c>
      <c r="M2718">
        <v>-169474</v>
      </c>
      <c r="N2718">
        <v>93351</v>
      </c>
      <c r="O2718" t="s">
        <v>2736</v>
      </c>
      <c r="P2718" s="9">
        <v>210185</v>
      </c>
      <c r="Q2718" s="9">
        <v>34560</v>
      </c>
      <c r="R2718" s="9">
        <v>244745</v>
      </c>
      <c r="S2718" s="9">
        <v>-92406</v>
      </c>
      <c r="T2718" s="10">
        <v>68696</v>
      </c>
      <c r="U2718" s="10">
        <v>1139</v>
      </c>
    </row>
    <row r="2719" spans="1:21" x14ac:dyDescent="0.35">
      <c r="A2719" t="s">
        <v>15</v>
      </c>
      <c r="B2719" t="s">
        <v>20</v>
      </c>
      <c r="C2719" t="s">
        <v>21</v>
      </c>
      <c r="D2719">
        <v>229733</v>
      </c>
      <c r="E2719">
        <v>34611</v>
      </c>
      <c r="F2719">
        <v>56731</v>
      </c>
      <c r="G2719">
        <v>-206170</v>
      </c>
      <c r="H2719">
        <v>114905</v>
      </c>
      <c r="I2719">
        <v>120558</v>
      </c>
      <c r="J2719">
        <v>1594</v>
      </c>
      <c r="K2719">
        <v>570686</v>
      </c>
      <c r="L2719">
        <v>210403</v>
      </c>
      <c r="M2719">
        <v>-103614</v>
      </c>
      <c r="N2719">
        <v>121459</v>
      </c>
      <c r="O2719" t="s">
        <v>2737</v>
      </c>
      <c r="P2719" s="9">
        <v>278005</v>
      </c>
      <c r="Q2719" s="9">
        <v>47961</v>
      </c>
      <c r="R2719" s="9">
        <v>325966</v>
      </c>
      <c r="S2719" s="9">
        <v>-71923</v>
      </c>
      <c r="T2719" s="10">
        <v>126861</v>
      </c>
      <c r="U2719" s="10">
        <v>2358</v>
      </c>
    </row>
    <row r="2720" spans="1:21" x14ac:dyDescent="0.35">
      <c r="A2720" t="s">
        <v>15</v>
      </c>
      <c r="B2720" t="s">
        <v>16</v>
      </c>
      <c r="C2720" t="s">
        <v>21</v>
      </c>
      <c r="D2720">
        <v>192247</v>
      </c>
      <c r="E2720">
        <v>22535</v>
      </c>
      <c r="F2720">
        <v>48004</v>
      </c>
      <c r="G2720">
        <v>-184332</v>
      </c>
      <c r="H2720">
        <v>78454</v>
      </c>
      <c r="I2720">
        <v>72721</v>
      </c>
      <c r="J2720">
        <v>1152</v>
      </c>
      <c r="K2720">
        <v>664157</v>
      </c>
      <c r="L2720">
        <v>300677</v>
      </c>
      <c r="M2720">
        <v>-264831</v>
      </c>
      <c r="N2720">
        <v>110416</v>
      </c>
      <c r="O2720" t="s">
        <v>2738</v>
      </c>
      <c r="P2720" s="9">
        <v>193029</v>
      </c>
      <c r="Q2720" s="9">
        <v>24630</v>
      </c>
      <c r="R2720" s="9">
        <v>217659</v>
      </c>
      <c r="S2720" s="9">
        <v>-122514</v>
      </c>
      <c r="T2720" s="10">
        <v>77866</v>
      </c>
      <c r="U2720" s="10">
        <v>2319</v>
      </c>
    </row>
    <row r="2721" spans="1:21" x14ac:dyDescent="0.35">
      <c r="A2721" t="s">
        <v>15</v>
      </c>
      <c r="B2721" t="s">
        <v>20</v>
      </c>
      <c r="C2721" t="s">
        <v>17</v>
      </c>
      <c r="D2721">
        <v>181033</v>
      </c>
      <c r="E2721">
        <v>14669</v>
      </c>
      <c r="F2721">
        <v>33577</v>
      </c>
      <c r="G2721">
        <v>-171456</v>
      </c>
      <c r="H2721">
        <v>57823</v>
      </c>
      <c r="I2721">
        <v>53551</v>
      </c>
      <c r="J2721">
        <v>567</v>
      </c>
      <c r="K2721">
        <v>405261</v>
      </c>
      <c r="L2721">
        <v>146493</v>
      </c>
      <c r="M2721">
        <v>-121227</v>
      </c>
      <c r="N2721">
        <v>158401</v>
      </c>
      <c r="O2721" t="s">
        <v>2739</v>
      </c>
      <c r="P2721" s="9">
        <v>185162</v>
      </c>
      <c r="Q2721" s="9">
        <v>36339</v>
      </c>
      <c r="R2721" s="9">
        <v>221501</v>
      </c>
      <c r="S2721" s="9">
        <v>-64710</v>
      </c>
      <c r="T2721" s="10">
        <v>84392</v>
      </c>
      <c r="U2721" s="10">
        <v>1504</v>
      </c>
    </row>
    <row r="2722" spans="1:21" x14ac:dyDescent="0.35">
      <c r="A2722" t="s">
        <v>15</v>
      </c>
      <c r="B2722" t="s">
        <v>20</v>
      </c>
      <c r="C2722" t="s">
        <v>21</v>
      </c>
      <c r="D2722">
        <v>199289</v>
      </c>
      <c r="E2722">
        <v>35192</v>
      </c>
      <c r="F2722">
        <v>20896</v>
      </c>
      <c r="G2722">
        <v>-191980</v>
      </c>
      <c r="H2722">
        <v>63397</v>
      </c>
      <c r="I2722">
        <v>58679</v>
      </c>
      <c r="J2722">
        <v>1235</v>
      </c>
      <c r="K2722">
        <v>730986</v>
      </c>
      <c r="L2722">
        <v>185079</v>
      </c>
      <c r="M2722">
        <v>-148259</v>
      </c>
      <c r="N2722">
        <v>81018</v>
      </c>
      <c r="O2722" t="s">
        <v>2740</v>
      </c>
      <c r="P2722" s="9">
        <v>252511</v>
      </c>
      <c r="Q2722" s="9">
        <v>50094</v>
      </c>
      <c r="R2722" s="9">
        <v>302605</v>
      </c>
      <c r="S2722" s="9">
        <v>-126236</v>
      </c>
      <c r="T2722" s="10">
        <v>111255</v>
      </c>
      <c r="U2722" s="10">
        <v>2226</v>
      </c>
    </row>
    <row r="2723" spans="1:21" x14ac:dyDescent="0.35">
      <c r="A2723" t="s">
        <v>15</v>
      </c>
      <c r="B2723" t="s">
        <v>20</v>
      </c>
      <c r="C2723" t="s">
        <v>17</v>
      </c>
      <c r="D2723">
        <v>180311</v>
      </c>
      <c r="E2723">
        <v>13767</v>
      </c>
      <c r="F2723">
        <v>33168</v>
      </c>
      <c r="G2723">
        <v>-174394</v>
      </c>
      <c r="H2723">
        <v>52852</v>
      </c>
      <c r="I2723">
        <v>49920</v>
      </c>
      <c r="J2723">
        <v>760</v>
      </c>
      <c r="K2723">
        <v>606225</v>
      </c>
      <c r="L2723">
        <v>129614</v>
      </c>
      <c r="M2723">
        <v>-119143</v>
      </c>
      <c r="N2723">
        <v>95953</v>
      </c>
      <c r="O2723" t="s">
        <v>2741</v>
      </c>
      <c r="P2723" s="9">
        <v>278346</v>
      </c>
      <c r="Q2723" s="9">
        <v>24047</v>
      </c>
      <c r="R2723" s="9">
        <v>302393</v>
      </c>
      <c r="S2723" s="9">
        <v>-134816</v>
      </c>
      <c r="T2723" s="10">
        <v>80750</v>
      </c>
      <c r="U2723" s="10">
        <v>2284</v>
      </c>
    </row>
    <row r="2724" spans="1:21" x14ac:dyDescent="0.35">
      <c r="A2724" t="s">
        <v>15</v>
      </c>
      <c r="B2724" t="s">
        <v>16</v>
      </c>
      <c r="C2724" t="s">
        <v>21</v>
      </c>
      <c r="D2724">
        <v>153802</v>
      </c>
      <c r="E2724">
        <v>9598</v>
      </c>
      <c r="F2724">
        <v>24054</v>
      </c>
      <c r="G2724">
        <v>-150282</v>
      </c>
      <c r="H2724">
        <v>37172</v>
      </c>
      <c r="I2724">
        <v>37605</v>
      </c>
      <c r="J2724">
        <v>571</v>
      </c>
      <c r="K2724">
        <v>585393</v>
      </c>
      <c r="L2724">
        <v>206311</v>
      </c>
      <c r="M2724">
        <v>-125374</v>
      </c>
      <c r="N2724">
        <v>119661</v>
      </c>
      <c r="O2724" t="s">
        <v>2742</v>
      </c>
      <c r="P2724" s="9">
        <v>148367</v>
      </c>
      <c r="Q2724" s="9">
        <v>26703</v>
      </c>
      <c r="R2724" s="9">
        <v>175070</v>
      </c>
      <c r="S2724" s="9">
        <v>-63368</v>
      </c>
      <c r="T2724" s="10">
        <v>64644</v>
      </c>
      <c r="U2724" s="10">
        <v>1730</v>
      </c>
    </row>
    <row r="2725" spans="1:21" x14ac:dyDescent="0.35">
      <c r="A2725" t="s">
        <v>15</v>
      </c>
      <c r="B2725" t="s">
        <v>16</v>
      </c>
      <c r="C2725" t="s">
        <v>21</v>
      </c>
      <c r="D2725">
        <v>190911</v>
      </c>
      <c r="E2725">
        <v>18525</v>
      </c>
      <c r="F2725">
        <v>22639</v>
      </c>
      <c r="G2725">
        <v>-188395</v>
      </c>
      <c r="H2725">
        <v>43680</v>
      </c>
      <c r="I2725">
        <v>45222</v>
      </c>
      <c r="J2725">
        <v>1106</v>
      </c>
      <c r="K2725">
        <v>468138</v>
      </c>
      <c r="L2725">
        <v>118738</v>
      </c>
      <c r="M2725">
        <v>-69570</v>
      </c>
      <c r="N2725">
        <v>64606</v>
      </c>
      <c r="O2725" t="s">
        <v>2743</v>
      </c>
      <c r="P2725" s="9">
        <v>254233</v>
      </c>
      <c r="Q2725" s="9">
        <v>49971</v>
      </c>
      <c r="R2725" s="9">
        <v>304204</v>
      </c>
      <c r="S2725" s="9">
        <v>-103133</v>
      </c>
      <c r="T2725" s="10">
        <v>130936</v>
      </c>
      <c r="U2725" s="10">
        <v>3621</v>
      </c>
    </row>
    <row r="2726" spans="1:21" x14ac:dyDescent="0.35">
      <c r="A2726" t="s">
        <v>15</v>
      </c>
      <c r="B2726" t="s">
        <v>16</v>
      </c>
      <c r="C2726" t="s">
        <v>21</v>
      </c>
      <c r="D2726">
        <v>291294</v>
      </c>
      <c r="E2726">
        <v>57615</v>
      </c>
      <c r="F2726">
        <v>70683</v>
      </c>
      <c r="G2726">
        <v>-273649</v>
      </c>
      <c r="H2726">
        <v>145943</v>
      </c>
      <c r="I2726">
        <v>146569</v>
      </c>
      <c r="J2726">
        <v>3361</v>
      </c>
      <c r="K2726">
        <v>915164</v>
      </c>
      <c r="L2726">
        <v>187591</v>
      </c>
      <c r="M2726">
        <v>-153238</v>
      </c>
      <c r="N2726">
        <v>100662</v>
      </c>
      <c r="O2726" t="s">
        <v>2744</v>
      </c>
      <c r="P2726" s="9">
        <v>294457</v>
      </c>
      <c r="Q2726" s="9">
        <v>42210</v>
      </c>
      <c r="R2726" s="9">
        <v>336667</v>
      </c>
      <c r="S2726" s="9">
        <v>-69514</v>
      </c>
      <c r="T2726" s="10">
        <v>158507</v>
      </c>
      <c r="U2726" s="10">
        <v>2446</v>
      </c>
    </row>
    <row r="2727" spans="1:21" x14ac:dyDescent="0.35">
      <c r="A2727" t="s">
        <v>15</v>
      </c>
      <c r="B2727" t="s">
        <v>20</v>
      </c>
      <c r="C2727" t="s">
        <v>21</v>
      </c>
      <c r="D2727">
        <v>216510</v>
      </c>
      <c r="E2727">
        <v>19020</v>
      </c>
      <c r="F2727">
        <v>39158</v>
      </c>
      <c r="G2727">
        <v>-174238</v>
      </c>
      <c r="H2727">
        <v>100450</v>
      </c>
      <c r="I2727">
        <v>104419</v>
      </c>
      <c r="J2727">
        <v>1638</v>
      </c>
      <c r="K2727">
        <v>738544</v>
      </c>
      <c r="L2727">
        <v>326532</v>
      </c>
      <c r="M2727">
        <v>-236923</v>
      </c>
      <c r="N2727">
        <v>124102</v>
      </c>
      <c r="O2727" t="s">
        <v>2745</v>
      </c>
      <c r="P2727" s="9">
        <v>179062</v>
      </c>
      <c r="Q2727" s="9">
        <v>13455</v>
      </c>
      <c r="R2727" s="9">
        <v>192517</v>
      </c>
      <c r="S2727" s="9">
        <v>-106318</v>
      </c>
      <c r="T2727" s="10">
        <v>73052</v>
      </c>
      <c r="U2727" s="10">
        <v>1445</v>
      </c>
    </row>
    <row r="2728" spans="1:21" x14ac:dyDescent="0.35">
      <c r="A2728" t="s">
        <v>15</v>
      </c>
      <c r="B2728" t="s">
        <v>16</v>
      </c>
      <c r="C2728" t="s">
        <v>21</v>
      </c>
      <c r="D2728">
        <v>165918</v>
      </c>
      <c r="E2728">
        <v>18042</v>
      </c>
      <c r="F2728">
        <v>17074</v>
      </c>
      <c r="G2728">
        <v>-137659</v>
      </c>
      <c r="H2728">
        <v>63375</v>
      </c>
      <c r="I2728">
        <v>61338</v>
      </c>
      <c r="J2728">
        <v>1651</v>
      </c>
      <c r="K2728">
        <v>386017</v>
      </c>
      <c r="L2728">
        <v>139041</v>
      </c>
      <c r="M2728">
        <v>-85139</v>
      </c>
      <c r="N2728">
        <v>108243</v>
      </c>
      <c r="O2728" t="s">
        <v>2746</v>
      </c>
      <c r="P2728" s="9">
        <v>212793</v>
      </c>
      <c r="Q2728" s="9">
        <v>24204</v>
      </c>
      <c r="R2728" s="9">
        <v>236997</v>
      </c>
      <c r="S2728" s="9">
        <v>-62127</v>
      </c>
      <c r="T2728" s="10">
        <v>71653</v>
      </c>
      <c r="U2728" s="10">
        <v>1823</v>
      </c>
    </row>
    <row r="2729" spans="1:21" x14ac:dyDescent="0.35">
      <c r="A2729" t="s">
        <v>15</v>
      </c>
      <c r="B2729" t="s">
        <v>16</v>
      </c>
      <c r="C2729" t="s">
        <v>17</v>
      </c>
      <c r="D2729">
        <v>261484</v>
      </c>
      <c r="E2729">
        <v>46590</v>
      </c>
      <c r="F2729">
        <v>41900</v>
      </c>
      <c r="G2729">
        <v>-219865</v>
      </c>
      <c r="H2729">
        <v>130109</v>
      </c>
      <c r="I2729">
        <v>136397</v>
      </c>
      <c r="J2729">
        <v>3054</v>
      </c>
      <c r="K2729">
        <v>935692</v>
      </c>
      <c r="L2729">
        <v>117675</v>
      </c>
      <c r="M2729">
        <v>-275368</v>
      </c>
      <c r="N2729">
        <v>131035</v>
      </c>
      <c r="O2729" t="s">
        <v>2747</v>
      </c>
      <c r="P2729" s="9">
        <v>172130</v>
      </c>
      <c r="Q2729" s="9">
        <v>22437</v>
      </c>
      <c r="R2729" s="9">
        <v>194567</v>
      </c>
      <c r="S2729" s="9">
        <v>-43125</v>
      </c>
      <c r="T2729" s="10">
        <v>52098</v>
      </c>
      <c r="U2729" s="10">
        <v>663</v>
      </c>
    </row>
    <row r="2730" spans="1:21" x14ac:dyDescent="0.35">
      <c r="A2730" t="s">
        <v>15</v>
      </c>
      <c r="B2730" t="s">
        <v>16</v>
      </c>
      <c r="C2730" t="s">
        <v>21</v>
      </c>
      <c r="D2730">
        <v>262771</v>
      </c>
      <c r="E2730">
        <v>31753</v>
      </c>
      <c r="F2730">
        <v>43487</v>
      </c>
      <c r="G2730">
        <v>-254903</v>
      </c>
      <c r="H2730">
        <v>83108</v>
      </c>
      <c r="I2730">
        <v>82324</v>
      </c>
      <c r="J2730">
        <v>2131</v>
      </c>
      <c r="K2730">
        <v>794198</v>
      </c>
      <c r="L2730">
        <v>300508</v>
      </c>
      <c r="M2730">
        <v>-216422</v>
      </c>
      <c r="N2730">
        <v>181613</v>
      </c>
      <c r="O2730" t="s">
        <v>2748</v>
      </c>
      <c r="P2730" s="9">
        <v>276234</v>
      </c>
      <c r="Q2730" s="9">
        <v>27156</v>
      </c>
      <c r="R2730" s="9">
        <v>303390</v>
      </c>
      <c r="S2730" s="9">
        <v>-125585</v>
      </c>
      <c r="T2730" s="10">
        <v>120185</v>
      </c>
      <c r="U2730" s="10">
        <v>3413</v>
      </c>
    </row>
    <row r="2731" spans="1:21" x14ac:dyDescent="0.35">
      <c r="A2731" t="s">
        <v>15</v>
      </c>
      <c r="B2731" t="s">
        <v>16</v>
      </c>
      <c r="C2731" t="s">
        <v>21</v>
      </c>
      <c r="D2731">
        <v>209099</v>
      </c>
      <c r="E2731">
        <v>40528</v>
      </c>
      <c r="F2731">
        <v>24230</v>
      </c>
      <c r="G2731">
        <v>-200397</v>
      </c>
      <c r="H2731">
        <v>73460</v>
      </c>
      <c r="I2731">
        <v>72824</v>
      </c>
      <c r="J2731">
        <v>2132</v>
      </c>
      <c r="K2731">
        <v>675428</v>
      </c>
      <c r="L2731">
        <v>322325</v>
      </c>
      <c r="M2731">
        <v>-202142</v>
      </c>
      <c r="N2731">
        <v>101598</v>
      </c>
      <c r="O2731" t="s">
        <v>2749</v>
      </c>
      <c r="P2731" s="9">
        <v>284178</v>
      </c>
      <c r="Q2731" s="9">
        <v>52293</v>
      </c>
      <c r="R2731" s="9">
        <v>336471</v>
      </c>
      <c r="S2731" s="9">
        <v>-187745</v>
      </c>
      <c r="T2731" s="10">
        <v>117970</v>
      </c>
      <c r="U2731" s="10">
        <v>1206</v>
      </c>
    </row>
    <row r="2732" spans="1:21" x14ac:dyDescent="0.35">
      <c r="A2732" t="s">
        <v>15</v>
      </c>
      <c r="B2732" t="s">
        <v>16</v>
      </c>
      <c r="C2732" t="s">
        <v>17</v>
      </c>
      <c r="D2732">
        <v>248225</v>
      </c>
      <c r="E2732">
        <v>36109</v>
      </c>
      <c r="F2732">
        <v>35865</v>
      </c>
      <c r="G2732">
        <v>-222176</v>
      </c>
      <c r="H2732">
        <v>98023</v>
      </c>
      <c r="I2732">
        <v>92785</v>
      </c>
      <c r="J2732">
        <v>2047</v>
      </c>
      <c r="K2732">
        <v>982948</v>
      </c>
      <c r="L2732">
        <v>313388</v>
      </c>
      <c r="M2732">
        <v>-230941</v>
      </c>
      <c r="N2732">
        <v>87814</v>
      </c>
      <c r="O2732" t="s">
        <v>2750</v>
      </c>
      <c r="P2732" s="9">
        <v>250056</v>
      </c>
      <c r="Q2732" s="9">
        <v>28485</v>
      </c>
      <c r="R2732" s="9">
        <v>278541</v>
      </c>
      <c r="S2732" s="9">
        <v>-92058</v>
      </c>
      <c r="T2732" s="10">
        <v>114568</v>
      </c>
      <c r="U2732" s="10">
        <v>3138</v>
      </c>
    </row>
    <row r="2733" spans="1:21" x14ac:dyDescent="0.35">
      <c r="A2733" t="s">
        <v>15</v>
      </c>
      <c r="B2733" t="s">
        <v>20</v>
      </c>
      <c r="C2733" t="s">
        <v>21</v>
      </c>
      <c r="D2733">
        <v>272651</v>
      </c>
      <c r="E2733">
        <v>39931</v>
      </c>
      <c r="F2733">
        <v>67167</v>
      </c>
      <c r="G2733">
        <v>-227890</v>
      </c>
      <c r="H2733">
        <v>151859</v>
      </c>
      <c r="I2733">
        <v>151598</v>
      </c>
      <c r="J2733">
        <v>3195</v>
      </c>
      <c r="K2733">
        <v>773076</v>
      </c>
      <c r="L2733">
        <v>271035</v>
      </c>
      <c r="M2733">
        <v>-181208</v>
      </c>
      <c r="N2733">
        <v>97479</v>
      </c>
      <c r="O2733" t="s">
        <v>2751</v>
      </c>
      <c r="P2733" s="9">
        <v>182773</v>
      </c>
      <c r="Q2733" s="9">
        <v>32550</v>
      </c>
      <c r="R2733" s="9">
        <v>215323</v>
      </c>
      <c r="S2733" s="9">
        <v>-63947</v>
      </c>
      <c r="T2733" s="10">
        <v>71890</v>
      </c>
      <c r="U2733" s="10">
        <v>2014</v>
      </c>
    </row>
    <row r="2734" spans="1:21" x14ac:dyDescent="0.35">
      <c r="A2734" t="s">
        <v>15</v>
      </c>
      <c r="B2734" t="s">
        <v>16</v>
      </c>
      <c r="C2734" t="s">
        <v>21</v>
      </c>
      <c r="D2734">
        <v>274537</v>
      </c>
      <c r="E2734">
        <v>33569</v>
      </c>
      <c r="F2734">
        <v>48026</v>
      </c>
      <c r="G2734">
        <v>-269493</v>
      </c>
      <c r="H2734">
        <v>86639</v>
      </c>
      <c r="I2734">
        <v>89826</v>
      </c>
      <c r="J2734">
        <v>2493</v>
      </c>
      <c r="K2734">
        <v>1052772</v>
      </c>
      <c r="L2734">
        <v>292318</v>
      </c>
      <c r="M2734">
        <v>-381515</v>
      </c>
      <c r="N2734">
        <v>181496</v>
      </c>
      <c r="O2734" t="s">
        <v>2752</v>
      </c>
      <c r="P2734" s="9">
        <v>170040</v>
      </c>
      <c r="Q2734" s="9">
        <v>17725</v>
      </c>
      <c r="R2734" s="9">
        <v>187765</v>
      </c>
      <c r="S2734" s="9">
        <v>-110987</v>
      </c>
      <c r="T2734" s="10">
        <v>70923</v>
      </c>
      <c r="U2734" s="10">
        <v>1809</v>
      </c>
    </row>
    <row r="2735" spans="1:21" x14ac:dyDescent="0.35">
      <c r="A2735" t="s">
        <v>15</v>
      </c>
      <c r="B2735" t="s">
        <v>16</v>
      </c>
      <c r="C2735" t="s">
        <v>21</v>
      </c>
      <c r="D2735">
        <v>187127</v>
      </c>
      <c r="E2735">
        <v>25969</v>
      </c>
      <c r="F2735">
        <v>21852</v>
      </c>
      <c r="G2735">
        <v>-151834</v>
      </c>
      <c r="H2735">
        <v>83114</v>
      </c>
      <c r="I2735">
        <v>78831</v>
      </c>
      <c r="J2735">
        <v>1524</v>
      </c>
      <c r="K2735">
        <v>737908</v>
      </c>
      <c r="L2735">
        <v>94422</v>
      </c>
      <c r="M2735">
        <v>-138720</v>
      </c>
      <c r="N2735">
        <v>156741</v>
      </c>
      <c r="O2735" t="s">
        <v>2753</v>
      </c>
      <c r="P2735" s="9">
        <v>188634</v>
      </c>
      <c r="Q2735" s="9">
        <v>20189</v>
      </c>
      <c r="R2735" s="9">
        <v>208823</v>
      </c>
      <c r="S2735" s="9">
        <v>-84567</v>
      </c>
      <c r="T2735" s="10">
        <v>51039</v>
      </c>
      <c r="U2735" s="10">
        <v>1104</v>
      </c>
    </row>
    <row r="2736" spans="1:21" x14ac:dyDescent="0.35">
      <c r="A2736" t="s">
        <v>15</v>
      </c>
      <c r="B2736" t="s">
        <v>20</v>
      </c>
      <c r="C2736" t="s">
        <v>21</v>
      </c>
      <c r="D2736">
        <v>281622</v>
      </c>
      <c r="E2736">
        <v>24359</v>
      </c>
      <c r="F2736">
        <v>46399</v>
      </c>
      <c r="G2736">
        <v>-274927</v>
      </c>
      <c r="H2736">
        <v>77453</v>
      </c>
      <c r="I2736">
        <v>74819</v>
      </c>
      <c r="J2736">
        <v>2127</v>
      </c>
      <c r="K2736">
        <v>865588</v>
      </c>
      <c r="L2736">
        <v>299884</v>
      </c>
      <c r="M2736">
        <v>-150032</v>
      </c>
      <c r="N2736">
        <v>108529</v>
      </c>
      <c r="O2736" t="s">
        <v>2754</v>
      </c>
      <c r="P2736" s="9">
        <v>148424</v>
      </c>
      <c r="Q2736" s="9">
        <v>10023</v>
      </c>
      <c r="R2736" s="9">
        <v>158447</v>
      </c>
      <c r="S2736" s="9">
        <v>-45241</v>
      </c>
      <c r="T2736" s="10">
        <v>51774</v>
      </c>
      <c r="U2736" s="10">
        <v>1431</v>
      </c>
    </row>
    <row r="2737" spans="1:21" x14ac:dyDescent="0.35">
      <c r="A2737" t="s">
        <v>15</v>
      </c>
      <c r="B2737" t="s">
        <v>20</v>
      </c>
      <c r="C2737" t="s">
        <v>21</v>
      </c>
      <c r="D2737">
        <v>177574</v>
      </c>
      <c r="E2737">
        <v>26696</v>
      </c>
      <c r="F2737">
        <v>26875</v>
      </c>
      <c r="G2737">
        <v>-153896</v>
      </c>
      <c r="H2737">
        <v>77249</v>
      </c>
      <c r="I2737">
        <v>72167</v>
      </c>
      <c r="J2737">
        <v>1133</v>
      </c>
      <c r="K2737">
        <v>376144</v>
      </c>
      <c r="L2737">
        <v>88597</v>
      </c>
      <c r="M2737">
        <v>-94633</v>
      </c>
      <c r="N2737">
        <v>145124</v>
      </c>
      <c r="O2737" t="s">
        <v>2755</v>
      </c>
      <c r="P2737" s="9">
        <v>255958</v>
      </c>
      <c r="Q2737" s="9">
        <v>15665</v>
      </c>
      <c r="R2737" s="9">
        <v>271623</v>
      </c>
      <c r="S2737" s="9">
        <v>-150315</v>
      </c>
      <c r="T2737" s="10">
        <v>119599</v>
      </c>
      <c r="U2737" s="10">
        <v>3209</v>
      </c>
    </row>
    <row r="2738" spans="1:21" x14ac:dyDescent="0.35">
      <c r="A2738" t="s">
        <v>15</v>
      </c>
      <c r="B2738" t="s">
        <v>16</v>
      </c>
      <c r="C2738" t="s">
        <v>21</v>
      </c>
      <c r="D2738">
        <v>209146</v>
      </c>
      <c r="E2738">
        <v>29285</v>
      </c>
      <c r="F2738">
        <v>37360</v>
      </c>
      <c r="G2738">
        <v>-208208</v>
      </c>
      <c r="H2738">
        <v>67583</v>
      </c>
      <c r="I2738">
        <v>64065</v>
      </c>
      <c r="J2738">
        <v>1649</v>
      </c>
      <c r="K2738">
        <v>600702</v>
      </c>
      <c r="L2738">
        <v>135176</v>
      </c>
      <c r="M2738">
        <v>-122637</v>
      </c>
      <c r="N2738">
        <v>105668</v>
      </c>
      <c r="O2738" t="s">
        <v>2756</v>
      </c>
      <c r="P2738" s="9">
        <v>242313</v>
      </c>
      <c r="Q2738" s="9">
        <v>45550</v>
      </c>
      <c r="R2738" s="9">
        <v>287863</v>
      </c>
      <c r="S2738" s="9">
        <v>-113584</v>
      </c>
      <c r="T2738" s="10">
        <v>96600</v>
      </c>
      <c r="U2738" s="10">
        <v>1000</v>
      </c>
    </row>
    <row r="2739" spans="1:21" x14ac:dyDescent="0.35">
      <c r="A2739" t="s">
        <v>15</v>
      </c>
      <c r="B2739" t="s">
        <v>16</v>
      </c>
      <c r="C2739" t="s">
        <v>21</v>
      </c>
      <c r="D2739">
        <v>264764</v>
      </c>
      <c r="E2739">
        <v>35830</v>
      </c>
      <c r="F2739">
        <v>39751</v>
      </c>
      <c r="G2739">
        <v>-254993</v>
      </c>
      <c r="H2739">
        <v>85352</v>
      </c>
      <c r="I2739">
        <v>80624</v>
      </c>
      <c r="J2739">
        <v>1169</v>
      </c>
      <c r="K2739">
        <v>912459</v>
      </c>
      <c r="L2739">
        <v>226769</v>
      </c>
      <c r="M2739">
        <v>-129008</v>
      </c>
      <c r="N2739">
        <v>119897</v>
      </c>
      <c r="O2739" t="s">
        <v>2757</v>
      </c>
      <c r="P2739" s="9">
        <v>171105</v>
      </c>
      <c r="Q2739" s="9">
        <v>24501</v>
      </c>
      <c r="R2739" s="9">
        <v>195606</v>
      </c>
      <c r="S2739" s="9">
        <v>-58914</v>
      </c>
      <c r="T2739" s="10">
        <v>51094</v>
      </c>
      <c r="U2739" s="10">
        <v>615</v>
      </c>
    </row>
    <row r="2740" spans="1:21" x14ac:dyDescent="0.35">
      <c r="A2740" t="s">
        <v>15</v>
      </c>
      <c r="B2740" t="s">
        <v>16</v>
      </c>
      <c r="C2740" t="s">
        <v>17</v>
      </c>
      <c r="D2740">
        <v>249396</v>
      </c>
      <c r="E2740">
        <v>48406</v>
      </c>
      <c r="F2740">
        <v>27389</v>
      </c>
      <c r="G2740">
        <v>-232696</v>
      </c>
      <c r="H2740">
        <v>92495</v>
      </c>
      <c r="I2740">
        <v>95653</v>
      </c>
      <c r="J2740">
        <v>2771</v>
      </c>
      <c r="K2740">
        <v>912598</v>
      </c>
      <c r="L2740">
        <v>348466</v>
      </c>
      <c r="M2740">
        <v>-286501</v>
      </c>
      <c r="N2740">
        <v>202752</v>
      </c>
      <c r="O2740" t="s">
        <v>2758</v>
      </c>
      <c r="P2740" s="9">
        <v>167515</v>
      </c>
      <c r="Q2740" s="9">
        <v>15763</v>
      </c>
      <c r="R2740" s="9">
        <v>183278</v>
      </c>
      <c r="S2740" s="9">
        <v>-66414</v>
      </c>
      <c r="T2740" s="10">
        <v>66945</v>
      </c>
      <c r="U2740" s="10">
        <v>1880</v>
      </c>
    </row>
    <row r="2741" spans="1:21" x14ac:dyDescent="0.35">
      <c r="A2741" t="s">
        <v>15</v>
      </c>
      <c r="B2741" t="s">
        <v>20</v>
      </c>
      <c r="C2741" t="s">
        <v>21</v>
      </c>
      <c r="D2741">
        <v>234964</v>
      </c>
      <c r="E2741">
        <v>45984</v>
      </c>
      <c r="F2741">
        <v>57948</v>
      </c>
      <c r="G2741">
        <v>-198989</v>
      </c>
      <c r="H2741">
        <v>139907</v>
      </c>
      <c r="I2741">
        <v>126265</v>
      </c>
      <c r="J2741">
        <v>2212</v>
      </c>
      <c r="K2741">
        <v>490817</v>
      </c>
      <c r="L2741">
        <v>206199</v>
      </c>
      <c r="M2741">
        <v>-51183</v>
      </c>
      <c r="N2741">
        <v>80328</v>
      </c>
      <c r="O2741" t="s">
        <v>2759</v>
      </c>
      <c r="P2741" s="9">
        <v>205552</v>
      </c>
      <c r="Q2741" s="9">
        <v>13761</v>
      </c>
      <c r="R2741" s="9">
        <v>219313</v>
      </c>
      <c r="S2741" s="9">
        <v>-129848</v>
      </c>
      <c r="T2741" s="10">
        <v>58005</v>
      </c>
      <c r="U2741" s="10">
        <v>1633</v>
      </c>
    </row>
    <row r="2742" spans="1:21" x14ac:dyDescent="0.35">
      <c r="A2742" t="s">
        <v>15</v>
      </c>
      <c r="B2742" t="s">
        <v>16</v>
      </c>
      <c r="C2742" t="s">
        <v>21</v>
      </c>
      <c r="D2742">
        <v>274938</v>
      </c>
      <c r="E2742">
        <v>41501</v>
      </c>
      <c r="F2742">
        <v>64441</v>
      </c>
      <c r="G2742">
        <v>-222489</v>
      </c>
      <c r="H2742">
        <v>158391</v>
      </c>
      <c r="I2742">
        <v>163136</v>
      </c>
      <c r="J2742">
        <v>4563</v>
      </c>
      <c r="K2742">
        <v>989710</v>
      </c>
      <c r="L2742">
        <v>362058</v>
      </c>
      <c r="M2742">
        <v>-204336</v>
      </c>
      <c r="N2742">
        <v>222568</v>
      </c>
      <c r="O2742" t="s">
        <v>2760</v>
      </c>
      <c r="P2742" s="9">
        <v>177022</v>
      </c>
      <c r="Q2742" s="9">
        <v>13847</v>
      </c>
      <c r="R2742" s="9">
        <v>190869</v>
      </c>
      <c r="S2742" s="9">
        <v>-51255</v>
      </c>
      <c r="T2742" s="10">
        <v>59365</v>
      </c>
      <c r="U2742" s="10">
        <v>1651</v>
      </c>
    </row>
    <row r="2743" spans="1:21" x14ac:dyDescent="0.35">
      <c r="A2743" t="s">
        <v>15</v>
      </c>
      <c r="B2743" t="s">
        <v>20</v>
      </c>
      <c r="C2743" t="s">
        <v>21</v>
      </c>
      <c r="D2743">
        <v>155637</v>
      </c>
      <c r="E2743">
        <v>18658</v>
      </c>
      <c r="F2743">
        <v>32756</v>
      </c>
      <c r="G2743">
        <v>-150698</v>
      </c>
      <c r="H2743">
        <v>56353</v>
      </c>
      <c r="I2743">
        <v>58394</v>
      </c>
      <c r="J2743">
        <v>968</v>
      </c>
      <c r="K2743">
        <v>369430</v>
      </c>
      <c r="L2743">
        <v>100601</v>
      </c>
      <c r="M2743">
        <v>-108697</v>
      </c>
      <c r="N2743">
        <v>126810</v>
      </c>
      <c r="O2743" t="s">
        <v>2761</v>
      </c>
      <c r="P2743" s="9">
        <v>161379</v>
      </c>
      <c r="Q2743" s="9">
        <v>32777</v>
      </c>
      <c r="R2743" s="9">
        <v>194156</v>
      </c>
      <c r="S2743" s="9">
        <v>-83328</v>
      </c>
      <c r="T2743" s="10">
        <v>77917</v>
      </c>
      <c r="U2743" s="10">
        <v>1744</v>
      </c>
    </row>
    <row r="2744" spans="1:21" x14ac:dyDescent="0.35">
      <c r="A2744" t="s">
        <v>15</v>
      </c>
      <c r="B2744" t="s">
        <v>20</v>
      </c>
      <c r="C2744" t="s">
        <v>17</v>
      </c>
      <c r="D2744">
        <v>197365</v>
      </c>
      <c r="E2744">
        <v>17069</v>
      </c>
      <c r="F2744">
        <v>28914</v>
      </c>
      <c r="G2744">
        <v>-160159</v>
      </c>
      <c r="H2744">
        <v>83189</v>
      </c>
      <c r="I2744">
        <v>76309</v>
      </c>
      <c r="J2744">
        <v>849</v>
      </c>
      <c r="K2744">
        <v>786757</v>
      </c>
      <c r="L2744">
        <v>121136</v>
      </c>
      <c r="M2744">
        <v>-260783</v>
      </c>
      <c r="N2744">
        <v>162178</v>
      </c>
      <c r="O2744" t="s">
        <v>2762</v>
      </c>
      <c r="P2744" s="9">
        <v>288021</v>
      </c>
      <c r="Q2744" s="9">
        <v>39382</v>
      </c>
      <c r="R2744" s="9">
        <v>327403</v>
      </c>
      <c r="S2744" s="9">
        <v>-126298</v>
      </c>
      <c r="T2744" s="10">
        <v>88222</v>
      </c>
      <c r="U2744" s="10">
        <v>2328</v>
      </c>
    </row>
    <row r="2745" spans="1:21" x14ac:dyDescent="0.35">
      <c r="A2745" t="s">
        <v>15</v>
      </c>
      <c r="B2745" t="s">
        <v>16</v>
      </c>
      <c r="C2745" t="s">
        <v>21</v>
      </c>
      <c r="D2745">
        <v>287388</v>
      </c>
      <c r="E2745">
        <v>32951</v>
      </c>
      <c r="F2745">
        <v>61968</v>
      </c>
      <c r="G2745">
        <v>-233494</v>
      </c>
      <c r="H2745">
        <v>148813</v>
      </c>
      <c r="I2745">
        <v>151100</v>
      </c>
      <c r="J2745">
        <v>3991</v>
      </c>
      <c r="K2745">
        <v>827254</v>
      </c>
      <c r="L2745">
        <v>93953</v>
      </c>
      <c r="M2745">
        <v>-101638</v>
      </c>
      <c r="N2745">
        <v>197254</v>
      </c>
      <c r="O2745" t="s">
        <v>2763</v>
      </c>
      <c r="P2745" s="9">
        <v>280883</v>
      </c>
      <c r="Q2745" s="9">
        <v>33502</v>
      </c>
      <c r="R2745" s="9">
        <v>314385</v>
      </c>
      <c r="S2745" s="9">
        <v>-76868</v>
      </c>
      <c r="T2745" s="10">
        <v>121882</v>
      </c>
      <c r="U2745" s="10">
        <v>1626</v>
      </c>
    </row>
    <row r="2746" spans="1:21" x14ac:dyDescent="0.35">
      <c r="A2746" t="s">
        <v>15</v>
      </c>
      <c r="B2746" t="s">
        <v>16</v>
      </c>
      <c r="C2746" t="s">
        <v>21</v>
      </c>
      <c r="D2746">
        <v>198214</v>
      </c>
      <c r="E2746">
        <v>10611</v>
      </c>
      <c r="F2746">
        <v>25162</v>
      </c>
      <c r="G2746">
        <v>-180508</v>
      </c>
      <c r="H2746">
        <v>53479</v>
      </c>
      <c r="I2746">
        <v>49820</v>
      </c>
      <c r="J2746">
        <v>1210</v>
      </c>
      <c r="K2746">
        <v>558409</v>
      </c>
      <c r="L2746">
        <v>73140</v>
      </c>
      <c r="M2746">
        <v>-151440</v>
      </c>
      <c r="N2746">
        <v>60045</v>
      </c>
      <c r="O2746" t="s">
        <v>2764</v>
      </c>
      <c r="P2746" s="9">
        <v>157109</v>
      </c>
      <c r="Q2746" s="9">
        <v>12697</v>
      </c>
      <c r="R2746" s="9">
        <v>169806</v>
      </c>
      <c r="S2746" s="9">
        <v>-97405</v>
      </c>
      <c r="T2746" s="10">
        <v>40646</v>
      </c>
      <c r="U2746" s="10">
        <v>655</v>
      </c>
    </row>
    <row r="2747" spans="1:21" x14ac:dyDescent="0.35">
      <c r="A2747" t="s">
        <v>15</v>
      </c>
      <c r="B2747" t="s">
        <v>16</v>
      </c>
      <c r="C2747" t="s">
        <v>17</v>
      </c>
      <c r="D2747">
        <v>239982</v>
      </c>
      <c r="E2747">
        <v>22636</v>
      </c>
      <c r="F2747">
        <v>33544</v>
      </c>
      <c r="G2747">
        <v>-205172</v>
      </c>
      <c r="H2747">
        <v>90990</v>
      </c>
      <c r="I2747">
        <v>85469</v>
      </c>
      <c r="J2747">
        <v>2098</v>
      </c>
      <c r="K2747">
        <v>709799</v>
      </c>
      <c r="L2747">
        <v>72167</v>
      </c>
      <c r="M2747">
        <v>-173760</v>
      </c>
      <c r="N2747">
        <v>136570</v>
      </c>
      <c r="O2747" t="s">
        <v>2765</v>
      </c>
      <c r="P2747" s="9">
        <v>271900</v>
      </c>
      <c r="Q2747" s="9">
        <v>53617</v>
      </c>
      <c r="R2747" s="9">
        <v>325517</v>
      </c>
      <c r="S2747" s="9">
        <v>-124005</v>
      </c>
      <c r="T2747" s="10">
        <v>166165</v>
      </c>
      <c r="U2747" s="10">
        <v>3175</v>
      </c>
    </row>
    <row r="2748" spans="1:21" x14ac:dyDescent="0.35">
      <c r="A2748" t="s">
        <v>15</v>
      </c>
      <c r="B2748" t="s">
        <v>20</v>
      </c>
      <c r="C2748" t="s">
        <v>21</v>
      </c>
      <c r="D2748">
        <v>205385</v>
      </c>
      <c r="E2748">
        <v>38264</v>
      </c>
      <c r="F2748">
        <v>31360</v>
      </c>
      <c r="G2748">
        <v>-179177</v>
      </c>
      <c r="H2748">
        <v>95832</v>
      </c>
      <c r="I2748">
        <v>96051</v>
      </c>
      <c r="J2748">
        <v>2550</v>
      </c>
      <c r="K2748">
        <v>608217</v>
      </c>
      <c r="L2748">
        <v>259744</v>
      </c>
      <c r="M2748">
        <v>-158130</v>
      </c>
      <c r="N2748">
        <v>135597</v>
      </c>
      <c r="O2748" t="s">
        <v>2766</v>
      </c>
      <c r="P2748" s="9">
        <v>267390</v>
      </c>
      <c r="Q2748" s="9">
        <v>14061</v>
      </c>
      <c r="R2748" s="9">
        <v>281451</v>
      </c>
      <c r="S2748" s="9">
        <v>-86969</v>
      </c>
      <c r="T2748" s="10">
        <v>88307</v>
      </c>
      <c r="U2748" s="10">
        <v>1825</v>
      </c>
    </row>
    <row r="2749" spans="1:21" x14ac:dyDescent="0.35">
      <c r="A2749" t="s">
        <v>15</v>
      </c>
      <c r="B2749" t="s">
        <v>20</v>
      </c>
      <c r="C2749" t="s">
        <v>17</v>
      </c>
      <c r="D2749">
        <v>202152</v>
      </c>
      <c r="E2749">
        <v>22733</v>
      </c>
      <c r="F2749">
        <v>49760</v>
      </c>
      <c r="G2749">
        <v>-168394</v>
      </c>
      <c r="H2749">
        <v>106251</v>
      </c>
      <c r="I2749">
        <v>100121</v>
      </c>
      <c r="J2749">
        <v>1126</v>
      </c>
      <c r="K2749">
        <v>538467</v>
      </c>
      <c r="L2749">
        <v>135559</v>
      </c>
      <c r="M2749">
        <v>-160301</v>
      </c>
      <c r="N2749">
        <v>79335</v>
      </c>
      <c r="O2749" t="s">
        <v>2767</v>
      </c>
      <c r="P2749" s="9">
        <v>177284</v>
      </c>
      <c r="Q2749" s="9">
        <v>30292</v>
      </c>
      <c r="R2749" s="9">
        <v>207576</v>
      </c>
      <c r="S2749" s="9">
        <v>-57640</v>
      </c>
      <c r="T2749" s="10">
        <v>63718</v>
      </c>
      <c r="U2749" s="10">
        <v>1066</v>
      </c>
    </row>
    <row r="2750" spans="1:21" x14ac:dyDescent="0.35">
      <c r="A2750" t="s">
        <v>15</v>
      </c>
      <c r="B2750" t="s">
        <v>20</v>
      </c>
      <c r="C2750" t="s">
        <v>21</v>
      </c>
      <c r="D2750">
        <v>208837</v>
      </c>
      <c r="E2750">
        <v>19249</v>
      </c>
      <c r="F2750">
        <v>49790</v>
      </c>
      <c r="G2750">
        <v>-192015</v>
      </c>
      <c r="H2750">
        <v>85861</v>
      </c>
      <c r="I2750">
        <v>89103</v>
      </c>
      <c r="J2750">
        <v>1423</v>
      </c>
      <c r="K2750">
        <v>822557</v>
      </c>
      <c r="L2750">
        <v>170347</v>
      </c>
      <c r="M2750">
        <v>-237261</v>
      </c>
      <c r="N2750">
        <v>179698</v>
      </c>
      <c r="O2750" t="s">
        <v>2768</v>
      </c>
      <c r="P2750" s="9">
        <v>166062</v>
      </c>
      <c r="Q2750" s="9">
        <v>24368</v>
      </c>
      <c r="R2750" s="9">
        <v>190430</v>
      </c>
      <c r="S2750" s="9">
        <v>-88648</v>
      </c>
      <c r="T2750" s="10">
        <v>88614</v>
      </c>
      <c r="U2750" s="10">
        <v>1211</v>
      </c>
    </row>
    <row r="2751" spans="1:21" x14ac:dyDescent="0.35">
      <c r="A2751" t="s">
        <v>15</v>
      </c>
      <c r="B2751" t="s">
        <v>16</v>
      </c>
      <c r="C2751" t="s">
        <v>17</v>
      </c>
      <c r="D2751">
        <v>169571</v>
      </c>
      <c r="E2751">
        <v>21801</v>
      </c>
      <c r="F2751">
        <v>29479</v>
      </c>
      <c r="G2751">
        <v>-142534</v>
      </c>
      <c r="H2751">
        <v>78317</v>
      </c>
      <c r="I2751">
        <v>79600</v>
      </c>
      <c r="J2751">
        <v>1265</v>
      </c>
      <c r="K2751">
        <v>674749</v>
      </c>
      <c r="L2751">
        <v>305147</v>
      </c>
      <c r="M2751">
        <v>-231141</v>
      </c>
      <c r="N2751">
        <v>127241</v>
      </c>
      <c r="O2751" t="s">
        <v>2769</v>
      </c>
      <c r="P2751" s="9">
        <v>224659</v>
      </c>
      <c r="Q2751" s="9">
        <v>22878</v>
      </c>
      <c r="R2751" s="9">
        <v>247537</v>
      </c>
      <c r="S2751" s="9">
        <v>-54152</v>
      </c>
      <c r="T2751" s="10">
        <v>69883</v>
      </c>
      <c r="U2751" s="10">
        <v>899</v>
      </c>
    </row>
    <row r="2752" spans="1:21" x14ac:dyDescent="0.35">
      <c r="A2752" t="s">
        <v>15</v>
      </c>
      <c r="B2752" t="s">
        <v>16</v>
      </c>
      <c r="C2752" t="s">
        <v>21</v>
      </c>
      <c r="D2752">
        <v>187494</v>
      </c>
      <c r="E2752">
        <v>24629</v>
      </c>
      <c r="F2752">
        <v>25919</v>
      </c>
      <c r="G2752">
        <v>-163698</v>
      </c>
      <c r="H2752">
        <v>74344</v>
      </c>
      <c r="I2752">
        <v>77392</v>
      </c>
      <c r="J2752">
        <v>1277</v>
      </c>
      <c r="K2752">
        <v>486732</v>
      </c>
      <c r="L2752">
        <v>192378</v>
      </c>
      <c r="M2752">
        <v>-95344</v>
      </c>
      <c r="N2752">
        <v>139233</v>
      </c>
      <c r="O2752" t="s">
        <v>2770</v>
      </c>
      <c r="P2752" s="9">
        <v>224934</v>
      </c>
      <c r="Q2752" s="9">
        <v>26903</v>
      </c>
      <c r="R2752" s="9">
        <v>251837</v>
      </c>
      <c r="S2752" s="9">
        <v>-111149</v>
      </c>
      <c r="T2752" s="10">
        <v>84218</v>
      </c>
      <c r="U2752" s="10">
        <v>1238</v>
      </c>
    </row>
    <row r="2753" spans="1:21" x14ac:dyDescent="0.35">
      <c r="A2753" t="s">
        <v>15</v>
      </c>
      <c r="B2753" t="s">
        <v>20</v>
      </c>
      <c r="C2753" t="s">
        <v>17</v>
      </c>
      <c r="D2753">
        <v>284128</v>
      </c>
      <c r="E2753">
        <v>27216</v>
      </c>
      <c r="F2753">
        <v>33787</v>
      </c>
      <c r="G2753">
        <v>-258437</v>
      </c>
      <c r="H2753">
        <v>86694</v>
      </c>
      <c r="I2753">
        <v>86177</v>
      </c>
      <c r="J2753">
        <v>1188</v>
      </c>
      <c r="K2753">
        <v>1002782</v>
      </c>
      <c r="L2753">
        <v>292174</v>
      </c>
      <c r="M2753">
        <v>-221528</v>
      </c>
      <c r="N2753">
        <v>233625</v>
      </c>
      <c r="O2753" t="s">
        <v>2771</v>
      </c>
      <c r="P2753" s="9">
        <v>270718</v>
      </c>
      <c r="Q2753" s="9">
        <v>21310</v>
      </c>
      <c r="R2753" s="9">
        <v>292028</v>
      </c>
      <c r="S2753" s="9">
        <v>-150613</v>
      </c>
      <c r="T2753" s="10">
        <v>67430</v>
      </c>
      <c r="U2753" s="10">
        <v>800</v>
      </c>
    </row>
    <row r="2754" spans="1:21" x14ac:dyDescent="0.35">
      <c r="A2754" t="s">
        <v>15</v>
      </c>
      <c r="B2754" t="s">
        <v>16</v>
      </c>
      <c r="C2754" t="s">
        <v>21</v>
      </c>
      <c r="D2754">
        <v>211986</v>
      </c>
      <c r="E2754">
        <v>41487</v>
      </c>
      <c r="F2754">
        <v>29649</v>
      </c>
      <c r="G2754">
        <v>-197246</v>
      </c>
      <c r="H2754">
        <v>85876</v>
      </c>
      <c r="I2754">
        <v>85035</v>
      </c>
      <c r="J2754">
        <v>1001</v>
      </c>
      <c r="K2754">
        <v>562058</v>
      </c>
      <c r="L2754">
        <v>188642</v>
      </c>
      <c r="M2754">
        <v>-118444</v>
      </c>
      <c r="N2754">
        <v>142279</v>
      </c>
      <c r="O2754" t="s">
        <v>2772</v>
      </c>
      <c r="P2754" s="9">
        <v>146931</v>
      </c>
      <c r="Q2754" s="9">
        <v>14272</v>
      </c>
      <c r="R2754" s="9">
        <v>161203</v>
      </c>
      <c r="S2754" s="9">
        <v>-54906</v>
      </c>
      <c r="T2754" s="10">
        <v>64334</v>
      </c>
      <c r="U2754" s="10">
        <v>1143</v>
      </c>
    </row>
    <row r="2755" spans="1:21" x14ac:dyDescent="0.35">
      <c r="A2755" t="s">
        <v>15</v>
      </c>
      <c r="B2755" t="s">
        <v>20</v>
      </c>
      <c r="C2755" t="s">
        <v>21</v>
      </c>
      <c r="D2755">
        <v>152117</v>
      </c>
      <c r="E2755">
        <v>27527</v>
      </c>
      <c r="F2755">
        <v>29895</v>
      </c>
      <c r="G2755">
        <v>-145142</v>
      </c>
      <c r="H2755">
        <v>64397</v>
      </c>
      <c r="I2755">
        <v>66152</v>
      </c>
      <c r="J2755">
        <v>1696</v>
      </c>
      <c r="K2755">
        <v>591252</v>
      </c>
      <c r="L2755">
        <v>150101</v>
      </c>
      <c r="M2755">
        <v>-113164</v>
      </c>
      <c r="N2755">
        <v>60083</v>
      </c>
      <c r="O2755" t="s">
        <v>2773</v>
      </c>
      <c r="P2755" s="9">
        <v>234155</v>
      </c>
      <c r="Q2755" s="9">
        <v>51912</v>
      </c>
      <c r="R2755" s="9">
        <v>286067</v>
      </c>
      <c r="S2755" s="9">
        <v>-123453</v>
      </c>
      <c r="T2755" s="10">
        <v>100779</v>
      </c>
      <c r="U2755" s="10">
        <v>2063</v>
      </c>
    </row>
    <row r="2756" spans="1:21" x14ac:dyDescent="0.35">
      <c r="A2756" t="s">
        <v>15</v>
      </c>
      <c r="B2756" t="s">
        <v>16</v>
      </c>
      <c r="C2756" t="s">
        <v>21</v>
      </c>
      <c r="D2756">
        <v>201284</v>
      </c>
      <c r="E2756">
        <v>18853</v>
      </c>
      <c r="F2756">
        <v>49641</v>
      </c>
      <c r="G2756">
        <v>-193653</v>
      </c>
      <c r="H2756">
        <v>76125</v>
      </c>
      <c r="I2756">
        <v>70634</v>
      </c>
      <c r="J2756">
        <v>1441</v>
      </c>
      <c r="K2756">
        <v>662560</v>
      </c>
      <c r="L2756">
        <v>115313</v>
      </c>
      <c r="M2756">
        <v>-131940</v>
      </c>
      <c r="N2756">
        <v>133084</v>
      </c>
      <c r="O2756" t="s">
        <v>2774</v>
      </c>
      <c r="P2756" s="9">
        <v>243791</v>
      </c>
      <c r="Q2756" s="9">
        <v>28809</v>
      </c>
      <c r="R2756" s="9">
        <v>272600</v>
      </c>
      <c r="S2756" s="9">
        <v>-154759</v>
      </c>
      <c r="T2756" s="10">
        <v>100023</v>
      </c>
      <c r="U2756" s="10">
        <v>1716</v>
      </c>
    </row>
    <row r="2757" spans="1:21" x14ac:dyDescent="0.35">
      <c r="A2757" t="s">
        <v>15</v>
      </c>
      <c r="B2757" t="s">
        <v>16</v>
      </c>
      <c r="C2757" t="s">
        <v>17</v>
      </c>
      <c r="D2757">
        <v>247105</v>
      </c>
      <c r="E2757">
        <v>15072</v>
      </c>
      <c r="F2757">
        <v>38307</v>
      </c>
      <c r="G2757">
        <v>-210475</v>
      </c>
      <c r="H2757">
        <v>90009</v>
      </c>
      <c r="I2757">
        <v>85509</v>
      </c>
      <c r="J2757">
        <v>1952</v>
      </c>
      <c r="K2757">
        <v>495442</v>
      </c>
      <c r="L2757">
        <v>185314</v>
      </c>
      <c r="M2757">
        <v>-110957</v>
      </c>
      <c r="N2757">
        <v>165877</v>
      </c>
      <c r="O2757" t="s">
        <v>2775</v>
      </c>
      <c r="P2757" s="9">
        <v>165891</v>
      </c>
      <c r="Q2757" s="9">
        <v>20390</v>
      </c>
      <c r="R2757" s="9">
        <v>186281</v>
      </c>
      <c r="S2757" s="9">
        <v>-107458</v>
      </c>
      <c r="T2757" s="10">
        <v>56467</v>
      </c>
      <c r="U2757" s="10">
        <v>1664</v>
      </c>
    </row>
    <row r="2758" spans="1:21" x14ac:dyDescent="0.35">
      <c r="A2758" t="s">
        <v>15</v>
      </c>
      <c r="B2758" t="s">
        <v>16</v>
      </c>
      <c r="C2758" t="s">
        <v>21</v>
      </c>
      <c r="D2758">
        <v>267872</v>
      </c>
      <c r="E2758">
        <v>51533</v>
      </c>
      <c r="F2758">
        <v>60189</v>
      </c>
      <c r="G2758">
        <v>-252609</v>
      </c>
      <c r="H2758">
        <v>126985</v>
      </c>
      <c r="I2758">
        <v>128558</v>
      </c>
      <c r="J2758">
        <v>1946</v>
      </c>
      <c r="K2758">
        <v>972711</v>
      </c>
      <c r="L2758">
        <v>429910</v>
      </c>
      <c r="M2758">
        <v>-157291</v>
      </c>
      <c r="N2758">
        <v>181215</v>
      </c>
      <c r="O2758" t="s">
        <v>2776</v>
      </c>
      <c r="P2758" s="9">
        <v>169388</v>
      </c>
      <c r="Q2758" s="9">
        <v>21485</v>
      </c>
      <c r="R2758" s="9">
        <v>190873</v>
      </c>
      <c r="S2758" s="9">
        <v>-53637</v>
      </c>
      <c r="T2758" s="10">
        <v>72702</v>
      </c>
      <c r="U2758" s="10">
        <v>1080</v>
      </c>
    </row>
    <row r="2759" spans="1:21" x14ac:dyDescent="0.35">
      <c r="A2759" t="s">
        <v>15</v>
      </c>
      <c r="B2759" t="s">
        <v>20</v>
      </c>
      <c r="C2759" t="s">
        <v>21</v>
      </c>
      <c r="D2759">
        <v>168393</v>
      </c>
      <c r="E2759">
        <v>25323</v>
      </c>
      <c r="F2759">
        <v>31789</v>
      </c>
      <c r="G2759">
        <v>-144476</v>
      </c>
      <c r="H2759">
        <v>81029</v>
      </c>
      <c r="I2759">
        <v>82477</v>
      </c>
      <c r="J2759">
        <v>1755</v>
      </c>
      <c r="K2759">
        <v>609982</v>
      </c>
      <c r="L2759">
        <v>295045</v>
      </c>
      <c r="M2759">
        <v>-101839</v>
      </c>
      <c r="N2759">
        <v>126929</v>
      </c>
      <c r="O2759" t="s">
        <v>2777</v>
      </c>
      <c r="P2759" s="9">
        <v>228016</v>
      </c>
      <c r="Q2759" s="9">
        <v>13717</v>
      </c>
      <c r="R2759" s="9">
        <v>241733</v>
      </c>
      <c r="S2759" s="9">
        <v>-90674</v>
      </c>
      <c r="T2759" s="10">
        <v>83880</v>
      </c>
      <c r="U2759" s="10">
        <v>1342</v>
      </c>
    </row>
    <row r="2760" spans="1:21" x14ac:dyDescent="0.35">
      <c r="A2760" t="s">
        <v>15</v>
      </c>
      <c r="B2760" t="s">
        <v>16</v>
      </c>
      <c r="C2760" t="s">
        <v>21</v>
      </c>
      <c r="D2760">
        <v>222840</v>
      </c>
      <c r="E2760">
        <v>41724</v>
      </c>
      <c r="F2760">
        <v>41674</v>
      </c>
      <c r="G2760">
        <v>-207009</v>
      </c>
      <c r="H2760">
        <v>99229</v>
      </c>
      <c r="I2760">
        <v>96917</v>
      </c>
      <c r="J2760">
        <v>1138</v>
      </c>
      <c r="K2760">
        <v>568433</v>
      </c>
      <c r="L2760">
        <v>66541</v>
      </c>
      <c r="M2760">
        <v>-142027</v>
      </c>
      <c r="N2760">
        <v>71918</v>
      </c>
      <c r="O2760" t="s">
        <v>2778</v>
      </c>
      <c r="P2760" s="9">
        <v>171599</v>
      </c>
      <c r="Q2760" s="9">
        <v>18693</v>
      </c>
      <c r="R2760" s="9">
        <v>190292</v>
      </c>
      <c r="S2760" s="9">
        <v>-69741</v>
      </c>
      <c r="T2760" s="10">
        <v>68586</v>
      </c>
      <c r="U2760" s="10">
        <v>1528</v>
      </c>
    </row>
    <row r="2761" spans="1:21" x14ac:dyDescent="0.35">
      <c r="A2761" t="s">
        <v>15</v>
      </c>
      <c r="B2761" t="s">
        <v>20</v>
      </c>
      <c r="C2761" t="s">
        <v>17</v>
      </c>
      <c r="D2761">
        <v>195000</v>
      </c>
      <c r="E2761">
        <v>15885</v>
      </c>
      <c r="F2761">
        <v>37883</v>
      </c>
      <c r="G2761">
        <v>-164104</v>
      </c>
      <c r="H2761">
        <v>84664</v>
      </c>
      <c r="I2761">
        <v>83979</v>
      </c>
      <c r="J2761">
        <v>2206</v>
      </c>
      <c r="K2761">
        <v>400526</v>
      </c>
      <c r="L2761">
        <v>106076</v>
      </c>
      <c r="M2761">
        <v>-122646</v>
      </c>
      <c r="N2761">
        <v>92671</v>
      </c>
      <c r="O2761" t="s">
        <v>2779</v>
      </c>
      <c r="P2761" s="9">
        <v>276533</v>
      </c>
      <c r="Q2761" s="9">
        <v>32944</v>
      </c>
      <c r="R2761" s="9">
        <v>309477</v>
      </c>
      <c r="S2761" s="9">
        <v>-96755</v>
      </c>
      <c r="T2761" s="10">
        <v>107943</v>
      </c>
      <c r="U2761" s="10">
        <v>2567</v>
      </c>
    </row>
    <row r="2762" spans="1:21" x14ac:dyDescent="0.35">
      <c r="A2762" t="s">
        <v>15</v>
      </c>
      <c r="B2762" t="s">
        <v>20</v>
      </c>
      <c r="C2762" t="s">
        <v>21</v>
      </c>
      <c r="D2762">
        <v>251941</v>
      </c>
      <c r="E2762">
        <v>30303</v>
      </c>
      <c r="F2762">
        <v>30140</v>
      </c>
      <c r="G2762">
        <v>-218878</v>
      </c>
      <c r="H2762">
        <v>93506</v>
      </c>
      <c r="I2762">
        <v>96564</v>
      </c>
      <c r="J2762">
        <v>1767</v>
      </c>
      <c r="K2762">
        <v>507856</v>
      </c>
      <c r="L2762">
        <v>125302</v>
      </c>
      <c r="M2762">
        <v>-183268</v>
      </c>
      <c r="N2762">
        <v>184554</v>
      </c>
      <c r="O2762" t="s">
        <v>2780</v>
      </c>
      <c r="P2762" s="9">
        <v>310848</v>
      </c>
      <c r="Q2762" s="9">
        <v>27711</v>
      </c>
      <c r="R2762" s="9">
        <v>338559</v>
      </c>
      <c r="S2762" s="9">
        <v>-74637</v>
      </c>
      <c r="T2762" s="10">
        <v>77289</v>
      </c>
      <c r="U2762" s="10">
        <v>2046</v>
      </c>
    </row>
    <row r="2763" spans="1:21" x14ac:dyDescent="0.35">
      <c r="A2763" t="s">
        <v>15</v>
      </c>
      <c r="B2763" t="s">
        <v>16</v>
      </c>
      <c r="C2763" t="s">
        <v>21</v>
      </c>
      <c r="D2763">
        <v>218120</v>
      </c>
      <c r="E2763">
        <v>23472</v>
      </c>
      <c r="F2763">
        <v>27616</v>
      </c>
      <c r="G2763">
        <v>-200986</v>
      </c>
      <c r="H2763">
        <v>68222</v>
      </c>
      <c r="I2763">
        <v>67811</v>
      </c>
      <c r="J2763">
        <v>1937</v>
      </c>
      <c r="K2763">
        <v>781389</v>
      </c>
      <c r="L2763">
        <v>326897</v>
      </c>
      <c r="M2763">
        <v>-276436</v>
      </c>
      <c r="N2763">
        <v>88280</v>
      </c>
      <c r="O2763" t="s">
        <v>2781</v>
      </c>
      <c r="P2763" s="9">
        <v>221519</v>
      </c>
      <c r="Q2763" s="9">
        <v>34900</v>
      </c>
      <c r="R2763" s="9">
        <v>256419</v>
      </c>
      <c r="S2763" s="9">
        <v>-89072</v>
      </c>
      <c r="T2763" s="10">
        <v>97100</v>
      </c>
      <c r="U2763" s="10">
        <v>2677</v>
      </c>
    </row>
    <row r="2764" spans="1:21" x14ac:dyDescent="0.35">
      <c r="A2764" t="s">
        <v>15</v>
      </c>
      <c r="B2764" t="s">
        <v>16</v>
      </c>
      <c r="C2764" t="s">
        <v>21</v>
      </c>
      <c r="D2764">
        <v>241108</v>
      </c>
      <c r="E2764">
        <v>32488</v>
      </c>
      <c r="F2764">
        <v>27474</v>
      </c>
      <c r="G2764">
        <v>-231938</v>
      </c>
      <c r="H2764">
        <v>69132</v>
      </c>
      <c r="I2764">
        <v>63966</v>
      </c>
      <c r="J2764">
        <v>1724</v>
      </c>
      <c r="K2764">
        <v>822613</v>
      </c>
      <c r="L2764">
        <v>320458</v>
      </c>
      <c r="M2764">
        <v>-266066</v>
      </c>
      <c r="N2764">
        <v>181767</v>
      </c>
      <c r="O2764" t="s">
        <v>2782</v>
      </c>
      <c r="P2764" s="9">
        <v>297528</v>
      </c>
      <c r="Q2764" s="9">
        <v>40065</v>
      </c>
      <c r="R2764" s="9">
        <v>337593</v>
      </c>
      <c r="S2764" s="9">
        <v>-187497</v>
      </c>
      <c r="T2764" s="10">
        <v>122919</v>
      </c>
      <c r="U2764" s="10">
        <v>2291</v>
      </c>
    </row>
    <row r="2765" spans="1:21" x14ac:dyDescent="0.35">
      <c r="A2765" t="s">
        <v>15</v>
      </c>
      <c r="B2765" t="s">
        <v>20</v>
      </c>
      <c r="C2765" t="s">
        <v>17</v>
      </c>
      <c r="D2765">
        <v>265025</v>
      </c>
      <c r="E2765">
        <v>20570</v>
      </c>
      <c r="F2765">
        <v>31467</v>
      </c>
      <c r="G2765">
        <v>-226609</v>
      </c>
      <c r="H2765">
        <v>90453</v>
      </c>
      <c r="I2765">
        <v>89549</v>
      </c>
      <c r="J2765">
        <v>1149</v>
      </c>
      <c r="K2765">
        <v>620726</v>
      </c>
      <c r="L2765">
        <v>102058</v>
      </c>
      <c r="M2765">
        <v>-128120</v>
      </c>
      <c r="N2765">
        <v>136637</v>
      </c>
      <c r="O2765" t="s">
        <v>2783</v>
      </c>
      <c r="P2765" s="9">
        <v>198679</v>
      </c>
      <c r="Q2765" s="9">
        <v>26148</v>
      </c>
      <c r="R2765" s="9">
        <v>224827</v>
      </c>
      <c r="S2765" s="9">
        <v>-80245</v>
      </c>
      <c r="T2765" s="10">
        <v>69568</v>
      </c>
      <c r="U2765" s="10">
        <v>795</v>
      </c>
    </row>
    <row r="2766" spans="1:21" x14ac:dyDescent="0.35">
      <c r="A2766" t="s">
        <v>15</v>
      </c>
      <c r="B2766" t="s">
        <v>16</v>
      </c>
      <c r="C2766" t="s">
        <v>21</v>
      </c>
      <c r="D2766">
        <v>216094</v>
      </c>
      <c r="E2766">
        <v>29513</v>
      </c>
      <c r="F2766">
        <v>49238</v>
      </c>
      <c r="G2766">
        <v>-205795</v>
      </c>
      <c r="H2766">
        <v>89050</v>
      </c>
      <c r="I2766">
        <v>82654</v>
      </c>
      <c r="J2766">
        <v>2228</v>
      </c>
      <c r="K2766">
        <v>846732</v>
      </c>
      <c r="L2766">
        <v>358056</v>
      </c>
      <c r="M2766">
        <v>-219361</v>
      </c>
      <c r="N2766">
        <v>189625</v>
      </c>
      <c r="O2766" t="s">
        <v>2784</v>
      </c>
      <c r="P2766" s="9">
        <v>242832</v>
      </c>
      <c r="Q2766" s="9">
        <v>28108</v>
      </c>
      <c r="R2766" s="9">
        <v>270940</v>
      </c>
      <c r="S2766" s="9">
        <v>-140137</v>
      </c>
      <c r="T2766" s="10">
        <v>96097</v>
      </c>
      <c r="U2766" s="10">
        <v>1380</v>
      </c>
    </row>
    <row r="2767" spans="1:21" x14ac:dyDescent="0.35">
      <c r="A2767" t="s">
        <v>15</v>
      </c>
      <c r="B2767" t="s">
        <v>16</v>
      </c>
      <c r="C2767" t="s">
        <v>17</v>
      </c>
      <c r="D2767">
        <v>273508</v>
      </c>
      <c r="E2767">
        <v>44458</v>
      </c>
      <c r="F2767">
        <v>67321</v>
      </c>
      <c r="G2767">
        <v>-220960</v>
      </c>
      <c r="H2767">
        <v>164327</v>
      </c>
      <c r="I2767">
        <v>163442</v>
      </c>
      <c r="J2767">
        <v>3058</v>
      </c>
      <c r="K2767">
        <v>586636</v>
      </c>
      <c r="L2767">
        <v>291646</v>
      </c>
      <c r="M2767">
        <v>-207237</v>
      </c>
      <c r="N2767">
        <v>103513</v>
      </c>
      <c r="O2767" t="s">
        <v>2785</v>
      </c>
      <c r="P2767" s="9">
        <v>305137</v>
      </c>
      <c r="Q2767" s="9">
        <v>38036</v>
      </c>
      <c r="R2767" s="9">
        <v>343173</v>
      </c>
      <c r="S2767" s="9">
        <v>-80455</v>
      </c>
      <c r="T2767" s="10">
        <v>104623</v>
      </c>
      <c r="U2767" s="10">
        <v>2056</v>
      </c>
    </row>
    <row r="2768" spans="1:21" x14ac:dyDescent="0.35">
      <c r="A2768" t="s">
        <v>15</v>
      </c>
      <c r="B2768" t="s">
        <v>20</v>
      </c>
      <c r="C2768" t="s">
        <v>21</v>
      </c>
      <c r="D2768">
        <v>174858</v>
      </c>
      <c r="E2768">
        <v>28755</v>
      </c>
      <c r="F2768">
        <v>39597</v>
      </c>
      <c r="G2768">
        <v>-157212</v>
      </c>
      <c r="H2768">
        <v>85998</v>
      </c>
      <c r="I2768">
        <v>80113</v>
      </c>
      <c r="J2768">
        <v>904</v>
      </c>
      <c r="K2768">
        <v>469174</v>
      </c>
      <c r="L2768">
        <v>205260</v>
      </c>
      <c r="M2768">
        <v>-161238</v>
      </c>
      <c r="N2768">
        <v>80420</v>
      </c>
      <c r="O2768" t="s">
        <v>2786</v>
      </c>
      <c r="P2768" s="9">
        <v>253749</v>
      </c>
      <c r="Q2768" s="9">
        <v>22951</v>
      </c>
      <c r="R2768" s="9">
        <v>276700</v>
      </c>
      <c r="S2768" s="9">
        <v>-123861</v>
      </c>
      <c r="T2768" s="10">
        <v>108398</v>
      </c>
      <c r="U2768" s="10">
        <v>1855</v>
      </c>
    </row>
    <row r="2769" spans="1:21" x14ac:dyDescent="0.35">
      <c r="A2769" t="s">
        <v>15</v>
      </c>
      <c r="B2769" t="s">
        <v>16</v>
      </c>
      <c r="C2769" t="s">
        <v>21</v>
      </c>
      <c r="D2769">
        <v>224946</v>
      </c>
      <c r="E2769">
        <v>36094</v>
      </c>
      <c r="F2769">
        <v>26009</v>
      </c>
      <c r="G2769">
        <v>-184634</v>
      </c>
      <c r="H2769">
        <v>102415</v>
      </c>
      <c r="I2769">
        <v>99398</v>
      </c>
      <c r="J2769">
        <v>1981</v>
      </c>
      <c r="K2769">
        <v>829732</v>
      </c>
      <c r="L2769">
        <v>203339</v>
      </c>
      <c r="M2769">
        <v>-102774</v>
      </c>
      <c r="N2769">
        <v>193704</v>
      </c>
      <c r="O2769" t="s">
        <v>2787</v>
      </c>
      <c r="P2769" s="9">
        <v>265676</v>
      </c>
      <c r="Q2769" s="9">
        <v>47935</v>
      </c>
      <c r="R2769" s="9">
        <v>313611</v>
      </c>
      <c r="S2769" s="9">
        <v>-168622</v>
      </c>
      <c r="T2769" s="10">
        <v>113648</v>
      </c>
      <c r="U2769" s="10">
        <v>1478</v>
      </c>
    </row>
    <row r="2770" spans="1:21" x14ac:dyDescent="0.35">
      <c r="A2770" t="s">
        <v>15</v>
      </c>
      <c r="B2770" t="s">
        <v>16</v>
      </c>
      <c r="C2770" t="s">
        <v>17</v>
      </c>
      <c r="D2770">
        <v>181048</v>
      </c>
      <c r="E2770">
        <v>28728</v>
      </c>
      <c r="F2770">
        <v>30604</v>
      </c>
      <c r="G2770">
        <v>-172257</v>
      </c>
      <c r="H2770">
        <v>68123</v>
      </c>
      <c r="I2770">
        <v>68278</v>
      </c>
      <c r="J2770">
        <v>1142</v>
      </c>
      <c r="K2770">
        <v>469665</v>
      </c>
      <c r="L2770">
        <v>84391</v>
      </c>
      <c r="M2770">
        <v>-79095</v>
      </c>
      <c r="N2770">
        <v>145660</v>
      </c>
      <c r="O2770" t="s">
        <v>2788</v>
      </c>
      <c r="P2770" s="9">
        <v>165603</v>
      </c>
      <c r="Q2770" s="9">
        <v>22695</v>
      </c>
      <c r="R2770" s="9">
        <v>188298</v>
      </c>
      <c r="S2770" s="9">
        <v>-58859</v>
      </c>
      <c r="T2770" s="10">
        <v>72665</v>
      </c>
      <c r="U2770" s="10">
        <v>1193</v>
      </c>
    </row>
    <row r="2771" spans="1:21" x14ac:dyDescent="0.35">
      <c r="A2771" t="s">
        <v>15</v>
      </c>
      <c r="B2771" t="s">
        <v>16</v>
      </c>
      <c r="C2771" t="s">
        <v>21</v>
      </c>
      <c r="D2771">
        <v>242522</v>
      </c>
      <c r="E2771">
        <v>18881</v>
      </c>
      <c r="F2771">
        <v>35978</v>
      </c>
      <c r="G2771">
        <v>-206834</v>
      </c>
      <c r="H2771">
        <v>90547</v>
      </c>
      <c r="I2771">
        <v>82749</v>
      </c>
      <c r="J2771">
        <v>2367</v>
      </c>
      <c r="K2771">
        <v>845060</v>
      </c>
      <c r="L2771">
        <v>353840</v>
      </c>
      <c r="M2771">
        <v>-313919</v>
      </c>
      <c r="N2771">
        <v>117138</v>
      </c>
      <c r="O2771" t="s">
        <v>2789</v>
      </c>
      <c r="P2771" s="9">
        <v>242390</v>
      </c>
      <c r="Q2771" s="9">
        <v>18877</v>
      </c>
      <c r="R2771" s="9">
        <v>261267</v>
      </c>
      <c r="S2771" s="9">
        <v>-125219</v>
      </c>
      <c r="T2771" s="10">
        <v>75502</v>
      </c>
      <c r="U2771" s="10">
        <v>1069</v>
      </c>
    </row>
    <row r="2772" spans="1:21" x14ac:dyDescent="0.35">
      <c r="A2772" t="s">
        <v>15</v>
      </c>
      <c r="B2772" t="s">
        <v>16</v>
      </c>
      <c r="C2772" t="s">
        <v>17</v>
      </c>
      <c r="D2772">
        <v>233074</v>
      </c>
      <c r="E2772">
        <v>35297</v>
      </c>
      <c r="F2772">
        <v>54086</v>
      </c>
      <c r="G2772">
        <v>-219075</v>
      </c>
      <c r="H2772">
        <v>103382</v>
      </c>
      <c r="I2772">
        <v>104844</v>
      </c>
      <c r="J2772">
        <v>1240</v>
      </c>
      <c r="K2772">
        <v>748474</v>
      </c>
      <c r="L2772">
        <v>202178</v>
      </c>
      <c r="M2772">
        <v>-243436</v>
      </c>
      <c r="N2772">
        <v>135267</v>
      </c>
      <c r="O2772" t="s">
        <v>2790</v>
      </c>
      <c r="P2772" s="9">
        <v>160852</v>
      </c>
      <c r="Q2772" s="9">
        <v>18597</v>
      </c>
      <c r="R2772" s="9">
        <v>179449</v>
      </c>
      <c r="S2772" s="9">
        <v>-68977</v>
      </c>
      <c r="T2772" s="10">
        <v>67647</v>
      </c>
      <c r="U2772" s="10">
        <v>1823</v>
      </c>
    </row>
    <row r="2773" spans="1:21" x14ac:dyDescent="0.35">
      <c r="A2773" t="s">
        <v>15</v>
      </c>
      <c r="B2773" t="s">
        <v>16</v>
      </c>
      <c r="C2773" t="s">
        <v>21</v>
      </c>
      <c r="D2773">
        <v>273006</v>
      </c>
      <c r="E2773">
        <v>25536</v>
      </c>
      <c r="F2773">
        <v>63960</v>
      </c>
      <c r="G2773">
        <v>-270825</v>
      </c>
      <c r="H2773">
        <v>91677</v>
      </c>
      <c r="I2773">
        <v>82535</v>
      </c>
      <c r="J2773">
        <v>1791</v>
      </c>
      <c r="K2773">
        <v>697401</v>
      </c>
      <c r="L2773">
        <v>87333</v>
      </c>
      <c r="M2773">
        <v>-156414</v>
      </c>
      <c r="N2773">
        <v>187222</v>
      </c>
      <c r="O2773" t="s">
        <v>2791</v>
      </c>
      <c r="P2773" s="9">
        <v>180017</v>
      </c>
      <c r="Q2773" s="9">
        <v>12690</v>
      </c>
      <c r="R2773" s="9">
        <v>192707</v>
      </c>
      <c r="S2773" s="9">
        <v>-58342</v>
      </c>
      <c r="T2773" s="10">
        <v>67391</v>
      </c>
      <c r="U2773" s="10">
        <v>1970</v>
      </c>
    </row>
    <row r="2774" spans="1:21" x14ac:dyDescent="0.35">
      <c r="A2774" t="s">
        <v>15</v>
      </c>
      <c r="B2774" t="s">
        <v>20</v>
      </c>
      <c r="C2774" t="s">
        <v>21</v>
      </c>
      <c r="D2774">
        <v>178658</v>
      </c>
      <c r="E2774">
        <v>9408</v>
      </c>
      <c r="F2774">
        <v>19793</v>
      </c>
      <c r="G2774">
        <v>-149524</v>
      </c>
      <c r="H2774">
        <v>58335</v>
      </c>
      <c r="I2774">
        <v>58775</v>
      </c>
      <c r="J2774">
        <v>1614</v>
      </c>
      <c r="K2774">
        <v>513015</v>
      </c>
      <c r="L2774">
        <v>142001</v>
      </c>
      <c r="M2774">
        <v>-101344</v>
      </c>
      <c r="N2774">
        <v>74251</v>
      </c>
      <c r="O2774" t="s">
        <v>2792</v>
      </c>
      <c r="P2774" s="9">
        <v>216072</v>
      </c>
      <c r="Q2774" s="9">
        <v>33649</v>
      </c>
      <c r="R2774" s="9">
        <v>249721</v>
      </c>
      <c r="S2774" s="9">
        <v>-72257</v>
      </c>
      <c r="T2774" s="10">
        <v>90088</v>
      </c>
      <c r="U2774" s="10">
        <v>2305</v>
      </c>
    </row>
    <row r="2775" spans="1:21" x14ac:dyDescent="0.35">
      <c r="A2775" t="s">
        <v>15</v>
      </c>
      <c r="B2775" t="s">
        <v>16</v>
      </c>
      <c r="C2775" t="s">
        <v>17</v>
      </c>
      <c r="D2775">
        <v>289753</v>
      </c>
      <c r="E2775">
        <v>33160</v>
      </c>
      <c r="F2775">
        <v>60643</v>
      </c>
      <c r="G2775">
        <v>-269418</v>
      </c>
      <c r="H2775">
        <v>114138</v>
      </c>
      <c r="I2775">
        <v>102873</v>
      </c>
      <c r="J2775">
        <v>1278</v>
      </c>
      <c r="K2775">
        <v>848006</v>
      </c>
      <c r="L2775">
        <v>137152</v>
      </c>
      <c r="M2775">
        <v>-324751</v>
      </c>
      <c r="N2775">
        <v>224954</v>
      </c>
      <c r="O2775" t="s">
        <v>2793</v>
      </c>
      <c r="P2775" s="9">
        <v>217874</v>
      </c>
      <c r="Q2775" s="9">
        <v>24469</v>
      </c>
      <c r="R2775" s="9">
        <v>242343</v>
      </c>
      <c r="S2775" s="9">
        <v>-117878</v>
      </c>
      <c r="T2775" s="10">
        <v>62269</v>
      </c>
      <c r="U2775" s="10">
        <v>684</v>
      </c>
    </row>
    <row r="2776" spans="1:21" x14ac:dyDescent="0.35">
      <c r="A2776" t="s">
        <v>15</v>
      </c>
      <c r="B2776" t="s">
        <v>20</v>
      </c>
      <c r="C2776" t="s">
        <v>17</v>
      </c>
      <c r="D2776">
        <v>221097</v>
      </c>
      <c r="E2776">
        <v>24944</v>
      </c>
      <c r="F2776">
        <v>48640</v>
      </c>
      <c r="G2776">
        <v>-203956</v>
      </c>
      <c r="H2776">
        <v>90725</v>
      </c>
      <c r="I2776">
        <v>84761</v>
      </c>
      <c r="J2776">
        <v>2468</v>
      </c>
      <c r="K2776">
        <v>569143</v>
      </c>
      <c r="L2776">
        <v>180828</v>
      </c>
      <c r="M2776">
        <v>-93125</v>
      </c>
      <c r="N2776">
        <v>166409</v>
      </c>
      <c r="O2776" t="s">
        <v>2794</v>
      </c>
      <c r="P2776" s="9">
        <v>233433</v>
      </c>
      <c r="Q2776" s="9">
        <v>49193</v>
      </c>
      <c r="R2776" s="9">
        <v>282626</v>
      </c>
      <c r="S2776" s="9">
        <v>-112846</v>
      </c>
      <c r="T2776" s="10">
        <v>94665</v>
      </c>
      <c r="U2776" s="10">
        <v>1063</v>
      </c>
    </row>
    <row r="2777" spans="1:21" x14ac:dyDescent="0.35">
      <c r="A2777" t="s">
        <v>15</v>
      </c>
      <c r="B2777" t="s">
        <v>16</v>
      </c>
      <c r="C2777" t="s">
        <v>17</v>
      </c>
      <c r="D2777">
        <v>179640</v>
      </c>
      <c r="E2777">
        <v>15119</v>
      </c>
      <c r="F2777">
        <v>41698</v>
      </c>
      <c r="G2777">
        <v>-173230</v>
      </c>
      <c r="H2777">
        <v>63227</v>
      </c>
      <c r="I2777">
        <v>63470</v>
      </c>
      <c r="J2777">
        <v>1763</v>
      </c>
      <c r="K2777">
        <v>655678</v>
      </c>
      <c r="L2777">
        <v>279488</v>
      </c>
      <c r="M2777">
        <v>-126107</v>
      </c>
      <c r="N2777">
        <v>127349</v>
      </c>
      <c r="O2777" t="s">
        <v>2795</v>
      </c>
      <c r="P2777" s="9">
        <v>156110</v>
      </c>
      <c r="Q2777" s="9">
        <v>27654</v>
      </c>
      <c r="R2777" s="9">
        <v>183764</v>
      </c>
      <c r="S2777" s="9">
        <v>-64296</v>
      </c>
      <c r="T2777" s="10">
        <v>88466</v>
      </c>
      <c r="U2777" s="10">
        <v>2327</v>
      </c>
    </row>
    <row r="2778" spans="1:21" x14ac:dyDescent="0.35">
      <c r="A2778" t="s">
        <v>15</v>
      </c>
      <c r="B2778" t="s">
        <v>16</v>
      </c>
      <c r="C2778" t="s">
        <v>21</v>
      </c>
      <c r="D2778">
        <v>229266</v>
      </c>
      <c r="E2778">
        <v>31340</v>
      </c>
      <c r="F2778">
        <v>40320</v>
      </c>
      <c r="G2778">
        <v>-224863</v>
      </c>
      <c r="H2778">
        <v>76063</v>
      </c>
      <c r="I2778">
        <v>76249</v>
      </c>
      <c r="J2778">
        <v>2169</v>
      </c>
      <c r="K2778">
        <v>464265</v>
      </c>
      <c r="L2778">
        <v>95275</v>
      </c>
      <c r="M2778">
        <v>-153473</v>
      </c>
      <c r="N2778">
        <v>125216</v>
      </c>
      <c r="O2778" t="s">
        <v>2796</v>
      </c>
      <c r="P2778" s="9">
        <v>213675</v>
      </c>
      <c r="Q2778" s="9">
        <v>20451</v>
      </c>
      <c r="R2778" s="9">
        <v>234126</v>
      </c>
      <c r="S2778" s="9">
        <v>-81367</v>
      </c>
      <c r="T2778" s="10">
        <v>59416</v>
      </c>
      <c r="U2778" s="10">
        <v>1414</v>
      </c>
    </row>
    <row r="2779" spans="1:21" x14ac:dyDescent="0.35">
      <c r="A2779" t="s">
        <v>15</v>
      </c>
      <c r="B2779" t="s">
        <v>20</v>
      </c>
      <c r="C2779" t="s">
        <v>21</v>
      </c>
      <c r="D2779">
        <v>207972</v>
      </c>
      <c r="E2779">
        <v>20898</v>
      </c>
      <c r="F2779">
        <v>34098</v>
      </c>
      <c r="G2779">
        <v>-201369</v>
      </c>
      <c r="H2779">
        <v>61599</v>
      </c>
      <c r="I2779">
        <v>59302</v>
      </c>
      <c r="J2779">
        <v>839</v>
      </c>
      <c r="K2779">
        <v>493680</v>
      </c>
      <c r="L2779">
        <v>192645</v>
      </c>
      <c r="M2779">
        <v>-150756</v>
      </c>
      <c r="N2779">
        <v>64958</v>
      </c>
      <c r="O2779" t="s">
        <v>2797</v>
      </c>
      <c r="P2779" s="9">
        <v>196565</v>
      </c>
      <c r="Q2779" s="9">
        <v>42952</v>
      </c>
      <c r="R2779" s="9">
        <v>239517</v>
      </c>
      <c r="S2779" s="9">
        <v>-61996</v>
      </c>
      <c r="T2779" s="10">
        <v>93644</v>
      </c>
      <c r="U2779" s="10">
        <v>1632</v>
      </c>
    </row>
    <row r="2780" spans="1:21" x14ac:dyDescent="0.35">
      <c r="A2780" t="s">
        <v>15</v>
      </c>
      <c r="B2780" t="s">
        <v>16</v>
      </c>
      <c r="C2780" t="s">
        <v>17</v>
      </c>
      <c r="D2780">
        <v>181485</v>
      </c>
      <c r="E2780">
        <v>13665</v>
      </c>
      <c r="F2780">
        <v>39013</v>
      </c>
      <c r="G2780">
        <v>-150043</v>
      </c>
      <c r="H2780">
        <v>84120</v>
      </c>
      <c r="I2780">
        <v>78083</v>
      </c>
      <c r="J2780">
        <v>1308</v>
      </c>
      <c r="K2780">
        <v>660538</v>
      </c>
      <c r="L2780">
        <v>267836</v>
      </c>
      <c r="M2780">
        <v>-142485</v>
      </c>
      <c r="N2780">
        <v>156492</v>
      </c>
      <c r="O2780" t="s">
        <v>2798</v>
      </c>
      <c r="P2780" s="9">
        <v>211745</v>
      </c>
      <c r="Q2780" s="9">
        <v>42962</v>
      </c>
      <c r="R2780" s="9">
        <v>254707</v>
      </c>
      <c r="S2780" s="9">
        <v>-141753</v>
      </c>
      <c r="T2780" s="10">
        <v>92080</v>
      </c>
      <c r="U2780" s="10">
        <v>1095</v>
      </c>
    </row>
    <row r="2781" spans="1:21" x14ac:dyDescent="0.35">
      <c r="A2781" t="s">
        <v>15</v>
      </c>
      <c r="B2781" t="s">
        <v>20</v>
      </c>
      <c r="C2781" t="s">
        <v>21</v>
      </c>
      <c r="D2781">
        <v>233911</v>
      </c>
      <c r="E2781">
        <v>31711</v>
      </c>
      <c r="F2781">
        <v>51182</v>
      </c>
      <c r="G2781">
        <v>-190050</v>
      </c>
      <c r="H2781">
        <v>126754</v>
      </c>
      <c r="I2781">
        <v>129233</v>
      </c>
      <c r="J2781">
        <v>3212</v>
      </c>
      <c r="K2781">
        <v>577572</v>
      </c>
      <c r="L2781">
        <v>74585</v>
      </c>
      <c r="M2781">
        <v>-120105</v>
      </c>
      <c r="N2781">
        <v>80853</v>
      </c>
      <c r="O2781" t="s">
        <v>2799</v>
      </c>
      <c r="P2781" s="9">
        <v>202170</v>
      </c>
      <c r="Q2781" s="9">
        <v>35753</v>
      </c>
      <c r="R2781" s="9">
        <v>237923</v>
      </c>
      <c r="S2781" s="9">
        <v>-104141</v>
      </c>
      <c r="T2781" s="10">
        <v>82145</v>
      </c>
      <c r="U2781" s="10">
        <v>1654</v>
      </c>
    </row>
    <row r="2782" spans="1:21" x14ac:dyDescent="0.35">
      <c r="A2782" t="s">
        <v>15</v>
      </c>
      <c r="B2782" t="s">
        <v>20</v>
      </c>
      <c r="C2782" t="s">
        <v>21</v>
      </c>
      <c r="D2782">
        <v>215225</v>
      </c>
      <c r="E2782">
        <v>33053</v>
      </c>
      <c r="F2782">
        <v>45751</v>
      </c>
      <c r="G2782">
        <v>-186445</v>
      </c>
      <c r="H2782">
        <v>107584</v>
      </c>
      <c r="I2782">
        <v>100709</v>
      </c>
      <c r="J2782">
        <v>1557</v>
      </c>
      <c r="K2782">
        <v>532296</v>
      </c>
      <c r="L2782">
        <v>107140</v>
      </c>
      <c r="M2782">
        <v>-170872</v>
      </c>
      <c r="N2782">
        <v>143158</v>
      </c>
      <c r="O2782" t="s">
        <v>2800</v>
      </c>
      <c r="P2782" s="9">
        <v>319071</v>
      </c>
      <c r="Q2782" s="9">
        <v>37282</v>
      </c>
      <c r="R2782" s="9">
        <v>356353</v>
      </c>
      <c r="S2782" s="9">
        <v>-87918</v>
      </c>
      <c r="T2782" s="10">
        <v>102777</v>
      </c>
      <c r="U2782" s="10">
        <v>2698</v>
      </c>
    </row>
    <row r="2783" spans="1:21" x14ac:dyDescent="0.35">
      <c r="A2783" t="s">
        <v>15</v>
      </c>
      <c r="B2783" t="s">
        <v>16</v>
      </c>
      <c r="C2783" t="s">
        <v>17</v>
      </c>
      <c r="D2783">
        <v>196864</v>
      </c>
      <c r="E2783">
        <v>21892</v>
      </c>
      <c r="F2783">
        <v>43689</v>
      </c>
      <c r="G2783">
        <v>-163605</v>
      </c>
      <c r="H2783">
        <v>98840</v>
      </c>
      <c r="I2783">
        <v>94631</v>
      </c>
      <c r="J2783">
        <v>2734</v>
      </c>
      <c r="K2783">
        <v>714573</v>
      </c>
      <c r="L2783">
        <v>139875</v>
      </c>
      <c r="M2783">
        <v>-153739</v>
      </c>
      <c r="N2783">
        <v>88042</v>
      </c>
      <c r="O2783" t="s">
        <v>2801</v>
      </c>
      <c r="P2783" s="9">
        <v>159777</v>
      </c>
      <c r="Q2783" s="9">
        <v>30236</v>
      </c>
      <c r="R2783" s="9">
        <v>190013</v>
      </c>
      <c r="S2783" s="9">
        <v>-107595</v>
      </c>
      <c r="T2783" s="10">
        <v>79864</v>
      </c>
      <c r="U2783" s="10">
        <v>1585</v>
      </c>
    </row>
    <row r="2784" spans="1:21" x14ac:dyDescent="0.35">
      <c r="A2784" t="s">
        <v>15</v>
      </c>
      <c r="B2784" t="s">
        <v>20</v>
      </c>
      <c r="C2784" t="s">
        <v>17</v>
      </c>
      <c r="D2784">
        <v>268728</v>
      </c>
      <c r="E2784">
        <v>24884</v>
      </c>
      <c r="F2784">
        <v>48326</v>
      </c>
      <c r="G2784">
        <v>-229927</v>
      </c>
      <c r="H2784">
        <v>112011</v>
      </c>
      <c r="I2784">
        <v>113300</v>
      </c>
      <c r="J2784">
        <v>2202</v>
      </c>
      <c r="K2784">
        <v>1040354</v>
      </c>
      <c r="L2784">
        <v>421110</v>
      </c>
      <c r="M2784">
        <v>-385456</v>
      </c>
      <c r="N2784">
        <v>221522</v>
      </c>
      <c r="O2784" t="s">
        <v>2802</v>
      </c>
      <c r="P2784" s="9">
        <v>245346</v>
      </c>
      <c r="Q2784" s="9">
        <v>37622</v>
      </c>
      <c r="R2784" s="9">
        <v>282968</v>
      </c>
      <c r="S2784" s="9">
        <v>-123190</v>
      </c>
      <c r="T2784" s="10">
        <v>125003</v>
      </c>
      <c r="U2784" s="10">
        <v>2836</v>
      </c>
    </row>
    <row r="2785" spans="1:21" x14ac:dyDescent="0.35">
      <c r="A2785" t="s">
        <v>15</v>
      </c>
      <c r="B2785" t="s">
        <v>20</v>
      </c>
      <c r="C2785" t="s">
        <v>21</v>
      </c>
      <c r="D2785">
        <v>193374</v>
      </c>
      <c r="E2785">
        <v>12237</v>
      </c>
      <c r="F2785">
        <v>28813</v>
      </c>
      <c r="G2785">
        <v>-170743</v>
      </c>
      <c r="H2785">
        <v>63681</v>
      </c>
      <c r="I2785">
        <v>58682</v>
      </c>
      <c r="J2785">
        <v>1545</v>
      </c>
      <c r="K2785">
        <v>683709</v>
      </c>
      <c r="L2785">
        <v>82669</v>
      </c>
      <c r="M2785">
        <v>-151241</v>
      </c>
      <c r="N2785">
        <v>173089</v>
      </c>
      <c r="O2785" t="s">
        <v>2803</v>
      </c>
      <c r="P2785" s="9">
        <v>150304</v>
      </c>
      <c r="Q2785" s="9">
        <v>16852</v>
      </c>
      <c r="R2785" s="9">
        <v>167156</v>
      </c>
      <c r="S2785" s="9">
        <v>-62816</v>
      </c>
      <c r="T2785" s="10">
        <v>68271</v>
      </c>
      <c r="U2785" s="10">
        <v>1638</v>
      </c>
    </row>
    <row r="2786" spans="1:21" x14ac:dyDescent="0.35">
      <c r="A2786" t="s">
        <v>15</v>
      </c>
      <c r="B2786" t="s">
        <v>16</v>
      </c>
      <c r="C2786" t="s">
        <v>17</v>
      </c>
      <c r="D2786">
        <v>275296</v>
      </c>
      <c r="E2786">
        <v>20881</v>
      </c>
      <c r="F2786">
        <v>60044</v>
      </c>
      <c r="G2786">
        <v>-274502</v>
      </c>
      <c r="H2786">
        <v>81719</v>
      </c>
      <c r="I2786">
        <v>80411</v>
      </c>
      <c r="J2786">
        <v>1227</v>
      </c>
      <c r="K2786">
        <v>922044</v>
      </c>
      <c r="L2786">
        <v>303470</v>
      </c>
      <c r="M2786">
        <v>-202925</v>
      </c>
      <c r="N2786">
        <v>111439</v>
      </c>
      <c r="O2786" t="s">
        <v>2804</v>
      </c>
      <c r="P2786" s="9">
        <v>257554</v>
      </c>
      <c r="Q2786" s="9">
        <v>24894</v>
      </c>
      <c r="R2786" s="9">
        <v>282448</v>
      </c>
      <c r="S2786" s="9">
        <v>-137450</v>
      </c>
      <c r="T2786" s="10">
        <v>59611</v>
      </c>
      <c r="U2786" s="10">
        <v>1321</v>
      </c>
    </row>
    <row r="2787" spans="1:21" x14ac:dyDescent="0.35">
      <c r="A2787" t="s">
        <v>15</v>
      </c>
      <c r="B2787" t="s">
        <v>16</v>
      </c>
      <c r="C2787" t="s">
        <v>17</v>
      </c>
      <c r="D2787">
        <v>299886</v>
      </c>
      <c r="E2787">
        <v>53230</v>
      </c>
      <c r="F2787">
        <v>67714</v>
      </c>
      <c r="G2787">
        <v>-286290</v>
      </c>
      <c r="H2787">
        <v>134540</v>
      </c>
      <c r="I2787">
        <v>132605</v>
      </c>
      <c r="J2787">
        <v>1822</v>
      </c>
      <c r="K2787">
        <v>742965</v>
      </c>
      <c r="L2787">
        <v>96676</v>
      </c>
      <c r="M2787">
        <v>-216748</v>
      </c>
      <c r="N2787">
        <v>170768</v>
      </c>
      <c r="O2787" t="s">
        <v>2805</v>
      </c>
      <c r="P2787" s="9">
        <v>236350</v>
      </c>
      <c r="Q2787" s="9">
        <v>23162</v>
      </c>
      <c r="R2787" s="9">
        <v>259512</v>
      </c>
      <c r="S2787" s="9">
        <v>-148516</v>
      </c>
      <c r="T2787" s="10">
        <v>90276</v>
      </c>
      <c r="U2787" s="10">
        <v>909</v>
      </c>
    </row>
    <row r="2788" spans="1:21" x14ac:dyDescent="0.35">
      <c r="A2788" t="s">
        <v>15</v>
      </c>
      <c r="B2788" t="s">
        <v>20</v>
      </c>
      <c r="C2788" t="s">
        <v>21</v>
      </c>
      <c r="D2788">
        <v>236926</v>
      </c>
      <c r="E2788">
        <v>40146</v>
      </c>
      <c r="F2788">
        <v>35692</v>
      </c>
      <c r="G2788">
        <v>-192409</v>
      </c>
      <c r="H2788">
        <v>120355</v>
      </c>
      <c r="I2788">
        <v>121972</v>
      </c>
      <c r="J2788">
        <v>2700</v>
      </c>
      <c r="K2788">
        <v>657612</v>
      </c>
      <c r="L2788">
        <v>187481</v>
      </c>
      <c r="M2788">
        <v>-246044</v>
      </c>
      <c r="N2788">
        <v>174171</v>
      </c>
      <c r="O2788" t="s">
        <v>2806</v>
      </c>
      <c r="P2788" s="9">
        <v>208341</v>
      </c>
      <c r="Q2788" s="9">
        <v>22315</v>
      </c>
      <c r="R2788" s="9">
        <v>230656</v>
      </c>
      <c r="S2788" s="9">
        <v>-123089</v>
      </c>
      <c r="T2788" s="10">
        <v>68702</v>
      </c>
      <c r="U2788" s="10">
        <v>1925</v>
      </c>
    </row>
    <row r="2789" spans="1:21" x14ac:dyDescent="0.35">
      <c r="A2789" t="s">
        <v>15</v>
      </c>
      <c r="B2789" t="s">
        <v>20</v>
      </c>
      <c r="C2789" t="s">
        <v>21</v>
      </c>
      <c r="D2789">
        <v>274046</v>
      </c>
      <c r="E2789">
        <v>45342</v>
      </c>
      <c r="F2789">
        <v>40007</v>
      </c>
      <c r="G2789">
        <v>-240396</v>
      </c>
      <c r="H2789">
        <v>118999</v>
      </c>
      <c r="I2789">
        <v>123506</v>
      </c>
      <c r="J2789">
        <v>3090</v>
      </c>
      <c r="K2789">
        <v>931959</v>
      </c>
      <c r="L2789">
        <v>315933</v>
      </c>
      <c r="M2789">
        <v>-140285</v>
      </c>
      <c r="N2789">
        <v>145842</v>
      </c>
      <c r="O2789" t="s">
        <v>2807</v>
      </c>
      <c r="P2789" s="9">
        <v>222849</v>
      </c>
      <c r="Q2789" s="9">
        <v>12254</v>
      </c>
      <c r="R2789" s="9">
        <v>235103</v>
      </c>
      <c r="S2789" s="9">
        <v>-79708</v>
      </c>
      <c r="T2789" s="10">
        <v>72169</v>
      </c>
      <c r="U2789" s="10">
        <v>2046</v>
      </c>
    </row>
    <row r="2790" spans="1:21" x14ac:dyDescent="0.35">
      <c r="A2790" t="s">
        <v>15</v>
      </c>
      <c r="B2790" t="s">
        <v>16</v>
      </c>
      <c r="C2790" t="s">
        <v>21</v>
      </c>
      <c r="D2790">
        <v>243216</v>
      </c>
      <c r="E2790">
        <v>16229</v>
      </c>
      <c r="F2790">
        <v>50473</v>
      </c>
      <c r="G2790">
        <v>-225289</v>
      </c>
      <c r="H2790">
        <v>84629</v>
      </c>
      <c r="I2790">
        <v>76507</v>
      </c>
      <c r="J2790">
        <v>1180</v>
      </c>
      <c r="K2790">
        <v>741858</v>
      </c>
      <c r="L2790">
        <v>276475</v>
      </c>
      <c r="M2790">
        <v>-287827</v>
      </c>
      <c r="N2790">
        <v>89865</v>
      </c>
      <c r="O2790" t="s">
        <v>2808</v>
      </c>
      <c r="P2790" s="9">
        <v>242699</v>
      </c>
      <c r="Q2790" s="9">
        <v>40631</v>
      </c>
      <c r="R2790" s="9">
        <v>283330</v>
      </c>
      <c r="S2790" s="9">
        <v>-111700</v>
      </c>
      <c r="T2790" s="10">
        <v>85611</v>
      </c>
      <c r="U2790" s="10">
        <v>1396</v>
      </c>
    </row>
    <row r="2791" spans="1:21" x14ac:dyDescent="0.35">
      <c r="A2791" t="s">
        <v>15</v>
      </c>
      <c r="B2791" t="s">
        <v>20</v>
      </c>
      <c r="C2791" t="s">
        <v>21</v>
      </c>
      <c r="D2791">
        <v>262793</v>
      </c>
      <c r="E2791">
        <v>43290</v>
      </c>
      <c r="F2791">
        <v>38954</v>
      </c>
      <c r="G2791">
        <v>-211333</v>
      </c>
      <c r="H2791">
        <v>133704</v>
      </c>
      <c r="I2791">
        <v>138733</v>
      </c>
      <c r="J2791">
        <v>4045</v>
      </c>
      <c r="K2791">
        <v>817944</v>
      </c>
      <c r="L2791">
        <v>308543</v>
      </c>
      <c r="M2791">
        <v>-230597</v>
      </c>
      <c r="N2791">
        <v>99757</v>
      </c>
      <c r="O2791" t="s">
        <v>2809</v>
      </c>
      <c r="P2791" s="9">
        <v>252135</v>
      </c>
      <c r="Q2791" s="9">
        <v>39087</v>
      </c>
      <c r="R2791" s="9">
        <v>291222</v>
      </c>
      <c r="S2791" s="9">
        <v>-65611</v>
      </c>
      <c r="T2791" s="10">
        <v>122631</v>
      </c>
      <c r="U2791" s="10">
        <v>1680</v>
      </c>
    </row>
    <row r="2792" spans="1:21" x14ac:dyDescent="0.35">
      <c r="A2792" t="s">
        <v>15</v>
      </c>
      <c r="B2792" t="s">
        <v>16</v>
      </c>
      <c r="C2792" t="s">
        <v>21</v>
      </c>
      <c r="D2792">
        <v>160591</v>
      </c>
      <c r="E2792">
        <v>14891</v>
      </c>
      <c r="F2792">
        <v>20345</v>
      </c>
      <c r="G2792">
        <v>-147141</v>
      </c>
      <c r="H2792">
        <v>48686</v>
      </c>
      <c r="I2792">
        <v>48572</v>
      </c>
      <c r="J2792">
        <v>1431</v>
      </c>
      <c r="K2792">
        <v>399296</v>
      </c>
      <c r="L2792">
        <v>128914</v>
      </c>
      <c r="M2792">
        <v>-154154</v>
      </c>
      <c r="N2792">
        <v>67433</v>
      </c>
      <c r="O2792" t="s">
        <v>2810</v>
      </c>
      <c r="P2792" s="9">
        <v>231426</v>
      </c>
      <c r="Q2792" s="9">
        <v>28605</v>
      </c>
      <c r="R2792" s="9">
        <v>260031</v>
      </c>
      <c r="S2792" s="9">
        <v>-96484</v>
      </c>
      <c r="T2792" s="10">
        <v>81640</v>
      </c>
      <c r="U2792" s="10">
        <v>1355</v>
      </c>
    </row>
    <row r="2793" spans="1:21" x14ac:dyDescent="0.35">
      <c r="A2793" t="s">
        <v>15</v>
      </c>
      <c r="B2793" t="s">
        <v>16</v>
      </c>
      <c r="C2793" t="s">
        <v>21</v>
      </c>
      <c r="D2793">
        <v>258839</v>
      </c>
      <c r="E2793">
        <v>48016</v>
      </c>
      <c r="F2793">
        <v>53601</v>
      </c>
      <c r="G2793">
        <v>-231766</v>
      </c>
      <c r="H2793">
        <v>128690</v>
      </c>
      <c r="I2793">
        <v>132853</v>
      </c>
      <c r="J2793">
        <v>2659</v>
      </c>
      <c r="K2793">
        <v>664816</v>
      </c>
      <c r="L2793">
        <v>112659</v>
      </c>
      <c r="M2793">
        <v>-211182</v>
      </c>
      <c r="N2793">
        <v>115581</v>
      </c>
      <c r="O2793" t="s">
        <v>2811</v>
      </c>
      <c r="P2793" s="9">
        <v>281848</v>
      </c>
      <c r="Q2793" s="9">
        <v>38215</v>
      </c>
      <c r="R2793" s="9">
        <v>320063</v>
      </c>
      <c r="S2793" s="9">
        <v>-93480</v>
      </c>
      <c r="T2793" s="10">
        <v>137473</v>
      </c>
      <c r="U2793" s="10">
        <v>2815</v>
      </c>
    </row>
    <row r="2794" spans="1:21" x14ac:dyDescent="0.35">
      <c r="A2794" t="s">
        <v>15</v>
      </c>
      <c r="B2794" t="s">
        <v>16</v>
      </c>
      <c r="C2794" t="s">
        <v>21</v>
      </c>
      <c r="D2794">
        <v>259578</v>
      </c>
      <c r="E2794">
        <v>20506</v>
      </c>
      <c r="F2794">
        <v>57903</v>
      </c>
      <c r="G2794">
        <v>-252389</v>
      </c>
      <c r="H2794">
        <v>85598</v>
      </c>
      <c r="I2794">
        <v>85449</v>
      </c>
      <c r="J2794">
        <v>976</v>
      </c>
      <c r="K2794">
        <v>1021341</v>
      </c>
      <c r="L2794">
        <v>425401</v>
      </c>
      <c r="M2794">
        <v>-264788</v>
      </c>
      <c r="N2794">
        <v>180121</v>
      </c>
      <c r="O2794" t="s">
        <v>2812</v>
      </c>
      <c r="P2794" s="9">
        <v>215883</v>
      </c>
      <c r="Q2794" s="9">
        <v>10018</v>
      </c>
      <c r="R2794" s="9">
        <v>225901</v>
      </c>
      <c r="S2794" s="9">
        <v>-62992</v>
      </c>
      <c r="T2794" s="10">
        <v>75099</v>
      </c>
      <c r="U2794" s="10">
        <v>1001</v>
      </c>
    </row>
    <row r="2795" spans="1:21" x14ac:dyDescent="0.35">
      <c r="A2795" t="s">
        <v>15</v>
      </c>
      <c r="B2795" t="s">
        <v>16</v>
      </c>
      <c r="C2795" t="s">
        <v>21</v>
      </c>
      <c r="D2795">
        <v>203986</v>
      </c>
      <c r="E2795">
        <v>19662</v>
      </c>
      <c r="F2795">
        <v>21981</v>
      </c>
      <c r="G2795">
        <v>-171508</v>
      </c>
      <c r="H2795">
        <v>74121</v>
      </c>
      <c r="I2795">
        <v>73780</v>
      </c>
      <c r="J2795">
        <v>1678</v>
      </c>
      <c r="K2795">
        <v>594966</v>
      </c>
      <c r="L2795">
        <v>111391</v>
      </c>
      <c r="M2795">
        <v>-121854</v>
      </c>
      <c r="N2795">
        <v>82480</v>
      </c>
      <c r="O2795" t="s">
        <v>2813</v>
      </c>
      <c r="P2795" s="9">
        <v>232460</v>
      </c>
      <c r="Q2795" s="9">
        <v>16627</v>
      </c>
      <c r="R2795" s="9">
        <v>249087</v>
      </c>
      <c r="S2795" s="9">
        <v>-84854</v>
      </c>
      <c r="T2795" s="10">
        <v>105473</v>
      </c>
      <c r="U2795" s="10">
        <v>1266</v>
      </c>
    </row>
    <row r="2796" spans="1:21" x14ac:dyDescent="0.35">
      <c r="A2796" t="s">
        <v>15</v>
      </c>
      <c r="B2796" t="s">
        <v>16</v>
      </c>
      <c r="C2796" t="s">
        <v>21</v>
      </c>
      <c r="D2796">
        <v>239845</v>
      </c>
      <c r="E2796">
        <v>35654</v>
      </c>
      <c r="F2796">
        <v>27976</v>
      </c>
      <c r="G2796">
        <v>-216515</v>
      </c>
      <c r="H2796">
        <v>86960</v>
      </c>
      <c r="I2796">
        <v>89397</v>
      </c>
      <c r="J2796">
        <v>2210</v>
      </c>
      <c r="K2796">
        <v>773309</v>
      </c>
      <c r="L2796">
        <v>136459</v>
      </c>
      <c r="M2796">
        <v>-256803</v>
      </c>
      <c r="N2796">
        <v>107663</v>
      </c>
      <c r="O2796" t="s">
        <v>2814</v>
      </c>
      <c r="P2796" s="9">
        <v>243792</v>
      </c>
      <c r="Q2796" s="9">
        <v>35503</v>
      </c>
      <c r="R2796" s="9">
        <v>279295</v>
      </c>
      <c r="S2796" s="9">
        <v>-158022</v>
      </c>
      <c r="T2796" s="10">
        <v>92402</v>
      </c>
      <c r="U2796" s="10">
        <v>2204</v>
      </c>
    </row>
    <row r="2797" spans="1:21" x14ac:dyDescent="0.35">
      <c r="A2797" t="s">
        <v>15</v>
      </c>
      <c r="B2797" t="s">
        <v>16</v>
      </c>
      <c r="C2797" t="s">
        <v>17</v>
      </c>
      <c r="D2797">
        <v>293838</v>
      </c>
      <c r="E2797">
        <v>35488</v>
      </c>
      <c r="F2797">
        <v>33314</v>
      </c>
      <c r="G2797">
        <v>-272176</v>
      </c>
      <c r="H2797">
        <v>90464</v>
      </c>
      <c r="I2797">
        <v>89260</v>
      </c>
      <c r="J2797">
        <v>1882</v>
      </c>
      <c r="K2797">
        <v>1127420</v>
      </c>
      <c r="L2797">
        <v>223025</v>
      </c>
      <c r="M2797">
        <v>-393577</v>
      </c>
      <c r="N2797">
        <v>228745</v>
      </c>
      <c r="O2797" t="s">
        <v>2815</v>
      </c>
      <c r="P2797" s="9">
        <v>239671</v>
      </c>
      <c r="Q2797" s="9">
        <v>18187</v>
      </c>
      <c r="R2797" s="9">
        <v>257858</v>
      </c>
      <c r="S2797" s="9">
        <v>-95595</v>
      </c>
      <c r="T2797" s="10">
        <v>99523</v>
      </c>
      <c r="U2797" s="10">
        <v>2732</v>
      </c>
    </row>
    <row r="2798" spans="1:21" x14ac:dyDescent="0.35">
      <c r="A2798" t="s">
        <v>15</v>
      </c>
      <c r="B2798" t="s">
        <v>16</v>
      </c>
      <c r="C2798" t="s">
        <v>17</v>
      </c>
      <c r="D2798">
        <v>216720</v>
      </c>
      <c r="E2798">
        <v>38631</v>
      </c>
      <c r="F2798">
        <v>35656</v>
      </c>
      <c r="G2798">
        <v>-209832</v>
      </c>
      <c r="H2798">
        <v>81175</v>
      </c>
      <c r="I2798">
        <v>82976</v>
      </c>
      <c r="J2798">
        <v>1364</v>
      </c>
      <c r="K2798">
        <v>485529</v>
      </c>
      <c r="L2798">
        <v>75196</v>
      </c>
      <c r="M2798">
        <v>-110325</v>
      </c>
      <c r="N2798">
        <v>179755</v>
      </c>
      <c r="O2798" t="s">
        <v>2816</v>
      </c>
      <c r="P2798" s="9">
        <v>308417</v>
      </c>
      <c r="Q2798" s="9">
        <v>34846</v>
      </c>
      <c r="R2798" s="9">
        <v>343263</v>
      </c>
      <c r="S2798" s="9">
        <v>-138970</v>
      </c>
      <c r="T2798" s="10">
        <v>105592</v>
      </c>
      <c r="U2798" s="10">
        <v>2748</v>
      </c>
    </row>
    <row r="2799" spans="1:21" x14ac:dyDescent="0.35">
      <c r="A2799" t="s">
        <v>15</v>
      </c>
      <c r="B2799" t="s">
        <v>16</v>
      </c>
      <c r="C2799" t="s">
        <v>21</v>
      </c>
      <c r="D2799">
        <v>155382</v>
      </c>
      <c r="E2799">
        <v>18567</v>
      </c>
      <c r="F2799">
        <v>21973</v>
      </c>
      <c r="G2799">
        <v>-151425</v>
      </c>
      <c r="H2799">
        <v>44497</v>
      </c>
      <c r="I2799">
        <v>45339</v>
      </c>
      <c r="J2799">
        <v>994</v>
      </c>
      <c r="K2799">
        <v>549716</v>
      </c>
      <c r="L2799">
        <v>86588</v>
      </c>
      <c r="M2799">
        <v>-87394</v>
      </c>
      <c r="N2799">
        <v>63536</v>
      </c>
      <c r="O2799" t="s">
        <v>2817</v>
      </c>
      <c r="P2799" s="9">
        <v>203165</v>
      </c>
      <c r="Q2799" s="9">
        <v>22865</v>
      </c>
      <c r="R2799" s="9">
        <v>226030</v>
      </c>
      <c r="S2799" s="9">
        <v>-75873</v>
      </c>
      <c r="T2799" s="10">
        <v>70316</v>
      </c>
      <c r="U2799" s="10">
        <v>912</v>
      </c>
    </row>
    <row r="2800" spans="1:21" x14ac:dyDescent="0.35">
      <c r="A2800" t="s">
        <v>15</v>
      </c>
      <c r="B2800" t="s">
        <v>20</v>
      </c>
      <c r="C2800" t="s">
        <v>21</v>
      </c>
      <c r="D2800">
        <v>160381</v>
      </c>
      <c r="E2800">
        <v>9348</v>
      </c>
      <c r="F2800">
        <v>33277</v>
      </c>
      <c r="G2800">
        <v>-133614</v>
      </c>
      <c r="H2800">
        <v>69392</v>
      </c>
      <c r="I2800">
        <v>70342</v>
      </c>
      <c r="J2800">
        <v>1771</v>
      </c>
      <c r="K2800">
        <v>452309</v>
      </c>
      <c r="L2800">
        <v>191054</v>
      </c>
      <c r="M2800">
        <v>-94043</v>
      </c>
      <c r="N2800">
        <v>58674</v>
      </c>
      <c r="O2800" t="s">
        <v>2818</v>
      </c>
      <c r="P2800" s="9">
        <v>215907</v>
      </c>
      <c r="Q2800" s="9">
        <v>37996</v>
      </c>
      <c r="R2800" s="9">
        <v>253903</v>
      </c>
      <c r="S2800" s="9">
        <v>-81355</v>
      </c>
      <c r="T2800" s="10">
        <v>95929</v>
      </c>
      <c r="U2800" s="10">
        <v>1420</v>
      </c>
    </row>
    <row r="2801" spans="1:21" x14ac:dyDescent="0.35">
      <c r="A2801" t="s">
        <v>15</v>
      </c>
      <c r="B2801" t="s">
        <v>16</v>
      </c>
      <c r="C2801" t="s">
        <v>21</v>
      </c>
      <c r="D2801">
        <v>166390</v>
      </c>
      <c r="E2801">
        <v>31825</v>
      </c>
      <c r="F2801">
        <v>36675</v>
      </c>
      <c r="G2801">
        <v>-156184</v>
      </c>
      <c r="H2801">
        <v>78706</v>
      </c>
      <c r="I2801">
        <v>76928</v>
      </c>
      <c r="J2801">
        <v>1074</v>
      </c>
      <c r="K2801">
        <v>347758</v>
      </c>
      <c r="L2801">
        <v>75774</v>
      </c>
      <c r="M2801">
        <v>-135653</v>
      </c>
      <c r="N2801">
        <v>126540</v>
      </c>
      <c r="O2801" t="s">
        <v>2819</v>
      </c>
      <c r="P2801" s="9">
        <v>204989</v>
      </c>
      <c r="Q2801" s="9">
        <v>13766</v>
      </c>
      <c r="R2801" s="9">
        <v>218755</v>
      </c>
      <c r="S2801" s="9">
        <v>-71549</v>
      </c>
      <c r="T2801" s="10">
        <v>98110</v>
      </c>
      <c r="U2801" s="10">
        <v>2644</v>
      </c>
    </row>
    <row r="2802" spans="1:21" x14ac:dyDescent="0.35">
      <c r="A2802" t="s">
        <v>15</v>
      </c>
      <c r="B2802" t="s">
        <v>20</v>
      </c>
      <c r="C2802" t="s">
        <v>21</v>
      </c>
      <c r="D2802">
        <v>233228</v>
      </c>
      <c r="E2802">
        <v>15360</v>
      </c>
      <c r="F2802">
        <v>29291</v>
      </c>
      <c r="G2802">
        <v>-194018</v>
      </c>
      <c r="H2802">
        <v>83861</v>
      </c>
      <c r="I2802">
        <v>84003</v>
      </c>
      <c r="J2802">
        <v>931</v>
      </c>
      <c r="K2802">
        <v>835315</v>
      </c>
      <c r="L2802">
        <v>175176</v>
      </c>
      <c r="M2802">
        <v>-103834</v>
      </c>
      <c r="N2802">
        <v>184286</v>
      </c>
      <c r="O2802" t="s">
        <v>2820</v>
      </c>
      <c r="P2802" s="9">
        <v>145371</v>
      </c>
      <c r="Q2802" s="9">
        <v>21357</v>
      </c>
      <c r="R2802" s="9">
        <v>166728</v>
      </c>
      <c r="S2802" s="9">
        <v>-42640</v>
      </c>
      <c r="T2802" s="10">
        <v>71342</v>
      </c>
      <c r="U2802" s="10">
        <v>1418</v>
      </c>
    </row>
    <row r="2803" spans="1:21" x14ac:dyDescent="0.35">
      <c r="A2803" t="s">
        <v>15</v>
      </c>
      <c r="B2803" t="s">
        <v>20</v>
      </c>
      <c r="C2803" t="s">
        <v>21</v>
      </c>
      <c r="D2803">
        <v>273848</v>
      </c>
      <c r="E2803">
        <v>43078</v>
      </c>
      <c r="F2803">
        <v>28954</v>
      </c>
      <c r="G2803">
        <v>-224602</v>
      </c>
      <c r="H2803">
        <v>121278</v>
      </c>
      <c r="I2803">
        <v>119293</v>
      </c>
      <c r="J2803">
        <v>3511</v>
      </c>
      <c r="K2803">
        <v>819513</v>
      </c>
      <c r="L2803">
        <v>219534</v>
      </c>
      <c r="M2803">
        <v>-140932</v>
      </c>
      <c r="N2803">
        <v>133010</v>
      </c>
      <c r="O2803" t="s">
        <v>2821</v>
      </c>
      <c r="P2803" s="9">
        <v>153573</v>
      </c>
      <c r="Q2803" s="9">
        <v>12704</v>
      </c>
      <c r="R2803" s="9">
        <v>166277</v>
      </c>
      <c r="S2803" s="9">
        <v>-78005</v>
      </c>
      <c r="T2803" s="10">
        <v>60150</v>
      </c>
      <c r="U2803" s="10">
        <v>728</v>
      </c>
    </row>
    <row r="2804" spans="1:21" x14ac:dyDescent="0.35">
      <c r="A2804" t="s">
        <v>15</v>
      </c>
      <c r="B2804" t="s">
        <v>16</v>
      </c>
      <c r="C2804" t="s">
        <v>21</v>
      </c>
      <c r="D2804">
        <v>235295</v>
      </c>
      <c r="E2804">
        <v>17774</v>
      </c>
      <c r="F2804">
        <v>31189</v>
      </c>
      <c r="G2804">
        <v>-194053</v>
      </c>
      <c r="H2804">
        <v>90205</v>
      </c>
      <c r="I2804">
        <v>85838</v>
      </c>
      <c r="J2804">
        <v>1008</v>
      </c>
      <c r="K2804">
        <v>883461</v>
      </c>
      <c r="L2804">
        <v>393456</v>
      </c>
      <c r="M2804">
        <v>-238388</v>
      </c>
      <c r="N2804">
        <v>181224</v>
      </c>
      <c r="O2804" t="s">
        <v>2822</v>
      </c>
      <c r="P2804" s="9">
        <v>208787</v>
      </c>
      <c r="Q2804" s="9">
        <v>25105</v>
      </c>
      <c r="R2804" s="9">
        <v>233892</v>
      </c>
      <c r="S2804" s="9">
        <v>-89408</v>
      </c>
      <c r="T2804" s="10">
        <v>100876</v>
      </c>
      <c r="U2804" s="10">
        <v>1577</v>
      </c>
    </row>
    <row r="2805" spans="1:21" x14ac:dyDescent="0.35">
      <c r="A2805" t="s">
        <v>15</v>
      </c>
      <c r="B2805" t="s">
        <v>16</v>
      </c>
      <c r="C2805" t="s">
        <v>21</v>
      </c>
      <c r="D2805">
        <v>258206</v>
      </c>
      <c r="E2805">
        <v>18926</v>
      </c>
      <c r="F2805">
        <v>42454</v>
      </c>
      <c r="G2805">
        <v>-231566</v>
      </c>
      <c r="H2805">
        <v>88020</v>
      </c>
      <c r="I2805">
        <v>84243</v>
      </c>
      <c r="J2805">
        <v>1297</v>
      </c>
      <c r="K2805">
        <v>721511</v>
      </c>
      <c r="L2805">
        <v>130230</v>
      </c>
      <c r="M2805">
        <v>-223914</v>
      </c>
      <c r="N2805">
        <v>217337</v>
      </c>
      <c r="O2805" t="s">
        <v>2823</v>
      </c>
      <c r="P2805" s="9">
        <v>304202</v>
      </c>
      <c r="Q2805" s="9">
        <v>28083</v>
      </c>
      <c r="R2805" s="9">
        <v>332285</v>
      </c>
      <c r="S2805" s="9">
        <v>-71366</v>
      </c>
      <c r="T2805" s="10">
        <v>93391</v>
      </c>
      <c r="U2805" s="10">
        <v>1164</v>
      </c>
    </row>
    <row r="2806" spans="1:21" x14ac:dyDescent="0.35">
      <c r="A2806" t="s">
        <v>15</v>
      </c>
      <c r="B2806" t="s">
        <v>20</v>
      </c>
      <c r="C2806" t="s">
        <v>21</v>
      </c>
      <c r="D2806">
        <v>160389</v>
      </c>
      <c r="E2806">
        <v>28194</v>
      </c>
      <c r="F2806">
        <v>25626</v>
      </c>
      <c r="G2806">
        <v>-154508</v>
      </c>
      <c r="H2806">
        <v>59701</v>
      </c>
      <c r="I2806">
        <v>55971</v>
      </c>
      <c r="J2806">
        <v>1096</v>
      </c>
      <c r="K2806">
        <v>408487</v>
      </c>
      <c r="L2806">
        <v>46738</v>
      </c>
      <c r="M2806">
        <v>-62031</v>
      </c>
      <c r="N2806">
        <v>131206</v>
      </c>
      <c r="O2806" t="s">
        <v>2824</v>
      </c>
      <c r="P2806" s="9">
        <v>268433</v>
      </c>
      <c r="Q2806" s="9">
        <v>15962</v>
      </c>
      <c r="R2806" s="9">
        <v>284395</v>
      </c>
      <c r="S2806" s="9">
        <v>-103871</v>
      </c>
      <c r="T2806" s="10">
        <v>74704</v>
      </c>
      <c r="U2806" s="10">
        <v>2011</v>
      </c>
    </row>
    <row r="2807" spans="1:21" x14ac:dyDescent="0.35">
      <c r="A2807" t="s">
        <v>15</v>
      </c>
      <c r="B2807" t="s">
        <v>20</v>
      </c>
      <c r="C2807" t="s">
        <v>17</v>
      </c>
      <c r="D2807">
        <v>179870</v>
      </c>
      <c r="E2807">
        <v>18872</v>
      </c>
      <c r="F2807">
        <v>23520</v>
      </c>
      <c r="G2807">
        <v>-154659</v>
      </c>
      <c r="H2807">
        <v>67603</v>
      </c>
      <c r="I2807">
        <v>64375</v>
      </c>
      <c r="J2807">
        <v>1202</v>
      </c>
      <c r="K2807">
        <v>439466</v>
      </c>
      <c r="L2807">
        <v>183567</v>
      </c>
      <c r="M2807">
        <v>-48368</v>
      </c>
      <c r="N2807">
        <v>129494</v>
      </c>
      <c r="O2807" t="s">
        <v>2825</v>
      </c>
      <c r="P2807" s="9">
        <v>184289</v>
      </c>
      <c r="Q2807" s="9">
        <v>21415</v>
      </c>
      <c r="R2807" s="9">
        <v>205704</v>
      </c>
      <c r="S2807" s="9">
        <v>-74524</v>
      </c>
      <c r="T2807" s="10">
        <v>82626</v>
      </c>
      <c r="U2807" s="10">
        <v>889</v>
      </c>
    </row>
    <row r="2808" spans="1:21" x14ac:dyDescent="0.35">
      <c r="A2808" t="s">
        <v>15</v>
      </c>
      <c r="B2808" t="s">
        <v>20</v>
      </c>
      <c r="C2808" t="s">
        <v>21</v>
      </c>
      <c r="D2808">
        <v>223029</v>
      </c>
      <c r="E2808">
        <v>19474</v>
      </c>
      <c r="F2808">
        <v>32736</v>
      </c>
      <c r="G2808">
        <v>-202137</v>
      </c>
      <c r="H2808">
        <v>73102</v>
      </c>
      <c r="I2808">
        <v>68421</v>
      </c>
      <c r="J2808">
        <v>789</v>
      </c>
      <c r="K2808">
        <v>870124</v>
      </c>
      <c r="L2808">
        <v>355236</v>
      </c>
      <c r="M2808">
        <v>-198290</v>
      </c>
      <c r="N2808">
        <v>185089</v>
      </c>
      <c r="O2808" t="s">
        <v>2826</v>
      </c>
      <c r="P2808" s="9">
        <v>239571</v>
      </c>
      <c r="Q2808" s="9">
        <v>47226</v>
      </c>
      <c r="R2808" s="9">
        <v>286797</v>
      </c>
      <c r="S2808" s="9">
        <v>-62360</v>
      </c>
      <c r="T2808" s="10">
        <v>105235</v>
      </c>
      <c r="U2808" s="10">
        <v>2901</v>
      </c>
    </row>
    <row r="2809" spans="1:21" x14ac:dyDescent="0.35">
      <c r="A2809" t="s">
        <v>15</v>
      </c>
      <c r="B2809" t="s">
        <v>16</v>
      </c>
      <c r="C2809" t="s">
        <v>17</v>
      </c>
      <c r="D2809">
        <v>210184</v>
      </c>
      <c r="E2809">
        <v>24190</v>
      </c>
      <c r="F2809">
        <v>48244</v>
      </c>
      <c r="G2809">
        <v>-183135</v>
      </c>
      <c r="H2809">
        <v>99483</v>
      </c>
      <c r="I2809">
        <v>94008</v>
      </c>
      <c r="J2809">
        <v>2786</v>
      </c>
      <c r="K2809">
        <v>755661</v>
      </c>
      <c r="L2809">
        <v>200755</v>
      </c>
      <c r="M2809">
        <v>-277569</v>
      </c>
      <c r="N2809">
        <v>182261</v>
      </c>
      <c r="O2809" t="s">
        <v>2827</v>
      </c>
      <c r="P2809" s="9">
        <v>272873</v>
      </c>
      <c r="Q2809" s="9">
        <v>49423</v>
      </c>
      <c r="R2809" s="9">
        <v>322296</v>
      </c>
      <c r="S2809" s="9">
        <v>-156689</v>
      </c>
      <c r="T2809" s="10">
        <v>90001</v>
      </c>
      <c r="U2809" s="10">
        <v>2213</v>
      </c>
    </row>
    <row r="2810" spans="1:21" x14ac:dyDescent="0.35">
      <c r="A2810" t="s">
        <v>15</v>
      </c>
      <c r="B2810" t="s">
        <v>16</v>
      </c>
      <c r="C2810" t="s">
        <v>17</v>
      </c>
      <c r="D2810">
        <v>197957</v>
      </c>
      <c r="E2810">
        <v>38129</v>
      </c>
      <c r="F2810">
        <v>37047</v>
      </c>
      <c r="G2810">
        <v>-193372</v>
      </c>
      <c r="H2810">
        <v>79761</v>
      </c>
      <c r="I2810">
        <v>79715</v>
      </c>
      <c r="J2810">
        <v>1786</v>
      </c>
      <c r="K2810">
        <v>444509</v>
      </c>
      <c r="L2810">
        <v>222032</v>
      </c>
      <c r="M2810">
        <v>-103045</v>
      </c>
      <c r="N2810">
        <v>64438</v>
      </c>
      <c r="O2810" t="s">
        <v>2828</v>
      </c>
      <c r="P2810" s="9">
        <v>159288</v>
      </c>
      <c r="Q2810" s="9">
        <v>18396</v>
      </c>
      <c r="R2810" s="9">
        <v>177684</v>
      </c>
      <c r="S2810" s="9">
        <v>-95766</v>
      </c>
      <c r="T2810" s="10">
        <v>36954</v>
      </c>
      <c r="U2810" s="10">
        <v>760</v>
      </c>
    </row>
    <row r="2811" spans="1:21" x14ac:dyDescent="0.35">
      <c r="A2811" t="s">
        <v>15</v>
      </c>
      <c r="B2811" t="s">
        <v>16</v>
      </c>
      <c r="C2811" t="s">
        <v>21</v>
      </c>
      <c r="D2811">
        <v>261431</v>
      </c>
      <c r="E2811">
        <v>16547</v>
      </c>
      <c r="F2811">
        <v>30567</v>
      </c>
      <c r="G2811">
        <v>-233067</v>
      </c>
      <c r="H2811">
        <v>75478</v>
      </c>
      <c r="I2811">
        <v>73914</v>
      </c>
      <c r="J2811">
        <v>1483</v>
      </c>
      <c r="K2811">
        <v>636758</v>
      </c>
      <c r="L2811">
        <v>310456</v>
      </c>
      <c r="M2811">
        <v>-140381</v>
      </c>
      <c r="N2811">
        <v>220873</v>
      </c>
      <c r="O2811" t="s">
        <v>2829</v>
      </c>
      <c r="P2811" s="9">
        <v>231515</v>
      </c>
      <c r="Q2811" s="9">
        <v>13284</v>
      </c>
      <c r="R2811" s="9">
        <v>244799</v>
      </c>
      <c r="S2811" s="9">
        <v>-85764</v>
      </c>
      <c r="T2811" s="10">
        <v>81294</v>
      </c>
      <c r="U2811" s="10">
        <v>1897</v>
      </c>
    </row>
    <row r="2812" spans="1:21" x14ac:dyDescent="0.35">
      <c r="A2812" t="s">
        <v>15</v>
      </c>
      <c r="B2812" t="s">
        <v>16</v>
      </c>
      <c r="C2812" t="s">
        <v>21</v>
      </c>
      <c r="D2812">
        <v>205409</v>
      </c>
      <c r="E2812">
        <v>39126</v>
      </c>
      <c r="F2812">
        <v>33519</v>
      </c>
      <c r="G2812">
        <v>-179835</v>
      </c>
      <c r="H2812">
        <v>98219</v>
      </c>
      <c r="I2812">
        <v>93056</v>
      </c>
      <c r="J2812">
        <v>1810</v>
      </c>
      <c r="K2812">
        <v>544611</v>
      </c>
      <c r="L2812">
        <v>71407</v>
      </c>
      <c r="M2812">
        <v>-76263</v>
      </c>
      <c r="N2812">
        <v>166740</v>
      </c>
      <c r="O2812" t="s">
        <v>2830</v>
      </c>
      <c r="P2812" s="9">
        <v>171853</v>
      </c>
      <c r="Q2812" s="9">
        <v>18803</v>
      </c>
      <c r="R2812" s="9">
        <v>190656</v>
      </c>
      <c r="S2812" s="9">
        <v>-63431</v>
      </c>
      <c r="T2812" s="10">
        <v>72819</v>
      </c>
      <c r="U2812" s="10">
        <v>2169</v>
      </c>
    </row>
    <row r="2813" spans="1:21" x14ac:dyDescent="0.35">
      <c r="A2813" t="s">
        <v>15</v>
      </c>
      <c r="B2813" t="s">
        <v>16</v>
      </c>
      <c r="C2813" t="s">
        <v>21</v>
      </c>
      <c r="D2813">
        <v>182209</v>
      </c>
      <c r="E2813">
        <v>19488</v>
      </c>
      <c r="F2813">
        <v>34825</v>
      </c>
      <c r="G2813">
        <v>-165088</v>
      </c>
      <c r="H2813">
        <v>71434</v>
      </c>
      <c r="I2813">
        <v>64468</v>
      </c>
      <c r="J2813">
        <v>877</v>
      </c>
      <c r="K2813">
        <v>671286</v>
      </c>
      <c r="L2813">
        <v>190088</v>
      </c>
      <c r="M2813">
        <v>-159624</v>
      </c>
      <c r="N2813">
        <v>68784</v>
      </c>
      <c r="O2813" t="s">
        <v>2831</v>
      </c>
      <c r="P2813" s="9">
        <v>172432</v>
      </c>
      <c r="Q2813" s="9">
        <v>27059</v>
      </c>
      <c r="R2813" s="9">
        <v>199491</v>
      </c>
      <c r="S2813" s="9">
        <v>-95363</v>
      </c>
      <c r="T2813" s="10">
        <v>82779</v>
      </c>
      <c r="U2813" s="10">
        <v>922</v>
      </c>
    </row>
    <row r="2814" spans="1:21" x14ac:dyDescent="0.35">
      <c r="A2814" t="s">
        <v>15</v>
      </c>
      <c r="B2814" t="s">
        <v>20</v>
      </c>
      <c r="C2814" t="s">
        <v>21</v>
      </c>
      <c r="D2814">
        <v>195945</v>
      </c>
      <c r="E2814">
        <v>29993</v>
      </c>
      <c r="F2814">
        <v>35096</v>
      </c>
      <c r="G2814">
        <v>-159999</v>
      </c>
      <c r="H2814">
        <v>101035</v>
      </c>
      <c r="I2814">
        <v>105926</v>
      </c>
      <c r="J2814">
        <v>2598</v>
      </c>
      <c r="K2814">
        <v>736183</v>
      </c>
      <c r="L2814">
        <v>249152</v>
      </c>
      <c r="M2814">
        <v>-255449</v>
      </c>
      <c r="N2814">
        <v>151006</v>
      </c>
      <c r="O2814" t="s">
        <v>2832</v>
      </c>
      <c r="P2814" s="9">
        <v>177972</v>
      </c>
      <c r="Q2814" s="9">
        <v>22386</v>
      </c>
      <c r="R2814" s="9">
        <v>200358</v>
      </c>
      <c r="S2814" s="9">
        <v>-89329</v>
      </c>
      <c r="T2814" s="10">
        <v>87943</v>
      </c>
      <c r="U2814" s="10">
        <v>2397</v>
      </c>
    </row>
    <row r="2815" spans="1:21" x14ac:dyDescent="0.35">
      <c r="A2815" t="s">
        <v>15</v>
      </c>
      <c r="B2815" t="s">
        <v>16</v>
      </c>
      <c r="C2815" t="s">
        <v>17</v>
      </c>
      <c r="D2815">
        <v>210042</v>
      </c>
      <c r="E2815">
        <v>17713</v>
      </c>
      <c r="F2815">
        <v>36699</v>
      </c>
      <c r="G2815">
        <v>-203932</v>
      </c>
      <c r="H2815">
        <v>60522</v>
      </c>
      <c r="I2815">
        <v>54939</v>
      </c>
      <c r="J2815">
        <v>1623</v>
      </c>
      <c r="K2815">
        <v>687686</v>
      </c>
      <c r="L2815">
        <v>233798</v>
      </c>
      <c r="M2815">
        <v>-104550</v>
      </c>
      <c r="N2815">
        <v>102915</v>
      </c>
      <c r="O2815" t="s">
        <v>2833</v>
      </c>
      <c r="P2815" s="9">
        <v>160432</v>
      </c>
      <c r="Q2815" s="9">
        <v>34797</v>
      </c>
      <c r="R2815" s="9">
        <v>195229</v>
      </c>
      <c r="S2815" s="9">
        <v>-61223</v>
      </c>
      <c r="T2815" s="10">
        <v>78587</v>
      </c>
      <c r="U2815" s="10">
        <v>938</v>
      </c>
    </row>
    <row r="2816" spans="1:21" x14ac:dyDescent="0.35">
      <c r="A2816" t="s">
        <v>15</v>
      </c>
      <c r="B2816" t="s">
        <v>16</v>
      </c>
      <c r="C2816" t="s">
        <v>21</v>
      </c>
      <c r="D2816">
        <v>152839</v>
      </c>
      <c r="E2816">
        <v>8219</v>
      </c>
      <c r="F2816">
        <v>32460</v>
      </c>
      <c r="G2816">
        <v>-128474</v>
      </c>
      <c r="H2816">
        <v>65044</v>
      </c>
      <c r="I2816">
        <v>63303</v>
      </c>
      <c r="J2816">
        <v>1457</v>
      </c>
      <c r="K2816">
        <v>594905</v>
      </c>
      <c r="L2816">
        <v>199103</v>
      </c>
      <c r="M2816">
        <v>-137647</v>
      </c>
      <c r="N2816">
        <v>74271</v>
      </c>
      <c r="O2816" t="s">
        <v>2834</v>
      </c>
      <c r="P2816" s="9">
        <v>257482</v>
      </c>
      <c r="Q2816" s="9">
        <v>41580</v>
      </c>
      <c r="R2816" s="9">
        <v>299062</v>
      </c>
      <c r="S2816" s="9">
        <v>-169421</v>
      </c>
      <c r="T2816" s="10">
        <v>128839</v>
      </c>
      <c r="U2816" s="10">
        <v>1768</v>
      </c>
    </row>
    <row r="2817" spans="1:21" x14ac:dyDescent="0.35">
      <c r="A2817" t="s">
        <v>15</v>
      </c>
      <c r="B2817" t="s">
        <v>20</v>
      </c>
      <c r="C2817" t="s">
        <v>21</v>
      </c>
      <c r="D2817">
        <v>217419</v>
      </c>
      <c r="E2817">
        <v>31988</v>
      </c>
      <c r="F2817">
        <v>37033</v>
      </c>
      <c r="G2817">
        <v>-200121</v>
      </c>
      <c r="H2817">
        <v>86319</v>
      </c>
      <c r="I2817">
        <v>85732</v>
      </c>
      <c r="J2817">
        <v>2216</v>
      </c>
      <c r="K2817">
        <v>811864</v>
      </c>
      <c r="L2817">
        <v>225736</v>
      </c>
      <c r="M2817">
        <v>-109692</v>
      </c>
      <c r="N2817">
        <v>130956</v>
      </c>
      <c r="O2817" t="s">
        <v>2835</v>
      </c>
      <c r="P2817" s="9">
        <v>220737</v>
      </c>
      <c r="Q2817" s="9">
        <v>29815</v>
      </c>
      <c r="R2817" s="9">
        <v>250552</v>
      </c>
      <c r="S2817" s="9">
        <v>-145543</v>
      </c>
      <c r="T2817" s="10">
        <v>95940</v>
      </c>
      <c r="U2817" s="10">
        <v>2603</v>
      </c>
    </row>
    <row r="2818" spans="1:21" x14ac:dyDescent="0.35">
      <c r="A2818" t="s">
        <v>15</v>
      </c>
      <c r="B2818" t="s">
        <v>16</v>
      </c>
      <c r="C2818" t="s">
        <v>21</v>
      </c>
      <c r="D2818">
        <v>157694</v>
      </c>
      <c r="E2818">
        <v>15556</v>
      </c>
      <c r="F2818">
        <v>17446</v>
      </c>
      <c r="G2818">
        <v>-151515</v>
      </c>
      <c r="H2818">
        <v>39181</v>
      </c>
      <c r="I2818">
        <v>39081</v>
      </c>
      <c r="J2818">
        <v>562</v>
      </c>
      <c r="K2818">
        <v>612602</v>
      </c>
      <c r="L2818">
        <v>132981</v>
      </c>
      <c r="M2818">
        <v>-87232</v>
      </c>
      <c r="N2818">
        <v>61322</v>
      </c>
      <c r="O2818" t="s">
        <v>2836</v>
      </c>
      <c r="P2818" s="9">
        <v>272473</v>
      </c>
      <c r="Q2818" s="9">
        <v>32600</v>
      </c>
      <c r="R2818" s="9">
        <v>305073</v>
      </c>
      <c r="S2818" s="9">
        <v>-66456</v>
      </c>
      <c r="T2818" s="10">
        <v>87952</v>
      </c>
      <c r="U2818" s="10">
        <v>2019</v>
      </c>
    </row>
    <row r="2819" spans="1:21" x14ac:dyDescent="0.35">
      <c r="A2819" t="s">
        <v>15</v>
      </c>
      <c r="B2819" t="s">
        <v>16</v>
      </c>
      <c r="C2819" t="s">
        <v>21</v>
      </c>
      <c r="D2819">
        <v>216194</v>
      </c>
      <c r="E2819">
        <v>30477</v>
      </c>
      <c r="F2819">
        <v>37837</v>
      </c>
      <c r="G2819">
        <v>-195570</v>
      </c>
      <c r="H2819">
        <v>88938</v>
      </c>
      <c r="I2819">
        <v>88364</v>
      </c>
      <c r="J2819">
        <v>943</v>
      </c>
      <c r="K2819">
        <v>576372</v>
      </c>
      <c r="L2819">
        <v>63910</v>
      </c>
      <c r="M2819">
        <v>-107829</v>
      </c>
      <c r="N2819">
        <v>189227</v>
      </c>
      <c r="O2819" t="s">
        <v>2837</v>
      </c>
      <c r="P2819" s="9">
        <v>293807</v>
      </c>
      <c r="Q2819" s="9">
        <v>33388</v>
      </c>
      <c r="R2819" s="9">
        <v>327195</v>
      </c>
      <c r="S2819" s="9">
        <v>-163459</v>
      </c>
      <c r="T2819" s="10">
        <v>145978</v>
      </c>
      <c r="U2819" s="10">
        <v>3415</v>
      </c>
    </row>
    <row r="2820" spans="1:21" x14ac:dyDescent="0.35">
      <c r="A2820" t="s">
        <v>15</v>
      </c>
      <c r="B2820" t="s">
        <v>16</v>
      </c>
      <c r="C2820" t="s">
        <v>17</v>
      </c>
      <c r="D2820">
        <v>278619</v>
      </c>
      <c r="E2820">
        <v>46412</v>
      </c>
      <c r="F2820">
        <v>35484</v>
      </c>
      <c r="G2820">
        <v>-226788</v>
      </c>
      <c r="H2820">
        <v>133727</v>
      </c>
      <c r="I2820">
        <v>139970</v>
      </c>
      <c r="J2820">
        <v>1692</v>
      </c>
      <c r="K2820">
        <v>745429</v>
      </c>
      <c r="L2820">
        <v>309225</v>
      </c>
      <c r="M2820">
        <v>-286833</v>
      </c>
      <c r="N2820">
        <v>152317</v>
      </c>
      <c r="O2820" t="s">
        <v>2838</v>
      </c>
      <c r="P2820" s="9">
        <v>268939</v>
      </c>
      <c r="Q2820" s="9">
        <v>50442</v>
      </c>
      <c r="R2820" s="9">
        <v>319381</v>
      </c>
      <c r="S2820" s="9">
        <v>-78486</v>
      </c>
      <c r="T2820" s="10">
        <v>106675</v>
      </c>
      <c r="U2820" s="10">
        <v>2416</v>
      </c>
    </row>
    <row r="2821" spans="1:21" x14ac:dyDescent="0.35">
      <c r="A2821" t="s">
        <v>15</v>
      </c>
      <c r="B2821" t="s">
        <v>20</v>
      </c>
      <c r="C2821" t="s">
        <v>21</v>
      </c>
      <c r="D2821">
        <v>175923</v>
      </c>
      <c r="E2821">
        <v>16568</v>
      </c>
      <c r="F2821">
        <v>34502</v>
      </c>
      <c r="G2821">
        <v>-142054</v>
      </c>
      <c r="H2821">
        <v>84939</v>
      </c>
      <c r="I2821">
        <v>82307</v>
      </c>
      <c r="J2821">
        <v>2428</v>
      </c>
      <c r="K2821">
        <v>494280</v>
      </c>
      <c r="L2821">
        <v>230068</v>
      </c>
      <c r="M2821">
        <v>-128037</v>
      </c>
      <c r="N2821">
        <v>157509</v>
      </c>
      <c r="O2821" t="s">
        <v>2839</v>
      </c>
      <c r="P2821" s="9">
        <v>227166</v>
      </c>
      <c r="Q2821" s="9">
        <v>16702</v>
      </c>
      <c r="R2821" s="9">
        <v>243868</v>
      </c>
      <c r="S2821" s="9">
        <v>-129473</v>
      </c>
      <c r="T2821" s="10">
        <v>77892</v>
      </c>
      <c r="U2821" s="10">
        <v>1186</v>
      </c>
    </row>
    <row r="2822" spans="1:21" x14ac:dyDescent="0.35">
      <c r="A2822" t="s">
        <v>15</v>
      </c>
      <c r="B2822" t="s">
        <v>16</v>
      </c>
      <c r="C2822" t="s">
        <v>21</v>
      </c>
      <c r="D2822">
        <v>251797</v>
      </c>
      <c r="E2822">
        <v>42814</v>
      </c>
      <c r="F2822">
        <v>41364</v>
      </c>
      <c r="G2822">
        <v>-238308</v>
      </c>
      <c r="H2822">
        <v>97667</v>
      </c>
      <c r="I2822">
        <v>87983</v>
      </c>
      <c r="J2822">
        <v>881</v>
      </c>
      <c r="K2822">
        <v>898892</v>
      </c>
      <c r="L2822">
        <v>336618</v>
      </c>
      <c r="M2822">
        <v>-301849</v>
      </c>
      <c r="N2822">
        <v>209903</v>
      </c>
      <c r="O2822" t="s">
        <v>2840</v>
      </c>
      <c r="P2822" s="9">
        <v>178490</v>
      </c>
      <c r="Q2822" s="9">
        <v>26209</v>
      </c>
      <c r="R2822" s="9">
        <v>204699</v>
      </c>
      <c r="S2822" s="9">
        <v>-48712</v>
      </c>
      <c r="T2822" s="10">
        <v>70203</v>
      </c>
      <c r="U2822" s="10">
        <v>850</v>
      </c>
    </row>
    <row r="2823" spans="1:21" x14ac:dyDescent="0.35">
      <c r="A2823" t="s">
        <v>15</v>
      </c>
      <c r="B2823" t="s">
        <v>20</v>
      </c>
      <c r="C2823" t="s">
        <v>17</v>
      </c>
      <c r="D2823">
        <v>238094</v>
      </c>
      <c r="E2823">
        <v>46109</v>
      </c>
      <c r="F2823">
        <v>39369</v>
      </c>
      <c r="G2823">
        <v>-199686</v>
      </c>
      <c r="H2823">
        <v>123886</v>
      </c>
      <c r="I2823">
        <v>119440</v>
      </c>
      <c r="J2823">
        <v>1994</v>
      </c>
      <c r="K2823">
        <v>572932</v>
      </c>
      <c r="L2823">
        <v>171711</v>
      </c>
      <c r="M2823">
        <v>-90438</v>
      </c>
      <c r="N2823">
        <v>133907</v>
      </c>
      <c r="O2823" t="s">
        <v>2841</v>
      </c>
      <c r="P2823" s="9">
        <v>223624</v>
      </c>
      <c r="Q2823" s="9">
        <v>24998</v>
      </c>
      <c r="R2823" s="9">
        <v>248622</v>
      </c>
      <c r="S2823" s="9">
        <v>-122712</v>
      </c>
      <c r="T2823" s="10">
        <v>66234</v>
      </c>
      <c r="U2823" s="10">
        <v>1663</v>
      </c>
    </row>
    <row r="2824" spans="1:21" x14ac:dyDescent="0.35">
      <c r="A2824" t="s">
        <v>15</v>
      </c>
      <c r="B2824" t="s">
        <v>16</v>
      </c>
      <c r="C2824" t="s">
        <v>21</v>
      </c>
      <c r="D2824">
        <v>294758</v>
      </c>
      <c r="E2824">
        <v>20732</v>
      </c>
      <c r="F2824">
        <v>53850</v>
      </c>
      <c r="G2824">
        <v>-262489</v>
      </c>
      <c r="H2824">
        <v>106851</v>
      </c>
      <c r="I2824">
        <v>98858</v>
      </c>
      <c r="J2824">
        <v>2004</v>
      </c>
      <c r="K2824">
        <v>734391</v>
      </c>
      <c r="L2824">
        <v>365786</v>
      </c>
      <c r="M2824">
        <v>-231375</v>
      </c>
      <c r="N2824">
        <v>131654</v>
      </c>
      <c r="O2824" t="s">
        <v>2842</v>
      </c>
      <c r="P2824" s="9">
        <v>166438</v>
      </c>
      <c r="Q2824" s="9">
        <v>32723</v>
      </c>
      <c r="R2824" s="9">
        <v>199161</v>
      </c>
      <c r="S2824" s="9">
        <v>-100860</v>
      </c>
      <c r="T2824" s="10">
        <v>79669</v>
      </c>
      <c r="U2824" s="10">
        <v>1772</v>
      </c>
    </row>
    <row r="2825" spans="1:21" x14ac:dyDescent="0.35">
      <c r="A2825" t="s">
        <v>15</v>
      </c>
      <c r="B2825" t="s">
        <v>16</v>
      </c>
      <c r="C2825" t="s">
        <v>21</v>
      </c>
      <c r="D2825">
        <v>165553</v>
      </c>
      <c r="E2825">
        <v>13874</v>
      </c>
      <c r="F2825">
        <v>35934</v>
      </c>
      <c r="G2825">
        <v>-142779</v>
      </c>
      <c r="H2825">
        <v>72582</v>
      </c>
      <c r="I2825">
        <v>68490</v>
      </c>
      <c r="J2825">
        <v>2000</v>
      </c>
      <c r="K2825">
        <v>428570</v>
      </c>
      <c r="L2825">
        <v>115646</v>
      </c>
      <c r="M2825">
        <v>-77872</v>
      </c>
      <c r="N2825">
        <v>123207</v>
      </c>
      <c r="O2825" t="s">
        <v>2843</v>
      </c>
      <c r="P2825" s="9">
        <v>252605</v>
      </c>
      <c r="Q2825" s="9">
        <v>20976</v>
      </c>
      <c r="R2825" s="9">
        <v>273581</v>
      </c>
      <c r="S2825" s="9">
        <v>-95078</v>
      </c>
      <c r="T2825" s="10">
        <v>91422</v>
      </c>
      <c r="U2825" s="10">
        <v>1153</v>
      </c>
    </row>
    <row r="2826" spans="1:21" x14ac:dyDescent="0.35">
      <c r="A2826" t="s">
        <v>15</v>
      </c>
      <c r="B2826" t="s">
        <v>16</v>
      </c>
      <c r="C2826" t="s">
        <v>21</v>
      </c>
      <c r="D2826">
        <v>153711</v>
      </c>
      <c r="E2826">
        <v>17170</v>
      </c>
      <c r="F2826">
        <v>36086</v>
      </c>
      <c r="G2826">
        <v>-127155</v>
      </c>
      <c r="H2826">
        <v>79812</v>
      </c>
      <c r="I2826">
        <v>79246</v>
      </c>
      <c r="J2826">
        <v>1601</v>
      </c>
      <c r="K2826">
        <v>583663</v>
      </c>
      <c r="L2826">
        <v>224162</v>
      </c>
      <c r="M2826">
        <v>-154928</v>
      </c>
      <c r="N2826">
        <v>113454</v>
      </c>
      <c r="O2826" t="s">
        <v>2844</v>
      </c>
      <c r="P2826" s="9">
        <v>261338</v>
      </c>
      <c r="Q2826" s="9">
        <v>24362</v>
      </c>
      <c r="R2826" s="9">
        <v>285700</v>
      </c>
      <c r="S2826" s="9">
        <v>-103187</v>
      </c>
      <c r="T2826" s="10">
        <v>60693</v>
      </c>
      <c r="U2826" s="10">
        <v>1064</v>
      </c>
    </row>
    <row r="2827" spans="1:21" x14ac:dyDescent="0.35">
      <c r="A2827" t="s">
        <v>15</v>
      </c>
      <c r="B2827" t="s">
        <v>20</v>
      </c>
      <c r="C2827" t="s">
        <v>17</v>
      </c>
      <c r="D2827">
        <v>214743</v>
      </c>
      <c r="E2827">
        <v>35389</v>
      </c>
      <c r="F2827">
        <v>52424</v>
      </c>
      <c r="G2827">
        <v>-174356</v>
      </c>
      <c r="H2827">
        <v>128200</v>
      </c>
      <c r="I2827">
        <v>130828</v>
      </c>
      <c r="J2827">
        <v>2172</v>
      </c>
      <c r="K2827">
        <v>461088</v>
      </c>
      <c r="L2827">
        <v>96189</v>
      </c>
      <c r="M2827">
        <v>-123157</v>
      </c>
      <c r="N2827">
        <v>179391</v>
      </c>
      <c r="O2827" t="s">
        <v>2845</v>
      </c>
      <c r="P2827" s="9">
        <v>197312</v>
      </c>
      <c r="Q2827" s="9">
        <v>24895</v>
      </c>
      <c r="R2827" s="9">
        <v>222207</v>
      </c>
      <c r="S2827" s="9">
        <v>-50229</v>
      </c>
      <c r="T2827" s="10">
        <v>93535</v>
      </c>
      <c r="U2827" s="10">
        <v>2187</v>
      </c>
    </row>
    <row r="2828" spans="1:21" x14ac:dyDescent="0.35">
      <c r="A2828" t="s">
        <v>15</v>
      </c>
      <c r="B2828" t="s">
        <v>16</v>
      </c>
      <c r="C2828" t="s">
        <v>21</v>
      </c>
      <c r="D2828">
        <v>156034</v>
      </c>
      <c r="E2828">
        <v>20252</v>
      </c>
      <c r="F2828">
        <v>36963</v>
      </c>
      <c r="G2828">
        <v>-148943</v>
      </c>
      <c r="H2828">
        <v>64306</v>
      </c>
      <c r="I2828">
        <v>62240</v>
      </c>
      <c r="J2828">
        <v>834</v>
      </c>
      <c r="K2828">
        <v>313354</v>
      </c>
      <c r="L2828">
        <v>142546</v>
      </c>
      <c r="M2828">
        <v>-77930</v>
      </c>
      <c r="N2828">
        <v>99334</v>
      </c>
      <c r="O2828" t="s">
        <v>2846</v>
      </c>
      <c r="P2828" s="9">
        <v>295582</v>
      </c>
      <c r="Q2828" s="9">
        <v>18887</v>
      </c>
      <c r="R2828" s="9">
        <v>314469</v>
      </c>
      <c r="S2828" s="9">
        <v>-128033</v>
      </c>
      <c r="T2828" s="10">
        <v>96630</v>
      </c>
      <c r="U2828" s="10">
        <v>2041</v>
      </c>
    </row>
    <row r="2829" spans="1:21" x14ac:dyDescent="0.35">
      <c r="A2829" t="s">
        <v>15</v>
      </c>
      <c r="B2829" t="s">
        <v>16</v>
      </c>
      <c r="C2829" t="s">
        <v>21</v>
      </c>
      <c r="D2829">
        <v>205014</v>
      </c>
      <c r="E2829">
        <v>38032</v>
      </c>
      <c r="F2829">
        <v>40258</v>
      </c>
      <c r="G2829">
        <v>-172186</v>
      </c>
      <c r="H2829">
        <v>111118</v>
      </c>
      <c r="I2829">
        <v>112186</v>
      </c>
      <c r="J2829">
        <v>2375</v>
      </c>
      <c r="K2829">
        <v>736486</v>
      </c>
      <c r="L2829">
        <v>290292</v>
      </c>
      <c r="M2829">
        <v>-141258</v>
      </c>
      <c r="N2829">
        <v>158461</v>
      </c>
      <c r="O2829" t="s">
        <v>2847</v>
      </c>
      <c r="P2829" s="9">
        <v>227978</v>
      </c>
      <c r="Q2829" s="9">
        <v>24673</v>
      </c>
      <c r="R2829" s="9">
        <v>252651</v>
      </c>
      <c r="S2829" s="9">
        <v>-143483</v>
      </c>
      <c r="T2829" s="10">
        <v>121341</v>
      </c>
      <c r="U2829" s="10">
        <v>1971</v>
      </c>
    </row>
    <row r="2830" spans="1:21" x14ac:dyDescent="0.35">
      <c r="A2830" t="s">
        <v>15</v>
      </c>
      <c r="B2830" t="s">
        <v>20</v>
      </c>
      <c r="C2830" t="s">
        <v>21</v>
      </c>
      <c r="D2830">
        <v>152872</v>
      </c>
      <c r="E2830">
        <v>8245</v>
      </c>
      <c r="F2830">
        <v>18348</v>
      </c>
      <c r="G2830">
        <v>-133296</v>
      </c>
      <c r="H2830">
        <v>46169</v>
      </c>
      <c r="I2830">
        <v>41819</v>
      </c>
      <c r="J2830">
        <v>982</v>
      </c>
      <c r="K2830">
        <v>520472</v>
      </c>
      <c r="L2830">
        <v>213288</v>
      </c>
      <c r="M2830">
        <v>-183138</v>
      </c>
      <c r="N2830">
        <v>108852</v>
      </c>
      <c r="O2830" t="s">
        <v>2848</v>
      </c>
      <c r="P2830" s="9">
        <v>224076</v>
      </c>
      <c r="Q2830" s="9">
        <v>19076</v>
      </c>
      <c r="R2830" s="9">
        <v>243152</v>
      </c>
      <c r="S2830" s="9">
        <v>-57189</v>
      </c>
      <c r="T2830" s="10">
        <v>77332</v>
      </c>
      <c r="U2830" s="10">
        <v>2224</v>
      </c>
    </row>
    <row r="2831" spans="1:21" x14ac:dyDescent="0.35">
      <c r="A2831" t="s">
        <v>15</v>
      </c>
      <c r="B2831" t="s">
        <v>20</v>
      </c>
      <c r="C2831" t="s">
        <v>21</v>
      </c>
      <c r="D2831">
        <v>220067</v>
      </c>
      <c r="E2831">
        <v>27154</v>
      </c>
      <c r="F2831">
        <v>33440</v>
      </c>
      <c r="G2831">
        <v>-207243</v>
      </c>
      <c r="H2831">
        <v>73418</v>
      </c>
      <c r="I2831">
        <v>66879</v>
      </c>
      <c r="J2831">
        <v>1569</v>
      </c>
      <c r="K2831">
        <v>496334</v>
      </c>
      <c r="L2831">
        <v>101054</v>
      </c>
      <c r="M2831">
        <v>-127244</v>
      </c>
      <c r="N2831">
        <v>124982</v>
      </c>
      <c r="O2831" t="s">
        <v>2849</v>
      </c>
      <c r="P2831" s="9">
        <v>160015</v>
      </c>
      <c r="Q2831" s="9">
        <v>10886</v>
      </c>
      <c r="R2831" s="9">
        <v>170901</v>
      </c>
      <c r="S2831" s="9">
        <v>-53085</v>
      </c>
      <c r="T2831" s="10">
        <v>63167</v>
      </c>
      <c r="U2831" s="10">
        <v>1101</v>
      </c>
    </row>
    <row r="2832" spans="1:21" x14ac:dyDescent="0.35">
      <c r="A2832" t="s">
        <v>15</v>
      </c>
      <c r="B2832" t="s">
        <v>16</v>
      </c>
      <c r="C2832" t="s">
        <v>21</v>
      </c>
      <c r="D2832">
        <v>172810</v>
      </c>
      <c r="E2832">
        <v>13419</v>
      </c>
      <c r="F2832">
        <v>35732</v>
      </c>
      <c r="G2832">
        <v>-140472</v>
      </c>
      <c r="H2832">
        <v>81489</v>
      </c>
      <c r="I2832">
        <v>73812</v>
      </c>
      <c r="J2832">
        <v>1499</v>
      </c>
      <c r="K2832">
        <v>590920</v>
      </c>
      <c r="L2832">
        <v>250569</v>
      </c>
      <c r="M2832">
        <v>-224818</v>
      </c>
      <c r="N2832">
        <v>58058</v>
      </c>
      <c r="O2832" t="s">
        <v>2850</v>
      </c>
      <c r="P2832" s="9">
        <v>229739</v>
      </c>
      <c r="Q2832" s="9">
        <v>20488</v>
      </c>
      <c r="R2832" s="9">
        <v>250227</v>
      </c>
      <c r="S2832" s="9">
        <v>-90182</v>
      </c>
      <c r="T2832" s="10">
        <v>93440</v>
      </c>
      <c r="U2832" s="10">
        <v>1202</v>
      </c>
    </row>
    <row r="2833" spans="1:21" x14ac:dyDescent="0.35">
      <c r="A2833" t="s">
        <v>15</v>
      </c>
      <c r="B2833" t="s">
        <v>16</v>
      </c>
      <c r="C2833" t="s">
        <v>21</v>
      </c>
      <c r="D2833">
        <v>266271</v>
      </c>
      <c r="E2833">
        <v>32578</v>
      </c>
      <c r="F2833">
        <v>33455</v>
      </c>
      <c r="G2833">
        <v>-254958</v>
      </c>
      <c r="H2833">
        <v>77346</v>
      </c>
      <c r="I2833">
        <v>79117</v>
      </c>
      <c r="J2833">
        <v>2293</v>
      </c>
      <c r="K2833">
        <v>881001</v>
      </c>
      <c r="L2833">
        <v>298305</v>
      </c>
      <c r="M2833">
        <v>-145858</v>
      </c>
      <c r="N2833">
        <v>156238</v>
      </c>
      <c r="O2833" t="s">
        <v>2851</v>
      </c>
      <c r="P2833" s="9">
        <v>179575</v>
      </c>
      <c r="Q2833" s="9">
        <v>17075</v>
      </c>
      <c r="R2833" s="9">
        <v>196650</v>
      </c>
      <c r="S2833" s="9">
        <v>-92726</v>
      </c>
      <c r="T2833" s="10">
        <v>65109</v>
      </c>
      <c r="U2833" s="10">
        <v>1900</v>
      </c>
    </row>
    <row r="2834" spans="1:21" x14ac:dyDescent="0.35">
      <c r="A2834" t="s">
        <v>15</v>
      </c>
      <c r="B2834" t="s">
        <v>20</v>
      </c>
      <c r="C2834" t="s">
        <v>21</v>
      </c>
      <c r="D2834">
        <v>179145</v>
      </c>
      <c r="E2834">
        <v>32559</v>
      </c>
      <c r="F2834">
        <v>28414</v>
      </c>
      <c r="G2834">
        <v>-170982</v>
      </c>
      <c r="H2834">
        <v>69136</v>
      </c>
      <c r="I2834">
        <v>67913</v>
      </c>
      <c r="J2834">
        <v>1920</v>
      </c>
      <c r="K2834">
        <v>510706</v>
      </c>
      <c r="L2834">
        <v>158225</v>
      </c>
      <c r="M2834">
        <v>-183257</v>
      </c>
      <c r="N2834">
        <v>142157</v>
      </c>
      <c r="O2834" t="s">
        <v>2852</v>
      </c>
      <c r="P2834" s="9">
        <v>232054</v>
      </c>
      <c r="Q2834" s="9">
        <v>14912</v>
      </c>
      <c r="R2834" s="9">
        <v>246966</v>
      </c>
      <c r="S2834" s="9">
        <v>-100692</v>
      </c>
      <c r="T2834" s="10">
        <v>80165</v>
      </c>
      <c r="U2834" s="10">
        <v>2179</v>
      </c>
    </row>
    <row r="2835" spans="1:21" x14ac:dyDescent="0.35">
      <c r="A2835" t="s">
        <v>15</v>
      </c>
      <c r="B2835" t="s">
        <v>16</v>
      </c>
      <c r="C2835" t="s">
        <v>21</v>
      </c>
      <c r="D2835">
        <v>265542</v>
      </c>
      <c r="E2835">
        <v>35122</v>
      </c>
      <c r="F2835">
        <v>42805</v>
      </c>
      <c r="G2835">
        <v>-244602</v>
      </c>
      <c r="H2835">
        <v>98867</v>
      </c>
      <c r="I2835">
        <v>101709</v>
      </c>
      <c r="J2835">
        <v>2731</v>
      </c>
      <c r="K2835">
        <v>751387</v>
      </c>
      <c r="L2835">
        <v>375116</v>
      </c>
      <c r="M2835">
        <v>-99053</v>
      </c>
      <c r="N2835">
        <v>216396</v>
      </c>
      <c r="O2835" t="s">
        <v>2853</v>
      </c>
      <c r="P2835" s="9">
        <v>204017</v>
      </c>
      <c r="Q2835" s="9">
        <v>36046</v>
      </c>
      <c r="R2835" s="9">
        <v>240063</v>
      </c>
      <c r="S2835" s="9">
        <v>-111083</v>
      </c>
      <c r="T2835" s="10">
        <v>84824</v>
      </c>
      <c r="U2835" s="10">
        <v>1952</v>
      </c>
    </row>
    <row r="2836" spans="1:21" x14ac:dyDescent="0.35">
      <c r="A2836" t="s">
        <v>15</v>
      </c>
      <c r="B2836" t="s">
        <v>20</v>
      </c>
      <c r="C2836" t="s">
        <v>21</v>
      </c>
      <c r="D2836">
        <v>202071</v>
      </c>
      <c r="E2836">
        <v>28634</v>
      </c>
      <c r="F2836">
        <v>20638</v>
      </c>
      <c r="G2836">
        <v>-174583</v>
      </c>
      <c r="H2836">
        <v>76760</v>
      </c>
      <c r="I2836">
        <v>74454</v>
      </c>
      <c r="J2836">
        <v>1002</v>
      </c>
      <c r="K2836">
        <v>786942</v>
      </c>
      <c r="L2836">
        <v>247194</v>
      </c>
      <c r="M2836">
        <v>-227211</v>
      </c>
      <c r="N2836">
        <v>162226</v>
      </c>
      <c r="O2836" t="s">
        <v>2854</v>
      </c>
      <c r="P2836" s="9">
        <v>156096</v>
      </c>
      <c r="Q2836" s="9">
        <v>15801</v>
      </c>
      <c r="R2836" s="9">
        <v>171897</v>
      </c>
      <c r="S2836" s="9">
        <v>-65174</v>
      </c>
      <c r="T2836" s="10">
        <v>58558</v>
      </c>
      <c r="U2836" s="10">
        <v>669</v>
      </c>
    </row>
    <row r="2837" spans="1:21" x14ac:dyDescent="0.35">
      <c r="A2837" t="s">
        <v>15</v>
      </c>
      <c r="B2837" t="s">
        <v>20</v>
      </c>
      <c r="C2837" t="s">
        <v>21</v>
      </c>
      <c r="D2837">
        <v>266445</v>
      </c>
      <c r="E2837">
        <v>28535</v>
      </c>
      <c r="F2837">
        <v>30166</v>
      </c>
      <c r="G2837">
        <v>-225570</v>
      </c>
      <c r="H2837">
        <v>99576</v>
      </c>
      <c r="I2837">
        <v>91468</v>
      </c>
      <c r="J2837">
        <v>1063</v>
      </c>
      <c r="K2837">
        <v>924336</v>
      </c>
      <c r="L2837">
        <v>259923</v>
      </c>
      <c r="M2837">
        <v>-172248</v>
      </c>
      <c r="N2837">
        <v>144070</v>
      </c>
      <c r="O2837" t="s">
        <v>2855</v>
      </c>
      <c r="P2837" s="9">
        <v>208438</v>
      </c>
      <c r="Q2837" s="9">
        <v>21813</v>
      </c>
      <c r="R2837" s="9">
        <v>230251</v>
      </c>
      <c r="S2837" s="9">
        <v>-93526</v>
      </c>
      <c r="T2837" s="10">
        <v>63685</v>
      </c>
      <c r="U2837" s="10">
        <v>1878</v>
      </c>
    </row>
    <row r="2838" spans="1:21" x14ac:dyDescent="0.35">
      <c r="A2838" t="s">
        <v>15</v>
      </c>
      <c r="B2838" t="s">
        <v>16</v>
      </c>
      <c r="C2838" t="s">
        <v>21</v>
      </c>
      <c r="D2838">
        <v>239825</v>
      </c>
      <c r="E2838">
        <v>24016</v>
      </c>
      <c r="F2838">
        <v>42973</v>
      </c>
      <c r="G2838">
        <v>-235194</v>
      </c>
      <c r="H2838">
        <v>71620</v>
      </c>
      <c r="I2838">
        <v>67548</v>
      </c>
      <c r="J2838">
        <v>1339</v>
      </c>
      <c r="K2838">
        <v>595059</v>
      </c>
      <c r="L2838">
        <v>246962</v>
      </c>
      <c r="M2838">
        <v>-91684</v>
      </c>
      <c r="N2838">
        <v>91694</v>
      </c>
      <c r="O2838" t="s">
        <v>2856</v>
      </c>
      <c r="P2838" s="9">
        <v>249409</v>
      </c>
      <c r="Q2838" s="9">
        <v>49269</v>
      </c>
      <c r="R2838" s="9">
        <v>298678</v>
      </c>
      <c r="S2838" s="9">
        <v>-64229</v>
      </c>
      <c r="T2838" s="10">
        <v>145804</v>
      </c>
      <c r="U2838" s="10">
        <v>3008</v>
      </c>
    </row>
    <row r="2839" spans="1:21" x14ac:dyDescent="0.35">
      <c r="A2839" t="s">
        <v>15</v>
      </c>
      <c r="B2839" t="s">
        <v>16</v>
      </c>
      <c r="C2839" t="s">
        <v>17</v>
      </c>
      <c r="D2839">
        <v>176081</v>
      </c>
      <c r="E2839">
        <v>19685</v>
      </c>
      <c r="F2839">
        <v>19017</v>
      </c>
      <c r="G2839">
        <v>-163818</v>
      </c>
      <c r="H2839">
        <v>50965</v>
      </c>
      <c r="I2839">
        <v>48613</v>
      </c>
      <c r="J2839">
        <v>1407</v>
      </c>
      <c r="K2839">
        <v>467699</v>
      </c>
      <c r="L2839">
        <v>89736</v>
      </c>
      <c r="M2839">
        <v>-161592</v>
      </c>
      <c r="N2839">
        <v>156638</v>
      </c>
      <c r="O2839" t="s">
        <v>2857</v>
      </c>
      <c r="P2839" s="9">
        <v>210347</v>
      </c>
      <c r="Q2839" s="9">
        <v>21340</v>
      </c>
      <c r="R2839" s="9">
        <v>231687</v>
      </c>
      <c r="S2839" s="9">
        <v>-49827</v>
      </c>
      <c r="T2839" s="10">
        <v>56870</v>
      </c>
      <c r="U2839" s="10">
        <v>1524</v>
      </c>
    </row>
    <row r="2840" spans="1:21" x14ac:dyDescent="0.35">
      <c r="A2840" t="s">
        <v>15</v>
      </c>
      <c r="B2840" t="s">
        <v>20</v>
      </c>
      <c r="C2840" t="s">
        <v>21</v>
      </c>
      <c r="D2840">
        <v>299561</v>
      </c>
      <c r="E2840">
        <v>33423</v>
      </c>
      <c r="F2840">
        <v>55566</v>
      </c>
      <c r="G2840">
        <v>-244215</v>
      </c>
      <c r="H2840">
        <v>144335</v>
      </c>
      <c r="I2840">
        <v>149094</v>
      </c>
      <c r="J2840">
        <v>1789</v>
      </c>
      <c r="K2840">
        <v>959322</v>
      </c>
      <c r="L2840">
        <v>126896</v>
      </c>
      <c r="M2840">
        <v>-140085</v>
      </c>
      <c r="N2840">
        <v>220956</v>
      </c>
      <c r="O2840" t="s">
        <v>2858</v>
      </c>
      <c r="P2840" s="9">
        <v>181316</v>
      </c>
      <c r="Q2840" s="9">
        <v>26937</v>
      </c>
      <c r="R2840" s="9">
        <v>208253</v>
      </c>
      <c r="S2840" s="9">
        <v>-82417</v>
      </c>
      <c r="T2840" s="10">
        <v>72083</v>
      </c>
      <c r="U2840" s="10">
        <v>1333</v>
      </c>
    </row>
    <row r="2841" spans="1:21" x14ac:dyDescent="0.35">
      <c r="A2841" t="s">
        <v>15</v>
      </c>
      <c r="B2841" t="s">
        <v>16</v>
      </c>
      <c r="C2841" t="s">
        <v>17</v>
      </c>
      <c r="D2841">
        <v>166274</v>
      </c>
      <c r="E2841">
        <v>30893</v>
      </c>
      <c r="F2841">
        <v>32968</v>
      </c>
      <c r="G2841">
        <v>-156577</v>
      </c>
      <c r="H2841">
        <v>73558</v>
      </c>
      <c r="I2841">
        <v>69021</v>
      </c>
      <c r="J2841">
        <v>1794</v>
      </c>
      <c r="K2841">
        <v>525201</v>
      </c>
      <c r="L2841">
        <v>77495</v>
      </c>
      <c r="M2841">
        <v>-76042</v>
      </c>
      <c r="N2841">
        <v>124907</v>
      </c>
      <c r="O2841" t="s">
        <v>2859</v>
      </c>
      <c r="P2841" s="9">
        <v>261718</v>
      </c>
      <c r="Q2841" s="9">
        <v>42471</v>
      </c>
      <c r="R2841" s="9">
        <v>304189</v>
      </c>
      <c r="S2841" s="9">
        <v>-163663</v>
      </c>
      <c r="T2841" s="10">
        <v>146336</v>
      </c>
      <c r="U2841" s="10">
        <v>3120</v>
      </c>
    </row>
    <row r="2842" spans="1:21" x14ac:dyDescent="0.35">
      <c r="A2842" t="s">
        <v>15</v>
      </c>
      <c r="B2842" t="s">
        <v>16</v>
      </c>
      <c r="C2842" t="s">
        <v>21</v>
      </c>
      <c r="D2842">
        <v>268832</v>
      </c>
      <c r="E2842">
        <v>34399</v>
      </c>
      <c r="F2842">
        <v>40953</v>
      </c>
      <c r="G2842">
        <v>-236551</v>
      </c>
      <c r="H2842">
        <v>107633</v>
      </c>
      <c r="I2842">
        <v>98403</v>
      </c>
      <c r="J2842">
        <v>2030</v>
      </c>
      <c r="K2842">
        <v>640539</v>
      </c>
      <c r="L2842">
        <v>299564</v>
      </c>
      <c r="M2842">
        <v>-67054</v>
      </c>
      <c r="N2842">
        <v>181572</v>
      </c>
      <c r="O2842" t="s">
        <v>2860</v>
      </c>
      <c r="P2842" s="9">
        <v>217679</v>
      </c>
      <c r="Q2842" s="9">
        <v>26626</v>
      </c>
      <c r="R2842" s="9">
        <v>244305</v>
      </c>
      <c r="S2842" s="9">
        <v>-63706</v>
      </c>
      <c r="T2842" s="10">
        <v>75102</v>
      </c>
      <c r="U2842" s="10">
        <v>793</v>
      </c>
    </row>
    <row r="2843" spans="1:21" x14ac:dyDescent="0.35">
      <c r="A2843" t="s">
        <v>15</v>
      </c>
      <c r="B2843" t="s">
        <v>16</v>
      </c>
      <c r="C2843" t="s">
        <v>17</v>
      </c>
      <c r="D2843">
        <v>221642</v>
      </c>
      <c r="E2843">
        <v>29803</v>
      </c>
      <c r="F2843">
        <v>52450</v>
      </c>
      <c r="G2843">
        <v>-184246</v>
      </c>
      <c r="H2843">
        <v>119649</v>
      </c>
      <c r="I2843">
        <v>123670</v>
      </c>
      <c r="J2843">
        <v>3564</v>
      </c>
      <c r="K2843">
        <v>762216</v>
      </c>
      <c r="L2843">
        <v>180877</v>
      </c>
      <c r="M2843">
        <v>-116287</v>
      </c>
      <c r="N2843">
        <v>173617</v>
      </c>
      <c r="O2843" t="s">
        <v>2861</v>
      </c>
      <c r="P2843" s="9">
        <v>167088</v>
      </c>
      <c r="Q2843" s="9">
        <v>10844</v>
      </c>
      <c r="R2843" s="9">
        <v>177932</v>
      </c>
      <c r="S2843" s="9">
        <v>-59986</v>
      </c>
      <c r="T2843" s="10">
        <v>48828</v>
      </c>
      <c r="U2843" s="10">
        <v>1378</v>
      </c>
    </row>
    <row r="2844" spans="1:21" x14ac:dyDescent="0.35">
      <c r="A2844" t="s">
        <v>15</v>
      </c>
      <c r="B2844" t="s">
        <v>16</v>
      </c>
      <c r="C2844" t="s">
        <v>17</v>
      </c>
      <c r="D2844">
        <v>171594</v>
      </c>
      <c r="E2844">
        <v>32027</v>
      </c>
      <c r="F2844">
        <v>37691</v>
      </c>
      <c r="G2844">
        <v>-170606</v>
      </c>
      <c r="H2844">
        <v>70706</v>
      </c>
      <c r="I2844">
        <v>69822</v>
      </c>
      <c r="J2844">
        <v>2029</v>
      </c>
      <c r="K2844">
        <v>668470</v>
      </c>
      <c r="L2844">
        <v>302899</v>
      </c>
      <c r="M2844">
        <v>-266623</v>
      </c>
      <c r="N2844">
        <v>107320</v>
      </c>
      <c r="O2844" t="s">
        <v>2862</v>
      </c>
      <c r="P2844" s="9">
        <v>223189</v>
      </c>
      <c r="Q2844" s="9">
        <v>40536</v>
      </c>
      <c r="R2844" s="9">
        <v>263725</v>
      </c>
      <c r="S2844" s="9">
        <v>-114922</v>
      </c>
      <c r="T2844" s="10">
        <v>73860</v>
      </c>
      <c r="U2844" s="10">
        <v>1375</v>
      </c>
    </row>
    <row r="2845" spans="1:21" x14ac:dyDescent="0.35">
      <c r="A2845" t="s">
        <v>15</v>
      </c>
      <c r="B2845" t="s">
        <v>16</v>
      </c>
      <c r="C2845" t="s">
        <v>17</v>
      </c>
      <c r="D2845">
        <v>223224</v>
      </c>
      <c r="E2845">
        <v>43158</v>
      </c>
      <c r="F2845">
        <v>33588</v>
      </c>
      <c r="G2845">
        <v>-191519</v>
      </c>
      <c r="H2845">
        <v>108451</v>
      </c>
      <c r="I2845">
        <v>112687</v>
      </c>
      <c r="J2845">
        <v>3200</v>
      </c>
      <c r="K2845">
        <v>815167</v>
      </c>
      <c r="L2845">
        <v>133868</v>
      </c>
      <c r="M2845">
        <v>-259586</v>
      </c>
      <c r="N2845">
        <v>197565</v>
      </c>
      <c r="O2845" t="s">
        <v>2863</v>
      </c>
      <c r="P2845" s="9">
        <v>165168</v>
      </c>
      <c r="Q2845" s="9">
        <v>10504</v>
      </c>
      <c r="R2845" s="9">
        <v>175672</v>
      </c>
      <c r="S2845" s="9">
        <v>-75919</v>
      </c>
      <c r="T2845" s="10">
        <v>60860</v>
      </c>
      <c r="U2845" s="10">
        <v>1398</v>
      </c>
    </row>
    <row r="2846" spans="1:21" x14ac:dyDescent="0.35">
      <c r="A2846" t="s">
        <v>15</v>
      </c>
      <c r="B2846" t="s">
        <v>20</v>
      </c>
      <c r="C2846" t="s">
        <v>17</v>
      </c>
      <c r="D2846">
        <v>287902</v>
      </c>
      <c r="E2846">
        <v>36646</v>
      </c>
      <c r="F2846">
        <v>58282</v>
      </c>
      <c r="G2846">
        <v>-260742</v>
      </c>
      <c r="H2846">
        <v>122088</v>
      </c>
      <c r="I2846">
        <v>115515</v>
      </c>
      <c r="J2846">
        <v>1192</v>
      </c>
      <c r="K2846">
        <v>864622</v>
      </c>
      <c r="L2846">
        <v>248204</v>
      </c>
      <c r="M2846">
        <v>-171976</v>
      </c>
      <c r="N2846">
        <v>190354</v>
      </c>
      <c r="O2846" t="s">
        <v>2864</v>
      </c>
      <c r="P2846" s="9">
        <v>155718</v>
      </c>
      <c r="Q2846" s="9">
        <v>25087</v>
      </c>
      <c r="R2846" s="9">
        <v>180805</v>
      </c>
      <c r="S2846" s="9">
        <v>-102956</v>
      </c>
      <c r="T2846" s="10">
        <v>52804</v>
      </c>
      <c r="U2846" s="10">
        <v>940</v>
      </c>
    </row>
    <row r="2847" spans="1:21" x14ac:dyDescent="0.35">
      <c r="A2847" t="s">
        <v>15</v>
      </c>
      <c r="B2847" t="s">
        <v>16</v>
      </c>
      <c r="C2847" t="s">
        <v>17</v>
      </c>
      <c r="D2847">
        <v>249479</v>
      </c>
      <c r="E2847">
        <v>46476</v>
      </c>
      <c r="F2847">
        <v>39495</v>
      </c>
      <c r="G2847">
        <v>-243129</v>
      </c>
      <c r="H2847">
        <v>92321</v>
      </c>
      <c r="I2847">
        <v>95497</v>
      </c>
      <c r="J2847">
        <v>2037</v>
      </c>
      <c r="K2847">
        <v>650783</v>
      </c>
      <c r="L2847">
        <v>129641</v>
      </c>
      <c r="M2847">
        <v>-71409</v>
      </c>
      <c r="N2847">
        <v>168173</v>
      </c>
      <c r="O2847" t="s">
        <v>2865</v>
      </c>
      <c r="P2847" s="9">
        <v>174026</v>
      </c>
      <c r="Q2847" s="9">
        <v>41775</v>
      </c>
      <c r="R2847" s="9">
        <v>215801</v>
      </c>
      <c r="S2847" s="9">
        <v>-103485</v>
      </c>
      <c r="T2847" s="10">
        <v>97985</v>
      </c>
      <c r="U2847" s="10">
        <v>1697</v>
      </c>
    </row>
    <row r="2848" spans="1:21" x14ac:dyDescent="0.35">
      <c r="A2848" t="s">
        <v>15</v>
      </c>
      <c r="B2848" t="s">
        <v>16</v>
      </c>
      <c r="C2848" t="s">
        <v>21</v>
      </c>
      <c r="D2848">
        <v>193717</v>
      </c>
      <c r="E2848">
        <v>37230</v>
      </c>
      <c r="F2848">
        <v>42683</v>
      </c>
      <c r="G2848">
        <v>-183630</v>
      </c>
      <c r="H2848">
        <v>90000</v>
      </c>
      <c r="I2848">
        <v>86758</v>
      </c>
      <c r="J2848">
        <v>1547</v>
      </c>
      <c r="K2848">
        <v>471486</v>
      </c>
      <c r="L2848">
        <v>189601</v>
      </c>
      <c r="M2848">
        <v>-148890</v>
      </c>
      <c r="N2848">
        <v>164038</v>
      </c>
      <c r="O2848" t="s">
        <v>2866</v>
      </c>
      <c r="P2848" s="9">
        <v>291208</v>
      </c>
      <c r="Q2848" s="9">
        <v>45992</v>
      </c>
      <c r="R2848" s="9">
        <v>337200</v>
      </c>
      <c r="S2848" s="9">
        <v>-73213</v>
      </c>
      <c r="T2848" s="10">
        <v>155722</v>
      </c>
      <c r="U2848" s="10">
        <v>3955</v>
      </c>
    </row>
    <row r="2849" spans="1:21" x14ac:dyDescent="0.35">
      <c r="A2849" t="s">
        <v>15</v>
      </c>
      <c r="B2849" t="s">
        <v>20</v>
      </c>
      <c r="C2849" t="s">
        <v>21</v>
      </c>
      <c r="D2849">
        <v>282338</v>
      </c>
      <c r="E2849">
        <v>41122</v>
      </c>
      <c r="F2849">
        <v>38334</v>
      </c>
      <c r="G2849">
        <v>-251381</v>
      </c>
      <c r="H2849">
        <v>110413</v>
      </c>
      <c r="I2849">
        <v>114426</v>
      </c>
      <c r="J2849">
        <v>3128</v>
      </c>
      <c r="K2849">
        <v>919298</v>
      </c>
      <c r="L2849">
        <v>184366</v>
      </c>
      <c r="M2849">
        <v>-304484</v>
      </c>
      <c r="N2849">
        <v>233326</v>
      </c>
      <c r="O2849" t="s">
        <v>2867</v>
      </c>
      <c r="P2849" s="9">
        <v>144587</v>
      </c>
      <c r="Q2849" s="9">
        <v>12943</v>
      </c>
      <c r="R2849" s="9">
        <v>157530</v>
      </c>
      <c r="S2849" s="9">
        <v>-61329</v>
      </c>
      <c r="T2849" s="10">
        <v>60626</v>
      </c>
      <c r="U2849" s="10">
        <v>1327</v>
      </c>
    </row>
    <row r="2850" spans="1:21" x14ac:dyDescent="0.35">
      <c r="A2850" t="s">
        <v>15</v>
      </c>
      <c r="B2850" t="s">
        <v>20</v>
      </c>
      <c r="C2850" t="s">
        <v>21</v>
      </c>
      <c r="D2850">
        <v>281717</v>
      </c>
      <c r="E2850">
        <v>52683</v>
      </c>
      <c r="F2850">
        <v>56981</v>
      </c>
      <c r="G2850">
        <v>-231264</v>
      </c>
      <c r="H2850">
        <v>160117</v>
      </c>
      <c r="I2850">
        <v>167652</v>
      </c>
      <c r="J2850">
        <v>3987</v>
      </c>
      <c r="K2850">
        <v>919541</v>
      </c>
      <c r="L2850">
        <v>451106</v>
      </c>
      <c r="M2850">
        <v>-333496</v>
      </c>
      <c r="N2850">
        <v>127713</v>
      </c>
      <c r="O2850" t="s">
        <v>2868</v>
      </c>
      <c r="P2850" s="9">
        <v>188310</v>
      </c>
      <c r="Q2850" s="9">
        <v>32699</v>
      </c>
      <c r="R2850" s="9">
        <v>221009</v>
      </c>
      <c r="S2850" s="9">
        <v>-102038</v>
      </c>
      <c r="T2850" s="10">
        <v>71968</v>
      </c>
      <c r="U2850" s="10">
        <v>1716</v>
      </c>
    </row>
    <row r="2851" spans="1:21" x14ac:dyDescent="0.35">
      <c r="A2851" t="s">
        <v>15</v>
      </c>
      <c r="B2851" t="s">
        <v>20</v>
      </c>
      <c r="C2851" t="s">
        <v>21</v>
      </c>
      <c r="D2851">
        <v>241494</v>
      </c>
      <c r="E2851">
        <v>28017</v>
      </c>
      <c r="F2851">
        <v>37721</v>
      </c>
      <c r="G2851">
        <v>-224002</v>
      </c>
      <c r="H2851">
        <v>83230</v>
      </c>
      <c r="I2851">
        <v>76737</v>
      </c>
      <c r="J2851">
        <v>767</v>
      </c>
      <c r="K2851">
        <v>741476</v>
      </c>
      <c r="L2851">
        <v>257474</v>
      </c>
      <c r="M2851">
        <v>-152386</v>
      </c>
      <c r="N2851">
        <v>196745</v>
      </c>
      <c r="O2851" t="s">
        <v>2869</v>
      </c>
      <c r="P2851" s="9">
        <v>261536</v>
      </c>
      <c r="Q2851" s="9">
        <v>22374</v>
      </c>
      <c r="R2851" s="9">
        <v>283910</v>
      </c>
      <c r="S2851" s="9">
        <v>-138587</v>
      </c>
      <c r="T2851" s="10">
        <v>143721</v>
      </c>
      <c r="U2851" s="10">
        <v>3405</v>
      </c>
    </row>
    <row r="2852" spans="1:21" x14ac:dyDescent="0.35">
      <c r="A2852" t="s">
        <v>15</v>
      </c>
      <c r="B2852" t="s">
        <v>20</v>
      </c>
      <c r="C2852" t="s">
        <v>17</v>
      </c>
      <c r="D2852">
        <v>152433</v>
      </c>
      <c r="E2852">
        <v>8097</v>
      </c>
      <c r="F2852">
        <v>36076</v>
      </c>
      <c r="G2852">
        <v>-144136</v>
      </c>
      <c r="H2852">
        <v>52470</v>
      </c>
      <c r="I2852">
        <v>49747</v>
      </c>
      <c r="J2852">
        <v>967</v>
      </c>
      <c r="K2852">
        <v>504963</v>
      </c>
      <c r="L2852">
        <v>87199</v>
      </c>
      <c r="M2852">
        <v>-115334</v>
      </c>
      <c r="N2852">
        <v>114456</v>
      </c>
      <c r="O2852" t="s">
        <v>2870</v>
      </c>
      <c r="P2852" s="9">
        <v>173398</v>
      </c>
      <c r="Q2852" s="9">
        <v>9934</v>
      </c>
      <c r="R2852" s="9">
        <v>183332</v>
      </c>
      <c r="S2852" s="9">
        <v>-56456</v>
      </c>
      <c r="T2852" s="10">
        <v>73459</v>
      </c>
      <c r="U2852" s="10">
        <v>1996</v>
      </c>
    </row>
    <row r="2853" spans="1:21" x14ac:dyDescent="0.35">
      <c r="A2853" t="s">
        <v>15</v>
      </c>
      <c r="B2853" t="s">
        <v>20</v>
      </c>
      <c r="C2853" t="s">
        <v>21</v>
      </c>
      <c r="D2853">
        <v>185669</v>
      </c>
      <c r="E2853">
        <v>15327</v>
      </c>
      <c r="F2853">
        <v>24789</v>
      </c>
      <c r="G2853">
        <v>-149506</v>
      </c>
      <c r="H2853">
        <v>76279</v>
      </c>
      <c r="I2853">
        <v>68821</v>
      </c>
      <c r="J2853">
        <v>917</v>
      </c>
      <c r="K2853">
        <v>480944</v>
      </c>
      <c r="L2853">
        <v>61173</v>
      </c>
      <c r="M2853">
        <v>-150604</v>
      </c>
      <c r="N2853">
        <v>55742</v>
      </c>
      <c r="O2853" t="s">
        <v>2871</v>
      </c>
      <c r="P2853" s="9">
        <v>207494</v>
      </c>
      <c r="Q2853" s="9">
        <v>18362</v>
      </c>
      <c r="R2853" s="9">
        <v>225856</v>
      </c>
      <c r="S2853" s="9">
        <v>-99943</v>
      </c>
      <c r="T2853" s="10">
        <v>73747</v>
      </c>
      <c r="U2853" s="10">
        <v>1156</v>
      </c>
    </row>
    <row r="2854" spans="1:21" x14ac:dyDescent="0.35">
      <c r="A2854" t="s">
        <v>15</v>
      </c>
      <c r="B2854" t="s">
        <v>20</v>
      </c>
      <c r="C2854" t="s">
        <v>21</v>
      </c>
      <c r="D2854">
        <v>158050</v>
      </c>
      <c r="E2854">
        <v>15973</v>
      </c>
      <c r="F2854">
        <v>35913</v>
      </c>
      <c r="G2854">
        <v>-152327</v>
      </c>
      <c r="H2854">
        <v>57609</v>
      </c>
      <c r="I2854">
        <v>54256</v>
      </c>
      <c r="J2854">
        <v>1613</v>
      </c>
      <c r="K2854">
        <v>332900</v>
      </c>
      <c r="L2854">
        <v>76891</v>
      </c>
      <c r="M2854">
        <v>-97927</v>
      </c>
      <c r="N2854">
        <v>93342</v>
      </c>
      <c r="O2854" t="s">
        <v>2872</v>
      </c>
      <c r="P2854" s="9">
        <v>223975</v>
      </c>
      <c r="Q2854" s="9">
        <v>18612</v>
      </c>
      <c r="R2854" s="9">
        <v>242587</v>
      </c>
      <c r="S2854" s="9">
        <v>-123019</v>
      </c>
      <c r="T2854" s="10">
        <v>74032</v>
      </c>
      <c r="U2854" s="10">
        <v>1164</v>
      </c>
    </row>
    <row r="2855" spans="1:21" x14ac:dyDescent="0.35">
      <c r="A2855" t="s">
        <v>15</v>
      </c>
      <c r="B2855" t="s">
        <v>16</v>
      </c>
      <c r="C2855" t="s">
        <v>21</v>
      </c>
      <c r="D2855">
        <v>265668</v>
      </c>
      <c r="E2855">
        <v>39740</v>
      </c>
      <c r="F2855">
        <v>64177</v>
      </c>
      <c r="G2855">
        <v>-258682</v>
      </c>
      <c r="H2855">
        <v>110903</v>
      </c>
      <c r="I2855">
        <v>101138</v>
      </c>
      <c r="J2855">
        <v>2728</v>
      </c>
      <c r="K2855">
        <v>956402</v>
      </c>
      <c r="L2855">
        <v>329697</v>
      </c>
      <c r="M2855">
        <v>-106865</v>
      </c>
      <c r="N2855">
        <v>87664</v>
      </c>
      <c r="O2855" t="s">
        <v>2873</v>
      </c>
      <c r="P2855" s="9">
        <v>272986</v>
      </c>
      <c r="Q2855" s="9">
        <v>25900</v>
      </c>
      <c r="R2855" s="9">
        <v>298886</v>
      </c>
      <c r="S2855" s="9">
        <v>-94646</v>
      </c>
      <c r="T2855" s="10">
        <v>102306</v>
      </c>
      <c r="U2855" s="10">
        <v>1063</v>
      </c>
    </row>
    <row r="2856" spans="1:21" x14ac:dyDescent="0.35">
      <c r="A2856" t="s">
        <v>15</v>
      </c>
      <c r="B2856" t="s">
        <v>16</v>
      </c>
      <c r="C2856" t="s">
        <v>21</v>
      </c>
      <c r="D2856">
        <v>255883</v>
      </c>
      <c r="E2856">
        <v>18595</v>
      </c>
      <c r="F2856">
        <v>55959</v>
      </c>
      <c r="G2856">
        <v>-234289</v>
      </c>
      <c r="H2856">
        <v>96148</v>
      </c>
      <c r="I2856">
        <v>87885</v>
      </c>
      <c r="J2856">
        <v>2433</v>
      </c>
      <c r="K2856">
        <v>529603</v>
      </c>
      <c r="L2856">
        <v>61341</v>
      </c>
      <c r="M2856">
        <v>-141081</v>
      </c>
      <c r="N2856">
        <v>78156</v>
      </c>
      <c r="O2856" t="s">
        <v>2874</v>
      </c>
      <c r="P2856" s="9">
        <v>228710</v>
      </c>
      <c r="Q2856" s="9">
        <v>37599</v>
      </c>
      <c r="R2856" s="9">
        <v>266309</v>
      </c>
      <c r="S2856" s="9">
        <v>-62231</v>
      </c>
      <c r="T2856" s="10">
        <v>127825</v>
      </c>
      <c r="U2856" s="10">
        <v>3465</v>
      </c>
    </row>
    <row r="2857" spans="1:21" x14ac:dyDescent="0.35">
      <c r="A2857" t="s">
        <v>15</v>
      </c>
      <c r="B2857" t="s">
        <v>16</v>
      </c>
      <c r="C2857" t="s">
        <v>17</v>
      </c>
      <c r="D2857">
        <v>162197</v>
      </c>
      <c r="E2857">
        <v>30385</v>
      </c>
      <c r="F2857">
        <v>37997</v>
      </c>
      <c r="G2857">
        <v>-135275</v>
      </c>
      <c r="H2857">
        <v>95304</v>
      </c>
      <c r="I2857">
        <v>93640</v>
      </c>
      <c r="J2857">
        <v>1225</v>
      </c>
      <c r="K2857">
        <v>522060</v>
      </c>
      <c r="L2857">
        <v>104131</v>
      </c>
      <c r="M2857">
        <v>-93104</v>
      </c>
      <c r="N2857">
        <v>64333</v>
      </c>
      <c r="O2857" t="s">
        <v>2875</v>
      </c>
      <c r="P2857" s="9">
        <v>308308</v>
      </c>
      <c r="Q2857" s="9">
        <v>31582</v>
      </c>
      <c r="R2857" s="9">
        <v>339890</v>
      </c>
      <c r="S2857" s="9">
        <v>-172355</v>
      </c>
      <c r="T2857" s="10">
        <v>86588</v>
      </c>
      <c r="U2857" s="10">
        <v>2276</v>
      </c>
    </row>
    <row r="2858" spans="1:21" x14ac:dyDescent="0.35">
      <c r="A2858" t="s">
        <v>15</v>
      </c>
      <c r="B2858" t="s">
        <v>20</v>
      </c>
      <c r="C2858" t="s">
        <v>21</v>
      </c>
      <c r="D2858">
        <v>284792</v>
      </c>
      <c r="E2858">
        <v>35189</v>
      </c>
      <c r="F2858">
        <v>44291</v>
      </c>
      <c r="G2858">
        <v>-241064</v>
      </c>
      <c r="H2858">
        <v>123208</v>
      </c>
      <c r="I2858">
        <v>123719</v>
      </c>
      <c r="J2858">
        <v>2775</v>
      </c>
      <c r="K2858">
        <v>692055</v>
      </c>
      <c r="L2858">
        <v>98608</v>
      </c>
      <c r="M2858">
        <v>-257997</v>
      </c>
      <c r="N2858">
        <v>103000</v>
      </c>
      <c r="O2858" t="s">
        <v>2876</v>
      </c>
      <c r="P2858" s="9">
        <v>186677</v>
      </c>
      <c r="Q2858" s="9">
        <v>9676</v>
      </c>
      <c r="R2858" s="9">
        <v>196353</v>
      </c>
      <c r="S2858" s="9">
        <v>-75938</v>
      </c>
      <c r="T2858" s="10">
        <v>46660</v>
      </c>
      <c r="U2858" s="10">
        <v>728</v>
      </c>
    </row>
    <row r="2859" spans="1:21" x14ac:dyDescent="0.35">
      <c r="A2859" t="s">
        <v>15</v>
      </c>
      <c r="B2859" t="s">
        <v>20</v>
      </c>
      <c r="C2859" t="s">
        <v>21</v>
      </c>
      <c r="D2859">
        <v>185185</v>
      </c>
      <c r="E2859">
        <v>9482</v>
      </c>
      <c r="F2859">
        <v>43498</v>
      </c>
      <c r="G2859">
        <v>-160809</v>
      </c>
      <c r="H2859">
        <v>77356</v>
      </c>
      <c r="I2859">
        <v>80512</v>
      </c>
      <c r="J2859">
        <v>1292</v>
      </c>
      <c r="K2859">
        <v>490527</v>
      </c>
      <c r="L2859">
        <v>88443</v>
      </c>
      <c r="M2859">
        <v>-174213</v>
      </c>
      <c r="N2859">
        <v>101746</v>
      </c>
      <c r="O2859" t="s">
        <v>2877</v>
      </c>
      <c r="P2859" s="9">
        <v>276589</v>
      </c>
      <c r="Q2859" s="9">
        <v>15836</v>
      </c>
      <c r="R2859" s="9">
        <v>292425</v>
      </c>
      <c r="S2859" s="9">
        <v>-88594</v>
      </c>
      <c r="T2859" s="10">
        <v>76896</v>
      </c>
      <c r="U2859" s="10">
        <v>2168</v>
      </c>
    </row>
    <row r="2860" spans="1:21" x14ac:dyDescent="0.35">
      <c r="A2860" t="s">
        <v>15</v>
      </c>
      <c r="B2860" t="s">
        <v>20</v>
      </c>
      <c r="C2860" t="s">
        <v>21</v>
      </c>
      <c r="D2860">
        <v>206743</v>
      </c>
      <c r="E2860">
        <v>12805</v>
      </c>
      <c r="F2860">
        <v>35469</v>
      </c>
      <c r="G2860">
        <v>-181067</v>
      </c>
      <c r="H2860">
        <v>73950</v>
      </c>
      <c r="I2860">
        <v>68977</v>
      </c>
      <c r="J2860">
        <v>1299</v>
      </c>
      <c r="K2860">
        <v>675126</v>
      </c>
      <c r="L2860">
        <v>336416</v>
      </c>
      <c r="M2860">
        <v>-160832</v>
      </c>
      <c r="N2860">
        <v>134714</v>
      </c>
      <c r="O2860" t="s">
        <v>2878</v>
      </c>
      <c r="P2860" s="9">
        <v>303899</v>
      </c>
      <c r="Q2860" s="9">
        <v>27909</v>
      </c>
      <c r="R2860" s="9">
        <v>331808</v>
      </c>
      <c r="S2860" s="9">
        <v>-183480</v>
      </c>
      <c r="T2860" s="10">
        <v>130910</v>
      </c>
      <c r="U2860" s="10">
        <v>2417</v>
      </c>
    </row>
    <row r="2861" spans="1:21" x14ac:dyDescent="0.35">
      <c r="A2861" t="s">
        <v>15</v>
      </c>
      <c r="B2861" t="s">
        <v>20</v>
      </c>
      <c r="C2861" t="s">
        <v>21</v>
      </c>
      <c r="D2861">
        <v>183477</v>
      </c>
      <c r="E2861">
        <v>20760</v>
      </c>
      <c r="F2861">
        <v>45374</v>
      </c>
      <c r="G2861">
        <v>-165328</v>
      </c>
      <c r="H2861">
        <v>84283</v>
      </c>
      <c r="I2861">
        <v>78342</v>
      </c>
      <c r="J2861">
        <v>1894</v>
      </c>
      <c r="K2861">
        <v>645560</v>
      </c>
      <c r="L2861">
        <v>198618</v>
      </c>
      <c r="M2861">
        <v>-229066</v>
      </c>
      <c r="N2861">
        <v>74499</v>
      </c>
      <c r="O2861" t="s">
        <v>2879</v>
      </c>
      <c r="P2861" s="9">
        <v>263292</v>
      </c>
      <c r="Q2861" s="9">
        <v>22716</v>
      </c>
      <c r="R2861" s="9">
        <v>286008</v>
      </c>
      <c r="S2861" s="9">
        <v>-158859</v>
      </c>
      <c r="T2861" s="10">
        <v>96813</v>
      </c>
      <c r="U2861" s="10">
        <v>2879</v>
      </c>
    </row>
    <row r="2862" spans="1:21" x14ac:dyDescent="0.35">
      <c r="A2862" t="s">
        <v>15</v>
      </c>
      <c r="B2862" t="s">
        <v>20</v>
      </c>
      <c r="C2862" t="s">
        <v>21</v>
      </c>
      <c r="D2862">
        <v>230380</v>
      </c>
      <c r="E2862">
        <v>45971</v>
      </c>
      <c r="F2862">
        <v>41861</v>
      </c>
      <c r="G2862">
        <v>-210512</v>
      </c>
      <c r="H2862">
        <v>107700</v>
      </c>
      <c r="I2862">
        <v>101236</v>
      </c>
      <c r="J2862">
        <v>2324</v>
      </c>
      <c r="K2862">
        <v>570868</v>
      </c>
      <c r="L2862">
        <v>228007</v>
      </c>
      <c r="M2862">
        <v>-117721</v>
      </c>
      <c r="N2862">
        <v>125459</v>
      </c>
      <c r="O2862" t="s">
        <v>2880</v>
      </c>
      <c r="P2862" s="9">
        <v>247969</v>
      </c>
      <c r="Q2862" s="9">
        <v>27328</v>
      </c>
      <c r="R2862" s="9">
        <v>275297</v>
      </c>
      <c r="S2862" s="9">
        <v>-58801</v>
      </c>
      <c r="T2862" s="10">
        <v>102795</v>
      </c>
      <c r="U2862" s="10">
        <v>1802</v>
      </c>
    </row>
    <row r="2863" spans="1:21" x14ac:dyDescent="0.35">
      <c r="A2863" t="s">
        <v>15</v>
      </c>
      <c r="B2863" t="s">
        <v>16</v>
      </c>
      <c r="C2863" t="s">
        <v>17</v>
      </c>
      <c r="D2863">
        <v>247941</v>
      </c>
      <c r="E2863">
        <v>26834</v>
      </c>
      <c r="F2863">
        <v>49531</v>
      </c>
      <c r="G2863">
        <v>-238813</v>
      </c>
      <c r="H2863">
        <v>85493</v>
      </c>
      <c r="I2863">
        <v>81933</v>
      </c>
      <c r="J2863">
        <v>883</v>
      </c>
      <c r="K2863">
        <v>566769</v>
      </c>
      <c r="L2863">
        <v>196186</v>
      </c>
      <c r="M2863">
        <v>-212883</v>
      </c>
      <c r="N2863">
        <v>208725</v>
      </c>
      <c r="O2863" t="s">
        <v>2881</v>
      </c>
      <c r="P2863" s="9">
        <v>176022</v>
      </c>
      <c r="Q2863" s="9">
        <v>19555</v>
      </c>
      <c r="R2863" s="9">
        <v>195577</v>
      </c>
      <c r="S2863" s="9">
        <v>-97924</v>
      </c>
      <c r="T2863" s="10">
        <v>73269</v>
      </c>
      <c r="U2863" s="10">
        <v>1841</v>
      </c>
    </row>
    <row r="2864" spans="1:21" x14ac:dyDescent="0.35">
      <c r="A2864" t="s">
        <v>15</v>
      </c>
      <c r="B2864" t="s">
        <v>16</v>
      </c>
      <c r="C2864" t="s">
        <v>21</v>
      </c>
      <c r="D2864">
        <v>180914</v>
      </c>
      <c r="E2864">
        <v>23075</v>
      </c>
      <c r="F2864">
        <v>24525</v>
      </c>
      <c r="G2864">
        <v>-155072</v>
      </c>
      <c r="H2864">
        <v>73442</v>
      </c>
      <c r="I2864">
        <v>71968</v>
      </c>
      <c r="J2864">
        <v>1186</v>
      </c>
      <c r="K2864">
        <v>640082</v>
      </c>
      <c r="L2864">
        <v>241114</v>
      </c>
      <c r="M2864">
        <v>-226134</v>
      </c>
      <c r="N2864">
        <v>137694</v>
      </c>
      <c r="O2864" t="s">
        <v>2882</v>
      </c>
      <c r="P2864" s="9">
        <v>158468</v>
      </c>
      <c r="Q2864" s="9">
        <v>29021</v>
      </c>
      <c r="R2864" s="9">
        <v>187489</v>
      </c>
      <c r="S2864" s="9">
        <v>-56409</v>
      </c>
      <c r="T2864" s="10">
        <v>72191</v>
      </c>
      <c r="U2864" s="10">
        <v>1690</v>
      </c>
    </row>
    <row r="2865" spans="1:21" x14ac:dyDescent="0.35">
      <c r="A2865" t="s">
        <v>15</v>
      </c>
      <c r="B2865" t="s">
        <v>16</v>
      </c>
      <c r="C2865" t="s">
        <v>21</v>
      </c>
      <c r="D2865">
        <v>245361</v>
      </c>
      <c r="E2865">
        <v>18237</v>
      </c>
      <c r="F2865">
        <v>36574</v>
      </c>
      <c r="G2865">
        <v>-214818</v>
      </c>
      <c r="H2865">
        <v>85354</v>
      </c>
      <c r="I2865">
        <v>77893</v>
      </c>
      <c r="J2865">
        <v>1735</v>
      </c>
      <c r="K2865">
        <v>600395</v>
      </c>
      <c r="L2865">
        <v>177453</v>
      </c>
      <c r="M2865">
        <v>-224044</v>
      </c>
      <c r="N2865">
        <v>172676</v>
      </c>
      <c r="O2865" t="s">
        <v>2883</v>
      </c>
      <c r="P2865" s="9">
        <v>201874</v>
      </c>
      <c r="Q2865" s="9">
        <v>24768</v>
      </c>
      <c r="R2865" s="9">
        <v>226642</v>
      </c>
      <c r="S2865" s="9">
        <v>-60837</v>
      </c>
      <c r="T2865" s="10">
        <v>78847</v>
      </c>
      <c r="U2865" s="10">
        <v>1300</v>
      </c>
    </row>
    <row r="2866" spans="1:21" x14ac:dyDescent="0.35">
      <c r="A2866" t="s">
        <v>15</v>
      </c>
      <c r="B2866" t="s">
        <v>16</v>
      </c>
      <c r="C2866" t="s">
        <v>21</v>
      </c>
      <c r="D2866">
        <v>220854</v>
      </c>
      <c r="E2866">
        <v>17544</v>
      </c>
      <c r="F2866">
        <v>23847</v>
      </c>
      <c r="G2866">
        <v>-211552</v>
      </c>
      <c r="H2866">
        <v>50693</v>
      </c>
      <c r="I2866">
        <v>45711</v>
      </c>
      <c r="J2866">
        <v>606</v>
      </c>
      <c r="K2866">
        <v>531482</v>
      </c>
      <c r="L2866">
        <v>146874</v>
      </c>
      <c r="M2866">
        <v>-99936</v>
      </c>
      <c r="N2866">
        <v>83016</v>
      </c>
      <c r="O2866" t="s">
        <v>2884</v>
      </c>
      <c r="P2866" s="9">
        <v>227921</v>
      </c>
      <c r="Q2866" s="9">
        <v>38202</v>
      </c>
      <c r="R2866" s="9">
        <v>266123</v>
      </c>
      <c r="S2866" s="9">
        <v>-75178</v>
      </c>
      <c r="T2866" s="10">
        <v>113404</v>
      </c>
      <c r="U2866" s="10">
        <v>1554</v>
      </c>
    </row>
    <row r="2867" spans="1:21" x14ac:dyDescent="0.35">
      <c r="A2867" t="s">
        <v>15</v>
      </c>
      <c r="B2867" t="s">
        <v>20</v>
      </c>
      <c r="C2867" t="s">
        <v>21</v>
      </c>
      <c r="D2867">
        <v>228681</v>
      </c>
      <c r="E2867">
        <v>42280</v>
      </c>
      <c r="F2867">
        <v>41693</v>
      </c>
      <c r="G2867">
        <v>-219683</v>
      </c>
      <c r="H2867">
        <v>92971</v>
      </c>
      <c r="I2867">
        <v>91379</v>
      </c>
      <c r="J2867">
        <v>1882</v>
      </c>
      <c r="K2867">
        <v>496336</v>
      </c>
      <c r="L2867">
        <v>145077</v>
      </c>
      <c r="M2867">
        <v>-116246</v>
      </c>
      <c r="N2867">
        <v>205369</v>
      </c>
      <c r="O2867" t="s">
        <v>2885</v>
      </c>
      <c r="P2867" s="9">
        <v>248809</v>
      </c>
      <c r="Q2867" s="9">
        <v>49844</v>
      </c>
      <c r="R2867" s="9">
        <v>298653</v>
      </c>
      <c r="S2867" s="9">
        <v>-71646</v>
      </c>
      <c r="T2867" s="10">
        <v>179929</v>
      </c>
      <c r="U2867" s="10">
        <v>3439</v>
      </c>
    </row>
    <row r="2868" spans="1:21" x14ac:dyDescent="0.35">
      <c r="A2868" t="s">
        <v>15</v>
      </c>
      <c r="B2868" t="s">
        <v>20</v>
      </c>
      <c r="C2868" t="s">
        <v>21</v>
      </c>
      <c r="D2868">
        <v>279562</v>
      </c>
      <c r="E2868">
        <v>52276</v>
      </c>
      <c r="F2868">
        <v>28803</v>
      </c>
      <c r="G2868">
        <v>-227500</v>
      </c>
      <c r="H2868">
        <v>133141</v>
      </c>
      <c r="I2868">
        <v>131793</v>
      </c>
      <c r="J2868">
        <v>3891</v>
      </c>
      <c r="K2868">
        <v>698239</v>
      </c>
      <c r="L2868">
        <v>84030</v>
      </c>
      <c r="M2868">
        <v>-262208</v>
      </c>
      <c r="N2868">
        <v>243379</v>
      </c>
      <c r="O2868" t="s">
        <v>2886</v>
      </c>
      <c r="P2868" s="9">
        <v>279466</v>
      </c>
      <c r="Q2868" s="9">
        <v>18240</v>
      </c>
      <c r="R2868" s="9">
        <v>297706</v>
      </c>
      <c r="S2868" s="9">
        <v>-137931</v>
      </c>
      <c r="T2868" s="10">
        <v>81873</v>
      </c>
      <c r="U2868" s="10">
        <v>1875</v>
      </c>
    </row>
    <row r="2869" spans="1:21" x14ac:dyDescent="0.35">
      <c r="A2869" t="s">
        <v>15</v>
      </c>
      <c r="B2869" t="s">
        <v>20</v>
      </c>
      <c r="C2869" t="s">
        <v>17</v>
      </c>
      <c r="D2869">
        <v>187457</v>
      </c>
      <c r="E2869">
        <v>34769</v>
      </c>
      <c r="F2869">
        <v>27421</v>
      </c>
      <c r="G2869">
        <v>-182426</v>
      </c>
      <c r="H2869">
        <v>67221</v>
      </c>
      <c r="I2869">
        <v>63757</v>
      </c>
      <c r="J2869">
        <v>1893</v>
      </c>
      <c r="K2869">
        <v>601360</v>
      </c>
      <c r="L2869">
        <v>88090</v>
      </c>
      <c r="M2869">
        <v>-226852</v>
      </c>
      <c r="N2869">
        <v>141714</v>
      </c>
      <c r="O2869" t="s">
        <v>2887</v>
      </c>
      <c r="P2869" s="9">
        <v>216985</v>
      </c>
      <c r="Q2869" s="9">
        <v>35063</v>
      </c>
      <c r="R2869" s="9">
        <v>252048</v>
      </c>
      <c r="S2869" s="9">
        <v>-77372</v>
      </c>
      <c r="T2869" s="10">
        <v>127863</v>
      </c>
      <c r="U2869" s="10">
        <v>1679</v>
      </c>
    </row>
    <row r="2870" spans="1:21" x14ac:dyDescent="0.35">
      <c r="A2870" t="s">
        <v>15</v>
      </c>
      <c r="B2870" t="s">
        <v>16</v>
      </c>
      <c r="C2870" t="s">
        <v>21</v>
      </c>
      <c r="D2870">
        <v>218501</v>
      </c>
      <c r="E2870">
        <v>13674</v>
      </c>
      <c r="F2870">
        <v>54306</v>
      </c>
      <c r="G2870">
        <v>-178406</v>
      </c>
      <c r="H2870">
        <v>108075</v>
      </c>
      <c r="I2870">
        <v>105336</v>
      </c>
      <c r="J2870">
        <v>1576</v>
      </c>
      <c r="K2870">
        <v>580329</v>
      </c>
      <c r="L2870">
        <v>113319</v>
      </c>
      <c r="M2870">
        <v>-142290</v>
      </c>
      <c r="N2870">
        <v>187162</v>
      </c>
      <c r="O2870" t="s">
        <v>2888</v>
      </c>
      <c r="P2870" s="9">
        <v>197888</v>
      </c>
      <c r="Q2870" s="9">
        <v>40008</v>
      </c>
      <c r="R2870" s="9">
        <v>237896</v>
      </c>
      <c r="S2870" s="9">
        <v>-115571</v>
      </c>
      <c r="T2870" s="10">
        <v>85239</v>
      </c>
      <c r="U2870" s="10">
        <v>1925</v>
      </c>
    </row>
    <row r="2871" spans="1:21" x14ac:dyDescent="0.35">
      <c r="A2871" t="s">
        <v>15</v>
      </c>
      <c r="B2871" t="s">
        <v>16</v>
      </c>
      <c r="C2871" t="s">
        <v>17</v>
      </c>
      <c r="D2871">
        <v>234745</v>
      </c>
      <c r="E2871">
        <v>11764</v>
      </c>
      <c r="F2871">
        <v>40637</v>
      </c>
      <c r="G2871">
        <v>-211857</v>
      </c>
      <c r="H2871">
        <v>75289</v>
      </c>
      <c r="I2871">
        <v>76308</v>
      </c>
      <c r="J2871">
        <v>2106</v>
      </c>
      <c r="K2871">
        <v>618465</v>
      </c>
      <c r="L2871">
        <v>193036</v>
      </c>
      <c r="M2871">
        <v>-207395</v>
      </c>
      <c r="N2871">
        <v>115163</v>
      </c>
      <c r="O2871" t="s">
        <v>2889</v>
      </c>
      <c r="P2871" s="9">
        <v>234854</v>
      </c>
      <c r="Q2871" s="9">
        <v>42669</v>
      </c>
      <c r="R2871" s="9">
        <v>277523</v>
      </c>
      <c r="S2871" s="9">
        <v>-150101</v>
      </c>
      <c r="T2871" s="10">
        <v>116911</v>
      </c>
      <c r="U2871" s="10">
        <v>2479</v>
      </c>
    </row>
    <row r="2872" spans="1:21" x14ac:dyDescent="0.35">
      <c r="A2872" t="s">
        <v>15</v>
      </c>
      <c r="B2872" t="s">
        <v>16</v>
      </c>
      <c r="C2872" t="s">
        <v>17</v>
      </c>
      <c r="D2872">
        <v>233672</v>
      </c>
      <c r="E2872">
        <v>36457</v>
      </c>
      <c r="F2872">
        <v>49649</v>
      </c>
      <c r="G2872">
        <v>-203819</v>
      </c>
      <c r="H2872">
        <v>115959</v>
      </c>
      <c r="I2872">
        <v>119118</v>
      </c>
      <c r="J2872">
        <v>3191</v>
      </c>
      <c r="K2872">
        <v>526101</v>
      </c>
      <c r="L2872">
        <v>166102</v>
      </c>
      <c r="M2872">
        <v>-174496</v>
      </c>
      <c r="N2872">
        <v>73423</v>
      </c>
      <c r="O2872" t="s">
        <v>2890</v>
      </c>
      <c r="P2872" s="9">
        <v>172242</v>
      </c>
      <c r="Q2872" s="9">
        <v>13052</v>
      </c>
      <c r="R2872" s="9">
        <v>185294</v>
      </c>
      <c r="S2872" s="9">
        <v>-47813</v>
      </c>
      <c r="T2872" s="10">
        <v>44614</v>
      </c>
      <c r="U2872" s="10">
        <v>1135</v>
      </c>
    </row>
    <row r="2873" spans="1:21" x14ac:dyDescent="0.35">
      <c r="A2873" t="s">
        <v>15</v>
      </c>
      <c r="B2873" t="s">
        <v>20</v>
      </c>
      <c r="C2873" t="s">
        <v>21</v>
      </c>
      <c r="D2873">
        <v>261413</v>
      </c>
      <c r="E2873">
        <v>29923</v>
      </c>
      <c r="F2873">
        <v>43135</v>
      </c>
      <c r="G2873">
        <v>-216140</v>
      </c>
      <c r="H2873">
        <v>118331</v>
      </c>
      <c r="I2873">
        <v>111774</v>
      </c>
      <c r="J2873">
        <v>1738</v>
      </c>
      <c r="K2873">
        <v>897319</v>
      </c>
      <c r="L2873">
        <v>186469</v>
      </c>
      <c r="M2873">
        <v>-163421</v>
      </c>
      <c r="N2873">
        <v>163008</v>
      </c>
      <c r="O2873" t="s">
        <v>2891</v>
      </c>
      <c r="P2873" s="9">
        <v>288208</v>
      </c>
      <c r="Q2873" s="9">
        <v>48312</v>
      </c>
      <c r="R2873" s="9">
        <v>336520</v>
      </c>
      <c r="S2873" s="9">
        <v>-114041</v>
      </c>
      <c r="T2873" s="10">
        <v>84327</v>
      </c>
      <c r="U2873" s="10">
        <v>964</v>
      </c>
    </row>
    <row r="2874" spans="1:21" x14ac:dyDescent="0.35">
      <c r="A2874" t="s">
        <v>15</v>
      </c>
      <c r="B2874" t="s">
        <v>20</v>
      </c>
      <c r="C2874" t="s">
        <v>17</v>
      </c>
      <c r="D2874">
        <v>173153</v>
      </c>
      <c r="E2874">
        <v>14289</v>
      </c>
      <c r="F2874">
        <v>40523</v>
      </c>
      <c r="G2874">
        <v>-156209</v>
      </c>
      <c r="H2874">
        <v>71756</v>
      </c>
      <c r="I2874">
        <v>69845</v>
      </c>
      <c r="J2874">
        <v>1617</v>
      </c>
      <c r="K2874">
        <v>635736</v>
      </c>
      <c r="L2874">
        <v>211974</v>
      </c>
      <c r="M2874">
        <v>-73167</v>
      </c>
      <c r="N2874">
        <v>106979</v>
      </c>
      <c r="O2874" t="s">
        <v>2892</v>
      </c>
      <c r="P2874" s="9">
        <v>281108</v>
      </c>
      <c r="Q2874" s="9">
        <v>35054</v>
      </c>
      <c r="R2874" s="9">
        <v>316162</v>
      </c>
      <c r="S2874" s="9">
        <v>-122651</v>
      </c>
      <c r="T2874" s="10">
        <v>98696</v>
      </c>
      <c r="U2874" s="10">
        <v>1554</v>
      </c>
    </row>
    <row r="2875" spans="1:21" x14ac:dyDescent="0.35">
      <c r="A2875" t="s">
        <v>15</v>
      </c>
      <c r="B2875" t="s">
        <v>16</v>
      </c>
      <c r="C2875" t="s">
        <v>21</v>
      </c>
      <c r="D2875">
        <v>171188</v>
      </c>
      <c r="E2875">
        <v>25729</v>
      </c>
      <c r="F2875">
        <v>22957</v>
      </c>
      <c r="G2875">
        <v>-140339</v>
      </c>
      <c r="H2875">
        <v>79535</v>
      </c>
      <c r="I2875">
        <v>76660</v>
      </c>
      <c r="J2875">
        <v>2283</v>
      </c>
      <c r="K2875">
        <v>531223</v>
      </c>
      <c r="L2875">
        <v>168903</v>
      </c>
      <c r="M2875">
        <v>-143488</v>
      </c>
      <c r="N2875">
        <v>98505</v>
      </c>
      <c r="O2875" t="s">
        <v>2893</v>
      </c>
      <c r="P2875" s="9">
        <v>199473</v>
      </c>
      <c r="Q2875" s="9">
        <v>29132</v>
      </c>
      <c r="R2875" s="9">
        <v>228605</v>
      </c>
      <c r="S2875" s="9">
        <v>-52067</v>
      </c>
      <c r="T2875" s="10">
        <v>95091</v>
      </c>
      <c r="U2875" s="10">
        <v>1138</v>
      </c>
    </row>
    <row r="2876" spans="1:21" x14ac:dyDescent="0.35">
      <c r="A2876" t="s">
        <v>15</v>
      </c>
      <c r="B2876" t="s">
        <v>16</v>
      </c>
      <c r="C2876" t="s">
        <v>21</v>
      </c>
      <c r="D2876">
        <v>297316</v>
      </c>
      <c r="E2876">
        <v>47500</v>
      </c>
      <c r="F2876">
        <v>68011</v>
      </c>
      <c r="G2876">
        <v>-249411</v>
      </c>
      <c r="H2876">
        <v>163416</v>
      </c>
      <c r="I2876">
        <v>155489</v>
      </c>
      <c r="J2876">
        <v>2777</v>
      </c>
      <c r="K2876">
        <v>693320</v>
      </c>
      <c r="L2876">
        <v>153997</v>
      </c>
      <c r="M2876">
        <v>-205859</v>
      </c>
      <c r="N2876">
        <v>204284</v>
      </c>
      <c r="O2876" t="s">
        <v>2894</v>
      </c>
      <c r="P2876" s="9">
        <v>155434</v>
      </c>
      <c r="Q2876" s="9">
        <v>26005</v>
      </c>
      <c r="R2876" s="9">
        <v>181439</v>
      </c>
      <c r="S2876" s="9">
        <v>-48253</v>
      </c>
      <c r="T2876" s="10">
        <v>79794</v>
      </c>
      <c r="U2876" s="10">
        <v>1577</v>
      </c>
    </row>
    <row r="2877" spans="1:21" x14ac:dyDescent="0.35">
      <c r="A2877" t="s">
        <v>15</v>
      </c>
      <c r="B2877" t="s">
        <v>16</v>
      </c>
      <c r="C2877" t="s">
        <v>21</v>
      </c>
      <c r="D2877">
        <v>186176</v>
      </c>
      <c r="E2877">
        <v>12571</v>
      </c>
      <c r="F2877">
        <v>34144</v>
      </c>
      <c r="G2877">
        <v>-165913</v>
      </c>
      <c r="H2877">
        <v>66978</v>
      </c>
      <c r="I2877">
        <v>69615</v>
      </c>
      <c r="J2877">
        <v>1162</v>
      </c>
      <c r="K2877">
        <v>510131</v>
      </c>
      <c r="L2877">
        <v>126037</v>
      </c>
      <c r="M2877">
        <v>-66506</v>
      </c>
      <c r="N2877">
        <v>149348</v>
      </c>
      <c r="O2877" t="s">
        <v>2895</v>
      </c>
      <c r="P2877" s="9">
        <v>219746</v>
      </c>
      <c r="Q2877" s="9">
        <v>42499</v>
      </c>
      <c r="R2877" s="9">
        <v>262245</v>
      </c>
      <c r="S2877" s="9">
        <v>-81394</v>
      </c>
      <c r="T2877" s="10">
        <v>83570</v>
      </c>
      <c r="U2877" s="10">
        <v>940</v>
      </c>
    </row>
    <row r="2878" spans="1:21" x14ac:dyDescent="0.35">
      <c r="A2878" t="s">
        <v>15</v>
      </c>
      <c r="B2878" t="s">
        <v>20</v>
      </c>
      <c r="C2878" t="s">
        <v>21</v>
      </c>
      <c r="D2878">
        <v>199265</v>
      </c>
      <c r="E2878">
        <v>29079</v>
      </c>
      <c r="F2878">
        <v>38011</v>
      </c>
      <c r="G2878">
        <v>-184379</v>
      </c>
      <c r="H2878">
        <v>81976</v>
      </c>
      <c r="I2878">
        <v>85567</v>
      </c>
      <c r="J2878">
        <v>2133</v>
      </c>
      <c r="K2878">
        <v>554422</v>
      </c>
      <c r="L2878">
        <v>215359</v>
      </c>
      <c r="M2878">
        <v>-141635</v>
      </c>
      <c r="N2878">
        <v>152648</v>
      </c>
      <c r="O2878" t="s">
        <v>2896</v>
      </c>
      <c r="P2878" s="9">
        <v>256684</v>
      </c>
      <c r="Q2878" s="9">
        <v>34885</v>
      </c>
      <c r="R2878" s="9">
        <v>291569</v>
      </c>
      <c r="S2878" s="9">
        <v>-135749</v>
      </c>
      <c r="T2878" s="10">
        <v>125562</v>
      </c>
      <c r="U2878" s="10">
        <v>1342</v>
      </c>
    </row>
    <row r="2879" spans="1:21" x14ac:dyDescent="0.35">
      <c r="A2879" t="s">
        <v>15</v>
      </c>
      <c r="B2879" t="s">
        <v>20</v>
      </c>
      <c r="C2879" t="s">
        <v>17</v>
      </c>
      <c r="D2879">
        <v>211878</v>
      </c>
      <c r="E2879">
        <v>38238</v>
      </c>
      <c r="F2879">
        <v>36804</v>
      </c>
      <c r="G2879">
        <v>-199180</v>
      </c>
      <c r="H2879">
        <v>87740</v>
      </c>
      <c r="I2879">
        <v>86675</v>
      </c>
      <c r="J2879">
        <v>946</v>
      </c>
      <c r="K2879">
        <v>469436</v>
      </c>
      <c r="L2879">
        <v>73266</v>
      </c>
      <c r="M2879">
        <v>-71765</v>
      </c>
      <c r="N2879">
        <v>181336</v>
      </c>
      <c r="O2879" t="s">
        <v>2897</v>
      </c>
      <c r="P2879" s="9">
        <v>278192</v>
      </c>
      <c r="Q2879" s="9">
        <v>43624</v>
      </c>
      <c r="R2879" s="9">
        <v>321816</v>
      </c>
      <c r="S2879" s="9">
        <v>-70658</v>
      </c>
      <c r="T2879" s="10">
        <v>86716</v>
      </c>
      <c r="U2879" s="10">
        <v>1413</v>
      </c>
    </row>
    <row r="2880" spans="1:21" x14ac:dyDescent="0.35">
      <c r="A2880" t="s">
        <v>15</v>
      </c>
      <c r="B2880" t="s">
        <v>16</v>
      </c>
      <c r="C2880" t="s">
        <v>21</v>
      </c>
      <c r="D2880">
        <v>269800</v>
      </c>
      <c r="E2880">
        <v>28573</v>
      </c>
      <c r="F2880">
        <v>67097</v>
      </c>
      <c r="G2880">
        <v>-263636</v>
      </c>
      <c r="H2880">
        <v>101834</v>
      </c>
      <c r="I2880">
        <v>104230</v>
      </c>
      <c r="J2880">
        <v>1994</v>
      </c>
      <c r="K2880">
        <v>958201</v>
      </c>
      <c r="L2880">
        <v>215617</v>
      </c>
      <c r="M2880">
        <v>-342860</v>
      </c>
      <c r="N2880">
        <v>153868</v>
      </c>
      <c r="O2880" t="s">
        <v>2898</v>
      </c>
      <c r="P2880" s="9">
        <v>189780</v>
      </c>
      <c r="Q2880" s="9">
        <v>40657</v>
      </c>
      <c r="R2880" s="9">
        <v>230437</v>
      </c>
      <c r="S2880" s="9">
        <v>-87856</v>
      </c>
      <c r="T2880" s="10">
        <v>90978</v>
      </c>
      <c r="U2880" s="10">
        <v>993</v>
      </c>
    </row>
    <row r="2881" spans="1:21" x14ac:dyDescent="0.35">
      <c r="A2881" t="s">
        <v>15</v>
      </c>
      <c r="B2881" t="s">
        <v>20</v>
      </c>
      <c r="C2881" t="s">
        <v>21</v>
      </c>
      <c r="D2881">
        <v>218701</v>
      </c>
      <c r="E2881">
        <v>43611</v>
      </c>
      <c r="F2881">
        <v>45018</v>
      </c>
      <c r="G2881">
        <v>-211954</v>
      </c>
      <c r="H2881">
        <v>95376</v>
      </c>
      <c r="I2881">
        <v>95450</v>
      </c>
      <c r="J2881">
        <v>1293</v>
      </c>
      <c r="K2881">
        <v>795879</v>
      </c>
      <c r="L2881">
        <v>207591</v>
      </c>
      <c r="M2881">
        <v>-124665</v>
      </c>
      <c r="N2881">
        <v>74951</v>
      </c>
      <c r="O2881" t="s">
        <v>2899</v>
      </c>
      <c r="P2881" s="9">
        <v>155109</v>
      </c>
      <c r="Q2881" s="9">
        <v>24385</v>
      </c>
      <c r="R2881" s="9">
        <v>179494</v>
      </c>
      <c r="S2881" s="9">
        <v>-98781</v>
      </c>
      <c r="T2881" s="10">
        <v>53645</v>
      </c>
      <c r="U2881" s="10">
        <v>1126</v>
      </c>
    </row>
    <row r="2882" spans="1:21" x14ac:dyDescent="0.35">
      <c r="A2882" t="s">
        <v>15</v>
      </c>
      <c r="B2882" t="s">
        <v>20</v>
      </c>
      <c r="C2882" t="s">
        <v>21</v>
      </c>
      <c r="D2882">
        <v>233945</v>
      </c>
      <c r="E2882">
        <v>25356</v>
      </c>
      <c r="F2882">
        <v>44456</v>
      </c>
      <c r="G2882">
        <v>-203633</v>
      </c>
      <c r="H2882">
        <v>100124</v>
      </c>
      <c r="I2882">
        <v>91853</v>
      </c>
      <c r="J2882">
        <v>1931</v>
      </c>
      <c r="K2882">
        <v>790985</v>
      </c>
      <c r="L2882">
        <v>355311</v>
      </c>
      <c r="M2882">
        <v>-184447</v>
      </c>
      <c r="N2882">
        <v>147511</v>
      </c>
      <c r="O2882" t="s">
        <v>2900</v>
      </c>
      <c r="P2882" s="9">
        <v>220188</v>
      </c>
      <c r="Q2882" s="9">
        <v>14430</v>
      </c>
      <c r="R2882" s="9">
        <v>234618</v>
      </c>
      <c r="S2882" s="9">
        <v>-89927</v>
      </c>
      <c r="T2882" s="10">
        <v>88313</v>
      </c>
      <c r="U2882" s="10">
        <v>2263</v>
      </c>
    </row>
    <row r="2883" spans="1:21" x14ac:dyDescent="0.35">
      <c r="A2883" t="s">
        <v>15</v>
      </c>
      <c r="B2883" t="s">
        <v>20</v>
      </c>
      <c r="C2883" t="s">
        <v>21</v>
      </c>
      <c r="D2883">
        <v>222138</v>
      </c>
      <c r="E2883">
        <v>30299</v>
      </c>
      <c r="F2883">
        <v>49102</v>
      </c>
      <c r="G2883">
        <v>-215663</v>
      </c>
      <c r="H2883">
        <v>85876</v>
      </c>
      <c r="I2883">
        <v>80101</v>
      </c>
      <c r="J2883">
        <v>2152</v>
      </c>
      <c r="K2883">
        <v>446731</v>
      </c>
      <c r="L2883">
        <v>55184</v>
      </c>
      <c r="M2883">
        <v>-154333</v>
      </c>
      <c r="N2883">
        <v>141673</v>
      </c>
      <c r="O2883" t="s">
        <v>2901</v>
      </c>
      <c r="P2883" s="9">
        <v>302618</v>
      </c>
      <c r="Q2883" s="9">
        <v>42087</v>
      </c>
      <c r="R2883" s="9">
        <v>344705</v>
      </c>
      <c r="S2883" s="9">
        <v>-126218</v>
      </c>
      <c r="T2883" s="10">
        <v>135624</v>
      </c>
      <c r="U2883" s="10">
        <v>1619</v>
      </c>
    </row>
    <row r="2884" spans="1:21" x14ac:dyDescent="0.35">
      <c r="A2884" t="s">
        <v>15</v>
      </c>
      <c r="B2884" t="s">
        <v>16</v>
      </c>
      <c r="C2884" t="s">
        <v>21</v>
      </c>
      <c r="D2884">
        <v>247161</v>
      </c>
      <c r="E2884">
        <v>28436</v>
      </c>
      <c r="F2884">
        <v>35381</v>
      </c>
      <c r="G2884">
        <v>-238570</v>
      </c>
      <c r="H2884">
        <v>72408</v>
      </c>
      <c r="I2884">
        <v>72060</v>
      </c>
      <c r="J2884">
        <v>730</v>
      </c>
      <c r="K2884">
        <v>503320</v>
      </c>
      <c r="L2884">
        <v>207881</v>
      </c>
      <c r="M2884">
        <v>-82477</v>
      </c>
      <c r="N2884">
        <v>86455</v>
      </c>
      <c r="O2884" t="s">
        <v>2902</v>
      </c>
      <c r="P2884" s="9">
        <v>167929</v>
      </c>
      <c r="Q2884" s="9">
        <v>28631</v>
      </c>
      <c r="R2884" s="9">
        <v>196560</v>
      </c>
      <c r="S2884" s="9">
        <v>-108452</v>
      </c>
      <c r="T2884" s="10">
        <v>109046</v>
      </c>
      <c r="U2884" s="10">
        <v>2002</v>
      </c>
    </row>
    <row r="2885" spans="1:21" x14ac:dyDescent="0.35">
      <c r="A2885" t="s">
        <v>15</v>
      </c>
      <c r="B2885" t="s">
        <v>20</v>
      </c>
      <c r="C2885" t="s">
        <v>21</v>
      </c>
      <c r="D2885">
        <v>222813</v>
      </c>
      <c r="E2885">
        <v>12295</v>
      </c>
      <c r="F2885">
        <v>30983</v>
      </c>
      <c r="G2885">
        <v>-198203</v>
      </c>
      <c r="H2885">
        <v>67888</v>
      </c>
      <c r="I2885">
        <v>62045</v>
      </c>
      <c r="J2885">
        <v>1289</v>
      </c>
      <c r="K2885">
        <v>565222</v>
      </c>
      <c r="L2885">
        <v>277395</v>
      </c>
      <c r="M2885">
        <v>-214515</v>
      </c>
      <c r="N2885">
        <v>183963</v>
      </c>
      <c r="O2885" t="s">
        <v>2903</v>
      </c>
      <c r="P2885" s="9">
        <v>287896</v>
      </c>
      <c r="Q2885" s="9">
        <v>37019</v>
      </c>
      <c r="R2885" s="9">
        <v>324915</v>
      </c>
      <c r="S2885" s="9">
        <v>-140237</v>
      </c>
      <c r="T2885" s="10">
        <v>117310</v>
      </c>
      <c r="U2885" s="10">
        <v>3267</v>
      </c>
    </row>
    <row r="2886" spans="1:21" x14ac:dyDescent="0.35">
      <c r="A2886" t="s">
        <v>15</v>
      </c>
      <c r="B2886" t="s">
        <v>20</v>
      </c>
      <c r="C2886" t="s">
        <v>21</v>
      </c>
      <c r="D2886">
        <v>216733</v>
      </c>
      <c r="E2886">
        <v>17161</v>
      </c>
      <c r="F2886">
        <v>52917</v>
      </c>
      <c r="G2886">
        <v>-200709</v>
      </c>
      <c r="H2886">
        <v>86102</v>
      </c>
      <c r="I2886">
        <v>84798</v>
      </c>
      <c r="J2886">
        <v>2476</v>
      </c>
      <c r="K2886">
        <v>804747</v>
      </c>
      <c r="L2886">
        <v>237906</v>
      </c>
      <c r="M2886">
        <v>-228506</v>
      </c>
      <c r="N2886">
        <v>193955</v>
      </c>
      <c r="O2886" t="s">
        <v>2904</v>
      </c>
      <c r="P2886" s="9">
        <v>162298</v>
      </c>
      <c r="Q2886" s="9">
        <v>13534</v>
      </c>
      <c r="R2886" s="9">
        <v>175832</v>
      </c>
      <c r="S2886" s="9">
        <v>-42726</v>
      </c>
      <c r="T2886" s="10">
        <v>38468</v>
      </c>
      <c r="U2886" s="10">
        <v>1014</v>
      </c>
    </row>
    <row r="2887" spans="1:21" x14ac:dyDescent="0.35">
      <c r="A2887" t="s">
        <v>15</v>
      </c>
      <c r="B2887" t="s">
        <v>16</v>
      </c>
      <c r="C2887" t="s">
        <v>21</v>
      </c>
      <c r="D2887">
        <v>160473</v>
      </c>
      <c r="E2887">
        <v>23541</v>
      </c>
      <c r="F2887">
        <v>17079</v>
      </c>
      <c r="G2887">
        <v>-141483</v>
      </c>
      <c r="H2887">
        <v>59610</v>
      </c>
      <c r="I2887">
        <v>61194</v>
      </c>
      <c r="J2887">
        <v>1154</v>
      </c>
      <c r="K2887">
        <v>526286</v>
      </c>
      <c r="L2887">
        <v>177742</v>
      </c>
      <c r="M2887">
        <v>-207801</v>
      </c>
      <c r="N2887">
        <v>61919</v>
      </c>
      <c r="O2887" t="s">
        <v>2905</v>
      </c>
      <c r="P2887" s="9">
        <v>234837</v>
      </c>
      <c r="Q2887" s="9">
        <v>47151</v>
      </c>
      <c r="R2887" s="9">
        <v>281988</v>
      </c>
      <c r="S2887" s="9">
        <v>-106201</v>
      </c>
      <c r="T2887" s="10">
        <v>112177</v>
      </c>
      <c r="U2887" s="10">
        <v>2654</v>
      </c>
    </row>
    <row r="2888" spans="1:21" x14ac:dyDescent="0.35">
      <c r="A2888" t="s">
        <v>15</v>
      </c>
      <c r="B2888" t="s">
        <v>16</v>
      </c>
      <c r="C2888" t="s">
        <v>21</v>
      </c>
      <c r="D2888">
        <v>153947</v>
      </c>
      <c r="E2888">
        <v>27649</v>
      </c>
      <c r="F2888">
        <v>31353</v>
      </c>
      <c r="G2888">
        <v>-141789</v>
      </c>
      <c r="H2888">
        <v>71160</v>
      </c>
      <c r="I2888">
        <v>71775</v>
      </c>
      <c r="J2888">
        <v>1304</v>
      </c>
      <c r="K2888">
        <v>461990</v>
      </c>
      <c r="L2888">
        <v>163369</v>
      </c>
      <c r="M2888">
        <v>-99988</v>
      </c>
      <c r="N2888">
        <v>109876</v>
      </c>
      <c r="O2888" t="s">
        <v>2906</v>
      </c>
      <c r="P2888" s="9">
        <v>178919</v>
      </c>
      <c r="Q2888" s="9">
        <v>41610</v>
      </c>
      <c r="R2888" s="9">
        <v>220529</v>
      </c>
      <c r="S2888" s="9">
        <v>-65157</v>
      </c>
      <c r="T2888" s="10">
        <v>93376</v>
      </c>
      <c r="U2888" s="10">
        <v>1113</v>
      </c>
    </row>
    <row r="2889" spans="1:21" x14ac:dyDescent="0.35">
      <c r="A2889" t="s">
        <v>15</v>
      </c>
      <c r="B2889" t="s">
        <v>16</v>
      </c>
      <c r="C2889" t="s">
        <v>21</v>
      </c>
      <c r="D2889">
        <v>258222</v>
      </c>
      <c r="E2889">
        <v>17751</v>
      </c>
      <c r="F2889">
        <v>53491</v>
      </c>
      <c r="G2889">
        <v>-245956</v>
      </c>
      <c r="H2889">
        <v>83508</v>
      </c>
      <c r="I2889">
        <v>82152</v>
      </c>
      <c r="J2889">
        <v>1342</v>
      </c>
      <c r="K2889">
        <v>961719</v>
      </c>
      <c r="L2889">
        <v>385703</v>
      </c>
      <c r="M2889">
        <v>-370133</v>
      </c>
      <c r="N2889">
        <v>116184</v>
      </c>
      <c r="O2889" t="s">
        <v>2907</v>
      </c>
      <c r="P2889" s="9">
        <v>267455</v>
      </c>
      <c r="Q2889" s="9">
        <v>25094</v>
      </c>
      <c r="R2889" s="9">
        <v>292549</v>
      </c>
      <c r="S2889" s="9">
        <v>-90417</v>
      </c>
      <c r="T2889" s="10">
        <v>108561</v>
      </c>
      <c r="U2889" s="10">
        <v>2992</v>
      </c>
    </row>
    <row r="2890" spans="1:21" x14ac:dyDescent="0.35">
      <c r="A2890" t="s">
        <v>15</v>
      </c>
      <c r="B2890" t="s">
        <v>20</v>
      </c>
      <c r="C2890" t="s">
        <v>21</v>
      </c>
      <c r="D2890">
        <v>252827</v>
      </c>
      <c r="E2890">
        <v>22559</v>
      </c>
      <c r="F2890">
        <v>52650</v>
      </c>
      <c r="G2890">
        <v>-242646</v>
      </c>
      <c r="H2890">
        <v>85390</v>
      </c>
      <c r="I2890">
        <v>79527</v>
      </c>
      <c r="J2890">
        <v>1635</v>
      </c>
      <c r="K2890">
        <v>847720</v>
      </c>
      <c r="L2890">
        <v>181939</v>
      </c>
      <c r="M2890">
        <v>-206692</v>
      </c>
      <c r="N2890">
        <v>96074</v>
      </c>
      <c r="O2890" t="s">
        <v>2908</v>
      </c>
      <c r="P2890" s="9">
        <v>178693</v>
      </c>
      <c r="Q2890" s="9">
        <v>9223</v>
      </c>
      <c r="R2890" s="9">
        <v>187916</v>
      </c>
      <c r="S2890" s="9">
        <v>-42993</v>
      </c>
      <c r="T2890" s="10">
        <v>55731</v>
      </c>
      <c r="U2890" s="10">
        <v>1451</v>
      </c>
    </row>
    <row r="2891" spans="1:21" x14ac:dyDescent="0.35">
      <c r="A2891" t="s">
        <v>15</v>
      </c>
      <c r="B2891" t="s">
        <v>20</v>
      </c>
      <c r="C2891" t="s">
        <v>21</v>
      </c>
      <c r="D2891">
        <v>190457</v>
      </c>
      <c r="E2891">
        <v>28135</v>
      </c>
      <c r="F2891">
        <v>24507</v>
      </c>
      <c r="G2891">
        <v>-156314</v>
      </c>
      <c r="H2891">
        <v>86785</v>
      </c>
      <c r="I2891">
        <v>88126</v>
      </c>
      <c r="J2891">
        <v>917</v>
      </c>
      <c r="K2891">
        <v>534870</v>
      </c>
      <c r="L2891">
        <v>152104</v>
      </c>
      <c r="M2891">
        <v>-200289</v>
      </c>
      <c r="N2891">
        <v>154262</v>
      </c>
      <c r="O2891" t="s">
        <v>2909</v>
      </c>
      <c r="P2891" s="9">
        <v>192729</v>
      </c>
      <c r="Q2891" s="9">
        <v>24831</v>
      </c>
      <c r="R2891" s="9">
        <v>217560</v>
      </c>
      <c r="S2891" s="9">
        <v>-117480</v>
      </c>
      <c r="T2891" s="10">
        <v>80266</v>
      </c>
      <c r="U2891" s="10">
        <v>1421</v>
      </c>
    </row>
    <row r="2892" spans="1:21" x14ac:dyDescent="0.35">
      <c r="A2892" t="s">
        <v>15</v>
      </c>
      <c r="B2892" t="s">
        <v>16</v>
      </c>
      <c r="C2892" t="s">
        <v>17</v>
      </c>
      <c r="D2892">
        <v>161651</v>
      </c>
      <c r="E2892">
        <v>25470</v>
      </c>
      <c r="F2892">
        <v>34429</v>
      </c>
      <c r="G2892">
        <v>-141913</v>
      </c>
      <c r="H2892">
        <v>79637</v>
      </c>
      <c r="I2892">
        <v>79231</v>
      </c>
      <c r="J2892">
        <v>1573</v>
      </c>
      <c r="K2892">
        <v>639461</v>
      </c>
      <c r="L2892">
        <v>74658</v>
      </c>
      <c r="M2892">
        <v>-224648</v>
      </c>
      <c r="N2892">
        <v>116947</v>
      </c>
      <c r="O2892" t="s">
        <v>2910</v>
      </c>
      <c r="P2892" s="9">
        <v>152375</v>
      </c>
      <c r="Q2892" s="9">
        <v>13431</v>
      </c>
      <c r="R2892" s="9">
        <v>165806</v>
      </c>
      <c r="S2892" s="9">
        <v>-98133</v>
      </c>
      <c r="T2892" s="10">
        <v>65819</v>
      </c>
      <c r="U2892" s="10">
        <v>1389</v>
      </c>
    </row>
    <row r="2893" spans="1:21" x14ac:dyDescent="0.35">
      <c r="A2893" t="s">
        <v>15</v>
      </c>
      <c r="B2893" t="s">
        <v>20</v>
      </c>
      <c r="C2893" t="s">
        <v>17</v>
      </c>
      <c r="D2893">
        <v>158637</v>
      </c>
      <c r="E2893">
        <v>27677</v>
      </c>
      <c r="F2893">
        <v>30360</v>
      </c>
      <c r="G2893">
        <v>-153181</v>
      </c>
      <c r="H2893">
        <v>63493</v>
      </c>
      <c r="I2893">
        <v>59086</v>
      </c>
      <c r="J2893">
        <v>1173</v>
      </c>
      <c r="K2893">
        <v>514514</v>
      </c>
      <c r="L2893">
        <v>138770</v>
      </c>
      <c r="M2893">
        <v>-137915</v>
      </c>
      <c r="N2893">
        <v>106393</v>
      </c>
      <c r="O2893" t="s">
        <v>2911</v>
      </c>
      <c r="P2893" s="9">
        <v>284786</v>
      </c>
      <c r="Q2893" s="9">
        <v>36714</v>
      </c>
      <c r="R2893" s="9">
        <v>321500</v>
      </c>
      <c r="S2893" s="9">
        <v>-185545</v>
      </c>
      <c r="T2893" s="10">
        <v>110734</v>
      </c>
      <c r="U2893" s="10">
        <v>3166</v>
      </c>
    </row>
    <row r="2894" spans="1:21" x14ac:dyDescent="0.35">
      <c r="A2894" t="s">
        <v>15</v>
      </c>
      <c r="B2894" t="s">
        <v>16</v>
      </c>
      <c r="C2894" t="s">
        <v>17</v>
      </c>
      <c r="D2894">
        <v>192598</v>
      </c>
      <c r="E2894">
        <v>20425</v>
      </c>
      <c r="F2894">
        <v>36634</v>
      </c>
      <c r="G2894">
        <v>-172854</v>
      </c>
      <c r="H2894">
        <v>76803</v>
      </c>
      <c r="I2894">
        <v>79774</v>
      </c>
      <c r="J2894">
        <v>1773</v>
      </c>
      <c r="K2894">
        <v>677005</v>
      </c>
      <c r="L2894">
        <v>119208</v>
      </c>
      <c r="M2894">
        <v>-233035</v>
      </c>
      <c r="N2894">
        <v>110852</v>
      </c>
      <c r="O2894" t="s">
        <v>2912</v>
      </c>
      <c r="P2894" s="9">
        <v>227214</v>
      </c>
      <c r="Q2894" s="9">
        <v>10790</v>
      </c>
      <c r="R2894" s="9">
        <v>238004</v>
      </c>
      <c r="S2894" s="9">
        <v>-123666</v>
      </c>
      <c r="T2894" s="10">
        <v>79658</v>
      </c>
      <c r="U2894" s="10">
        <v>2292</v>
      </c>
    </row>
    <row r="2895" spans="1:21" x14ac:dyDescent="0.35">
      <c r="A2895" t="s">
        <v>15</v>
      </c>
      <c r="B2895" t="s">
        <v>16</v>
      </c>
      <c r="C2895" t="s">
        <v>21</v>
      </c>
      <c r="D2895">
        <v>233055</v>
      </c>
      <c r="E2895">
        <v>35961</v>
      </c>
      <c r="F2895">
        <v>35188</v>
      </c>
      <c r="G2895">
        <v>-203169</v>
      </c>
      <c r="H2895">
        <v>101035</v>
      </c>
      <c r="I2895">
        <v>93740</v>
      </c>
      <c r="J2895">
        <v>2652</v>
      </c>
      <c r="K2895">
        <v>771129</v>
      </c>
      <c r="L2895">
        <v>246205</v>
      </c>
      <c r="M2895">
        <v>-130485</v>
      </c>
      <c r="N2895">
        <v>160807</v>
      </c>
      <c r="O2895" t="s">
        <v>2913</v>
      </c>
      <c r="P2895" s="9">
        <v>214579</v>
      </c>
      <c r="Q2895" s="9">
        <v>25530</v>
      </c>
      <c r="R2895" s="9">
        <v>240109</v>
      </c>
      <c r="S2895" s="9">
        <v>-71979</v>
      </c>
      <c r="T2895" s="10">
        <v>64978</v>
      </c>
      <c r="U2895" s="10">
        <v>1752</v>
      </c>
    </row>
    <row r="2896" spans="1:21" x14ac:dyDescent="0.35">
      <c r="A2896" t="s">
        <v>15</v>
      </c>
      <c r="B2896" t="s">
        <v>20</v>
      </c>
      <c r="C2896" t="s">
        <v>21</v>
      </c>
      <c r="D2896">
        <v>243868</v>
      </c>
      <c r="E2896">
        <v>38762</v>
      </c>
      <c r="F2896">
        <v>43437</v>
      </c>
      <c r="G2896">
        <v>-227481</v>
      </c>
      <c r="H2896">
        <v>98586</v>
      </c>
      <c r="I2896">
        <v>96305</v>
      </c>
      <c r="J2896">
        <v>1271</v>
      </c>
      <c r="K2896">
        <v>675743</v>
      </c>
      <c r="L2896">
        <v>165917</v>
      </c>
      <c r="M2896">
        <v>-103645</v>
      </c>
      <c r="N2896">
        <v>210767</v>
      </c>
      <c r="O2896" t="s">
        <v>2914</v>
      </c>
      <c r="P2896" s="9">
        <v>197460</v>
      </c>
      <c r="Q2896" s="9">
        <v>9950</v>
      </c>
      <c r="R2896" s="9">
        <v>207410</v>
      </c>
      <c r="S2896" s="9">
        <v>-48416</v>
      </c>
      <c r="T2896" s="10">
        <v>42444</v>
      </c>
      <c r="U2896" s="10">
        <v>777</v>
      </c>
    </row>
    <row r="2897" spans="1:21" x14ac:dyDescent="0.35">
      <c r="A2897" t="s">
        <v>15</v>
      </c>
      <c r="B2897" t="s">
        <v>20</v>
      </c>
      <c r="C2897" t="s">
        <v>17</v>
      </c>
      <c r="D2897">
        <v>243441</v>
      </c>
      <c r="E2897">
        <v>22654</v>
      </c>
      <c r="F2897">
        <v>38132</v>
      </c>
      <c r="G2897">
        <v>-208163</v>
      </c>
      <c r="H2897">
        <v>96064</v>
      </c>
      <c r="I2897">
        <v>94458</v>
      </c>
      <c r="J2897">
        <v>2539</v>
      </c>
      <c r="K2897">
        <v>830806</v>
      </c>
      <c r="L2897">
        <v>154015</v>
      </c>
      <c r="M2897">
        <v>-144068</v>
      </c>
      <c r="N2897">
        <v>108057</v>
      </c>
      <c r="O2897" t="s">
        <v>2915</v>
      </c>
      <c r="P2897" s="9">
        <v>176190</v>
      </c>
      <c r="Q2897" s="9">
        <v>10536</v>
      </c>
      <c r="R2897" s="9">
        <v>186726</v>
      </c>
      <c r="S2897" s="9">
        <v>-40845</v>
      </c>
      <c r="T2897" s="10">
        <v>41347</v>
      </c>
      <c r="U2897" s="10">
        <v>1236</v>
      </c>
    </row>
    <row r="2898" spans="1:21" x14ac:dyDescent="0.35">
      <c r="A2898" t="s">
        <v>15</v>
      </c>
      <c r="B2898" t="s">
        <v>16</v>
      </c>
      <c r="C2898" t="s">
        <v>21</v>
      </c>
      <c r="D2898">
        <v>199217</v>
      </c>
      <c r="E2898">
        <v>28666</v>
      </c>
      <c r="F2898">
        <v>42500</v>
      </c>
      <c r="G2898">
        <v>-177010</v>
      </c>
      <c r="H2898">
        <v>93373</v>
      </c>
      <c r="I2898">
        <v>94551</v>
      </c>
      <c r="J2898">
        <v>2163</v>
      </c>
      <c r="K2898">
        <v>668225</v>
      </c>
      <c r="L2898">
        <v>217265</v>
      </c>
      <c r="M2898">
        <v>-247831</v>
      </c>
      <c r="N2898">
        <v>95560</v>
      </c>
      <c r="O2898" t="s">
        <v>2916</v>
      </c>
      <c r="P2898" s="9">
        <v>272309</v>
      </c>
      <c r="Q2898" s="9">
        <v>20526</v>
      </c>
      <c r="R2898" s="9">
        <v>292835</v>
      </c>
      <c r="S2898" s="9">
        <v>-110138</v>
      </c>
      <c r="T2898" s="10">
        <v>96829</v>
      </c>
      <c r="U2898" s="10">
        <v>1021</v>
      </c>
    </row>
    <row r="2899" spans="1:21" x14ac:dyDescent="0.35">
      <c r="A2899" t="s">
        <v>15</v>
      </c>
      <c r="B2899" t="s">
        <v>20</v>
      </c>
      <c r="C2899" t="s">
        <v>17</v>
      </c>
      <c r="D2899">
        <v>234364</v>
      </c>
      <c r="E2899">
        <v>30575</v>
      </c>
      <c r="F2899">
        <v>36731</v>
      </c>
      <c r="G2899">
        <v>-198097</v>
      </c>
      <c r="H2899">
        <v>103573</v>
      </c>
      <c r="I2899">
        <v>105375</v>
      </c>
      <c r="J2899">
        <v>2446</v>
      </c>
      <c r="K2899">
        <v>493668</v>
      </c>
      <c r="L2899">
        <v>148356</v>
      </c>
      <c r="M2899">
        <v>-57233</v>
      </c>
      <c r="N2899">
        <v>177782</v>
      </c>
      <c r="O2899" t="s">
        <v>2917</v>
      </c>
      <c r="P2899" s="9">
        <v>283246</v>
      </c>
      <c r="Q2899" s="9">
        <v>45185</v>
      </c>
      <c r="R2899" s="9">
        <v>328431</v>
      </c>
      <c r="S2899" s="9">
        <v>-182538</v>
      </c>
      <c r="T2899" s="10">
        <v>117820</v>
      </c>
      <c r="U2899" s="10">
        <v>3239</v>
      </c>
    </row>
    <row r="2900" spans="1:21" x14ac:dyDescent="0.35">
      <c r="A2900" t="s">
        <v>15</v>
      </c>
      <c r="B2900" t="s">
        <v>16</v>
      </c>
      <c r="C2900" t="s">
        <v>21</v>
      </c>
      <c r="D2900">
        <v>187214</v>
      </c>
      <c r="E2900">
        <v>25372</v>
      </c>
      <c r="F2900">
        <v>25496</v>
      </c>
      <c r="G2900">
        <v>-170607</v>
      </c>
      <c r="H2900">
        <v>67475</v>
      </c>
      <c r="I2900">
        <v>69740</v>
      </c>
      <c r="J2900">
        <v>1664</v>
      </c>
      <c r="K2900">
        <v>451749</v>
      </c>
      <c r="L2900">
        <v>154918</v>
      </c>
      <c r="M2900">
        <v>-113739</v>
      </c>
      <c r="N2900">
        <v>137064</v>
      </c>
      <c r="O2900" t="s">
        <v>2918</v>
      </c>
      <c r="P2900" s="9">
        <v>195760</v>
      </c>
      <c r="Q2900" s="9">
        <v>13006</v>
      </c>
      <c r="R2900" s="9">
        <v>208766</v>
      </c>
      <c r="S2900" s="9">
        <v>-73327</v>
      </c>
      <c r="T2900" s="10">
        <v>75016</v>
      </c>
      <c r="U2900" s="10">
        <v>1379</v>
      </c>
    </row>
    <row r="2901" spans="1:21" x14ac:dyDescent="0.35">
      <c r="A2901" t="s">
        <v>15</v>
      </c>
      <c r="B2901" t="s">
        <v>20</v>
      </c>
      <c r="C2901" t="s">
        <v>17</v>
      </c>
      <c r="D2901">
        <v>164911</v>
      </c>
      <c r="E2901">
        <v>24152</v>
      </c>
      <c r="F2901">
        <v>34133</v>
      </c>
      <c r="G2901">
        <v>-163391</v>
      </c>
      <c r="H2901">
        <v>59805</v>
      </c>
      <c r="I2901">
        <v>60720</v>
      </c>
      <c r="J2901">
        <v>1772</v>
      </c>
      <c r="K2901">
        <v>490996</v>
      </c>
      <c r="L2901">
        <v>173782</v>
      </c>
      <c r="M2901">
        <v>-114254</v>
      </c>
      <c r="N2901">
        <v>142770</v>
      </c>
      <c r="O2901" t="s">
        <v>2919</v>
      </c>
      <c r="P2901" s="9">
        <v>197314</v>
      </c>
      <c r="Q2901" s="9">
        <v>38463</v>
      </c>
      <c r="R2901" s="9">
        <v>235777</v>
      </c>
      <c r="S2901" s="9">
        <v>-73775</v>
      </c>
      <c r="T2901" s="10">
        <v>80919</v>
      </c>
      <c r="U2901" s="10">
        <v>1661</v>
      </c>
    </row>
    <row r="2902" spans="1:21" x14ac:dyDescent="0.35">
      <c r="A2902" t="s">
        <v>15</v>
      </c>
      <c r="B2902" t="s">
        <v>16</v>
      </c>
      <c r="C2902" t="s">
        <v>21</v>
      </c>
      <c r="D2902">
        <v>261964</v>
      </c>
      <c r="E2902">
        <v>30388</v>
      </c>
      <c r="F2902">
        <v>26392</v>
      </c>
      <c r="G2902">
        <v>-243764</v>
      </c>
      <c r="H2902">
        <v>74980</v>
      </c>
      <c r="I2902">
        <v>70098</v>
      </c>
      <c r="J2902">
        <v>1716</v>
      </c>
      <c r="K2902">
        <v>1008949</v>
      </c>
      <c r="L2902">
        <v>105706</v>
      </c>
      <c r="M2902">
        <v>-266574</v>
      </c>
      <c r="N2902">
        <v>200498</v>
      </c>
      <c r="O2902" t="s">
        <v>2920</v>
      </c>
      <c r="P2902" s="9">
        <v>222597</v>
      </c>
      <c r="Q2902" s="9">
        <v>47542</v>
      </c>
      <c r="R2902" s="9">
        <v>270139</v>
      </c>
      <c r="S2902" s="9">
        <v>-66358</v>
      </c>
      <c r="T2902" s="10">
        <v>119430</v>
      </c>
      <c r="U2902" s="10">
        <v>3430</v>
      </c>
    </row>
    <row r="2903" spans="1:21" x14ac:dyDescent="0.35">
      <c r="A2903" t="s">
        <v>15</v>
      </c>
      <c r="B2903" t="s">
        <v>20</v>
      </c>
      <c r="C2903" t="s">
        <v>21</v>
      </c>
      <c r="D2903">
        <v>191841</v>
      </c>
      <c r="E2903">
        <v>32079</v>
      </c>
      <c r="F2903">
        <v>28094</v>
      </c>
      <c r="G2903">
        <v>-163158</v>
      </c>
      <c r="H2903">
        <v>88856</v>
      </c>
      <c r="I2903">
        <v>84875</v>
      </c>
      <c r="J2903">
        <v>980</v>
      </c>
      <c r="K2903">
        <v>572722</v>
      </c>
      <c r="L2903">
        <v>112452</v>
      </c>
      <c r="M2903">
        <v>-109891</v>
      </c>
      <c r="N2903">
        <v>64500</v>
      </c>
      <c r="O2903" t="s">
        <v>2921</v>
      </c>
      <c r="P2903" s="9">
        <v>186891</v>
      </c>
      <c r="Q2903" s="9">
        <v>23990</v>
      </c>
      <c r="R2903" s="9">
        <v>210881</v>
      </c>
      <c r="S2903" s="9">
        <v>-57534</v>
      </c>
      <c r="T2903" s="10">
        <v>54661</v>
      </c>
      <c r="U2903" s="10">
        <v>808</v>
      </c>
    </row>
    <row r="2904" spans="1:21" x14ac:dyDescent="0.35">
      <c r="A2904" t="s">
        <v>15</v>
      </c>
      <c r="B2904" t="s">
        <v>16</v>
      </c>
      <c r="C2904" t="s">
        <v>21</v>
      </c>
      <c r="D2904">
        <v>200844</v>
      </c>
      <c r="E2904">
        <v>11742</v>
      </c>
      <c r="F2904">
        <v>37947</v>
      </c>
      <c r="G2904">
        <v>-171541</v>
      </c>
      <c r="H2904">
        <v>78992</v>
      </c>
      <c r="I2904">
        <v>71477</v>
      </c>
      <c r="J2904">
        <v>1220</v>
      </c>
      <c r="K2904">
        <v>441234</v>
      </c>
      <c r="L2904">
        <v>140640</v>
      </c>
      <c r="M2904">
        <v>-176414</v>
      </c>
      <c r="N2904">
        <v>151993</v>
      </c>
      <c r="O2904" t="s">
        <v>2922</v>
      </c>
      <c r="P2904" s="9">
        <v>230198</v>
      </c>
      <c r="Q2904" s="9">
        <v>42140</v>
      </c>
      <c r="R2904" s="9">
        <v>272338</v>
      </c>
      <c r="S2904" s="9">
        <v>-91128</v>
      </c>
      <c r="T2904" s="10">
        <v>94836</v>
      </c>
      <c r="U2904" s="10">
        <v>2309</v>
      </c>
    </row>
    <row r="2905" spans="1:21" x14ac:dyDescent="0.35">
      <c r="A2905" t="s">
        <v>15</v>
      </c>
      <c r="B2905" t="s">
        <v>16</v>
      </c>
      <c r="C2905" t="s">
        <v>21</v>
      </c>
      <c r="D2905">
        <v>249825</v>
      </c>
      <c r="E2905">
        <v>31961</v>
      </c>
      <c r="F2905">
        <v>33700</v>
      </c>
      <c r="G2905">
        <v>-246561</v>
      </c>
      <c r="H2905">
        <v>68925</v>
      </c>
      <c r="I2905">
        <v>67589</v>
      </c>
      <c r="J2905">
        <v>1948</v>
      </c>
      <c r="K2905">
        <v>892165</v>
      </c>
      <c r="L2905">
        <v>287232</v>
      </c>
      <c r="M2905">
        <v>-222976</v>
      </c>
      <c r="N2905">
        <v>130352</v>
      </c>
      <c r="O2905" t="s">
        <v>2923</v>
      </c>
      <c r="P2905" s="9">
        <v>215813</v>
      </c>
      <c r="Q2905" s="9">
        <v>39679</v>
      </c>
      <c r="R2905" s="9">
        <v>255492</v>
      </c>
      <c r="S2905" s="9">
        <v>-110998</v>
      </c>
      <c r="T2905" s="10">
        <v>98205</v>
      </c>
      <c r="U2905" s="10">
        <v>2254</v>
      </c>
    </row>
    <row r="2906" spans="1:21" x14ac:dyDescent="0.35">
      <c r="A2906" t="s">
        <v>15</v>
      </c>
      <c r="B2906" t="s">
        <v>20</v>
      </c>
      <c r="C2906" t="s">
        <v>21</v>
      </c>
      <c r="D2906">
        <v>250681</v>
      </c>
      <c r="E2906">
        <v>18214</v>
      </c>
      <c r="F2906">
        <v>32148</v>
      </c>
      <c r="G2906">
        <v>-227408</v>
      </c>
      <c r="H2906">
        <v>73635</v>
      </c>
      <c r="I2906">
        <v>69002</v>
      </c>
      <c r="J2906">
        <v>888</v>
      </c>
      <c r="K2906">
        <v>852331</v>
      </c>
      <c r="L2906">
        <v>333488</v>
      </c>
      <c r="M2906">
        <v>-114724</v>
      </c>
      <c r="N2906">
        <v>222008</v>
      </c>
      <c r="O2906" t="s">
        <v>2924</v>
      </c>
      <c r="P2906" s="9">
        <v>215716</v>
      </c>
      <c r="Q2906" s="9">
        <v>11836</v>
      </c>
      <c r="R2906" s="9">
        <v>227552</v>
      </c>
      <c r="S2906" s="9">
        <v>-135032</v>
      </c>
      <c r="T2906" s="10">
        <v>63289</v>
      </c>
      <c r="U2906" s="10">
        <v>1548</v>
      </c>
    </row>
    <row r="2907" spans="1:21" x14ac:dyDescent="0.35">
      <c r="A2907" t="s">
        <v>15</v>
      </c>
      <c r="B2907" t="s">
        <v>20</v>
      </c>
      <c r="C2907" t="s">
        <v>21</v>
      </c>
      <c r="D2907">
        <v>199521</v>
      </c>
      <c r="E2907">
        <v>35104</v>
      </c>
      <c r="F2907">
        <v>37744</v>
      </c>
      <c r="G2907">
        <v>-173023</v>
      </c>
      <c r="H2907">
        <v>99346</v>
      </c>
      <c r="I2907">
        <v>91729</v>
      </c>
      <c r="J2907">
        <v>1882</v>
      </c>
      <c r="K2907">
        <v>473682</v>
      </c>
      <c r="L2907">
        <v>132612</v>
      </c>
      <c r="M2907">
        <v>-136023</v>
      </c>
      <c r="N2907">
        <v>110728</v>
      </c>
      <c r="O2907" t="s">
        <v>2925</v>
      </c>
      <c r="P2907" s="9">
        <v>287898</v>
      </c>
      <c r="Q2907" s="9">
        <v>31120</v>
      </c>
      <c r="R2907" s="9">
        <v>319018</v>
      </c>
      <c r="S2907" s="9">
        <v>-138342</v>
      </c>
      <c r="T2907" s="10">
        <v>93423</v>
      </c>
      <c r="U2907" s="10">
        <v>1895</v>
      </c>
    </row>
    <row r="2908" spans="1:21" x14ac:dyDescent="0.35">
      <c r="A2908" t="s">
        <v>15</v>
      </c>
      <c r="B2908" t="s">
        <v>20</v>
      </c>
      <c r="C2908" t="s">
        <v>21</v>
      </c>
      <c r="D2908">
        <v>247817</v>
      </c>
      <c r="E2908">
        <v>15345</v>
      </c>
      <c r="F2908">
        <v>51407</v>
      </c>
      <c r="G2908">
        <v>-233121</v>
      </c>
      <c r="H2908">
        <v>81448</v>
      </c>
      <c r="I2908">
        <v>83152</v>
      </c>
      <c r="J2908">
        <v>2153</v>
      </c>
      <c r="K2908">
        <v>591907</v>
      </c>
      <c r="L2908">
        <v>89620</v>
      </c>
      <c r="M2908">
        <v>-101041</v>
      </c>
      <c r="N2908">
        <v>121459</v>
      </c>
      <c r="O2908" t="s">
        <v>2926</v>
      </c>
      <c r="P2908" s="9">
        <v>319562</v>
      </c>
      <c r="Q2908" s="9">
        <v>58502</v>
      </c>
      <c r="R2908" s="9">
        <v>378064</v>
      </c>
      <c r="S2908" s="9">
        <v>-199824</v>
      </c>
      <c r="T2908" s="10">
        <v>102077</v>
      </c>
      <c r="U2908" s="10">
        <v>2524</v>
      </c>
    </row>
    <row r="2909" spans="1:21" x14ac:dyDescent="0.35">
      <c r="A2909" t="s">
        <v>15</v>
      </c>
      <c r="B2909" t="s">
        <v>16</v>
      </c>
      <c r="C2909" t="s">
        <v>21</v>
      </c>
      <c r="D2909">
        <v>251310</v>
      </c>
      <c r="E2909">
        <v>27760</v>
      </c>
      <c r="F2909">
        <v>53718</v>
      </c>
      <c r="G2909">
        <v>-239859</v>
      </c>
      <c r="H2909">
        <v>92929</v>
      </c>
      <c r="I2909">
        <v>84354</v>
      </c>
      <c r="J2909">
        <v>2007</v>
      </c>
      <c r="K2909">
        <v>671467</v>
      </c>
      <c r="L2909">
        <v>102490</v>
      </c>
      <c r="M2909">
        <v>-189617</v>
      </c>
      <c r="N2909">
        <v>82654</v>
      </c>
      <c r="O2909" t="s">
        <v>2927</v>
      </c>
      <c r="P2909" s="9">
        <v>212690</v>
      </c>
      <c r="Q2909" s="9">
        <v>43405</v>
      </c>
      <c r="R2909" s="9">
        <v>256095</v>
      </c>
      <c r="S2909" s="9">
        <v>-104252</v>
      </c>
      <c r="T2909" s="10">
        <v>87212</v>
      </c>
      <c r="U2909" s="10">
        <v>1376</v>
      </c>
    </row>
    <row r="2910" spans="1:21" x14ac:dyDescent="0.35">
      <c r="A2910" t="s">
        <v>15</v>
      </c>
      <c r="B2910" t="s">
        <v>20</v>
      </c>
      <c r="C2910" t="s">
        <v>17</v>
      </c>
      <c r="D2910">
        <v>291726</v>
      </c>
      <c r="E2910">
        <v>37001</v>
      </c>
      <c r="F2910">
        <v>72002</v>
      </c>
      <c r="G2910">
        <v>-235616</v>
      </c>
      <c r="H2910">
        <v>165113</v>
      </c>
      <c r="I2910">
        <v>157948</v>
      </c>
      <c r="J2910">
        <v>2921</v>
      </c>
      <c r="K2910">
        <v>1055186</v>
      </c>
      <c r="L2910">
        <v>350853</v>
      </c>
      <c r="M2910">
        <v>-210041</v>
      </c>
      <c r="N2910">
        <v>99750</v>
      </c>
      <c r="O2910" t="s">
        <v>2928</v>
      </c>
      <c r="P2910" s="9">
        <v>262503</v>
      </c>
      <c r="Q2910" s="9">
        <v>23727</v>
      </c>
      <c r="R2910" s="9">
        <v>286230</v>
      </c>
      <c r="S2910" s="9">
        <v>-145944</v>
      </c>
      <c r="T2910" s="10">
        <v>75904</v>
      </c>
      <c r="U2910" s="10">
        <v>1801</v>
      </c>
    </row>
    <row r="2911" spans="1:21" x14ac:dyDescent="0.35">
      <c r="A2911" t="s">
        <v>15</v>
      </c>
      <c r="B2911" t="s">
        <v>16</v>
      </c>
      <c r="C2911" t="s">
        <v>21</v>
      </c>
      <c r="D2911">
        <v>150485</v>
      </c>
      <c r="E2911">
        <v>21950</v>
      </c>
      <c r="F2911">
        <v>32242</v>
      </c>
      <c r="G2911">
        <v>-120765</v>
      </c>
      <c r="H2911">
        <v>83912</v>
      </c>
      <c r="I2911">
        <v>76127</v>
      </c>
      <c r="J2911">
        <v>961</v>
      </c>
      <c r="K2911">
        <v>570391</v>
      </c>
      <c r="L2911">
        <v>214047</v>
      </c>
      <c r="M2911">
        <v>-180613</v>
      </c>
      <c r="N2911">
        <v>78039</v>
      </c>
      <c r="O2911" t="s">
        <v>2929</v>
      </c>
      <c r="P2911" s="9">
        <v>179597</v>
      </c>
      <c r="Q2911" s="9">
        <v>37430</v>
      </c>
      <c r="R2911" s="9">
        <v>217027</v>
      </c>
      <c r="S2911" s="9">
        <v>-45894</v>
      </c>
      <c r="T2911" s="10">
        <v>84079</v>
      </c>
      <c r="U2911" s="10">
        <v>1862</v>
      </c>
    </row>
    <row r="2912" spans="1:21" x14ac:dyDescent="0.35">
      <c r="A2912" t="s">
        <v>15</v>
      </c>
      <c r="B2912" t="s">
        <v>16</v>
      </c>
      <c r="C2912" t="s">
        <v>21</v>
      </c>
      <c r="D2912">
        <v>175379</v>
      </c>
      <c r="E2912">
        <v>27309</v>
      </c>
      <c r="F2912">
        <v>26984</v>
      </c>
      <c r="G2912">
        <v>-152620</v>
      </c>
      <c r="H2912">
        <v>77052</v>
      </c>
      <c r="I2912">
        <v>75329</v>
      </c>
      <c r="J2912">
        <v>1626</v>
      </c>
      <c r="K2912">
        <v>410508</v>
      </c>
      <c r="L2912">
        <v>179769</v>
      </c>
      <c r="M2912">
        <v>-121166</v>
      </c>
      <c r="N2912">
        <v>55415</v>
      </c>
      <c r="O2912" t="s">
        <v>2930</v>
      </c>
      <c r="P2912" s="9">
        <v>222708</v>
      </c>
      <c r="Q2912" s="9">
        <v>28044</v>
      </c>
      <c r="R2912" s="9">
        <v>250752</v>
      </c>
      <c r="S2912" s="9">
        <v>-74262</v>
      </c>
      <c r="T2912" s="10">
        <v>89922</v>
      </c>
      <c r="U2912" s="10">
        <v>1331</v>
      </c>
    </row>
    <row r="2913" spans="1:21" x14ac:dyDescent="0.35">
      <c r="A2913" t="s">
        <v>15</v>
      </c>
      <c r="B2913" t="s">
        <v>20</v>
      </c>
      <c r="C2913" t="s">
        <v>21</v>
      </c>
      <c r="D2913">
        <v>243501</v>
      </c>
      <c r="E2913">
        <v>28864</v>
      </c>
      <c r="F2913">
        <v>32315</v>
      </c>
      <c r="G2913">
        <v>-213642</v>
      </c>
      <c r="H2913">
        <v>91038</v>
      </c>
      <c r="I2913">
        <v>91946</v>
      </c>
      <c r="J2913">
        <v>973</v>
      </c>
      <c r="K2913">
        <v>726996</v>
      </c>
      <c r="L2913">
        <v>160927</v>
      </c>
      <c r="M2913">
        <v>-197021</v>
      </c>
      <c r="N2913">
        <v>83928</v>
      </c>
      <c r="O2913" t="s">
        <v>2931</v>
      </c>
      <c r="P2913" s="9">
        <v>185770</v>
      </c>
      <c r="Q2913" s="9">
        <v>15714</v>
      </c>
      <c r="R2913" s="9">
        <v>201484</v>
      </c>
      <c r="S2913" s="9">
        <v>-59152</v>
      </c>
      <c r="T2913" s="10">
        <v>68629</v>
      </c>
      <c r="U2913" s="10">
        <v>1163</v>
      </c>
    </row>
    <row r="2914" spans="1:21" x14ac:dyDescent="0.35">
      <c r="A2914" t="s">
        <v>15</v>
      </c>
      <c r="B2914" t="s">
        <v>16</v>
      </c>
      <c r="C2914" t="s">
        <v>21</v>
      </c>
      <c r="D2914">
        <v>283197</v>
      </c>
      <c r="E2914">
        <v>16171</v>
      </c>
      <c r="F2914">
        <v>57968</v>
      </c>
      <c r="G2914">
        <v>-260204</v>
      </c>
      <c r="H2914">
        <v>97132</v>
      </c>
      <c r="I2914">
        <v>101147</v>
      </c>
      <c r="J2914">
        <v>2119</v>
      </c>
      <c r="K2914">
        <v>1045437</v>
      </c>
      <c r="L2914">
        <v>251626</v>
      </c>
      <c r="M2914">
        <v>-394874</v>
      </c>
      <c r="N2914">
        <v>202550</v>
      </c>
      <c r="O2914" t="s">
        <v>2932</v>
      </c>
      <c r="P2914" s="9">
        <v>184383</v>
      </c>
      <c r="Q2914" s="9">
        <v>13282</v>
      </c>
      <c r="R2914" s="9">
        <v>197665</v>
      </c>
      <c r="S2914" s="9">
        <v>-83160</v>
      </c>
      <c r="T2914" s="10">
        <v>48430</v>
      </c>
      <c r="U2914" s="10">
        <v>588</v>
      </c>
    </row>
    <row r="2915" spans="1:21" x14ac:dyDescent="0.35">
      <c r="A2915" t="s">
        <v>15</v>
      </c>
      <c r="B2915" t="s">
        <v>20</v>
      </c>
      <c r="C2915" t="s">
        <v>21</v>
      </c>
      <c r="D2915">
        <v>215028</v>
      </c>
      <c r="E2915">
        <v>19383</v>
      </c>
      <c r="F2915">
        <v>51911</v>
      </c>
      <c r="G2915">
        <v>-196392</v>
      </c>
      <c r="H2915">
        <v>89930</v>
      </c>
      <c r="I2915">
        <v>93490</v>
      </c>
      <c r="J2915">
        <v>2630</v>
      </c>
      <c r="K2915">
        <v>519454</v>
      </c>
      <c r="L2915">
        <v>105733</v>
      </c>
      <c r="M2915">
        <v>-157660</v>
      </c>
      <c r="N2915">
        <v>145645</v>
      </c>
      <c r="O2915" t="s">
        <v>2933</v>
      </c>
      <c r="P2915" s="9">
        <v>235898</v>
      </c>
      <c r="Q2915" s="9">
        <v>23979</v>
      </c>
      <c r="R2915" s="9">
        <v>259877</v>
      </c>
      <c r="S2915" s="9">
        <v>-110715</v>
      </c>
      <c r="T2915" s="10">
        <v>76854</v>
      </c>
      <c r="U2915" s="10">
        <v>2013</v>
      </c>
    </row>
    <row r="2916" spans="1:21" x14ac:dyDescent="0.35">
      <c r="A2916" t="s">
        <v>15</v>
      </c>
      <c r="B2916" t="s">
        <v>16</v>
      </c>
      <c r="C2916" t="s">
        <v>17</v>
      </c>
      <c r="D2916">
        <v>277867</v>
      </c>
      <c r="E2916">
        <v>17977</v>
      </c>
      <c r="F2916">
        <v>44988</v>
      </c>
      <c r="G2916">
        <v>-270512</v>
      </c>
      <c r="H2916">
        <v>70320</v>
      </c>
      <c r="I2916">
        <v>69810</v>
      </c>
      <c r="J2916">
        <v>1119</v>
      </c>
      <c r="K2916">
        <v>1062929</v>
      </c>
      <c r="L2916">
        <v>359818</v>
      </c>
      <c r="M2916">
        <v>-281364</v>
      </c>
      <c r="N2916">
        <v>192921</v>
      </c>
      <c r="O2916" t="s">
        <v>2934</v>
      </c>
      <c r="P2916" s="9">
        <v>277218</v>
      </c>
      <c r="Q2916" s="9">
        <v>12814</v>
      </c>
      <c r="R2916" s="9">
        <v>290032</v>
      </c>
      <c r="S2916" s="9">
        <v>-59489</v>
      </c>
      <c r="T2916" s="10">
        <v>68686</v>
      </c>
      <c r="U2916" s="10">
        <v>1013</v>
      </c>
    </row>
    <row r="2917" spans="1:21" x14ac:dyDescent="0.35">
      <c r="A2917" t="s">
        <v>15</v>
      </c>
      <c r="B2917" t="s">
        <v>16</v>
      </c>
      <c r="C2917" t="s">
        <v>21</v>
      </c>
      <c r="D2917">
        <v>192067</v>
      </c>
      <c r="E2917">
        <v>11021</v>
      </c>
      <c r="F2917">
        <v>24741</v>
      </c>
      <c r="G2917">
        <v>-177841</v>
      </c>
      <c r="H2917">
        <v>49988</v>
      </c>
      <c r="I2917">
        <v>48931</v>
      </c>
      <c r="J2917">
        <v>1019</v>
      </c>
      <c r="K2917">
        <v>537212</v>
      </c>
      <c r="L2917">
        <v>228936</v>
      </c>
      <c r="M2917">
        <v>-105650</v>
      </c>
      <c r="N2917">
        <v>100681</v>
      </c>
      <c r="O2917" t="s">
        <v>2935</v>
      </c>
      <c r="P2917" s="9">
        <v>224677</v>
      </c>
      <c r="Q2917" s="9">
        <v>29226</v>
      </c>
      <c r="R2917" s="9">
        <v>253903</v>
      </c>
      <c r="S2917" s="9">
        <v>-54732</v>
      </c>
      <c r="T2917" s="10">
        <v>115625</v>
      </c>
      <c r="U2917" s="10">
        <v>1670</v>
      </c>
    </row>
    <row r="2918" spans="1:21" x14ac:dyDescent="0.35">
      <c r="A2918" t="s">
        <v>15</v>
      </c>
      <c r="B2918" t="s">
        <v>16</v>
      </c>
      <c r="C2918" t="s">
        <v>21</v>
      </c>
      <c r="D2918">
        <v>288632</v>
      </c>
      <c r="E2918">
        <v>29565</v>
      </c>
      <c r="F2918">
        <v>50045</v>
      </c>
      <c r="G2918">
        <v>-237923</v>
      </c>
      <c r="H2918">
        <v>130319</v>
      </c>
      <c r="I2918">
        <v>133120</v>
      </c>
      <c r="J2918">
        <v>1431</v>
      </c>
      <c r="K2918">
        <v>852646</v>
      </c>
      <c r="L2918">
        <v>216235</v>
      </c>
      <c r="M2918">
        <v>-92248</v>
      </c>
      <c r="N2918">
        <v>128918</v>
      </c>
      <c r="O2918" t="s">
        <v>2936</v>
      </c>
      <c r="P2918" s="9">
        <v>200308</v>
      </c>
      <c r="Q2918" s="9">
        <v>24664</v>
      </c>
      <c r="R2918" s="9">
        <v>224972</v>
      </c>
      <c r="S2918" s="9">
        <v>-78012</v>
      </c>
      <c r="T2918" s="10">
        <v>83316</v>
      </c>
      <c r="U2918" s="10">
        <v>2317</v>
      </c>
    </row>
    <row r="2919" spans="1:21" x14ac:dyDescent="0.35">
      <c r="A2919" t="s">
        <v>15</v>
      </c>
      <c r="B2919" t="s">
        <v>16</v>
      </c>
      <c r="C2919" t="s">
        <v>21</v>
      </c>
      <c r="D2919">
        <v>250841</v>
      </c>
      <c r="E2919">
        <v>16400</v>
      </c>
      <c r="F2919">
        <v>40364</v>
      </c>
      <c r="G2919">
        <v>-206595</v>
      </c>
      <c r="H2919">
        <v>101010</v>
      </c>
      <c r="I2919">
        <v>98356</v>
      </c>
      <c r="J2919">
        <v>2443</v>
      </c>
      <c r="K2919">
        <v>976697</v>
      </c>
      <c r="L2919">
        <v>240971</v>
      </c>
      <c r="M2919">
        <v>-139809</v>
      </c>
      <c r="N2919">
        <v>215351</v>
      </c>
      <c r="O2919" t="s">
        <v>2937</v>
      </c>
      <c r="P2919" s="9">
        <v>154834</v>
      </c>
      <c r="Q2919" s="9">
        <v>13349</v>
      </c>
      <c r="R2919" s="9">
        <v>168183</v>
      </c>
      <c r="S2919" s="9">
        <v>-95075</v>
      </c>
      <c r="T2919" s="10">
        <v>67358</v>
      </c>
      <c r="U2919" s="10">
        <v>1102</v>
      </c>
    </row>
    <row r="2920" spans="1:21" x14ac:dyDescent="0.35">
      <c r="A2920" t="s">
        <v>15</v>
      </c>
      <c r="B2920" t="s">
        <v>20</v>
      </c>
      <c r="C2920" t="s">
        <v>17</v>
      </c>
      <c r="D2920">
        <v>223224</v>
      </c>
      <c r="E2920">
        <v>40800</v>
      </c>
      <c r="F2920">
        <v>41502</v>
      </c>
      <c r="G2920">
        <v>-211164</v>
      </c>
      <c r="H2920">
        <v>94362</v>
      </c>
      <c r="I2920">
        <v>97128</v>
      </c>
      <c r="J2920">
        <v>1001</v>
      </c>
      <c r="K2920">
        <v>799195</v>
      </c>
      <c r="L2920">
        <v>97472</v>
      </c>
      <c r="M2920">
        <v>-114657</v>
      </c>
      <c r="N2920">
        <v>185984</v>
      </c>
      <c r="O2920" t="s">
        <v>2938</v>
      </c>
      <c r="P2920" s="9">
        <v>247071</v>
      </c>
      <c r="Q2920" s="9">
        <v>33271</v>
      </c>
      <c r="R2920" s="9">
        <v>280342</v>
      </c>
      <c r="S2920" s="9">
        <v>-86618</v>
      </c>
      <c r="T2920" s="10">
        <v>104209</v>
      </c>
      <c r="U2920" s="10">
        <v>1079</v>
      </c>
    </row>
    <row r="2921" spans="1:21" x14ac:dyDescent="0.35">
      <c r="A2921" t="s">
        <v>15</v>
      </c>
      <c r="B2921" t="s">
        <v>16</v>
      </c>
      <c r="C2921" t="s">
        <v>21</v>
      </c>
      <c r="D2921">
        <v>157208</v>
      </c>
      <c r="E2921">
        <v>17627</v>
      </c>
      <c r="F2921">
        <v>35002</v>
      </c>
      <c r="G2921">
        <v>-126330</v>
      </c>
      <c r="H2921">
        <v>83507</v>
      </c>
      <c r="I2921">
        <v>85524</v>
      </c>
      <c r="J2921">
        <v>1545</v>
      </c>
      <c r="K2921">
        <v>337886</v>
      </c>
      <c r="L2921">
        <v>150269</v>
      </c>
      <c r="M2921">
        <v>-82022</v>
      </c>
      <c r="N2921">
        <v>88729</v>
      </c>
      <c r="O2921" t="s">
        <v>2939</v>
      </c>
      <c r="P2921" s="9">
        <v>246389</v>
      </c>
      <c r="Q2921" s="9">
        <v>23164</v>
      </c>
      <c r="R2921" s="9">
        <v>269553</v>
      </c>
      <c r="S2921" s="9">
        <v>-141098</v>
      </c>
      <c r="T2921" s="10">
        <v>87321</v>
      </c>
      <c r="U2921" s="10">
        <v>1737</v>
      </c>
    </row>
    <row r="2922" spans="1:21" x14ac:dyDescent="0.35">
      <c r="A2922" t="s">
        <v>15</v>
      </c>
      <c r="B2922" t="s">
        <v>16</v>
      </c>
      <c r="C2922" t="s">
        <v>17</v>
      </c>
      <c r="D2922">
        <v>211647</v>
      </c>
      <c r="E2922">
        <v>12875</v>
      </c>
      <c r="F2922">
        <v>31907</v>
      </c>
      <c r="G2922">
        <v>-185433</v>
      </c>
      <c r="H2922">
        <v>70996</v>
      </c>
      <c r="I2922">
        <v>71515</v>
      </c>
      <c r="J2922">
        <v>2058</v>
      </c>
      <c r="K2922">
        <v>829356</v>
      </c>
      <c r="L2922">
        <v>172050</v>
      </c>
      <c r="M2922">
        <v>-173313</v>
      </c>
      <c r="N2922">
        <v>73441</v>
      </c>
      <c r="O2922" t="s">
        <v>2940</v>
      </c>
      <c r="P2922" s="9">
        <v>242383</v>
      </c>
      <c r="Q2922" s="9">
        <v>20153</v>
      </c>
      <c r="R2922" s="9">
        <v>262536</v>
      </c>
      <c r="S2922" s="9">
        <v>-151244</v>
      </c>
      <c r="T2922" s="10">
        <v>91834</v>
      </c>
      <c r="U2922" s="10">
        <v>1457</v>
      </c>
    </row>
    <row r="2923" spans="1:21" x14ac:dyDescent="0.35">
      <c r="A2923" t="s">
        <v>15</v>
      </c>
      <c r="B2923" t="s">
        <v>16</v>
      </c>
      <c r="C2923" t="s">
        <v>21</v>
      </c>
      <c r="D2923">
        <v>194710</v>
      </c>
      <c r="E2923">
        <v>28485</v>
      </c>
      <c r="F2923">
        <v>43845</v>
      </c>
      <c r="G2923">
        <v>-156186</v>
      </c>
      <c r="H2923">
        <v>110854</v>
      </c>
      <c r="I2923">
        <v>106570</v>
      </c>
      <c r="J2923">
        <v>2095</v>
      </c>
      <c r="K2923">
        <v>696523</v>
      </c>
      <c r="L2923">
        <v>284104</v>
      </c>
      <c r="M2923">
        <v>-93554</v>
      </c>
      <c r="N2923">
        <v>83959</v>
      </c>
      <c r="O2923" t="s">
        <v>2941</v>
      </c>
      <c r="P2923" s="9">
        <v>254160</v>
      </c>
      <c r="Q2923" s="9">
        <v>30280</v>
      </c>
      <c r="R2923" s="9">
        <v>284440</v>
      </c>
      <c r="S2923" s="9">
        <v>-138605</v>
      </c>
      <c r="T2923" s="10">
        <v>123556</v>
      </c>
      <c r="U2923" s="10">
        <v>2574</v>
      </c>
    </row>
    <row r="2924" spans="1:21" x14ac:dyDescent="0.35">
      <c r="A2924" t="s">
        <v>15</v>
      </c>
      <c r="B2924" t="s">
        <v>16</v>
      </c>
      <c r="C2924" t="s">
        <v>17</v>
      </c>
      <c r="D2924">
        <v>285216</v>
      </c>
      <c r="E2924">
        <v>41382</v>
      </c>
      <c r="F2924">
        <v>37410</v>
      </c>
      <c r="G2924">
        <v>-269063</v>
      </c>
      <c r="H2924">
        <v>94945</v>
      </c>
      <c r="I2924">
        <v>99683</v>
      </c>
      <c r="J2924">
        <v>2734</v>
      </c>
      <c r="K2924">
        <v>898553</v>
      </c>
      <c r="L2924">
        <v>220179</v>
      </c>
      <c r="M2924">
        <v>-193762</v>
      </c>
      <c r="N2924">
        <v>177589</v>
      </c>
      <c r="O2924" t="s">
        <v>2942</v>
      </c>
      <c r="P2924" s="9">
        <v>262694</v>
      </c>
      <c r="Q2924" s="9">
        <v>28682</v>
      </c>
      <c r="R2924" s="9">
        <v>291376</v>
      </c>
      <c r="S2924" s="9">
        <v>-154683</v>
      </c>
      <c r="T2924" s="10">
        <v>96792</v>
      </c>
      <c r="U2924" s="10">
        <v>2214</v>
      </c>
    </row>
    <row r="2925" spans="1:21" x14ac:dyDescent="0.35">
      <c r="A2925" t="s">
        <v>15</v>
      </c>
      <c r="B2925" t="s">
        <v>16</v>
      </c>
      <c r="C2925" t="s">
        <v>17</v>
      </c>
      <c r="D2925">
        <v>185818</v>
      </c>
      <c r="E2925">
        <v>28352</v>
      </c>
      <c r="F2925">
        <v>42685</v>
      </c>
      <c r="G2925">
        <v>-168684</v>
      </c>
      <c r="H2925">
        <v>88171</v>
      </c>
      <c r="I2925">
        <v>83428</v>
      </c>
      <c r="J2925">
        <v>1555</v>
      </c>
      <c r="K2925">
        <v>438855</v>
      </c>
      <c r="L2925">
        <v>137308</v>
      </c>
      <c r="M2925">
        <v>-77444</v>
      </c>
      <c r="N2925">
        <v>106684</v>
      </c>
      <c r="O2925" t="s">
        <v>2943</v>
      </c>
      <c r="P2925" s="9">
        <v>145603</v>
      </c>
      <c r="Q2925" s="9">
        <v>24077</v>
      </c>
      <c r="R2925" s="9">
        <v>169680</v>
      </c>
      <c r="S2925" s="9">
        <v>-63402</v>
      </c>
      <c r="T2925" s="10">
        <v>66684</v>
      </c>
      <c r="U2925" s="10">
        <v>1332</v>
      </c>
    </row>
    <row r="2926" spans="1:21" x14ac:dyDescent="0.35">
      <c r="A2926" t="s">
        <v>15</v>
      </c>
      <c r="B2926" t="s">
        <v>16</v>
      </c>
      <c r="C2926" t="s">
        <v>21</v>
      </c>
      <c r="D2926">
        <v>299619</v>
      </c>
      <c r="E2926">
        <v>55758</v>
      </c>
      <c r="F2926">
        <v>74242</v>
      </c>
      <c r="G2926">
        <v>-294040</v>
      </c>
      <c r="H2926">
        <v>135579</v>
      </c>
      <c r="I2926">
        <v>142120</v>
      </c>
      <c r="J2926">
        <v>1630</v>
      </c>
      <c r="K2926">
        <v>1090186</v>
      </c>
      <c r="L2926">
        <v>408493</v>
      </c>
      <c r="M2926">
        <v>-275163</v>
      </c>
      <c r="N2926">
        <v>91357</v>
      </c>
      <c r="O2926" t="s">
        <v>2944</v>
      </c>
      <c r="P2926" s="9">
        <v>254032</v>
      </c>
      <c r="Q2926" s="9">
        <v>15444</v>
      </c>
      <c r="R2926" s="9">
        <v>269476</v>
      </c>
      <c r="S2926" s="9">
        <v>-150326</v>
      </c>
      <c r="T2926" s="10">
        <v>91881</v>
      </c>
      <c r="U2926" s="10">
        <v>1638</v>
      </c>
    </row>
    <row r="2927" spans="1:21" x14ac:dyDescent="0.35">
      <c r="A2927" t="s">
        <v>15</v>
      </c>
      <c r="B2927" t="s">
        <v>20</v>
      </c>
      <c r="C2927" t="s">
        <v>21</v>
      </c>
      <c r="D2927">
        <v>175171</v>
      </c>
      <c r="E2927">
        <v>20652</v>
      </c>
      <c r="F2927">
        <v>32765</v>
      </c>
      <c r="G2927">
        <v>-141511</v>
      </c>
      <c r="H2927">
        <v>87077</v>
      </c>
      <c r="I2927">
        <v>90565</v>
      </c>
      <c r="J2927">
        <v>1267</v>
      </c>
      <c r="K2927">
        <v>583328</v>
      </c>
      <c r="L2927">
        <v>85055</v>
      </c>
      <c r="M2927">
        <v>-110102</v>
      </c>
      <c r="N2927">
        <v>96707</v>
      </c>
      <c r="O2927" t="s">
        <v>2945</v>
      </c>
      <c r="P2927" s="9">
        <v>208675</v>
      </c>
      <c r="Q2927" s="9">
        <v>12111</v>
      </c>
      <c r="R2927" s="9">
        <v>220786</v>
      </c>
      <c r="S2927" s="9">
        <v>-101214</v>
      </c>
      <c r="T2927" s="10">
        <v>82030</v>
      </c>
      <c r="U2927" s="10">
        <v>2451</v>
      </c>
    </row>
    <row r="2928" spans="1:21" x14ac:dyDescent="0.35">
      <c r="A2928" t="s">
        <v>15</v>
      </c>
      <c r="B2928" t="s">
        <v>20</v>
      </c>
      <c r="C2928" t="s">
        <v>21</v>
      </c>
      <c r="D2928">
        <v>172973</v>
      </c>
      <c r="E2928">
        <v>23092</v>
      </c>
      <c r="F2928">
        <v>29812</v>
      </c>
      <c r="G2928">
        <v>-161550</v>
      </c>
      <c r="H2928">
        <v>64327</v>
      </c>
      <c r="I2928">
        <v>65812</v>
      </c>
      <c r="J2928">
        <v>1635</v>
      </c>
      <c r="K2928">
        <v>602517</v>
      </c>
      <c r="L2928">
        <v>215541</v>
      </c>
      <c r="M2928">
        <v>-143038</v>
      </c>
      <c r="N2928">
        <v>119609</v>
      </c>
      <c r="O2928" t="s">
        <v>2946</v>
      </c>
      <c r="P2928" s="9">
        <v>158616</v>
      </c>
      <c r="Q2928" s="9">
        <v>20006</v>
      </c>
      <c r="R2928" s="9">
        <v>178622</v>
      </c>
      <c r="S2928" s="9">
        <v>-72345</v>
      </c>
      <c r="T2928" s="10">
        <v>44793</v>
      </c>
      <c r="U2928" s="10">
        <v>1184</v>
      </c>
    </row>
    <row r="2929" spans="1:21" x14ac:dyDescent="0.35">
      <c r="A2929" t="s">
        <v>15</v>
      </c>
      <c r="B2929" t="s">
        <v>16</v>
      </c>
      <c r="C2929" t="s">
        <v>21</v>
      </c>
      <c r="D2929">
        <v>247334</v>
      </c>
      <c r="E2929">
        <v>33764</v>
      </c>
      <c r="F2929">
        <v>60845</v>
      </c>
      <c r="G2929">
        <v>-216988</v>
      </c>
      <c r="H2929">
        <v>124955</v>
      </c>
      <c r="I2929">
        <v>120659</v>
      </c>
      <c r="J2929">
        <v>1698</v>
      </c>
      <c r="K2929">
        <v>760401</v>
      </c>
      <c r="L2929">
        <v>141706</v>
      </c>
      <c r="M2929">
        <v>-260073</v>
      </c>
      <c r="N2929">
        <v>93647</v>
      </c>
      <c r="O2929" t="s">
        <v>2947</v>
      </c>
      <c r="P2929" s="9">
        <v>157202</v>
      </c>
      <c r="Q2929" s="9">
        <v>26715</v>
      </c>
      <c r="R2929" s="9">
        <v>183917</v>
      </c>
      <c r="S2929" s="9">
        <v>-97848</v>
      </c>
      <c r="T2929" s="10">
        <v>61551</v>
      </c>
      <c r="U2929" s="10">
        <v>1601</v>
      </c>
    </row>
    <row r="2930" spans="1:21" x14ac:dyDescent="0.35">
      <c r="A2930" t="s">
        <v>15</v>
      </c>
      <c r="B2930" t="s">
        <v>16</v>
      </c>
      <c r="C2930" t="s">
        <v>17</v>
      </c>
      <c r="D2930">
        <v>222742</v>
      </c>
      <c r="E2930">
        <v>26944</v>
      </c>
      <c r="F2930">
        <v>41123</v>
      </c>
      <c r="G2930">
        <v>-199391</v>
      </c>
      <c r="H2930">
        <v>91418</v>
      </c>
      <c r="I2930">
        <v>94083</v>
      </c>
      <c r="J2930">
        <v>2330</v>
      </c>
      <c r="K2930">
        <v>742734</v>
      </c>
      <c r="L2930">
        <v>100309</v>
      </c>
      <c r="M2930">
        <v>-121180</v>
      </c>
      <c r="N2930">
        <v>106168</v>
      </c>
      <c r="O2930" t="s">
        <v>2948</v>
      </c>
      <c r="P2930" s="9">
        <v>220351</v>
      </c>
      <c r="Q2930" s="9">
        <v>31531</v>
      </c>
      <c r="R2930" s="9">
        <v>251882</v>
      </c>
      <c r="S2930" s="9">
        <v>-101031</v>
      </c>
      <c r="T2930" s="10">
        <v>97693</v>
      </c>
      <c r="U2930" s="10">
        <v>1684</v>
      </c>
    </row>
    <row r="2931" spans="1:21" x14ac:dyDescent="0.35">
      <c r="A2931" t="s">
        <v>15</v>
      </c>
      <c r="B2931" t="s">
        <v>20</v>
      </c>
      <c r="C2931" t="s">
        <v>21</v>
      </c>
      <c r="D2931">
        <v>203012</v>
      </c>
      <c r="E2931">
        <v>11915</v>
      </c>
      <c r="F2931">
        <v>24794</v>
      </c>
      <c r="G2931">
        <v>-169619</v>
      </c>
      <c r="H2931">
        <v>70102</v>
      </c>
      <c r="I2931">
        <v>65417</v>
      </c>
      <c r="J2931">
        <v>1063</v>
      </c>
      <c r="K2931">
        <v>487911</v>
      </c>
      <c r="L2931">
        <v>115802</v>
      </c>
      <c r="M2931">
        <v>-55803</v>
      </c>
      <c r="N2931">
        <v>157367</v>
      </c>
      <c r="O2931" t="s">
        <v>2949</v>
      </c>
      <c r="P2931" s="9">
        <v>219829</v>
      </c>
      <c r="Q2931" s="9">
        <v>24288</v>
      </c>
      <c r="R2931" s="9">
        <v>244117</v>
      </c>
      <c r="S2931" s="9">
        <v>-55838</v>
      </c>
      <c r="T2931" s="10">
        <v>86625</v>
      </c>
      <c r="U2931" s="10">
        <v>900</v>
      </c>
    </row>
    <row r="2932" spans="1:21" x14ac:dyDescent="0.35">
      <c r="A2932" t="s">
        <v>15</v>
      </c>
      <c r="B2932" t="s">
        <v>16</v>
      </c>
      <c r="C2932" t="s">
        <v>21</v>
      </c>
      <c r="D2932">
        <v>180440</v>
      </c>
      <c r="E2932">
        <v>26976</v>
      </c>
      <c r="F2932">
        <v>23441</v>
      </c>
      <c r="G2932">
        <v>-173113</v>
      </c>
      <c r="H2932">
        <v>57744</v>
      </c>
      <c r="I2932">
        <v>54415</v>
      </c>
      <c r="J2932">
        <v>1567</v>
      </c>
      <c r="K2932">
        <v>526129</v>
      </c>
      <c r="L2932">
        <v>122801</v>
      </c>
      <c r="M2932">
        <v>-115833</v>
      </c>
      <c r="N2932">
        <v>101384</v>
      </c>
      <c r="O2932" t="s">
        <v>2950</v>
      </c>
      <c r="P2932" s="9">
        <v>294823</v>
      </c>
      <c r="Q2932" s="9">
        <v>21459</v>
      </c>
      <c r="R2932" s="9">
        <v>316282</v>
      </c>
      <c r="S2932" s="9">
        <v>-97308</v>
      </c>
      <c r="T2932" s="10">
        <v>82728</v>
      </c>
      <c r="U2932" s="10">
        <v>1782</v>
      </c>
    </row>
    <row r="2933" spans="1:21" x14ac:dyDescent="0.35">
      <c r="A2933" t="s">
        <v>15</v>
      </c>
      <c r="B2933" t="s">
        <v>16</v>
      </c>
      <c r="C2933" t="s">
        <v>21</v>
      </c>
      <c r="D2933">
        <v>257098</v>
      </c>
      <c r="E2933">
        <v>51201</v>
      </c>
      <c r="F2933">
        <v>39884</v>
      </c>
      <c r="G2933">
        <v>-252194</v>
      </c>
      <c r="H2933">
        <v>95989</v>
      </c>
      <c r="I2933">
        <v>98583</v>
      </c>
      <c r="J2933">
        <v>1807</v>
      </c>
      <c r="K2933">
        <v>815613</v>
      </c>
      <c r="L2933">
        <v>109069</v>
      </c>
      <c r="M2933">
        <v>-286240</v>
      </c>
      <c r="N2933">
        <v>160901</v>
      </c>
      <c r="O2933" t="s">
        <v>2951</v>
      </c>
      <c r="P2933" s="9">
        <v>147845</v>
      </c>
      <c r="Q2933" s="9">
        <v>30425</v>
      </c>
      <c r="R2933" s="9">
        <v>178270</v>
      </c>
      <c r="S2933" s="9">
        <v>-62716</v>
      </c>
      <c r="T2933" s="10">
        <v>56095</v>
      </c>
      <c r="U2933" s="10">
        <v>969</v>
      </c>
    </row>
    <row r="2934" spans="1:21" x14ac:dyDescent="0.35">
      <c r="A2934" t="s">
        <v>15</v>
      </c>
      <c r="B2934" t="s">
        <v>20</v>
      </c>
      <c r="C2934" t="s">
        <v>21</v>
      </c>
      <c r="D2934">
        <v>184258</v>
      </c>
      <c r="E2934">
        <v>18749</v>
      </c>
      <c r="F2934">
        <v>19023</v>
      </c>
      <c r="G2934">
        <v>-184037</v>
      </c>
      <c r="H2934">
        <v>37993</v>
      </c>
      <c r="I2934">
        <v>36796</v>
      </c>
      <c r="J2934">
        <v>583</v>
      </c>
      <c r="K2934">
        <v>492102</v>
      </c>
      <c r="L2934">
        <v>226883</v>
      </c>
      <c r="M2934">
        <v>-171605</v>
      </c>
      <c r="N2934">
        <v>62065</v>
      </c>
      <c r="O2934" t="s">
        <v>2952</v>
      </c>
      <c r="P2934" s="9">
        <v>237905</v>
      </c>
      <c r="Q2934" s="9">
        <v>47744</v>
      </c>
      <c r="R2934" s="9">
        <v>285649</v>
      </c>
      <c r="S2934" s="9">
        <v>-65898</v>
      </c>
      <c r="T2934" s="10">
        <v>77446</v>
      </c>
      <c r="U2934" s="10">
        <v>1667</v>
      </c>
    </row>
    <row r="2935" spans="1:21" x14ac:dyDescent="0.35">
      <c r="A2935" t="s">
        <v>15</v>
      </c>
      <c r="B2935" t="s">
        <v>20</v>
      </c>
      <c r="C2935" t="s">
        <v>21</v>
      </c>
      <c r="D2935">
        <v>153899</v>
      </c>
      <c r="E2935">
        <v>14900</v>
      </c>
      <c r="F2935">
        <v>22542</v>
      </c>
      <c r="G2935">
        <v>-143194</v>
      </c>
      <c r="H2935">
        <v>48147</v>
      </c>
      <c r="I2935">
        <v>44802</v>
      </c>
      <c r="J2935">
        <v>954</v>
      </c>
      <c r="K2935">
        <v>589413</v>
      </c>
      <c r="L2935">
        <v>213856</v>
      </c>
      <c r="M2935">
        <v>-87438</v>
      </c>
      <c r="N2935">
        <v>95005</v>
      </c>
      <c r="O2935" t="s">
        <v>2953</v>
      </c>
      <c r="P2935" s="9">
        <v>261406</v>
      </c>
      <c r="Q2935" s="9">
        <v>22543</v>
      </c>
      <c r="R2935" s="9">
        <v>283949</v>
      </c>
      <c r="S2935" s="9">
        <v>-169350</v>
      </c>
      <c r="T2935" s="10">
        <v>72695</v>
      </c>
      <c r="U2935" s="10">
        <v>745</v>
      </c>
    </row>
    <row r="2936" spans="1:21" x14ac:dyDescent="0.35">
      <c r="A2936" t="s">
        <v>15</v>
      </c>
      <c r="B2936" t="s">
        <v>20</v>
      </c>
      <c r="C2936" t="s">
        <v>21</v>
      </c>
      <c r="D2936">
        <v>219057</v>
      </c>
      <c r="E2936">
        <v>14488</v>
      </c>
      <c r="F2936">
        <v>31496</v>
      </c>
      <c r="G2936">
        <v>-177261</v>
      </c>
      <c r="H2936">
        <v>87780</v>
      </c>
      <c r="I2936">
        <v>87078</v>
      </c>
      <c r="J2936">
        <v>2550</v>
      </c>
      <c r="K2936">
        <v>565123</v>
      </c>
      <c r="L2936">
        <v>225890</v>
      </c>
      <c r="M2936">
        <v>-91880</v>
      </c>
      <c r="N2936">
        <v>72155</v>
      </c>
      <c r="O2936" t="s">
        <v>2954</v>
      </c>
      <c r="P2936" s="9">
        <v>243788</v>
      </c>
      <c r="Q2936" s="9">
        <v>33432</v>
      </c>
      <c r="R2936" s="9">
        <v>277220</v>
      </c>
      <c r="S2936" s="9">
        <v>-132239</v>
      </c>
      <c r="T2936" s="10">
        <v>94683</v>
      </c>
      <c r="U2936" s="10">
        <v>2262</v>
      </c>
    </row>
    <row r="2937" spans="1:21" x14ac:dyDescent="0.35">
      <c r="A2937" t="s">
        <v>15</v>
      </c>
      <c r="B2937" t="s">
        <v>20</v>
      </c>
      <c r="C2937" t="s">
        <v>21</v>
      </c>
      <c r="D2937">
        <v>172074</v>
      </c>
      <c r="E2937">
        <v>16963</v>
      </c>
      <c r="F2937">
        <v>41142</v>
      </c>
      <c r="G2937">
        <v>-146813</v>
      </c>
      <c r="H2937">
        <v>83366</v>
      </c>
      <c r="I2937">
        <v>82343</v>
      </c>
      <c r="J2937">
        <v>1128</v>
      </c>
      <c r="K2937">
        <v>425883</v>
      </c>
      <c r="L2937">
        <v>154852</v>
      </c>
      <c r="M2937">
        <v>-110413</v>
      </c>
      <c r="N2937">
        <v>92652</v>
      </c>
      <c r="O2937" t="s">
        <v>2955</v>
      </c>
      <c r="P2937" s="9">
        <v>216842</v>
      </c>
      <c r="Q2937" s="9">
        <v>43340</v>
      </c>
      <c r="R2937" s="9">
        <v>260182</v>
      </c>
      <c r="S2937" s="9">
        <v>-73267</v>
      </c>
      <c r="T2937" s="10">
        <v>105588</v>
      </c>
      <c r="U2937" s="10">
        <v>1205</v>
      </c>
    </row>
    <row r="2938" spans="1:21" x14ac:dyDescent="0.35">
      <c r="A2938" t="s">
        <v>15</v>
      </c>
      <c r="B2938" t="s">
        <v>16</v>
      </c>
      <c r="C2938" t="s">
        <v>21</v>
      </c>
      <c r="D2938">
        <v>227024</v>
      </c>
      <c r="E2938">
        <v>36505</v>
      </c>
      <c r="F2938">
        <v>53475</v>
      </c>
      <c r="G2938">
        <v>-193837</v>
      </c>
      <c r="H2938">
        <v>123167</v>
      </c>
      <c r="I2938">
        <v>118518</v>
      </c>
      <c r="J2938">
        <v>3282</v>
      </c>
      <c r="K2938">
        <v>614187</v>
      </c>
      <c r="L2938">
        <v>117576</v>
      </c>
      <c r="M2938">
        <v>-185957</v>
      </c>
      <c r="N2938">
        <v>165003</v>
      </c>
      <c r="O2938" t="s">
        <v>2956</v>
      </c>
      <c r="P2938" s="9">
        <v>165384</v>
      </c>
      <c r="Q2938" s="9">
        <v>10307</v>
      </c>
      <c r="R2938" s="9">
        <v>175691</v>
      </c>
      <c r="S2938" s="9">
        <v>-56129</v>
      </c>
      <c r="T2938" s="10">
        <v>61548</v>
      </c>
      <c r="U2938" s="10">
        <v>1287</v>
      </c>
    </row>
    <row r="2939" spans="1:21" x14ac:dyDescent="0.35">
      <c r="A2939" t="s">
        <v>15</v>
      </c>
      <c r="B2939" t="s">
        <v>16</v>
      </c>
      <c r="C2939" t="s">
        <v>21</v>
      </c>
      <c r="D2939">
        <v>171062</v>
      </c>
      <c r="E2939">
        <v>17413</v>
      </c>
      <c r="F2939">
        <v>17174</v>
      </c>
      <c r="G2939">
        <v>-138126</v>
      </c>
      <c r="H2939">
        <v>67523</v>
      </c>
      <c r="I2939">
        <v>61782</v>
      </c>
      <c r="J2939">
        <v>841</v>
      </c>
      <c r="K2939">
        <v>586018</v>
      </c>
      <c r="L2939">
        <v>288136</v>
      </c>
      <c r="M2939">
        <v>-76367</v>
      </c>
      <c r="N2939">
        <v>133239</v>
      </c>
      <c r="O2939" t="s">
        <v>2957</v>
      </c>
      <c r="P2939" s="9">
        <v>296441</v>
      </c>
      <c r="Q2939" s="9">
        <v>14220</v>
      </c>
      <c r="R2939" s="9">
        <v>310661</v>
      </c>
      <c r="S2939" s="9">
        <v>-97419</v>
      </c>
      <c r="T2939" s="10">
        <v>99105</v>
      </c>
      <c r="U2939" s="10">
        <v>2787</v>
      </c>
    </row>
    <row r="2940" spans="1:21" x14ac:dyDescent="0.35">
      <c r="A2940" t="s">
        <v>15</v>
      </c>
      <c r="B2940" t="s">
        <v>16</v>
      </c>
      <c r="C2940" t="s">
        <v>21</v>
      </c>
      <c r="D2940">
        <v>181402</v>
      </c>
      <c r="E2940">
        <v>33721</v>
      </c>
      <c r="F2940">
        <v>18580</v>
      </c>
      <c r="G2940">
        <v>-146538</v>
      </c>
      <c r="H2940">
        <v>87165</v>
      </c>
      <c r="I2940">
        <v>90201</v>
      </c>
      <c r="J2940">
        <v>2648</v>
      </c>
      <c r="K2940">
        <v>395264</v>
      </c>
      <c r="L2940">
        <v>139370</v>
      </c>
      <c r="M2940">
        <v>-118837</v>
      </c>
      <c r="N2940">
        <v>137304</v>
      </c>
      <c r="O2940" t="s">
        <v>2958</v>
      </c>
      <c r="P2940" s="9">
        <v>248120</v>
      </c>
      <c r="Q2940" s="9">
        <v>38042</v>
      </c>
      <c r="R2940" s="9">
        <v>286162</v>
      </c>
      <c r="S2940" s="9">
        <v>-109829</v>
      </c>
      <c r="T2940" s="10">
        <v>133227</v>
      </c>
      <c r="U2940" s="10">
        <v>1854</v>
      </c>
    </row>
    <row r="2941" spans="1:21" x14ac:dyDescent="0.35">
      <c r="A2941" t="s">
        <v>15</v>
      </c>
      <c r="B2941" t="s">
        <v>16</v>
      </c>
      <c r="C2941" t="s">
        <v>21</v>
      </c>
      <c r="D2941">
        <v>189294</v>
      </c>
      <c r="E2941">
        <v>18623</v>
      </c>
      <c r="F2941">
        <v>37219</v>
      </c>
      <c r="G2941">
        <v>-188177</v>
      </c>
      <c r="H2941">
        <v>56959</v>
      </c>
      <c r="I2941">
        <v>54199</v>
      </c>
      <c r="J2941">
        <v>871</v>
      </c>
      <c r="K2941">
        <v>755099</v>
      </c>
      <c r="L2941">
        <v>104937</v>
      </c>
      <c r="M2941">
        <v>-244031</v>
      </c>
      <c r="N2941">
        <v>115444</v>
      </c>
      <c r="O2941" t="s">
        <v>2959</v>
      </c>
      <c r="P2941" s="9">
        <v>271142</v>
      </c>
      <c r="Q2941" s="9">
        <v>35489</v>
      </c>
      <c r="R2941" s="9">
        <v>306631</v>
      </c>
      <c r="S2941" s="9">
        <v>-103610</v>
      </c>
      <c r="T2941" s="10">
        <v>79412</v>
      </c>
      <c r="U2941" s="10">
        <v>1382</v>
      </c>
    </row>
    <row r="2942" spans="1:21" x14ac:dyDescent="0.35">
      <c r="A2942" t="s">
        <v>15</v>
      </c>
      <c r="B2942" t="s">
        <v>16</v>
      </c>
      <c r="C2942" t="s">
        <v>21</v>
      </c>
      <c r="D2942">
        <v>204570</v>
      </c>
      <c r="E2942">
        <v>25834</v>
      </c>
      <c r="F2942">
        <v>20516</v>
      </c>
      <c r="G2942">
        <v>-183316</v>
      </c>
      <c r="H2942">
        <v>67604</v>
      </c>
      <c r="I2942">
        <v>67884</v>
      </c>
      <c r="J2942">
        <v>1893</v>
      </c>
      <c r="K2942">
        <v>687347</v>
      </c>
      <c r="L2942">
        <v>110403</v>
      </c>
      <c r="M2942">
        <v>-171374</v>
      </c>
      <c r="N2942">
        <v>100073</v>
      </c>
      <c r="O2942" t="s">
        <v>2960</v>
      </c>
      <c r="P2942" s="9">
        <v>150557</v>
      </c>
      <c r="Q2942" s="9">
        <v>26653</v>
      </c>
      <c r="R2942" s="9">
        <v>177210</v>
      </c>
      <c r="S2942" s="9">
        <v>-42664</v>
      </c>
      <c r="T2942" s="10">
        <v>69386</v>
      </c>
      <c r="U2942" s="10">
        <v>776</v>
      </c>
    </row>
    <row r="2943" spans="1:21" x14ac:dyDescent="0.35">
      <c r="A2943" t="s">
        <v>15</v>
      </c>
      <c r="B2943" t="s">
        <v>16</v>
      </c>
      <c r="C2943" t="s">
        <v>17</v>
      </c>
      <c r="D2943">
        <v>186812</v>
      </c>
      <c r="E2943">
        <v>25495</v>
      </c>
      <c r="F2943">
        <v>29368</v>
      </c>
      <c r="G2943">
        <v>-176930</v>
      </c>
      <c r="H2943">
        <v>64745</v>
      </c>
      <c r="I2943">
        <v>58693</v>
      </c>
      <c r="J2943">
        <v>1308</v>
      </c>
      <c r="K2943">
        <v>469737</v>
      </c>
      <c r="L2943">
        <v>90961</v>
      </c>
      <c r="M2943">
        <v>-134501</v>
      </c>
      <c r="N2943">
        <v>101447</v>
      </c>
      <c r="O2943" t="s">
        <v>2961</v>
      </c>
      <c r="P2943" s="9">
        <v>262219</v>
      </c>
      <c r="Q2943" s="9">
        <v>36283</v>
      </c>
      <c r="R2943" s="9">
        <v>298502</v>
      </c>
      <c r="S2943" s="9">
        <v>-60196</v>
      </c>
      <c r="T2943" s="10">
        <v>104133</v>
      </c>
      <c r="U2943" s="10">
        <v>2560</v>
      </c>
    </row>
    <row r="2944" spans="1:21" x14ac:dyDescent="0.35">
      <c r="A2944" t="s">
        <v>15</v>
      </c>
      <c r="B2944" t="s">
        <v>20</v>
      </c>
      <c r="C2944" t="s">
        <v>21</v>
      </c>
      <c r="D2944">
        <v>266106</v>
      </c>
      <c r="E2944">
        <v>48179</v>
      </c>
      <c r="F2944">
        <v>51132</v>
      </c>
      <c r="G2944">
        <v>-259652</v>
      </c>
      <c r="H2944">
        <v>105765</v>
      </c>
      <c r="I2944">
        <v>98777</v>
      </c>
      <c r="J2944">
        <v>2879</v>
      </c>
      <c r="K2944">
        <v>755877</v>
      </c>
      <c r="L2944">
        <v>220880</v>
      </c>
      <c r="M2944">
        <v>-230632</v>
      </c>
      <c r="N2944">
        <v>134022</v>
      </c>
      <c r="O2944" t="s">
        <v>2962</v>
      </c>
      <c r="P2944" s="9">
        <v>187900</v>
      </c>
      <c r="Q2944" s="9">
        <v>18976</v>
      </c>
      <c r="R2944" s="9">
        <v>206876</v>
      </c>
      <c r="S2944" s="9">
        <v>-54907</v>
      </c>
      <c r="T2944" s="10">
        <v>56481</v>
      </c>
      <c r="U2944" s="10">
        <v>1547</v>
      </c>
    </row>
    <row r="2945" spans="1:21" x14ac:dyDescent="0.35">
      <c r="A2945" t="s">
        <v>15</v>
      </c>
      <c r="B2945" t="s">
        <v>20</v>
      </c>
      <c r="C2945" t="s">
        <v>21</v>
      </c>
      <c r="D2945">
        <v>195245</v>
      </c>
      <c r="E2945">
        <v>19695</v>
      </c>
      <c r="F2945">
        <v>19713</v>
      </c>
      <c r="G2945">
        <v>-163490</v>
      </c>
      <c r="H2945">
        <v>71163</v>
      </c>
      <c r="I2945">
        <v>73112</v>
      </c>
      <c r="J2945">
        <v>1449</v>
      </c>
      <c r="K2945">
        <v>757332</v>
      </c>
      <c r="L2945">
        <v>277498</v>
      </c>
      <c r="M2945">
        <v>-195489</v>
      </c>
      <c r="N2945">
        <v>59390</v>
      </c>
      <c r="O2945" t="s">
        <v>2963</v>
      </c>
      <c r="P2945" s="9">
        <v>238757</v>
      </c>
      <c r="Q2945" s="9">
        <v>27588</v>
      </c>
      <c r="R2945" s="9">
        <v>266345</v>
      </c>
      <c r="S2945" s="9">
        <v>-138607</v>
      </c>
      <c r="T2945" s="10">
        <v>110688</v>
      </c>
      <c r="U2945" s="10">
        <v>1924</v>
      </c>
    </row>
    <row r="2946" spans="1:21" x14ac:dyDescent="0.35">
      <c r="A2946" t="s">
        <v>15</v>
      </c>
      <c r="B2946" t="s">
        <v>20</v>
      </c>
      <c r="C2946" t="s">
        <v>17</v>
      </c>
      <c r="D2946">
        <v>220351</v>
      </c>
      <c r="E2946">
        <v>22053</v>
      </c>
      <c r="F2946">
        <v>43129</v>
      </c>
      <c r="G2946">
        <v>-191742</v>
      </c>
      <c r="H2946">
        <v>93791</v>
      </c>
      <c r="I2946">
        <v>92201</v>
      </c>
      <c r="J2946">
        <v>1248</v>
      </c>
      <c r="K2946">
        <v>535535</v>
      </c>
      <c r="L2946">
        <v>76122</v>
      </c>
      <c r="M2946">
        <v>-75702</v>
      </c>
      <c r="N2946">
        <v>91734</v>
      </c>
      <c r="O2946" t="s">
        <v>2964</v>
      </c>
      <c r="P2946" s="9">
        <v>201910</v>
      </c>
      <c r="Q2946" s="9">
        <v>32685</v>
      </c>
      <c r="R2946" s="9">
        <v>234595</v>
      </c>
      <c r="S2946" s="9">
        <v>-83920</v>
      </c>
      <c r="T2946" s="10">
        <v>65227</v>
      </c>
      <c r="U2946" s="10">
        <v>1074</v>
      </c>
    </row>
    <row r="2947" spans="1:21" x14ac:dyDescent="0.35">
      <c r="A2947" t="s">
        <v>15</v>
      </c>
      <c r="B2947" t="s">
        <v>16</v>
      </c>
      <c r="C2947" t="s">
        <v>21</v>
      </c>
      <c r="D2947">
        <v>256826</v>
      </c>
      <c r="E2947">
        <v>23306</v>
      </c>
      <c r="F2947">
        <v>31044</v>
      </c>
      <c r="G2947">
        <v>-239969</v>
      </c>
      <c r="H2947">
        <v>71207</v>
      </c>
      <c r="I2947">
        <v>66962</v>
      </c>
      <c r="J2947">
        <v>1536</v>
      </c>
      <c r="K2947">
        <v>782704</v>
      </c>
      <c r="L2947">
        <v>368086</v>
      </c>
      <c r="M2947">
        <v>-167074</v>
      </c>
      <c r="N2947">
        <v>108189</v>
      </c>
      <c r="O2947" t="s">
        <v>2965</v>
      </c>
      <c r="P2947" s="9">
        <v>154299</v>
      </c>
      <c r="Q2947" s="9">
        <v>9216</v>
      </c>
      <c r="R2947" s="9">
        <v>163515</v>
      </c>
      <c r="S2947" s="9">
        <v>-54134</v>
      </c>
      <c r="T2947" s="10">
        <v>49663</v>
      </c>
      <c r="U2947" s="10">
        <v>580</v>
      </c>
    </row>
    <row r="2948" spans="1:21" x14ac:dyDescent="0.35">
      <c r="A2948" t="s">
        <v>15</v>
      </c>
      <c r="B2948" t="s">
        <v>16</v>
      </c>
      <c r="C2948" t="s">
        <v>21</v>
      </c>
      <c r="D2948">
        <v>181322</v>
      </c>
      <c r="E2948">
        <v>26656</v>
      </c>
      <c r="F2948">
        <v>34717</v>
      </c>
      <c r="G2948">
        <v>-146581</v>
      </c>
      <c r="H2948">
        <v>96114</v>
      </c>
      <c r="I2948">
        <v>89013</v>
      </c>
      <c r="J2948">
        <v>1424</v>
      </c>
      <c r="K2948">
        <v>675229</v>
      </c>
      <c r="L2948">
        <v>138806</v>
      </c>
      <c r="M2948">
        <v>-77660</v>
      </c>
      <c r="N2948">
        <v>133559</v>
      </c>
      <c r="O2948" t="s">
        <v>2966</v>
      </c>
      <c r="P2948" s="9">
        <v>200914</v>
      </c>
      <c r="Q2948" s="9">
        <v>32337</v>
      </c>
      <c r="R2948" s="9">
        <v>233251</v>
      </c>
      <c r="S2948" s="9">
        <v>-58940</v>
      </c>
      <c r="T2948" s="10">
        <v>84268</v>
      </c>
      <c r="U2948" s="10">
        <v>1986</v>
      </c>
    </row>
    <row r="2949" spans="1:21" x14ac:dyDescent="0.35">
      <c r="A2949" t="s">
        <v>15</v>
      </c>
      <c r="B2949" t="s">
        <v>16</v>
      </c>
      <c r="C2949" t="s">
        <v>21</v>
      </c>
      <c r="D2949">
        <v>213029</v>
      </c>
      <c r="E2949">
        <v>15076</v>
      </c>
      <c r="F2949">
        <v>45346</v>
      </c>
      <c r="G2949">
        <v>-191705</v>
      </c>
      <c r="H2949">
        <v>81746</v>
      </c>
      <c r="I2949">
        <v>80861</v>
      </c>
      <c r="J2949">
        <v>2154</v>
      </c>
      <c r="K2949">
        <v>508611</v>
      </c>
      <c r="L2949">
        <v>107820</v>
      </c>
      <c r="M2949">
        <v>-185893</v>
      </c>
      <c r="N2949">
        <v>157200</v>
      </c>
      <c r="O2949" t="s">
        <v>2967</v>
      </c>
      <c r="P2949" s="9">
        <v>183672</v>
      </c>
      <c r="Q2949" s="9">
        <v>21634</v>
      </c>
      <c r="R2949" s="9">
        <v>205306</v>
      </c>
      <c r="S2949" s="9">
        <v>-79620</v>
      </c>
      <c r="T2949" s="10">
        <v>74300</v>
      </c>
      <c r="U2949" s="10">
        <v>1267</v>
      </c>
    </row>
    <row r="2950" spans="1:21" x14ac:dyDescent="0.35">
      <c r="A2950" t="s">
        <v>15</v>
      </c>
      <c r="B2950" t="s">
        <v>16</v>
      </c>
      <c r="C2950" t="s">
        <v>21</v>
      </c>
      <c r="D2950">
        <v>160522</v>
      </c>
      <c r="E2950">
        <v>10973</v>
      </c>
      <c r="F2950">
        <v>24602</v>
      </c>
      <c r="G2950">
        <v>-136642</v>
      </c>
      <c r="H2950">
        <v>59455</v>
      </c>
      <c r="I2950">
        <v>59871</v>
      </c>
      <c r="J2950">
        <v>1299</v>
      </c>
      <c r="K2950">
        <v>550978</v>
      </c>
      <c r="L2950">
        <v>196755</v>
      </c>
      <c r="M2950">
        <v>-138553</v>
      </c>
      <c r="N2950">
        <v>125120</v>
      </c>
      <c r="O2950" t="s">
        <v>2968</v>
      </c>
      <c r="P2950" s="9">
        <v>226799</v>
      </c>
      <c r="Q2950" s="9">
        <v>41519</v>
      </c>
      <c r="R2950" s="9">
        <v>268318</v>
      </c>
      <c r="S2950" s="9">
        <v>-81864</v>
      </c>
      <c r="T2950" s="10">
        <v>77694</v>
      </c>
      <c r="U2950" s="10">
        <v>826</v>
      </c>
    </row>
    <row r="2951" spans="1:21" x14ac:dyDescent="0.35">
      <c r="A2951" t="s">
        <v>15</v>
      </c>
      <c r="B2951" t="s">
        <v>20</v>
      </c>
      <c r="C2951" t="s">
        <v>21</v>
      </c>
      <c r="D2951">
        <v>159354</v>
      </c>
      <c r="E2951">
        <v>18751</v>
      </c>
      <c r="F2951">
        <v>31816</v>
      </c>
      <c r="G2951">
        <v>-141259</v>
      </c>
      <c r="H2951">
        <v>68662</v>
      </c>
      <c r="I2951">
        <v>68764</v>
      </c>
      <c r="J2951">
        <v>1097</v>
      </c>
      <c r="K2951">
        <v>500847</v>
      </c>
      <c r="L2951">
        <v>132069</v>
      </c>
      <c r="M2951">
        <v>-147031</v>
      </c>
      <c r="N2951">
        <v>119419</v>
      </c>
      <c r="O2951" t="s">
        <v>2969</v>
      </c>
      <c r="P2951" s="9">
        <v>230000</v>
      </c>
      <c r="Q2951" s="9">
        <v>34568</v>
      </c>
      <c r="R2951" s="9">
        <v>264568</v>
      </c>
      <c r="S2951" s="9">
        <v>-134945</v>
      </c>
      <c r="T2951" s="10">
        <v>83539</v>
      </c>
      <c r="U2951" s="10">
        <v>1774</v>
      </c>
    </row>
    <row r="2952" spans="1:21" x14ac:dyDescent="0.35">
      <c r="A2952" t="s">
        <v>15</v>
      </c>
      <c r="B2952" t="s">
        <v>20</v>
      </c>
      <c r="C2952" t="s">
        <v>21</v>
      </c>
      <c r="D2952">
        <v>280093</v>
      </c>
      <c r="E2952">
        <v>51953</v>
      </c>
      <c r="F2952">
        <v>63399</v>
      </c>
      <c r="G2952">
        <v>-268956</v>
      </c>
      <c r="H2952">
        <v>126489</v>
      </c>
      <c r="I2952">
        <v>121982</v>
      </c>
      <c r="J2952">
        <v>2399</v>
      </c>
      <c r="K2952">
        <v>913319</v>
      </c>
      <c r="L2952">
        <v>201841</v>
      </c>
      <c r="M2952">
        <v>-354837</v>
      </c>
      <c r="N2952">
        <v>209964</v>
      </c>
      <c r="O2952" t="s">
        <v>2970</v>
      </c>
      <c r="P2952" s="9">
        <v>298755</v>
      </c>
      <c r="Q2952" s="9">
        <v>34016</v>
      </c>
      <c r="R2952" s="9">
        <v>332771</v>
      </c>
      <c r="S2952" s="9">
        <v>-73664</v>
      </c>
      <c r="T2952" s="10">
        <v>77298</v>
      </c>
      <c r="U2952" s="10">
        <v>1077</v>
      </c>
    </row>
    <row r="2953" spans="1:21" x14ac:dyDescent="0.35">
      <c r="A2953" t="s">
        <v>15</v>
      </c>
      <c r="B2953" t="s">
        <v>16</v>
      </c>
      <c r="C2953" t="s">
        <v>21</v>
      </c>
      <c r="D2953">
        <v>283499</v>
      </c>
      <c r="E2953">
        <v>55851</v>
      </c>
      <c r="F2953">
        <v>46614</v>
      </c>
      <c r="G2953">
        <v>-235333</v>
      </c>
      <c r="H2953">
        <v>150631</v>
      </c>
      <c r="I2953">
        <v>140653</v>
      </c>
      <c r="J2953">
        <v>2929</v>
      </c>
      <c r="K2953">
        <v>1113719</v>
      </c>
      <c r="L2953">
        <v>326536</v>
      </c>
      <c r="M2953">
        <v>-305349</v>
      </c>
      <c r="N2953">
        <v>123338</v>
      </c>
      <c r="O2953" t="s">
        <v>2971</v>
      </c>
      <c r="P2953" s="9">
        <v>260229</v>
      </c>
      <c r="Q2953" s="9">
        <v>40921</v>
      </c>
      <c r="R2953" s="9">
        <v>301150</v>
      </c>
      <c r="S2953" s="9">
        <v>-90884</v>
      </c>
      <c r="T2953" s="10">
        <v>109450</v>
      </c>
      <c r="U2953" s="10">
        <v>2236</v>
      </c>
    </row>
    <row r="2954" spans="1:21" x14ac:dyDescent="0.35">
      <c r="A2954" t="s">
        <v>15</v>
      </c>
      <c r="B2954" t="s">
        <v>20</v>
      </c>
      <c r="C2954" t="s">
        <v>21</v>
      </c>
      <c r="D2954">
        <v>268881</v>
      </c>
      <c r="E2954">
        <v>50311</v>
      </c>
      <c r="F2954">
        <v>49492</v>
      </c>
      <c r="G2954">
        <v>-255419</v>
      </c>
      <c r="H2954">
        <v>113265</v>
      </c>
      <c r="I2954">
        <v>114624</v>
      </c>
      <c r="J2954">
        <v>2689</v>
      </c>
      <c r="K2954">
        <v>595667</v>
      </c>
      <c r="L2954">
        <v>89097</v>
      </c>
      <c r="M2954">
        <v>-215101</v>
      </c>
      <c r="N2954">
        <v>221085</v>
      </c>
      <c r="O2954" t="s">
        <v>2972</v>
      </c>
      <c r="P2954" s="9">
        <v>186002</v>
      </c>
      <c r="Q2954" s="9">
        <v>13037</v>
      </c>
      <c r="R2954" s="9">
        <v>199039</v>
      </c>
      <c r="S2954" s="9">
        <v>-74139</v>
      </c>
      <c r="T2954" s="10">
        <v>52050</v>
      </c>
      <c r="U2954" s="10">
        <v>772</v>
      </c>
    </row>
    <row r="2955" spans="1:21" x14ac:dyDescent="0.35">
      <c r="A2955" t="s">
        <v>15</v>
      </c>
      <c r="B2955" t="s">
        <v>16</v>
      </c>
      <c r="C2955" t="s">
        <v>21</v>
      </c>
      <c r="D2955">
        <v>199994</v>
      </c>
      <c r="E2955">
        <v>25612</v>
      </c>
      <c r="F2955">
        <v>30681</v>
      </c>
      <c r="G2955">
        <v>-185091</v>
      </c>
      <c r="H2955">
        <v>71196</v>
      </c>
      <c r="I2955">
        <v>66823</v>
      </c>
      <c r="J2955">
        <v>1903</v>
      </c>
      <c r="K2955">
        <v>454888</v>
      </c>
      <c r="L2955">
        <v>49571</v>
      </c>
      <c r="M2955">
        <v>-50820</v>
      </c>
      <c r="N2955">
        <v>91931</v>
      </c>
      <c r="O2955" t="s">
        <v>2973</v>
      </c>
      <c r="P2955" s="9">
        <v>285192</v>
      </c>
      <c r="Q2955" s="9">
        <v>51248</v>
      </c>
      <c r="R2955" s="9">
        <v>336440</v>
      </c>
      <c r="S2955" s="9">
        <v>-117682</v>
      </c>
      <c r="T2955" s="10">
        <v>144595</v>
      </c>
      <c r="U2955" s="10">
        <v>2058</v>
      </c>
    </row>
    <row r="2956" spans="1:21" x14ac:dyDescent="0.35">
      <c r="A2956" t="s">
        <v>15</v>
      </c>
      <c r="B2956" t="s">
        <v>16</v>
      </c>
      <c r="C2956" t="s">
        <v>17</v>
      </c>
      <c r="D2956">
        <v>283555</v>
      </c>
      <c r="E2956">
        <v>35807</v>
      </c>
      <c r="F2956">
        <v>54796</v>
      </c>
      <c r="G2956">
        <v>-277720</v>
      </c>
      <c r="H2956">
        <v>96438</v>
      </c>
      <c r="I2956">
        <v>101070</v>
      </c>
      <c r="J2956">
        <v>1179</v>
      </c>
      <c r="K2956">
        <v>1111193</v>
      </c>
      <c r="L2956">
        <v>232995</v>
      </c>
      <c r="M2956">
        <v>-232197</v>
      </c>
      <c r="N2956">
        <v>238743</v>
      </c>
      <c r="O2956" t="s">
        <v>2974</v>
      </c>
      <c r="P2956" s="9">
        <v>259252</v>
      </c>
      <c r="Q2956" s="9">
        <v>37291</v>
      </c>
      <c r="R2956" s="9">
        <v>296543</v>
      </c>
      <c r="S2956" s="9">
        <v>-70944</v>
      </c>
      <c r="T2956" s="10">
        <v>62357</v>
      </c>
      <c r="U2956" s="10">
        <v>1669</v>
      </c>
    </row>
    <row r="2957" spans="1:21" x14ac:dyDescent="0.35">
      <c r="A2957" t="s">
        <v>15</v>
      </c>
      <c r="B2957" t="s">
        <v>20</v>
      </c>
      <c r="C2957" t="s">
        <v>17</v>
      </c>
      <c r="D2957">
        <v>202188</v>
      </c>
      <c r="E2957">
        <v>35619</v>
      </c>
      <c r="F2957">
        <v>39925</v>
      </c>
      <c r="G2957">
        <v>-197426</v>
      </c>
      <c r="H2957">
        <v>80306</v>
      </c>
      <c r="I2957">
        <v>75539</v>
      </c>
      <c r="J2957">
        <v>979</v>
      </c>
      <c r="K2957">
        <v>587859</v>
      </c>
      <c r="L2957">
        <v>229070</v>
      </c>
      <c r="M2957">
        <v>-97769</v>
      </c>
      <c r="N2957">
        <v>129591</v>
      </c>
      <c r="O2957" t="s">
        <v>2975</v>
      </c>
      <c r="P2957" s="9">
        <v>173155</v>
      </c>
      <c r="Q2957" s="9">
        <v>18823</v>
      </c>
      <c r="R2957" s="9">
        <v>191978</v>
      </c>
      <c r="S2957" s="9">
        <v>-69049</v>
      </c>
      <c r="T2957" s="10">
        <v>74145</v>
      </c>
      <c r="U2957" s="10">
        <v>2199</v>
      </c>
    </row>
    <row r="2958" spans="1:21" x14ac:dyDescent="0.35">
      <c r="A2958" t="s">
        <v>15</v>
      </c>
      <c r="B2958" t="s">
        <v>16</v>
      </c>
      <c r="C2958" t="s">
        <v>21</v>
      </c>
      <c r="D2958">
        <v>207148</v>
      </c>
      <c r="E2958">
        <v>37342</v>
      </c>
      <c r="F2958">
        <v>47431</v>
      </c>
      <c r="G2958">
        <v>-175011</v>
      </c>
      <c r="H2958">
        <v>116910</v>
      </c>
      <c r="I2958">
        <v>117869</v>
      </c>
      <c r="J2958">
        <v>2090</v>
      </c>
      <c r="K2958">
        <v>535791</v>
      </c>
      <c r="L2958">
        <v>260965</v>
      </c>
      <c r="M2958">
        <v>-87317</v>
      </c>
      <c r="N2958">
        <v>76805</v>
      </c>
      <c r="O2958" t="s">
        <v>2976</v>
      </c>
      <c r="P2958" s="9">
        <v>266033</v>
      </c>
      <c r="Q2958" s="9">
        <v>23736</v>
      </c>
      <c r="R2958" s="9">
        <v>289769</v>
      </c>
      <c r="S2958" s="9">
        <v>-160104</v>
      </c>
      <c r="T2958" s="10">
        <v>94736</v>
      </c>
      <c r="U2958" s="10">
        <v>1111</v>
      </c>
    </row>
    <row r="2959" spans="1:21" x14ac:dyDescent="0.35">
      <c r="A2959" t="s">
        <v>15</v>
      </c>
      <c r="B2959" t="s">
        <v>16</v>
      </c>
      <c r="C2959" t="s">
        <v>21</v>
      </c>
      <c r="D2959">
        <v>247716</v>
      </c>
      <c r="E2959">
        <v>17935</v>
      </c>
      <c r="F2959">
        <v>46158</v>
      </c>
      <c r="G2959">
        <v>-247125</v>
      </c>
      <c r="H2959">
        <v>64684</v>
      </c>
      <c r="I2959">
        <v>60777</v>
      </c>
      <c r="J2959">
        <v>1242</v>
      </c>
      <c r="K2959">
        <v>813538</v>
      </c>
      <c r="L2959">
        <v>171473</v>
      </c>
      <c r="M2959">
        <v>-254930</v>
      </c>
      <c r="N2959">
        <v>169322</v>
      </c>
      <c r="O2959" t="s">
        <v>2977</v>
      </c>
      <c r="P2959" s="9">
        <v>233119</v>
      </c>
      <c r="Q2959" s="9">
        <v>19914</v>
      </c>
      <c r="R2959" s="9">
        <v>253033</v>
      </c>
      <c r="S2959" s="9">
        <v>-117521</v>
      </c>
      <c r="T2959" s="10">
        <v>45155</v>
      </c>
      <c r="U2959" s="10">
        <v>760</v>
      </c>
    </row>
    <row r="2960" spans="1:21" x14ac:dyDescent="0.35">
      <c r="A2960" t="s">
        <v>15</v>
      </c>
      <c r="B2960" t="s">
        <v>20</v>
      </c>
      <c r="C2960" t="s">
        <v>21</v>
      </c>
      <c r="D2960">
        <v>219739</v>
      </c>
      <c r="E2960">
        <v>34949</v>
      </c>
      <c r="F2960">
        <v>42223</v>
      </c>
      <c r="G2960">
        <v>-213001</v>
      </c>
      <c r="H2960">
        <v>83910</v>
      </c>
      <c r="I2960">
        <v>84643</v>
      </c>
      <c r="J2960">
        <v>915</v>
      </c>
      <c r="K2960">
        <v>602245</v>
      </c>
      <c r="L2960">
        <v>214331</v>
      </c>
      <c r="M2960">
        <v>-110655</v>
      </c>
      <c r="N2960">
        <v>141876</v>
      </c>
      <c r="O2960" t="s">
        <v>2978</v>
      </c>
      <c r="P2960" s="9">
        <v>235949</v>
      </c>
      <c r="Q2960" s="9">
        <v>29776</v>
      </c>
      <c r="R2960" s="9">
        <v>265725</v>
      </c>
      <c r="S2960" s="9">
        <v>-116252</v>
      </c>
      <c r="T2960" s="10">
        <v>75798</v>
      </c>
      <c r="U2960" s="10">
        <v>2209</v>
      </c>
    </row>
    <row r="2961" spans="1:21" x14ac:dyDescent="0.35">
      <c r="A2961" t="s">
        <v>15</v>
      </c>
      <c r="B2961" t="s">
        <v>16</v>
      </c>
      <c r="C2961" t="s">
        <v>21</v>
      </c>
      <c r="D2961">
        <v>153693</v>
      </c>
      <c r="E2961">
        <v>20775</v>
      </c>
      <c r="F2961">
        <v>19206</v>
      </c>
      <c r="G2961">
        <v>-153082</v>
      </c>
      <c r="H2961">
        <v>40592</v>
      </c>
      <c r="I2961">
        <v>37626</v>
      </c>
      <c r="J2961">
        <v>544</v>
      </c>
      <c r="K2961">
        <v>464788</v>
      </c>
      <c r="L2961">
        <v>163516</v>
      </c>
      <c r="M2961">
        <v>-168582</v>
      </c>
      <c r="N2961">
        <v>101739</v>
      </c>
      <c r="O2961" t="s">
        <v>2979</v>
      </c>
      <c r="P2961" s="9">
        <v>206976</v>
      </c>
      <c r="Q2961" s="9">
        <v>39855</v>
      </c>
      <c r="R2961" s="9">
        <v>246831</v>
      </c>
      <c r="S2961" s="9">
        <v>-80287</v>
      </c>
      <c r="T2961" s="10">
        <v>88308</v>
      </c>
      <c r="U2961" s="10">
        <v>1037</v>
      </c>
    </row>
    <row r="2962" spans="1:21" x14ac:dyDescent="0.35">
      <c r="A2962" t="s">
        <v>15</v>
      </c>
      <c r="B2962" t="s">
        <v>20</v>
      </c>
      <c r="C2962" t="s">
        <v>21</v>
      </c>
      <c r="D2962">
        <v>181340</v>
      </c>
      <c r="E2962">
        <v>17085</v>
      </c>
      <c r="F2962">
        <v>41023</v>
      </c>
      <c r="G2962">
        <v>-162054</v>
      </c>
      <c r="H2962">
        <v>77394</v>
      </c>
      <c r="I2962">
        <v>77802</v>
      </c>
      <c r="J2962">
        <v>975</v>
      </c>
      <c r="K2962">
        <v>517939</v>
      </c>
      <c r="L2962">
        <v>81889</v>
      </c>
      <c r="M2962">
        <v>-161027</v>
      </c>
      <c r="N2962">
        <v>65387</v>
      </c>
      <c r="O2962" t="s">
        <v>2980</v>
      </c>
      <c r="P2962" s="9">
        <v>169622</v>
      </c>
      <c r="Q2962" s="9">
        <v>21027</v>
      </c>
      <c r="R2962" s="9">
        <v>190649</v>
      </c>
      <c r="S2962" s="9">
        <v>-100660</v>
      </c>
      <c r="T2962" s="10">
        <v>48868</v>
      </c>
      <c r="U2962" s="10">
        <v>639</v>
      </c>
    </row>
    <row r="2963" spans="1:21" x14ac:dyDescent="0.35">
      <c r="A2963" t="s">
        <v>15</v>
      </c>
      <c r="B2963" t="s">
        <v>16</v>
      </c>
      <c r="C2963" t="s">
        <v>21</v>
      </c>
      <c r="D2963">
        <v>190683</v>
      </c>
      <c r="E2963">
        <v>17170</v>
      </c>
      <c r="F2963">
        <v>43218</v>
      </c>
      <c r="G2963">
        <v>-187177</v>
      </c>
      <c r="H2963">
        <v>63894</v>
      </c>
      <c r="I2963">
        <v>63246</v>
      </c>
      <c r="J2963">
        <v>765</v>
      </c>
      <c r="K2963">
        <v>569191</v>
      </c>
      <c r="L2963">
        <v>263761</v>
      </c>
      <c r="M2963">
        <v>-93269</v>
      </c>
      <c r="N2963">
        <v>83114</v>
      </c>
      <c r="O2963" t="s">
        <v>2981</v>
      </c>
      <c r="P2963" s="9">
        <v>166839</v>
      </c>
      <c r="Q2963" s="9">
        <v>8326</v>
      </c>
      <c r="R2963" s="9">
        <v>175165</v>
      </c>
      <c r="S2963" s="9">
        <v>-85071</v>
      </c>
      <c r="T2963" s="10">
        <v>46422</v>
      </c>
      <c r="U2963" s="10">
        <v>553</v>
      </c>
    </row>
    <row r="2964" spans="1:21" x14ac:dyDescent="0.35">
      <c r="A2964" t="s">
        <v>15</v>
      </c>
      <c r="B2964" t="s">
        <v>16</v>
      </c>
      <c r="C2964" t="s">
        <v>17</v>
      </c>
      <c r="D2964">
        <v>159112</v>
      </c>
      <c r="E2964">
        <v>27641</v>
      </c>
      <c r="F2964">
        <v>33140</v>
      </c>
      <c r="G2964">
        <v>-135821</v>
      </c>
      <c r="H2964">
        <v>84072</v>
      </c>
      <c r="I2964">
        <v>84408</v>
      </c>
      <c r="J2964">
        <v>932</v>
      </c>
      <c r="K2964">
        <v>445008</v>
      </c>
      <c r="L2964">
        <v>81559</v>
      </c>
      <c r="M2964">
        <v>-119311</v>
      </c>
      <c r="N2964">
        <v>54016</v>
      </c>
      <c r="O2964" t="s">
        <v>2982</v>
      </c>
      <c r="P2964" s="9">
        <v>172000</v>
      </c>
      <c r="Q2964" s="9">
        <v>12401</v>
      </c>
      <c r="R2964" s="9">
        <v>184401</v>
      </c>
      <c r="S2964" s="9">
        <v>-46520</v>
      </c>
      <c r="T2964" s="10">
        <v>43290</v>
      </c>
      <c r="U2964" s="10">
        <v>1010</v>
      </c>
    </row>
    <row r="2965" spans="1:21" x14ac:dyDescent="0.35">
      <c r="A2965" t="s">
        <v>15</v>
      </c>
      <c r="B2965" t="s">
        <v>20</v>
      </c>
      <c r="C2965" t="s">
        <v>21</v>
      </c>
      <c r="D2965">
        <v>179417</v>
      </c>
      <c r="E2965">
        <v>19684</v>
      </c>
      <c r="F2965">
        <v>24104</v>
      </c>
      <c r="G2965">
        <v>-175876</v>
      </c>
      <c r="H2965">
        <v>47329</v>
      </c>
      <c r="I2965">
        <v>48744</v>
      </c>
      <c r="J2965">
        <v>1253</v>
      </c>
      <c r="K2965">
        <v>585062</v>
      </c>
      <c r="L2965">
        <v>176849</v>
      </c>
      <c r="M2965">
        <v>-200922</v>
      </c>
      <c r="N2965">
        <v>90268</v>
      </c>
      <c r="O2965" t="s">
        <v>2983</v>
      </c>
      <c r="P2965" s="9">
        <v>194018</v>
      </c>
      <c r="Q2965" s="9">
        <v>33977</v>
      </c>
      <c r="R2965" s="9">
        <v>227995</v>
      </c>
      <c r="S2965" s="9">
        <v>-92220</v>
      </c>
      <c r="T2965" s="10">
        <v>67806</v>
      </c>
      <c r="U2965" s="10">
        <v>1875</v>
      </c>
    </row>
    <row r="2966" spans="1:21" x14ac:dyDescent="0.35">
      <c r="A2966" t="s">
        <v>15</v>
      </c>
      <c r="B2966" t="s">
        <v>16</v>
      </c>
      <c r="C2966" t="s">
        <v>21</v>
      </c>
      <c r="D2966">
        <v>264519</v>
      </c>
      <c r="E2966">
        <v>52174</v>
      </c>
      <c r="F2966">
        <v>32786</v>
      </c>
      <c r="G2966">
        <v>-257096</v>
      </c>
      <c r="H2966">
        <v>92383</v>
      </c>
      <c r="I2966">
        <v>95860</v>
      </c>
      <c r="J2966">
        <v>1458</v>
      </c>
      <c r="K2966">
        <v>698013</v>
      </c>
      <c r="L2966">
        <v>168196</v>
      </c>
      <c r="M2966">
        <v>-180242</v>
      </c>
      <c r="N2966">
        <v>87795</v>
      </c>
      <c r="O2966" t="s">
        <v>2984</v>
      </c>
      <c r="P2966" s="9">
        <v>188365</v>
      </c>
      <c r="Q2966" s="9">
        <v>15586</v>
      </c>
      <c r="R2966" s="9">
        <v>203951</v>
      </c>
      <c r="S2966" s="9">
        <v>-96179</v>
      </c>
      <c r="T2966" s="10">
        <v>62285</v>
      </c>
      <c r="U2966" s="10">
        <v>1206</v>
      </c>
    </row>
    <row r="2967" spans="1:21" x14ac:dyDescent="0.35">
      <c r="A2967" t="s">
        <v>15</v>
      </c>
      <c r="B2967" t="s">
        <v>20</v>
      </c>
      <c r="C2967" t="s">
        <v>17</v>
      </c>
      <c r="D2967">
        <v>289525</v>
      </c>
      <c r="E2967">
        <v>18315</v>
      </c>
      <c r="F2967">
        <v>69224</v>
      </c>
      <c r="G2967">
        <v>-248814</v>
      </c>
      <c r="H2967">
        <v>128250</v>
      </c>
      <c r="I2967">
        <v>123298</v>
      </c>
      <c r="J2967">
        <v>2775</v>
      </c>
      <c r="K2967">
        <v>1105298</v>
      </c>
      <c r="L2967">
        <v>293768</v>
      </c>
      <c r="M2967">
        <v>-253285</v>
      </c>
      <c r="N2967">
        <v>245756</v>
      </c>
      <c r="O2967" t="s">
        <v>2985</v>
      </c>
      <c r="P2967" s="9">
        <v>240315</v>
      </c>
      <c r="Q2967" s="9">
        <v>42599</v>
      </c>
      <c r="R2967" s="9">
        <v>282914</v>
      </c>
      <c r="S2967" s="9">
        <v>-148684</v>
      </c>
      <c r="T2967" s="10">
        <v>123770</v>
      </c>
      <c r="U2967" s="10">
        <v>2080</v>
      </c>
    </row>
    <row r="2968" spans="1:21" x14ac:dyDescent="0.35">
      <c r="A2968" t="s">
        <v>15</v>
      </c>
      <c r="B2968" t="s">
        <v>16</v>
      </c>
      <c r="C2968" t="s">
        <v>21</v>
      </c>
      <c r="D2968">
        <v>195052</v>
      </c>
      <c r="E2968">
        <v>30000</v>
      </c>
      <c r="F2968">
        <v>47333</v>
      </c>
      <c r="G2968">
        <v>-169694</v>
      </c>
      <c r="H2968">
        <v>102691</v>
      </c>
      <c r="I2968">
        <v>97943</v>
      </c>
      <c r="J2968">
        <v>2681</v>
      </c>
      <c r="K2968">
        <v>540151</v>
      </c>
      <c r="L2968">
        <v>83552</v>
      </c>
      <c r="M2968">
        <v>-59069</v>
      </c>
      <c r="N2968">
        <v>147680</v>
      </c>
      <c r="O2968" t="s">
        <v>2986</v>
      </c>
      <c r="P2968" s="9">
        <v>276955</v>
      </c>
      <c r="Q2968" s="9">
        <v>55067</v>
      </c>
      <c r="R2968" s="9">
        <v>332022</v>
      </c>
      <c r="S2968" s="9">
        <v>-103089</v>
      </c>
      <c r="T2968" s="10">
        <v>99735</v>
      </c>
      <c r="U2968" s="10">
        <v>1714</v>
      </c>
    </row>
    <row r="2969" spans="1:21" x14ac:dyDescent="0.35">
      <c r="A2969" t="s">
        <v>15</v>
      </c>
      <c r="B2969" t="s">
        <v>16</v>
      </c>
      <c r="C2969" t="s">
        <v>21</v>
      </c>
      <c r="D2969">
        <v>232614</v>
      </c>
      <c r="E2969">
        <v>34714</v>
      </c>
      <c r="F2969">
        <v>52599</v>
      </c>
      <c r="G2969">
        <v>-188265</v>
      </c>
      <c r="H2969">
        <v>131662</v>
      </c>
      <c r="I2969">
        <v>128971</v>
      </c>
      <c r="J2969">
        <v>3143</v>
      </c>
      <c r="K2969">
        <v>773287</v>
      </c>
      <c r="L2969">
        <v>86491</v>
      </c>
      <c r="M2969">
        <v>-151880</v>
      </c>
      <c r="N2969">
        <v>206066</v>
      </c>
      <c r="O2969" t="s">
        <v>2987</v>
      </c>
      <c r="P2969" s="9">
        <v>240642</v>
      </c>
      <c r="Q2969" s="9">
        <v>37290</v>
      </c>
      <c r="R2969" s="9">
        <v>277932</v>
      </c>
      <c r="S2969" s="9">
        <v>-149634</v>
      </c>
      <c r="T2969" s="10">
        <v>108089</v>
      </c>
      <c r="U2969" s="10">
        <v>2199</v>
      </c>
    </row>
    <row r="2970" spans="1:21" x14ac:dyDescent="0.35">
      <c r="A2970" t="s">
        <v>15</v>
      </c>
      <c r="B2970" t="s">
        <v>20</v>
      </c>
      <c r="C2970" t="s">
        <v>21</v>
      </c>
      <c r="D2970">
        <v>281370</v>
      </c>
      <c r="E2970">
        <v>31779</v>
      </c>
      <c r="F2970">
        <v>61098</v>
      </c>
      <c r="G2970">
        <v>-264157</v>
      </c>
      <c r="H2970">
        <v>110090</v>
      </c>
      <c r="I2970">
        <v>110066</v>
      </c>
      <c r="J2970">
        <v>2742</v>
      </c>
      <c r="K2970">
        <v>576349</v>
      </c>
      <c r="L2970">
        <v>215216</v>
      </c>
      <c r="M2970">
        <v>-115625</v>
      </c>
      <c r="N2970">
        <v>251856</v>
      </c>
      <c r="O2970" t="s">
        <v>2988</v>
      </c>
      <c r="P2970" s="9">
        <v>240000</v>
      </c>
      <c r="Q2970" s="9">
        <v>40536</v>
      </c>
      <c r="R2970" s="9">
        <v>280536</v>
      </c>
      <c r="S2970" s="9">
        <v>-100477</v>
      </c>
      <c r="T2970" s="10">
        <v>115034</v>
      </c>
      <c r="U2970" s="10">
        <v>2414</v>
      </c>
    </row>
    <row r="2971" spans="1:21" x14ac:dyDescent="0.35">
      <c r="A2971" t="s">
        <v>15</v>
      </c>
      <c r="B2971" t="s">
        <v>16</v>
      </c>
      <c r="C2971" t="s">
        <v>17</v>
      </c>
      <c r="D2971">
        <v>229154</v>
      </c>
      <c r="E2971">
        <v>45044</v>
      </c>
      <c r="F2971">
        <v>30481</v>
      </c>
      <c r="G2971">
        <v>-224144</v>
      </c>
      <c r="H2971">
        <v>80535</v>
      </c>
      <c r="I2971">
        <v>75931</v>
      </c>
      <c r="J2971">
        <v>1868</v>
      </c>
      <c r="K2971">
        <v>577607</v>
      </c>
      <c r="L2971">
        <v>87147</v>
      </c>
      <c r="M2971">
        <v>-87238</v>
      </c>
      <c r="N2971">
        <v>86373</v>
      </c>
      <c r="O2971" t="s">
        <v>2989</v>
      </c>
      <c r="P2971" s="9">
        <v>190626</v>
      </c>
      <c r="Q2971" s="9">
        <v>21035</v>
      </c>
      <c r="R2971" s="9">
        <v>211661</v>
      </c>
      <c r="S2971" s="9">
        <v>-87325</v>
      </c>
      <c r="T2971" s="10">
        <v>92282</v>
      </c>
      <c r="U2971" s="10">
        <v>936</v>
      </c>
    </row>
    <row r="2972" spans="1:21" x14ac:dyDescent="0.35">
      <c r="A2972" t="s">
        <v>15</v>
      </c>
      <c r="B2972" t="s">
        <v>20</v>
      </c>
      <c r="C2972" t="s">
        <v>21</v>
      </c>
      <c r="D2972">
        <v>200074</v>
      </c>
      <c r="E2972">
        <v>21082</v>
      </c>
      <c r="F2972">
        <v>29094</v>
      </c>
      <c r="G2972">
        <v>-163465</v>
      </c>
      <c r="H2972">
        <v>86785</v>
      </c>
      <c r="I2972">
        <v>88213</v>
      </c>
      <c r="J2972">
        <v>1560</v>
      </c>
      <c r="K2972">
        <v>642176</v>
      </c>
      <c r="L2972">
        <v>300610</v>
      </c>
      <c r="M2972">
        <v>-176661</v>
      </c>
      <c r="N2972">
        <v>151498</v>
      </c>
      <c r="O2972" t="s">
        <v>2990</v>
      </c>
      <c r="P2972" s="9">
        <v>284886</v>
      </c>
      <c r="Q2972" s="9">
        <v>53700</v>
      </c>
      <c r="R2972" s="9">
        <v>338586</v>
      </c>
      <c r="S2972" s="9">
        <v>-163841</v>
      </c>
      <c r="T2972" s="10">
        <v>133706</v>
      </c>
      <c r="U2972" s="10">
        <v>3589</v>
      </c>
    </row>
    <row r="2973" spans="1:21" x14ac:dyDescent="0.35">
      <c r="A2973" t="s">
        <v>15</v>
      </c>
      <c r="B2973" t="s">
        <v>16</v>
      </c>
      <c r="C2973" t="s">
        <v>21</v>
      </c>
      <c r="D2973">
        <v>243251</v>
      </c>
      <c r="E2973">
        <v>34295</v>
      </c>
      <c r="F2973">
        <v>25525</v>
      </c>
      <c r="G2973">
        <v>-201810</v>
      </c>
      <c r="H2973">
        <v>101261</v>
      </c>
      <c r="I2973">
        <v>100630</v>
      </c>
      <c r="J2973">
        <v>2718</v>
      </c>
      <c r="K2973">
        <v>921145</v>
      </c>
      <c r="L2973">
        <v>274997</v>
      </c>
      <c r="M2973">
        <v>-366310</v>
      </c>
      <c r="N2973">
        <v>151693</v>
      </c>
      <c r="O2973" t="s">
        <v>2991</v>
      </c>
      <c r="P2973" s="9">
        <v>154150</v>
      </c>
      <c r="Q2973" s="9">
        <v>22712</v>
      </c>
      <c r="R2973" s="9">
        <v>176862</v>
      </c>
      <c r="S2973" s="9">
        <v>-81348</v>
      </c>
      <c r="T2973" s="10">
        <v>60221</v>
      </c>
      <c r="U2973" s="10">
        <v>1359</v>
      </c>
    </row>
    <row r="2974" spans="1:21" x14ac:dyDescent="0.35">
      <c r="A2974" t="s">
        <v>15</v>
      </c>
      <c r="B2974" t="s">
        <v>20</v>
      </c>
      <c r="C2974" t="s">
        <v>21</v>
      </c>
      <c r="D2974">
        <v>230235</v>
      </c>
      <c r="E2974">
        <v>13252</v>
      </c>
      <c r="F2974">
        <v>52250</v>
      </c>
      <c r="G2974">
        <v>-201455</v>
      </c>
      <c r="H2974">
        <v>94282</v>
      </c>
      <c r="I2974">
        <v>89213</v>
      </c>
      <c r="J2974">
        <v>2215</v>
      </c>
      <c r="K2974">
        <v>738323</v>
      </c>
      <c r="L2974">
        <v>112407</v>
      </c>
      <c r="M2974">
        <v>-292120</v>
      </c>
      <c r="N2974">
        <v>137526</v>
      </c>
      <c r="O2974" t="s">
        <v>2992</v>
      </c>
      <c r="P2974" s="9">
        <v>231674</v>
      </c>
      <c r="Q2974" s="9">
        <v>13610</v>
      </c>
      <c r="R2974" s="9">
        <v>245284</v>
      </c>
      <c r="S2974" s="9">
        <v>-58061</v>
      </c>
      <c r="T2974" s="10">
        <v>106520</v>
      </c>
      <c r="U2974" s="10">
        <v>2578</v>
      </c>
    </row>
    <row r="2975" spans="1:21" x14ac:dyDescent="0.35">
      <c r="A2975" t="s">
        <v>15</v>
      </c>
      <c r="B2975" t="s">
        <v>16</v>
      </c>
      <c r="C2975" t="s">
        <v>21</v>
      </c>
      <c r="D2975">
        <v>288293</v>
      </c>
      <c r="E2975">
        <v>46303</v>
      </c>
      <c r="F2975">
        <v>31602</v>
      </c>
      <c r="G2975">
        <v>-245703</v>
      </c>
      <c r="H2975">
        <v>120495</v>
      </c>
      <c r="I2975">
        <v>112810</v>
      </c>
      <c r="J2975">
        <v>1868</v>
      </c>
      <c r="K2975">
        <v>843973</v>
      </c>
      <c r="L2975">
        <v>335786</v>
      </c>
      <c r="M2975">
        <v>-169461</v>
      </c>
      <c r="N2975">
        <v>234755</v>
      </c>
      <c r="O2975" t="s">
        <v>2993</v>
      </c>
      <c r="P2975" s="9">
        <v>197792</v>
      </c>
      <c r="Q2975" s="9">
        <v>38779</v>
      </c>
      <c r="R2975" s="9">
        <v>236571</v>
      </c>
      <c r="S2975" s="9">
        <v>-54629</v>
      </c>
      <c r="T2975" s="10">
        <v>128456</v>
      </c>
      <c r="U2975" s="10">
        <v>3514</v>
      </c>
    </row>
    <row r="2976" spans="1:21" x14ac:dyDescent="0.35">
      <c r="A2976" t="s">
        <v>15</v>
      </c>
      <c r="B2976" t="s">
        <v>20</v>
      </c>
      <c r="C2976" t="s">
        <v>21</v>
      </c>
      <c r="D2976">
        <v>210882</v>
      </c>
      <c r="E2976">
        <v>18575</v>
      </c>
      <c r="F2976">
        <v>33783</v>
      </c>
      <c r="G2976">
        <v>-187354</v>
      </c>
      <c r="H2976">
        <v>75886</v>
      </c>
      <c r="I2976">
        <v>71509</v>
      </c>
      <c r="J2976">
        <v>754</v>
      </c>
      <c r="K2976">
        <v>551753</v>
      </c>
      <c r="L2976">
        <v>95023</v>
      </c>
      <c r="M2976">
        <v>-184628</v>
      </c>
      <c r="N2976">
        <v>183224</v>
      </c>
      <c r="O2976" t="s">
        <v>2994</v>
      </c>
      <c r="P2976" s="9">
        <v>249288</v>
      </c>
      <c r="Q2976" s="9">
        <v>38050</v>
      </c>
      <c r="R2976" s="9">
        <v>287338</v>
      </c>
      <c r="S2976" s="9">
        <v>-96102</v>
      </c>
      <c r="T2976" s="10">
        <v>105109</v>
      </c>
      <c r="U2976" s="10">
        <v>3083</v>
      </c>
    </row>
    <row r="2977" spans="1:21" x14ac:dyDescent="0.35">
      <c r="A2977" t="s">
        <v>15</v>
      </c>
      <c r="B2977" t="s">
        <v>20</v>
      </c>
      <c r="C2977" t="s">
        <v>17</v>
      </c>
      <c r="D2977">
        <v>163340</v>
      </c>
      <c r="E2977">
        <v>15568</v>
      </c>
      <c r="F2977">
        <v>29574</v>
      </c>
      <c r="G2977">
        <v>-158329</v>
      </c>
      <c r="H2977">
        <v>50153</v>
      </c>
      <c r="I2977">
        <v>47763</v>
      </c>
      <c r="J2977">
        <v>862</v>
      </c>
      <c r="K2977">
        <v>635463</v>
      </c>
      <c r="L2977">
        <v>270243</v>
      </c>
      <c r="M2977">
        <v>-144903</v>
      </c>
      <c r="N2977">
        <v>99130</v>
      </c>
      <c r="O2977" t="s">
        <v>2995</v>
      </c>
      <c r="P2977" s="9">
        <v>284713</v>
      </c>
      <c r="Q2977" s="9">
        <v>32155</v>
      </c>
      <c r="R2977" s="9">
        <v>316868</v>
      </c>
      <c r="S2977" s="9">
        <v>-100623</v>
      </c>
      <c r="T2977" s="10">
        <v>88323</v>
      </c>
      <c r="U2977" s="10">
        <v>2384</v>
      </c>
    </row>
    <row r="2978" spans="1:21" x14ac:dyDescent="0.35">
      <c r="A2978" t="s">
        <v>15</v>
      </c>
      <c r="B2978" t="s">
        <v>20</v>
      </c>
      <c r="C2978" t="s">
        <v>21</v>
      </c>
      <c r="D2978">
        <v>241492</v>
      </c>
      <c r="E2978">
        <v>44882</v>
      </c>
      <c r="F2978">
        <v>31002</v>
      </c>
      <c r="G2978">
        <v>-218992</v>
      </c>
      <c r="H2978">
        <v>98384</v>
      </c>
      <c r="I2978">
        <v>101034</v>
      </c>
      <c r="J2978">
        <v>1289</v>
      </c>
      <c r="K2978">
        <v>884861</v>
      </c>
      <c r="L2978">
        <v>207269</v>
      </c>
      <c r="M2978">
        <v>-306442</v>
      </c>
      <c r="N2978">
        <v>124791</v>
      </c>
      <c r="O2978" t="s">
        <v>2996</v>
      </c>
      <c r="P2978" s="9">
        <v>188590</v>
      </c>
      <c r="Q2978" s="9">
        <v>36372</v>
      </c>
      <c r="R2978" s="9">
        <v>224962</v>
      </c>
      <c r="S2978" s="9">
        <v>-106754</v>
      </c>
      <c r="T2978" s="10">
        <v>82148</v>
      </c>
      <c r="U2978" s="10">
        <v>1804</v>
      </c>
    </row>
    <row r="2979" spans="1:21" x14ac:dyDescent="0.35">
      <c r="A2979" t="s">
        <v>15</v>
      </c>
      <c r="B2979" t="s">
        <v>16</v>
      </c>
      <c r="C2979" t="s">
        <v>21</v>
      </c>
      <c r="D2979">
        <v>203136</v>
      </c>
      <c r="E2979">
        <v>32003</v>
      </c>
      <c r="F2979">
        <v>47100</v>
      </c>
      <c r="G2979">
        <v>-199964</v>
      </c>
      <c r="H2979">
        <v>82275</v>
      </c>
      <c r="I2979">
        <v>80296</v>
      </c>
      <c r="J2979">
        <v>1080</v>
      </c>
      <c r="K2979">
        <v>521329</v>
      </c>
      <c r="L2979">
        <v>182325</v>
      </c>
      <c r="M2979">
        <v>-97998</v>
      </c>
      <c r="N2979">
        <v>182578</v>
      </c>
      <c r="O2979" t="s">
        <v>2997</v>
      </c>
      <c r="P2979" s="9">
        <v>158912</v>
      </c>
      <c r="Q2979" s="9">
        <v>24308</v>
      </c>
      <c r="R2979" s="9">
        <v>183220</v>
      </c>
      <c r="S2979" s="9">
        <v>-66612</v>
      </c>
      <c r="T2979" s="10">
        <v>75828</v>
      </c>
      <c r="U2979" s="10">
        <v>1529</v>
      </c>
    </row>
    <row r="2980" spans="1:21" x14ac:dyDescent="0.35">
      <c r="A2980" t="s">
        <v>15</v>
      </c>
      <c r="B2980" t="s">
        <v>16</v>
      </c>
      <c r="C2980" t="s">
        <v>17</v>
      </c>
      <c r="D2980">
        <v>190599</v>
      </c>
      <c r="E2980">
        <v>34517</v>
      </c>
      <c r="F2980">
        <v>46592</v>
      </c>
      <c r="G2980">
        <v>-158493</v>
      </c>
      <c r="H2980">
        <v>113215</v>
      </c>
      <c r="I2980">
        <v>115561</v>
      </c>
      <c r="J2980">
        <v>2080</v>
      </c>
      <c r="K2980">
        <v>616129</v>
      </c>
      <c r="L2980">
        <v>280631</v>
      </c>
      <c r="M2980">
        <v>-74151</v>
      </c>
      <c r="N2980">
        <v>145698</v>
      </c>
      <c r="O2980" t="s">
        <v>2998</v>
      </c>
      <c r="P2980" s="9">
        <v>173895</v>
      </c>
      <c r="Q2980" s="9">
        <v>16806</v>
      </c>
      <c r="R2980" s="9">
        <v>190701</v>
      </c>
      <c r="S2980" s="9">
        <v>-89690</v>
      </c>
      <c r="T2980" s="10">
        <v>77653</v>
      </c>
      <c r="U2980" s="10">
        <v>978</v>
      </c>
    </row>
    <row r="2981" spans="1:21" x14ac:dyDescent="0.35">
      <c r="A2981" t="s">
        <v>15</v>
      </c>
      <c r="B2981" t="s">
        <v>20</v>
      </c>
      <c r="C2981" t="s">
        <v>21</v>
      </c>
      <c r="D2981">
        <v>253500</v>
      </c>
      <c r="E2981">
        <v>27019</v>
      </c>
      <c r="F2981">
        <v>37475</v>
      </c>
      <c r="G2981">
        <v>-243376</v>
      </c>
      <c r="H2981">
        <v>74618</v>
      </c>
      <c r="I2981">
        <v>69796</v>
      </c>
      <c r="J2981">
        <v>874</v>
      </c>
      <c r="K2981">
        <v>857819</v>
      </c>
      <c r="L2981">
        <v>210300</v>
      </c>
      <c r="M2981">
        <v>-222967</v>
      </c>
      <c r="N2981">
        <v>107184</v>
      </c>
      <c r="O2981" t="s">
        <v>2999</v>
      </c>
      <c r="P2981" s="9">
        <v>303195</v>
      </c>
      <c r="Q2981" s="9">
        <v>57749</v>
      </c>
      <c r="R2981" s="9">
        <v>360944</v>
      </c>
      <c r="S2981" s="9">
        <v>-175018</v>
      </c>
      <c r="T2981" s="10">
        <v>113708</v>
      </c>
      <c r="U2981" s="10">
        <v>3010</v>
      </c>
    </row>
    <row r="2982" spans="1:21" x14ac:dyDescent="0.35">
      <c r="A2982" t="s">
        <v>15</v>
      </c>
      <c r="B2982" t="s">
        <v>16</v>
      </c>
      <c r="C2982" t="s">
        <v>21</v>
      </c>
      <c r="D2982">
        <v>162331</v>
      </c>
      <c r="E2982">
        <v>15117</v>
      </c>
      <c r="F2982">
        <v>37676</v>
      </c>
      <c r="G2982">
        <v>-135647</v>
      </c>
      <c r="H2982">
        <v>79477</v>
      </c>
      <c r="I2982">
        <v>73387</v>
      </c>
      <c r="J2982">
        <v>1548</v>
      </c>
      <c r="K2982">
        <v>379592</v>
      </c>
      <c r="L2982">
        <v>142431</v>
      </c>
      <c r="M2982">
        <v>-55865</v>
      </c>
      <c r="N2982">
        <v>74011</v>
      </c>
      <c r="O2982" t="s">
        <v>3000</v>
      </c>
      <c r="P2982" s="9">
        <v>288587</v>
      </c>
      <c r="Q2982" s="9">
        <v>36826</v>
      </c>
      <c r="R2982" s="9">
        <v>325413</v>
      </c>
      <c r="S2982" s="9">
        <v>-105604</v>
      </c>
      <c r="T2982" s="10">
        <v>103735</v>
      </c>
      <c r="U2982" s="10">
        <v>1778</v>
      </c>
    </row>
    <row r="2983" spans="1:21" x14ac:dyDescent="0.35">
      <c r="A2983" t="s">
        <v>15</v>
      </c>
      <c r="B2983" t="s">
        <v>20</v>
      </c>
      <c r="C2983" t="s">
        <v>21</v>
      </c>
      <c r="D2983">
        <v>286728</v>
      </c>
      <c r="E2983">
        <v>46633</v>
      </c>
      <c r="F2983">
        <v>31107</v>
      </c>
      <c r="G2983">
        <v>-250426</v>
      </c>
      <c r="H2983">
        <v>114042</v>
      </c>
      <c r="I2983">
        <v>105227</v>
      </c>
      <c r="J2983">
        <v>1679</v>
      </c>
      <c r="K2983">
        <v>846092</v>
      </c>
      <c r="L2983">
        <v>290194</v>
      </c>
      <c r="M2983">
        <v>-265624</v>
      </c>
      <c r="N2983">
        <v>110942</v>
      </c>
      <c r="O2983" t="s">
        <v>3001</v>
      </c>
      <c r="P2983" s="9">
        <v>270731</v>
      </c>
      <c r="Q2983" s="9">
        <v>51050</v>
      </c>
      <c r="R2983" s="9">
        <v>321781</v>
      </c>
      <c r="S2983" s="9">
        <v>-166766</v>
      </c>
      <c r="T2983" s="10">
        <v>135709</v>
      </c>
      <c r="U2983" s="10">
        <v>2780</v>
      </c>
    </row>
    <row r="2984" spans="1:21" x14ac:dyDescent="0.35">
      <c r="A2984" t="s">
        <v>15</v>
      </c>
      <c r="B2984" t="s">
        <v>20</v>
      </c>
      <c r="C2984" t="s">
        <v>21</v>
      </c>
      <c r="D2984">
        <v>271170</v>
      </c>
      <c r="E2984">
        <v>16364</v>
      </c>
      <c r="F2984">
        <v>28041</v>
      </c>
      <c r="G2984">
        <v>-249583</v>
      </c>
      <c r="H2984">
        <v>65992</v>
      </c>
      <c r="I2984">
        <v>62276</v>
      </c>
      <c r="J2984">
        <v>1434</v>
      </c>
      <c r="K2984">
        <v>1023951</v>
      </c>
      <c r="L2984">
        <v>150959</v>
      </c>
      <c r="M2984">
        <v>-359683</v>
      </c>
      <c r="N2984">
        <v>196109</v>
      </c>
      <c r="O2984" t="s">
        <v>3002</v>
      </c>
      <c r="P2984" s="9">
        <v>287130</v>
      </c>
      <c r="Q2984" s="9">
        <v>27776</v>
      </c>
      <c r="R2984" s="9">
        <v>314906</v>
      </c>
      <c r="S2984" s="9">
        <v>-76433</v>
      </c>
      <c r="T2984" s="10">
        <v>116476</v>
      </c>
      <c r="U2984" s="10">
        <v>2641</v>
      </c>
    </row>
    <row r="2985" spans="1:21" x14ac:dyDescent="0.35">
      <c r="A2985" t="s">
        <v>15</v>
      </c>
      <c r="B2985" t="s">
        <v>16</v>
      </c>
      <c r="C2985" t="s">
        <v>21</v>
      </c>
      <c r="D2985">
        <v>203288</v>
      </c>
      <c r="E2985">
        <v>28265</v>
      </c>
      <c r="F2985">
        <v>32367</v>
      </c>
      <c r="G2985">
        <v>-182194</v>
      </c>
      <c r="H2985">
        <v>81726</v>
      </c>
      <c r="I2985">
        <v>84593</v>
      </c>
      <c r="J2985">
        <v>886</v>
      </c>
      <c r="K2985">
        <v>503101</v>
      </c>
      <c r="L2985">
        <v>149671</v>
      </c>
      <c r="M2985">
        <v>-62392</v>
      </c>
      <c r="N2985">
        <v>164321</v>
      </c>
      <c r="O2985" t="s">
        <v>3003</v>
      </c>
      <c r="P2985" s="9">
        <v>185838</v>
      </c>
      <c r="Q2985" s="9">
        <v>23795</v>
      </c>
      <c r="R2985" s="9">
        <v>209633</v>
      </c>
      <c r="S2985" s="9">
        <v>-56597</v>
      </c>
      <c r="T2985" s="10">
        <v>92453</v>
      </c>
      <c r="U2985" s="10">
        <v>2752</v>
      </c>
    </row>
    <row r="2986" spans="1:21" x14ac:dyDescent="0.35">
      <c r="A2986" t="s">
        <v>15</v>
      </c>
      <c r="B2986" t="s">
        <v>20</v>
      </c>
      <c r="C2986" t="s">
        <v>21</v>
      </c>
      <c r="D2986">
        <v>261582</v>
      </c>
      <c r="E2986">
        <v>20009</v>
      </c>
      <c r="F2986">
        <v>46699</v>
      </c>
      <c r="G2986">
        <v>-231863</v>
      </c>
      <c r="H2986">
        <v>96427</v>
      </c>
      <c r="I2986">
        <v>95236</v>
      </c>
      <c r="J2986">
        <v>1377</v>
      </c>
      <c r="K2986">
        <v>932917</v>
      </c>
      <c r="L2986">
        <v>237772</v>
      </c>
      <c r="M2986">
        <v>-279231</v>
      </c>
      <c r="N2986">
        <v>171207</v>
      </c>
      <c r="O2986" t="s">
        <v>3004</v>
      </c>
      <c r="P2986" s="9">
        <v>167291</v>
      </c>
      <c r="Q2986" s="9">
        <v>24938</v>
      </c>
      <c r="R2986" s="9">
        <v>192229</v>
      </c>
      <c r="S2986" s="9">
        <v>-80043</v>
      </c>
      <c r="T2986" s="10">
        <v>71393</v>
      </c>
      <c r="U2986" s="10">
        <v>786</v>
      </c>
    </row>
    <row r="2987" spans="1:21" x14ac:dyDescent="0.35">
      <c r="A2987" t="s">
        <v>15</v>
      </c>
      <c r="B2987" t="s">
        <v>16</v>
      </c>
      <c r="C2987" t="s">
        <v>17</v>
      </c>
      <c r="D2987">
        <v>264369</v>
      </c>
      <c r="E2987">
        <v>27910</v>
      </c>
      <c r="F2987">
        <v>40524</v>
      </c>
      <c r="G2987">
        <v>-231269</v>
      </c>
      <c r="H2987">
        <v>101534</v>
      </c>
      <c r="I2987">
        <v>100066</v>
      </c>
      <c r="J2987">
        <v>1557</v>
      </c>
      <c r="K2987">
        <v>920462</v>
      </c>
      <c r="L2987">
        <v>334845</v>
      </c>
      <c r="M2987">
        <v>-106856</v>
      </c>
      <c r="N2987">
        <v>129373</v>
      </c>
      <c r="O2987" t="s">
        <v>3005</v>
      </c>
      <c r="P2987" s="9">
        <v>262409</v>
      </c>
      <c r="Q2987" s="9">
        <v>32036</v>
      </c>
      <c r="R2987" s="9">
        <v>294445</v>
      </c>
      <c r="S2987" s="9">
        <v>-163683</v>
      </c>
      <c r="T2987" s="10">
        <v>98153</v>
      </c>
      <c r="U2987" s="10">
        <v>2271</v>
      </c>
    </row>
    <row r="2988" spans="1:21" x14ac:dyDescent="0.35">
      <c r="A2988" t="s">
        <v>15</v>
      </c>
      <c r="B2988" t="s">
        <v>16</v>
      </c>
      <c r="C2988" t="s">
        <v>17</v>
      </c>
      <c r="D2988">
        <v>186053</v>
      </c>
      <c r="E2988">
        <v>21474</v>
      </c>
      <c r="F2988">
        <v>31590</v>
      </c>
      <c r="G2988">
        <v>-174270</v>
      </c>
      <c r="H2988">
        <v>64847</v>
      </c>
      <c r="I2988">
        <v>64049</v>
      </c>
      <c r="J2988">
        <v>1725</v>
      </c>
      <c r="K2988">
        <v>444160</v>
      </c>
      <c r="L2988">
        <v>57425</v>
      </c>
      <c r="M2988">
        <v>-172894</v>
      </c>
      <c r="N2988">
        <v>151732</v>
      </c>
      <c r="O2988" t="s">
        <v>3006</v>
      </c>
      <c r="P2988" s="9">
        <v>219921</v>
      </c>
      <c r="Q2988" s="9">
        <v>44099</v>
      </c>
      <c r="R2988" s="9">
        <v>264020</v>
      </c>
      <c r="S2988" s="9">
        <v>-115185</v>
      </c>
      <c r="T2988" s="10">
        <v>111656</v>
      </c>
      <c r="U2988" s="10">
        <v>1131</v>
      </c>
    </row>
    <row r="2989" spans="1:21" x14ac:dyDescent="0.35">
      <c r="A2989" t="s">
        <v>15</v>
      </c>
      <c r="B2989" t="s">
        <v>20</v>
      </c>
      <c r="C2989" t="s">
        <v>21</v>
      </c>
      <c r="D2989">
        <v>246862</v>
      </c>
      <c r="E2989">
        <v>38083</v>
      </c>
      <c r="F2989">
        <v>34702</v>
      </c>
      <c r="G2989">
        <v>-214512</v>
      </c>
      <c r="H2989">
        <v>105135</v>
      </c>
      <c r="I2989">
        <v>107532</v>
      </c>
      <c r="J2989">
        <v>2162</v>
      </c>
      <c r="K2989">
        <v>564845</v>
      </c>
      <c r="L2989">
        <v>204272</v>
      </c>
      <c r="M2989">
        <v>-61967</v>
      </c>
      <c r="N2989">
        <v>160775</v>
      </c>
      <c r="O2989" t="s">
        <v>3007</v>
      </c>
      <c r="P2989" s="9">
        <v>201944</v>
      </c>
      <c r="Q2989" s="9">
        <v>27204</v>
      </c>
      <c r="R2989" s="9">
        <v>229148</v>
      </c>
      <c r="S2989" s="9">
        <v>-125181</v>
      </c>
      <c r="T2989" s="10">
        <v>61691</v>
      </c>
      <c r="U2989" s="10">
        <v>1586</v>
      </c>
    </row>
    <row r="2990" spans="1:21" x14ac:dyDescent="0.35">
      <c r="A2990" t="s">
        <v>15</v>
      </c>
      <c r="B2990" t="s">
        <v>16</v>
      </c>
      <c r="C2990" t="s">
        <v>21</v>
      </c>
      <c r="D2990">
        <v>189115</v>
      </c>
      <c r="E2990">
        <v>10017</v>
      </c>
      <c r="F2990">
        <v>43926</v>
      </c>
      <c r="G2990">
        <v>-155000</v>
      </c>
      <c r="H2990">
        <v>88058</v>
      </c>
      <c r="I2990">
        <v>91155</v>
      </c>
      <c r="J2990">
        <v>2607</v>
      </c>
      <c r="K2990">
        <v>486007</v>
      </c>
      <c r="L2990">
        <v>90347</v>
      </c>
      <c r="M2990">
        <v>-123303</v>
      </c>
      <c r="N2990">
        <v>75680</v>
      </c>
      <c r="O2990" t="s">
        <v>3008</v>
      </c>
      <c r="P2990" s="9">
        <v>217097</v>
      </c>
      <c r="Q2990" s="9">
        <v>23035</v>
      </c>
      <c r="R2990" s="9">
        <v>240132</v>
      </c>
      <c r="S2990" s="9">
        <v>-114403</v>
      </c>
      <c r="T2990" s="10">
        <v>101970</v>
      </c>
      <c r="U2990" s="10">
        <v>1141</v>
      </c>
    </row>
    <row r="2991" spans="1:21" x14ac:dyDescent="0.35">
      <c r="A2991" t="s">
        <v>15</v>
      </c>
      <c r="B2991" t="s">
        <v>20</v>
      </c>
      <c r="C2991" t="s">
        <v>21</v>
      </c>
      <c r="D2991">
        <v>165359</v>
      </c>
      <c r="E2991">
        <v>18548</v>
      </c>
      <c r="F2991">
        <v>24273</v>
      </c>
      <c r="G2991">
        <v>-161650</v>
      </c>
      <c r="H2991">
        <v>46530</v>
      </c>
      <c r="I2991">
        <v>48825</v>
      </c>
      <c r="J2991">
        <v>838</v>
      </c>
      <c r="K2991">
        <v>642687</v>
      </c>
      <c r="L2991">
        <v>140725</v>
      </c>
      <c r="M2991">
        <v>-243717</v>
      </c>
      <c r="N2991">
        <v>137085</v>
      </c>
      <c r="O2991" t="s">
        <v>3009</v>
      </c>
      <c r="P2991" s="9">
        <v>292106</v>
      </c>
      <c r="Q2991" s="9">
        <v>47423</v>
      </c>
      <c r="R2991" s="9">
        <v>339529</v>
      </c>
      <c r="S2991" s="9">
        <v>-175640</v>
      </c>
      <c r="T2991" s="10">
        <v>136390</v>
      </c>
      <c r="U2991" s="10">
        <v>1702</v>
      </c>
    </row>
    <row r="2992" spans="1:21" x14ac:dyDescent="0.35">
      <c r="A2992" t="s">
        <v>15</v>
      </c>
      <c r="B2992" t="s">
        <v>16</v>
      </c>
      <c r="C2992" t="s">
        <v>21</v>
      </c>
      <c r="D2992">
        <v>292562</v>
      </c>
      <c r="E2992">
        <v>52443</v>
      </c>
      <c r="F2992">
        <v>31273</v>
      </c>
      <c r="G2992">
        <v>-243795</v>
      </c>
      <c r="H2992">
        <v>132483</v>
      </c>
      <c r="I2992">
        <v>122895</v>
      </c>
      <c r="J2992">
        <v>2666</v>
      </c>
      <c r="K2992">
        <v>1024046</v>
      </c>
      <c r="L2992">
        <v>134399</v>
      </c>
      <c r="M2992">
        <v>-372817</v>
      </c>
      <c r="N2992">
        <v>243853</v>
      </c>
      <c r="O2992" t="s">
        <v>3010</v>
      </c>
      <c r="P2992" s="9">
        <v>287943</v>
      </c>
      <c r="Q2992" s="9">
        <v>32391</v>
      </c>
      <c r="R2992" s="9">
        <v>320334</v>
      </c>
      <c r="S2992" s="9">
        <v>-177829</v>
      </c>
      <c r="T2992" s="10">
        <v>142937</v>
      </c>
      <c r="U2992" s="10">
        <v>2223</v>
      </c>
    </row>
    <row r="2993" spans="1:21" x14ac:dyDescent="0.35">
      <c r="A2993" t="s">
        <v>15</v>
      </c>
      <c r="B2993" t="s">
        <v>20</v>
      </c>
      <c r="C2993" t="s">
        <v>21</v>
      </c>
      <c r="D2993">
        <v>151204</v>
      </c>
      <c r="E2993">
        <v>29802</v>
      </c>
      <c r="F2993">
        <v>34487</v>
      </c>
      <c r="G2993">
        <v>-121638</v>
      </c>
      <c r="H2993">
        <v>93855</v>
      </c>
      <c r="I2993">
        <v>88856</v>
      </c>
      <c r="J2993">
        <v>2508</v>
      </c>
      <c r="K2993">
        <v>565315</v>
      </c>
      <c r="L2993">
        <v>131013</v>
      </c>
      <c r="M2993">
        <v>-101138</v>
      </c>
      <c r="N2993">
        <v>75553</v>
      </c>
      <c r="O2993" t="s">
        <v>3011</v>
      </c>
      <c r="P2993" s="9">
        <v>296611</v>
      </c>
      <c r="Q2993" s="9">
        <v>19548</v>
      </c>
      <c r="R2993" s="9">
        <v>316159</v>
      </c>
      <c r="S2993" s="9">
        <v>-140103</v>
      </c>
      <c r="T2993" s="10">
        <v>73046</v>
      </c>
      <c r="U2993" s="10">
        <v>2125</v>
      </c>
    </row>
    <row r="2994" spans="1:21" x14ac:dyDescent="0.35">
      <c r="A2994" t="s">
        <v>15</v>
      </c>
      <c r="B2994" t="s">
        <v>20</v>
      </c>
      <c r="C2994" t="s">
        <v>21</v>
      </c>
      <c r="D2994">
        <v>175954</v>
      </c>
      <c r="E2994">
        <v>25278</v>
      </c>
      <c r="F2994">
        <v>17723</v>
      </c>
      <c r="G2994">
        <v>-155833</v>
      </c>
      <c r="H2994">
        <v>63122</v>
      </c>
      <c r="I2994">
        <v>63748</v>
      </c>
      <c r="J2994">
        <v>767</v>
      </c>
      <c r="K2994">
        <v>687795</v>
      </c>
      <c r="L2994">
        <v>141992</v>
      </c>
      <c r="M2994">
        <v>-120966</v>
      </c>
      <c r="N2994">
        <v>65997</v>
      </c>
      <c r="O2994" t="s">
        <v>3012</v>
      </c>
      <c r="P2994" s="9">
        <v>150044</v>
      </c>
      <c r="Q2994" s="9">
        <v>28603</v>
      </c>
      <c r="R2994" s="9">
        <v>178647</v>
      </c>
      <c r="S2994" s="9">
        <v>-48992</v>
      </c>
      <c r="T2994" s="10">
        <v>56668</v>
      </c>
      <c r="U2994" s="10">
        <v>1683</v>
      </c>
    </row>
    <row r="2995" spans="1:21" x14ac:dyDescent="0.35">
      <c r="A2995" t="s">
        <v>15</v>
      </c>
      <c r="B2995" t="s">
        <v>16</v>
      </c>
      <c r="C2995" t="s">
        <v>21</v>
      </c>
      <c r="D2995">
        <v>271253</v>
      </c>
      <c r="E2995">
        <v>35373</v>
      </c>
      <c r="F2995">
        <v>63221</v>
      </c>
      <c r="G2995">
        <v>-220276</v>
      </c>
      <c r="H2995">
        <v>149571</v>
      </c>
      <c r="I2995">
        <v>151973</v>
      </c>
      <c r="J2995">
        <v>2268</v>
      </c>
      <c r="K2995">
        <v>565759</v>
      </c>
      <c r="L2995">
        <v>100952</v>
      </c>
      <c r="M2995">
        <v>-211606</v>
      </c>
      <c r="N2995">
        <v>86931</v>
      </c>
      <c r="O2995" t="s">
        <v>3013</v>
      </c>
      <c r="P2995" s="9">
        <v>189842</v>
      </c>
      <c r="Q2995" s="9">
        <v>17693</v>
      </c>
      <c r="R2995" s="9">
        <v>207535</v>
      </c>
      <c r="S2995" s="9">
        <v>-90214</v>
      </c>
      <c r="T2995" s="10">
        <v>67698</v>
      </c>
      <c r="U2995" s="10">
        <v>1495</v>
      </c>
    </row>
    <row r="2996" spans="1:21" x14ac:dyDescent="0.35">
      <c r="A2996" t="s">
        <v>15</v>
      </c>
      <c r="B2996" t="s">
        <v>20</v>
      </c>
      <c r="C2996" t="s">
        <v>21</v>
      </c>
      <c r="D2996">
        <v>158203</v>
      </c>
      <c r="E2996">
        <v>12505</v>
      </c>
      <c r="F2996">
        <v>30662</v>
      </c>
      <c r="G2996">
        <v>-145157</v>
      </c>
      <c r="H2996">
        <v>56213</v>
      </c>
      <c r="I2996">
        <v>57500</v>
      </c>
      <c r="J2996">
        <v>603</v>
      </c>
      <c r="K2996">
        <v>476258</v>
      </c>
      <c r="L2996">
        <v>148128</v>
      </c>
      <c r="M2996">
        <v>-107617</v>
      </c>
      <c r="N2996">
        <v>66989</v>
      </c>
      <c r="O2996" t="s">
        <v>3014</v>
      </c>
      <c r="P2996" s="9">
        <v>240755</v>
      </c>
      <c r="Q2996" s="9">
        <v>28216</v>
      </c>
      <c r="R2996" s="9">
        <v>268971</v>
      </c>
      <c r="S2996" s="9">
        <v>-152795</v>
      </c>
      <c r="T2996" s="10">
        <v>97269</v>
      </c>
      <c r="U2996" s="10">
        <v>1305</v>
      </c>
    </row>
    <row r="2997" spans="1:21" x14ac:dyDescent="0.35">
      <c r="A2997" t="s">
        <v>15</v>
      </c>
      <c r="B2997" t="s">
        <v>16</v>
      </c>
      <c r="C2997" t="s">
        <v>21</v>
      </c>
      <c r="D2997">
        <v>252069</v>
      </c>
      <c r="E2997">
        <v>28841</v>
      </c>
      <c r="F2997">
        <v>40132</v>
      </c>
      <c r="G2997">
        <v>-241948</v>
      </c>
      <c r="H2997">
        <v>79094</v>
      </c>
      <c r="I2997">
        <v>73505</v>
      </c>
      <c r="J2997">
        <v>1115</v>
      </c>
      <c r="K2997">
        <v>676811</v>
      </c>
      <c r="L2997">
        <v>286214</v>
      </c>
      <c r="M2997">
        <v>-165487</v>
      </c>
      <c r="N2997">
        <v>118138</v>
      </c>
      <c r="O2997" t="s">
        <v>3015</v>
      </c>
      <c r="P2997" s="9">
        <v>139244</v>
      </c>
      <c r="Q2997" s="9">
        <v>17786</v>
      </c>
      <c r="R2997" s="9">
        <v>157030</v>
      </c>
      <c r="S2997" s="9">
        <v>-78139</v>
      </c>
      <c r="T2997" s="10">
        <v>50558</v>
      </c>
      <c r="U2997" s="10">
        <v>684</v>
      </c>
    </row>
    <row r="2998" spans="1:21" x14ac:dyDescent="0.35">
      <c r="A2998" t="s">
        <v>15</v>
      </c>
      <c r="B2998" t="s">
        <v>20</v>
      </c>
      <c r="C2998" t="s">
        <v>17</v>
      </c>
      <c r="D2998">
        <v>296690</v>
      </c>
      <c r="E2998">
        <v>16260</v>
      </c>
      <c r="F2998">
        <v>45766</v>
      </c>
      <c r="G2998">
        <v>-250910</v>
      </c>
      <c r="H2998">
        <v>107806</v>
      </c>
      <c r="I2998">
        <v>97377</v>
      </c>
      <c r="J2998">
        <v>2775</v>
      </c>
      <c r="K2998">
        <v>953241</v>
      </c>
      <c r="L2998">
        <v>161761</v>
      </c>
      <c r="M2998">
        <v>-151054</v>
      </c>
      <c r="N2998">
        <v>243373</v>
      </c>
      <c r="O2998" t="s">
        <v>3016</v>
      </c>
      <c r="P2998" s="9">
        <v>187218</v>
      </c>
      <c r="Q2998" s="9">
        <v>25918</v>
      </c>
      <c r="R2998" s="9">
        <v>213136</v>
      </c>
      <c r="S2998" s="9">
        <v>-60573</v>
      </c>
      <c r="T2998" s="10">
        <v>83051</v>
      </c>
      <c r="U2998" s="10">
        <v>964</v>
      </c>
    </row>
    <row r="2999" spans="1:21" x14ac:dyDescent="0.35">
      <c r="A2999" t="s">
        <v>15</v>
      </c>
      <c r="B2999" t="s">
        <v>16</v>
      </c>
      <c r="C2999" t="s">
        <v>21</v>
      </c>
      <c r="D2999">
        <v>252781</v>
      </c>
      <c r="E2999">
        <v>23072</v>
      </c>
      <c r="F2999">
        <v>43600</v>
      </c>
      <c r="G2999">
        <v>-243490</v>
      </c>
      <c r="H2999">
        <v>75963</v>
      </c>
      <c r="I2999">
        <v>71075</v>
      </c>
      <c r="J2999">
        <v>1660</v>
      </c>
      <c r="K2999">
        <v>574873</v>
      </c>
      <c r="L2999">
        <v>153905</v>
      </c>
      <c r="M2999">
        <v>-226393</v>
      </c>
      <c r="N2999">
        <v>103272</v>
      </c>
      <c r="O2999" t="s">
        <v>3017</v>
      </c>
      <c r="P2999" s="9">
        <v>243320</v>
      </c>
      <c r="Q2999" s="9">
        <v>45911</v>
      </c>
      <c r="R2999" s="9">
        <v>289231</v>
      </c>
      <c r="S2999" s="9">
        <v>-100508</v>
      </c>
      <c r="T2999" s="10">
        <v>119267</v>
      </c>
      <c r="U2999" s="10">
        <v>2397</v>
      </c>
    </row>
    <row r="3000" spans="1:21" x14ac:dyDescent="0.35">
      <c r="A3000" t="s">
        <v>15</v>
      </c>
      <c r="B3000" t="s">
        <v>20</v>
      </c>
      <c r="C3000" t="s">
        <v>17</v>
      </c>
      <c r="D3000">
        <v>206366</v>
      </c>
      <c r="E3000">
        <v>26446</v>
      </c>
      <c r="F3000">
        <v>39874</v>
      </c>
      <c r="G3000">
        <v>-172022</v>
      </c>
      <c r="H3000">
        <v>100664</v>
      </c>
      <c r="I3000">
        <v>97900</v>
      </c>
      <c r="J3000">
        <v>2189</v>
      </c>
      <c r="K3000">
        <v>443252</v>
      </c>
      <c r="L3000">
        <v>215573</v>
      </c>
      <c r="M3000">
        <v>-49086</v>
      </c>
      <c r="N3000">
        <v>117556</v>
      </c>
      <c r="O3000" t="s">
        <v>3018</v>
      </c>
      <c r="P3000" s="9">
        <v>273974</v>
      </c>
      <c r="Q3000" s="9">
        <v>25836</v>
      </c>
      <c r="R3000" s="9">
        <v>299810</v>
      </c>
      <c r="S3000" s="9">
        <v>-156269</v>
      </c>
      <c r="T3000" s="10">
        <v>116187</v>
      </c>
      <c r="U3000" s="10">
        <v>2535</v>
      </c>
    </row>
    <row r="3001" spans="1:21" x14ac:dyDescent="0.35">
      <c r="A3001" t="s">
        <v>15</v>
      </c>
      <c r="B3001" t="s">
        <v>16</v>
      </c>
      <c r="C3001" t="s">
        <v>21</v>
      </c>
      <c r="D3001">
        <v>238211</v>
      </c>
      <c r="E3001">
        <v>33816</v>
      </c>
      <c r="F3001">
        <v>43333</v>
      </c>
      <c r="G3001">
        <v>-219294</v>
      </c>
      <c r="H3001">
        <v>96066</v>
      </c>
      <c r="I3001">
        <v>96029</v>
      </c>
      <c r="J3001">
        <v>1682</v>
      </c>
      <c r="K3001">
        <v>669414</v>
      </c>
      <c r="L3001">
        <v>139335</v>
      </c>
      <c r="M3001">
        <v>-69039</v>
      </c>
      <c r="N3001">
        <v>91400</v>
      </c>
      <c r="O3001" t="s">
        <v>3019</v>
      </c>
      <c r="P3001" s="9">
        <v>251974</v>
      </c>
      <c r="Q3001" s="9">
        <v>45600</v>
      </c>
      <c r="R3001" s="9">
        <v>297574</v>
      </c>
      <c r="S3001" s="9">
        <v>-63968</v>
      </c>
      <c r="T3001" s="10">
        <v>76785</v>
      </c>
      <c r="U3001" s="10">
        <v>1727</v>
      </c>
    </row>
    <row r="3002" spans="1:21" x14ac:dyDescent="0.35">
      <c r="A3002" t="s">
        <v>15</v>
      </c>
      <c r="B3002" t="s">
        <v>16</v>
      </c>
      <c r="C3002" t="s">
        <v>21</v>
      </c>
      <c r="D3002">
        <v>254502</v>
      </c>
      <c r="E3002">
        <v>44883</v>
      </c>
      <c r="F3002">
        <v>47750</v>
      </c>
      <c r="G3002">
        <v>-225633</v>
      </c>
      <c r="H3002">
        <v>121502</v>
      </c>
      <c r="I3002">
        <v>127489</v>
      </c>
      <c r="J3002">
        <v>3309</v>
      </c>
      <c r="K3002">
        <v>876822</v>
      </c>
      <c r="L3002">
        <v>387161</v>
      </c>
      <c r="M3002">
        <v>-157381</v>
      </c>
      <c r="N3002">
        <v>185409</v>
      </c>
      <c r="O3002" t="s">
        <v>3020</v>
      </c>
      <c r="P3002" s="9">
        <v>277707</v>
      </c>
      <c r="Q3002" s="9">
        <v>37635</v>
      </c>
      <c r="R3002" s="9">
        <v>315342</v>
      </c>
      <c r="S3002" s="9">
        <v>-70290</v>
      </c>
      <c r="T3002" s="10">
        <v>81404</v>
      </c>
      <c r="U3002" s="10">
        <v>2313</v>
      </c>
    </row>
    <row r="3003" spans="1:21" x14ac:dyDescent="0.35">
      <c r="A3003" t="s">
        <v>15</v>
      </c>
      <c r="B3003" t="s">
        <v>20</v>
      </c>
      <c r="C3003" t="s">
        <v>17</v>
      </c>
      <c r="D3003">
        <v>186051</v>
      </c>
      <c r="E3003">
        <v>26388</v>
      </c>
      <c r="F3003">
        <v>35796</v>
      </c>
      <c r="G3003">
        <v>-177369</v>
      </c>
      <c r="H3003">
        <v>70866</v>
      </c>
      <c r="I3003">
        <v>69548</v>
      </c>
      <c r="J3003">
        <v>1201</v>
      </c>
      <c r="K3003">
        <v>672170</v>
      </c>
      <c r="L3003">
        <v>271323</v>
      </c>
      <c r="M3003">
        <v>-219943</v>
      </c>
      <c r="N3003">
        <v>85947</v>
      </c>
      <c r="O3003" t="s">
        <v>3021</v>
      </c>
      <c r="P3003" s="9">
        <v>155160</v>
      </c>
      <c r="Q3003" s="9">
        <v>8427</v>
      </c>
      <c r="R3003" s="9">
        <v>163587</v>
      </c>
      <c r="S3003" s="9">
        <v>-67002</v>
      </c>
      <c r="T3003" s="10">
        <v>69109</v>
      </c>
      <c r="U3003" s="10">
        <v>1104</v>
      </c>
    </row>
    <row r="3004" spans="1:21" x14ac:dyDescent="0.35">
      <c r="A3004" t="s">
        <v>15</v>
      </c>
      <c r="B3004" t="s">
        <v>20</v>
      </c>
      <c r="C3004" t="s">
        <v>21</v>
      </c>
      <c r="D3004">
        <v>203984</v>
      </c>
      <c r="E3004">
        <v>40297</v>
      </c>
      <c r="F3004">
        <v>35346</v>
      </c>
      <c r="G3004">
        <v>-203330</v>
      </c>
      <c r="H3004">
        <v>76297</v>
      </c>
      <c r="I3004">
        <v>74121</v>
      </c>
      <c r="J3004">
        <v>1950</v>
      </c>
      <c r="K3004">
        <v>815242</v>
      </c>
      <c r="L3004">
        <v>405218</v>
      </c>
      <c r="M3004">
        <v>-151188</v>
      </c>
      <c r="N3004">
        <v>138460</v>
      </c>
      <c r="O3004" t="s">
        <v>3022</v>
      </c>
      <c r="P3004" s="9">
        <v>178672</v>
      </c>
      <c r="Q3004" s="9">
        <v>21764</v>
      </c>
      <c r="R3004" s="9">
        <v>200436</v>
      </c>
      <c r="S3004" s="9">
        <v>-73623</v>
      </c>
      <c r="T3004" s="10">
        <v>88665</v>
      </c>
      <c r="U3004" s="10">
        <v>1999</v>
      </c>
    </row>
    <row r="3005" spans="1:21" x14ac:dyDescent="0.35">
      <c r="A3005" t="s">
        <v>15</v>
      </c>
      <c r="B3005" t="s">
        <v>20</v>
      </c>
      <c r="C3005" t="s">
        <v>21</v>
      </c>
      <c r="D3005">
        <v>250905</v>
      </c>
      <c r="E3005">
        <v>17818</v>
      </c>
      <c r="F3005">
        <v>50079</v>
      </c>
      <c r="G3005">
        <v>-218892</v>
      </c>
      <c r="H3005">
        <v>99910</v>
      </c>
      <c r="I3005">
        <v>91066</v>
      </c>
      <c r="J3005">
        <v>2181</v>
      </c>
      <c r="K3005">
        <v>860214</v>
      </c>
      <c r="L3005">
        <v>421993</v>
      </c>
      <c r="M3005">
        <v>-158656</v>
      </c>
      <c r="N3005">
        <v>205297</v>
      </c>
      <c r="O3005" t="s">
        <v>3023</v>
      </c>
      <c r="P3005" s="9">
        <v>146489</v>
      </c>
      <c r="Q3005" s="9">
        <v>12126</v>
      </c>
      <c r="R3005" s="9">
        <v>158615</v>
      </c>
      <c r="S3005" s="9">
        <v>-35799</v>
      </c>
      <c r="T3005" s="10">
        <v>59968</v>
      </c>
      <c r="U3005" s="10">
        <v>821</v>
      </c>
    </row>
    <row r="3006" spans="1:21" x14ac:dyDescent="0.35">
      <c r="A3006" t="s">
        <v>15</v>
      </c>
      <c r="B3006" t="s">
        <v>20</v>
      </c>
      <c r="C3006" t="s">
        <v>21</v>
      </c>
      <c r="D3006">
        <v>239687</v>
      </c>
      <c r="E3006">
        <v>19105</v>
      </c>
      <c r="F3006">
        <v>47685</v>
      </c>
      <c r="G3006">
        <v>-201970</v>
      </c>
      <c r="H3006">
        <v>104507</v>
      </c>
      <c r="I3006">
        <v>107083</v>
      </c>
      <c r="J3006">
        <v>1605</v>
      </c>
      <c r="K3006">
        <v>709541</v>
      </c>
      <c r="L3006">
        <v>149219</v>
      </c>
      <c r="M3006">
        <v>-113773</v>
      </c>
      <c r="N3006">
        <v>130045</v>
      </c>
      <c r="O3006" t="s">
        <v>3024</v>
      </c>
      <c r="P3006" s="9">
        <v>198356</v>
      </c>
      <c r="Q3006" s="9">
        <v>12035</v>
      </c>
      <c r="R3006" s="9">
        <v>210391</v>
      </c>
      <c r="S3006" s="9">
        <v>-60662</v>
      </c>
      <c r="T3006" s="10">
        <v>55146</v>
      </c>
      <c r="U3006" s="10">
        <v>1567</v>
      </c>
    </row>
    <row r="3007" spans="1:21" x14ac:dyDescent="0.35">
      <c r="A3007" t="s">
        <v>15</v>
      </c>
      <c r="B3007" t="s">
        <v>20</v>
      </c>
      <c r="C3007" t="s">
        <v>17</v>
      </c>
      <c r="D3007">
        <v>254869</v>
      </c>
      <c r="E3007">
        <v>25737</v>
      </c>
      <c r="F3007">
        <v>38285</v>
      </c>
      <c r="G3007">
        <v>-248986</v>
      </c>
      <c r="H3007">
        <v>69905</v>
      </c>
      <c r="I3007">
        <v>72945</v>
      </c>
      <c r="J3007">
        <v>1745</v>
      </c>
      <c r="K3007">
        <v>915839</v>
      </c>
      <c r="L3007">
        <v>161770</v>
      </c>
      <c r="M3007">
        <v>-297015</v>
      </c>
      <c r="N3007">
        <v>227994</v>
      </c>
      <c r="O3007" t="s">
        <v>3025</v>
      </c>
      <c r="P3007" s="9">
        <v>146406</v>
      </c>
      <c r="Q3007" s="9">
        <v>9430</v>
      </c>
      <c r="R3007" s="9">
        <v>155836</v>
      </c>
      <c r="S3007" s="9">
        <v>-33224</v>
      </c>
      <c r="T3007" s="10">
        <v>58802</v>
      </c>
      <c r="U3007" s="10">
        <v>1010</v>
      </c>
    </row>
    <row r="3008" spans="1:21" x14ac:dyDescent="0.35">
      <c r="A3008" t="s">
        <v>15</v>
      </c>
      <c r="B3008" t="s">
        <v>16</v>
      </c>
      <c r="C3008" t="s">
        <v>17</v>
      </c>
      <c r="D3008">
        <v>278286</v>
      </c>
      <c r="E3008">
        <v>46783</v>
      </c>
      <c r="F3008">
        <v>34404</v>
      </c>
      <c r="G3008">
        <v>-233607</v>
      </c>
      <c r="H3008">
        <v>125866</v>
      </c>
      <c r="I3008">
        <v>117232</v>
      </c>
      <c r="J3008">
        <v>2548</v>
      </c>
      <c r="K3008">
        <v>752117</v>
      </c>
      <c r="L3008">
        <v>168051</v>
      </c>
      <c r="M3008">
        <v>-110338</v>
      </c>
      <c r="N3008">
        <v>249513</v>
      </c>
      <c r="O3008" t="s">
        <v>3026</v>
      </c>
      <c r="P3008" s="9">
        <v>293014</v>
      </c>
      <c r="Q3008" s="9">
        <v>26704</v>
      </c>
      <c r="R3008" s="9">
        <v>319718</v>
      </c>
      <c r="S3008" s="9">
        <v>-160992</v>
      </c>
      <c r="T3008" s="10">
        <v>135066</v>
      </c>
      <c r="U3008" s="10">
        <v>2599</v>
      </c>
    </row>
    <row r="3009" spans="1:21" x14ac:dyDescent="0.35">
      <c r="A3009" t="s">
        <v>15</v>
      </c>
      <c r="B3009" t="s">
        <v>16</v>
      </c>
      <c r="C3009" t="s">
        <v>21</v>
      </c>
      <c r="D3009">
        <v>223255</v>
      </c>
      <c r="E3009">
        <v>21581</v>
      </c>
      <c r="F3009">
        <v>28518</v>
      </c>
      <c r="G3009">
        <v>-185054</v>
      </c>
      <c r="H3009">
        <v>88300</v>
      </c>
      <c r="I3009">
        <v>91262</v>
      </c>
      <c r="J3009">
        <v>1395</v>
      </c>
      <c r="K3009">
        <v>646504</v>
      </c>
      <c r="L3009">
        <v>89893</v>
      </c>
      <c r="M3009">
        <v>-78383</v>
      </c>
      <c r="N3009">
        <v>71575</v>
      </c>
      <c r="O3009" t="s">
        <v>3027</v>
      </c>
      <c r="P3009" s="9">
        <v>282795</v>
      </c>
      <c r="Q3009" s="9">
        <v>42701</v>
      </c>
      <c r="R3009" s="9">
        <v>325496</v>
      </c>
      <c r="S3009" s="9">
        <v>-91355</v>
      </c>
      <c r="T3009" s="10">
        <v>166375</v>
      </c>
      <c r="U3009" s="10">
        <v>2338</v>
      </c>
    </row>
    <row r="3010" spans="1:21" x14ac:dyDescent="0.35">
      <c r="A3010" t="s">
        <v>15</v>
      </c>
      <c r="B3010" t="s">
        <v>20</v>
      </c>
      <c r="C3010" t="s">
        <v>21</v>
      </c>
      <c r="D3010">
        <v>246358</v>
      </c>
      <c r="E3010">
        <v>34959</v>
      </c>
      <c r="F3010">
        <v>55665</v>
      </c>
      <c r="G3010">
        <v>-208823</v>
      </c>
      <c r="H3010">
        <v>128159</v>
      </c>
      <c r="I3010">
        <v>122884</v>
      </c>
      <c r="J3010">
        <v>2272</v>
      </c>
      <c r="K3010">
        <v>850686</v>
      </c>
      <c r="L3010">
        <v>400357</v>
      </c>
      <c r="M3010">
        <v>-285229</v>
      </c>
      <c r="N3010">
        <v>114612</v>
      </c>
      <c r="O3010" t="s">
        <v>3028</v>
      </c>
      <c r="P3010" s="9">
        <v>279522</v>
      </c>
      <c r="Q3010" s="9">
        <v>38252</v>
      </c>
      <c r="R3010" s="9">
        <v>317774</v>
      </c>
      <c r="S3010" s="9">
        <v>-178918</v>
      </c>
      <c r="T3010" s="10">
        <v>121765</v>
      </c>
      <c r="U3010" s="10">
        <v>1786</v>
      </c>
    </row>
    <row r="3011" spans="1:21" x14ac:dyDescent="0.35">
      <c r="A3011" t="s">
        <v>15</v>
      </c>
      <c r="B3011" t="s">
        <v>16</v>
      </c>
      <c r="C3011" t="s">
        <v>17</v>
      </c>
      <c r="D3011">
        <v>267793</v>
      </c>
      <c r="E3011">
        <v>18942</v>
      </c>
      <c r="F3011">
        <v>26856</v>
      </c>
      <c r="G3011">
        <v>-253503</v>
      </c>
      <c r="H3011">
        <v>60088</v>
      </c>
      <c r="I3011">
        <v>58440</v>
      </c>
      <c r="J3011">
        <v>1315</v>
      </c>
      <c r="K3011">
        <v>662107</v>
      </c>
      <c r="L3011">
        <v>91898</v>
      </c>
      <c r="M3011">
        <v>-78044</v>
      </c>
      <c r="N3011">
        <v>216625</v>
      </c>
      <c r="O3011" t="s">
        <v>3029</v>
      </c>
      <c r="P3011" s="9">
        <v>290503</v>
      </c>
      <c r="Q3011" s="9">
        <v>25883</v>
      </c>
      <c r="R3011" s="9">
        <v>316386</v>
      </c>
      <c r="S3011" s="9">
        <v>-98265</v>
      </c>
      <c r="T3011" s="10">
        <v>117876</v>
      </c>
      <c r="U3011" s="10">
        <v>2494</v>
      </c>
    </row>
    <row r="3012" spans="1:21" x14ac:dyDescent="0.35">
      <c r="A3012" t="s">
        <v>15</v>
      </c>
      <c r="B3012" t="s">
        <v>20</v>
      </c>
      <c r="C3012" t="s">
        <v>17</v>
      </c>
      <c r="D3012">
        <v>203253</v>
      </c>
      <c r="E3012">
        <v>14793</v>
      </c>
      <c r="F3012">
        <v>28735</v>
      </c>
      <c r="G3012">
        <v>-182810</v>
      </c>
      <c r="H3012">
        <v>63971</v>
      </c>
      <c r="I3012">
        <v>65364</v>
      </c>
      <c r="J3012">
        <v>718</v>
      </c>
      <c r="K3012">
        <v>628806</v>
      </c>
      <c r="L3012">
        <v>149448</v>
      </c>
      <c r="M3012">
        <v>-173256</v>
      </c>
      <c r="N3012">
        <v>85944</v>
      </c>
      <c r="O3012" t="s">
        <v>3030</v>
      </c>
      <c r="P3012" s="9">
        <v>229310</v>
      </c>
      <c r="Q3012" s="9">
        <v>32730</v>
      </c>
      <c r="R3012" s="9">
        <v>262040</v>
      </c>
      <c r="S3012" s="9">
        <v>-70623</v>
      </c>
      <c r="T3012" s="10">
        <v>122157</v>
      </c>
      <c r="U3012" s="10">
        <v>2085</v>
      </c>
    </row>
    <row r="3013" spans="1:21" x14ac:dyDescent="0.35">
      <c r="A3013" t="s">
        <v>15</v>
      </c>
      <c r="B3013" t="s">
        <v>20</v>
      </c>
      <c r="C3013" t="s">
        <v>21</v>
      </c>
      <c r="D3013">
        <v>252196</v>
      </c>
      <c r="E3013">
        <v>40275</v>
      </c>
      <c r="F3013">
        <v>26415</v>
      </c>
      <c r="G3013">
        <v>-243324</v>
      </c>
      <c r="H3013">
        <v>75562</v>
      </c>
      <c r="I3013">
        <v>78435</v>
      </c>
      <c r="J3013">
        <v>817</v>
      </c>
      <c r="K3013">
        <v>1001365</v>
      </c>
      <c r="L3013">
        <v>343439</v>
      </c>
      <c r="M3013">
        <v>-325935</v>
      </c>
      <c r="N3013">
        <v>223507</v>
      </c>
      <c r="O3013" t="s">
        <v>3031</v>
      </c>
      <c r="P3013" s="9">
        <v>247869</v>
      </c>
      <c r="Q3013" s="9">
        <v>33921</v>
      </c>
      <c r="R3013" s="9">
        <v>281790</v>
      </c>
      <c r="S3013" s="9">
        <v>-80332</v>
      </c>
      <c r="T3013" s="10">
        <v>110929</v>
      </c>
      <c r="U3013" s="10">
        <v>1914</v>
      </c>
    </row>
    <row r="3014" spans="1:21" x14ac:dyDescent="0.35">
      <c r="A3014" t="s">
        <v>15</v>
      </c>
      <c r="B3014" t="s">
        <v>20</v>
      </c>
      <c r="C3014" t="s">
        <v>21</v>
      </c>
      <c r="D3014">
        <v>192556</v>
      </c>
      <c r="E3014">
        <v>21753</v>
      </c>
      <c r="F3014">
        <v>40048</v>
      </c>
      <c r="G3014">
        <v>-172842</v>
      </c>
      <c r="H3014">
        <v>81515</v>
      </c>
      <c r="I3014">
        <v>73702</v>
      </c>
      <c r="J3014">
        <v>1976</v>
      </c>
      <c r="K3014">
        <v>441699</v>
      </c>
      <c r="L3014">
        <v>128218</v>
      </c>
      <c r="M3014">
        <v>-164633</v>
      </c>
      <c r="N3014">
        <v>145512</v>
      </c>
      <c r="O3014" t="s">
        <v>3032</v>
      </c>
      <c r="P3014" s="9">
        <v>161706</v>
      </c>
      <c r="Q3014" s="9">
        <v>17674</v>
      </c>
      <c r="R3014" s="9">
        <v>179380</v>
      </c>
      <c r="S3014" s="9">
        <v>-92096</v>
      </c>
      <c r="T3014" s="10">
        <v>58034</v>
      </c>
      <c r="U3014" s="10">
        <v>1600</v>
      </c>
    </row>
    <row r="3015" spans="1:21" x14ac:dyDescent="0.35">
      <c r="A3015" t="s">
        <v>15</v>
      </c>
      <c r="B3015" t="s">
        <v>16</v>
      </c>
      <c r="C3015" t="s">
        <v>21</v>
      </c>
      <c r="D3015">
        <v>220857</v>
      </c>
      <c r="E3015">
        <v>20063</v>
      </c>
      <c r="F3015">
        <v>54083</v>
      </c>
      <c r="G3015">
        <v>-197220</v>
      </c>
      <c r="H3015">
        <v>97783</v>
      </c>
      <c r="I3015">
        <v>94929</v>
      </c>
      <c r="J3015">
        <v>1822</v>
      </c>
      <c r="K3015">
        <v>550644</v>
      </c>
      <c r="L3015">
        <v>190742</v>
      </c>
      <c r="M3015">
        <v>-105918</v>
      </c>
      <c r="N3015">
        <v>73530</v>
      </c>
      <c r="O3015" t="s">
        <v>3033</v>
      </c>
      <c r="P3015" s="9">
        <v>176553</v>
      </c>
      <c r="Q3015" s="9">
        <v>15346</v>
      </c>
      <c r="R3015" s="9">
        <v>191899</v>
      </c>
      <c r="S3015" s="9">
        <v>-55210</v>
      </c>
      <c r="T3015" s="10">
        <v>82182</v>
      </c>
      <c r="U3015" s="10">
        <v>1344</v>
      </c>
    </row>
    <row r="3016" spans="1:21" x14ac:dyDescent="0.35">
      <c r="A3016" t="s">
        <v>15</v>
      </c>
      <c r="B3016" t="s">
        <v>16</v>
      </c>
      <c r="C3016" t="s">
        <v>21</v>
      </c>
      <c r="D3016">
        <v>222769</v>
      </c>
      <c r="E3016">
        <v>40718</v>
      </c>
      <c r="F3016">
        <v>29901</v>
      </c>
      <c r="G3016">
        <v>-193365</v>
      </c>
      <c r="H3016">
        <v>100023</v>
      </c>
      <c r="I3016">
        <v>96989</v>
      </c>
      <c r="J3016">
        <v>2642</v>
      </c>
      <c r="K3016">
        <v>865055</v>
      </c>
      <c r="L3016">
        <v>295612</v>
      </c>
      <c r="M3016">
        <v>-230863</v>
      </c>
      <c r="N3016">
        <v>131899</v>
      </c>
      <c r="O3016" t="s">
        <v>3034</v>
      </c>
      <c r="P3016" s="9">
        <v>153415</v>
      </c>
      <c r="Q3016" s="9">
        <v>28268</v>
      </c>
      <c r="R3016" s="9">
        <v>181683</v>
      </c>
      <c r="S3016" s="9">
        <v>-38671</v>
      </c>
      <c r="T3016" s="10">
        <v>68104</v>
      </c>
      <c r="U3016" s="10">
        <v>1245</v>
      </c>
    </row>
    <row r="3017" spans="1:21" x14ac:dyDescent="0.35">
      <c r="A3017" t="s">
        <v>15</v>
      </c>
      <c r="B3017" t="s">
        <v>16</v>
      </c>
      <c r="C3017" t="s">
        <v>21</v>
      </c>
      <c r="D3017">
        <v>210878</v>
      </c>
      <c r="E3017">
        <v>11688</v>
      </c>
      <c r="F3017">
        <v>26206</v>
      </c>
      <c r="G3017">
        <v>-192011</v>
      </c>
      <c r="H3017">
        <v>56761</v>
      </c>
      <c r="I3017">
        <v>55426</v>
      </c>
      <c r="J3017">
        <v>1276</v>
      </c>
      <c r="K3017">
        <v>645940</v>
      </c>
      <c r="L3017">
        <v>121955</v>
      </c>
      <c r="M3017">
        <v>-90297</v>
      </c>
      <c r="N3017">
        <v>92378</v>
      </c>
      <c r="O3017" t="s">
        <v>3035</v>
      </c>
      <c r="P3017" s="9">
        <v>257932</v>
      </c>
      <c r="Q3017" s="9">
        <v>51466</v>
      </c>
      <c r="R3017" s="9">
        <v>309398</v>
      </c>
      <c r="S3017" s="9">
        <v>-137362</v>
      </c>
      <c r="T3017" s="10">
        <v>143189</v>
      </c>
      <c r="U3017" s="10">
        <v>2461</v>
      </c>
    </row>
    <row r="3018" spans="1:21" x14ac:dyDescent="0.35">
      <c r="A3018" t="s">
        <v>15</v>
      </c>
      <c r="B3018" t="s">
        <v>16</v>
      </c>
      <c r="C3018" t="s">
        <v>21</v>
      </c>
      <c r="D3018">
        <v>277044</v>
      </c>
      <c r="E3018">
        <v>46183</v>
      </c>
      <c r="F3018">
        <v>36290</v>
      </c>
      <c r="G3018">
        <v>-245420</v>
      </c>
      <c r="H3018">
        <v>114097</v>
      </c>
      <c r="I3018">
        <v>106647</v>
      </c>
      <c r="J3018">
        <v>3186</v>
      </c>
      <c r="K3018">
        <v>1091702</v>
      </c>
      <c r="L3018">
        <v>171883</v>
      </c>
      <c r="M3018">
        <v>-152496</v>
      </c>
      <c r="N3018">
        <v>126241</v>
      </c>
      <c r="O3018" t="s">
        <v>3036</v>
      </c>
      <c r="P3018" s="9">
        <v>189520</v>
      </c>
      <c r="Q3018" s="9">
        <v>16668</v>
      </c>
      <c r="R3018" s="9">
        <v>206188</v>
      </c>
      <c r="S3018" s="9">
        <v>-47112</v>
      </c>
      <c r="T3018" s="10">
        <v>74828</v>
      </c>
      <c r="U3018" s="10">
        <v>2224</v>
      </c>
    </row>
    <row r="3019" spans="1:21" x14ac:dyDescent="0.35">
      <c r="A3019" t="s">
        <v>15</v>
      </c>
      <c r="B3019" t="s">
        <v>20</v>
      </c>
      <c r="C3019" t="s">
        <v>17</v>
      </c>
      <c r="D3019">
        <v>158420</v>
      </c>
      <c r="E3019">
        <v>25691</v>
      </c>
      <c r="F3019">
        <v>36658</v>
      </c>
      <c r="G3019">
        <v>-157043</v>
      </c>
      <c r="H3019">
        <v>63726</v>
      </c>
      <c r="I3019">
        <v>66648</v>
      </c>
      <c r="J3019">
        <v>711</v>
      </c>
      <c r="K3019">
        <v>465828</v>
      </c>
      <c r="L3019">
        <v>201527</v>
      </c>
      <c r="M3019">
        <v>-112672</v>
      </c>
      <c r="N3019">
        <v>49345</v>
      </c>
      <c r="O3019" t="s">
        <v>3037</v>
      </c>
      <c r="P3019" s="9">
        <v>206416</v>
      </c>
      <c r="Q3019" s="9">
        <v>30701</v>
      </c>
      <c r="R3019" s="9">
        <v>237117</v>
      </c>
      <c r="S3019" s="9">
        <v>-48251</v>
      </c>
      <c r="T3019" s="10">
        <v>82008</v>
      </c>
      <c r="U3019" s="10">
        <v>1970</v>
      </c>
    </row>
    <row r="3020" spans="1:21" x14ac:dyDescent="0.35">
      <c r="A3020" t="s">
        <v>15</v>
      </c>
      <c r="B3020" t="s">
        <v>16</v>
      </c>
      <c r="C3020" t="s">
        <v>21</v>
      </c>
      <c r="D3020">
        <v>217368</v>
      </c>
      <c r="E3020">
        <v>34896</v>
      </c>
      <c r="F3020">
        <v>29055</v>
      </c>
      <c r="G3020">
        <v>-195817</v>
      </c>
      <c r="H3020">
        <v>85502</v>
      </c>
      <c r="I3020">
        <v>87924</v>
      </c>
      <c r="J3020">
        <v>1220</v>
      </c>
      <c r="K3020">
        <v>650537</v>
      </c>
      <c r="L3020">
        <v>297681</v>
      </c>
      <c r="M3020">
        <v>-136701</v>
      </c>
      <c r="N3020">
        <v>94418</v>
      </c>
      <c r="O3020" t="s">
        <v>3038</v>
      </c>
      <c r="P3020" s="9">
        <v>217910</v>
      </c>
      <c r="Q3020" s="9">
        <v>17018</v>
      </c>
      <c r="R3020" s="9">
        <v>234928</v>
      </c>
      <c r="S3020" s="9">
        <v>-93491</v>
      </c>
      <c r="T3020" s="10">
        <v>105686</v>
      </c>
      <c r="U3020" s="10">
        <v>1840</v>
      </c>
    </row>
    <row r="3021" spans="1:21" x14ac:dyDescent="0.35">
      <c r="A3021" t="s">
        <v>15</v>
      </c>
      <c r="B3021" t="s">
        <v>16</v>
      </c>
      <c r="C3021" t="s">
        <v>21</v>
      </c>
      <c r="D3021">
        <v>193020</v>
      </c>
      <c r="E3021">
        <v>36653</v>
      </c>
      <c r="F3021">
        <v>33452</v>
      </c>
      <c r="G3021">
        <v>-161623</v>
      </c>
      <c r="H3021">
        <v>101502</v>
      </c>
      <c r="I3021">
        <v>105748</v>
      </c>
      <c r="J3021">
        <v>2634</v>
      </c>
      <c r="K3021">
        <v>636105</v>
      </c>
      <c r="L3021">
        <v>108625</v>
      </c>
      <c r="M3021">
        <v>-78156</v>
      </c>
      <c r="N3021">
        <v>102437</v>
      </c>
      <c r="O3021" t="s">
        <v>3039</v>
      </c>
      <c r="P3021" s="9">
        <v>214017</v>
      </c>
      <c r="Q3021" s="9">
        <v>27944</v>
      </c>
      <c r="R3021" s="9">
        <v>241961</v>
      </c>
      <c r="S3021" s="9">
        <v>-94929</v>
      </c>
      <c r="T3021" s="10">
        <v>106675</v>
      </c>
      <c r="U3021" s="10">
        <v>1346</v>
      </c>
    </row>
    <row r="3022" spans="1:21" x14ac:dyDescent="0.35">
      <c r="A3022" t="s">
        <v>15</v>
      </c>
      <c r="B3022" t="s">
        <v>16</v>
      </c>
      <c r="C3022" t="s">
        <v>17</v>
      </c>
      <c r="D3022">
        <v>191871</v>
      </c>
      <c r="E3022">
        <v>10275</v>
      </c>
      <c r="F3022">
        <v>35807</v>
      </c>
      <c r="G3022">
        <v>-179215</v>
      </c>
      <c r="H3022">
        <v>58738</v>
      </c>
      <c r="I3022">
        <v>53967</v>
      </c>
      <c r="J3022">
        <v>1471</v>
      </c>
      <c r="K3022">
        <v>459575</v>
      </c>
      <c r="L3022">
        <v>142065</v>
      </c>
      <c r="M3022">
        <v>-182000</v>
      </c>
      <c r="N3022">
        <v>63213</v>
      </c>
      <c r="O3022" t="s">
        <v>3040</v>
      </c>
      <c r="P3022" s="9">
        <v>256905</v>
      </c>
      <c r="Q3022" s="9">
        <v>46184</v>
      </c>
      <c r="R3022" s="9">
        <v>303089</v>
      </c>
      <c r="S3022" s="9">
        <v>-61204</v>
      </c>
      <c r="T3022" s="10">
        <v>86348</v>
      </c>
      <c r="U3022" s="10">
        <v>1387</v>
      </c>
    </row>
    <row r="3023" spans="1:21" x14ac:dyDescent="0.35">
      <c r="A3023" t="s">
        <v>15</v>
      </c>
      <c r="B3023" t="s">
        <v>20</v>
      </c>
      <c r="C3023" t="s">
        <v>17</v>
      </c>
      <c r="D3023">
        <v>263001</v>
      </c>
      <c r="E3023">
        <v>33033</v>
      </c>
      <c r="F3023">
        <v>59623</v>
      </c>
      <c r="G3023">
        <v>-212965</v>
      </c>
      <c r="H3023">
        <v>142692</v>
      </c>
      <c r="I3023">
        <v>142361</v>
      </c>
      <c r="J3023">
        <v>3027</v>
      </c>
      <c r="K3023">
        <v>1039484</v>
      </c>
      <c r="L3023">
        <v>274208</v>
      </c>
      <c r="M3023">
        <v>-111967</v>
      </c>
      <c r="N3023">
        <v>135423</v>
      </c>
      <c r="O3023" t="s">
        <v>3041</v>
      </c>
      <c r="P3023" s="9">
        <v>166269</v>
      </c>
      <c r="Q3023" s="9">
        <v>27895</v>
      </c>
      <c r="R3023" s="9">
        <v>194164</v>
      </c>
      <c r="S3023" s="9">
        <v>-52452</v>
      </c>
      <c r="T3023" s="10">
        <v>85668</v>
      </c>
      <c r="U3023" s="10">
        <v>2527</v>
      </c>
    </row>
    <row r="3024" spans="1:21" x14ac:dyDescent="0.35">
      <c r="A3024" t="s">
        <v>15</v>
      </c>
      <c r="B3024" t="s">
        <v>16</v>
      </c>
      <c r="C3024" t="s">
        <v>17</v>
      </c>
      <c r="D3024">
        <v>290683</v>
      </c>
      <c r="E3024">
        <v>35941</v>
      </c>
      <c r="F3024">
        <v>46578</v>
      </c>
      <c r="G3024">
        <v>-262451</v>
      </c>
      <c r="H3024">
        <v>110751</v>
      </c>
      <c r="I3024">
        <v>105227</v>
      </c>
      <c r="J3024">
        <v>2037</v>
      </c>
      <c r="K3024">
        <v>618273</v>
      </c>
      <c r="L3024">
        <v>306185</v>
      </c>
      <c r="M3024">
        <v>-139272</v>
      </c>
      <c r="N3024">
        <v>162568</v>
      </c>
      <c r="O3024" t="s">
        <v>3042</v>
      </c>
      <c r="P3024" s="9">
        <v>269854</v>
      </c>
      <c r="Q3024" s="9">
        <v>14959</v>
      </c>
      <c r="R3024" s="9">
        <v>284813</v>
      </c>
      <c r="S3024" s="9">
        <v>-76801</v>
      </c>
      <c r="T3024" s="10">
        <v>78302</v>
      </c>
      <c r="U3024" s="10">
        <v>1097</v>
      </c>
    </row>
    <row r="3025" spans="1:21" x14ac:dyDescent="0.35">
      <c r="A3025" t="s">
        <v>15</v>
      </c>
      <c r="B3025" t="s">
        <v>16</v>
      </c>
      <c r="C3025" t="s">
        <v>17</v>
      </c>
      <c r="D3025">
        <v>239557</v>
      </c>
      <c r="E3025">
        <v>35751</v>
      </c>
      <c r="F3025">
        <v>51500</v>
      </c>
      <c r="G3025">
        <v>-226609</v>
      </c>
      <c r="H3025">
        <v>100199</v>
      </c>
      <c r="I3025">
        <v>92424</v>
      </c>
      <c r="J3025">
        <v>1470</v>
      </c>
      <c r="K3025">
        <v>783417</v>
      </c>
      <c r="L3025">
        <v>276070</v>
      </c>
      <c r="M3025">
        <v>-243792</v>
      </c>
      <c r="N3025">
        <v>163402</v>
      </c>
      <c r="O3025" t="s">
        <v>3043</v>
      </c>
      <c r="P3025" s="9">
        <v>167078</v>
      </c>
      <c r="Q3025" s="9">
        <v>15730</v>
      </c>
      <c r="R3025" s="9">
        <v>182808</v>
      </c>
      <c r="S3025" s="9">
        <v>-37302</v>
      </c>
      <c r="T3025" s="10">
        <v>36074</v>
      </c>
      <c r="U3025" s="10">
        <v>818</v>
      </c>
    </row>
    <row r="3026" spans="1:21" x14ac:dyDescent="0.35">
      <c r="A3026" t="s">
        <v>15</v>
      </c>
      <c r="B3026" t="s">
        <v>20</v>
      </c>
      <c r="C3026" t="s">
        <v>17</v>
      </c>
      <c r="D3026">
        <v>169061</v>
      </c>
      <c r="E3026">
        <v>17128</v>
      </c>
      <c r="F3026">
        <v>21666</v>
      </c>
      <c r="G3026">
        <v>-161779</v>
      </c>
      <c r="H3026">
        <v>46076</v>
      </c>
      <c r="I3026">
        <v>44572</v>
      </c>
      <c r="J3026">
        <v>971</v>
      </c>
      <c r="K3026">
        <v>500727</v>
      </c>
      <c r="L3026">
        <v>96612</v>
      </c>
      <c r="M3026">
        <v>-121043</v>
      </c>
      <c r="N3026">
        <v>56358</v>
      </c>
      <c r="O3026" t="s">
        <v>3044</v>
      </c>
      <c r="P3026" s="9">
        <v>212191</v>
      </c>
      <c r="Q3026" s="9">
        <v>35770</v>
      </c>
      <c r="R3026" s="9">
        <v>247961</v>
      </c>
      <c r="S3026" s="9">
        <v>-142571</v>
      </c>
      <c r="T3026" s="10">
        <v>95324</v>
      </c>
      <c r="U3026" s="10">
        <v>2168</v>
      </c>
    </row>
    <row r="3027" spans="1:21" x14ac:dyDescent="0.35">
      <c r="A3027" t="s">
        <v>15</v>
      </c>
      <c r="B3027" t="s">
        <v>20</v>
      </c>
      <c r="C3027" t="s">
        <v>17</v>
      </c>
      <c r="D3027">
        <v>193950</v>
      </c>
      <c r="E3027">
        <v>28645</v>
      </c>
      <c r="F3027">
        <v>36977</v>
      </c>
      <c r="G3027">
        <v>-182079</v>
      </c>
      <c r="H3027">
        <v>77493</v>
      </c>
      <c r="I3027">
        <v>79661</v>
      </c>
      <c r="J3027">
        <v>1232</v>
      </c>
      <c r="K3027">
        <v>717947</v>
      </c>
      <c r="L3027">
        <v>287618</v>
      </c>
      <c r="M3027">
        <v>-267405</v>
      </c>
      <c r="N3027">
        <v>153921</v>
      </c>
      <c r="O3027" t="s">
        <v>3045</v>
      </c>
      <c r="P3027" s="9">
        <v>208480</v>
      </c>
      <c r="Q3027" s="9">
        <v>25799</v>
      </c>
      <c r="R3027" s="9">
        <v>234279</v>
      </c>
      <c r="S3027" s="9">
        <v>-77150</v>
      </c>
      <c r="T3027" s="10">
        <v>80639</v>
      </c>
      <c r="U3027" s="10">
        <v>1968</v>
      </c>
    </row>
    <row r="3028" spans="1:21" x14ac:dyDescent="0.35">
      <c r="A3028" t="s">
        <v>15</v>
      </c>
      <c r="B3028" t="s">
        <v>16</v>
      </c>
      <c r="C3028" t="s">
        <v>17</v>
      </c>
      <c r="D3028">
        <v>191053</v>
      </c>
      <c r="E3028">
        <v>35889</v>
      </c>
      <c r="F3028">
        <v>26306</v>
      </c>
      <c r="G3028">
        <v>-184868</v>
      </c>
      <c r="H3028">
        <v>68380</v>
      </c>
      <c r="I3028">
        <v>64719</v>
      </c>
      <c r="J3028">
        <v>1508</v>
      </c>
      <c r="K3028">
        <v>623055</v>
      </c>
      <c r="L3028">
        <v>74299</v>
      </c>
      <c r="M3028">
        <v>-245907</v>
      </c>
      <c r="N3028">
        <v>85567</v>
      </c>
      <c r="O3028" t="s">
        <v>3046</v>
      </c>
      <c r="P3028" s="9">
        <v>253309</v>
      </c>
      <c r="Q3028" s="9">
        <v>33709</v>
      </c>
      <c r="R3028" s="9">
        <v>287018</v>
      </c>
      <c r="S3028" s="9">
        <v>-158123</v>
      </c>
      <c r="T3028" s="10">
        <v>77534</v>
      </c>
      <c r="U3028" s="10">
        <v>1187</v>
      </c>
    </row>
    <row r="3029" spans="1:21" x14ac:dyDescent="0.35">
      <c r="A3029" t="s">
        <v>15</v>
      </c>
      <c r="B3029" t="s">
        <v>16</v>
      </c>
      <c r="C3029" t="s">
        <v>17</v>
      </c>
      <c r="D3029">
        <v>280683</v>
      </c>
      <c r="E3029">
        <v>23835</v>
      </c>
      <c r="F3029">
        <v>40880</v>
      </c>
      <c r="G3029">
        <v>-231334</v>
      </c>
      <c r="H3029">
        <v>114064</v>
      </c>
      <c r="I3029">
        <v>115873</v>
      </c>
      <c r="J3029">
        <v>1285</v>
      </c>
      <c r="K3029">
        <v>954077</v>
      </c>
      <c r="L3029">
        <v>132351</v>
      </c>
      <c r="M3029">
        <v>-336027</v>
      </c>
      <c r="N3029">
        <v>204646</v>
      </c>
      <c r="O3029" t="s">
        <v>3047</v>
      </c>
      <c r="P3029" s="9">
        <v>269295</v>
      </c>
      <c r="Q3029" s="9">
        <v>55162</v>
      </c>
      <c r="R3029" s="9">
        <v>324457</v>
      </c>
      <c r="S3029" s="9">
        <v>-76956</v>
      </c>
      <c r="T3029" s="10">
        <v>113042</v>
      </c>
      <c r="U3029" s="10">
        <v>3030</v>
      </c>
    </row>
    <row r="3030" spans="1:21" x14ac:dyDescent="0.35">
      <c r="A3030" t="s">
        <v>15</v>
      </c>
      <c r="B3030" t="s">
        <v>20</v>
      </c>
      <c r="C3030" t="s">
        <v>21</v>
      </c>
      <c r="D3030">
        <v>285701</v>
      </c>
      <c r="E3030">
        <v>49363</v>
      </c>
      <c r="F3030">
        <v>29149</v>
      </c>
      <c r="G3030">
        <v>-263194</v>
      </c>
      <c r="H3030">
        <v>101019</v>
      </c>
      <c r="I3030">
        <v>92186</v>
      </c>
      <c r="J3030">
        <v>2099</v>
      </c>
      <c r="K3030">
        <v>1100369</v>
      </c>
      <c r="L3030">
        <v>498930</v>
      </c>
      <c r="M3030">
        <v>-265381</v>
      </c>
      <c r="N3030">
        <v>85950</v>
      </c>
      <c r="O3030" t="s">
        <v>3048</v>
      </c>
      <c r="P3030" s="9">
        <v>319178</v>
      </c>
      <c r="Q3030" s="9">
        <v>50146</v>
      </c>
      <c r="R3030" s="9">
        <v>369324</v>
      </c>
      <c r="S3030" s="9">
        <v>-193072</v>
      </c>
      <c r="T3030" s="10">
        <v>127590</v>
      </c>
      <c r="U3030" s="10">
        <v>3811</v>
      </c>
    </row>
    <row r="3031" spans="1:21" x14ac:dyDescent="0.35">
      <c r="A3031" t="s">
        <v>15</v>
      </c>
      <c r="B3031" t="s">
        <v>20</v>
      </c>
      <c r="C3031" t="s">
        <v>17</v>
      </c>
      <c r="D3031">
        <v>178434</v>
      </c>
      <c r="E3031">
        <v>33586</v>
      </c>
      <c r="F3031">
        <v>30587</v>
      </c>
      <c r="G3031">
        <v>-143733</v>
      </c>
      <c r="H3031">
        <v>98874</v>
      </c>
      <c r="I3031">
        <v>92157</v>
      </c>
      <c r="J3031">
        <v>2027</v>
      </c>
      <c r="K3031">
        <v>692494</v>
      </c>
      <c r="L3031">
        <v>290023</v>
      </c>
      <c r="M3031">
        <v>-100083</v>
      </c>
      <c r="N3031">
        <v>112644</v>
      </c>
      <c r="O3031" t="s">
        <v>3049</v>
      </c>
      <c r="P3031" s="9">
        <v>269301</v>
      </c>
      <c r="Q3031" s="9">
        <v>13982</v>
      </c>
      <c r="R3031" s="9">
        <v>283283</v>
      </c>
      <c r="S3031" s="9">
        <v>-100405</v>
      </c>
      <c r="T3031" s="10">
        <v>87042</v>
      </c>
      <c r="U3031" s="10">
        <v>2436</v>
      </c>
    </row>
    <row r="3032" spans="1:21" x14ac:dyDescent="0.35">
      <c r="A3032" t="s">
        <v>15</v>
      </c>
      <c r="B3032" t="s">
        <v>16</v>
      </c>
      <c r="C3032" t="s">
        <v>21</v>
      </c>
      <c r="D3032">
        <v>195040</v>
      </c>
      <c r="E3032">
        <v>22575</v>
      </c>
      <c r="F3032">
        <v>20281</v>
      </c>
      <c r="G3032">
        <v>-162390</v>
      </c>
      <c r="H3032">
        <v>75506</v>
      </c>
      <c r="I3032">
        <v>75513</v>
      </c>
      <c r="J3032">
        <v>1073</v>
      </c>
      <c r="K3032">
        <v>548602</v>
      </c>
      <c r="L3032">
        <v>100914</v>
      </c>
      <c r="M3032">
        <v>-151534</v>
      </c>
      <c r="N3032">
        <v>168341</v>
      </c>
      <c r="O3032" t="s">
        <v>3050</v>
      </c>
      <c r="P3032" s="9">
        <v>249889</v>
      </c>
      <c r="Q3032" s="9">
        <v>32400</v>
      </c>
      <c r="R3032" s="9">
        <v>282289</v>
      </c>
      <c r="S3032" s="9">
        <v>-89535</v>
      </c>
      <c r="T3032" s="10">
        <v>81764</v>
      </c>
      <c r="U3032" s="10">
        <v>2206</v>
      </c>
    </row>
    <row r="3033" spans="1:21" x14ac:dyDescent="0.35">
      <c r="A3033" t="s">
        <v>15</v>
      </c>
      <c r="B3033" t="s">
        <v>16</v>
      </c>
      <c r="C3033" t="s">
        <v>17</v>
      </c>
      <c r="D3033">
        <v>278728</v>
      </c>
      <c r="E3033">
        <v>42975</v>
      </c>
      <c r="F3033">
        <v>41475</v>
      </c>
      <c r="G3033">
        <v>-272019</v>
      </c>
      <c r="H3033">
        <v>91159</v>
      </c>
      <c r="I3033">
        <v>84309</v>
      </c>
      <c r="J3033">
        <v>2048</v>
      </c>
      <c r="K3033">
        <v>679473</v>
      </c>
      <c r="L3033">
        <v>310561</v>
      </c>
      <c r="M3033">
        <v>-265182</v>
      </c>
      <c r="N3033">
        <v>167307</v>
      </c>
      <c r="O3033" t="s">
        <v>3051</v>
      </c>
      <c r="P3033" s="9">
        <v>215776</v>
      </c>
      <c r="Q3033" s="9">
        <v>33314</v>
      </c>
      <c r="R3033" s="9">
        <v>249090</v>
      </c>
      <c r="S3033" s="9">
        <v>-66801</v>
      </c>
      <c r="T3033" s="10">
        <v>88929</v>
      </c>
      <c r="U3033" s="10">
        <v>2047</v>
      </c>
    </row>
    <row r="3034" spans="1:21" x14ac:dyDescent="0.35">
      <c r="A3034" t="s">
        <v>15</v>
      </c>
      <c r="B3034" t="s">
        <v>16</v>
      </c>
      <c r="C3034" t="s">
        <v>21</v>
      </c>
      <c r="D3034">
        <v>289557</v>
      </c>
      <c r="E3034">
        <v>57117</v>
      </c>
      <c r="F3034">
        <v>60998</v>
      </c>
      <c r="G3034">
        <v>-251895</v>
      </c>
      <c r="H3034">
        <v>155777</v>
      </c>
      <c r="I3034">
        <v>152685</v>
      </c>
      <c r="J3034">
        <v>2985</v>
      </c>
      <c r="K3034">
        <v>1037503</v>
      </c>
      <c r="L3034">
        <v>385300</v>
      </c>
      <c r="M3034">
        <v>-264732</v>
      </c>
      <c r="N3034">
        <v>193563</v>
      </c>
      <c r="O3034" t="s">
        <v>3052</v>
      </c>
      <c r="P3034" s="9">
        <v>167650</v>
      </c>
      <c r="Q3034" s="9">
        <v>12285</v>
      </c>
      <c r="R3034" s="9">
        <v>179935</v>
      </c>
      <c r="S3034" s="9">
        <v>-85570</v>
      </c>
      <c r="T3034" s="10">
        <v>64042</v>
      </c>
      <c r="U3034" s="10">
        <v>926</v>
      </c>
    </row>
    <row r="3035" spans="1:21" x14ac:dyDescent="0.35">
      <c r="A3035" t="s">
        <v>15</v>
      </c>
      <c r="B3035" t="s">
        <v>16</v>
      </c>
      <c r="C3035" t="s">
        <v>21</v>
      </c>
      <c r="D3035">
        <v>257598</v>
      </c>
      <c r="E3035">
        <v>50195</v>
      </c>
      <c r="F3035">
        <v>29514</v>
      </c>
      <c r="G3035">
        <v>-241416</v>
      </c>
      <c r="H3035">
        <v>95891</v>
      </c>
      <c r="I3035">
        <v>99511</v>
      </c>
      <c r="J3035">
        <v>1474</v>
      </c>
      <c r="K3035">
        <v>838571</v>
      </c>
      <c r="L3035">
        <v>404958</v>
      </c>
      <c r="M3035">
        <v>-294225</v>
      </c>
      <c r="N3035">
        <v>77860</v>
      </c>
      <c r="O3035" t="s">
        <v>3053</v>
      </c>
      <c r="P3035" s="9">
        <v>149592</v>
      </c>
      <c r="Q3035" s="9">
        <v>9162</v>
      </c>
      <c r="R3035" s="9">
        <v>158754</v>
      </c>
      <c r="S3035" s="9">
        <v>-45217</v>
      </c>
      <c r="T3035" s="10">
        <v>30444</v>
      </c>
      <c r="U3035" s="10">
        <v>571</v>
      </c>
    </row>
    <row r="3036" spans="1:21" x14ac:dyDescent="0.35">
      <c r="A3036" t="s">
        <v>15</v>
      </c>
      <c r="B3036" t="s">
        <v>20</v>
      </c>
      <c r="C3036" t="s">
        <v>21</v>
      </c>
      <c r="D3036">
        <v>290953</v>
      </c>
      <c r="E3036">
        <v>51651</v>
      </c>
      <c r="F3036">
        <v>38229</v>
      </c>
      <c r="G3036">
        <v>-274631</v>
      </c>
      <c r="H3036">
        <v>106202</v>
      </c>
      <c r="I3036">
        <v>98286</v>
      </c>
      <c r="J3036">
        <v>1128</v>
      </c>
      <c r="K3036">
        <v>1028209</v>
      </c>
      <c r="L3036">
        <v>259773</v>
      </c>
      <c r="M3036">
        <v>-395759</v>
      </c>
      <c r="N3036">
        <v>232360</v>
      </c>
      <c r="O3036" t="s">
        <v>3054</v>
      </c>
      <c r="P3036" s="9">
        <v>152201</v>
      </c>
      <c r="Q3036" s="9">
        <v>25823</v>
      </c>
      <c r="R3036" s="9">
        <v>178024</v>
      </c>
      <c r="S3036" s="9">
        <v>-100190</v>
      </c>
      <c r="T3036" s="10">
        <v>82866</v>
      </c>
      <c r="U3036" s="10">
        <v>877</v>
      </c>
    </row>
    <row r="3037" spans="1:21" x14ac:dyDescent="0.35">
      <c r="A3037" t="s">
        <v>15</v>
      </c>
      <c r="B3037" t="s">
        <v>20</v>
      </c>
      <c r="C3037" t="s">
        <v>21</v>
      </c>
      <c r="D3037">
        <v>184226</v>
      </c>
      <c r="E3037">
        <v>35479</v>
      </c>
      <c r="F3037">
        <v>42053</v>
      </c>
      <c r="G3037">
        <v>-182981</v>
      </c>
      <c r="H3037">
        <v>78777</v>
      </c>
      <c r="I3037">
        <v>82322</v>
      </c>
      <c r="J3037">
        <v>1328</v>
      </c>
      <c r="K3037">
        <v>634909</v>
      </c>
      <c r="L3037">
        <v>190187</v>
      </c>
      <c r="M3037">
        <v>-82027</v>
      </c>
      <c r="N3037">
        <v>113499</v>
      </c>
      <c r="O3037" t="s">
        <v>3055</v>
      </c>
      <c r="P3037" s="9">
        <v>219965</v>
      </c>
      <c r="Q3037" s="9">
        <v>38916</v>
      </c>
      <c r="R3037" s="9">
        <v>258881</v>
      </c>
      <c r="S3037" s="9">
        <v>-68466</v>
      </c>
      <c r="T3037" s="10">
        <v>122084</v>
      </c>
      <c r="U3037" s="10">
        <v>2343</v>
      </c>
    </row>
    <row r="3038" spans="1:21" x14ac:dyDescent="0.35">
      <c r="A3038" t="s">
        <v>15</v>
      </c>
      <c r="B3038" t="s">
        <v>16</v>
      </c>
      <c r="C3038" t="s">
        <v>21</v>
      </c>
      <c r="D3038">
        <v>291472</v>
      </c>
      <c r="E3038">
        <v>27681</v>
      </c>
      <c r="F3038">
        <v>48351</v>
      </c>
      <c r="G3038">
        <v>-248435</v>
      </c>
      <c r="H3038">
        <v>119069</v>
      </c>
      <c r="I3038">
        <v>115601</v>
      </c>
      <c r="J3038">
        <v>3232</v>
      </c>
      <c r="K3038">
        <v>1125312</v>
      </c>
      <c r="L3038">
        <v>405078</v>
      </c>
      <c r="M3038">
        <v>-367045</v>
      </c>
      <c r="N3038">
        <v>97230</v>
      </c>
      <c r="O3038" t="s">
        <v>3056</v>
      </c>
      <c r="P3038" s="9">
        <v>230282</v>
      </c>
      <c r="Q3038" s="9">
        <v>45159</v>
      </c>
      <c r="R3038" s="9">
        <v>275441</v>
      </c>
      <c r="S3038" s="9">
        <v>-73775</v>
      </c>
      <c r="T3038" s="10">
        <v>96232</v>
      </c>
      <c r="U3038" s="10">
        <v>2839</v>
      </c>
    </row>
    <row r="3039" spans="1:21" x14ac:dyDescent="0.35">
      <c r="A3039" t="s">
        <v>15</v>
      </c>
      <c r="B3039" t="s">
        <v>16</v>
      </c>
      <c r="C3039" t="s">
        <v>17</v>
      </c>
      <c r="D3039">
        <v>298746</v>
      </c>
      <c r="E3039">
        <v>50268</v>
      </c>
      <c r="F3039">
        <v>57762</v>
      </c>
      <c r="G3039">
        <v>-265369</v>
      </c>
      <c r="H3039">
        <v>141407</v>
      </c>
      <c r="I3039">
        <v>140989</v>
      </c>
      <c r="J3039">
        <v>1603</v>
      </c>
      <c r="K3039">
        <v>957134</v>
      </c>
      <c r="L3039">
        <v>277198</v>
      </c>
      <c r="M3039">
        <v>-166597</v>
      </c>
      <c r="N3039">
        <v>217002</v>
      </c>
      <c r="O3039" t="s">
        <v>3057</v>
      </c>
      <c r="P3039" s="9">
        <v>200532</v>
      </c>
      <c r="Q3039" s="9">
        <v>36325</v>
      </c>
      <c r="R3039" s="9">
        <v>236857</v>
      </c>
      <c r="S3039" s="9">
        <v>-111163</v>
      </c>
      <c r="T3039" s="10">
        <v>72232</v>
      </c>
      <c r="U3039" s="10">
        <v>2030</v>
      </c>
    </row>
    <row r="3040" spans="1:21" x14ac:dyDescent="0.35">
      <c r="A3040" t="s">
        <v>15</v>
      </c>
      <c r="B3040" t="s">
        <v>20</v>
      </c>
      <c r="C3040" t="s">
        <v>17</v>
      </c>
      <c r="D3040">
        <v>195322</v>
      </c>
      <c r="E3040">
        <v>25711</v>
      </c>
      <c r="F3040">
        <v>29991</v>
      </c>
      <c r="G3040">
        <v>-168516</v>
      </c>
      <c r="H3040">
        <v>82508</v>
      </c>
      <c r="I3040">
        <v>83461</v>
      </c>
      <c r="J3040">
        <v>1792</v>
      </c>
      <c r="K3040">
        <v>459156</v>
      </c>
      <c r="L3040">
        <v>51273</v>
      </c>
      <c r="M3040">
        <v>-170456</v>
      </c>
      <c r="N3040">
        <v>102726</v>
      </c>
      <c r="O3040" t="s">
        <v>3058</v>
      </c>
      <c r="P3040" s="9">
        <v>206063</v>
      </c>
      <c r="Q3040" s="9">
        <v>38403</v>
      </c>
      <c r="R3040" s="9">
        <v>244466</v>
      </c>
      <c r="S3040" s="9">
        <v>-113663</v>
      </c>
      <c r="T3040" s="10">
        <v>75790</v>
      </c>
      <c r="U3040" s="10">
        <v>1244</v>
      </c>
    </row>
    <row r="3041" spans="1:21" x14ac:dyDescent="0.35">
      <c r="A3041" t="s">
        <v>15</v>
      </c>
      <c r="B3041" t="s">
        <v>20</v>
      </c>
      <c r="C3041" t="s">
        <v>21</v>
      </c>
      <c r="D3041">
        <v>217782</v>
      </c>
      <c r="E3041">
        <v>27302</v>
      </c>
      <c r="F3041">
        <v>24213</v>
      </c>
      <c r="G3041">
        <v>-187815</v>
      </c>
      <c r="H3041">
        <v>81482</v>
      </c>
      <c r="I3041">
        <v>75712</v>
      </c>
      <c r="J3041">
        <v>1889</v>
      </c>
      <c r="K3041">
        <v>850397</v>
      </c>
      <c r="L3041">
        <v>420513</v>
      </c>
      <c r="M3041">
        <v>-103069</v>
      </c>
      <c r="N3041">
        <v>120884</v>
      </c>
      <c r="O3041" t="s">
        <v>3059</v>
      </c>
      <c r="P3041" s="9">
        <v>218376</v>
      </c>
      <c r="Q3041" s="9">
        <v>22903</v>
      </c>
      <c r="R3041" s="9">
        <v>241279</v>
      </c>
      <c r="S3041" s="9">
        <v>-61804</v>
      </c>
      <c r="T3041" s="10">
        <v>83716</v>
      </c>
      <c r="U3041" s="10">
        <v>1305</v>
      </c>
    </row>
    <row r="3042" spans="1:21" x14ac:dyDescent="0.35">
      <c r="A3042" t="s">
        <v>15</v>
      </c>
      <c r="B3042" t="s">
        <v>16</v>
      </c>
      <c r="C3042" t="s">
        <v>17</v>
      </c>
      <c r="D3042">
        <v>203537</v>
      </c>
      <c r="E3042">
        <v>16900</v>
      </c>
      <c r="F3042">
        <v>47678</v>
      </c>
      <c r="G3042">
        <v>-164939</v>
      </c>
      <c r="H3042">
        <v>103176</v>
      </c>
      <c r="I3042">
        <v>99925</v>
      </c>
      <c r="J3042">
        <v>1591</v>
      </c>
      <c r="K3042">
        <v>787501</v>
      </c>
      <c r="L3042">
        <v>85820</v>
      </c>
      <c r="M3042">
        <v>-125083</v>
      </c>
      <c r="N3042">
        <v>67754</v>
      </c>
      <c r="O3042" t="s">
        <v>3060</v>
      </c>
      <c r="P3042" s="9">
        <v>287508</v>
      </c>
      <c r="Q3042" s="9">
        <v>16798</v>
      </c>
      <c r="R3042" s="9">
        <v>304306</v>
      </c>
      <c r="S3042" s="9">
        <v>-164328</v>
      </c>
      <c r="T3042" s="10">
        <v>77312</v>
      </c>
      <c r="U3042" s="10">
        <v>935</v>
      </c>
    </row>
    <row r="3043" spans="1:21" x14ac:dyDescent="0.35">
      <c r="A3043" t="s">
        <v>15</v>
      </c>
      <c r="B3043" t="s">
        <v>20</v>
      </c>
      <c r="C3043" t="s">
        <v>21</v>
      </c>
      <c r="D3043">
        <v>271223</v>
      </c>
      <c r="E3043">
        <v>31278</v>
      </c>
      <c r="F3043">
        <v>45748</v>
      </c>
      <c r="G3043">
        <v>-268137</v>
      </c>
      <c r="H3043">
        <v>80112</v>
      </c>
      <c r="I3043">
        <v>79955</v>
      </c>
      <c r="J3043">
        <v>1644</v>
      </c>
      <c r="K3043">
        <v>939377</v>
      </c>
      <c r="L3043">
        <v>448921</v>
      </c>
      <c r="M3043">
        <v>-375728</v>
      </c>
      <c r="N3043">
        <v>158845</v>
      </c>
      <c r="O3043" t="s">
        <v>3061</v>
      </c>
      <c r="P3043" s="9">
        <v>191942</v>
      </c>
      <c r="Q3043" s="9">
        <v>24849</v>
      </c>
      <c r="R3043" s="9">
        <v>216791</v>
      </c>
      <c r="S3043" s="9">
        <v>-97473</v>
      </c>
      <c r="T3043" s="10">
        <v>84790</v>
      </c>
      <c r="U3043" s="10">
        <v>1609</v>
      </c>
    </row>
    <row r="3044" spans="1:21" x14ac:dyDescent="0.35">
      <c r="A3044" t="s">
        <v>15</v>
      </c>
      <c r="B3044" t="s">
        <v>16</v>
      </c>
      <c r="C3044" t="s">
        <v>21</v>
      </c>
      <c r="D3044">
        <v>207176</v>
      </c>
      <c r="E3044">
        <v>18589</v>
      </c>
      <c r="F3044">
        <v>49722</v>
      </c>
      <c r="G3044">
        <v>-176317</v>
      </c>
      <c r="H3044">
        <v>99170</v>
      </c>
      <c r="I3044">
        <v>91809</v>
      </c>
      <c r="J3044">
        <v>1155</v>
      </c>
      <c r="K3044">
        <v>809299</v>
      </c>
      <c r="L3044">
        <v>190445</v>
      </c>
      <c r="M3044">
        <v>-269751</v>
      </c>
      <c r="N3044">
        <v>180098</v>
      </c>
      <c r="O3044" t="s">
        <v>3062</v>
      </c>
      <c r="P3044" s="9">
        <v>243056</v>
      </c>
      <c r="Q3044" s="9">
        <v>20508</v>
      </c>
      <c r="R3044" s="9">
        <v>263564</v>
      </c>
      <c r="S3044" s="9">
        <v>-74121</v>
      </c>
      <c r="T3044" s="10">
        <v>57907</v>
      </c>
      <c r="U3044" s="10">
        <v>1593</v>
      </c>
    </row>
    <row r="3045" spans="1:21" x14ac:dyDescent="0.35">
      <c r="A3045" t="s">
        <v>15</v>
      </c>
      <c r="B3045" t="s">
        <v>16</v>
      </c>
      <c r="C3045" t="s">
        <v>21</v>
      </c>
      <c r="D3045">
        <v>193916</v>
      </c>
      <c r="E3045">
        <v>23514</v>
      </c>
      <c r="F3045">
        <v>37590</v>
      </c>
      <c r="G3045">
        <v>-169026</v>
      </c>
      <c r="H3045">
        <v>85994</v>
      </c>
      <c r="I3045">
        <v>87720</v>
      </c>
      <c r="J3045">
        <v>2193</v>
      </c>
      <c r="K3045">
        <v>772937</v>
      </c>
      <c r="L3045">
        <v>98201</v>
      </c>
      <c r="M3045">
        <v>-159447</v>
      </c>
      <c r="N3045">
        <v>152130</v>
      </c>
      <c r="O3045" t="s">
        <v>3063</v>
      </c>
      <c r="P3045" s="9">
        <v>273403</v>
      </c>
      <c r="Q3045" s="9">
        <v>22550</v>
      </c>
      <c r="R3045" s="9">
        <v>295953</v>
      </c>
      <c r="S3045" s="9">
        <v>-78316</v>
      </c>
      <c r="T3045" s="10">
        <v>132182</v>
      </c>
      <c r="U3045" s="10">
        <v>2510</v>
      </c>
    </row>
    <row r="3046" spans="1:21" x14ac:dyDescent="0.35">
      <c r="A3046" t="s">
        <v>15</v>
      </c>
      <c r="B3046" t="s">
        <v>16</v>
      </c>
      <c r="C3046" t="s">
        <v>21</v>
      </c>
      <c r="D3046">
        <v>251103</v>
      </c>
      <c r="E3046">
        <v>17024</v>
      </c>
      <c r="F3046">
        <v>30601</v>
      </c>
      <c r="G3046">
        <v>-245740</v>
      </c>
      <c r="H3046">
        <v>52988</v>
      </c>
      <c r="I3046">
        <v>47776</v>
      </c>
      <c r="J3046">
        <v>594</v>
      </c>
      <c r="K3046">
        <v>613238</v>
      </c>
      <c r="L3046">
        <v>293652</v>
      </c>
      <c r="M3046">
        <v>-126881</v>
      </c>
      <c r="N3046">
        <v>112947</v>
      </c>
      <c r="O3046" t="s">
        <v>3064</v>
      </c>
      <c r="P3046" s="9">
        <v>213618</v>
      </c>
      <c r="Q3046" s="9">
        <v>18545</v>
      </c>
      <c r="R3046" s="9">
        <v>232163</v>
      </c>
      <c r="S3046" s="9">
        <v>-62441</v>
      </c>
      <c r="T3046" s="10">
        <v>76236</v>
      </c>
      <c r="U3046" s="10">
        <v>1918</v>
      </c>
    </row>
    <row r="3047" spans="1:21" x14ac:dyDescent="0.35">
      <c r="A3047" t="s">
        <v>15</v>
      </c>
      <c r="B3047" t="s">
        <v>20</v>
      </c>
      <c r="C3047" t="s">
        <v>17</v>
      </c>
      <c r="D3047">
        <v>286477</v>
      </c>
      <c r="E3047">
        <v>47430</v>
      </c>
      <c r="F3047">
        <v>32600</v>
      </c>
      <c r="G3047">
        <v>-249242</v>
      </c>
      <c r="H3047">
        <v>117265</v>
      </c>
      <c r="I3047">
        <v>118730</v>
      </c>
      <c r="J3047">
        <v>2312</v>
      </c>
      <c r="K3047">
        <v>1136283</v>
      </c>
      <c r="L3047">
        <v>338091</v>
      </c>
      <c r="M3047">
        <v>-344436</v>
      </c>
      <c r="N3047">
        <v>186492</v>
      </c>
      <c r="O3047" t="s">
        <v>3065</v>
      </c>
      <c r="P3047" s="9">
        <v>264383</v>
      </c>
      <c r="Q3047" s="9">
        <v>38670</v>
      </c>
      <c r="R3047" s="9">
        <v>303053</v>
      </c>
      <c r="S3047" s="9">
        <v>-77587</v>
      </c>
      <c r="T3047" s="10">
        <v>131626</v>
      </c>
      <c r="U3047" s="10">
        <v>3233</v>
      </c>
    </row>
    <row r="3048" spans="1:21" x14ac:dyDescent="0.35">
      <c r="A3048" t="s">
        <v>15</v>
      </c>
      <c r="B3048" t="s">
        <v>16</v>
      </c>
      <c r="C3048" t="s">
        <v>21</v>
      </c>
      <c r="D3048">
        <v>293160</v>
      </c>
      <c r="E3048">
        <v>37048</v>
      </c>
      <c r="F3048">
        <v>63763</v>
      </c>
      <c r="G3048">
        <v>-275438</v>
      </c>
      <c r="H3048">
        <v>118533</v>
      </c>
      <c r="I3048">
        <v>114171</v>
      </c>
      <c r="J3048">
        <v>1459</v>
      </c>
      <c r="K3048">
        <v>1085019</v>
      </c>
      <c r="L3048">
        <v>159447</v>
      </c>
      <c r="M3048">
        <v>-352872</v>
      </c>
      <c r="N3048">
        <v>262687</v>
      </c>
      <c r="O3048" t="s">
        <v>3066</v>
      </c>
      <c r="P3048" s="9">
        <v>208942</v>
      </c>
      <c r="Q3048" s="9">
        <v>37431</v>
      </c>
      <c r="R3048" s="9">
        <v>246373</v>
      </c>
      <c r="S3048" s="9">
        <v>-85675</v>
      </c>
      <c r="T3048" s="10">
        <v>76369</v>
      </c>
      <c r="U3048" s="10">
        <v>1414</v>
      </c>
    </row>
    <row r="3049" spans="1:21" x14ac:dyDescent="0.35">
      <c r="A3049" t="s">
        <v>15</v>
      </c>
      <c r="B3049" t="s">
        <v>20</v>
      </c>
      <c r="C3049" t="s">
        <v>21</v>
      </c>
      <c r="D3049">
        <v>277742</v>
      </c>
      <c r="E3049">
        <v>32546</v>
      </c>
      <c r="F3049">
        <v>55814</v>
      </c>
      <c r="G3049">
        <v>-233303</v>
      </c>
      <c r="H3049">
        <v>132799</v>
      </c>
      <c r="I3049">
        <v>121104</v>
      </c>
      <c r="J3049">
        <v>2043</v>
      </c>
      <c r="K3049">
        <v>598137</v>
      </c>
      <c r="L3049">
        <v>244709</v>
      </c>
      <c r="M3049">
        <v>-238038</v>
      </c>
      <c r="N3049">
        <v>207981</v>
      </c>
      <c r="O3049" t="s">
        <v>3067</v>
      </c>
      <c r="P3049" s="9">
        <v>235293</v>
      </c>
      <c r="Q3049" s="9">
        <v>28676</v>
      </c>
      <c r="R3049" s="9">
        <v>263969</v>
      </c>
      <c r="S3049" s="9">
        <v>-89098</v>
      </c>
      <c r="T3049" s="10">
        <v>92456</v>
      </c>
      <c r="U3049" s="10">
        <v>1135</v>
      </c>
    </row>
    <row r="3050" spans="1:21" x14ac:dyDescent="0.35">
      <c r="A3050" t="s">
        <v>15</v>
      </c>
      <c r="B3050" t="s">
        <v>20</v>
      </c>
      <c r="C3050" t="s">
        <v>21</v>
      </c>
      <c r="D3050">
        <v>298945</v>
      </c>
      <c r="E3050">
        <v>48090</v>
      </c>
      <c r="F3050">
        <v>40597</v>
      </c>
      <c r="G3050">
        <v>-298646</v>
      </c>
      <c r="H3050">
        <v>88986</v>
      </c>
      <c r="I3050">
        <v>81467</v>
      </c>
      <c r="J3050">
        <v>2186</v>
      </c>
      <c r="K3050">
        <v>768381</v>
      </c>
      <c r="L3050">
        <v>151197</v>
      </c>
      <c r="M3050">
        <v>-88244</v>
      </c>
      <c r="N3050">
        <v>239063</v>
      </c>
      <c r="O3050" t="s">
        <v>3068</v>
      </c>
      <c r="P3050" s="9">
        <v>247467</v>
      </c>
      <c r="Q3050" s="9">
        <v>18283</v>
      </c>
      <c r="R3050" s="9">
        <v>265750</v>
      </c>
      <c r="S3050" s="9">
        <v>-115807</v>
      </c>
      <c r="T3050" s="10">
        <v>56746</v>
      </c>
      <c r="U3050" s="10">
        <v>1647</v>
      </c>
    </row>
    <row r="3051" spans="1:21" x14ac:dyDescent="0.35">
      <c r="A3051" t="s">
        <v>15</v>
      </c>
      <c r="B3051" t="s">
        <v>16</v>
      </c>
      <c r="C3051" t="s">
        <v>21</v>
      </c>
      <c r="D3051">
        <v>292358</v>
      </c>
      <c r="E3051">
        <v>16424</v>
      </c>
      <c r="F3051">
        <v>70915</v>
      </c>
      <c r="G3051">
        <v>-286951</v>
      </c>
      <c r="H3051">
        <v>92746</v>
      </c>
      <c r="I3051">
        <v>83961</v>
      </c>
      <c r="J3051">
        <v>1470</v>
      </c>
      <c r="K3051">
        <v>880639</v>
      </c>
      <c r="L3051">
        <v>311634</v>
      </c>
      <c r="M3051">
        <v>-95506</v>
      </c>
      <c r="N3051">
        <v>112749</v>
      </c>
      <c r="O3051" t="s">
        <v>3069</v>
      </c>
      <c r="P3051" s="9">
        <v>272193</v>
      </c>
      <c r="Q3051" s="9">
        <v>14269</v>
      </c>
      <c r="R3051" s="9">
        <v>286462</v>
      </c>
      <c r="S3051" s="9">
        <v>-77746</v>
      </c>
      <c r="T3051" s="10">
        <v>57030</v>
      </c>
      <c r="U3051" s="10">
        <v>820</v>
      </c>
    </row>
    <row r="3052" spans="1:21" x14ac:dyDescent="0.35">
      <c r="A3052" t="s">
        <v>15</v>
      </c>
      <c r="B3052" t="s">
        <v>16</v>
      </c>
      <c r="C3052" t="s">
        <v>17</v>
      </c>
      <c r="D3052">
        <v>220345</v>
      </c>
      <c r="E3052">
        <v>28360</v>
      </c>
      <c r="F3052">
        <v>47192</v>
      </c>
      <c r="G3052">
        <v>-197196</v>
      </c>
      <c r="H3052">
        <v>98701</v>
      </c>
      <c r="I3052">
        <v>95017</v>
      </c>
      <c r="J3052">
        <v>2479</v>
      </c>
      <c r="K3052">
        <v>477131</v>
      </c>
      <c r="L3052">
        <v>206007</v>
      </c>
      <c r="M3052">
        <v>-128780</v>
      </c>
      <c r="N3052">
        <v>189820</v>
      </c>
      <c r="O3052" t="s">
        <v>3070</v>
      </c>
      <c r="P3052" s="9">
        <v>151273</v>
      </c>
      <c r="Q3052" s="9">
        <v>10217</v>
      </c>
      <c r="R3052" s="9">
        <v>161490</v>
      </c>
      <c r="S3052" s="9">
        <v>-72479</v>
      </c>
      <c r="T3052" s="10">
        <v>40988</v>
      </c>
      <c r="U3052" s="10">
        <v>543</v>
      </c>
    </row>
    <row r="3053" spans="1:21" x14ac:dyDescent="0.35">
      <c r="A3053" t="s">
        <v>15</v>
      </c>
      <c r="B3053" t="s">
        <v>20</v>
      </c>
      <c r="C3053" t="s">
        <v>21</v>
      </c>
      <c r="D3053">
        <v>289301</v>
      </c>
      <c r="E3053">
        <v>17194</v>
      </c>
      <c r="F3053">
        <v>31775</v>
      </c>
      <c r="G3053">
        <v>-268707</v>
      </c>
      <c r="H3053">
        <v>69563</v>
      </c>
      <c r="I3053">
        <v>70722</v>
      </c>
      <c r="J3053">
        <v>1247</v>
      </c>
      <c r="K3053">
        <v>916573</v>
      </c>
      <c r="L3053">
        <v>342842</v>
      </c>
      <c r="M3053">
        <v>-236206</v>
      </c>
      <c r="N3053">
        <v>168112</v>
      </c>
      <c r="O3053" t="s">
        <v>3071</v>
      </c>
      <c r="P3053" s="9">
        <v>251644</v>
      </c>
      <c r="Q3053" s="9">
        <v>22442</v>
      </c>
      <c r="R3053" s="9">
        <v>274086</v>
      </c>
      <c r="S3053" s="9">
        <v>-69825</v>
      </c>
      <c r="T3053" s="10">
        <v>75654</v>
      </c>
      <c r="U3053" s="10">
        <v>1869</v>
      </c>
    </row>
    <row r="3054" spans="1:21" x14ac:dyDescent="0.35">
      <c r="A3054" t="s">
        <v>15</v>
      </c>
      <c r="B3054" t="s">
        <v>20</v>
      </c>
      <c r="C3054" t="s">
        <v>21</v>
      </c>
      <c r="D3054">
        <v>258111</v>
      </c>
      <c r="E3054">
        <v>29471</v>
      </c>
      <c r="F3054">
        <v>33970</v>
      </c>
      <c r="G3054">
        <v>-216343</v>
      </c>
      <c r="H3054">
        <v>105209</v>
      </c>
      <c r="I3054">
        <v>105846</v>
      </c>
      <c r="J3054">
        <v>2486</v>
      </c>
      <c r="K3054">
        <v>597217</v>
      </c>
      <c r="L3054">
        <v>178446</v>
      </c>
      <c r="M3054">
        <v>-136477</v>
      </c>
      <c r="N3054">
        <v>196883</v>
      </c>
      <c r="O3054" t="s">
        <v>3072</v>
      </c>
      <c r="P3054" s="9">
        <v>261902</v>
      </c>
      <c r="Q3054" s="9">
        <v>51605</v>
      </c>
      <c r="R3054" s="9">
        <v>313507</v>
      </c>
      <c r="S3054" s="9">
        <v>-173000</v>
      </c>
      <c r="T3054" s="10">
        <v>150105</v>
      </c>
      <c r="U3054" s="10">
        <v>2728</v>
      </c>
    </row>
    <row r="3055" spans="1:21" x14ac:dyDescent="0.35">
      <c r="A3055" t="s">
        <v>15</v>
      </c>
      <c r="B3055" t="s">
        <v>16</v>
      </c>
      <c r="C3055" t="s">
        <v>17</v>
      </c>
      <c r="D3055">
        <v>295482</v>
      </c>
      <c r="E3055">
        <v>50508</v>
      </c>
      <c r="F3055">
        <v>34974</v>
      </c>
      <c r="G3055">
        <v>-281044</v>
      </c>
      <c r="H3055">
        <v>99920</v>
      </c>
      <c r="I3055">
        <v>93269</v>
      </c>
      <c r="J3055">
        <v>1397</v>
      </c>
      <c r="K3055">
        <v>965844</v>
      </c>
      <c r="L3055">
        <v>466649</v>
      </c>
      <c r="M3055">
        <v>-317453</v>
      </c>
      <c r="N3055">
        <v>176258</v>
      </c>
      <c r="O3055" t="s">
        <v>3073</v>
      </c>
      <c r="P3055" s="9">
        <v>256790</v>
      </c>
      <c r="Q3055" s="9">
        <v>52553</v>
      </c>
      <c r="R3055" s="9">
        <v>309343</v>
      </c>
      <c r="S3055" s="9">
        <v>-136931</v>
      </c>
      <c r="T3055" s="10">
        <v>123251</v>
      </c>
      <c r="U3055" s="10">
        <v>1259</v>
      </c>
    </row>
    <row r="3056" spans="1:21" x14ac:dyDescent="0.35">
      <c r="A3056" t="s">
        <v>15</v>
      </c>
      <c r="B3056" t="s">
        <v>20</v>
      </c>
      <c r="C3056" t="s">
        <v>21</v>
      </c>
      <c r="D3056">
        <v>249530</v>
      </c>
      <c r="E3056">
        <v>49619</v>
      </c>
      <c r="F3056">
        <v>43863</v>
      </c>
      <c r="G3056">
        <v>-213461</v>
      </c>
      <c r="H3056">
        <v>129551</v>
      </c>
      <c r="I3056">
        <v>121536</v>
      </c>
      <c r="J3056">
        <v>2135</v>
      </c>
      <c r="K3056">
        <v>755255</v>
      </c>
      <c r="L3056">
        <v>243732</v>
      </c>
      <c r="M3056">
        <v>-82439</v>
      </c>
      <c r="N3056">
        <v>93002</v>
      </c>
      <c r="O3056" t="s">
        <v>3074</v>
      </c>
      <c r="P3056" s="9">
        <v>231606</v>
      </c>
      <c r="Q3056" s="9">
        <v>45981</v>
      </c>
      <c r="R3056" s="9">
        <v>277587</v>
      </c>
      <c r="S3056" s="9">
        <v>-132294</v>
      </c>
      <c r="T3056" s="10">
        <v>98375</v>
      </c>
      <c r="U3056" s="10">
        <v>1576</v>
      </c>
    </row>
    <row r="3057" spans="1:21" x14ac:dyDescent="0.35">
      <c r="A3057" t="s">
        <v>15</v>
      </c>
      <c r="B3057" t="s">
        <v>20</v>
      </c>
      <c r="C3057" t="s">
        <v>21</v>
      </c>
      <c r="D3057">
        <v>290582</v>
      </c>
      <c r="E3057">
        <v>18019</v>
      </c>
      <c r="F3057">
        <v>61845</v>
      </c>
      <c r="G3057">
        <v>-270548</v>
      </c>
      <c r="H3057">
        <v>99898</v>
      </c>
      <c r="I3057">
        <v>100961</v>
      </c>
      <c r="J3057">
        <v>1237</v>
      </c>
      <c r="K3057">
        <v>994900</v>
      </c>
      <c r="L3057">
        <v>170421</v>
      </c>
      <c r="M3057">
        <v>-173537</v>
      </c>
      <c r="N3057">
        <v>149870</v>
      </c>
      <c r="O3057" t="s">
        <v>3075</v>
      </c>
      <c r="P3057" s="9">
        <v>258795</v>
      </c>
      <c r="Q3057" s="9">
        <v>17202</v>
      </c>
      <c r="R3057" s="9">
        <v>275997</v>
      </c>
      <c r="S3057" s="9">
        <v>-84703</v>
      </c>
      <c r="T3057" s="10">
        <v>58623</v>
      </c>
      <c r="U3057" s="10">
        <v>1002</v>
      </c>
    </row>
    <row r="3058" spans="1:21" x14ac:dyDescent="0.35">
      <c r="A3058" t="s">
        <v>15</v>
      </c>
      <c r="B3058" t="s">
        <v>16</v>
      </c>
      <c r="C3058" t="s">
        <v>21</v>
      </c>
      <c r="D3058">
        <v>264529</v>
      </c>
      <c r="E3058">
        <v>38513</v>
      </c>
      <c r="F3058">
        <v>35234</v>
      </c>
      <c r="G3058">
        <v>-246607</v>
      </c>
      <c r="H3058">
        <v>91669</v>
      </c>
      <c r="I3058">
        <v>89330</v>
      </c>
      <c r="J3058">
        <v>1848</v>
      </c>
      <c r="K3058">
        <v>597474</v>
      </c>
      <c r="L3058">
        <v>270773</v>
      </c>
      <c r="M3058">
        <v>-189103</v>
      </c>
      <c r="N3058">
        <v>158140</v>
      </c>
      <c r="O3058" t="s">
        <v>3076</v>
      </c>
      <c r="P3058" s="9">
        <v>242435</v>
      </c>
      <c r="Q3058" s="9">
        <v>31428</v>
      </c>
      <c r="R3058" s="9">
        <v>273863</v>
      </c>
      <c r="S3058" s="9">
        <v>-137562</v>
      </c>
      <c r="T3058" s="10">
        <v>74813</v>
      </c>
      <c r="U3058" s="10">
        <v>1085</v>
      </c>
    </row>
    <row r="3059" spans="1:21" x14ac:dyDescent="0.35">
      <c r="A3059" t="s">
        <v>15</v>
      </c>
      <c r="B3059" t="s">
        <v>20</v>
      </c>
      <c r="C3059" t="s">
        <v>21</v>
      </c>
      <c r="D3059">
        <v>189701</v>
      </c>
      <c r="E3059">
        <v>34713</v>
      </c>
      <c r="F3059">
        <v>44381</v>
      </c>
      <c r="G3059">
        <v>-176561</v>
      </c>
      <c r="H3059">
        <v>92234</v>
      </c>
      <c r="I3059">
        <v>83266</v>
      </c>
      <c r="J3059">
        <v>1174</v>
      </c>
      <c r="K3059">
        <v>671249</v>
      </c>
      <c r="L3059">
        <v>302281</v>
      </c>
      <c r="M3059">
        <v>-83204</v>
      </c>
      <c r="N3059">
        <v>94458</v>
      </c>
      <c r="O3059" t="s">
        <v>3077</v>
      </c>
      <c r="P3059" s="9">
        <v>289286</v>
      </c>
      <c r="Q3059" s="9">
        <v>12746</v>
      </c>
      <c r="R3059" s="9">
        <v>302032</v>
      </c>
      <c r="S3059" s="9">
        <v>-94026</v>
      </c>
      <c r="T3059" s="10">
        <v>71133</v>
      </c>
      <c r="U3059" s="10">
        <v>1907</v>
      </c>
    </row>
    <row r="3060" spans="1:21" x14ac:dyDescent="0.35">
      <c r="A3060" t="s">
        <v>15</v>
      </c>
      <c r="B3060" t="s">
        <v>16</v>
      </c>
      <c r="C3060" t="s">
        <v>21</v>
      </c>
      <c r="D3060">
        <v>266808</v>
      </c>
      <c r="E3060">
        <v>46286</v>
      </c>
      <c r="F3060">
        <v>40117</v>
      </c>
      <c r="G3060">
        <v>-243443</v>
      </c>
      <c r="H3060">
        <v>109768</v>
      </c>
      <c r="I3060">
        <v>101162</v>
      </c>
      <c r="J3060">
        <v>2548</v>
      </c>
      <c r="K3060">
        <v>735730</v>
      </c>
      <c r="L3060">
        <v>307303</v>
      </c>
      <c r="M3060">
        <v>-237495</v>
      </c>
      <c r="N3060">
        <v>170781</v>
      </c>
      <c r="O3060" t="s">
        <v>3078</v>
      </c>
      <c r="P3060" s="9">
        <v>210171</v>
      </c>
      <c r="Q3060" s="9">
        <v>18986</v>
      </c>
      <c r="R3060" s="9">
        <v>229157</v>
      </c>
      <c r="S3060" s="9">
        <v>-67495</v>
      </c>
      <c r="T3060" s="10">
        <v>97187</v>
      </c>
      <c r="U3060" s="10">
        <v>1644</v>
      </c>
    </row>
    <row r="3061" spans="1:21" x14ac:dyDescent="0.35">
      <c r="A3061" t="s">
        <v>15</v>
      </c>
      <c r="B3061" t="s">
        <v>16</v>
      </c>
      <c r="C3061" t="s">
        <v>21</v>
      </c>
      <c r="D3061">
        <v>166208</v>
      </c>
      <c r="E3061">
        <v>12174</v>
      </c>
      <c r="F3061">
        <v>20101</v>
      </c>
      <c r="G3061">
        <v>-148136</v>
      </c>
      <c r="H3061">
        <v>50347</v>
      </c>
      <c r="I3061">
        <v>52566</v>
      </c>
      <c r="J3061">
        <v>1287</v>
      </c>
      <c r="K3061">
        <v>378541</v>
      </c>
      <c r="L3061">
        <v>167976</v>
      </c>
      <c r="M3061">
        <v>-141355</v>
      </c>
      <c r="N3061">
        <v>59775</v>
      </c>
      <c r="O3061" t="s">
        <v>3079</v>
      </c>
      <c r="P3061" s="9">
        <v>317843</v>
      </c>
      <c r="Q3061" s="9">
        <v>44868</v>
      </c>
      <c r="R3061" s="9">
        <v>362711</v>
      </c>
      <c r="S3061" s="9">
        <v>-118516</v>
      </c>
      <c r="T3061" s="10">
        <v>142265</v>
      </c>
      <c r="U3061" s="10">
        <v>1814</v>
      </c>
    </row>
    <row r="3062" spans="1:21" x14ac:dyDescent="0.35">
      <c r="A3062" t="s">
        <v>15</v>
      </c>
      <c r="B3062" t="s">
        <v>20</v>
      </c>
      <c r="C3062" t="s">
        <v>21</v>
      </c>
      <c r="D3062">
        <v>292945</v>
      </c>
      <c r="E3062">
        <v>40616</v>
      </c>
      <c r="F3062">
        <v>31961</v>
      </c>
      <c r="G3062">
        <v>-249952</v>
      </c>
      <c r="H3062">
        <v>115570</v>
      </c>
      <c r="I3062">
        <v>105195</v>
      </c>
      <c r="J3062">
        <v>1155</v>
      </c>
      <c r="K3062">
        <v>1163228</v>
      </c>
      <c r="L3062">
        <v>264581</v>
      </c>
      <c r="M3062">
        <v>-317104</v>
      </c>
      <c r="N3062">
        <v>229111</v>
      </c>
      <c r="O3062" t="s">
        <v>3080</v>
      </c>
      <c r="P3062" s="9">
        <v>265246</v>
      </c>
      <c r="Q3062" s="9">
        <v>24618</v>
      </c>
      <c r="R3062" s="9">
        <v>289864</v>
      </c>
      <c r="S3062" s="9">
        <v>-151538</v>
      </c>
      <c r="T3062" s="10">
        <v>96818</v>
      </c>
      <c r="U3062" s="10">
        <v>1655</v>
      </c>
    </row>
    <row r="3063" spans="1:21" x14ac:dyDescent="0.35">
      <c r="A3063" t="s">
        <v>15</v>
      </c>
      <c r="B3063" t="s">
        <v>16</v>
      </c>
      <c r="C3063" t="s">
        <v>17</v>
      </c>
      <c r="D3063">
        <v>221913</v>
      </c>
      <c r="E3063">
        <v>15507</v>
      </c>
      <c r="F3063">
        <v>32156</v>
      </c>
      <c r="G3063">
        <v>-186189</v>
      </c>
      <c r="H3063">
        <v>83387</v>
      </c>
      <c r="I3063">
        <v>76177</v>
      </c>
      <c r="J3063">
        <v>1020</v>
      </c>
      <c r="K3063">
        <v>606504</v>
      </c>
      <c r="L3063">
        <v>181149</v>
      </c>
      <c r="M3063">
        <v>-196107</v>
      </c>
      <c r="N3063">
        <v>98022</v>
      </c>
      <c r="O3063" t="s">
        <v>3081</v>
      </c>
      <c r="P3063" s="9">
        <v>250051</v>
      </c>
      <c r="Q3063" s="9">
        <v>17714</v>
      </c>
      <c r="R3063" s="9">
        <v>267765</v>
      </c>
      <c r="S3063" s="9">
        <v>-84451</v>
      </c>
      <c r="T3063" s="10">
        <v>108948</v>
      </c>
      <c r="U3063" s="10">
        <v>1549</v>
      </c>
    </row>
    <row r="3064" spans="1:21" x14ac:dyDescent="0.35">
      <c r="A3064" t="s">
        <v>15</v>
      </c>
      <c r="B3064" t="s">
        <v>16</v>
      </c>
      <c r="C3064" t="s">
        <v>21</v>
      </c>
      <c r="D3064">
        <v>231843</v>
      </c>
      <c r="E3064">
        <v>26287</v>
      </c>
      <c r="F3064">
        <v>34543</v>
      </c>
      <c r="G3064">
        <v>-191240</v>
      </c>
      <c r="H3064">
        <v>101433</v>
      </c>
      <c r="I3064">
        <v>104515</v>
      </c>
      <c r="J3064">
        <v>1357</v>
      </c>
      <c r="K3064">
        <v>701503</v>
      </c>
      <c r="L3064">
        <v>146283</v>
      </c>
      <c r="M3064">
        <v>-240011</v>
      </c>
      <c r="N3064">
        <v>199759</v>
      </c>
      <c r="O3064" t="s">
        <v>3082</v>
      </c>
      <c r="P3064" s="9">
        <v>225459</v>
      </c>
      <c r="Q3064" s="9">
        <v>20500</v>
      </c>
      <c r="R3064" s="9">
        <v>245959</v>
      </c>
      <c r="S3064" s="9">
        <v>-69335</v>
      </c>
      <c r="T3064" s="10">
        <v>56768</v>
      </c>
      <c r="U3064" s="10">
        <v>676</v>
      </c>
    </row>
    <row r="3065" spans="1:21" x14ac:dyDescent="0.35">
      <c r="A3065" t="s">
        <v>15</v>
      </c>
      <c r="B3065" t="s">
        <v>16</v>
      </c>
      <c r="C3065" t="s">
        <v>21</v>
      </c>
      <c r="D3065">
        <v>186791</v>
      </c>
      <c r="E3065">
        <v>16517</v>
      </c>
      <c r="F3065">
        <v>37003</v>
      </c>
      <c r="G3065">
        <v>-174983</v>
      </c>
      <c r="H3065">
        <v>65328</v>
      </c>
      <c r="I3065">
        <v>64232</v>
      </c>
      <c r="J3065">
        <v>1135</v>
      </c>
      <c r="K3065">
        <v>512806</v>
      </c>
      <c r="L3065">
        <v>115054</v>
      </c>
      <c r="M3065">
        <v>-160057</v>
      </c>
      <c r="N3065">
        <v>126030</v>
      </c>
      <c r="O3065" t="s">
        <v>3083</v>
      </c>
      <c r="P3065" s="9">
        <v>228586</v>
      </c>
      <c r="Q3065" s="9">
        <v>30460</v>
      </c>
      <c r="R3065" s="9">
        <v>259046</v>
      </c>
      <c r="S3065" s="9">
        <v>-62590</v>
      </c>
      <c r="T3065" s="10">
        <v>86739</v>
      </c>
      <c r="U3065" s="10">
        <v>2454</v>
      </c>
    </row>
    <row r="3066" spans="1:21" x14ac:dyDescent="0.35">
      <c r="A3066" t="s">
        <v>15</v>
      </c>
      <c r="B3066" t="s">
        <v>16</v>
      </c>
      <c r="C3066" t="s">
        <v>21</v>
      </c>
      <c r="D3066">
        <v>284043</v>
      </c>
      <c r="E3066">
        <v>27840</v>
      </c>
      <c r="F3066">
        <v>66652</v>
      </c>
      <c r="G3066">
        <v>-242212</v>
      </c>
      <c r="H3066">
        <v>136323</v>
      </c>
      <c r="I3066">
        <v>131378</v>
      </c>
      <c r="J3066">
        <v>2877</v>
      </c>
      <c r="K3066">
        <v>1043504</v>
      </c>
      <c r="L3066">
        <v>295959</v>
      </c>
      <c r="M3066">
        <v>-358438</v>
      </c>
      <c r="N3066">
        <v>110009</v>
      </c>
      <c r="O3066" t="s">
        <v>3084</v>
      </c>
      <c r="P3066" s="9">
        <v>247456</v>
      </c>
      <c r="Q3066" s="9">
        <v>48544</v>
      </c>
      <c r="R3066" s="9">
        <v>296000</v>
      </c>
      <c r="S3066" s="9">
        <v>-123365</v>
      </c>
      <c r="T3066" s="10">
        <v>103271</v>
      </c>
      <c r="U3066" s="10">
        <v>2650</v>
      </c>
    </row>
    <row r="3067" spans="1:21" x14ac:dyDescent="0.35">
      <c r="A3067" t="s">
        <v>15</v>
      </c>
      <c r="B3067" t="s">
        <v>16</v>
      </c>
      <c r="C3067" t="s">
        <v>21</v>
      </c>
      <c r="D3067">
        <v>183529</v>
      </c>
      <c r="E3067">
        <v>18726</v>
      </c>
      <c r="F3067">
        <v>42395</v>
      </c>
      <c r="G3067">
        <v>-167247</v>
      </c>
      <c r="H3067">
        <v>77403</v>
      </c>
      <c r="I3067">
        <v>70550</v>
      </c>
      <c r="J3067">
        <v>1293</v>
      </c>
      <c r="K3067">
        <v>690822</v>
      </c>
      <c r="L3067">
        <v>342471</v>
      </c>
      <c r="M3067">
        <v>-124565</v>
      </c>
      <c r="N3067">
        <v>69073</v>
      </c>
      <c r="O3067" t="s">
        <v>3085</v>
      </c>
      <c r="P3067" s="9">
        <v>214231</v>
      </c>
      <c r="Q3067" s="9">
        <v>29904</v>
      </c>
      <c r="R3067" s="9">
        <v>244135</v>
      </c>
      <c r="S3067" s="9">
        <v>-123278</v>
      </c>
      <c r="T3067" s="10">
        <v>50568</v>
      </c>
      <c r="U3067" s="10">
        <v>1141</v>
      </c>
    </row>
    <row r="3068" spans="1:21" x14ac:dyDescent="0.35">
      <c r="A3068" t="s">
        <v>15</v>
      </c>
      <c r="B3068" t="s">
        <v>16</v>
      </c>
      <c r="C3068" t="s">
        <v>17</v>
      </c>
      <c r="D3068">
        <v>214296</v>
      </c>
      <c r="E3068">
        <v>16706</v>
      </c>
      <c r="F3068">
        <v>42405</v>
      </c>
      <c r="G3068">
        <v>-195131</v>
      </c>
      <c r="H3068">
        <v>78276</v>
      </c>
      <c r="I3068">
        <v>75693</v>
      </c>
      <c r="J3068">
        <v>1265</v>
      </c>
      <c r="K3068">
        <v>479824</v>
      </c>
      <c r="L3068">
        <v>76081</v>
      </c>
      <c r="M3068">
        <v>-140249</v>
      </c>
      <c r="N3068">
        <v>115680</v>
      </c>
      <c r="O3068" t="s">
        <v>3086</v>
      </c>
      <c r="P3068" s="9">
        <v>298074</v>
      </c>
      <c r="Q3068" s="9">
        <v>30574</v>
      </c>
      <c r="R3068" s="9">
        <v>328648</v>
      </c>
      <c r="S3068" s="9">
        <v>-175127</v>
      </c>
      <c r="T3068" s="10">
        <v>103237</v>
      </c>
      <c r="U3068" s="10">
        <v>1974</v>
      </c>
    </row>
    <row r="3069" spans="1:21" x14ac:dyDescent="0.35">
      <c r="A3069" t="s">
        <v>15</v>
      </c>
      <c r="B3069" t="s">
        <v>16</v>
      </c>
      <c r="C3069" t="s">
        <v>17</v>
      </c>
      <c r="D3069">
        <v>285037</v>
      </c>
      <c r="E3069">
        <v>25511</v>
      </c>
      <c r="F3069">
        <v>33688</v>
      </c>
      <c r="G3069">
        <v>-265923</v>
      </c>
      <c r="H3069">
        <v>78313</v>
      </c>
      <c r="I3069">
        <v>76680</v>
      </c>
      <c r="J3069">
        <v>1091</v>
      </c>
      <c r="K3069">
        <v>877784</v>
      </c>
      <c r="L3069">
        <v>321902</v>
      </c>
      <c r="M3069">
        <v>-165378</v>
      </c>
      <c r="N3069">
        <v>246605</v>
      </c>
      <c r="O3069" t="s">
        <v>3087</v>
      </c>
      <c r="P3069" s="9">
        <v>179253</v>
      </c>
      <c r="Q3069" s="9">
        <v>17734</v>
      </c>
      <c r="R3069" s="9">
        <v>196987</v>
      </c>
      <c r="S3069" s="9">
        <v>-109812</v>
      </c>
      <c r="T3069" s="10">
        <v>78614</v>
      </c>
      <c r="U3069" s="10">
        <v>1894</v>
      </c>
    </row>
    <row r="3070" spans="1:21" x14ac:dyDescent="0.35">
      <c r="A3070" t="s">
        <v>15</v>
      </c>
      <c r="B3070" t="s">
        <v>16</v>
      </c>
      <c r="C3070" t="s">
        <v>21</v>
      </c>
      <c r="D3070">
        <v>195325</v>
      </c>
      <c r="E3070">
        <v>25669</v>
      </c>
      <c r="F3070">
        <v>44960</v>
      </c>
      <c r="G3070">
        <v>-170974</v>
      </c>
      <c r="H3070">
        <v>94980</v>
      </c>
      <c r="I3070">
        <v>89673</v>
      </c>
      <c r="J3070">
        <v>1713</v>
      </c>
      <c r="K3070">
        <v>711819</v>
      </c>
      <c r="L3070">
        <v>274844</v>
      </c>
      <c r="M3070">
        <v>-76839</v>
      </c>
      <c r="N3070">
        <v>145702</v>
      </c>
      <c r="O3070" t="s">
        <v>3088</v>
      </c>
      <c r="P3070" s="9">
        <v>242164</v>
      </c>
      <c r="Q3070" s="9">
        <v>24291</v>
      </c>
      <c r="R3070" s="9">
        <v>266455</v>
      </c>
      <c r="S3070" s="9">
        <v>-124116</v>
      </c>
      <c r="T3070" s="10">
        <v>62152</v>
      </c>
      <c r="U3070" s="10">
        <v>1808</v>
      </c>
    </row>
    <row r="3071" spans="1:21" x14ac:dyDescent="0.35">
      <c r="A3071" t="s">
        <v>15</v>
      </c>
      <c r="B3071" t="s">
        <v>16</v>
      </c>
      <c r="C3071" t="s">
        <v>17</v>
      </c>
      <c r="D3071">
        <v>205030</v>
      </c>
      <c r="E3071">
        <v>19000</v>
      </c>
      <c r="F3071">
        <v>43499</v>
      </c>
      <c r="G3071">
        <v>-178982</v>
      </c>
      <c r="H3071">
        <v>88547</v>
      </c>
      <c r="I3071">
        <v>92853</v>
      </c>
      <c r="J3071">
        <v>1924</v>
      </c>
      <c r="K3071">
        <v>651673</v>
      </c>
      <c r="L3071">
        <v>310532</v>
      </c>
      <c r="M3071">
        <v>-194004</v>
      </c>
      <c r="N3071">
        <v>180371</v>
      </c>
      <c r="O3071" t="s">
        <v>3089</v>
      </c>
      <c r="P3071" s="9">
        <v>223600</v>
      </c>
      <c r="Q3071" s="9">
        <v>29746</v>
      </c>
      <c r="R3071" s="9">
        <v>253346</v>
      </c>
      <c r="S3071" s="9">
        <v>-124798</v>
      </c>
      <c r="T3071" s="10">
        <v>113881</v>
      </c>
      <c r="U3071" s="10">
        <v>1357</v>
      </c>
    </row>
    <row r="3072" spans="1:21" x14ac:dyDescent="0.35">
      <c r="A3072" t="s">
        <v>15</v>
      </c>
      <c r="B3072" t="s">
        <v>16</v>
      </c>
      <c r="C3072" t="s">
        <v>17</v>
      </c>
      <c r="D3072">
        <v>221249</v>
      </c>
      <c r="E3072">
        <v>39752</v>
      </c>
      <c r="F3072">
        <v>43508</v>
      </c>
      <c r="G3072">
        <v>-194069</v>
      </c>
      <c r="H3072">
        <v>110440</v>
      </c>
      <c r="I3072">
        <v>110478</v>
      </c>
      <c r="J3072">
        <v>2167</v>
      </c>
      <c r="K3072">
        <v>881086</v>
      </c>
      <c r="L3072">
        <v>315664</v>
      </c>
      <c r="M3072">
        <v>-201144</v>
      </c>
      <c r="N3072">
        <v>151291</v>
      </c>
      <c r="O3072" t="s">
        <v>3090</v>
      </c>
      <c r="P3072" s="9">
        <v>326073</v>
      </c>
      <c r="Q3072" s="9">
        <v>43334</v>
      </c>
      <c r="R3072" s="9">
        <v>369407</v>
      </c>
      <c r="S3072" s="9">
        <v>-124118</v>
      </c>
      <c r="T3072" s="10">
        <v>161974</v>
      </c>
      <c r="U3072" s="10">
        <v>2535</v>
      </c>
    </row>
    <row r="3073" spans="1:21" x14ac:dyDescent="0.35">
      <c r="A3073" t="s">
        <v>15</v>
      </c>
      <c r="B3073" t="s">
        <v>20</v>
      </c>
      <c r="C3073" t="s">
        <v>17</v>
      </c>
      <c r="D3073">
        <v>166266</v>
      </c>
      <c r="E3073">
        <v>32580</v>
      </c>
      <c r="F3073">
        <v>38318</v>
      </c>
      <c r="G3073">
        <v>-151977</v>
      </c>
      <c r="H3073">
        <v>85187</v>
      </c>
      <c r="I3073">
        <v>78795</v>
      </c>
      <c r="J3073">
        <v>1520</v>
      </c>
      <c r="K3073">
        <v>542983</v>
      </c>
      <c r="L3073">
        <v>170903</v>
      </c>
      <c r="M3073">
        <v>-89188</v>
      </c>
      <c r="N3073">
        <v>100937</v>
      </c>
      <c r="O3073" t="s">
        <v>3091</v>
      </c>
      <c r="P3073" s="9">
        <v>308199</v>
      </c>
      <c r="Q3073" s="9">
        <v>41671</v>
      </c>
      <c r="R3073" s="9">
        <v>349870</v>
      </c>
      <c r="S3073" s="9">
        <v>-131354</v>
      </c>
      <c r="T3073" s="10">
        <v>101143</v>
      </c>
      <c r="U3073" s="10">
        <v>2085</v>
      </c>
    </row>
    <row r="3074" spans="1:21" x14ac:dyDescent="0.35">
      <c r="A3074" t="s">
        <v>15</v>
      </c>
      <c r="B3074" t="s">
        <v>20</v>
      </c>
      <c r="C3074" t="s">
        <v>17</v>
      </c>
      <c r="D3074">
        <v>248401</v>
      </c>
      <c r="E3074">
        <v>23167</v>
      </c>
      <c r="F3074">
        <v>29177</v>
      </c>
      <c r="G3074">
        <v>-244220</v>
      </c>
      <c r="H3074">
        <v>56525</v>
      </c>
      <c r="I3074">
        <v>54570</v>
      </c>
      <c r="J3074">
        <v>896</v>
      </c>
      <c r="K3074">
        <v>970152</v>
      </c>
      <c r="L3074">
        <v>140838</v>
      </c>
      <c r="M3074">
        <v>-267468</v>
      </c>
      <c r="N3074">
        <v>116153</v>
      </c>
      <c r="O3074" t="s">
        <v>3092</v>
      </c>
      <c r="P3074" s="9">
        <v>275190</v>
      </c>
      <c r="Q3074" s="9">
        <v>29242</v>
      </c>
      <c r="R3074" s="9">
        <v>304432</v>
      </c>
      <c r="S3074" s="9">
        <v>-150785</v>
      </c>
      <c r="T3074" s="10">
        <v>81686</v>
      </c>
      <c r="U3074" s="10">
        <v>1023</v>
      </c>
    </row>
    <row r="3075" spans="1:21" x14ac:dyDescent="0.35">
      <c r="A3075" t="s">
        <v>15</v>
      </c>
      <c r="B3075" t="s">
        <v>16</v>
      </c>
      <c r="C3075" t="s">
        <v>21</v>
      </c>
      <c r="D3075">
        <v>210061</v>
      </c>
      <c r="E3075">
        <v>34253</v>
      </c>
      <c r="F3075">
        <v>30449</v>
      </c>
      <c r="G3075">
        <v>-168441</v>
      </c>
      <c r="H3075">
        <v>106322</v>
      </c>
      <c r="I3075">
        <v>110175</v>
      </c>
      <c r="J3075">
        <v>2873</v>
      </c>
      <c r="K3075">
        <v>424069</v>
      </c>
      <c r="L3075">
        <v>61086</v>
      </c>
      <c r="M3075">
        <v>-125515</v>
      </c>
      <c r="N3075">
        <v>185021</v>
      </c>
      <c r="O3075" t="s">
        <v>3093</v>
      </c>
      <c r="P3075" s="9">
        <v>320242</v>
      </c>
      <c r="Q3075" s="9">
        <v>42476</v>
      </c>
      <c r="R3075" s="9">
        <v>362718</v>
      </c>
      <c r="S3075" s="9">
        <v>-129092</v>
      </c>
      <c r="T3075" s="10">
        <v>141026</v>
      </c>
      <c r="U3075" s="10">
        <v>3854</v>
      </c>
    </row>
    <row r="3076" spans="1:21" x14ac:dyDescent="0.35">
      <c r="A3076" t="s">
        <v>15</v>
      </c>
      <c r="B3076" t="s">
        <v>16</v>
      </c>
      <c r="C3076" t="s">
        <v>21</v>
      </c>
      <c r="D3076">
        <v>227088</v>
      </c>
      <c r="E3076">
        <v>40087</v>
      </c>
      <c r="F3076">
        <v>46649</v>
      </c>
      <c r="G3076">
        <v>-190377</v>
      </c>
      <c r="H3076">
        <v>123447</v>
      </c>
      <c r="I3076">
        <v>121541</v>
      </c>
      <c r="J3076">
        <v>1234</v>
      </c>
      <c r="K3076">
        <v>790851</v>
      </c>
      <c r="L3076">
        <v>184517</v>
      </c>
      <c r="M3076">
        <v>-153731</v>
      </c>
      <c r="N3076">
        <v>139563</v>
      </c>
      <c r="O3076" t="s">
        <v>3094</v>
      </c>
      <c r="P3076" s="9">
        <v>188390</v>
      </c>
      <c r="Q3076" s="9">
        <v>8588</v>
      </c>
      <c r="R3076" s="9">
        <v>196978</v>
      </c>
      <c r="S3076" s="9">
        <v>-57350</v>
      </c>
      <c r="T3076" s="10">
        <v>51748</v>
      </c>
      <c r="U3076" s="10">
        <v>768</v>
      </c>
    </row>
    <row r="3077" spans="1:21" x14ac:dyDescent="0.35">
      <c r="A3077" t="s">
        <v>15</v>
      </c>
      <c r="B3077" t="s">
        <v>20</v>
      </c>
      <c r="C3077" t="s">
        <v>21</v>
      </c>
      <c r="D3077">
        <v>271362</v>
      </c>
      <c r="E3077">
        <v>47085</v>
      </c>
      <c r="F3077">
        <v>40724</v>
      </c>
      <c r="G3077">
        <v>-264382</v>
      </c>
      <c r="H3077">
        <v>94789</v>
      </c>
      <c r="I3077">
        <v>85686</v>
      </c>
      <c r="J3077">
        <v>1490</v>
      </c>
      <c r="K3077">
        <v>891377</v>
      </c>
      <c r="L3077">
        <v>135941</v>
      </c>
      <c r="M3077">
        <v>-164415</v>
      </c>
      <c r="N3077">
        <v>150213</v>
      </c>
      <c r="O3077" t="s">
        <v>3095</v>
      </c>
      <c r="P3077" s="9">
        <v>287012</v>
      </c>
      <c r="Q3077" s="9">
        <v>26342</v>
      </c>
      <c r="R3077" s="9">
        <v>313354</v>
      </c>
      <c r="S3077" s="9">
        <v>-154386</v>
      </c>
      <c r="T3077" s="10">
        <v>70678</v>
      </c>
      <c r="U3077" s="10">
        <v>1951</v>
      </c>
    </row>
    <row r="3078" spans="1:21" x14ac:dyDescent="0.35">
      <c r="A3078" t="s">
        <v>15</v>
      </c>
      <c r="B3078" t="s">
        <v>16</v>
      </c>
      <c r="C3078" t="s">
        <v>21</v>
      </c>
      <c r="D3078">
        <v>152660</v>
      </c>
      <c r="E3078">
        <v>26147</v>
      </c>
      <c r="F3078">
        <v>32210</v>
      </c>
      <c r="G3078">
        <v>-152631</v>
      </c>
      <c r="H3078">
        <v>58386</v>
      </c>
      <c r="I3078">
        <v>54383</v>
      </c>
      <c r="J3078">
        <v>908</v>
      </c>
      <c r="K3078">
        <v>554363</v>
      </c>
      <c r="L3078">
        <v>115387</v>
      </c>
      <c r="M3078">
        <v>-76690</v>
      </c>
      <c r="N3078">
        <v>55832</v>
      </c>
      <c r="O3078" t="s">
        <v>3096</v>
      </c>
      <c r="P3078" s="9">
        <v>153103</v>
      </c>
      <c r="Q3078" s="9">
        <v>26568</v>
      </c>
      <c r="R3078" s="9">
        <v>179671</v>
      </c>
      <c r="S3078" s="9">
        <v>-95989</v>
      </c>
      <c r="T3078" s="10">
        <v>75534</v>
      </c>
      <c r="U3078" s="10">
        <v>1956</v>
      </c>
    </row>
    <row r="3079" spans="1:21" x14ac:dyDescent="0.35">
      <c r="A3079" t="s">
        <v>15</v>
      </c>
      <c r="B3079" t="s">
        <v>16</v>
      </c>
      <c r="C3079" t="s">
        <v>17</v>
      </c>
      <c r="D3079">
        <v>298888</v>
      </c>
      <c r="E3079">
        <v>28149</v>
      </c>
      <c r="F3079">
        <v>34772</v>
      </c>
      <c r="G3079">
        <v>-257518</v>
      </c>
      <c r="H3079">
        <v>104291</v>
      </c>
      <c r="I3079">
        <v>100230</v>
      </c>
      <c r="J3079">
        <v>2495</v>
      </c>
      <c r="K3079">
        <v>847582</v>
      </c>
      <c r="L3079">
        <v>167261</v>
      </c>
      <c r="M3079">
        <v>-260552</v>
      </c>
      <c r="N3079">
        <v>129530</v>
      </c>
      <c r="O3079" t="s">
        <v>3097</v>
      </c>
      <c r="P3079" s="9">
        <v>236559</v>
      </c>
      <c r="Q3079" s="9">
        <v>39669</v>
      </c>
      <c r="R3079" s="9">
        <v>276228</v>
      </c>
      <c r="S3079" s="9">
        <v>-73737</v>
      </c>
      <c r="T3079" s="10">
        <v>114764</v>
      </c>
      <c r="U3079" s="10">
        <v>1934</v>
      </c>
    </row>
    <row r="3080" spans="1:21" x14ac:dyDescent="0.35">
      <c r="A3080" t="s">
        <v>15</v>
      </c>
      <c r="B3080" t="s">
        <v>16</v>
      </c>
      <c r="C3080" t="s">
        <v>21</v>
      </c>
      <c r="D3080">
        <v>233353</v>
      </c>
      <c r="E3080">
        <v>30092</v>
      </c>
      <c r="F3080">
        <v>34068</v>
      </c>
      <c r="G3080">
        <v>-200229</v>
      </c>
      <c r="H3080">
        <v>97284</v>
      </c>
      <c r="I3080">
        <v>97401</v>
      </c>
      <c r="J3080">
        <v>1266</v>
      </c>
      <c r="K3080">
        <v>768216</v>
      </c>
      <c r="L3080">
        <v>134554</v>
      </c>
      <c r="M3080">
        <v>-161714</v>
      </c>
      <c r="N3080">
        <v>183019</v>
      </c>
      <c r="O3080" t="s">
        <v>3098</v>
      </c>
      <c r="P3080" s="9">
        <v>142697</v>
      </c>
      <c r="Q3080" s="9">
        <v>29122</v>
      </c>
      <c r="R3080" s="9">
        <v>171819</v>
      </c>
      <c r="S3080" s="9">
        <v>-102696</v>
      </c>
      <c r="T3080" s="10">
        <v>69806</v>
      </c>
      <c r="U3080" s="10">
        <v>1779</v>
      </c>
    </row>
    <row r="3081" spans="1:21" x14ac:dyDescent="0.35">
      <c r="A3081" t="s">
        <v>15</v>
      </c>
      <c r="B3081" t="s">
        <v>16</v>
      </c>
      <c r="C3081" t="s">
        <v>21</v>
      </c>
      <c r="D3081">
        <v>289217</v>
      </c>
      <c r="E3081">
        <v>55651</v>
      </c>
      <c r="F3081">
        <v>37450</v>
      </c>
      <c r="G3081">
        <v>-261133</v>
      </c>
      <c r="H3081">
        <v>121185</v>
      </c>
      <c r="I3081">
        <v>120761</v>
      </c>
      <c r="J3081">
        <v>3494</v>
      </c>
      <c r="K3081">
        <v>694249</v>
      </c>
      <c r="L3081">
        <v>236380</v>
      </c>
      <c r="M3081">
        <v>-78205</v>
      </c>
      <c r="N3081">
        <v>119891</v>
      </c>
      <c r="O3081" t="s">
        <v>3099</v>
      </c>
      <c r="P3081" s="9">
        <v>252124</v>
      </c>
      <c r="Q3081" s="9">
        <v>23771</v>
      </c>
      <c r="R3081" s="9">
        <v>275895</v>
      </c>
      <c r="S3081" s="9">
        <v>-140115</v>
      </c>
      <c r="T3081" s="10">
        <v>104243</v>
      </c>
      <c r="U3081" s="10">
        <v>1118</v>
      </c>
    </row>
    <row r="3082" spans="1:21" x14ac:dyDescent="0.35">
      <c r="A3082" t="s">
        <v>15</v>
      </c>
      <c r="B3082" t="s">
        <v>20</v>
      </c>
      <c r="C3082" t="s">
        <v>21</v>
      </c>
      <c r="D3082">
        <v>178181</v>
      </c>
      <c r="E3082">
        <v>31541</v>
      </c>
      <c r="F3082">
        <v>39883</v>
      </c>
      <c r="G3082">
        <v>-156636</v>
      </c>
      <c r="H3082">
        <v>92969</v>
      </c>
      <c r="I3082">
        <v>88539</v>
      </c>
      <c r="J3082">
        <v>1990</v>
      </c>
      <c r="K3082">
        <v>704696</v>
      </c>
      <c r="L3082">
        <v>99819</v>
      </c>
      <c r="M3082">
        <v>-174488</v>
      </c>
      <c r="N3082">
        <v>126870</v>
      </c>
      <c r="O3082" t="s">
        <v>3100</v>
      </c>
      <c r="P3082" s="9">
        <v>199949</v>
      </c>
      <c r="Q3082" s="9">
        <v>40230</v>
      </c>
      <c r="R3082" s="9">
        <v>240179</v>
      </c>
      <c r="S3082" s="9">
        <v>-81772</v>
      </c>
      <c r="T3082" s="10">
        <v>61720</v>
      </c>
      <c r="U3082" s="10">
        <v>1222</v>
      </c>
    </row>
    <row r="3083" spans="1:21" x14ac:dyDescent="0.35">
      <c r="A3083" t="s">
        <v>15</v>
      </c>
      <c r="B3083" t="s">
        <v>20</v>
      </c>
      <c r="C3083" t="s">
        <v>17</v>
      </c>
      <c r="D3083">
        <v>261449</v>
      </c>
      <c r="E3083">
        <v>34332</v>
      </c>
      <c r="F3083">
        <v>55582</v>
      </c>
      <c r="G3083">
        <v>-222823</v>
      </c>
      <c r="H3083">
        <v>128540</v>
      </c>
      <c r="I3083">
        <v>126167</v>
      </c>
      <c r="J3083">
        <v>3180</v>
      </c>
      <c r="K3083">
        <v>1032358</v>
      </c>
      <c r="L3083">
        <v>206455</v>
      </c>
      <c r="M3083">
        <v>-320904</v>
      </c>
      <c r="N3083">
        <v>104290</v>
      </c>
      <c r="O3083" t="s">
        <v>3101</v>
      </c>
      <c r="P3083" s="9">
        <v>263316</v>
      </c>
      <c r="Q3083" s="9">
        <v>39070</v>
      </c>
      <c r="R3083" s="9">
        <v>302386</v>
      </c>
      <c r="S3083" s="9">
        <v>-169705</v>
      </c>
      <c r="T3083" s="10">
        <v>83123</v>
      </c>
      <c r="U3083" s="10">
        <v>2211</v>
      </c>
    </row>
    <row r="3084" spans="1:21" x14ac:dyDescent="0.35">
      <c r="A3084" t="s">
        <v>15</v>
      </c>
      <c r="B3084" t="s">
        <v>16</v>
      </c>
      <c r="C3084" t="s">
        <v>21</v>
      </c>
      <c r="D3084">
        <v>246745</v>
      </c>
      <c r="E3084">
        <v>47507</v>
      </c>
      <c r="F3084">
        <v>38229</v>
      </c>
      <c r="G3084">
        <v>-223754</v>
      </c>
      <c r="H3084">
        <v>108727</v>
      </c>
      <c r="I3084">
        <v>113124</v>
      </c>
      <c r="J3084">
        <v>2758</v>
      </c>
      <c r="K3084">
        <v>642747</v>
      </c>
      <c r="L3084">
        <v>303350</v>
      </c>
      <c r="M3084">
        <v>-143750</v>
      </c>
      <c r="N3084">
        <v>95912</v>
      </c>
      <c r="O3084" t="s">
        <v>3102</v>
      </c>
      <c r="P3084" s="9">
        <v>291294</v>
      </c>
      <c r="Q3084" s="9">
        <v>16917</v>
      </c>
      <c r="R3084" s="9">
        <v>308211</v>
      </c>
      <c r="S3084" s="9">
        <v>-133313</v>
      </c>
      <c r="T3084" s="10">
        <v>91996</v>
      </c>
      <c r="U3084" s="10">
        <v>1262</v>
      </c>
    </row>
    <row r="3085" spans="1:21" x14ac:dyDescent="0.35">
      <c r="A3085" t="s">
        <v>15</v>
      </c>
      <c r="B3085" t="s">
        <v>20</v>
      </c>
      <c r="C3085" t="s">
        <v>17</v>
      </c>
      <c r="D3085">
        <v>196854</v>
      </c>
      <c r="E3085">
        <v>38833</v>
      </c>
      <c r="F3085">
        <v>26303</v>
      </c>
      <c r="G3085">
        <v>-192678</v>
      </c>
      <c r="H3085">
        <v>69312</v>
      </c>
      <c r="I3085">
        <v>69075</v>
      </c>
      <c r="J3085">
        <v>1957</v>
      </c>
      <c r="K3085">
        <v>476356</v>
      </c>
      <c r="L3085">
        <v>193975</v>
      </c>
      <c r="M3085">
        <v>-168306</v>
      </c>
      <c r="N3085">
        <v>127854</v>
      </c>
      <c r="O3085" t="s">
        <v>3103</v>
      </c>
      <c r="P3085" s="9">
        <v>156689</v>
      </c>
      <c r="Q3085" s="9">
        <v>11104</v>
      </c>
      <c r="R3085" s="9">
        <v>167793</v>
      </c>
      <c r="S3085" s="9">
        <v>-58317</v>
      </c>
      <c r="T3085" s="10">
        <v>58116</v>
      </c>
      <c r="U3085" s="10">
        <v>1536</v>
      </c>
    </row>
    <row r="3086" spans="1:21" x14ac:dyDescent="0.35">
      <c r="A3086" t="s">
        <v>15</v>
      </c>
      <c r="B3086" t="s">
        <v>16</v>
      </c>
      <c r="C3086" t="s">
        <v>17</v>
      </c>
      <c r="D3086">
        <v>267469</v>
      </c>
      <c r="E3086">
        <v>16049</v>
      </c>
      <c r="F3086">
        <v>38744</v>
      </c>
      <c r="G3086">
        <v>-241702</v>
      </c>
      <c r="H3086">
        <v>80560</v>
      </c>
      <c r="I3086">
        <v>73846</v>
      </c>
      <c r="J3086">
        <v>1524</v>
      </c>
      <c r="K3086">
        <v>548389</v>
      </c>
      <c r="L3086">
        <v>65452</v>
      </c>
      <c r="M3086">
        <v>-154614</v>
      </c>
      <c r="N3086">
        <v>229907</v>
      </c>
      <c r="O3086" t="s">
        <v>3104</v>
      </c>
      <c r="P3086" s="9">
        <v>272054</v>
      </c>
      <c r="Q3086" s="9">
        <v>20318</v>
      </c>
      <c r="R3086" s="9">
        <v>292372</v>
      </c>
      <c r="S3086" s="9">
        <v>-76192</v>
      </c>
      <c r="T3086" s="10">
        <v>88175</v>
      </c>
      <c r="U3086" s="10">
        <v>1133</v>
      </c>
    </row>
    <row r="3087" spans="1:21" x14ac:dyDescent="0.35">
      <c r="A3087" t="s">
        <v>15</v>
      </c>
      <c r="B3087" t="s">
        <v>16</v>
      </c>
      <c r="C3087" t="s">
        <v>21</v>
      </c>
      <c r="D3087">
        <v>297324</v>
      </c>
      <c r="E3087">
        <v>55389</v>
      </c>
      <c r="F3087">
        <v>68625</v>
      </c>
      <c r="G3087">
        <v>-289363</v>
      </c>
      <c r="H3087">
        <v>131975</v>
      </c>
      <c r="I3087">
        <v>120400</v>
      </c>
      <c r="J3087">
        <v>2674</v>
      </c>
      <c r="K3087">
        <v>907412</v>
      </c>
      <c r="L3087">
        <v>245858</v>
      </c>
      <c r="M3087">
        <v>-323002</v>
      </c>
      <c r="N3087">
        <v>121690</v>
      </c>
      <c r="O3087" t="s">
        <v>3105</v>
      </c>
      <c r="P3087" s="9">
        <v>186736</v>
      </c>
      <c r="Q3087" s="9">
        <v>29084</v>
      </c>
      <c r="R3087" s="9">
        <v>215820</v>
      </c>
      <c r="S3087" s="9">
        <v>-112595</v>
      </c>
      <c r="T3087" s="10">
        <v>66194</v>
      </c>
      <c r="U3087" s="10">
        <v>1569</v>
      </c>
    </row>
    <row r="3088" spans="1:21" x14ac:dyDescent="0.35">
      <c r="A3088" t="s">
        <v>15</v>
      </c>
      <c r="B3088" t="s">
        <v>20</v>
      </c>
      <c r="C3088" t="s">
        <v>21</v>
      </c>
      <c r="D3088">
        <v>297926</v>
      </c>
      <c r="E3088">
        <v>41424</v>
      </c>
      <c r="F3088">
        <v>52409</v>
      </c>
      <c r="G3088">
        <v>-254544</v>
      </c>
      <c r="H3088">
        <v>137215</v>
      </c>
      <c r="I3088">
        <v>135639</v>
      </c>
      <c r="J3088">
        <v>1556</v>
      </c>
      <c r="K3088">
        <v>986641</v>
      </c>
      <c r="L3088">
        <v>330832</v>
      </c>
      <c r="M3088">
        <v>-297688</v>
      </c>
      <c r="N3088">
        <v>199514</v>
      </c>
      <c r="O3088" t="s">
        <v>3106</v>
      </c>
      <c r="P3088" s="9">
        <v>173750</v>
      </c>
      <c r="Q3088" s="9">
        <v>36728</v>
      </c>
      <c r="R3088" s="9">
        <v>210478</v>
      </c>
      <c r="S3088" s="9">
        <v>-90511</v>
      </c>
      <c r="T3088" s="10">
        <v>90580</v>
      </c>
      <c r="U3088" s="10">
        <v>989</v>
      </c>
    </row>
    <row r="3089" spans="1:21" x14ac:dyDescent="0.35">
      <c r="A3089" t="s">
        <v>15</v>
      </c>
      <c r="B3089" t="s">
        <v>20</v>
      </c>
      <c r="C3089" t="s">
        <v>21</v>
      </c>
      <c r="D3089">
        <v>246997</v>
      </c>
      <c r="E3089">
        <v>20514</v>
      </c>
      <c r="F3089">
        <v>38191</v>
      </c>
      <c r="G3089">
        <v>-215875</v>
      </c>
      <c r="H3089">
        <v>89827</v>
      </c>
      <c r="I3089">
        <v>82606</v>
      </c>
      <c r="J3089">
        <v>1252</v>
      </c>
      <c r="K3089">
        <v>689201</v>
      </c>
      <c r="L3089">
        <v>129572</v>
      </c>
      <c r="M3089">
        <v>-99973</v>
      </c>
      <c r="N3089">
        <v>218752</v>
      </c>
      <c r="O3089" t="s">
        <v>3107</v>
      </c>
      <c r="P3089" s="9">
        <v>230315</v>
      </c>
      <c r="Q3089" s="9">
        <v>31120</v>
      </c>
      <c r="R3089" s="9">
        <v>261435</v>
      </c>
      <c r="S3089" s="9">
        <v>-67604</v>
      </c>
      <c r="T3089" s="10">
        <v>116434</v>
      </c>
      <c r="U3089" s="10">
        <v>2272</v>
      </c>
    </row>
    <row r="3090" spans="1:21" x14ac:dyDescent="0.35">
      <c r="A3090" t="s">
        <v>15</v>
      </c>
      <c r="B3090" t="s">
        <v>16</v>
      </c>
      <c r="C3090" t="s">
        <v>21</v>
      </c>
      <c r="D3090">
        <v>170904</v>
      </c>
      <c r="E3090">
        <v>29999</v>
      </c>
      <c r="F3090">
        <v>24242</v>
      </c>
      <c r="G3090">
        <v>-150606</v>
      </c>
      <c r="H3090">
        <v>74539</v>
      </c>
      <c r="I3090">
        <v>70724</v>
      </c>
      <c r="J3090">
        <v>2023</v>
      </c>
      <c r="K3090">
        <v>475314</v>
      </c>
      <c r="L3090">
        <v>187553</v>
      </c>
      <c r="M3090">
        <v>-132464</v>
      </c>
      <c r="N3090">
        <v>127171</v>
      </c>
      <c r="O3090" t="s">
        <v>3108</v>
      </c>
      <c r="P3090" s="9">
        <v>152696</v>
      </c>
      <c r="Q3090" s="9">
        <v>29065</v>
      </c>
      <c r="R3090" s="9">
        <v>181761</v>
      </c>
      <c r="S3090" s="9">
        <v>-103322</v>
      </c>
      <c r="T3090" s="10">
        <v>60069</v>
      </c>
      <c r="U3090" s="10">
        <v>927</v>
      </c>
    </row>
    <row r="3091" spans="1:21" x14ac:dyDescent="0.35">
      <c r="A3091" t="s">
        <v>15</v>
      </c>
      <c r="B3091" t="s">
        <v>20</v>
      </c>
      <c r="C3091" t="s">
        <v>21</v>
      </c>
      <c r="D3091">
        <v>209090</v>
      </c>
      <c r="E3091">
        <v>39731</v>
      </c>
      <c r="F3091">
        <v>36329</v>
      </c>
      <c r="G3091">
        <v>-181474</v>
      </c>
      <c r="H3091">
        <v>103676</v>
      </c>
      <c r="I3091">
        <v>104170</v>
      </c>
      <c r="J3091">
        <v>1164</v>
      </c>
      <c r="K3091">
        <v>561264</v>
      </c>
      <c r="L3091">
        <v>105076</v>
      </c>
      <c r="M3091">
        <v>-188195</v>
      </c>
      <c r="N3091">
        <v>134291</v>
      </c>
      <c r="O3091" t="s">
        <v>3109</v>
      </c>
      <c r="P3091" s="9">
        <v>198946</v>
      </c>
      <c r="Q3091" s="9">
        <v>12403</v>
      </c>
      <c r="R3091" s="9">
        <v>211349</v>
      </c>
      <c r="S3091" s="9">
        <v>-70582</v>
      </c>
      <c r="T3091" s="10">
        <v>66853</v>
      </c>
      <c r="U3091" s="10">
        <v>1990</v>
      </c>
    </row>
    <row r="3092" spans="1:21" x14ac:dyDescent="0.35">
      <c r="A3092" t="s">
        <v>15</v>
      </c>
      <c r="B3092" t="s">
        <v>16</v>
      </c>
      <c r="C3092" t="s">
        <v>21</v>
      </c>
      <c r="D3092">
        <v>202981</v>
      </c>
      <c r="E3092">
        <v>22697</v>
      </c>
      <c r="F3092">
        <v>31330</v>
      </c>
      <c r="G3092">
        <v>-181613</v>
      </c>
      <c r="H3092">
        <v>75395</v>
      </c>
      <c r="I3092">
        <v>78411</v>
      </c>
      <c r="J3092">
        <v>1809</v>
      </c>
      <c r="K3092">
        <v>666990</v>
      </c>
      <c r="L3092">
        <v>110278</v>
      </c>
      <c r="M3092">
        <v>-111522</v>
      </c>
      <c r="N3092">
        <v>74155</v>
      </c>
      <c r="O3092" t="s">
        <v>3110</v>
      </c>
      <c r="P3092" s="9">
        <v>258039</v>
      </c>
      <c r="Q3092" s="9">
        <v>21526</v>
      </c>
      <c r="R3092" s="9">
        <v>279565</v>
      </c>
      <c r="S3092" s="9">
        <v>-143431</v>
      </c>
      <c r="T3092" s="10">
        <v>92279</v>
      </c>
      <c r="U3092" s="10">
        <v>2425</v>
      </c>
    </row>
    <row r="3093" spans="1:21" x14ac:dyDescent="0.35">
      <c r="A3093" t="s">
        <v>15</v>
      </c>
      <c r="B3093" t="s">
        <v>20</v>
      </c>
      <c r="C3093" t="s">
        <v>21</v>
      </c>
      <c r="D3093">
        <v>183957</v>
      </c>
      <c r="E3093">
        <v>23431</v>
      </c>
      <c r="F3093">
        <v>36188</v>
      </c>
      <c r="G3093">
        <v>-147528</v>
      </c>
      <c r="H3093">
        <v>96048</v>
      </c>
      <c r="I3093">
        <v>91960</v>
      </c>
      <c r="J3093">
        <v>2278</v>
      </c>
      <c r="K3093">
        <v>551515</v>
      </c>
      <c r="L3093">
        <v>256929</v>
      </c>
      <c r="M3093">
        <v>-92689</v>
      </c>
      <c r="N3093">
        <v>70132</v>
      </c>
      <c r="O3093" t="s">
        <v>3111</v>
      </c>
      <c r="P3093" s="9">
        <v>203645</v>
      </c>
      <c r="Q3093" s="9">
        <v>13568</v>
      </c>
      <c r="R3093" s="9">
        <v>217213</v>
      </c>
      <c r="S3093" s="9">
        <v>-123759</v>
      </c>
      <c r="T3093" s="10">
        <v>96404</v>
      </c>
      <c r="U3093" s="10">
        <v>2823</v>
      </c>
    </row>
    <row r="3094" spans="1:21" x14ac:dyDescent="0.35">
      <c r="A3094" t="s">
        <v>15</v>
      </c>
      <c r="B3094" t="s">
        <v>16</v>
      </c>
      <c r="C3094" t="s">
        <v>21</v>
      </c>
      <c r="D3094">
        <v>163750</v>
      </c>
      <c r="E3094">
        <v>29917</v>
      </c>
      <c r="F3094">
        <v>35457</v>
      </c>
      <c r="G3094">
        <v>-145262</v>
      </c>
      <c r="H3094">
        <v>83862</v>
      </c>
      <c r="I3094">
        <v>77489</v>
      </c>
      <c r="J3094">
        <v>1590</v>
      </c>
      <c r="K3094">
        <v>565224</v>
      </c>
      <c r="L3094">
        <v>218395</v>
      </c>
      <c r="M3094">
        <v>-190639</v>
      </c>
      <c r="N3094">
        <v>142299</v>
      </c>
      <c r="O3094" t="s">
        <v>3112</v>
      </c>
      <c r="P3094" s="9">
        <v>272775</v>
      </c>
      <c r="Q3094" s="9">
        <v>34825</v>
      </c>
      <c r="R3094" s="9">
        <v>307600</v>
      </c>
      <c r="S3094" s="9">
        <v>-142572</v>
      </c>
      <c r="T3094" s="10">
        <v>133760</v>
      </c>
      <c r="U3094" s="10">
        <v>3483</v>
      </c>
    </row>
    <row r="3095" spans="1:21" x14ac:dyDescent="0.35">
      <c r="A3095" t="s">
        <v>15</v>
      </c>
      <c r="B3095" t="s">
        <v>16</v>
      </c>
      <c r="C3095" t="s">
        <v>17</v>
      </c>
      <c r="D3095">
        <v>286930</v>
      </c>
      <c r="E3095">
        <v>38545</v>
      </c>
      <c r="F3095">
        <v>71363</v>
      </c>
      <c r="G3095">
        <v>-234415</v>
      </c>
      <c r="H3095">
        <v>162423</v>
      </c>
      <c r="I3095">
        <v>158999</v>
      </c>
      <c r="J3095">
        <v>2227</v>
      </c>
      <c r="K3095">
        <v>613614</v>
      </c>
      <c r="L3095">
        <v>287312</v>
      </c>
      <c r="M3095">
        <v>-107433</v>
      </c>
      <c r="N3095">
        <v>206330</v>
      </c>
      <c r="O3095" t="s">
        <v>3113</v>
      </c>
      <c r="P3095" s="9">
        <v>255043</v>
      </c>
      <c r="Q3095" s="9">
        <v>11912</v>
      </c>
      <c r="R3095" s="9">
        <v>266955</v>
      </c>
      <c r="S3095" s="9">
        <v>-77752</v>
      </c>
      <c r="T3095" s="10">
        <v>35244</v>
      </c>
      <c r="U3095" s="10">
        <v>431</v>
      </c>
    </row>
    <row r="3096" spans="1:21" x14ac:dyDescent="0.35">
      <c r="A3096" t="s">
        <v>15</v>
      </c>
      <c r="B3096" t="s">
        <v>16</v>
      </c>
      <c r="C3096" t="s">
        <v>21</v>
      </c>
      <c r="D3096">
        <v>181943</v>
      </c>
      <c r="E3096">
        <v>9586</v>
      </c>
      <c r="F3096">
        <v>39573</v>
      </c>
      <c r="G3096">
        <v>-171816</v>
      </c>
      <c r="H3096">
        <v>59286</v>
      </c>
      <c r="I3096">
        <v>54800</v>
      </c>
      <c r="J3096">
        <v>1577</v>
      </c>
      <c r="K3096">
        <v>454922</v>
      </c>
      <c r="L3096">
        <v>110757</v>
      </c>
      <c r="M3096">
        <v>-176748</v>
      </c>
      <c r="N3096">
        <v>63669</v>
      </c>
      <c r="O3096" t="s">
        <v>3114</v>
      </c>
      <c r="P3096" s="9">
        <v>258904</v>
      </c>
      <c r="Q3096" s="9">
        <v>44101</v>
      </c>
      <c r="R3096" s="9">
        <v>303005</v>
      </c>
      <c r="S3096" s="9">
        <v>-179837</v>
      </c>
      <c r="T3096" s="10">
        <v>122498</v>
      </c>
      <c r="U3096" s="10">
        <v>2770</v>
      </c>
    </row>
    <row r="3097" spans="1:21" x14ac:dyDescent="0.35">
      <c r="A3097" t="s">
        <v>15</v>
      </c>
      <c r="B3097" t="s">
        <v>16</v>
      </c>
      <c r="C3097" t="s">
        <v>17</v>
      </c>
      <c r="D3097">
        <v>247623</v>
      </c>
      <c r="E3097">
        <v>30790</v>
      </c>
      <c r="F3097">
        <v>26578</v>
      </c>
      <c r="G3097">
        <v>-242856</v>
      </c>
      <c r="H3097">
        <v>62135</v>
      </c>
      <c r="I3097">
        <v>57126</v>
      </c>
      <c r="J3097">
        <v>1213</v>
      </c>
      <c r="K3097">
        <v>619186</v>
      </c>
      <c r="L3097">
        <v>249404</v>
      </c>
      <c r="M3097">
        <v>-68306</v>
      </c>
      <c r="N3097">
        <v>93624</v>
      </c>
      <c r="O3097" t="s">
        <v>3115</v>
      </c>
      <c r="P3097" s="9">
        <v>284194</v>
      </c>
      <c r="Q3097" s="9">
        <v>31795</v>
      </c>
      <c r="R3097" s="9">
        <v>315989</v>
      </c>
      <c r="S3097" s="9">
        <v>-96433</v>
      </c>
      <c r="T3097" s="10">
        <v>96368</v>
      </c>
      <c r="U3097" s="10">
        <v>2515</v>
      </c>
    </row>
    <row r="3098" spans="1:21" x14ac:dyDescent="0.35">
      <c r="A3098" t="s">
        <v>15</v>
      </c>
      <c r="B3098" t="s">
        <v>20</v>
      </c>
      <c r="C3098" t="s">
        <v>17</v>
      </c>
      <c r="D3098">
        <v>286523</v>
      </c>
      <c r="E3098">
        <v>47625</v>
      </c>
      <c r="F3098">
        <v>63782</v>
      </c>
      <c r="G3098">
        <v>-269564</v>
      </c>
      <c r="H3098">
        <v>128366</v>
      </c>
      <c r="I3098">
        <v>130682</v>
      </c>
      <c r="J3098">
        <v>2903</v>
      </c>
      <c r="K3098">
        <v>1014616</v>
      </c>
      <c r="L3098">
        <v>297765</v>
      </c>
      <c r="M3098">
        <v>-340875</v>
      </c>
      <c r="N3098">
        <v>209958</v>
      </c>
      <c r="O3098" t="s">
        <v>3116</v>
      </c>
      <c r="P3098" s="9">
        <v>257546</v>
      </c>
      <c r="Q3098" s="9">
        <v>34057</v>
      </c>
      <c r="R3098" s="9">
        <v>291603</v>
      </c>
      <c r="S3098" s="9">
        <v>-157951</v>
      </c>
      <c r="T3098" s="10">
        <v>111286</v>
      </c>
      <c r="U3098" s="10">
        <v>1223</v>
      </c>
    </row>
    <row r="3099" spans="1:21" x14ac:dyDescent="0.35">
      <c r="A3099" t="s">
        <v>15</v>
      </c>
      <c r="B3099" t="s">
        <v>20</v>
      </c>
      <c r="C3099" t="s">
        <v>17</v>
      </c>
      <c r="D3099">
        <v>186903</v>
      </c>
      <c r="E3099">
        <v>32717</v>
      </c>
      <c r="F3099">
        <v>39571</v>
      </c>
      <c r="G3099">
        <v>-184675</v>
      </c>
      <c r="H3099">
        <v>74516</v>
      </c>
      <c r="I3099">
        <v>67307</v>
      </c>
      <c r="J3099">
        <v>1854</v>
      </c>
      <c r="K3099">
        <v>727561</v>
      </c>
      <c r="L3099">
        <v>316873</v>
      </c>
      <c r="M3099">
        <v>-234017</v>
      </c>
      <c r="N3099">
        <v>140016</v>
      </c>
      <c r="O3099" t="s">
        <v>3117</v>
      </c>
      <c r="P3099" s="9">
        <v>190006</v>
      </c>
      <c r="Q3099" s="9">
        <v>41894</v>
      </c>
      <c r="R3099" s="9">
        <v>231900</v>
      </c>
      <c r="S3099" s="9">
        <v>-75195</v>
      </c>
      <c r="T3099" s="10">
        <v>57291</v>
      </c>
      <c r="U3099" s="10">
        <v>1292</v>
      </c>
    </row>
    <row r="3100" spans="1:21" x14ac:dyDescent="0.35">
      <c r="A3100" t="s">
        <v>15</v>
      </c>
      <c r="B3100" t="s">
        <v>16</v>
      </c>
      <c r="C3100" t="s">
        <v>21</v>
      </c>
      <c r="D3100">
        <v>295590</v>
      </c>
      <c r="E3100">
        <v>55367</v>
      </c>
      <c r="F3100">
        <v>48708</v>
      </c>
      <c r="G3100">
        <v>-238970</v>
      </c>
      <c r="H3100">
        <v>160695</v>
      </c>
      <c r="I3100">
        <v>166575</v>
      </c>
      <c r="J3100">
        <v>1853</v>
      </c>
      <c r="K3100">
        <v>1116023</v>
      </c>
      <c r="L3100">
        <v>341397</v>
      </c>
      <c r="M3100">
        <v>-132772</v>
      </c>
      <c r="N3100">
        <v>223382</v>
      </c>
      <c r="O3100" t="s">
        <v>3118</v>
      </c>
      <c r="P3100" s="9">
        <v>200868</v>
      </c>
      <c r="Q3100" s="9">
        <v>29223</v>
      </c>
      <c r="R3100" s="9">
        <v>230091</v>
      </c>
      <c r="S3100" s="9">
        <v>-93557</v>
      </c>
      <c r="T3100" s="10">
        <v>63886</v>
      </c>
      <c r="U3100" s="10">
        <v>1710</v>
      </c>
    </row>
    <row r="3101" spans="1:21" x14ac:dyDescent="0.35">
      <c r="A3101" t="s">
        <v>15</v>
      </c>
      <c r="B3101" t="s">
        <v>16</v>
      </c>
      <c r="C3101" t="s">
        <v>21</v>
      </c>
      <c r="D3101">
        <v>262665</v>
      </c>
      <c r="E3101">
        <v>51362</v>
      </c>
      <c r="F3101">
        <v>29108</v>
      </c>
      <c r="G3101">
        <v>-221153</v>
      </c>
      <c r="H3101">
        <v>121982</v>
      </c>
      <c r="I3101">
        <v>117970</v>
      </c>
      <c r="J3101">
        <v>2186</v>
      </c>
      <c r="K3101">
        <v>1017494</v>
      </c>
      <c r="L3101">
        <v>261980</v>
      </c>
      <c r="M3101">
        <v>-304918</v>
      </c>
      <c r="N3101">
        <v>148977</v>
      </c>
      <c r="O3101" t="s">
        <v>3119</v>
      </c>
      <c r="P3101" s="9">
        <v>202551</v>
      </c>
      <c r="Q3101" s="9">
        <v>20895</v>
      </c>
      <c r="R3101" s="9">
        <v>223446</v>
      </c>
      <c r="S3101" s="9">
        <v>-79998</v>
      </c>
      <c r="T3101" s="10">
        <v>95412</v>
      </c>
      <c r="U3101" s="10">
        <v>2590</v>
      </c>
    </row>
    <row r="3102" spans="1:21" x14ac:dyDescent="0.35">
      <c r="A3102" t="s">
        <v>15</v>
      </c>
      <c r="B3102" t="s">
        <v>16</v>
      </c>
      <c r="C3102" t="s">
        <v>17</v>
      </c>
      <c r="D3102">
        <v>206871</v>
      </c>
      <c r="E3102">
        <v>37473</v>
      </c>
      <c r="F3102">
        <v>39606</v>
      </c>
      <c r="G3102">
        <v>-186448</v>
      </c>
      <c r="H3102">
        <v>97502</v>
      </c>
      <c r="I3102">
        <v>97877</v>
      </c>
      <c r="J3102">
        <v>2304</v>
      </c>
      <c r="K3102">
        <v>729086</v>
      </c>
      <c r="L3102">
        <v>101942</v>
      </c>
      <c r="M3102">
        <v>-104217</v>
      </c>
      <c r="N3102">
        <v>119854</v>
      </c>
      <c r="O3102" t="s">
        <v>3120</v>
      </c>
      <c r="P3102" s="9">
        <v>170774</v>
      </c>
      <c r="Q3102" s="9">
        <v>33238</v>
      </c>
      <c r="R3102" s="9">
        <v>204012</v>
      </c>
      <c r="S3102" s="9">
        <v>-116101</v>
      </c>
      <c r="T3102" s="10">
        <v>85836</v>
      </c>
      <c r="U3102" s="10">
        <v>1765</v>
      </c>
    </row>
    <row r="3103" spans="1:21" x14ac:dyDescent="0.35">
      <c r="A3103" t="s">
        <v>15</v>
      </c>
      <c r="B3103" t="s">
        <v>16</v>
      </c>
      <c r="C3103" t="s">
        <v>17</v>
      </c>
      <c r="D3103">
        <v>230478</v>
      </c>
      <c r="E3103">
        <v>43307</v>
      </c>
      <c r="F3103">
        <v>55350</v>
      </c>
      <c r="G3103">
        <v>-186082</v>
      </c>
      <c r="H3103">
        <v>143053</v>
      </c>
      <c r="I3103">
        <v>133965</v>
      </c>
      <c r="J3103">
        <v>1378</v>
      </c>
      <c r="K3103">
        <v>702109</v>
      </c>
      <c r="L3103">
        <v>257142</v>
      </c>
      <c r="M3103">
        <v>-198485</v>
      </c>
      <c r="N3103">
        <v>167885</v>
      </c>
      <c r="O3103" t="s">
        <v>3121</v>
      </c>
      <c r="P3103" s="9">
        <v>170449</v>
      </c>
      <c r="Q3103" s="9">
        <v>18009</v>
      </c>
      <c r="R3103" s="9">
        <v>188458</v>
      </c>
      <c r="S3103" s="9">
        <v>-89678</v>
      </c>
      <c r="T3103" s="10">
        <v>59378</v>
      </c>
      <c r="U3103" s="10">
        <v>1278</v>
      </c>
    </row>
    <row r="3104" spans="1:21" x14ac:dyDescent="0.35">
      <c r="A3104" t="s">
        <v>15</v>
      </c>
      <c r="B3104" t="s">
        <v>20</v>
      </c>
      <c r="C3104" t="s">
        <v>21</v>
      </c>
      <c r="D3104">
        <v>180997</v>
      </c>
      <c r="E3104">
        <v>16763</v>
      </c>
      <c r="F3104">
        <v>33520</v>
      </c>
      <c r="G3104">
        <v>-170299</v>
      </c>
      <c r="H3104">
        <v>60981</v>
      </c>
      <c r="I3104">
        <v>56945</v>
      </c>
      <c r="J3104">
        <v>1044</v>
      </c>
      <c r="K3104">
        <v>486383</v>
      </c>
      <c r="L3104">
        <v>50491</v>
      </c>
      <c r="M3104">
        <v>-127607</v>
      </c>
      <c r="N3104">
        <v>123586</v>
      </c>
      <c r="O3104" t="s">
        <v>3122</v>
      </c>
      <c r="P3104" s="9">
        <v>212023</v>
      </c>
      <c r="Q3104" s="9">
        <v>14118</v>
      </c>
      <c r="R3104" s="9">
        <v>226141</v>
      </c>
      <c r="S3104" s="9">
        <v>-49590</v>
      </c>
      <c r="T3104" s="10">
        <v>48804</v>
      </c>
      <c r="U3104" s="10">
        <v>883</v>
      </c>
    </row>
    <row r="3105" spans="1:21" x14ac:dyDescent="0.35">
      <c r="A3105" t="s">
        <v>15</v>
      </c>
      <c r="B3105" t="s">
        <v>20</v>
      </c>
      <c r="C3105" t="s">
        <v>21</v>
      </c>
      <c r="D3105">
        <v>236360</v>
      </c>
      <c r="E3105">
        <v>31091</v>
      </c>
      <c r="F3105">
        <v>39313</v>
      </c>
      <c r="G3105">
        <v>-224919</v>
      </c>
      <c r="H3105">
        <v>81845</v>
      </c>
      <c r="I3105">
        <v>77662</v>
      </c>
      <c r="J3105">
        <v>2012</v>
      </c>
      <c r="K3105">
        <v>835328</v>
      </c>
      <c r="L3105">
        <v>258596</v>
      </c>
      <c r="M3105">
        <v>-192060</v>
      </c>
      <c r="N3105">
        <v>109547</v>
      </c>
      <c r="O3105" t="s">
        <v>3123</v>
      </c>
      <c r="P3105" s="9">
        <v>217425</v>
      </c>
      <c r="Q3105" s="9">
        <v>37751</v>
      </c>
      <c r="R3105" s="9">
        <v>255176</v>
      </c>
      <c r="S3105" s="9">
        <v>-69368</v>
      </c>
      <c r="T3105" s="10">
        <v>120606</v>
      </c>
      <c r="U3105" s="10">
        <v>3126</v>
      </c>
    </row>
    <row r="3106" spans="1:21" x14ac:dyDescent="0.35">
      <c r="A3106" t="s">
        <v>15</v>
      </c>
      <c r="B3106" t="s">
        <v>20</v>
      </c>
      <c r="C3106" t="s">
        <v>17</v>
      </c>
      <c r="D3106">
        <v>227286</v>
      </c>
      <c r="E3106">
        <v>23737</v>
      </c>
      <c r="F3106">
        <v>23804</v>
      </c>
      <c r="G3106">
        <v>-196995</v>
      </c>
      <c r="H3106">
        <v>77832</v>
      </c>
      <c r="I3106">
        <v>80266</v>
      </c>
      <c r="J3106">
        <v>1926</v>
      </c>
      <c r="K3106">
        <v>663045</v>
      </c>
      <c r="L3106">
        <v>328662</v>
      </c>
      <c r="M3106">
        <v>-90645</v>
      </c>
      <c r="N3106">
        <v>167633</v>
      </c>
      <c r="O3106" t="s">
        <v>3124</v>
      </c>
      <c r="P3106" s="9">
        <v>255598</v>
      </c>
      <c r="Q3106" s="9">
        <v>26589</v>
      </c>
      <c r="R3106" s="9">
        <v>282187</v>
      </c>
      <c r="S3106" s="9">
        <v>-155587</v>
      </c>
      <c r="T3106" s="10">
        <v>89266</v>
      </c>
      <c r="U3106" s="10">
        <v>2193</v>
      </c>
    </row>
    <row r="3107" spans="1:21" x14ac:dyDescent="0.35">
      <c r="A3107" t="s">
        <v>15</v>
      </c>
      <c r="B3107" t="s">
        <v>16</v>
      </c>
      <c r="C3107" t="s">
        <v>17</v>
      </c>
      <c r="D3107">
        <v>213545</v>
      </c>
      <c r="E3107">
        <v>30543</v>
      </c>
      <c r="F3107">
        <v>37557</v>
      </c>
      <c r="G3107">
        <v>-192089</v>
      </c>
      <c r="H3107">
        <v>89556</v>
      </c>
      <c r="I3107">
        <v>86893</v>
      </c>
      <c r="J3107">
        <v>2214</v>
      </c>
      <c r="K3107">
        <v>477807</v>
      </c>
      <c r="L3107">
        <v>161804</v>
      </c>
      <c r="M3107">
        <v>-137395</v>
      </c>
      <c r="N3107">
        <v>67613</v>
      </c>
      <c r="O3107" t="s">
        <v>3125</v>
      </c>
      <c r="P3107" s="9">
        <v>145935</v>
      </c>
      <c r="Q3107" s="9">
        <v>23903</v>
      </c>
      <c r="R3107" s="9">
        <v>169838</v>
      </c>
      <c r="S3107" s="9">
        <v>-89449</v>
      </c>
      <c r="T3107" s="10">
        <v>67925</v>
      </c>
      <c r="U3107" s="10">
        <v>1417</v>
      </c>
    </row>
    <row r="3108" spans="1:21" x14ac:dyDescent="0.35">
      <c r="A3108" t="s">
        <v>15</v>
      </c>
      <c r="B3108" t="s">
        <v>20</v>
      </c>
      <c r="C3108" t="s">
        <v>21</v>
      </c>
      <c r="D3108">
        <v>193646</v>
      </c>
      <c r="E3108">
        <v>23528</v>
      </c>
      <c r="F3108">
        <v>35510</v>
      </c>
      <c r="G3108">
        <v>-172389</v>
      </c>
      <c r="H3108">
        <v>80295</v>
      </c>
      <c r="I3108">
        <v>74999</v>
      </c>
      <c r="J3108">
        <v>1931</v>
      </c>
      <c r="K3108">
        <v>750603</v>
      </c>
      <c r="L3108">
        <v>277240</v>
      </c>
      <c r="M3108">
        <v>-96862</v>
      </c>
      <c r="N3108">
        <v>120654</v>
      </c>
      <c r="O3108" t="s">
        <v>3126</v>
      </c>
      <c r="P3108" s="9">
        <v>148489</v>
      </c>
      <c r="Q3108" s="9">
        <v>16651</v>
      </c>
      <c r="R3108" s="9">
        <v>165140</v>
      </c>
      <c r="S3108" s="9">
        <v>-35750</v>
      </c>
      <c r="T3108" s="10">
        <v>55429</v>
      </c>
      <c r="U3108" s="10">
        <v>863</v>
      </c>
    </row>
    <row r="3109" spans="1:21" x14ac:dyDescent="0.35">
      <c r="A3109" t="s">
        <v>15</v>
      </c>
      <c r="B3109" t="s">
        <v>16</v>
      </c>
      <c r="C3109" t="s">
        <v>17</v>
      </c>
      <c r="D3109">
        <v>203318</v>
      </c>
      <c r="E3109">
        <v>22462</v>
      </c>
      <c r="F3109">
        <v>38313</v>
      </c>
      <c r="G3109">
        <v>-165220</v>
      </c>
      <c r="H3109">
        <v>98873</v>
      </c>
      <c r="I3109">
        <v>101244</v>
      </c>
      <c r="J3109">
        <v>1883</v>
      </c>
      <c r="K3109">
        <v>407660</v>
      </c>
      <c r="L3109">
        <v>57421</v>
      </c>
      <c r="M3109">
        <v>-64893</v>
      </c>
      <c r="N3109">
        <v>71744</v>
      </c>
      <c r="O3109" t="s">
        <v>3127</v>
      </c>
      <c r="P3109" s="9">
        <v>264325</v>
      </c>
      <c r="Q3109" s="9">
        <v>34600</v>
      </c>
      <c r="R3109" s="9">
        <v>298925</v>
      </c>
      <c r="S3109" s="9">
        <v>-73766</v>
      </c>
      <c r="T3109" s="10">
        <v>102447</v>
      </c>
      <c r="U3109" s="10">
        <v>1297</v>
      </c>
    </row>
    <row r="3110" spans="1:21" x14ac:dyDescent="0.35">
      <c r="A3110" t="s">
        <v>15</v>
      </c>
      <c r="B3110" t="s">
        <v>20</v>
      </c>
      <c r="C3110" t="s">
        <v>21</v>
      </c>
      <c r="D3110">
        <v>167925</v>
      </c>
      <c r="E3110">
        <v>19815</v>
      </c>
      <c r="F3110">
        <v>17963</v>
      </c>
      <c r="G3110">
        <v>-135921</v>
      </c>
      <c r="H3110">
        <v>69782</v>
      </c>
      <c r="I3110">
        <v>62851</v>
      </c>
      <c r="J3110">
        <v>1854</v>
      </c>
      <c r="K3110">
        <v>490646</v>
      </c>
      <c r="L3110">
        <v>134561</v>
      </c>
      <c r="M3110">
        <v>-106816</v>
      </c>
      <c r="N3110">
        <v>60884</v>
      </c>
      <c r="O3110" t="s">
        <v>3128</v>
      </c>
      <c r="P3110" s="9">
        <v>228523</v>
      </c>
      <c r="Q3110" s="9">
        <v>15446</v>
      </c>
      <c r="R3110" s="9">
        <v>243969</v>
      </c>
      <c r="S3110" s="9">
        <v>-82251</v>
      </c>
      <c r="T3110" s="10">
        <v>112798</v>
      </c>
      <c r="U3110" s="10">
        <v>2950</v>
      </c>
    </row>
    <row r="3111" spans="1:21" x14ac:dyDescent="0.35">
      <c r="A3111" t="s">
        <v>15</v>
      </c>
      <c r="B3111" t="s">
        <v>16</v>
      </c>
      <c r="C3111" t="s">
        <v>17</v>
      </c>
      <c r="D3111">
        <v>283428</v>
      </c>
      <c r="E3111">
        <v>55148</v>
      </c>
      <c r="F3111">
        <v>30718</v>
      </c>
      <c r="G3111">
        <v>-227920</v>
      </c>
      <c r="H3111">
        <v>141374</v>
      </c>
      <c r="I3111">
        <v>136898</v>
      </c>
      <c r="J3111">
        <v>1373</v>
      </c>
      <c r="K3111">
        <v>1056833</v>
      </c>
      <c r="L3111">
        <v>328395</v>
      </c>
      <c r="M3111">
        <v>-230327</v>
      </c>
      <c r="N3111">
        <v>217413</v>
      </c>
      <c r="O3111" t="s">
        <v>3129</v>
      </c>
      <c r="P3111" s="9">
        <v>246004</v>
      </c>
      <c r="Q3111" s="9">
        <v>15990</v>
      </c>
      <c r="R3111" s="9">
        <v>261994</v>
      </c>
      <c r="S3111" s="9">
        <v>-154247</v>
      </c>
      <c r="T3111" s="10">
        <v>85833</v>
      </c>
      <c r="U3111" s="10">
        <v>1308</v>
      </c>
    </row>
    <row r="3112" spans="1:21" x14ac:dyDescent="0.35">
      <c r="A3112" t="s">
        <v>15</v>
      </c>
      <c r="B3112" t="s">
        <v>20</v>
      </c>
      <c r="C3112" t="s">
        <v>21</v>
      </c>
      <c r="D3112">
        <v>159087</v>
      </c>
      <c r="E3112">
        <v>18725</v>
      </c>
      <c r="F3112">
        <v>33721</v>
      </c>
      <c r="G3112">
        <v>-150591</v>
      </c>
      <c r="H3112">
        <v>60942</v>
      </c>
      <c r="I3112">
        <v>63724</v>
      </c>
      <c r="J3112">
        <v>1242</v>
      </c>
      <c r="K3112">
        <v>341813</v>
      </c>
      <c r="L3112">
        <v>125550</v>
      </c>
      <c r="M3112">
        <v>-124433</v>
      </c>
      <c r="N3112">
        <v>112440</v>
      </c>
      <c r="O3112" t="s">
        <v>3130</v>
      </c>
      <c r="P3112" s="9">
        <v>238210</v>
      </c>
      <c r="Q3112" s="9">
        <v>36026</v>
      </c>
      <c r="R3112" s="9">
        <v>274236</v>
      </c>
      <c r="S3112" s="9">
        <v>-82702</v>
      </c>
      <c r="T3112" s="10">
        <v>89716</v>
      </c>
      <c r="U3112" s="10">
        <v>1900</v>
      </c>
    </row>
    <row r="3113" spans="1:21" x14ac:dyDescent="0.35">
      <c r="A3113" t="s">
        <v>15</v>
      </c>
      <c r="B3113" t="s">
        <v>20</v>
      </c>
      <c r="C3113" t="s">
        <v>21</v>
      </c>
      <c r="D3113">
        <v>268755</v>
      </c>
      <c r="E3113">
        <v>26143</v>
      </c>
      <c r="F3113">
        <v>60887</v>
      </c>
      <c r="G3113">
        <v>-230302</v>
      </c>
      <c r="H3113">
        <v>125483</v>
      </c>
      <c r="I3113">
        <v>126118</v>
      </c>
      <c r="J3113">
        <v>2222</v>
      </c>
      <c r="K3113">
        <v>623037</v>
      </c>
      <c r="L3113">
        <v>203074</v>
      </c>
      <c r="M3113">
        <v>-192878</v>
      </c>
      <c r="N3113">
        <v>149011</v>
      </c>
      <c r="O3113" t="s">
        <v>3131</v>
      </c>
      <c r="P3113" s="9">
        <v>247365</v>
      </c>
      <c r="Q3113" s="9">
        <v>38005</v>
      </c>
      <c r="R3113" s="9">
        <v>285370</v>
      </c>
      <c r="S3113" s="9">
        <v>-129285</v>
      </c>
      <c r="T3113" s="10">
        <v>101934</v>
      </c>
      <c r="U3113" s="10">
        <v>1252</v>
      </c>
    </row>
    <row r="3114" spans="1:21" x14ac:dyDescent="0.35">
      <c r="A3114" t="s">
        <v>15</v>
      </c>
      <c r="B3114" t="s">
        <v>20</v>
      </c>
      <c r="C3114" t="s">
        <v>21</v>
      </c>
      <c r="D3114">
        <v>170245</v>
      </c>
      <c r="E3114">
        <v>17219</v>
      </c>
      <c r="F3114">
        <v>27792</v>
      </c>
      <c r="G3114">
        <v>-157063</v>
      </c>
      <c r="H3114">
        <v>58193</v>
      </c>
      <c r="I3114">
        <v>60339</v>
      </c>
      <c r="J3114">
        <v>1504</v>
      </c>
      <c r="K3114">
        <v>670552</v>
      </c>
      <c r="L3114">
        <v>161402</v>
      </c>
      <c r="M3114">
        <v>-167244</v>
      </c>
      <c r="N3114">
        <v>102165</v>
      </c>
      <c r="O3114" t="s">
        <v>3132</v>
      </c>
      <c r="P3114" s="9">
        <v>221041</v>
      </c>
      <c r="Q3114" s="9">
        <v>23484</v>
      </c>
      <c r="R3114" s="9">
        <v>244525</v>
      </c>
      <c r="S3114" s="9">
        <v>-67469</v>
      </c>
      <c r="T3114" s="10">
        <v>87111</v>
      </c>
      <c r="U3114" s="10">
        <v>2472</v>
      </c>
    </row>
    <row r="3115" spans="1:21" x14ac:dyDescent="0.35">
      <c r="A3115" t="s">
        <v>15</v>
      </c>
      <c r="B3115" t="s">
        <v>20</v>
      </c>
      <c r="C3115" t="s">
        <v>21</v>
      </c>
      <c r="D3115">
        <v>184547</v>
      </c>
      <c r="E3115">
        <v>23280</v>
      </c>
      <c r="F3115">
        <v>36052</v>
      </c>
      <c r="G3115">
        <v>-179398</v>
      </c>
      <c r="H3115">
        <v>64481</v>
      </c>
      <c r="I3115">
        <v>66887</v>
      </c>
      <c r="J3115">
        <v>1992</v>
      </c>
      <c r="K3115">
        <v>401906</v>
      </c>
      <c r="L3115">
        <v>129212</v>
      </c>
      <c r="M3115">
        <v>-124222</v>
      </c>
      <c r="N3115">
        <v>121073</v>
      </c>
      <c r="O3115" t="s">
        <v>3133</v>
      </c>
      <c r="P3115" s="9">
        <v>162524</v>
      </c>
      <c r="Q3115" s="9">
        <v>11221</v>
      </c>
      <c r="R3115" s="9">
        <v>173745</v>
      </c>
      <c r="S3115" s="9">
        <v>-103028</v>
      </c>
      <c r="T3115" s="10">
        <v>49193</v>
      </c>
      <c r="U3115" s="10">
        <v>607</v>
      </c>
    </row>
    <row r="3116" spans="1:21" x14ac:dyDescent="0.35">
      <c r="A3116" t="s">
        <v>15</v>
      </c>
      <c r="B3116" t="s">
        <v>20</v>
      </c>
      <c r="C3116" t="s">
        <v>21</v>
      </c>
      <c r="D3116">
        <v>207587</v>
      </c>
      <c r="E3116">
        <v>10511</v>
      </c>
      <c r="F3116">
        <v>43397</v>
      </c>
      <c r="G3116">
        <v>-191524</v>
      </c>
      <c r="H3116">
        <v>69971</v>
      </c>
      <c r="I3116">
        <v>66480</v>
      </c>
      <c r="J3116">
        <v>754</v>
      </c>
      <c r="K3116">
        <v>638512</v>
      </c>
      <c r="L3116">
        <v>253522</v>
      </c>
      <c r="M3116">
        <v>-211540</v>
      </c>
      <c r="N3116">
        <v>175774</v>
      </c>
      <c r="O3116" t="s">
        <v>3134</v>
      </c>
      <c r="P3116" s="9">
        <v>196066</v>
      </c>
      <c r="Q3116" s="9">
        <v>19177</v>
      </c>
      <c r="R3116" s="9">
        <v>215243</v>
      </c>
      <c r="S3116" s="9">
        <v>-91910</v>
      </c>
      <c r="T3116" s="10">
        <v>82896</v>
      </c>
      <c r="U3116" s="10">
        <v>1922</v>
      </c>
    </row>
    <row r="3117" spans="1:21" x14ac:dyDescent="0.35">
      <c r="A3117" t="s">
        <v>15</v>
      </c>
      <c r="B3117" t="s">
        <v>16</v>
      </c>
      <c r="C3117" t="s">
        <v>17</v>
      </c>
      <c r="D3117">
        <v>277952</v>
      </c>
      <c r="E3117">
        <v>20356</v>
      </c>
      <c r="F3117">
        <v>43471</v>
      </c>
      <c r="G3117">
        <v>-239307</v>
      </c>
      <c r="H3117">
        <v>102472</v>
      </c>
      <c r="I3117">
        <v>97584</v>
      </c>
      <c r="J3117">
        <v>2146</v>
      </c>
      <c r="K3117">
        <v>911943</v>
      </c>
      <c r="L3117">
        <v>279653</v>
      </c>
      <c r="M3117">
        <v>-152199</v>
      </c>
      <c r="N3117">
        <v>180895</v>
      </c>
      <c r="O3117" t="s">
        <v>3135</v>
      </c>
      <c r="P3117" s="9">
        <v>265766</v>
      </c>
      <c r="Q3117" s="9">
        <v>21521</v>
      </c>
      <c r="R3117" s="9">
        <v>287287</v>
      </c>
      <c r="S3117" s="9">
        <v>-163833</v>
      </c>
      <c r="T3117" s="10">
        <v>59491</v>
      </c>
      <c r="U3117" s="10">
        <v>897</v>
      </c>
    </row>
    <row r="3118" spans="1:21" x14ac:dyDescent="0.35">
      <c r="A3118" t="s">
        <v>15</v>
      </c>
      <c r="B3118" t="s">
        <v>16</v>
      </c>
      <c r="C3118" t="s">
        <v>21</v>
      </c>
      <c r="D3118">
        <v>211714</v>
      </c>
      <c r="E3118">
        <v>13409</v>
      </c>
      <c r="F3118">
        <v>46681</v>
      </c>
      <c r="G3118">
        <v>-208687</v>
      </c>
      <c r="H3118">
        <v>63117</v>
      </c>
      <c r="I3118">
        <v>65632</v>
      </c>
      <c r="J3118">
        <v>1234</v>
      </c>
      <c r="K3118">
        <v>432671</v>
      </c>
      <c r="L3118">
        <v>120239</v>
      </c>
      <c r="M3118">
        <v>-144223</v>
      </c>
      <c r="N3118">
        <v>150583</v>
      </c>
      <c r="O3118" t="s">
        <v>3136</v>
      </c>
      <c r="P3118" s="9">
        <v>153308</v>
      </c>
      <c r="Q3118" s="9">
        <v>25257</v>
      </c>
      <c r="R3118" s="9">
        <v>178565</v>
      </c>
      <c r="S3118" s="9">
        <v>-38354</v>
      </c>
      <c r="T3118" s="10">
        <v>71908</v>
      </c>
      <c r="U3118" s="10">
        <v>1652</v>
      </c>
    </row>
    <row r="3119" spans="1:21" x14ac:dyDescent="0.35">
      <c r="A3119" t="s">
        <v>15</v>
      </c>
      <c r="B3119" t="s">
        <v>20</v>
      </c>
      <c r="C3119" t="s">
        <v>21</v>
      </c>
      <c r="D3119">
        <v>276004</v>
      </c>
      <c r="E3119">
        <v>54876</v>
      </c>
      <c r="F3119">
        <v>42878</v>
      </c>
      <c r="G3119">
        <v>-270899</v>
      </c>
      <c r="H3119">
        <v>102859</v>
      </c>
      <c r="I3119">
        <v>96604</v>
      </c>
      <c r="J3119">
        <v>2439</v>
      </c>
      <c r="K3119">
        <v>727606</v>
      </c>
      <c r="L3119">
        <v>279615</v>
      </c>
      <c r="M3119">
        <v>-191984</v>
      </c>
      <c r="N3119">
        <v>163608</v>
      </c>
      <c r="O3119" t="s">
        <v>3137</v>
      </c>
      <c r="P3119" s="9">
        <v>221839</v>
      </c>
      <c r="Q3119" s="9">
        <v>14109</v>
      </c>
      <c r="R3119" s="9">
        <v>235948</v>
      </c>
      <c r="S3119" s="9">
        <v>-55352</v>
      </c>
      <c r="T3119" s="10">
        <v>96081</v>
      </c>
      <c r="U3119" s="10">
        <v>2282</v>
      </c>
    </row>
    <row r="3120" spans="1:21" x14ac:dyDescent="0.35">
      <c r="A3120" t="s">
        <v>15</v>
      </c>
      <c r="B3120" t="s">
        <v>20</v>
      </c>
      <c r="C3120" t="s">
        <v>21</v>
      </c>
      <c r="D3120">
        <v>242615</v>
      </c>
      <c r="E3120">
        <v>24234</v>
      </c>
      <c r="F3120">
        <v>24783</v>
      </c>
      <c r="G3120">
        <v>-231377</v>
      </c>
      <c r="H3120">
        <v>60255</v>
      </c>
      <c r="I3120">
        <v>54991</v>
      </c>
      <c r="J3120">
        <v>1366</v>
      </c>
      <c r="K3120">
        <v>964046</v>
      </c>
      <c r="L3120">
        <v>382410</v>
      </c>
      <c r="M3120">
        <v>-194754</v>
      </c>
      <c r="N3120">
        <v>140021</v>
      </c>
      <c r="O3120" t="s">
        <v>3138</v>
      </c>
      <c r="P3120" s="9">
        <v>239584</v>
      </c>
      <c r="Q3120" s="9">
        <v>30342</v>
      </c>
      <c r="R3120" s="9">
        <v>269926</v>
      </c>
      <c r="S3120" s="9">
        <v>-83419</v>
      </c>
      <c r="T3120" s="10">
        <v>61723</v>
      </c>
      <c r="U3120" s="10">
        <v>1574</v>
      </c>
    </row>
    <row r="3121" spans="1:21" x14ac:dyDescent="0.35">
      <c r="A3121" t="s">
        <v>15</v>
      </c>
      <c r="B3121" t="s">
        <v>20</v>
      </c>
      <c r="C3121" t="s">
        <v>21</v>
      </c>
      <c r="D3121">
        <v>197974</v>
      </c>
      <c r="E3121">
        <v>16123</v>
      </c>
      <c r="F3121">
        <v>25822</v>
      </c>
      <c r="G3121">
        <v>-186385</v>
      </c>
      <c r="H3121">
        <v>53534</v>
      </c>
      <c r="I3121">
        <v>53127</v>
      </c>
      <c r="J3121">
        <v>1129</v>
      </c>
      <c r="K3121">
        <v>403271</v>
      </c>
      <c r="L3121">
        <v>187375</v>
      </c>
      <c r="M3121">
        <v>-96127</v>
      </c>
      <c r="N3121">
        <v>156269</v>
      </c>
      <c r="O3121" t="s">
        <v>3139</v>
      </c>
      <c r="P3121" s="9">
        <v>245941</v>
      </c>
      <c r="Q3121" s="9">
        <v>48940</v>
      </c>
      <c r="R3121" s="9">
        <v>294881</v>
      </c>
      <c r="S3121" s="9">
        <v>-63140</v>
      </c>
      <c r="T3121" s="10">
        <v>89108</v>
      </c>
      <c r="U3121" s="10">
        <v>1789</v>
      </c>
    </row>
    <row r="3122" spans="1:21" x14ac:dyDescent="0.35">
      <c r="A3122" t="s">
        <v>15</v>
      </c>
      <c r="B3122" t="s">
        <v>20</v>
      </c>
      <c r="C3122" t="s">
        <v>21</v>
      </c>
      <c r="D3122">
        <v>224206</v>
      </c>
      <c r="E3122">
        <v>34108</v>
      </c>
      <c r="F3122">
        <v>40391</v>
      </c>
      <c r="G3122">
        <v>-203042</v>
      </c>
      <c r="H3122">
        <v>95663</v>
      </c>
      <c r="I3122">
        <v>99295</v>
      </c>
      <c r="J3122">
        <v>1842</v>
      </c>
      <c r="K3122">
        <v>760616</v>
      </c>
      <c r="L3122">
        <v>215585</v>
      </c>
      <c r="M3122">
        <v>-195088</v>
      </c>
      <c r="N3122">
        <v>151981</v>
      </c>
      <c r="O3122" t="s">
        <v>3140</v>
      </c>
      <c r="P3122" s="9">
        <v>165339</v>
      </c>
      <c r="Q3122" s="9">
        <v>26326</v>
      </c>
      <c r="R3122" s="9">
        <v>191665</v>
      </c>
      <c r="S3122" s="9">
        <v>-83439</v>
      </c>
      <c r="T3122" s="10">
        <v>69656</v>
      </c>
      <c r="U3122" s="10">
        <v>1978</v>
      </c>
    </row>
    <row r="3123" spans="1:21" x14ac:dyDescent="0.35">
      <c r="A3123" t="s">
        <v>15</v>
      </c>
      <c r="B3123" t="s">
        <v>16</v>
      </c>
      <c r="C3123" t="s">
        <v>21</v>
      </c>
      <c r="D3123">
        <v>265843</v>
      </c>
      <c r="E3123">
        <v>35111</v>
      </c>
      <c r="F3123">
        <v>59486</v>
      </c>
      <c r="G3123">
        <v>-253524</v>
      </c>
      <c r="H3123">
        <v>106916</v>
      </c>
      <c r="I3123">
        <v>99089</v>
      </c>
      <c r="J3123">
        <v>1320</v>
      </c>
      <c r="K3123">
        <v>954524</v>
      </c>
      <c r="L3123">
        <v>157678</v>
      </c>
      <c r="M3123">
        <v>-221977</v>
      </c>
      <c r="N3123">
        <v>219872</v>
      </c>
      <c r="O3123" t="s">
        <v>3141</v>
      </c>
      <c r="P3123" s="9">
        <v>285908</v>
      </c>
      <c r="Q3123" s="9">
        <v>35347</v>
      </c>
      <c r="R3123" s="9">
        <v>321255</v>
      </c>
      <c r="S3123" s="9">
        <v>-83461</v>
      </c>
      <c r="T3123" s="10">
        <v>130300</v>
      </c>
      <c r="U3123" s="10">
        <v>1448</v>
      </c>
    </row>
    <row r="3124" spans="1:21" x14ac:dyDescent="0.35">
      <c r="A3124" t="s">
        <v>15</v>
      </c>
      <c r="B3124" t="s">
        <v>20</v>
      </c>
      <c r="C3124" t="s">
        <v>21</v>
      </c>
      <c r="D3124">
        <v>216079</v>
      </c>
      <c r="E3124">
        <v>35828</v>
      </c>
      <c r="F3124">
        <v>38998</v>
      </c>
      <c r="G3124">
        <v>-193165</v>
      </c>
      <c r="H3124">
        <v>97740</v>
      </c>
      <c r="I3124">
        <v>96398</v>
      </c>
      <c r="J3124">
        <v>2589</v>
      </c>
      <c r="K3124">
        <v>614374</v>
      </c>
      <c r="L3124">
        <v>216367</v>
      </c>
      <c r="M3124">
        <v>-99137</v>
      </c>
      <c r="N3124">
        <v>142174</v>
      </c>
      <c r="O3124" t="s">
        <v>3142</v>
      </c>
      <c r="P3124" s="9">
        <v>277693</v>
      </c>
      <c r="Q3124" s="9">
        <v>25786</v>
      </c>
      <c r="R3124" s="9">
        <v>303479</v>
      </c>
      <c r="S3124" s="9">
        <v>-78139</v>
      </c>
      <c r="T3124" s="10">
        <v>101961</v>
      </c>
      <c r="U3124" s="10">
        <v>1954</v>
      </c>
    </row>
    <row r="3125" spans="1:21" x14ac:dyDescent="0.35">
      <c r="A3125" t="s">
        <v>15</v>
      </c>
      <c r="B3125" t="s">
        <v>16</v>
      </c>
      <c r="C3125" t="s">
        <v>17</v>
      </c>
      <c r="D3125">
        <v>233470</v>
      </c>
      <c r="E3125">
        <v>21789</v>
      </c>
      <c r="F3125">
        <v>35717</v>
      </c>
      <c r="G3125">
        <v>-191170</v>
      </c>
      <c r="H3125">
        <v>99806</v>
      </c>
      <c r="I3125">
        <v>99641</v>
      </c>
      <c r="J3125">
        <v>1483</v>
      </c>
      <c r="K3125">
        <v>593370</v>
      </c>
      <c r="L3125">
        <v>185038</v>
      </c>
      <c r="M3125">
        <v>-91899</v>
      </c>
      <c r="N3125">
        <v>85694</v>
      </c>
      <c r="O3125" t="s">
        <v>3143</v>
      </c>
      <c r="P3125" s="9">
        <v>192317</v>
      </c>
      <c r="Q3125" s="9">
        <v>12108</v>
      </c>
      <c r="R3125" s="9">
        <v>204425</v>
      </c>
      <c r="S3125" s="9">
        <v>-42988</v>
      </c>
      <c r="T3125" s="10">
        <v>93838</v>
      </c>
      <c r="U3125" s="10">
        <v>2381</v>
      </c>
    </row>
    <row r="3126" spans="1:21" x14ac:dyDescent="0.35">
      <c r="A3126" t="s">
        <v>15</v>
      </c>
      <c r="B3126" t="s">
        <v>16</v>
      </c>
      <c r="C3126" t="s">
        <v>17</v>
      </c>
      <c r="D3126">
        <v>227731</v>
      </c>
      <c r="E3126">
        <v>28335</v>
      </c>
      <c r="F3126">
        <v>37745</v>
      </c>
      <c r="G3126">
        <v>-188743</v>
      </c>
      <c r="H3126">
        <v>105068</v>
      </c>
      <c r="I3126">
        <v>101044</v>
      </c>
      <c r="J3126">
        <v>1119</v>
      </c>
      <c r="K3126">
        <v>855865</v>
      </c>
      <c r="L3126">
        <v>266920</v>
      </c>
      <c r="M3126">
        <v>-324108</v>
      </c>
      <c r="N3126">
        <v>133633</v>
      </c>
      <c r="O3126" t="s">
        <v>3144</v>
      </c>
      <c r="P3126" s="9">
        <v>224700</v>
      </c>
      <c r="Q3126" s="9">
        <v>43162</v>
      </c>
      <c r="R3126" s="9">
        <v>267862</v>
      </c>
      <c r="S3126" s="9">
        <v>-96874</v>
      </c>
      <c r="T3126" s="10">
        <v>100248</v>
      </c>
      <c r="U3126" s="10">
        <v>2028</v>
      </c>
    </row>
    <row r="3127" spans="1:21" x14ac:dyDescent="0.35">
      <c r="A3127" t="s">
        <v>15</v>
      </c>
      <c r="B3127" t="s">
        <v>16</v>
      </c>
      <c r="C3127" t="s">
        <v>21</v>
      </c>
      <c r="D3127">
        <v>287654</v>
      </c>
      <c r="E3127">
        <v>44420</v>
      </c>
      <c r="F3127">
        <v>46491</v>
      </c>
      <c r="G3127">
        <v>-274615</v>
      </c>
      <c r="H3127">
        <v>103950</v>
      </c>
      <c r="I3127">
        <v>99463</v>
      </c>
      <c r="J3127">
        <v>1041</v>
      </c>
      <c r="K3127">
        <v>645868</v>
      </c>
      <c r="L3127">
        <v>318681</v>
      </c>
      <c r="M3127">
        <v>-161985</v>
      </c>
      <c r="N3127">
        <v>111262</v>
      </c>
      <c r="O3127" t="s">
        <v>3145</v>
      </c>
      <c r="P3127" s="9">
        <v>155421</v>
      </c>
      <c r="Q3127" s="9">
        <v>11035</v>
      </c>
      <c r="R3127" s="9">
        <v>166456</v>
      </c>
      <c r="S3127" s="9">
        <v>-58498</v>
      </c>
      <c r="T3127" s="10">
        <v>47402</v>
      </c>
      <c r="U3127" s="10">
        <v>1140</v>
      </c>
    </row>
    <row r="3128" spans="1:21" x14ac:dyDescent="0.35">
      <c r="A3128" t="s">
        <v>15</v>
      </c>
      <c r="B3128" t="s">
        <v>16</v>
      </c>
      <c r="C3128" t="s">
        <v>21</v>
      </c>
      <c r="D3128">
        <v>186866</v>
      </c>
      <c r="E3128">
        <v>22809</v>
      </c>
      <c r="F3128">
        <v>20688</v>
      </c>
      <c r="G3128">
        <v>-165974</v>
      </c>
      <c r="H3128">
        <v>64389</v>
      </c>
      <c r="I3128">
        <v>60360</v>
      </c>
      <c r="J3128">
        <v>934</v>
      </c>
      <c r="K3128">
        <v>739896</v>
      </c>
      <c r="L3128">
        <v>183220</v>
      </c>
      <c r="M3128">
        <v>-139829</v>
      </c>
      <c r="N3128">
        <v>138336</v>
      </c>
      <c r="O3128" t="s">
        <v>3146</v>
      </c>
      <c r="P3128" s="9">
        <v>169214</v>
      </c>
      <c r="Q3128" s="9">
        <v>19924</v>
      </c>
      <c r="R3128" s="9">
        <v>189138</v>
      </c>
      <c r="S3128" s="9">
        <v>-43919</v>
      </c>
      <c r="T3128" s="10">
        <v>67707</v>
      </c>
      <c r="U3128" s="10">
        <v>1010</v>
      </c>
    </row>
    <row r="3129" spans="1:21" x14ac:dyDescent="0.35">
      <c r="A3129" t="s">
        <v>15</v>
      </c>
      <c r="B3129" t="s">
        <v>20</v>
      </c>
      <c r="C3129" t="s">
        <v>17</v>
      </c>
      <c r="D3129">
        <v>157501</v>
      </c>
      <c r="E3129">
        <v>25382</v>
      </c>
      <c r="F3129">
        <v>32084</v>
      </c>
      <c r="G3129">
        <v>-146544</v>
      </c>
      <c r="H3129">
        <v>68423</v>
      </c>
      <c r="I3129">
        <v>66360</v>
      </c>
      <c r="J3129">
        <v>1278</v>
      </c>
      <c r="K3129">
        <v>460538</v>
      </c>
      <c r="L3129">
        <v>128440</v>
      </c>
      <c r="M3129">
        <v>-126979</v>
      </c>
      <c r="N3129">
        <v>47757</v>
      </c>
      <c r="O3129" t="s">
        <v>3147</v>
      </c>
      <c r="P3129" s="9">
        <v>244446</v>
      </c>
      <c r="Q3129" s="9">
        <v>11951</v>
      </c>
      <c r="R3129" s="9">
        <v>256397</v>
      </c>
      <c r="S3129" s="9">
        <v>-71713</v>
      </c>
      <c r="T3129" s="10">
        <v>80153</v>
      </c>
      <c r="U3129" s="10">
        <v>2049</v>
      </c>
    </row>
    <row r="3130" spans="1:21" x14ac:dyDescent="0.35">
      <c r="A3130" t="s">
        <v>15</v>
      </c>
      <c r="B3130" t="s">
        <v>20</v>
      </c>
      <c r="C3130" t="s">
        <v>21</v>
      </c>
      <c r="D3130">
        <v>191229</v>
      </c>
      <c r="E3130">
        <v>27434</v>
      </c>
      <c r="F3130">
        <v>46302</v>
      </c>
      <c r="G3130">
        <v>-181303</v>
      </c>
      <c r="H3130">
        <v>83662</v>
      </c>
      <c r="I3130">
        <v>82825</v>
      </c>
      <c r="J3130">
        <v>1098</v>
      </c>
      <c r="K3130">
        <v>521813</v>
      </c>
      <c r="L3130">
        <v>256486</v>
      </c>
      <c r="M3130">
        <v>-131619</v>
      </c>
      <c r="N3130">
        <v>131065</v>
      </c>
      <c r="O3130" t="s">
        <v>3148</v>
      </c>
      <c r="P3130" s="9">
        <v>284848</v>
      </c>
      <c r="Q3130" s="9">
        <v>30818</v>
      </c>
      <c r="R3130" s="9">
        <v>315666</v>
      </c>
      <c r="S3130" s="9">
        <v>-97974</v>
      </c>
      <c r="T3130" s="10">
        <v>106327</v>
      </c>
      <c r="U3130" s="10">
        <v>2470</v>
      </c>
    </row>
    <row r="3131" spans="1:21" x14ac:dyDescent="0.35">
      <c r="A3131" t="s">
        <v>15</v>
      </c>
      <c r="B3131" t="s">
        <v>16</v>
      </c>
      <c r="C3131" t="s">
        <v>21</v>
      </c>
      <c r="D3131">
        <v>215218</v>
      </c>
      <c r="E3131">
        <v>34634</v>
      </c>
      <c r="F3131">
        <v>27823</v>
      </c>
      <c r="G3131">
        <v>-185199</v>
      </c>
      <c r="H3131">
        <v>92476</v>
      </c>
      <c r="I3131">
        <v>96710</v>
      </c>
      <c r="J3131">
        <v>1329</v>
      </c>
      <c r="K3131">
        <v>546958</v>
      </c>
      <c r="L3131">
        <v>227073</v>
      </c>
      <c r="M3131">
        <v>-85217</v>
      </c>
      <c r="N3131">
        <v>175442</v>
      </c>
      <c r="O3131" t="s">
        <v>3149</v>
      </c>
      <c r="P3131" s="9">
        <v>270361</v>
      </c>
      <c r="Q3131" s="9">
        <v>35793</v>
      </c>
      <c r="R3131" s="9">
        <v>306154</v>
      </c>
      <c r="S3131" s="9">
        <v>-146107</v>
      </c>
      <c r="T3131" s="10">
        <v>105981</v>
      </c>
      <c r="U3131" s="10">
        <v>2975</v>
      </c>
    </row>
    <row r="3132" spans="1:21" x14ac:dyDescent="0.35">
      <c r="A3132" t="s">
        <v>15</v>
      </c>
      <c r="B3132" t="s">
        <v>16</v>
      </c>
      <c r="C3132" t="s">
        <v>21</v>
      </c>
      <c r="D3132">
        <v>232773</v>
      </c>
      <c r="E3132">
        <v>20599</v>
      </c>
      <c r="F3132">
        <v>47328</v>
      </c>
      <c r="G3132">
        <v>-195056</v>
      </c>
      <c r="H3132">
        <v>105644</v>
      </c>
      <c r="I3132">
        <v>104956</v>
      </c>
      <c r="J3132">
        <v>1643</v>
      </c>
      <c r="K3132">
        <v>698232</v>
      </c>
      <c r="L3132">
        <v>198373</v>
      </c>
      <c r="M3132">
        <v>-114041</v>
      </c>
      <c r="N3132">
        <v>157588</v>
      </c>
      <c r="O3132" t="s">
        <v>3150</v>
      </c>
      <c r="P3132" s="9">
        <v>257518</v>
      </c>
      <c r="Q3132" s="9">
        <v>50319</v>
      </c>
      <c r="R3132" s="9">
        <v>307837</v>
      </c>
      <c r="S3132" s="9">
        <v>-166648</v>
      </c>
      <c r="T3132" s="10">
        <v>134560</v>
      </c>
      <c r="U3132" s="10">
        <v>2724</v>
      </c>
    </row>
    <row r="3133" spans="1:21" x14ac:dyDescent="0.35">
      <c r="A3133" t="s">
        <v>15</v>
      </c>
      <c r="B3133" t="s">
        <v>16</v>
      </c>
      <c r="C3133" t="s">
        <v>21</v>
      </c>
      <c r="D3133">
        <v>243730</v>
      </c>
      <c r="E3133">
        <v>36076</v>
      </c>
      <c r="F3133">
        <v>33604</v>
      </c>
      <c r="G3133">
        <v>-209609</v>
      </c>
      <c r="H3133">
        <v>103801</v>
      </c>
      <c r="I3133">
        <v>96250</v>
      </c>
      <c r="J3133">
        <v>1760</v>
      </c>
      <c r="K3133">
        <v>873404</v>
      </c>
      <c r="L3133">
        <v>184568</v>
      </c>
      <c r="M3133">
        <v>-333855</v>
      </c>
      <c r="N3133">
        <v>98458</v>
      </c>
      <c r="O3133" t="s">
        <v>3151</v>
      </c>
      <c r="P3133" s="9">
        <v>244352</v>
      </c>
      <c r="Q3133" s="9">
        <v>15933</v>
      </c>
      <c r="R3133" s="9">
        <v>260285</v>
      </c>
      <c r="S3133" s="9">
        <v>-96563</v>
      </c>
      <c r="T3133" s="10">
        <v>64388</v>
      </c>
      <c r="U3133" s="10">
        <v>1291</v>
      </c>
    </row>
    <row r="3134" spans="1:21" x14ac:dyDescent="0.35">
      <c r="A3134" t="s">
        <v>15</v>
      </c>
      <c r="B3134" t="s">
        <v>20</v>
      </c>
      <c r="C3134" t="s">
        <v>21</v>
      </c>
      <c r="D3134">
        <v>187609</v>
      </c>
      <c r="E3134">
        <v>18584</v>
      </c>
      <c r="F3134">
        <v>24523</v>
      </c>
      <c r="G3134">
        <v>-168380</v>
      </c>
      <c r="H3134">
        <v>62336</v>
      </c>
      <c r="I3134">
        <v>56739</v>
      </c>
      <c r="J3134">
        <v>1524</v>
      </c>
      <c r="K3134">
        <v>500188</v>
      </c>
      <c r="L3134">
        <v>60560</v>
      </c>
      <c r="M3134">
        <v>-98585</v>
      </c>
      <c r="N3134">
        <v>58084</v>
      </c>
      <c r="O3134" t="s">
        <v>3152</v>
      </c>
      <c r="P3134" s="9">
        <v>171231</v>
      </c>
      <c r="Q3134" s="9">
        <v>12277</v>
      </c>
      <c r="R3134" s="9">
        <v>183508</v>
      </c>
      <c r="S3134" s="9">
        <v>-57067</v>
      </c>
      <c r="T3134" s="10">
        <v>61941</v>
      </c>
      <c r="U3134" s="10">
        <v>1578</v>
      </c>
    </row>
    <row r="3135" spans="1:21" x14ac:dyDescent="0.35">
      <c r="A3135" t="s">
        <v>15</v>
      </c>
      <c r="B3135" t="s">
        <v>16</v>
      </c>
      <c r="C3135" t="s">
        <v>17</v>
      </c>
      <c r="D3135">
        <v>292783</v>
      </c>
      <c r="E3135">
        <v>53564</v>
      </c>
      <c r="F3135">
        <v>64060</v>
      </c>
      <c r="G3135">
        <v>-264748</v>
      </c>
      <c r="H3135">
        <v>145659</v>
      </c>
      <c r="I3135">
        <v>133667</v>
      </c>
      <c r="J3135">
        <v>3166</v>
      </c>
      <c r="K3135">
        <v>632280</v>
      </c>
      <c r="L3135">
        <v>260520</v>
      </c>
      <c r="M3135">
        <v>-186601</v>
      </c>
      <c r="N3135">
        <v>263275</v>
      </c>
      <c r="O3135" t="s">
        <v>3153</v>
      </c>
      <c r="P3135" s="9">
        <v>212190</v>
      </c>
      <c r="Q3135" s="9">
        <v>33240</v>
      </c>
      <c r="R3135" s="9">
        <v>245430</v>
      </c>
      <c r="S3135" s="9">
        <v>-76491</v>
      </c>
      <c r="T3135" s="10">
        <v>74368</v>
      </c>
      <c r="U3135" s="10">
        <v>762</v>
      </c>
    </row>
    <row r="3136" spans="1:21" x14ac:dyDescent="0.35">
      <c r="A3136" t="s">
        <v>15</v>
      </c>
      <c r="B3136" t="s">
        <v>20</v>
      </c>
      <c r="C3136" t="s">
        <v>21</v>
      </c>
      <c r="D3136">
        <v>167214</v>
      </c>
      <c r="E3136">
        <v>17378</v>
      </c>
      <c r="F3136">
        <v>25834</v>
      </c>
      <c r="G3136">
        <v>-142569</v>
      </c>
      <c r="H3136">
        <v>67857</v>
      </c>
      <c r="I3136">
        <v>67939</v>
      </c>
      <c r="J3136">
        <v>836</v>
      </c>
      <c r="K3136">
        <v>629953</v>
      </c>
      <c r="L3136">
        <v>297491</v>
      </c>
      <c r="M3136">
        <v>-70918</v>
      </c>
      <c r="N3136">
        <v>116145</v>
      </c>
      <c r="O3136" t="s">
        <v>3154</v>
      </c>
      <c r="P3136" s="9">
        <v>195675</v>
      </c>
      <c r="Q3136" s="9">
        <v>33005</v>
      </c>
      <c r="R3136" s="9">
        <v>228680</v>
      </c>
      <c r="S3136" s="9">
        <v>-91480</v>
      </c>
      <c r="T3136" s="10">
        <v>105990</v>
      </c>
      <c r="U3136" s="10">
        <v>3121</v>
      </c>
    </row>
    <row r="3137" spans="1:21" x14ac:dyDescent="0.35">
      <c r="A3137" t="s">
        <v>15</v>
      </c>
      <c r="B3137" t="s">
        <v>16</v>
      </c>
      <c r="C3137" t="s">
        <v>21</v>
      </c>
      <c r="D3137">
        <v>152173</v>
      </c>
      <c r="E3137">
        <v>28489</v>
      </c>
      <c r="F3137">
        <v>29427</v>
      </c>
      <c r="G3137">
        <v>-138076</v>
      </c>
      <c r="H3137">
        <v>72013</v>
      </c>
      <c r="I3137">
        <v>68442</v>
      </c>
      <c r="J3137">
        <v>913</v>
      </c>
      <c r="K3137">
        <v>453240</v>
      </c>
      <c r="L3137">
        <v>152276</v>
      </c>
      <c r="M3137">
        <v>-177684</v>
      </c>
      <c r="N3137">
        <v>109192</v>
      </c>
      <c r="O3137" t="s">
        <v>3155</v>
      </c>
      <c r="P3137" s="9">
        <v>284674</v>
      </c>
      <c r="Q3137" s="9">
        <v>48963</v>
      </c>
      <c r="R3137" s="9">
        <v>333637</v>
      </c>
      <c r="S3137" s="9">
        <v>-132714</v>
      </c>
      <c r="T3137" s="10">
        <v>99161</v>
      </c>
      <c r="U3137" s="10">
        <v>2414</v>
      </c>
    </row>
    <row r="3138" spans="1:21" x14ac:dyDescent="0.35">
      <c r="A3138" t="s">
        <v>15</v>
      </c>
      <c r="B3138" t="s">
        <v>20</v>
      </c>
      <c r="C3138" t="s">
        <v>17</v>
      </c>
      <c r="D3138">
        <v>197161</v>
      </c>
      <c r="E3138">
        <v>39372</v>
      </c>
      <c r="F3138">
        <v>40998</v>
      </c>
      <c r="G3138">
        <v>-168109</v>
      </c>
      <c r="H3138">
        <v>109422</v>
      </c>
      <c r="I3138">
        <v>105174</v>
      </c>
      <c r="J3138">
        <v>2627</v>
      </c>
      <c r="K3138">
        <v>622595</v>
      </c>
      <c r="L3138">
        <v>81655</v>
      </c>
      <c r="M3138">
        <v>-164297</v>
      </c>
      <c r="N3138">
        <v>110026</v>
      </c>
      <c r="O3138" t="s">
        <v>3156</v>
      </c>
      <c r="P3138" s="9">
        <v>255764</v>
      </c>
      <c r="Q3138" s="9">
        <v>49713</v>
      </c>
      <c r="R3138" s="9">
        <v>305477</v>
      </c>
      <c r="S3138" s="9">
        <v>-92079</v>
      </c>
      <c r="T3138" s="10">
        <v>114366</v>
      </c>
      <c r="U3138" s="10">
        <v>2926</v>
      </c>
    </row>
    <row r="3139" spans="1:21" x14ac:dyDescent="0.35">
      <c r="A3139" t="s">
        <v>15</v>
      </c>
      <c r="B3139" t="s">
        <v>20</v>
      </c>
      <c r="C3139" t="s">
        <v>21</v>
      </c>
      <c r="D3139">
        <v>172040</v>
      </c>
      <c r="E3139">
        <v>13393</v>
      </c>
      <c r="F3139">
        <v>38237</v>
      </c>
      <c r="G3139">
        <v>-153216</v>
      </c>
      <c r="H3139">
        <v>70454</v>
      </c>
      <c r="I3139">
        <v>66285</v>
      </c>
      <c r="J3139">
        <v>1455</v>
      </c>
      <c r="K3139">
        <v>617967</v>
      </c>
      <c r="L3139">
        <v>290772</v>
      </c>
      <c r="M3139">
        <v>-175942</v>
      </c>
      <c r="N3139">
        <v>128008</v>
      </c>
      <c r="O3139" t="s">
        <v>3157</v>
      </c>
      <c r="P3139" s="9">
        <v>182840</v>
      </c>
      <c r="Q3139" s="9">
        <v>23102</v>
      </c>
      <c r="R3139" s="9">
        <v>205942</v>
      </c>
      <c r="S3139" s="9">
        <v>-42246</v>
      </c>
      <c r="T3139" s="10">
        <v>80995</v>
      </c>
      <c r="U3139" s="10">
        <v>1551</v>
      </c>
    </row>
    <row r="3140" spans="1:21" x14ac:dyDescent="0.35">
      <c r="A3140" t="s">
        <v>15</v>
      </c>
      <c r="B3140" t="s">
        <v>20</v>
      </c>
      <c r="C3140" t="s">
        <v>21</v>
      </c>
      <c r="D3140">
        <v>251216</v>
      </c>
      <c r="E3140">
        <v>22864</v>
      </c>
      <c r="F3140">
        <v>40787</v>
      </c>
      <c r="G3140">
        <v>-222404</v>
      </c>
      <c r="H3140">
        <v>92463</v>
      </c>
      <c r="I3140">
        <v>85487</v>
      </c>
      <c r="J3140">
        <v>1070</v>
      </c>
      <c r="K3140">
        <v>846770</v>
      </c>
      <c r="L3140">
        <v>119590</v>
      </c>
      <c r="M3140">
        <v>-247309</v>
      </c>
      <c r="N3140">
        <v>211499</v>
      </c>
      <c r="O3140" t="s">
        <v>3158</v>
      </c>
      <c r="P3140" s="9">
        <v>279803</v>
      </c>
      <c r="Q3140" s="9">
        <v>56570</v>
      </c>
      <c r="R3140" s="9">
        <v>336373</v>
      </c>
      <c r="S3140" s="9">
        <v>-134013</v>
      </c>
      <c r="T3140" s="10">
        <v>155580</v>
      </c>
      <c r="U3140" s="10">
        <v>1776</v>
      </c>
    </row>
    <row r="3141" spans="1:21" x14ac:dyDescent="0.35">
      <c r="A3141" t="s">
        <v>15</v>
      </c>
      <c r="B3141" t="s">
        <v>16</v>
      </c>
      <c r="C3141" t="s">
        <v>21</v>
      </c>
      <c r="D3141">
        <v>189765</v>
      </c>
      <c r="E3141">
        <v>35061</v>
      </c>
      <c r="F3141">
        <v>37147</v>
      </c>
      <c r="G3141">
        <v>-183251</v>
      </c>
      <c r="H3141">
        <v>78722</v>
      </c>
      <c r="I3141">
        <v>71818</v>
      </c>
      <c r="J3141">
        <v>883</v>
      </c>
      <c r="K3141">
        <v>626873</v>
      </c>
      <c r="L3141">
        <v>144687</v>
      </c>
      <c r="M3141">
        <v>-169165</v>
      </c>
      <c r="N3141">
        <v>147923</v>
      </c>
      <c r="O3141" t="s">
        <v>3159</v>
      </c>
      <c r="P3141" s="9">
        <v>197297</v>
      </c>
      <c r="Q3141" s="9">
        <v>33702</v>
      </c>
      <c r="R3141" s="9">
        <v>230999</v>
      </c>
      <c r="S3141" s="9">
        <v>-125759</v>
      </c>
      <c r="T3141" s="10">
        <v>93501</v>
      </c>
      <c r="U3141" s="10">
        <v>2721</v>
      </c>
    </row>
    <row r="3142" spans="1:21" x14ac:dyDescent="0.35">
      <c r="A3142" t="s">
        <v>15</v>
      </c>
      <c r="B3142" t="s">
        <v>20</v>
      </c>
      <c r="C3142" t="s">
        <v>17</v>
      </c>
      <c r="D3142">
        <v>175712</v>
      </c>
      <c r="E3142">
        <v>33820</v>
      </c>
      <c r="F3142">
        <v>22857</v>
      </c>
      <c r="G3142">
        <v>-173624</v>
      </c>
      <c r="H3142">
        <v>58765</v>
      </c>
      <c r="I3142">
        <v>53263</v>
      </c>
      <c r="J3142">
        <v>721</v>
      </c>
      <c r="K3142">
        <v>601420</v>
      </c>
      <c r="L3142">
        <v>200148</v>
      </c>
      <c r="M3142">
        <v>-235164</v>
      </c>
      <c r="N3142">
        <v>120770</v>
      </c>
      <c r="O3142" t="s">
        <v>3160</v>
      </c>
      <c r="P3142" s="9">
        <v>276878</v>
      </c>
      <c r="Q3142" s="9">
        <v>48146</v>
      </c>
      <c r="R3142" s="9">
        <v>325024</v>
      </c>
      <c r="S3142" s="9">
        <v>-141402</v>
      </c>
      <c r="T3142" s="10">
        <v>156441</v>
      </c>
      <c r="U3142" s="10">
        <v>1639</v>
      </c>
    </row>
    <row r="3143" spans="1:21" x14ac:dyDescent="0.35">
      <c r="A3143" t="s">
        <v>15</v>
      </c>
      <c r="B3143" t="s">
        <v>16</v>
      </c>
      <c r="C3143" t="s">
        <v>17</v>
      </c>
      <c r="D3143">
        <v>173522</v>
      </c>
      <c r="E3143">
        <v>18417</v>
      </c>
      <c r="F3143">
        <v>29139</v>
      </c>
      <c r="G3143">
        <v>-148074</v>
      </c>
      <c r="H3143">
        <v>73004</v>
      </c>
      <c r="I3143">
        <v>70591</v>
      </c>
      <c r="J3143">
        <v>1538</v>
      </c>
      <c r="K3143">
        <v>349705</v>
      </c>
      <c r="L3143">
        <v>154739</v>
      </c>
      <c r="M3143">
        <v>-109347</v>
      </c>
      <c r="N3143">
        <v>137770</v>
      </c>
      <c r="O3143" t="s">
        <v>3161</v>
      </c>
      <c r="P3143" s="9">
        <v>163891</v>
      </c>
      <c r="Q3143" s="9">
        <v>24010</v>
      </c>
      <c r="R3143" s="9">
        <v>187901</v>
      </c>
      <c r="S3143" s="9">
        <v>-86331</v>
      </c>
      <c r="T3143" s="10">
        <v>85010</v>
      </c>
      <c r="U3143" s="10">
        <v>1579</v>
      </c>
    </row>
    <row r="3144" spans="1:21" x14ac:dyDescent="0.35">
      <c r="A3144" t="s">
        <v>15</v>
      </c>
      <c r="B3144" t="s">
        <v>16</v>
      </c>
      <c r="C3144" t="s">
        <v>21</v>
      </c>
      <c r="D3144">
        <v>180217</v>
      </c>
      <c r="E3144">
        <v>33723</v>
      </c>
      <c r="F3144">
        <v>37551</v>
      </c>
      <c r="G3144">
        <v>-159769</v>
      </c>
      <c r="H3144">
        <v>91722</v>
      </c>
      <c r="I3144">
        <v>88375</v>
      </c>
      <c r="J3144">
        <v>2605</v>
      </c>
      <c r="K3144">
        <v>714713</v>
      </c>
      <c r="L3144">
        <v>296928</v>
      </c>
      <c r="M3144">
        <v>-277141</v>
      </c>
      <c r="N3144">
        <v>151496</v>
      </c>
      <c r="O3144" t="s">
        <v>3162</v>
      </c>
      <c r="P3144" s="9">
        <v>272076</v>
      </c>
      <c r="Q3144" s="9">
        <v>21850</v>
      </c>
      <c r="R3144" s="9">
        <v>293926</v>
      </c>
      <c r="S3144" s="9">
        <v>-107343</v>
      </c>
      <c r="T3144" s="10">
        <v>82887</v>
      </c>
      <c r="U3144" s="10">
        <v>1048</v>
      </c>
    </row>
    <row r="3145" spans="1:21" x14ac:dyDescent="0.35">
      <c r="A3145" t="s">
        <v>15</v>
      </c>
      <c r="B3145" t="s">
        <v>16</v>
      </c>
      <c r="C3145" t="s">
        <v>21</v>
      </c>
      <c r="D3145">
        <v>267844</v>
      </c>
      <c r="E3145">
        <v>33715</v>
      </c>
      <c r="F3145">
        <v>30233</v>
      </c>
      <c r="G3145">
        <v>-232928</v>
      </c>
      <c r="H3145">
        <v>98864</v>
      </c>
      <c r="I3145">
        <v>91657</v>
      </c>
      <c r="J3145">
        <v>1964</v>
      </c>
      <c r="K3145">
        <v>619286</v>
      </c>
      <c r="L3145">
        <v>220053</v>
      </c>
      <c r="M3145">
        <v>-119532</v>
      </c>
      <c r="N3145">
        <v>213513</v>
      </c>
      <c r="O3145" t="s">
        <v>3163</v>
      </c>
      <c r="P3145" s="9">
        <v>233058</v>
      </c>
      <c r="Q3145" s="9">
        <v>26420</v>
      </c>
      <c r="R3145" s="9">
        <v>259478</v>
      </c>
      <c r="S3145" s="9">
        <v>-89421</v>
      </c>
      <c r="T3145" s="10">
        <v>67851</v>
      </c>
      <c r="U3145" s="10">
        <v>1787</v>
      </c>
    </row>
    <row r="3146" spans="1:21" x14ac:dyDescent="0.35">
      <c r="A3146" t="s">
        <v>15</v>
      </c>
      <c r="B3146" t="s">
        <v>20</v>
      </c>
      <c r="C3146" t="s">
        <v>21</v>
      </c>
      <c r="D3146">
        <v>278793</v>
      </c>
      <c r="E3146">
        <v>52259</v>
      </c>
      <c r="F3146">
        <v>58830</v>
      </c>
      <c r="G3146">
        <v>-249516</v>
      </c>
      <c r="H3146">
        <v>140366</v>
      </c>
      <c r="I3146">
        <v>135072</v>
      </c>
      <c r="J3146">
        <v>3405</v>
      </c>
      <c r="K3146">
        <v>1078369</v>
      </c>
      <c r="L3146">
        <v>481208</v>
      </c>
      <c r="M3146">
        <v>-400138</v>
      </c>
      <c r="N3146">
        <v>113610</v>
      </c>
      <c r="O3146" t="s">
        <v>3164</v>
      </c>
      <c r="P3146" s="9">
        <v>157044</v>
      </c>
      <c r="Q3146" s="9">
        <v>29977</v>
      </c>
      <c r="R3146" s="9">
        <v>187021</v>
      </c>
      <c r="S3146" s="9">
        <v>-92869</v>
      </c>
      <c r="T3146" s="10">
        <v>59240</v>
      </c>
      <c r="U3146" s="10">
        <v>1019</v>
      </c>
    </row>
    <row r="3147" spans="1:21" x14ac:dyDescent="0.35">
      <c r="A3147" t="s">
        <v>15</v>
      </c>
      <c r="B3147" t="s">
        <v>16</v>
      </c>
      <c r="C3147" t="s">
        <v>21</v>
      </c>
      <c r="D3147">
        <v>225763</v>
      </c>
      <c r="E3147">
        <v>12377</v>
      </c>
      <c r="F3147">
        <v>29799</v>
      </c>
      <c r="G3147">
        <v>-220929</v>
      </c>
      <c r="H3147">
        <v>47010</v>
      </c>
      <c r="I3147">
        <v>45641</v>
      </c>
      <c r="J3147">
        <v>854</v>
      </c>
      <c r="K3147">
        <v>764514</v>
      </c>
      <c r="L3147">
        <v>128437</v>
      </c>
      <c r="M3147">
        <v>-125844</v>
      </c>
      <c r="N3147">
        <v>126543</v>
      </c>
      <c r="O3147" t="s">
        <v>3165</v>
      </c>
      <c r="P3147" s="9">
        <v>161119</v>
      </c>
      <c r="Q3147" s="9">
        <v>11210</v>
      </c>
      <c r="R3147" s="9">
        <v>172329</v>
      </c>
      <c r="S3147" s="9">
        <v>-51870</v>
      </c>
      <c r="T3147" s="10">
        <v>51490</v>
      </c>
      <c r="U3147" s="10">
        <v>1337</v>
      </c>
    </row>
    <row r="3148" spans="1:21" x14ac:dyDescent="0.35">
      <c r="A3148" t="s">
        <v>15</v>
      </c>
      <c r="B3148" t="s">
        <v>20</v>
      </c>
      <c r="C3148" t="s">
        <v>21</v>
      </c>
      <c r="D3148">
        <v>246584</v>
      </c>
      <c r="E3148">
        <v>26057</v>
      </c>
      <c r="F3148">
        <v>38678</v>
      </c>
      <c r="G3148">
        <v>-227271</v>
      </c>
      <c r="H3148">
        <v>84048</v>
      </c>
      <c r="I3148">
        <v>83415</v>
      </c>
      <c r="J3148">
        <v>1847</v>
      </c>
      <c r="K3148">
        <v>875457</v>
      </c>
      <c r="L3148">
        <v>185009</v>
      </c>
      <c r="M3148">
        <v>-116138</v>
      </c>
      <c r="N3148">
        <v>178852</v>
      </c>
      <c r="O3148" t="s">
        <v>3166</v>
      </c>
      <c r="P3148" s="9">
        <v>238960</v>
      </c>
      <c r="Q3148" s="9">
        <v>41789</v>
      </c>
      <c r="R3148" s="9">
        <v>280749</v>
      </c>
      <c r="S3148" s="9">
        <v>-72039</v>
      </c>
      <c r="T3148" s="10">
        <v>79391</v>
      </c>
      <c r="U3148" s="10">
        <v>825</v>
      </c>
    </row>
    <row r="3149" spans="1:21" x14ac:dyDescent="0.35">
      <c r="A3149" t="s">
        <v>15</v>
      </c>
      <c r="B3149" t="s">
        <v>20</v>
      </c>
      <c r="C3149" t="s">
        <v>17</v>
      </c>
      <c r="D3149">
        <v>284569</v>
      </c>
      <c r="E3149">
        <v>14445</v>
      </c>
      <c r="F3149">
        <v>66118</v>
      </c>
      <c r="G3149">
        <v>-253304</v>
      </c>
      <c r="H3149">
        <v>111828</v>
      </c>
      <c r="I3149">
        <v>115156</v>
      </c>
      <c r="J3149">
        <v>1400</v>
      </c>
      <c r="K3149">
        <v>774902</v>
      </c>
      <c r="L3149">
        <v>137605</v>
      </c>
      <c r="M3149">
        <v>-143809</v>
      </c>
      <c r="N3149">
        <v>155827</v>
      </c>
      <c r="O3149" t="s">
        <v>3167</v>
      </c>
      <c r="P3149" s="9">
        <v>242405</v>
      </c>
      <c r="Q3149" s="9">
        <v>36403</v>
      </c>
      <c r="R3149" s="9">
        <v>278808</v>
      </c>
      <c r="S3149" s="9">
        <v>-112481</v>
      </c>
      <c r="T3149" s="10">
        <v>102323</v>
      </c>
      <c r="U3149" s="10">
        <v>1398</v>
      </c>
    </row>
    <row r="3150" spans="1:21" x14ac:dyDescent="0.35">
      <c r="A3150" t="s">
        <v>15</v>
      </c>
      <c r="B3150" t="s">
        <v>16</v>
      </c>
      <c r="C3150" t="s">
        <v>17</v>
      </c>
      <c r="D3150">
        <v>153021</v>
      </c>
      <c r="E3150">
        <v>10849</v>
      </c>
      <c r="F3150">
        <v>36547</v>
      </c>
      <c r="G3150">
        <v>-131258</v>
      </c>
      <c r="H3150">
        <v>69159</v>
      </c>
      <c r="I3150">
        <v>70217</v>
      </c>
      <c r="J3150">
        <v>1349</v>
      </c>
      <c r="K3150">
        <v>406044</v>
      </c>
      <c r="L3150">
        <v>182933</v>
      </c>
      <c r="M3150">
        <v>-117188</v>
      </c>
      <c r="N3150">
        <v>108105</v>
      </c>
      <c r="O3150" t="s">
        <v>3168</v>
      </c>
      <c r="P3150" s="9">
        <v>273027</v>
      </c>
      <c r="Q3150" s="9">
        <v>40762</v>
      </c>
      <c r="R3150" s="9">
        <v>313789</v>
      </c>
      <c r="S3150" s="9">
        <v>-123957</v>
      </c>
      <c r="T3150" s="10">
        <v>121882</v>
      </c>
      <c r="U3150" s="10">
        <v>2471</v>
      </c>
    </row>
    <row r="3151" spans="1:21" x14ac:dyDescent="0.35">
      <c r="A3151" t="s">
        <v>15</v>
      </c>
      <c r="B3151" t="s">
        <v>20</v>
      </c>
      <c r="C3151" t="s">
        <v>21</v>
      </c>
      <c r="D3151">
        <v>263605</v>
      </c>
      <c r="E3151">
        <v>39525</v>
      </c>
      <c r="F3151">
        <v>64109</v>
      </c>
      <c r="G3151">
        <v>-212207</v>
      </c>
      <c r="H3151">
        <v>155032</v>
      </c>
      <c r="I3151">
        <v>156055</v>
      </c>
      <c r="J3151">
        <v>3823</v>
      </c>
      <c r="K3151">
        <v>554745</v>
      </c>
      <c r="L3151">
        <v>57623</v>
      </c>
      <c r="M3151">
        <v>-168735</v>
      </c>
      <c r="N3151">
        <v>166909</v>
      </c>
      <c r="O3151" t="s">
        <v>3169</v>
      </c>
      <c r="P3151" s="9">
        <v>199866</v>
      </c>
      <c r="Q3151" s="9">
        <v>34065</v>
      </c>
      <c r="R3151" s="9">
        <v>233931</v>
      </c>
      <c r="S3151" s="9">
        <v>-87295</v>
      </c>
      <c r="T3151" s="10">
        <v>69470</v>
      </c>
      <c r="U3151" s="10">
        <v>1977</v>
      </c>
    </row>
    <row r="3152" spans="1:21" x14ac:dyDescent="0.35">
      <c r="A3152" t="s">
        <v>15</v>
      </c>
      <c r="B3152" t="s">
        <v>16</v>
      </c>
      <c r="C3152" t="s">
        <v>21</v>
      </c>
      <c r="D3152">
        <v>262683</v>
      </c>
      <c r="E3152">
        <v>20086</v>
      </c>
      <c r="F3152">
        <v>49322</v>
      </c>
      <c r="G3152">
        <v>-240286</v>
      </c>
      <c r="H3152">
        <v>91805</v>
      </c>
      <c r="I3152">
        <v>96085</v>
      </c>
      <c r="J3152">
        <v>1809</v>
      </c>
      <c r="K3152">
        <v>966455</v>
      </c>
      <c r="L3152">
        <v>479799</v>
      </c>
      <c r="M3152">
        <v>-138337</v>
      </c>
      <c r="N3152">
        <v>236056</v>
      </c>
      <c r="O3152" t="s">
        <v>3170</v>
      </c>
      <c r="P3152" s="9">
        <v>253391</v>
      </c>
      <c r="Q3152" s="9">
        <v>34231</v>
      </c>
      <c r="R3152" s="9">
        <v>287622</v>
      </c>
      <c r="S3152" s="9">
        <v>-129917</v>
      </c>
      <c r="T3152" s="10">
        <v>87893</v>
      </c>
      <c r="U3152" s="10">
        <v>1322</v>
      </c>
    </row>
    <row r="3153" spans="1:21" x14ac:dyDescent="0.35">
      <c r="A3153" t="s">
        <v>15</v>
      </c>
      <c r="B3153" t="s">
        <v>16</v>
      </c>
      <c r="C3153" t="s">
        <v>17</v>
      </c>
      <c r="D3153">
        <v>174790</v>
      </c>
      <c r="E3153">
        <v>19450</v>
      </c>
      <c r="F3153">
        <v>19247</v>
      </c>
      <c r="G3153">
        <v>-153464</v>
      </c>
      <c r="H3153">
        <v>60023</v>
      </c>
      <c r="I3153">
        <v>55724</v>
      </c>
      <c r="J3153">
        <v>1361</v>
      </c>
      <c r="K3153">
        <v>544207</v>
      </c>
      <c r="L3153">
        <v>59322</v>
      </c>
      <c r="M3153">
        <v>-199419</v>
      </c>
      <c r="N3153">
        <v>150316</v>
      </c>
      <c r="O3153" t="s">
        <v>3171</v>
      </c>
      <c r="P3153" s="9">
        <v>226302</v>
      </c>
      <c r="Q3153" s="9">
        <v>19936</v>
      </c>
      <c r="R3153" s="9">
        <v>246238</v>
      </c>
      <c r="S3153" s="9">
        <v>-100664</v>
      </c>
      <c r="T3153" s="10">
        <v>47734</v>
      </c>
      <c r="U3153" s="10">
        <v>585</v>
      </c>
    </row>
    <row r="3154" spans="1:21" x14ac:dyDescent="0.35">
      <c r="A3154" t="s">
        <v>15</v>
      </c>
      <c r="B3154" t="s">
        <v>20</v>
      </c>
      <c r="C3154" t="s">
        <v>17</v>
      </c>
      <c r="D3154">
        <v>268641</v>
      </c>
      <c r="E3154">
        <v>48820</v>
      </c>
      <c r="F3154">
        <v>37623</v>
      </c>
      <c r="G3154">
        <v>-249011</v>
      </c>
      <c r="H3154">
        <v>106073</v>
      </c>
      <c r="I3154">
        <v>105608</v>
      </c>
      <c r="J3154">
        <v>1081</v>
      </c>
      <c r="K3154">
        <v>733829</v>
      </c>
      <c r="L3154">
        <v>134022</v>
      </c>
      <c r="M3154">
        <v>-228147</v>
      </c>
      <c r="N3154">
        <v>97793</v>
      </c>
      <c r="O3154" t="s">
        <v>3172</v>
      </c>
      <c r="P3154" s="9">
        <v>204997</v>
      </c>
      <c r="Q3154" s="9">
        <v>31526</v>
      </c>
      <c r="R3154" s="9">
        <v>236523</v>
      </c>
      <c r="S3154" s="9">
        <v>-71939</v>
      </c>
      <c r="T3154" s="10">
        <v>57357</v>
      </c>
      <c r="U3154" s="10">
        <v>1611</v>
      </c>
    </row>
    <row r="3155" spans="1:21" x14ac:dyDescent="0.35">
      <c r="A3155" t="s">
        <v>15</v>
      </c>
      <c r="B3155" t="s">
        <v>16</v>
      </c>
      <c r="C3155" t="s">
        <v>17</v>
      </c>
      <c r="D3155">
        <v>232391</v>
      </c>
      <c r="E3155">
        <v>39106</v>
      </c>
      <c r="F3155">
        <v>40960</v>
      </c>
      <c r="G3155">
        <v>-205089</v>
      </c>
      <c r="H3155">
        <v>107368</v>
      </c>
      <c r="I3155">
        <v>103840</v>
      </c>
      <c r="J3155">
        <v>2441</v>
      </c>
      <c r="K3155">
        <v>539374</v>
      </c>
      <c r="L3155">
        <v>165359</v>
      </c>
      <c r="M3155">
        <v>-104908</v>
      </c>
      <c r="N3155">
        <v>127679</v>
      </c>
      <c r="O3155" t="s">
        <v>3173</v>
      </c>
      <c r="P3155" s="9">
        <v>224385</v>
      </c>
      <c r="Q3155" s="9">
        <v>29027</v>
      </c>
      <c r="R3155" s="9">
        <v>253412</v>
      </c>
      <c r="S3155" s="9">
        <v>-71757</v>
      </c>
      <c r="T3155" s="10">
        <v>108279</v>
      </c>
      <c r="U3155" s="10">
        <v>1496</v>
      </c>
    </row>
    <row r="3156" spans="1:21" x14ac:dyDescent="0.35">
      <c r="A3156" t="s">
        <v>15</v>
      </c>
      <c r="B3156" t="s">
        <v>16</v>
      </c>
      <c r="C3156" t="s">
        <v>17</v>
      </c>
      <c r="D3156">
        <v>203348</v>
      </c>
      <c r="E3156">
        <v>37839</v>
      </c>
      <c r="F3156">
        <v>43634</v>
      </c>
      <c r="G3156">
        <v>-166917</v>
      </c>
      <c r="H3156">
        <v>117904</v>
      </c>
      <c r="I3156">
        <v>120758</v>
      </c>
      <c r="J3156">
        <v>2872</v>
      </c>
      <c r="K3156">
        <v>653587</v>
      </c>
      <c r="L3156">
        <v>219233</v>
      </c>
      <c r="M3156">
        <v>-241090</v>
      </c>
      <c r="N3156">
        <v>69821</v>
      </c>
      <c r="O3156" t="s">
        <v>3174</v>
      </c>
      <c r="P3156" s="9">
        <v>213616</v>
      </c>
      <c r="Q3156" s="9">
        <v>25329</v>
      </c>
      <c r="R3156" s="9">
        <v>238945</v>
      </c>
      <c r="S3156" s="9">
        <v>-86137</v>
      </c>
      <c r="T3156" s="10">
        <v>93909</v>
      </c>
      <c r="U3156" s="10">
        <v>1855</v>
      </c>
    </row>
    <row r="3157" spans="1:21" x14ac:dyDescent="0.35">
      <c r="A3157" t="s">
        <v>15</v>
      </c>
      <c r="B3157" t="s">
        <v>20</v>
      </c>
      <c r="C3157" t="s">
        <v>21</v>
      </c>
      <c r="D3157">
        <v>271354</v>
      </c>
      <c r="E3157">
        <v>33109</v>
      </c>
      <c r="F3157">
        <v>66836</v>
      </c>
      <c r="G3157">
        <v>-263656</v>
      </c>
      <c r="H3157">
        <v>107643</v>
      </c>
      <c r="I3157">
        <v>99312</v>
      </c>
      <c r="J3157">
        <v>1418</v>
      </c>
      <c r="K3157">
        <v>672633</v>
      </c>
      <c r="L3157">
        <v>184560</v>
      </c>
      <c r="M3157">
        <v>-251041</v>
      </c>
      <c r="N3157">
        <v>86510</v>
      </c>
      <c r="O3157" t="s">
        <v>3175</v>
      </c>
      <c r="P3157" s="9">
        <v>206049</v>
      </c>
      <c r="Q3157" s="9">
        <v>22637</v>
      </c>
      <c r="R3157" s="9">
        <v>228686</v>
      </c>
      <c r="S3157" s="9">
        <v>-127429</v>
      </c>
      <c r="T3157" s="10">
        <v>64036</v>
      </c>
      <c r="U3157" s="10">
        <v>1796</v>
      </c>
    </row>
    <row r="3158" spans="1:21" x14ac:dyDescent="0.35">
      <c r="A3158" t="s">
        <v>15</v>
      </c>
      <c r="B3158" t="s">
        <v>20</v>
      </c>
      <c r="C3158" t="s">
        <v>21</v>
      </c>
      <c r="D3158">
        <v>286242</v>
      </c>
      <c r="E3158">
        <v>21165</v>
      </c>
      <c r="F3158">
        <v>40222</v>
      </c>
      <c r="G3158">
        <v>-285583</v>
      </c>
      <c r="H3158">
        <v>62046</v>
      </c>
      <c r="I3158">
        <v>61480</v>
      </c>
      <c r="J3158">
        <v>1132</v>
      </c>
      <c r="K3158">
        <v>750050</v>
      </c>
      <c r="L3158">
        <v>146937</v>
      </c>
      <c r="M3158">
        <v>-247916</v>
      </c>
      <c r="N3158">
        <v>126706</v>
      </c>
      <c r="O3158" t="s">
        <v>3176</v>
      </c>
      <c r="P3158" s="9">
        <v>162154</v>
      </c>
      <c r="Q3158" s="9">
        <v>16608</v>
      </c>
      <c r="R3158" s="9">
        <v>178762</v>
      </c>
      <c r="S3158" s="9">
        <v>-56608</v>
      </c>
      <c r="T3158" s="10">
        <v>79542</v>
      </c>
      <c r="U3158" s="10">
        <v>2297</v>
      </c>
    </row>
    <row r="3159" spans="1:21" x14ac:dyDescent="0.35">
      <c r="A3159" t="s">
        <v>15</v>
      </c>
      <c r="B3159" t="s">
        <v>20</v>
      </c>
      <c r="C3159" t="s">
        <v>21</v>
      </c>
      <c r="D3159">
        <v>157218</v>
      </c>
      <c r="E3159">
        <v>18366</v>
      </c>
      <c r="F3159">
        <v>22491</v>
      </c>
      <c r="G3159">
        <v>-148062</v>
      </c>
      <c r="H3159">
        <v>50013</v>
      </c>
      <c r="I3159">
        <v>49566</v>
      </c>
      <c r="J3159">
        <v>1429</v>
      </c>
      <c r="K3159">
        <v>396018</v>
      </c>
      <c r="L3159">
        <v>145115</v>
      </c>
      <c r="M3159">
        <v>-127352</v>
      </c>
      <c r="N3159">
        <v>123394</v>
      </c>
      <c r="O3159" t="s">
        <v>3177</v>
      </c>
      <c r="P3159" s="9">
        <v>222679</v>
      </c>
      <c r="Q3159" s="9">
        <v>25610</v>
      </c>
      <c r="R3159" s="9">
        <v>248289</v>
      </c>
      <c r="S3159" s="9">
        <v>-62205</v>
      </c>
      <c r="T3159" s="10">
        <v>87068</v>
      </c>
      <c r="U3159" s="10">
        <v>1219</v>
      </c>
    </row>
    <row r="3160" spans="1:21" x14ac:dyDescent="0.35">
      <c r="A3160" t="s">
        <v>15</v>
      </c>
      <c r="B3160" t="s">
        <v>20</v>
      </c>
      <c r="C3160" t="s">
        <v>21</v>
      </c>
      <c r="D3160">
        <v>273470</v>
      </c>
      <c r="E3160">
        <v>52464</v>
      </c>
      <c r="F3160">
        <v>54373</v>
      </c>
      <c r="G3160">
        <v>-267128</v>
      </c>
      <c r="H3160">
        <v>113179</v>
      </c>
      <c r="I3160">
        <v>111063</v>
      </c>
      <c r="J3160">
        <v>3224</v>
      </c>
      <c r="K3160">
        <v>841173</v>
      </c>
      <c r="L3160">
        <v>396410</v>
      </c>
      <c r="M3160">
        <v>-209404</v>
      </c>
      <c r="N3160">
        <v>190586</v>
      </c>
      <c r="O3160" t="s">
        <v>3178</v>
      </c>
      <c r="P3160" s="9">
        <v>273009</v>
      </c>
      <c r="Q3160" s="9">
        <v>44294</v>
      </c>
      <c r="R3160" s="9">
        <v>317303</v>
      </c>
      <c r="S3160" s="9">
        <v>-96444</v>
      </c>
      <c r="T3160" s="10">
        <v>98555</v>
      </c>
      <c r="U3160" s="10">
        <v>1618</v>
      </c>
    </row>
    <row r="3161" spans="1:21" x14ac:dyDescent="0.35">
      <c r="A3161" t="s">
        <v>15</v>
      </c>
      <c r="B3161" t="s">
        <v>20</v>
      </c>
      <c r="C3161" t="s">
        <v>21</v>
      </c>
      <c r="D3161">
        <v>292939</v>
      </c>
      <c r="E3161">
        <v>43465</v>
      </c>
      <c r="F3161">
        <v>56803</v>
      </c>
      <c r="G3161">
        <v>-266641</v>
      </c>
      <c r="H3161">
        <v>126566</v>
      </c>
      <c r="I3161">
        <v>115936</v>
      </c>
      <c r="J3161">
        <v>3013</v>
      </c>
      <c r="K3161">
        <v>1134929</v>
      </c>
      <c r="L3161">
        <v>191221</v>
      </c>
      <c r="M3161">
        <v>-188221</v>
      </c>
      <c r="N3161">
        <v>186401</v>
      </c>
      <c r="O3161" t="s">
        <v>3179</v>
      </c>
      <c r="P3161" s="9">
        <v>157493</v>
      </c>
      <c r="Q3161" s="9">
        <v>15433</v>
      </c>
      <c r="R3161" s="9">
        <v>172926</v>
      </c>
      <c r="S3161" s="9">
        <v>-43842</v>
      </c>
      <c r="T3161" s="10">
        <v>53546</v>
      </c>
      <c r="U3161" s="10">
        <v>819</v>
      </c>
    </row>
    <row r="3162" spans="1:21" x14ac:dyDescent="0.35">
      <c r="A3162" t="s">
        <v>15</v>
      </c>
      <c r="B3162" t="s">
        <v>20</v>
      </c>
      <c r="C3162" t="s">
        <v>21</v>
      </c>
      <c r="D3162">
        <v>226282</v>
      </c>
      <c r="E3162">
        <v>42036</v>
      </c>
      <c r="F3162">
        <v>42158</v>
      </c>
      <c r="G3162">
        <v>-185927</v>
      </c>
      <c r="H3162">
        <v>124549</v>
      </c>
      <c r="I3162">
        <v>112701</v>
      </c>
      <c r="J3162">
        <v>2596</v>
      </c>
      <c r="K3162">
        <v>873033</v>
      </c>
      <c r="L3162">
        <v>128914</v>
      </c>
      <c r="M3162">
        <v>-216230</v>
      </c>
      <c r="N3162">
        <v>87205</v>
      </c>
      <c r="O3162" t="s">
        <v>3180</v>
      </c>
      <c r="P3162" s="9">
        <v>228515</v>
      </c>
      <c r="Q3162" s="9">
        <v>31684</v>
      </c>
      <c r="R3162" s="9">
        <v>260199</v>
      </c>
      <c r="S3162" s="9">
        <v>-69584</v>
      </c>
      <c r="T3162" s="10">
        <v>69327</v>
      </c>
      <c r="U3162" s="10">
        <v>1251</v>
      </c>
    </row>
    <row r="3163" spans="1:21" x14ac:dyDescent="0.35">
      <c r="A3163" t="s">
        <v>15</v>
      </c>
      <c r="B3163" t="s">
        <v>16</v>
      </c>
      <c r="C3163" t="s">
        <v>21</v>
      </c>
      <c r="D3163">
        <v>290309</v>
      </c>
      <c r="E3163">
        <v>32672</v>
      </c>
      <c r="F3163">
        <v>42824</v>
      </c>
      <c r="G3163">
        <v>-236799</v>
      </c>
      <c r="H3163">
        <v>129006</v>
      </c>
      <c r="I3163">
        <v>119759</v>
      </c>
      <c r="J3163">
        <v>2841</v>
      </c>
      <c r="K3163">
        <v>588684</v>
      </c>
      <c r="L3163">
        <v>120110</v>
      </c>
      <c r="M3163">
        <v>-114597</v>
      </c>
      <c r="N3163">
        <v>173024</v>
      </c>
      <c r="O3163" t="s">
        <v>3181</v>
      </c>
      <c r="P3163" s="9">
        <v>198029</v>
      </c>
      <c r="Q3163" s="9">
        <v>33849</v>
      </c>
      <c r="R3163" s="9">
        <v>231878</v>
      </c>
      <c r="S3163" s="9">
        <v>-48476</v>
      </c>
      <c r="T3163" s="10">
        <v>79775</v>
      </c>
      <c r="U3163" s="10">
        <v>1497</v>
      </c>
    </row>
    <row r="3164" spans="1:21" x14ac:dyDescent="0.35">
      <c r="A3164" t="s">
        <v>15</v>
      </c>
      <c r="B3164" t="s">
        <v>16</v>
      </c>
      <c r="C3164" t="s">
        <v>17</v>
      </c>
      <c r="D3164">
        <v>277443</v>
      </c>
      <c r="E3164">
        <v>41139</v>
      </c>
      <c r="F3164">
        <v>53979</v>
      </c>
      <c r="G3164">
        <v>-274698</v>
      </c>
      <c r="H3164">
        <v>97863</v>
      </c>
      <c r="I3164">
        <v>93418</v>
      </c>
      <c r="J3164">
        <v>1834</v>
      </c>
      <c r="K3164">
        <v>1078853</v>
      </c>
      <c r="L3164">
        <v>234501</v>
      </c>
      <c r="M3164">
        <v>-150042</v>
      </c>
      <c r="N3164">
        <v>155487</v>
      </c>
      <c r="O3164" t="s">
        <v>3182</v>
      </c>
      <c r="P3164" s="9">
        <v>225757</v>
      </c>
      <c r="Q3164" s="9">
        <v>27188</v>
      </c>
      <c r="R3164" s="9">
        <v>252945</v>
      </c>
      <c r="S3164" s="9">
        <v>-67583</v>
      </c>
      <c r="T3164" s="10">
        <v>84331</v>
      </c>
      <c r="U3164" s="10">
        <v>2472</v>
      </c>
    </row>
    <row r="3165" spans="1:21" x14ac:dyDescent="0.35">
      <c r="A3165" t="s">
        <v>15</v>
      </c>
      <c r="B3165" t="s">
        <v>20</v>
      </c>
      <c r="C3165" t="s">
        <v>21</v>
      </c>
      <c r="D3165">
        <v>257815</v>
      </c>
      <c r="E3165">
        <v>47132</v>
      </c>
      <c r="F3165">
        <v>33065</v>
      </c>
      <c r="G3165">
        <v>-238476</v>
      </c>
      <c r="H3165">
        <v>99536</v>
      </c>
      <c r="I3165">
        <v>91965</v>
      </c>
      <c r="J3165">
        <v>2473</v>
      </c>
      <c r="K3165">
        <v>941678</v>
      </c>
      <c r="L3165">
        <v>322692</v>
      </c>
      <c r="M3165">
        <v>-260171</v>
      </c>
      <c r="N3165">
        <v>207275</v>
      </c>
      <c r="O3165" t="s">
        <v>3183</v>
      </c>
      <c r="P3165" s="9">
        <v>291653</v>
      </c>
      <c r="Q3165" s="9">
        <v>22541</v>
      </c>
      <c r="R3165" s="9">
        <v>314194</v>
      </c>
      <c r="S3165" s="9">
        <v>-151330</v>
      </c>
      <c r="T3165" s="10">
        <v>117467</v>
      </c>
      <c r="U3165" s="10">
        <v>2994</v>
      </c>
    </row>
    <row r="3166" spans="1:21" x14ac:dyDescent="0.35">
      <c r="A3166" t="s">
        <v>15</v>
      </c>
      <c r="B3166" t="s">
        <v>16</v>
      </c>
      <c r="C3166" t="s">
        <v>21</v>
      </c>
      <c r="D3166">
        <v>210805</v>
      </c>
      <c r="E3166">
        <v>17511</v>
      </c>
      <c r="F3166">
        <v>28489</v>
      </c>
      <c r="G3166">
        <v>-198268</v>
      </c>
      <c r="H3166">
        <v>58537</v>
      </c>
      <c r="I3166">
        <v>59796</v>
      </c>
      <c r="J3166">
        <v>1142</v>
      </c>
      <c r="K3166">
        <v>840671</v>
      </c>
      <c r="L3166">
        <v>318194</v>
      </c>
      <c r="M3166">
        <v>-298741</v>
      </c>
      <c r="N3166">
        <v>132105</v>
      </c>
      <c r="O3166" t="s">
        <v>3184</v>
      </c>
      <c r="P3166" s="9">
        <v>212050</v>
      </c>
      <c r="Q3166" s="9">
        <v>22119</v>
      </c>
      <c r="R3166" s="9">
        <v>234169</v>
      </c>
      <c r="S3166" s="9">
        <v>-80509</v>
      </c>
      <c r="T3166" s="10">
        <v>48782</v>
      </c>
      <c r="U3166" s="10">
        <v>1368</v>
      </c>
    </row>
    <row r="3167" spans="1:21" x14ac:dyDescent="0.35">
      <c r="A3167" t="s">
        <v>15</v>
      </c>
      <c r="B3167" t="s">
        <v>20</v>
      </c>
      <c r="C3167" t="s">
        <v>21</v>
      </c>
      <c r="D3167">
        <v>216544</v>
      </c>
      <c r="E3167">
        <v>37177</v>
      </c>
      <c r="F3167">
        <v>42704</v>
      </c>
      <c r="G3167">
        <v>-177894</v>
      </c>
      <c r="H3167">
        <v>118531</v>
      </c>
      <c r="I3167">
        <v>123896</v>
      </c>
      <c r="J3167">
        <v>3144</v>
      </c>
      <c r="K3167">
        <v>717528</v>
      </c>
      <c r="L3167">
        <v>210341</v>
      </c>
      <c r="M3167">
        <v>-197280</v>
      </c>
      <c r="N3167">
        <v>157969</v>
      </c>
      <c r="O3167" t="s">
        <v>3185</v>
      </c>
      <c r="P3167" s="9">
        <v>243319</v>
      </c>
      <c r="Q3167" s="9">
        <v>40716</v>
      </c>
      <c r="R3167" s="9">
        <v>284035</v>
      </c>
      <c r="S3167" s="9">
        <v>-86702</v>
      </c>
      <c r="T3167" s="10">
        <v>98431</v>
      </c>
      <c r="U3167" s="10">
        <v>2487</v>
      </c>
    </row>
    <row r="3168" spans="1:21" x14ac:dyDescent="0.35">
      <c r="A3168" t="s">
        <v>15</v>
      </c>
      <c r="B3168" t="s">
        <v>16</v>
      </c>
      <c r="C3168" t="s">
        <v>21</v>
      </c>
      <c r="D3168">
        <v>282685</v>
      </c>
      <c r="E3168">
        <v>30110</v>
      </c>
      <c r="F3168">
        <v>43132</v>
      </c>
      <c r="G3168">
        <v>-274665</v>
      </c>
      <c r="H3168">
        <v>81262</v>
      </c>
      <c r="I3168">
        <v>77282</v>
      </c>
      <c r="J3168">
        <v>1630</v>
      </c>
      <c r="K3168">
        <v>1114768</v>
      </c>
      <c r="L3168">
        <v>127067</v>
      </c>
      <c r="M3168">
        <v>-226640</v>
      </c>
      <c r="N3168">
        <v>161201</v>
      </c>
      <c r="O3168" t="s">
        <v>3186</v>
      </c>
      <c r="P3168" s="9">
        <v>195127</v>
      </c>
      <c r="Q3168" s="9">
        <v>21187</v>
      </c>
      <c r="R3168" s="9">
        <v>216314</v>
      </c>
      <c r="S3168" s="9">
        <v>-98700</v>
      </c>
      <c r="T3168" s="10">
        <v>88172</v>
      </c>
      <c r="U3168" s="10">
        <v>2310</v>
      </c>
    </row>
    <row r="3169" spans="1:21" x14ac:dyDescent="0.35">
      <c r="A3169" t="s">
        <v>15</v>
      </c>
      <c r="B3169" t="s">
        <v>16</v>
      </c>
      <c r="C3169" t="s">
        <v>21</v>
      </c>
      <c r="D3169">
        <v>257777</v>
      </c>
      <c r="E3169">
        <v>38926</v>
      </c>
      <c r="F3169">
        <v>27944</v>
      </c>
      <c r="G3169">
        <v>-231048</v>
      </c>
      <c r="H3169">
        <v>93599</v>
      </c>
      <c r="I3169">
        <v>91720</v>
      </c>
      <c r="J3169">
        <v>1108</v>
      </c>
      <c r="K3169">
        <v>816447</v>
      </c>
      <c r="L3169">
        <v>268306</v>
      </c>
      <c r="M3169">
        <v>-81911</v>
      </c>
      <c r="N3169">
        <v>186608</v>
      </c>
      <c r="O3169" t="s">
        <v>3187</v>
      </c>
      <c r="P3169" s="9">
        <v>209417</v>
      </c>
      <c r="Q3169" s="9">
        <v>11835</v>
      </c>
      <c r="R3169" s="9">
        <v>221252</v>
      </c>
      <c r="S3169" s="9">
        <v>-91265</v>
      </c>
      <c r="T3169" s="10">
        <v>59266</v>
      </c>
      <c r="U3169" s="10">
        <v>1077</v>
      </c>
    </row>
    <row r="3170" spans="1:21" x14ac:dyDescent="0.35">
      <c r="A3170" t="s">
        <v>15</v>
      </c>
      <c r="B3170" t="s">
        <v>16</v>
      </c>
      <c r="C3170" t="s">
        <v>21</v>
      </c>
      <c r="D3170">
        <v>175370</v>
      </c>
      <c r="E3170">
        <v>27484</v>
      </c>
      <c r="F3170">
        <v>41789</v>
      </c>
      <c r="G3170">
        <v>-172946</v>
      </c>
      <c r="H3170">
        <v>71697</v>
      </c>
      <c r="I3170">
        <v>72324</v>
      </c>
      <c r="J3170">
        <v>894</v>
      </c>
      <c r="K3170">
        <v>672083</v>
      </c>
      <c r="L3170">
        <v>68698</v>
      </c>
      <c r="M3170">
        <v>-190309</v>
      </c>
      <c r="N3170">
        <v>66744</v>
      </c>
      <c r="O3170" t="s">
        <v>3188</v>
      </c>
      <c r="P3170" s="9">
        <v>271780</v>
      </c>
      <c r="Q3170" s="9">
        <v>45209</v>
      </c>
      <c r="R3170" s="9">
        <v>316989</v>
      </c>
      <c r="S3170" s="9">
        <v>-164699</v>
      </c>
      <c r="T3170" s="10">
        <v>115922</v>
      </c>
      <c r="U3170" s="10">
        <v>1520</v>
      </c>
    </row>
    <row r="3171" spans="1:21" x14ac:dyDescent="0.35">
      <c r="A3171" t="s">
        <v>15</v>
      </c>
      <c r="B3171" t="s">
        <v>16</v>
      </c>
      <c r="C3171" t="s">
        <v>21</v>
      </c>
      <c r="D3171">
        <v>183810</v>
      </c>
      <c r="E3171">
        <v>23166</v>
      </c>
      <c r="F3171">
        <v>42601</v>
      </c>
      <c r="G3171">
        <v>-178567</v>
      </c>
      <c r="H3171">
        <v>71010</v>
      </c>
      <c r="I3171">
        <v>65169</v>
      </c>
      <c r="J3171">
        <v>1768</v>
      </c>
      <c r="K3171">
        <v>689986</v>
      </c>
      <c r="L3171">
        <v>106001</v>
      </c>
      <c r="M3171">
        <v>-258623</v>
      </c>
      <c r="N3171">
        <v>57199</v>
      </c>
      <c r="O3171" t="s">
        <v>3189</v>
      </c>
      <c r="P3171" s="9">
        <v>258598</v>
      </c>
      <c r="Q3171" s="9">
        <v>43591</v>
      </c>
      <c r="R3171" s="9">
        <v>302189</v>
      </c>
      <c r="S3171" s="9">
        <v>-85417</v>
      </c>
      <c r="T3171" s="10">
        <v>120074</v>
      </c>
      <c r="U3171" s="10">
        <v>1960</v>
      </c>
    </row>
    <row r="3172" spans="1:21" x14ac:dyDescent="0.35">
      <c r="A3172" t="s">
        <v>15</v>
      </c>
      <c r="B3172" t="s">
        <v>16</v>
      </c>
      <c r="C3172" t="s">
        <v>21</v>
      </c>
      <c r="D3172">
        <v>293320</v>
      </c>
      <c r="E3172">
        <v>18574</v>
      </c>
      <c r="F3172">
        <v>40963</v>
      </c>
      <c r="G3172">
        <v>-278127</v>
      </c>
      <c r="H3172">
        <v>74730</v>
      </c>
      <c r="I3172">
        <v>77724</v>
      </c>
      <c r="J3172">
        <v>1547</v>
      </c>
      <c r="K3172">
        <v>1155989</v>
      </c>
      <c r="L3172">
        <v>164750</v>
      </c>
      <c r="M3172">
        <v>-339906</v>
      </c>
      <c r="N3172">
        <v>185333</v>
      </c>
      <c r="O3172" t="s">
        <v>3190</v>
      </c>
      <c r="P3172" s="9">
        <v>272395</v>
      </c>
      <c r="Q3172" s="9">
        <v>32602</v>
      </c>
      <c r="R3172" s="9">
        <v>304997</v>
      </c>
      <c r="S3172" s="9">
        <v>-159476</v>
      </c>
      <c r="T3172" s="10">
        <v>100042</v>
      </c>
      <c r="U3172" s="10">
        <v>1201</v>
      </c>
    </row>
    <row r="3173" spans="1:21" x14ac:dyDescent="0.35">
      <c r="A3173" t="s">
        <v>15</v>
      </c>
      <c r="B3173" t="s">
        <v>20</v>
      </c>
      <c r="C3173" t="s">
        <v>21</v>
      </c>
      <c r="D3173">
        <v>195256</v>
      </c>
      <c r="E3173">
        <v>10347</v>
      </c>
      <c r="F3173">
        <v>34121</v>
      </c>
      <c r="G3173">
        <v>-193095</v>
      </c>
      <c r="H3173">
        <v>46629</v>
      </c>
      <c r="I3173">
        <v>46788</v>
      </c>
      <c r="J3173">
        <v>900</v>
      </c>
      <c r="K3173">
        <v>779149</v>
      </c>
      <c r="L3173">
        <v>137290</v>
      </c>
      <c r="M3173">
        <v>-105523</v>
      </c>
      <c r="N3173">
        <v>101943</v>
      </c>
      <c r="O3173" t="s">
        <v>3191</v>
      </c>
      <c r="P3173" s="9">
        <v>307547</v>
      </c>
      <c r="Q3173" s="9">
        <v>50105</v>
      </c>
      <c r="R3173" s="9">
        <v>357652</v>
      </c>
      <c r="S3173" s="9">
        <v>-186469</v>
      </c>
      <c r="T3173" s="10">
        <v>166955</v>
      </c>
      <c r="U3173" s="10">
        <v>4033</v>
      </c>
    </row>
    <row r="3174" spans="1:21" x14ac:dyDescent="0.35">
      <c r="A3174" t="s">
        <v>15</v>
      </c>
      <c r="B3174" t="s">
        <v>16</v>
      </c>
      <c r="C3174" t="s">
        <v>21</v>
      </c>
      <c r="D3174">
        <v>210887</v>
      </c>
      <c r="E3174">
        <v>23210</v>
      </c>
      <c r="F3174">
        <v>48854</v>
      </c>
      <c r="G3174">
        <v>-176591</v>
      </c>
      <c r="H3174">
        <v>106360</v>
      </c>
      <c r="I3174">
        <v>96221</v>
      </c>
      <c r="J3174">
        <v>2591</v>
      </c>
      <c r="K3174">
        <v>802906</v>
      </c>
      <c r="L3174">
        <v>323533</v>
      </c>
      <c r="M3174">
        <v>-255915</v>
      </c>
      <c r="N3174">
        <v>161872</v>
      </c>
      <c r="O3174" t="s">
        <v>3192</v>
      </c>
      <c r="P3174" s="9">
        <v>275099</v>
      </c>
      <c r="Q3174" s="9">
        <v>48949</v>
      </c>
      <c r="R3174" s="9">
        <v>324048</v>
      </c>
      <c r="S3174" s="9">
        <v>-167109</v>
      </c>
      <c r="T3174" s="10">
        <v>109289</v>
      </c>
      <c r="U3174" s="10">
        <v>3109</v>
      </c>
    </row>
    <row r="3175" spans="1:21" x14ac:dyDescent="0.35">
      <c r="A3175" t="s">
        <v>15</v>
      </c>
      <c r="B3175" t="s">
        <v>16</v>
      </c>
      <c r="C3175" t="s">
        <v>17</v>
      </c>
      <c r="D3175">
        <v>247922</v>
      </c>
      <c r="E3175">
        <v>12869</v>
      </c>
      <c r="F3175">
        <v>45888</v>
      </c>
      <c r="G3175">
        <v>-212389</v>
      </c>
      <c r="H3175">
        <v>94290</v>
      </c>
      <c r="I3175">
        <v>94412</v>
      </c>
      <c r="J3175">
        <v>2559</v>
      </c>
      <c r="K3175">
        <v>953085</v>
      </c>
      <c r="L3175">
        <v>275324</v>
      </c>
      <c r="M3175">
        <v>-250335</v>
      </c>
      <c r="N3175">
        <v>206065</v>
      </c>
      <c r="O3175" t="s">
        <v>3193</v>
      </c>
      <c r="P3175" s="9">
        <v>173091</v>
      </c>
      <c r="Q3175" s="9">
        <v>10104</v>
      </c>
      <c r="R3175" s="9">
        <v>183195</v>
      </c>
      <c r="S3175" s="9">
        <v>-41641</v>
      </c>
      <c r="T3175" s="10">
        <v>66307</v>
      </c>
      <c r="U3175" s="10">
        <v>963</v>
      </c>
    </row>
    <row r="3176" spans="1:21" x14ac:dyDescent="0.35">
      <c r="A3176" t="s">
        <v>15</v>
      </c>
      <c r="B3176" t="s">
        <v>16</v>
      </c>
      <c r="C3176" t="s">
        <v>17</v>
      </c>
      <c r="D3176">
        <v>224786</v>
      </c>
      <c r="E3176">
        <v>28846</v>
      </c>
      <c r="F3176">
        <v>34815</v>
      </c>
      <c r="G3176">
        <v>-201067</v>
      </c>
      <c r="H3176">
        <v>87380</v>
      </c>
      <c r="I3176">
        <v>82247</v>
      </c>
      <c r="J3176">
        <v>1639</v>
      </c>
      <c r="K3176">
        <v>861649</v>
      </c>
      <c r="L3176">
        <v>107586</v>
      </c>
      <c r="M3176">
        <v>-225594</v>
      </c>
      <c r="N3176">
        <v>175635</v>
      </c>
      <c r="O3176" t="s">
        <v>3194</v>
      </c>
      <c r="P3176" s="9">
        <v>305505</v>
      </c>
      <c r="Q3176" s="9">
        <v>51206</v>
      </c>
      <c r="R3176" s="9">
        <v>356711</v>
      </c>
      <c r="S3176" s="9">
        <v>-109562</v>
      </c>
      <c r="T3176" s="10">
        <v>129150</v>
      </c>
      <c r="U3176" s="10">
        <v>3303</v>
      </c>
    </row>
    <row r="3177" spans="1:21" x14ac:dyDescent="0.35">
      <c r="A3177" t="s">
        <v>15</v>
      </c>
      <c r="B3177" t="s">
        <v>20</v>
      </c>
      <c r="C3177" t="s">
        <v>17</v>
      </c>
      <c r="D3177">
        <v>200855</v>
      </c>
      <c r="E3177">
        <v>31859</v>
      </c>
      <c r="F3177">
        <v>42106</v>
      </c>
      <c r="G3177">
        <v>-175657</v>
      </c>
      <c r="H3177">
        <v>99163</v>
      </c>
      <c r="I3177">
        <v>100394</v>
      </c>
      <c r="J3177">
        <v>1930</v>
      </c>
      <c r="K3177">
        <v>798480</v>
      </c>
      <c r="L3177">
        <v>108444</v>
      </c>
      <c r="M3177">
        <v>-280352</v>
      </c>
      <c r="N3177">
        <v>67433</v>
      </c>
      <c r="O3177" t="s">
        <v>3195</v>
      </c>
      <c r="P3177" s="9">
        <v>175709</v>
      </c>
      <c r="Q3177" s="9">
        <v>32887</v>
      </c>
      <c r="R3177" s="9">
        <v>208596</v>
      </c>
      <c r="S3177" s="9">
        <v>-62650</v>
      </c>
      <c r="T3177" s="10">
        <v>68252</v>
      </c>
      <c r="U3177" s="10">
        <v>897</v>
      </c>
    </row>
    <row r="3178" spans="1:21" x14ac:dyDescent="0.35">
      <c r="A3178" t="s">
        <v>15</v>
      </c>
      <c r="B3178" t="s">
        <v>20</v>
      </c>
      <c r="C3178" t="s">
        <v>17</v>
      </c>
      <c r="D3178">
        <v>273820</v>
      </c>
      <c r="E3178">
        <v>29179</v>
      </c>
      <c r="F3178">
        <v>27687</v>
      </c>
      <c r="G3178">
        <v>-253715</v>
      </c>
      <c r="H3178">
        <v>76971</v>
      </c>
      <c r="I3178">
        <v>72633</v>
      </c>
      <c r="J3178">
        <v>2000</v>
      </c>
      <c r="K3178">
        <v>923909</v>
      </c>
      <c r="L3178">
        <v>431108</v>
      </c>
      <c r="M3178">
        <v>-285353</v>
      </c>
      <c r="N3178">
        <v>201629</v>
      </c>
      <c r="O3178" t="s">
        <v>3196</v>
      </c>
      <c r="P3178" s="9">
        <v>213463</v>
      </c>
      <c r="Q3178" s="9">
        <v>26196</v>
      </c>
      <c r="R3178" s="9">
        <v>239659</v>
      </c>
      <c r="S3178" s="9">
        <v>-93278</v>
      </c>
      <c r="T3178" s="10">
        <v>80136</v>
      </c>
      <c r="U3178" s="10">
        <v>2174</v>
      </c>
    </row>
    <row r="3179" spans="1:21" x14ac:dyDescent="0.35">
      <c r="A3179" t="s">
        <v>15</v>
      </c>
      <c r="B3179" t="s">
        <v>16</v>
      </c>
      <c r="C3179" t="s">
        <v>21</v>
      </c>
      <c r="D3179">
        <v>276797</v>
      </c>
      <c r="E3179">
        <v>45296</v>
      </c>
      <c r="F3179">
        <v>35897</v>
      </c>
      <c r="G3179">
        <v>-247684</v>
      </c>
      <c r="H3179">
        <v>110306</v>
      </c>
      <c r="I3179">
        <v>102159</v>
      </c>
      <c r="J3179">
        <v>1685</v>
      </c>
      <c r="K3179">
        <v>890264</v>
      </c>
      <c r="L3179">
        <v>315927</v>
      </c>
      <c r="M3179">
        <v>-334273</v>
      </c>
      <c r="N3179">
        <v>118335</v>
      </c>
      <c r="O3179" t="s">
        <v>3197</v>
      </c>
      <c r="P3179" s="9">
        <v>241718</v>
      </c>
      <c r="Q3179" s="9">
        <v>40471</v>
      </c>
      <c r="R3179" s="9">
        <v>282189</v>
      </c>
      <c r="S3179" s="9">
        <v>-130266</v>
      </c>
      <c r="T3179" s="10">
        <v>86912</v>
      </c>
      <c r="U3179" s="10">
        <v>1253</v>
      </c>
    </row>
    <row r="3180" spans="1:21" x14ac:dyDescent="0.35">
      <c r="A3180" t="s">
        <v>15</v>
      </c>
      <c r="B3180" t="s">
        <v>16</v>
      </c>
      <c r="C3180" t="s">
        <v>21</v>
      </c>
      <c r="D3180">
        <v>247861</v>
      </c>
      <c r="E3180">
        <v>22631</v>
      </c>
      <c r="F3180">
        <v>31259</v>
      </c>
      <c r="G3180">
        <v>-218940</v>
      </c>
      <c r="H3180">
        <v>82811</v>
      </c>
      <c r="I3180">
        <v>75059</v>
      </c>
      <c r="J3180">
        <v>1100</v>
      </c>
      <c r="K3180">
        <v>667599</v>
      </c>
      <c r="L3180">
        <v>227297</v>
      </c>
      <c r="M3180">
        <v>-264483</v>
      </c>
      <c r="N3180">
        <v>102123</v>
      </c>
      <c r="O3180" t="s">
        <v>3198</v>
      </c>
      <c r="P3180" s="9">
        <v>231296</v>
      </c>
      <c r="Q3180" s="9">
        <v>26690</v>
      </c>
      <c r="R3180" s="9">
        <v>257986</v>
      </c>
      <c r="S3180" s="9">
        <v>-101171</v>
      </c>
      <c r="T3180" s="10">
        <v>85188</v>
      </c>
      <c r="U3180" s="10">
        <v>1151</v>
      </c>
    </row>
    <row r="3181" spans="1:21" x14ac:dyDescent="0.35">
      <c r="A3181" t="s">
        <v>15</v>
      </c>
      <c r="B3181" t="s">
        <v>16</v>
      </c>
      <c r="C3181" t="s">
        <v>21</v>
      </c>
      <c r="D3181">
        <v>288021</v>
      </c>
      <c r="E3181">
        <v>56384</v>
      </c>
      <c r="F3181">
        <v>67510</v>
      </c>
      <c r="G3181">
        <v>-253694</v>
      </c>
      <c r="H3181">
        <v>158221</v>
      </c>
      <c r="I3181">
        <v>165518</v>
      </c>
      <c r="J3181">
        <v>4853</v>
      </c>
      <c r="K3181">
        <v>830010</v>
      </c>
      <c r="L3181">
        <v>186384</v>
      </c>
      <c r="M3181">
        <v>-290910</v>
      </c>
      <c r="N3181">
        <v>133369</v>
      </c>
      <c r="O3181" t="s">
        <v>3199</v>
      </c>
      <c r="P3181" s="9">
        <v>171000</v>
      </c>
      <c r="Q3181" s="9">
        <v>15380</v>
      </c>
      <c r="R3181" s="9">
        <v>186380</v>
      </c>
      <c r="S3181" s="9">
        <v>-48875</v>
      </c>
      <c r="T3181" s="10">
        <v>45151</v>
      </c>
      <c r="U3181" s="10">
        <v>1063</v>
      </c>
    </row>
    <row r="3182" spans="1:21" x14ac:dyDescent="0.35">
      <c r="A3182" t="s">
        <v>15</v>
      </c>
      <c r="B3182" t="s">
        <v>20</v>
      </c>
      <c r="C3182" t="s">
        <v>17</v>
      </c>
      <c r="D3182">
        <v>246377</v>
      </c>
      <c r="E3182">
        <v>47080</v>
      </c>
      <c r="F3182">
        <v>39063</v>
      </c>
      <c r="G3182">
        <v>-246240</v>
      </c>
      <c r="H3182">
        <v>86280</v>
      </c>
      <c r="I3182">
        <v>78806</v>
      </c>
      <c r="J3182">
        <v>1703</v>
      </c>
      <c r="K3182">
        <v>597561</v>
      </c>
      <c r="L3182">
        <v>225830</v>
      </c>
      <c r="M3182">
        <v>-227038</v>
      </c>
      <c r="N3182">
        <v>115615</v>
      </c>
      <c r="O3182" t="s">
        <v>3200</v>
      </c>
      <c r="P3182" s="9">
        <v>282535</v>
      </c>
      <c r="Q3182" s="9">
        <v>46001</v>
      </c>
      <c r="R3182" s="9">
        <v>328536</v>
      </c>
      <c r="S3182" s="9">
        <v>-155985</v>
      </c>
      <c r="T3182" s="10">
        <v>98112</v>
      </c>
      <c r="U3182" s="10">
        <v>2249</v>
      </c>
    </row>
    <row r="3183" spans="1:21" x14ac:dyDescent="0.35">
      <c r="A3183" t="s">
        <v>15</v>
      </c>
      <c r="B3183" t="s">
        <v>16</v>
      </c>
      <c r="C3183" t="s">
        <v>21</v>
      </c>
      <c r="D3183">
        <v>224654</v>
      </c>
      <c r="E3183">
        <v>15265</v>
      </c>
      <c r="F3183">
        <v>31904</v>
      </c>
      <c r="G3183">
        <v>-179801</v>
      </c>
      <c r="H3183">
        <v>92022</v>
      </c>
      <c r="I3183">
        <v>85847</v>
      </c>
      <c r="J3183">
        <v>1572</v>
      </c>
      <c r="K3183">
        <v>888093</v>
      </c>
      <c r="L3183">
        <v>334160</v>
      </c>
      <c r="M3183">
        <v>-200312</v>
      </c>
      <c r="N3183">
        <v>119539</v>
      </c>
      <c r="O3183" t="s">
        <v>3201</v>
      </c>
      <c r="P3183" s="9">
        <v>225131</v>
      </c>
      <c r="Q3183" s="9">
        <v>38697</v>
      </c>
      <c r="R3183" s="9">
        <v>263828</v>
      </c>
      <c r="S3183" s="9">
        <v>-94967</v>
      </c>
      <c r="T3183" s="10">
        <v>115740</v>
      </c>
      <c r="U3183" s="10">
        <v>1252</v>
      </c>
    </row>
    <row r="3184" spans="1:21" x14ac:dyDescent="0.35">
      <c r="A3184" t="s">
        <v>15</v>
      </c>
      <c r="B3184" t="s">
        <v>16</v>
      </c>
      <c r="C3184" t="s">
        <v>21</v>
      </c>
      <c r="D3184">
        <v>290178</v>
      </c>
      <c r="E3184">
        <v>32945</v>
      </c>
      <c r="F3184">
        <v>64295</v>
      </c>
      <c r="G3184">
        <v>-289988</v>
      </c>
      <c r="H3184">
        <v>97430</v>
      </c>
      <c r="I3184">
        <v>96533</v>
      </c>
      <c r="J3184">
        <v>2644</v>
      </c>
      <c r="K3184">
        <v>1129828</v>
      </c>
      <c r="L3184">
        <v>392111</v>
      </c>
      <c r="M3184">
        <v>-209504</v>
      </c>
      <c r="N3184">
        <v>250565</v>
      </c>
      <c r="O3184" t="s">
        <v>3202</v>
      </c>
      <c r="P3184" s="9">
        <v>188097</v>
      </c>
      <c r="Q3184" s="9">
        <v>29281</v>
      </c>
      <c r="R3184" s="9">
        <v>217378</v>
      </c>
      <c r="S3184" s="9">
        <v>-60982</v>
      </c>
      <c r="T3184" s="10">
        <v>79676</v>
      </c>
      <c r="U3184" s="10">
        <v>1948</v>
      </c>
    </row>
    <row r="3185" spans="1:21" x14ac:dyDescent="0.35">
      <c r="A3185" t="s">
        <v>15</v>
      </c>
      <c r="B3185" t="s">
        <v>16</v>
      </c>
      <c r="C3185" t="s">
        <v>21</v>
      </c>
      <c r="D3185">
        <v>251566</v>
      </c>
      <c r="E3185">
        <v>43690</v>
      </c>
      <c r="F3185">
        <v>34679</v>
      </c>
      <c r="G3185">
        <v>-205529</v>
      </c>
      <c r="H3185">
        <v>124406</v>
      </c>
      <c r="I3185">
        <v>116355</v>
      </c>
      <c r="J3185">
        <v>2783</v>
      </c>
      <c r="K3185">
        <v>788796</v>
      </c>
      <c r="L3185">
        <v>106511</v>
      </c>
      <c r="M3185">
        <v>-197481</v>
      </c>
      <c r="N3185">
        <v>186105</v>
      </c>
      <c r="O3185" t="s">
        <v>3203</v>
      </c>
      <c r="P3185" s="9">
        <v>180737</v>
      </c>
      <c r="Q3185" s="9">
        <v>33933</v>
      </c>
      <c r="R3185" s="9">
        <v>214670</v>
      </c>
      <c r="S3185" s="9">
        <v>-56926</v>
      </c>
      <c r="T3185" s="10">
        <v>76926</v>
      </c>
      <c r="U3185" s="10">
        <v>1256</v>
      </c>
    </row>
    <row r="3186" spans="1:21" x14ac:dyDescent="0.35">
      <c r="A3186" t="s">
        <v>15</v>
      </c>
      <c r="B3186" t="s">
        <v>16</v>
      </c>
      <c r="C3186" t="s">
        <v>21</v>
      </c>
      <c r="D3186">
        <v>292961</v>
      </c>
      <c r="E3186">
        <v>33065</v>
      </c>
      <c r="F3186">
        <v>56686</v>
      </c>
      <c r="G3186">
        <v>-246963</v>
      </c>
      <c r="H3186">
        <v>135749</v>
      </c>
      <c r="I3186">
        <v>139564</v>
      </c>
      <c r="J3186">
        <v>3059</v>
      </c>
      <c r="K3186">
        <v>1162997</v>
      </c>
      <c r="L3186">
        <v>574371</v>
      </c>
      <c r="M3186">
        <v>-243733</v>
      </c>
      <c r="N3186">
        <v>185223</v>
      </c>
      <c r="O3186" t="s">
        <v>3204</v>
      </c>
      <c r="P3186" s="9">
        <v>161592</v>
      </c>
      <c r="Q3186" s="9">
        <v>24278</v>
      </c>
      <c r="R3186" s="9">
        <v>185870</v>
      </c>
      <c r="S3186" s="9">
        <v>-86504</v>
      </c>
      <c r="T3186" s="10">
        <v>57097</v>
      </c>
      <c r="U3186" s="10">
        <v>947</v>
      </c>
    </row>
    <row r="3187" spans="1:21" x14ac:dyDescent="0.35">
      <c r="A3187" t="s">
        <v>15</v>
      </c>
      <c r="B3187" t="s">
        <v>20</v>
      </c>
      <c r="C3187" t="s">
        <v>21</v>
      </c>
      <c r="D3187">
        <v>268521</v>
      </c>
      <c r="E3187">
        <v>22799</v>
      </c>
      <c r="F3187">
        <v>66680</v>
      </c>
      <c r="G3187">
        <v>-267193</v>
      </c>
      <c r="H3187">
        <v>90807</v>
      </c>
      <c r="I3187">
        <v>87473</v>
      </c>
      <c r="J3187">
        <v>1293</v>
      </c>
      <c r="K3187">
        <v>616546</v>
      </c>
      <c r="L3187">
        <v>234283</v>
      </c>
      <c r="M3187">
        <v>-228586</v>
      </c>
      <c r="N3187">
        <v>152978</v>
      </c>
      <c r="O3187" t="s">
        <v>3205</v>
      </c>
      <c r="P3187" s="9">
        <v>273591</v>
      </c>
      <c r="Q3187" s="9">
        <v>26526</v>
      </c>
      <c r="R3187" s="9">
        <v>300117</v>
      </c>
      <c r="S3187" s="9">
        <v>-168580</v>
      </c>
      <c r="T3187" s="10">
        <v>127830</v>
      </c>
      <c r="U3187" s="10">
        <v>2611</v>
      </c>
    </row>
    <row r="3188" spans="1:21" x14ac:dyDescent="0.35">
      <c r="A3188" t="s">
        <v>15</v>
      </c>
      <c r="B3188" t="s">
        <v>20</v>
      </c>
      <c r="C3188" t="s">
        <v>21</v>
      </c>
      <c r="D3188">
        <v>179239</v>
      </c>
      <c r="E3188">
        <v>20986</v>
      </c>
      <c r="F3188">
        <v>22890</v>
      </c>
      <c r="G3188">
        <v>-179131</v>
      </c>
      <c r="H3188">
        <v>43984</v>
      </c>
      <c r="I3188">
        <v>41020</v>
      </c>
      <c r="J3188">
        <v>808</v>
      </c>
      <c r="K3188">
        <v>484062</v>
      </c>
      <c r="L3188">
        <v>221136</v>
      </c>
      <c r="M3188">
        <v>-54202</v>
      </c>
      <c r="N3188">
        <v>114059</v>
      </c>
      <c r="O3188" t="s">
        <v>3206</v>
      </c>
      <c r="P3188" s="9">
        <v>241870</v>
      </c>
      <c r="Q3188" s="9">
        <v>36047</v>
      </c>
      <c r="R3188" s="9">
        <v>277917</v>
      </c>
      <c r="S3188" s="9">
        <v>-105850</v>
      </c>
      <c r="T3188" s="10">
        <v>121195</v>
      </c>
      <c r="U3188" s="10">
        <v>2857</v>
      </c>
    </row>
    <row r="3189" spans="1:21" x14ac:dyDescent="0.35">
      <c r="A3189" t="s">
        <v>15</v>
      </c>
      <c r="B3189" t="s">
        <v>20</v>
      </c>
      <c r="C3189" t="s">
        <v>17</v>
      </c>
      <c r="D3189">
        <v>255814</v>
      </c>
      <c r="E3189">
        <v>22750</v>
      </c>
      <c r="F3189">
        <v>56245</v>
      </c>
      <c r="G3189">
        <v>-205510</v>
      </c>
      <c r="H3189">
        <v>129299</v>
      </c>
      <c r="I3189">
        <v>127807</v>
      </c>
      <c r="J3189">
        <v>2311</v>
      </c>
      <c r="K3189">
        <v>849510</v>
      </c>
      <c r="L3189">
        <v>296446</v>
      </c>
      <c r="M3189">
        <v>-109912</v>
      </c>
      <c r="N3189">
        <v>112852</v>
      </c>
      <c r="O3189" t="s">
        <v>3207</v>
      </c>
      <c r="P3189" s="9">
        <v>204861</v>
      </c>
      <c r="Q3189" s="9">
        <v>11178</v>
      </c>
      <c r="R3189" s="9">
        <v>216039</v>
      </c>
      <c r="S3189" s="9">
        <v>-83319</v>
      </c>
      <c r="T3189" s="10">
        <v>87802</v>
      </c>
      <c r="U3189" s="10">
        <v>1289</v>
      </c>
    </row>
    <row r="3190" spans="1:21" x14ac:dyDescent="0.35">
      <c r="A3190" t="s">
        <v>15</v>
      </c>
      <c r="B3190" t="s">
        <v>20</v>
      </c>
      <c r="C3190" t="s">
        <v>17</v>
      </c>
      <c r="D3190">
        <v>248393</v>
      </c>
      <c r="E3190">
        <v>33315</v>
      </c>
      <c r="F3190">
        <v>61313</v>
      </c>
      <c r="G3190">
        <v>-213533</v>
      </c>
      <c r="H3190">
        <v>129488</v>
      </c>
      <c r="I3190">
        <v>133880</v>
      </c>
      <c r="J3190">
        <v>2579</v>
      </c>
      <c r="K3190">
        <v>793489</v>
      </c>
      <c r="L3190">
        <v>307407</v>
      </c>
      <c r="M3190">
        <v>-109699</v>
      </c>
      <c r="N3190">
        <v>84570</v>
      </c>
      <c r="O3190" t="s">
        <v>3208</v>
      </c>
      <c r="P3190" s="9">
        <v>224667</v>
      </c>
      <c r="Q3190" s="9">
        <v>37892</v>
      </c>
      <c r="R3190" s="9">
        <v>262559</v>
      </c>
      <c r="S3190" s="9">
        <v>-77225</v>
      </c>
      <c r="T3190" s="10">
        <v>111792</v>
      </c>
      <c r="U3190" s="10">
        <v>2911</v>
      </c>
    </row>
    <row r="3191" spans="1:21" x14ac:dyDescent="0.35">
      <c r="A3191" t="s">
        <v>15</v>
      </c>
      <c r="B3191" t="s">
        <v>16</v>
      </c>
      <c r="C3191" t="s">
        <v>17</v>
      </c>
      <c r="D3191">
        <v>151303</v>
      </c>
      <c r="E3191">
        <v>16052</v>
      </c>
      <c r="F3191">
        <v>34772</v>
      </c>
      <c r="G3191">
        <v>-123859</v>
      </c>
      <c r="H3191">
        <v>78268</v>
      </c>
      <c r="I3191">
        <v>80056</v>
      </c>
      <c r="J3191">
        <v>2305</v>
      </c>
      <c r="K3191">
        <v>347726</v>
      </c>
      <c r="L3191">
        <v>98577</v>
      </c>
      <c r="M3191">
        <v>-70532</v>
      </c>
      <c r="N3191">
        <v>111255</v>
      </c>
      <c r="O3191" t="s">
        <v>3209</v>
      </c>
      <c r="P3191" s="9">
        <v>215097</v>
      </c>
      <c r="Q3191" s="9">
        <v>23505</v>
      </c>
      <c r="R3191" s="9">
        <v>238602</v>
      </c>
      <c r="S3191" s="9">
        <v>-51538</v>
      </c>
      <c r="T3191" s="10">
        <v>60191</v>
      </c>
      <c r="U3191" s="10">
        <v>1130</v>
      </c>
    </row>
    <row r="3192" spans="1:21" x14ac:dyDescent="0.35">
      <c r="A3192" t="s">
        <v>15</v>
      </c>
      <c r="B3192" t="s">
        <v>16</v>
      </c>
      <c r="C3192" t="s">
        <v>21</v>
      </c>
      <c r="D3192">
        <v>281158</v>
      </c>
      <c r="E3192">
        <v>18743</v>
      </c>
      <c r="F3192">
        <v>66528</v>
      </c>
      <c r="G3192">
        <v>-233814</v>
      </c>
      <c r="H3192">
        <v>132615</v>
      </c>
      <c r="I3192">
        <v>126198</v>
      </c>
      <c r="J3192">
        <v>3632</v>
      </c>
      <c r="K3192">
        <v>700111</v>
      </c>
      <c r="L3192">
        <v>112131</v>
      </c>
      <c r="M3192">
        <v>-199563</v>
      </c>
      <c r="N3192">
        <v>119564</v>
      </c>
      <c r="O3192" t="s">
        <v>3210</v>
      </c>
      <c r="P3192" s="9">
        <v>198565</v>
      </c>
      <c r="Q3192" s="9">
        <v>37668</v>
      </c>
      <c r="R3192" s="9">
        <v>236233</v>
      </c>
      <c r="S3192" s="9">
        <v>-123223</v>
      </c>
      <c r="T3192" s="10">
        <v>92011</v>
      </c>
      <c r="U3192" s="10">
        <v>1276</v>
      </c>
    </row>
    <row r="3193" spans="1:21" x14ac:dyDescent="0.35">
      <c r="A3193" t="s">
        <v>15</v>
      </c>
      <c r="B3193" t="s">
        <v>16</v>
      </c>
      <c r="C3193" t="s">
        <v>21</v>
      </c>
      <c r="D3193">
        <v>275652</v>
      </c>
      <c r="E3193">
        <v>36932</v>
      </c>
      <c r="F3193">
        <v>37097</v>
      </c>
      <c r="G3193">
        <v>-271626</v>
      </c>
      <c r="H3193">
        <v>78055</v>
      </c>
      <c r="I3193">
        <v>81586</v>
      </c>
      <c r="J3193">
        <v>1419</v>
      </c>
      <c r="K3193">
        <v>950501</v>
      </c>
      <c r="L3193">
        <v>372570</v>
      </c>
      <c r="M3193">
        <v>-333317</v>
      </c>
      <c r="N3193">
        <v>195743</v>
      </c>
      <c r="O3193" t="s">
        <v>3211</v>
      </c>
      <c r="P3193" s="9">
        <v>281144</v>
      </c>
      <c r="Q3193" s="9">
        <v>20029</v>
      </c>
      <c r="R3193" s="9">
        <v>301173</v>
      </c>
      <c r="S3193" s="9">
        <v>-175193</v>
      </c>
      <c r="T3193" s="10">
        <v>74352</v>
      </c>
      <c r="U3193" s="10">
        <v>1433</v>
      </c>
    </row>
    <row r="3194" spans="1:21" x14ac:dyDescent="0.35">
      <c r="A3194" t="s">
        <v>15</v>
      </c>
      <c r="B3194" t="s">
        <v>20</v>
      </c>
      <c r="C3194" t="s">
        <v>17</v>
      </c>
      <c r="D3194">
        <v>216527</v>
      </c>
      <c r="E3194">
        <v>26846</v>
      </c>
      <c r="F3194">
        <v>28314</v>
      </c>
      <c r="G3194">
        <v>-189029</v>
      </c>
      <c r="H3194">
        <v>82658</v>
      </c>
      <c r="I3194">
        <v>84568</v>
      </c>
      <c r="J3194">
        <v>1532</v>
      </c>
      <c r="K3194">
        <v>610474</v>
      </c>
      <c r="L3194">
        <v>139837</v>
      </c>
      <c r="M3194">
        <v>-198030</v>
      </c>
      <c r="N3194">
        <v>156022</v>
      </c>
      <c r="O3194" t="s">
        <v>3212</v>
      </c>
      <c r="P3194" s="9">
        <v>237966</v>
      </c>
      <c r="Q3194" s="9">
        <v>20280</v>
      </c>
      <c r="R3194" s="9">
        <v>258246</v>
      </c>
      <c r="S3194" s="9">
        <v>-90000</v>
      </c>
      <c r="T3194" s="10">
        <v>94205</v>
      </c>
      <c r="U3194" s="10">
        <v>2343</v>
      </c>
    </row>
    <row r="3195" spans="1:21" x14ac:dyDescent="0.35">
      <c r="A3195" t="s">
        <v>15</v>
      </c>
      <c r="B3195" t="s">
        <v>20</v>
      </c>
      <c r="C3195" t="s">
        <v>17</v>
      </c>
      <c r="D3195">
        <v>227548</v>
      </c>
      <c r="E3195">
        <v>39197</v>
      </c>
      <c r="F3195">
        <v>40402</v>
      </c>
      <c r="G3195">
        <v>-195687</v>
      </c>
      <c r="H3195">
        <v>111460</v>
      </c>
      <c r="I3195">
        <v>116490</v>
      </c>
      <c r="J3195">
        <v>1503</v>
      </c>
      <c r="K3195">
        <v>474326</v>
      </c>
      <c r="L3195">
        <v>219296</v>
      </c>
      <c r="M3195">
        <v>-184805</v>
      </c>
      <c r="N3195">
        <v>87118</v>
      </c>
      <c r="O3195" t="s">
        <v>3213</v>
      </c>
      <c r="P3195" s="9">
        <v>188789</v>
      </c>
      <c r="Q3195" s="9">
        <v>39261</v>
      </c>
      <c r="R3195" s="9">
        <v>228050</v>
      </c>
      <c r="S3195" s="9">
        <v>-128899</v>
      </c>
      <c r="T3195" s="10">
        <v>81704</v>
      </c>
      <c r="U3195" s="10">
        <v>2006</v>
      </c>
    </row>
    <row r="3196" spans="1:21" x14ac:dyDescent="0.35">
      <c r="A3196" t="s">
        <v>15</v>
      </c>
      <c r="B3196" t="s">
        <v>16</v>
      </c>
      <c r="C3196" t="s">
        <v>21</v>
      </c>
      <c r="D3196">
        <v>176433</v>
      </c>
      <c r="E3196">
        <v>16300</v>
      </c>
      <c r="F3196">
        <v>28122</v>
      </c>
      <c r="G3196">
        <v>-154806</v>
      </c>
      <c r="H3196">
        <v>66049</v>
      </c>
      <c r="I3196">
        <v>68135</v>
      </c>
      <c r="J3196">
        <v>692</v>
      </c>
      <c r="K3196">
        <v>629516</v>
      </c>
      <c r="L3196">
        <v>145100</v>
      </c>
      <c r="M3196">
        <v>-204666</v>
      </c>
      <c r="N3196">
        <v>60559</v>
      </c>
      <c r="O3196" t="s">
        <v>3214</v>
      </c>
      <c r="P3196" s="9">
        <v>167493</v>
      </c>
      <c r="Q3196" s="9">
        <v>36560</v>
      </c>
      <c r="R3196" s="9">
        <v>204053</v>
      </c>
      <c r="S3196" s="9">
        <v>-116613</v>
      </c>
      <c r="T3196" s="10">
        <v>78587</v>
      </c>
      <c r="U3196" s="10">
        <v>1400</v>
      </c>
    </row>
    <row r="3197" spans="1:21" x14ac:dyDescent="0.35">
      <c r="A3197" t="s">
        <v>15</v>
      </c>
      <c r="B3197" t="s">
        <v>16</v>
      </c>
      <c r="C3197" t="s">
        <v>21</v>
      </c>
      <c r="D3197">
        <v>225434</v>
      </c>
      <c r="E3197">
        <v>33784</v>
      </c>
      <c r="F3197">
        <v>54527</v>
      </c>
      <c r="G3197">
        <v>-201094</v>
      </c>
      <c r="H3197">
        <v>112651</v>
      </c>
      <c r="I3197">
        <v>108012</v>
      </c>
      <c r="J3197">
        <v>2316</v>
      </c>
      <c r="K3197">
        <v>672512</v>
      </c>
      <c r="L3197">
        <v>132645</v>
      </c>
      <c r="M3197">
        <v>-96783</v>
      </c>
      <c r="N3197">
        <v>145267</v>
      </c>
      <c r="O3197" t="s">
        <v>3215</v>
      </c>
      <c r="P3197" s="9">
        <v>311454</v>
      </c>
      <c r="Q3197" s="9">
        <v>34896</v>
      </c>
      <c r="R3197" s="9">
        <v>346350</v>
      </c>
      <c r="S3197" s="9">
        <v>-131013</v>
      </c>
      <c r="T3197" s="10">
        <v>99254</v>
      </c>
      <c r="U3197" s="10">
        <v>1772</v>
      </c>
    </row>
    <row r="3198" spans="1:21" x14ac:dyDescent="0.35">
      <c r="A3198" t="s">
        <v>15</v>
      </c>
      <c r="B3198" t="s">
        <v>16</v>
      </c>
      <c r="C3198" t="s">
        <v>21</v>
      </c>
      <c r="D3198">
        <v>219475</v>
      </c>
      <c r="E3198">
        <v>20169</v>
      </c>
      <c r="F3198">
        <v>52277</v>
      </c>
      <c r="G3198">
        <v>-197244</v>
      </c>
      <c r="H3198">
        <v>94677</v>
      </c>
      <c r="I3198">
        <v>88656</v>
      </c>
      <c r="J3198">
        <v>1646</v>
      </c>
      <c r="K3198">
        <v>822346</v>
      </c>
      <c r="L3198">
        <v>385562</v>
      </c>
      <c r="M3198">
        <v>-281857</v>
      </c>
      <c r="N3198">
        <v>134855</v>
      </c>
      <c r="O3198" t="s">
        <v>3216</v>
      </c>
      <c r="P3198" s="9">
        <v>256449</v>
      </c>
      <c r="Q3198" s="9">
        <v>42888</v>
      </c>
      <c r="R3198" s="9">
        <v>299337</v>
      </c>
      <c r="S3198" s="9">
        <v>-139046</v>
      </c>
      <c r="T3198" s="10">
        <v>125258</v>
      </c>
      <c r="U3198" s="10">
        <v>1504</v>
      </c>
    </row>
    <row r="3199" spans="1:21" x14ac:dyDescent="0.35">
      <c r="A3199" t="s">
        <v>15</v>
      </c>
      <c r="B3199" t="s">
        <v>16</v>
      </c>
      <c r="C3199" t="s">
        <v>17</v>
      </c>
      <c r="D3199">
        <v>163340</v>
      </c>
      <c r="E3199">
        <v>25994</v>
      </c>
      <c r="F3199">
        <v>29665</v>
      </c>
      <c r="G3199">
        <v>-160335</v>
      </c>
      <c r="H3199">
        <v>58664</v>
      </c>
      <c r="I3199">
        <v>53666</v>
      </c>
      <c r="J3199">
        <v>720</v>
      </c>
      <c r="K3199">
        <v>442364</v>
      </c>
      <c r="L3199">
        <v>185735</v>
      </c>
      <c r="M3199">
        <v>-110309</v>
      </c>
      <c r="N3199">
        <v>55913</v>
      </c>
      <c r="O3199" t="s">
        <v>3217</v>
      </c>
      <c r="P3199" s="9">
        <v>199964</v>
      </c>
      <c r="Q3199" s="9">
        <v>37611</v>
      </c>
      <c r="R3199" s="9">
        <v>237575</v>
      </c>
      <c r="S3199" s="9">
        <v>-123921</v>
      </c>
      <c r="T3199" s="10">
        <v>58278</v>
      </c>
      <c r="U3199" s="10">
        <v>731</v>
      </c>
    </row>
    <row r="3200" spans="1:21" x14ac:dyDescent="0.35">
      <c r="A3200" t="s">
        <v>15</v>
      </c>
      <c r="B3200" t="s">
        <v>20</v>
      </c>
      <c r="C3200" t="s">
        <v>17</v>
      </c>
      <c r="D3200">
        <v>297516</v>
      </c>
      <c r="E3200">
        <v>32348</v>
      </c>
      <c r="F3200">
        <v>44639</v>
      </c>
      <c r="G3200">
        <v>-245536</v>
      </c>
      <c r="H3200">
        <v>128967</v>
      </c>
      <c r="I3200">
        <v>129993</v>
      </c>
      <c r="J3200">
        <v>3147</v>
      </c>
      <c r="K3200">
        <v>1060658</v>
      </c>
      <c r="L3200">
        <v>472437</v>
      </c>
      <c r="M3200">
        <v>-140525</v>
      </c>
      <c r="N3200">
        <v>216854</v>
      </c>
      <c r="O3200" t="s">
        <v>3218</v>
      </c>
      <c r="P3200" s="9">
        <v>298121</v>
      </c>
      <c r="Q3200" s="9">
        <v>25219</v>
      </c>
      <c r="R3200" s="9">
        <v>323340</v>
      </c>
      <c r="S3200" s="9">
        <v>-166120</v>
      </c>
      <c r="T3200" s="10">
        <v>68282</v>
      </c>
      <c r="U3200" s="10">
        <v>1373</v>
      </c>
    </row>
    <row r="3201" spans="1:21" x14ac:dyDescent="0.35">
      <c r="A3201" t="s">
        <v>15</v>
      </c>
      <c r="B3201" t="s">
        <v>16</v>
      </c>
      <c r="C3201" t="s">
        <v>17</v>
      </c>
      <c r="D3201">
        <v>212580</v>
      </c>
      <c r="E3201">
        <v>40168</v>
      </c>
      <c r="F3201">
        <v>49993</v>
      </c>
      <c r="G3201">
        <v>-211730</v>
      </c>
      <c r="H3201">
        <v>91011</v>
      </c>
      <c r="I3201">
        <v>89411</v>
      </c>
      <c r="J3201">
        <v>1370</v>
      </c>
      <c r="K3201">
        <v>505341</v>
      </c>
      <c r="L3201">
        <v>156281</v>
      </c>
      <c r="M3201">
        <v>-53152</v>
      </c>
      <c r="N3201">
        <v>121369</v>
      </c>
      <c r="O3201" t="s">
        <v>3219</v>
      </c>
      <c r="P3201" s="9">
        <v>301097</v>
      </c>
      <c r="Q3201" s="9">
        <v>33167</v>
      </c>
      <c r="R3201" s="9">
        <v>334264</v>
      </c>
      <c r="S3201" s="9">
        <v>-193630</v>
      </c>
      <c r="T3201" s="10">
        <v>115990</v>
      </c>
      <c r="U3201" s="10">
        <v>1878</v>
      </c>
    </row>
    <row r="3202" spans="1:21" x14ac:dyDescent="0.35">
      <c r="A3202" t="s">
        <v>15</v>
      </c>
      <c r="B3202" t="s">
        <v>16</v>
      </c>
      <c r="C3202" t="s">
        <v>17</v>
      </c>
      <c r="D3202">
        <v>229271</v>
      </c>
      <c r="E3202">
        <v>30587</v>
      </c>
      <c r="F3202">
        <v>36604</v>
      </c>
      <c r="G3202">
        <v>-187855</v>
      </c>
      <c r="H3202">
        <v>108607</v>
      </c>
      <c r="I3202">
        <v>106724</v>
      </c>
      <c r="J3202">
        <v>2960</v>
      </c>
      <c r="K3202">
        <v>633292</v>
      </c>
      <c r="L3202">
        <v>242008</v>
      </c>
      <c r="M3202">
        <v>-121389</v>
      </c>
      <c r="N3202">
        <v>123190</v>
      </c>
      <c r="O3202" t="s">
        <v>3220</v>
      </c>
      <c r="P3202" s="9">
        <v>247320</v>
      </c>
      <c r="Q3202" s="9">
        <v>34524</v>
      </c>
      <c r="R3202" s="9">
        <v>281844</v>
      </c>
      <c r="S3202" s="9">
        <v>-112307</v>
      </c>
      <c r="T3202" s="10">
        <v>79119</v>
      </c>
      <c r="U3202" s="10">
        <v>2050</v>
      </c>
    </row>
    <row r="3203" spans="1:21" x14ac:dyDescent="0.35">
      <c r="A3203" t="s">
        <v>15</v>
      </c>
      <c r="B3203" t="s">
        <v>16</v>
      </c>
      <c r="C3203" t="s">
        <v>17</v>
      </c>
      <c r="D3203">
        <v>231372</v>
      </c>
      <c r="E3203">
        <v>28801</v>
      </c>
      <c r="F3203">
        <v>53766</v>
      </c>
      <c r="G3203">
        <v>-222651</v>
      </c>
      <c r="H3203">
        <v>91288</v>
      </c>
      <c r="I3203">
        <v>88834</v>
      </c>
      <c r="J3203">
        <v>1334</v>
      </c>
      <c r="K3203">
        <v>532305</v>
      </c>
      <c r="L3203">
        <v>119088</v>
      </c>
      <c r="M3203">
        <v>-199731</v>
      </c>
      <c r="N3203">
        <v>152559</v>
      </c>
      <c r="O3203" t="s">
        <v>3221</v>
      </c>
      <c r="P3203" s="9">
        <v>245776</v>
      </c>
      <c r="Q3203" s="9">
        <v>12246</v>
      </c>
      <c r="R3203" s="9">
        <v>258022</v>
      </c>
      <c r="S3203" s="9">
        <v>-111558</v>
      </c>
      <c r="T3203" s="10">
        <v>101290</v>
      </c>
      <c r="U3203" s="10">
        <v>1430</v>
      </c>
    </row>
    <row r="3204" spans="1:21" x14ac:dyDescent="0.35">
      <c r="A3204" t="s">
        <v>15</v>
      </c>
      <c r="B3204" t="s">
        <v>20</v>
      </c>
      <c r="C3204" t="s">
        <v>21</v>
      </c>
      <c r="D3204">
        <v>274861</v>
      </c>
      <c r="E3204">
        <v>33721</v>
      </c>
      <c r="F3204">
        <v>54326</v>
      </c>
      <c r="G3204">
        <v>-258089</v>
      </c>
      <c r="H3204">
        <v>104819</v>
      </c>
      <c r="I3204">
        <v>104767</v>
      </c>
      <c r="J3204">
        <v>2998</v>
      </c>
      <c r="K3204">
        <v>864359</v>
      </c>
      <c r="L3204">
        <v>324658</v>
      </c>
      <c r="M3204">
        <v>-112229</v>
      </c>
      <c r="N3204">
        <v>130400</v>
      </c>
      <c r="O3204" t="s">
        <v>3222</v>
      </c>
      <c r="P3204" s="9">
        <v>176087</v>
      </c>
      <c r="Q3204" s="9">
        <v>26547</v>
      </c>
      <c r="R3204" s="9">
        <v>202634</v>
      </c>
      <c r="S3204" s="9">
        <v>-62877</v>
      </c>
      <c r="T3204" s="10">
        <v>84724</v>
      </c>
      <c r="U3204" s="10">
        <v>1837</v>
      </c>
    </row>
    <row r="3205" spans="1:21" x14ac:dyDescent="0.35">
      <c r="A3205" t="s">
        <v>15</v>
      </c>
      <c r="B3205" t="s">
        <v>16</v>
      </c>
      <c r="C3205" t="s">
        <v>17</v>
      </c>
      <c r="D3205">
        <v>159204</v>
      </c>
      <c r="E3205">
        <v>11279</v>
      </c>
      <c r="F3205">
        <v>38211</v>
      </c>
      <c r="G3205">
        <v>-138785</v>
      </c>
      <c r="H3205">
        <v>69909</v>
      </c>
      <c r="I3205">
        <v>65119</v>
      </c>
      <c r="J3205">
        <v>1149</v>
      </c>
      <c r="K3205">
        <v>407045</v>
      </c>
      <c r="L3205">
        <v>172869</v>
      </c>
      <c r="M3205">
        <v>-161800</v>
      </c>
      <c r="N3205">
        <v>79504</v>
      </c>
      <c r="O3205" t="s">
        <v>3223</v>
      </c>
      <c r="P3205" s="9">
        <v>291742</v>
      </c>
      <c r="Q3205" s="9">
        <v>54262</v>
      </c>
      <c r="R3205" s="9">
        <v>346004</v>
      </c>
      <c r="S3205" s="9">
        <v>-129978</v>
      </c>
      <c r="T3205" s="10">
        <v>146830</v>
      </c>
      <c r="U3205" s="10">
        <v>3910</v>
      </c>
    </row>
    <row r="3206" spans="1:21" x14ac:dyDescent="0.35">
      <c r="A3206" t="s">
        <v>15</v>
      </c>
      <c r="B3206" t="s">
        <v>16</v>
      </c>
      <c r="C3206" t="s">
        <v>21</v>
      </c>
      <c r="D3206">
        <v>263524</v>
      </c>
      <c r="E3206">
        <v>35062</v>
      </c>
      <c r="F3206">
        <v>29090</v>
      </c>
      <c r="G3206">
        <v>-228810</v>
      </c>
      <c r="H3206">
        <v>98866</v>
      </c>
      <c r="I3206">
        <v>102025</v>
      </c>
      <c r="J3206">
        <v>2230</v>
      </c>
      <c r="K3206">
        <v>1026443</v>
      </c>
      <c r="L3206">
        <v>216770</v>
      </c>
      <c r="M3206">
        <v>-168957</v>
      </c>
      <c r="N3206">
        <v>183721</v>
      </c>
      <c r="O3206" t="s">
        <v>3224</v>
      </c>
      <c r="P3206" s="9">
        <v>182313</v>
      </c>
      <c r="Q3206" s="9">
        <v>21337</v>
      </c>
      <c r="R3206" s="9">
        <v>203650</v>
      </c>
      <c r="S3206" s="9">
        <v>-57448</v>
      </c>
      <c r="T3206" s="10">
        <v>73429</v>
      </c>
      <c r="U3206" s="10">
        <v>2159</v>
      </c>
    </row>
    <row r="3207" spans="1:21" x14ac:dyDescent="0.35">
      <c r="A3207" t="s">
        <v>15</v>
      </c>
      <c r="B3207" t="s">
        <v>20</v>
      </c>
      <c r="C3207" t="s">
        <v>17</v>
      </c>
      <c r="D3207">
        <v>157733</v>
      </c>
      <c r="E3207">
        <v>21191</v>
      </c>
      <c r="F3207">
        <v>32962</v>
      </c>
      <c r="G3207">
        <v>-145824</v>
      </c>
      <c r="H3207">
        <v>66062</v>
      </c>
      <c r="I3207">
        <v>60975</v>
      </c>
      <c r="J3207">
        <v>1788</v>
      </c>
      <c r="K3207">
        <v>455848</v>
      </c>
      <c r="L3207">
        <v>194952</v>
      </c>
      <c r="M3207">
        <v>-107577</v>
      </c>
      <c r="N3207">
        <v>134015</v>
      </c>
      <c r="O3207" t="s">
        <v>3225</v>
      </c>
      <c r="P3207" s="9">
        <v>249545</v>
      </c>
      <c r="Q3207" s="9">
        <v>40209</v>
      </c>
      <c r="R3207" s="9">
        <v>289754</v>
      </c>
      <c r="S3207" s="9">
        <v>-117295</v>
      </c>
      <c r="T3207" s="10">
        <v>83186</v>
      </c>
      <c r="U3207" s="10">
        <v>1606</v>
      </c>
    </row>
    <row r="3208" spans="1:21" x14ac:dyDescent="0.35">
      <c r="A3208" t="s">
        <v>15</v>
      </c>
      <c r="B3208" t="s">
        <v>16</v>
      </c>
      <c r="C3208" t="s">
        <v>21</v>
      </c>
      <c r="D3208">
        <v>228605</v>
      </c>
      <c r="E3208">
        <v>44238</v>
      </c>
      <c r="F3208">
        <v>47494</v>
      </c>
      <c r="G3208">
        <v>-227013</v>
      </c>
      <c r="H3208">
        <v>93324</v>
      </c>
      <c r="I3208">
        <v>86536</v>
      </c>
      <c r="J3208">
        <v>1918</v>
      </c>
      <c r="K3208">
        <v>503647</v>
      </c>
      <c r="L3208">
        <v>175115</v>
      </c>
      <c r="M3208">
        <v>-149134</v>
      </c>
      <c r="N3208">
        <v>125458</v>
      </c>
      <c r="O3208" t="s">
        <v>3226</v>
      </c>
      <c r="P3208" s="9">
        <v>163438</v>
      </c>
      <c r="Q3208" s="9">
        <v>20052</v>
      </c>
      <c r="R3208" s="9">
        <v>183490</v>
      </c>
      <c r="S3208" s="9">
        <v>-108613</v>
      </c>
      <c r="T3208" s="10">
        <v>45019</v>
      </c>
      <c r="U3208" s="10">
        <v>513</v>
      </c>
    </row>
    <row r="3209" spans="1:21" x14ac:dyDescent="0.35">
      <c r="A3209" t="s">
        <v>15</v>
      </c>
      <c r="B3209" t="s">
        <v>16</v>
      </c>
      <c r="C3209" t="s">
        <v>17</v>
      </c>
      <c r="D3209">
        <v>242092</v>
      </c>
      <c r="E3209">
        <v>28873</v>
      </c>
      <c r="F3209">
        <v>42207</v>
      </c>
      <c r="G3209">
        <v>-228699</v>
      </c>
      <c r="H3209">
        <v>84473</v>
      </c>
      <c r="I3209">
        <v>78108</v>
      </c>
      <c r="J3209">
        <v>1132</v>
      </c>
      <c r="K3209">
        <v>588291</v>
      </c>
      <c r="L3209">
        <v>207202</v>
      </c>
      <c r="M3209">
        <v>-104287</v>
      </c>
      <c r="N3209">
        <v>215101</v>
      </c>
      <c r="O3209" t="s">
        <v>3227</v>
      </c>
      <c r="P3209" s="9">
        <v>195216</v>
      </c>
      <c r="Q3209" s="9">
        <v>23318</v>
      </c>
      <c r="R3209" s="9">
        <v>218534</v>
      </c>
      <c r="S3209" s="9">
        <v>-71739</v>
      </c>
      <c r="T3209" s="10">
        <v>81031</v>
      </c>
      <c r="U3209" s="10">
        <v>2298</v>
      </c>
    </row>
    <row r="3210" spans="1:21" x14ac:dyDescent="0.35">
      <c r="A3210" t="s">
        <v>15</v>
      </c>
      <c r="B3210" t="s">
        <v>20</v>
      </c>
      <c r="C3210" t="s">
        <v>21</v>
      </c>
      <c r="D3210">
        <v>246649</v>
      </c>
      <c r="E3210">
        <v>34418</v>
      </c>
      <c r="F3210">
        <v>52715</v>
      </c>
      <c r="G3210">
        <v>-238265</v>
      </c>
      <c r="H3210">
        <v>95517</v>
      </c>
      <c r="I3210">
        <v>86013</v>
      </c>
      <c r="J3210">
        <v>2518</v>
      </c>
      <c r="K3210">
        <v>897992</v>
      </c>
      <c r="L3210">
        <v>298039</v>
      </c>
      <c r="M3210">
        <v>-288380</v>
      </c>
      <c r="N3210">
        <v>161818</v>
      </c>
      <c r="O3210" t="s">
        <v>3228</v>
      </c>
      <c r="P3210" s="9">
        <v>202589</v>
      </c>
      <c r="Q3210" s="9">
        <v>34112</v>
      </c>
      <c r="R3210" s="9">
        <v>236701</v>
      </c>
      <c r="S3210" s="9">
        <v>-131309</v>
      </c>
      <c r="T3210" s="10">
        <v>94264</v>
      </c>
      <c r="U3210" s="10">
        <v>1368</v>
      </c>
    </row>
    <row r="3211" spans="1:21" x14ac:dyDescent="0.35">
      <c r="A3211" t="s">
        <v>15</v>
      </c>
      <c r="B3211" t="s">
        <v>16</v>
      </c>
      <c r="C3211" t="s">
        <v>21</v>
      </c>
      <c r="D3211">
        <v>260897</v>
      </c>
      <c r="E3211">
        <v>37182</v>
      </c>
      <c r="F3211">
        <v>48321</v>
      </c>
      <c r="G3211">
        <v>-209708</v>
      </c>
      <c r="H3211">
        <v>136692</v>
      </c>
      <c r="I3211">
        <v>123187</v>
      </c>
      <c r="J3211">
        <v>2157</v>
      </c>
      <c r="K3211">
        <v>680716</v>
      </c>
      <c r="L3211">
        <v>229389</v>
      </c>
      <c r="M3211">
        <v>-238108</v>
      </c>
      <c r="N3211">
        <v>128506</v>
      </c>
      <c r="O3211" t="s">
        <v>3229</v>
      </c>
      <c r="P3211" s="9">
        <v>153135</v>
      </c>
      <c r="Q3211" s="9">
        <v>9723</v>
      </c>
      <c r="R3211" s="9">
        <v>162858</v>
      </c>
      <c r="S3211" s="9">
        <v>-89465</v>
      </c>
      <c r="T3211" s="10">
        <v>69035</v>
      </c>
      <c r="U3211" s="10">
        <v>1777</v>
      </c>
    </row>
    <row r="3212" spans="1:21" x14ac:dyDescent="0.35">
      <c r="A3212" t="s">
        <v>15</v>
      </c>
      <c r="B3212" t="s">
        <v>16</v>
      </c>
      <c r="C3212" t="s">
        <v>21</v>
      </c>
      <c r="D3212">
        <v>171762</v>
      </c>
      <c r="E3212">
        <v>21255</v>
      </c>
      <c r="F3212">
        <v>39573</v>
      </c>
      <c r="G3212">
        <v>-145417</v>
      </c>
      <c r="H3212">
        <v>87173</v>
      </c>
      <c r="I3212">
        <v>81857</v>
      </c>
      <c r="J3212">
        <v>2340</v>
      </c>
      <c r="K3212">
        <v>658018</v>
      </c>
      <c r="L3212">
        <v>308868</v>
      </c>
      <c r="M3212">
        <v>-127283</v>
      </c>
      <c r="N3212">
        <v>59156</v>
      </c>
      <c r="O3212" t="s">
        <v>3230</v>
      </c>
      <c r="P3212" s="9">
        <v>299894</v>
      </c>
      <c r="Q3212" s="9">
        <v>46266</v>
      </c>
      <c r="R3212" s="9">
        <v>346160</v>
      </c>
      <c r="S3212" s="9">
        <v>-193649</v>
      </c>
      <c r="T3212" s="10">
        <v>94311</v>
      </c>
      <c r="U3212" s="10">
        <v>1303</v>
      </c>
    </row>
    <row r="3213" spans="1:21" x14ac:dyDescent="0.35">
      <c r="A3213" t="s">
        <v>15</v>
      </c>
      <c r="B3213" t="s">
        <v>20</v>
      </c>
      <c r="C3213" t="s">
        <v>17</v>
      </c>
      <c r="D3213">
        <v>292136</v>
      </c>
      <c r="E3213">
        <v>48025</v>
      </c>
      <c r="F3213">
        <v>60478</v>
      </c>
      <c r="G3213">
        <v>-282387</v>
      </c>
      <c r="H3213">
        <v>118252</v>
      </c>
      <c r="I3213">
        <v>114198</v>
      </c>
      <c r="J3213">
        <v>1654</v>
      </c>
      <c r="K3213">
        <v>827225</v>
      </c>
      <c r="L3213">
        <v>173769</v>
      </c>
      <c r="M3213">
        <v>-227936</v>
      </c>
      <c r="N3213">
        <v>94857</v>
      </c>
      <c r="O3213" t="s">
        <v>3231</v>
      </c>
      <c r="P3213" s="9">
        <v>280997</v>
      </c>
      <c r="Q3213" s="9">
        <v>21002</v>
      </c>
      <c r="R3213" s="9">
        <v>301999</v>
      </c>
      <c r="S3213" s="9">
        <v>-124084</v>
      </c>
      <c r="T3213" s="10">
        <v>49108</v>
      </c>
      <c r="U3213" s="10">
        <v>1071</v>
      </c>
    </row>
    <row r="3214" spans="1:21" x14ac:dyDescent="0.35">
      <c r="A3214" t="s">
        <v>15</v>
      </c>
      <c r="B3214" t="s">
        <v>16</v>
      </c>
      <c r="C3214" t="s">
        <v>21</v>
      </c>
      <c r="D3214">
        <v>274576</v>
      </c>
      <c r="E3214">
        <v>30179</v>
      </c>
      <c r="F3214">
        <v>31031</v>
      </c>
      <c r="G3214">
        <v>-242627</v>
      </c>
      <c r="H3214">
        <v>93159</v>
      </c>
      <c r="I3214">
        <v>95235</v>
      </c>
      <c r="J3214">
        <v>1723</v>
      </c>
      <c r="K3214">
        <v>974173</v>
      </c>
      <c r="L3214">
        <v>283905</v>
      </c>
      <c r="M3214">
        <v>-243878</v>
      </c>
      <c r="N3214">
        <v>212310</v>
      </c>
      <c r="O3214" t="s">
        <v>3232</v>
      </c>
      <c r="P3214" s="9">
        <v>258601</v>
      </c>
      <c r="Q3214" s="9">
        <v>22221</v>
      </c>
      <c r="R3214" s="9">
        <v>280822</v>
      </c>
      <c r="S3214" s="9">
        <v>-161291</v>
      </c>
      <c r="T3214" s="10">
        <v>99872</v>
      </c>
      <c r="U3214" s="10">
        <v>2107</v>
      </c>
    </row>
    <row r="3215" spans="1:21" x14ac:dyDescent="0.35">
      <c r="A3215" t="s">
        <v>15</v>
      </c>
      <c r="B3215" t="s">
        <v>16</v>
      </c>
      <c r="C3215" t="s">
        <v>21</v>
      </c>
      <c r="D3215">
        <v>264312</v>
      </c>
      <c r="E3215">
        <v>36694</v>
      </c>
      <c r="F3215">
        <v>55937</v>
      </c>
      <c r="G3215">
        <v>-252781</v>
      </c>
      <c r="H3215">
        <v>104162</v>
      </c>
      <c r="I3215">
        <v>101891</v>
      </c>
      <c r="J3215">
        <v>3051</v>
      </c>
      <c r="K3215">
        <v>624733</v>
      </c>
      <c r="L3215">
        <v>95853</v>
      </c>
      <c r="M3215">
        <v>-89997</v>
      </c>
      <c r="N3215">
        <v>99232</v>
      </c>
      <c r="O3215" t="s">
        <v>3233</v>
      </c>
      <c r="P3215" s="9">
        <v>164824</v>
      </c>
      <c r="Q3215" s="9">
        <v>24592</v>
      </c>
      <c r="R3215" s="9">
        <v>189416</v>
      </c>
      <c r="S3215" s="9">
        <v>-83240</v>
      </c>
      <c r="T3215" s="10">
        <v>66147</v>
      </c>
      <c r="U3215" s="10">
        <v>1360</v>
      </c>
    </row>
    <row r="3216" spans="1:21" x14ac:dyDescent="0.35">
      <c r="A3216" t="s">
        <v>15</v>
      </c>
      <c r="B3216" t="s">
        <v>20</v>
      </c>
      <c r="C3216" t="s">
        <v>21</v>
      </c>
      <c r="D3216">
        <v>212384</v>
      </c>
      <c r="E3216">
        <v>13497</v>
      </c>
      <c r="F3216">
        <v>42790</v>
      </c>
      <c r="G3216">
        <v>-191583</v>
      </c>
      <c r="H3216">
        <v>77088</v>
      </c>
      <c r="I3216">
        <v>74892</v>
      </c>
      <c r="J3216">
        <v>1579</v>
      </c>
      <c r="K3216">
        <v>559765</v>
      </c>
      <c r="L3216">
        <v>128713</v>
      </c>
      <c r="M3216">
        <v>-162446</v>
      </c>
      <c r="N3216">
        <v>176472</v>
      </c>
      <c r="O3216" t="s">
        <v>3234</v>
      </c>
      <c r="P3216" s="9">
        <v>189043</v>
      </c>
      <c r="Q3216" s="9">
        <v>31769</v>
      </c>
      <c r="R3216" s="9">
        <v>220812</v>
      </c>
      <c r="S3216" s="9">
        <v>-69663</v>
      </c>
      <c r="T3216" s="10">
        <v>97398</v>
      </c>
      <c r="U3216" s="10">
        <v>1976</v>
      </c>
    </row>
    <row r="3217" spans="1:21" x14ac:dyDescent="0.35">
      <c r="A3217" t="s">
        <v>15</v>
      </c>
      <c r="B3217" t="s">
        <v>20</v>
      </c>
      <c r="C3217" t="s">
        <v>21</v>
      </c>
      <c r="D3217">
        <v>299156</v>
      </c>
      <c r="E3217">
        <v>55776</v>
      </c>
      <c r="F3217">
        <v>41307</v>
      </c>
      <c r="G3217">
        <v>-281991</v>
      </c>
      <c r="H3217">
        <v>114248</v>
      </c>
      <c r="I3217">
        <v>109766</v>
      </c>
      <c r="J3217">
        <v>1492</v>
      </c>
      <c r="K3217">
        <v>843138</v>
      </c>
      <c r="L3217">
        <v>245589</v>
      </c>
      <c r="M3217">
        <v>-161309</v>
      </c>
      <c r="N3217">
        <v>253979</v>
      </c>
      <c r="O3217" t="s">
        <v>3235</v>
      </c>
      <c r="P3217" s="9">
        <v>212418</v>
      </c>
      <c r="Q3217" s="9">
        <v>10630</v>
      </c>
      <c r="R3217" s="9">
        <v>223048</v>
      </c>
      <c r="S3217" s="9">
        <v>-53638</v>
      </c>
      <c r="T3217" s="10">
        <v>44362</v>
      </c>
      <c r="U3217" s="10">
        <v>683</v>
      </c>
    </row>
    <row r="3218" spans="1:21" x14ac:dyDescent="0.35">
      <c r="A3218" t="s">
        <v>15</v>
      </c>
      <c r="B3218" t="s">
        <v>20</v>
      </c>
      <c r="C3218" t="s">
        <v>21</v>
      </c>
      <c r="D3218">
        <v>296370</v>
      </c>
      <c r="E3218">
        <v>23998</v>
      </c>
      <c r="F3218">
        <v>44858</v>
      </c>
      <c r="G3218">
        <v>-284565</v>
      </c>
      <c r="H3218">
        <v>80661</v>
      </c>
      <c r="I3218">
        <v>79239</v>
      </c>
      <c r="J3218">
        <v>1543</v>
      </c>
      <c r="K3218">
        <v>963556</v>
      </c>
      <c r="L3218">
        <v>230818</v>
      </c>
      <c r="M3218">
        <v>-258822</v>
      </c>
      <c r="N3218">
        <v>148927</v>
      </c>
      <c r="O3218" t="s">
        <v>3236</v>
      </c>
      <c r="P3218" s="9">
        <v>276935</v>
      </c>
      <c r="Q3218" s="9">
        <v>36408</v>
      </c>
      <c r="R3218" s="9">
        <v>313343</v>
      </c>
      <c r="S3218" s="9">
        <v>-138780</v>
      </c>
      <c r="T3218" s="10">
        <v>121869</v>
      </c>
      <c r="U3218" s="10">
        <v>1957</v>
      </c>
    </row>
    <row r="3219" spans="1:21" x14ac:dyDescent="0.35">
      <c r="A3219" t="s">
        <v>15</v>
      </c>
      <c r="B3219" t="s">
        <v>20</v>
      </c>
      <c r="C3219" t="s">
        <v>17</v>
      </c>
      <c r="D3219">
        <v>177824</v>
      </c>
      <c r="E3219">
        <v>19204</v>
      </c>
      <c r="F3219">
        <v>25963</v>
      </c>
      <c r="G3219">
        <v>-169957</v>
      </c>
      <c r="H3219">
        <v>53034</v>
      </c>
      <c r="I3219">
        <v>55441</v>
      </c>
      <c r="J3219">
        <v>1219</v>
      </c>
      <c r="K3219">
        <v>437552</v>
      </c>
      <c r="L3219">
        <v>122107</v>
      </c>
      <c r="M3219">
        <v>-162941</v>
      </c>
      <c r="N3219">
        <v>145931</v>
      </c>
      <c r="O3219" t="s">
        <v>3237</v>
      </c>
      <c r="P3219" s="9">
        <v>215931</v>
      </c>
      <c r="Q3219" s="9">
        <v>14102</v>
      </c>
      <c r="R3219" s="9">
        <v>230033</v>
      </c>
      <c r="S3219" s="9">
        <v>-80616</v>
      </c>
      <c r="T3219" s="10">
        <v>68540</v>
      </c>
      <c r="U3219" s="10">
        <v>1228</v>
      </c>
    </row>
    <row r="3220" spans="1:21" x14ac:dyDescent="0.35">
      <c r="A3220" t="s">
        <v>15</v>
      </c>
      <c r="B3220" t="s">
        <v>20</v>
      </c>
      <c r="C3220" t="s">
        <v>21</v>
      </c>
      <c r="D3220">
        <v>207484</v>
      </c>
      <c r="E3220">
        <v>18035</v>
      </c>
      <c r="F3220">
        <v>49891</v>
      </c>
      <c r="G3220">
        <v>-166920</v>
      </c>
      <c r="H3220">
        <v>108490</v>
      </c>
      <c r="I3220">
        <v>103554</v>
      </c>
      <c r="J3220">
        <v>1850</v>
      </c>
      <c r="K3220">
        <v>813184</v>
      </c>
      <c r="L3220">
        <v>258298</v>
      </c>
      <c r="M3220">
        <v>-159168</v>
      </c>
      <c r="N3220">
        <v>112340</v>
      </c>
      <c r="O3220" t="s">
        <v>3238</v>
      </c>
      <c r="P3220" s="9">
        <v>215608</v>
      </c>
      <c r="Q3220" s="9">
        <v>40510</v>
      </c>
      <c r="R3220" s="9">
        <v>256118</v>
      </c>
      <c r="S3220" s="9">
        <v>-82564</v>
      </c>
      <c r="T3220" s="10">
        <v>79691</v>
      </c>
      <c r="U3220" s="10">
        <v>2228</v>
      </c>
    </row>
    <row r="3221" spans="1:21" x14ac:dyDescent="0.35">
      <c r="A3221" t="s">
        <v>15</v>
      </c>
      <c r="B3221" t="s">
        <v>16</v>
      </c>
      <c r="C3221" t="s">
        <v>21</v>
      </c>
      <c r="D3221">
        <v>180164</v>
      </c>
      <c r="E3221">
        <v>9271</v>
      </c>
      <c r="F3221">
        <v>36752</v>
      </c>
      <c r="G3221">
        <v>-148790</v>
      </c>
      <c r="H3221">
        <v>77397</v>
      </c>
      <c r="I3221">
        <v>74457</v>
      </c>
      <c r="J3221">
        <v>1129</v>
      </c>
      <c r="K3221">
        <v>481833</v>
      </c>
      <c r="L3221">
        <v>129144</v>
      </c>
      <c r="M3221">
        <v>-125847</v>
      </c>
      <c r="N3221">
        <v>121964</v>
      </c>
      <c r="O3221" t="s">
        <v>3239</v>
      </c>
      <c r="P3221" s="9">
        <v>258872</v>
      </c>
      <c r="Q3221" s="9">
        <v>19789</v>
      </c>
      <c r="R3221" s="9">
        <v>278661</v>
      </c>
      <c r="S3221" s="9">
        <v>-72065</v>
      </c>
      <c r="T3221" s="10">
        <v>89030</v>
      </c>
      <c r="U3221" s="10">
        <v>1666</v>
      </c>
    </row>
    <row r="3222" spans="1:21" x14ac:dyDescent="0.35">
      <c r="A3222" t="s">
        <v>15</v>
      </c>
      <c r="B3222" t="s">
        <v>16</v>
      </c>
      <c r="C3222" t="s">
        <v>21</v>
      </c>
      <c r="D3222">
        <v>283131</v>
      </c>
      <c r="E3222">
        <v>42792</v>
      </c>
      <c r="F3222">
        <v>66254</v>
      </c>
      <c r="G3222">
        <v>-236353</v>
      </c>
      <c r="H3222">
        <v>155824</v>
      </c>
      <c r="I3222">
        <v>162405</v>
      </c>
      <c r="J3222">
        <v>2953</v>
      </c>
      <c r="K3222">
        <v>628924</v>
      </c>
      <c r="L3222">
        <v>93749</v>
      </c>
      <c r="M3222">
        <v>-202023</v>
      </c>
      <c r="N3222">
        <v>108413</v>
      </c>
      <c r="O3222" t="s">
        <v>3240</v>
      </c>
      <c r="P3222" s="9">
        <v>217579</v>
      </c>
      <c r="Q3222" s="9">
        <v>36058</v>
      </c>
      <c r="R3222" s="9">
        <v>253637</v>
      </c>
      <c r="S3222" s="9">
        <v>-125263</v>
      </c>
      <c r="T3222" s="10">
        <v>114424</v>
      </c>
      <c r="U3222" s="10">
        <v>2489</v>
      </c>
    </row>
    <row r="3223" spans="1:21" x14ac:dyDescent="0.35">
      <c r="A3223" t="s">
        <v>15</v>
      </c>
      <c r="B3223" t="s">
        <v>16</v>
      </c>
      <c r="C3223" t="s">
        <v>17</v>
      </c>
      <c r="D3223">
        <v>294223</v>
      </c>
      <c r="E3223">
        <v>39281</v>
      </c>
      <c r="F3223">
        <v>64099</v>
      </c>
      <c r="G3223">
        <v>-261093</v>
      </c>
      <c r="H3223">
        <v>136510</v>
      </c>
      <c r="I3223">
        <v>133191</v>
      </c>
      <c r="J3223">
        <v>3043</v>
      </c>
      <c r="K3223">
        <v>1172415</v>
      </c>
      <c r="L3223">
        <v>123517</v>
      </c>
      <c r="M3223">
        <v>-252383</v>
      </c>
      <c r="N3223">
        <v>164497</v>
      </c>
      <c r="O3223" t="s">
        <v>3241</v>
      </c>
      <c r="P3223" s="9">
        <v>180534</v>
      </c>
      <c r="Q3223" s="9">
        <v>24086</v>
      </c>
      <c r="R3223" s="9">
        <v>204620</v>
      </c>
      <c r="S3223" s="9">
        <v>-71372</v>
      </c>
      <c r="T3223" s="10">
        <v>83482</v>
      </c>
      <c r="U3223" s="10">
        <v>1320</v>
      </c>
    </row>
    <row r="3224" spans="1:21" x14ac:dyDescent="0.35">
      <c r="A3224" t="s">
        <v>15</v>
      </c>
      <c r="B3224" t="s">
        <v>16</v>
      </c>
      <c r="C3224" t="s">
        <v>21</v>
      </c>
      <c r="D3224">
        <v>246061</v>
      </c>
      <c r="E3224">
        <v>33864</v>
      </c>
      <c r="F3224">
        <v>46957</v>
      </c>
      <c r="G3224">
        <v>-216107</v>
      </c>
      <c r="H3224">
        <v>110775</v>
      </c>
      <c r="I3224">
        <v>114769</v>
      </c>
      <c r="J3224">
        <v>1696</v>
      </c>
      <c r="K3224">
        <v>813897</v>
      </c>
      <c r="L3224">
        <v>252953</v>
      </c>
      <c r="M3224">
        <v>-323232</v>
      </c>
      <c r="N3224">
        <v>184486</v>
      </c>
      <c r="O3224" t="s">
        <v>3242</v>
      </c>
      <c r="P3224" s="9">
        <v>283513</v>
      </c>
      <c r="Q3224" s="9">
        <v>40645</v>
      </c>
      <c r="R3224" s="9">
        <v>324158</v>
      </c>
      <c r="S3224" s="9">
        <v>-88646</v>
      </c>
      <c r="T3224" s="10">
        <v>102195</v>
      </c>
      <c r="U3224" s="10">
        <v>1538</v>
      </c>
    </row>
    <row r="3225" spans="1:21" x14ac:dyDescent="0.35">
      <c r="A3225" t="s">
        <v>15</v>
      </c>
      <c r="B3225" t="s">
        <v>20</v>
      </c>
      <c r="C3225" t="s">
        <v>21</v>
      </c>
      <c r="D3225">
        <v>168230</v>
      </c>
      <c r="E3225">
        <v>24275</v>
      </c>
      <c r="F3225">
        <v>35828</v>
      </c>
      <c r="G3225">
        <v>-147592</v>
      </c>
      <c r="H3225">
        <v>80741</v>
      </c>
      <c r="I3225">
        <v>82152</v>
      </c>
      <c r="J3225">
        <v>1854</v>
      </c>
      <c r="K3225">
        <v>546509</v>
      </c>
      <c r="L3225">
        <v>266896</v>
      </c>
      <c r="M3225">
        <v>-59451</v>
      </c>
      <c r="N3225">
        <v>120254</v>
      </c>
      <c r="O3225" t="s">
        <v>3243</v>
      </c>
      <c r="P3225" s="9">
        <v>208490</v>
      </c>
      <c r="Q3225" s="9">
        <v>26677</v>
      </c>
      <c r="R3225" s="9">
        <v>235167</v>
      </c>
      <c r="S3225" s="9">
        <v>-87376</v>
      </c>
      <c r="T3225" s="10">
        <v>76381</v>
      </c>
      <c r="U3225" s="10">
        <v>1890</v>
      </c>
    </row>
    <row r="3226" spans="1:21" x14ac:dyDescent="0.35">
      <c r="A3226" t="s">
        <v>15</v>
      </c>
      <c r="B3226" t="s">
        <v>16</v>
      </c>
      <c r="C3226" t="s">
        <v>21</v>
      </c>
      <c r="D3226">
        <v>233771</v>
      </c>
      <c r="E3226">
        <v>46629</v>
      </c>
      <c r="F3226">
        <v>40878</v>
      </c>
      <c r="G3226">
        <v>-219929</v>
      </c>
      <c r="H3226">
        <v>101349</v>
      </c>
      <c r="I3226">
        <v>103258</v>
      </c>
      <c r="J3226">
        <v>1481</v>
      </c>
      <c r="K3226">
        <v>918775</v>
      </c>
      <c r="L3226">
        <v>171679</v>
      </c>
      <c r="M3226">
        <v>-163458</v>
      </c>
      <c r="N3226">
        <v>162155</v>
      </c>
      <c r="O3226" t="s">
        <v>3244</v>
      </c>
      <c r="P3226" s="9">
        <v>254982</v>
      </c>
      <c r="Q3226" s="9">
        <v>26266</v>
      </c>
      <c r="R3226" s="9">
        <v>281248</v>
      </c>
      <c r="S3226" s="9">
        <v>-149062</v>
      </c>
      <c r="T3226" s="10">
        <v>110836</v>
      </c>
      <c r="U3226" s="10">
        <v>2031</v>
      </c>
    </row>
    <row r="3227" spans="1:21" x14ac:dyDescent="0.35">
      <c r="A3227" t="s">
        <v>15</v>
      </c>
      <c r="B3227" t="s">
        <v>16</v>
      </c>
      <c r="C3227" t="s">
        <v>21</v>
      </c>
      <c r="D3227">
        <v>263395</v>
      </c>
      <c r="E3227">
        <v>20944</v>
      </c>
      <c r="F3227">
        <v>46237</v>
      </c>
      <c r="G3227">
        <v>-235957</v>
      </c>
      <c r="H3227">
        <v>94619</v>
      </c>
      <c r="I3227">
        <v>85633</v>
      </c>
      <c r="J3227">
        <v>1310</v>
      </c>
      <c r="K3227">
        <v>776552</v>
      </c>
      <c r="L3227">
        <v>368451</v>
      </c>
      <c r="M3227">
        <v>-99509</v>
      </c>
      <c r="N3227">
        <v>177300</v>
      </c>
      <c r="O3227" t="s">
        <v>3245</v>
      </c>
      <c r="P3227" s="9">
        <v>182023</v>
      </c>
      <c r="Q3227" s="9">
        <v>22723</v>
      </c>
      <c r="R3227" s="9">
        <v>204746</v>
      </c>
      <c r="S3227" s="9">
        <v>-109629</v>
      </c>
      <c r="T3227" s="10">
        <v>50976</v>
      </c>
      <c r="U3227" s="10">
        <v>839</v>
      </c>
    </row>
    <row r="3228" spans="1:21" x14ac:dyDescent="0.35">
      <c r="A3228" t="s">
        <v>15</v>
      </c>
      <c r="B3228" t="s">
        <v>20</v>
      </c>
      <c r="C3228" t="s">
        <v>21</v>
      </c>
      <c r="D3228">
        <v>260733</v>
      </c>
      <c r="E3228">
        <v>47375</v>
      </c>
      <c r="F3228">
        <v>31349</v>
      </c>
      <c r="G3228">
        <v>-256877</v>
      </c>
      <c r="H3228">
        <v>82580</v>
      </c>
      <c r="I3228">
        <v>82950</v>
      </c>
      <c r="J3228">
        <v>1999</v>
      </c>
      <c r="K3228">
        <v>941965</v>
      </c>
      <c r="L3228">
        <v>210812</v>
      </c>
      <c r="M3228">
        <v>-315808</v>
      </c>
      <c r="N3228">
        <v>205013</v>
      </c>
      <c r="O3228" t="s">
        <v>3246</v>
      </c>
      <c r="P3228" s="9">
        <v>202692</v>
      </c>
      <c r="Q3228" s="9">
        <v>35121</v>
      </c>
      <c r="R3228" s="9">
        <v>237813</v>
      </c>
      <c r="S3228" s="9">
        <v>-141645</v>
      </c>
      <c r="T3228" s="10">
        <v>92438</v>
      </c>
      <c r="U3228" s="10">
        <v>1367</v>
      </c>
    </row>
    <row r="3229" spans="1:21" x14ac:dyDescent="0.35">
      <c r="A3229" t="s">
        <v>15</v>
      </c>
      <c r="B3229" t="s">
        <v>16</v>
      </c>
      <c r="C3229" t="s">
        <v>21</v>
      </c>
      <c r="D3229">
        <v>246947</v>
      </c>
      <c r="E3229">
        <v>16146</v>
      </c>
      <c r="F3229">
        <v>35062</v>
      </c>
      <c r="G3229">
        <v>-239454</v>
      </c>
      <c r="H3229">
        <v>58701</v>
      </c>
      <c r="I3229">
        <v>57763</v>
      </c>
      <c r="J3229">
        <v>647</v>
      </c>
      <c r="K3229">
        <v>601543</v>
      </c>
      <c r="L3229">
        <v>253503</v>
      </c>
      <c r="M3229">
        <v>-191723</v>
      </c>
      <c r="N3229">
        <v>83510</v>
      </c>
      <c r="O3229" t="s">
        <v>3247</v>
      </c>
      <c r="P3229" s="9">
        <v>262039</v>
      </c>
      <c r="Q3229" s="9">
        <v>14339</v>
      </c>
      <c r="R3229" s="9">
        <v>276378</v>
      </c>
      <c r="S3229" s="9">
        <v>-78903</v>
      </c>
      <c r="T3229" s="10">
        <v>79047</v>
      </c>
      <c r="U3229" s="10">
        <v>1850</v>
      </c>
    </row>
    <row r="3230" spans="1:21" x14ac:dyDescent="0.35">
      <c r="A3230" t="s">
        <v>15</v>
      </c>
      <c r="B3230" t="s">
        <v>16</v>
      </c>
      <c r="C3230" t="s">
        <v>17</v>
      </c>
      <c r="D3230">
        <v>297761</v>
      </c>
      <c r="E3230">
        <v>34218</v>
      </c>
      <c r="F3230">
        <v>51441</v>
      </c>
      <c r="G3230">
        <v>-256048</v>
      </c>
      <c r="H3230">
        <v>127372</v>
      </c>
      <c r="I3230">
        <v>118286</v>
      </c>
      <c r="J3230">
        <v>1397</v>
      </c>
      <c r="K3230">
        <v>853263</v>
      </c>
      <c r="L3230">
        <v>105569</v>
      </c>
      <c r="M3230">
        <v>-227058</v>
      </c>
      <c r="N3230">
        <v>191217</v>
      </c>
      <c r="O3230" t="s">
        <v>3248</v>
      </c>
      <c r="P3230" s="9">
        <v>189282</v>
      </c>
      <c r="Q3230" s="9">
        <v>28447</v>
      </c>
      <c r="R3230" s="9">
        <v>217729</v>
      </c>
      <c r="S3230" s="9">
        <v>-43979</v>
      </c>
      <c r="T3230" s="10">
        <v>86337</v>
      </c>
      <c r="U3230" s="10">
        <v>2076</v>
      </c>
    </row>
    <row r="3231" spans="1:21" x14ac:dyDescent="0.35">
      <c r="A3231" t="s">
        <v>15</v>
      </c>
      <c r="B3231" t="s">
        <v>16</v>
      </c>
      <c r="C3231" t="s">
        <v>21</v>
      </c>
      <c r="D3231">
        <v>241155</v>
      </c>
      <c r="E3231">
        <v>26663</v>
      </c>
      <c r="F3231">
        <v>28292</v>
      </c>
      <c r="G3231">
        <v>-223908</v>
      </c>
      <c r="H3231">
        <v>72202</v>
      </c>
      <c r="I3231">
        <v>65311</v>
      </c>
      <c r="J3231">
        <v>720</v>
      </c>
      <c r="K3231">
        <v>768685</v>
      </c>
      <c r="L3231">
        <v>194134</v>
      </c>
      <c r="M3231">
        <v>-262164</v>
      </c>
      <c r="N3231">
        <v>180225</v>
      </c>
      <c r="O3231" t="s">
        <v>3249</v>
      </c>
      <c r="P3231" s="9">
        <v>286606</v>
      </c>
      <c r="Q3231" s="9">
        <v>19096</v>
      </c>
      <c r="R3231" s="9">
        <v>305702</v>
      </c>
      <c r="S3231" s="9">
        <v>-73900</v>
      </c>
      <c r="T3231" s="10">
        <v>67557</v>
      </c>
      <c r="U3231" s="10">
        <v>1183</v>
      </c>
    </row>
    <row r="3232" spans="1:21" x14ac:dyDescent="0.35">
      <c r="A3232" t="s">
        <v>15</v>
      </c>
      <c r="B3232" t="s">
        <v>16</v>
      </c>
      <c r="C3232" t="s">
        <v>17</v>
      </c>
      <c r="D3232">
        <v>232265</v>
      </c>
      <c r="E3232">
        <v>22257</v>
      </c>
      <c r="F3232">
        <v>46134</v>
      </c>
      <c r="G3232">
        <v>-205014</v>
      </c>
      <c r="H3232">
        <v>95642</v>
      </c>
      <c r="I3232">
        <v>96202</v>
      </c>
      <c r="J3232">
        <v>1613</v>
      </c>
      <c r="K3232">
        <v>684313</v>
      </c>
      <c r="L3232">
        <v>251690</v>
      </c>
      <c r="M3232">
        <v>-253646</v>
      </c>
      <c r="N3232">
        <v>161992</v>
      </c>
      <c r="O3232" t="s">
        <v>3250</v>
      </c>
      <c r="P3232" s="9">
        <v>279359</v>
      </c>
      <c r="Q3232" s="9">
        <v>39024</v>
      </c>
      <c r="R3232" s="9">
        <v>318383</v>
      </c>
      <c r="S3232" s="9">
        <v>-185894</v>
      </c>
      <c r="T3232" s="10">
        <v>102371</v>
      </c>
      <c r="U3232" s="10">
        <v>2836</v>
      </c>
    </row>
    <row r="3233" spans="1:21" x14ac:dyDescent="0.35">
      <c r="A3233" t="s">
        <v>15</v>
      </c>
      <c r="B3233" t="s">
        <v>16</v>
      </c>
      <c r="C3233" t="s">
        <v>21</v>
      </c>
      <c r="D3233">
        <v>197778</v>
      </c>
      <c r="E3233">
        <v>18907</v>
      </c>
      <c r="F3233">
        <v>35426</v>
      </c>
      <c r="G3233">
        <v>-192268</v>
      </c>
      <c r="H3233">
        <v>59843</v>
      </c>
      <c r="I3233">
        <v>56696</v>
      </c>
      <c r="J3233">
        <v>975</v>
      </c>
      <c r="K3233">
        <v>416420</v>
      </c>
      <c r="L3233">
        <v>162587</v>
      </c>
      <c r="M3233">
        <v>-160864</v>
      </c>
      <c r="N3233">
        <v>147723</v>
      </c>
      <c r="O3233" t="s">
        <v>3251</v>
      </c>
      <c r="P3233" s="9">
        <v>150240</v>
      </c>
      <c r="Q3233" s="9">
        <v>27329</v>
      </c>
      <c r="R3233" s="9">
        <v>177569</v>
      </c>
      <c r="S3233" s="9">
        <v>-59081</v>
      </c>
      <c r="T3233" s="10">
        <v>74549</v>
      </c>
      <c r="U3233" s="10">
        <v>1290</v>
      </c>
    </row>
    <row r="3234" spans="1:21" x14ac:dyDescent="0.35">
      <c r="A3234" t="s">
        <v>15</v>
      </c>
      <c r="B3234" t="s">
        <v>16</v>
      </c>
      <c r="C3234" t="s">
        <v>21</v>
      </c>
      <c r="D3234">
        <v>255511</v>
      </c>
      <c r="E3234">
        <v>37059</v>
      </c>
      <c r="F3234">
        <v>51338</v>
      </c>
      <c r="G3234">
        <v>-214048</v>
      </c>
      <c r="H3234">
        <v>129860</v>
      </c>
      <c r="I3234">
        <v>120853</v>
      </c>
      <c r="J3234">
        <v>1582</v>
      </c>
      <c r="K3234">
        <v>1017448</v>
      </c>
      <c r="L3234">
        <v>434322</v>
      </c>
      <c r="M3234">
        <v>-216414</v>
      </c>
      <c r="N3234">
        <v>137622</v>
      </c>
      <c r="O3234" t="s">
        <v>3252</v>
      </c>
      <c r="P3234" s="9">
        <v>248355</v>
      </c>
      <c r="Q3234" s="9">
        <v>45572</v>
      </c>
      <c r="R3234" s="9">
        <v>293927</v>
      </c>
      <c r="S3234" s="9">
        <v>-103062</v>
      </c>
      <c r="T3234" s="10">
        <v>112599</v>
      </c>
      <c r="U3234" s="10">
        <v>1303</v>
      </c>
    </row>
    <row r="3235" spans="1:21" x14ac:dyDescent="0.35">
      <c r="A3235" t="s">
        <v>15</v>
      </c>
      <c r="B3235" t="s">
        <v>16</v>
      </c>
      <c r="C3235" t="s">
        <v>21</v>
      </c>
      <c r="D3235">
        <v>241201</v>
      </c>
      <c r="E3235">
        <v>17960</v>
      </c>
      <c r="F3235">
        <v>28971</v>
      </c>
      <c r="G3235">
        <v>-203177</v>
      </c>
      <c r="H3235">
        <v>84955</v>
      </c>
      <c r="I3235">
        <v>81248</v>
      </c>
      <c r="J3235">
        <v>2408</v>
      </c>
      <c r="K3235">
        <v>797124</v>
      </c>
      <c r="L3235">
        <v>183141</v>
      </c>
      <c r="M3235">
        <v>-186938</v>
      </c>
      <c r="N3235">
        <v>172568</v>
      </c>
      <c r="O3235" t="s">
        <v>3253</v>
      </c>
      <c r="P3235" s="9">
        <v>163924</v>
      </c>
      <c r="Q3235" s="9">
        <v>26794</v>
      </c>
      <c r="R3235" s="9">
        <v>190718</v>
      </c>
      <c r="S3235" s="9">
        <v>-61183</v>
      </c>
      <c r="T3235" s="10">
        <v>75927</v>
      </c>
      <c r="U3235" s="10">
        <v>2136</v>
      </c>
    </row>
    <row r="3236" spans="1:21" x14ac:dyDescent="0.35">
      <c r="A3236" t="s">
        <v>15</v>
      </c>
      <c r="B3236" t="s">
        <v>20</v>
      </c>
      <c r="C3236" t="s">
        <v>17</v>
      </c>
      <c r="D3236">
        <v>173167</v>
      </c>
      <c r="E3236">
        <v>8794</v>
      </c>
      <c r="F3236">
        <v>36289</v>
      </c>
      <c r="G3236">
        <v>-164020</v>
      </c>
      <c r="H3236">
        <v>54230</v>
      </c>
      <c r="I3236">
        <v>52331</v>
      </c>
      <c r="J3236">
        <v>753</v>
      </c>
      <c r="K3236">
        <v>387285</v>
      </c>
      <c r="L3236">
        <v>47969</v>
      </c>
      <c r="M3236">
        <v>-86629</v>
      </c>
      <c r="N3236">
        <v>91501</v>
      </c>
      <c r="O3236" t="s">
        <v>3254</v>
      </c>
      <c r="P3236" s="9">
        <v>217304</v>
      </c>
      <c r="Q3236" s="9">
        <v>21353</v>
      </c>
      <c r="R3236" s="9">
        <v>238657</v>
      </c>
      <c r="S3236" s="9">
        <v>-85953</v>
      </c>
      <c r="T3236" s="10">
        <v>74141</v>
      </c>
      <c r="U3236" s="10">
        <v>1842</v>
      </c>
    </row>
    <row r="3237" spans="1:21" x14ac:dyDescent="0.35">
      <c r="A3237" t="s">
        <v>15</v>
      </c>
      <c r="B3237" t="s">
        <v>16</v>
      </c>
      <c r="C3237" t="s">
        <v>21</v>
      </c>
      <c r="D3237">
        <v>155933</v>
      </c>
      <c r="E3237">
        <v>14865</v>
      </c>
      <c r="F3237">
        <v>16082</v>
      </c>
      <c r="G3237">
        <v>-131679</v>
      </c>
      <c r="H3237">
        <v>55201</v>
      </c>
      <c r="I3237">
        <v>57553</v>
      </c>
      <c r="J3237">
        <v>581</v>
      </c>
      <c r="K3237">
        <v>348733</v>
      </c>
      <c r="L3237">
        <v>39036</v>
      </c>
      <c r="M3237">
        <v>-44978</v>
      </c>
      <c r="N3237">
        <v>51350</v>
      </c>
      <c r="O3237" t="s">
        <v>3255</v>
      </c>
      <c r="P3237" s="9">
        <v>299556</v>
      </c>
      <c r="Q3237" s="9">
        <v>40464</v>
      </c>
      <c r="R3237" s="9">
        <v>340020</v>
      </c>
      <c r="S3237" s="9">
        <v>-98489</v>
      </c>
      <c r="T3237" s="10">
        <v>154601</v>
      </c>
      <c r="U3237" s="10">
        <v>1794</v>
      </c>
    </row>
    <row r="3238" spans="1:21" x14ac:dyDescent="0.35">
      <c r="A3238" t="s">
        <v>15</v>
      </c>
      <c r="B3238" t="s">
        <v>16</v>
      </c>
      <c r="C3238" t="s">
        <v>21</v>
      </c>
      <c r="D3238">
        <v>177823</v>
      </c>
      <c r="E3238">
        <v>22918</v>
      </c>
      <c r="F3238">
        <v>24559</v>
      </c>
      <c r="G3238">
        <v>-158644</v>
      </c>
      <c r="H3238">
        <v>66656</v>
      </c>
      <c r="I3238">
        <v>64648</v>
      </c>
      <c r="J3238">
        <v>803</v>
      </c>
      <c r="K3238">
        <v>692590</v>
      </c>
      <c r="L3238">
        <v>73808</v>
      </c>
      <c r="M3238">
        <v>-95592</v>
      </c>
      <c r="N3238">
        <v>146714</v>
      </c>
      <c r="O3238" t="s">
        <v>3256</v>
      </c>
      <c r="P3238" s="9">
        <v>287189</v>
      </c>
      <c r="Q3238" s="9">
        <v>32012</v>
      </c>
      <c r="R3238" s="9">
        <v>319201</v>
      </c>
      <c r="S3238" s="9">
        <v>-121482</v>
      </c>
      <c r="T3238" s="10">
        <v>137802</v>
      </c>
      <c r="U3238" s="10">
        <v>2915</v>
      </c>
    </row>
    <row r="3239" spans="1:21" x14ac:dyDescent="0.35">
      <c r="A3239" t="s">
        <v>15</v>
      </c>
      <c r="B3239" t="s">
        <v>16</v>
      </c>
      <c r="C3239" t="s">
        <v>17</v>
      </c>
      <c r="D3239">
        <v>291779</v>
      </c>
      <c r="E3239">
        <v>26326</v>
      </c>
      <c r="F3239">
        <v>62288</v>
      </c>
      <c r="G3239">
        <v>-271301</v>
      </c>
      <c r="H3239">
        <v>109092</v>
      </c>
      <c r="I3239">
        <v>110362</v>
      </c>
      <c r="J3239">
        <v>2073</v>
      </c>
      <c r="K3239">
        <v>1153104</v>
      </c>
      <c r="L3239">
        <v>116757</v>
      </c>
      <c r="M3239">
        <v>-168180</v>
      </c>
      <c r="N3239">
        <v>140346</v>
      </c>
      <c r="O3239" t="s">
        <v>3257</v>
      </c>
      <c r="P3239" s="9">
        <v>227491</v>
      </c>
      <c r="Q3239" s="9">
        <v>14683</v>
      </c>
      <c r="R3239" s="9">
        <v>242174</v>
      </c>
      <c r="S3239" s="9">
        <v>-95603</v>
      </c>
      <c r="T3239" s="10">
        <v>69727</v>
      </c>
      <c r="U3239" s="10">
        <v>1980</v>
      </c>
    </row>
    <row r="3240" spans="1:21" x14ac:dyDescent="0.35">
      <c r="A3240" t="s">
        <v>15</v>
      </c>
      <c r="B3240" t="s">
        <v>20</v>
      </c>
      <c r="C3240" t="s">
        <v>21</v>
      </c>
      <c r="D3240">
        <v>260220</v>
      </c>
      <c r="E3240">
        <v>49737</v>
      </c>
      <c r="F3240">
        <v>55975</v>
      </c>
      <c r="G3240">
        <v>-244129</v>
      </c>
      <c r="H3240">
        <v>121803</v>
      </c>
      <c r="I3240">
        <v>110858</v>
      </c>
      <c r="J3240">
        <v>1743</v>
      </c>
      <c r="K3240">
        <v>815901</v>
      </c>
      <c r="L3240">
        <v>379566</v>
      </c>
      <c r="M3240">
        <v>-256615</v>
      </c>
      <c r="N3240">
        <v>217577</v>
      </c>
      <c r="O3240" t="s">
        <v>3258</v>
      </c>
      <c r="P3240" s="9">
        <v>241797</v>
      </c>
      <c r="Q3240" s="9">
        <v>37875</v>
      </c>
      <c r="R3240" s="9">
        <v>279672</v>
      </c>
      <c r="S3240" s="9">
        <v>-147316</v>
      </c>
      <c r="T3240" s="10">
        <v>131097</v>
      </c>
      <c r="U3240" s="10">
        <v>1548</v>
      </c>
    </row>
    <row r="3241" spans="1:21" x14ac:dyDescent="0.35">
      <c r="A3241" t="s">
        <v>15</v>
      </c>
      <c r="B3241" t="s">
        <v>20</v>
      </c>
      <c r="C3241" t="s">
        <v>21</v>
      </c>
      <c r="D3241">
        <v>190744</v>
      </c>
      <c r="E3241">
        <v>37019</v>
      </c>
      <c r="F3241">
        <v>37395</v>
      </c>
      <c r="G3241">
        <v>-152840</v>
      </c>
      <c r="H3241">
        <v>112318</v>
      </c>
      <c r="I3241">
        <v>117337</v>
      </c>
      <c r="J3241">
        <v>1721</v>
      </c>
      <c r="K3241">
        <v>762705</v>
      </c>
      <c r="L3241">
        <v>174505</v>
      </c>
      <c r="M3241">
        <v>-176894</v>
      </c>
      <c r="N3241">
        <v>80874</v>
      </c>
      <c r="O3241" t="s">
        <v>3259</v>
      </c>
      <c r="P3241" s="9">
        <v>190231</v>
      </c>
      <c r="Q3241" s="9">
        <v>18259</v>
      </c>
      <c r="R3241" s="9">
        <v>208490</v>
      </c>
      <c r="S3241" s="9">
        <v>-101713</v>
      </c>
      <c r="T3241" s="10">
        <v>80054</v>
      </c>
      <c r="U3241" s="10">
        <v>2213</v>
      </c>
    </row>
    <row r="3242" spans="1:21" x14ac:dyDescent="0.35">
      <c r="A3242" t="s">
        <v>15</v>
      </c>
      <c r="B3242" t="s">
        <v>16</v>
      </c>
      <c r="C3242" t="s">
        <v>17</v>
      </c>
      <c r="D3242">
        <v>246848</v>
      </c>
      <c r="E3242">
        <v>44432</v>
      </c>
      <c r="F3242">
        <v>61657</v>
      </c>
      <c r="G3242">
        <v>-223018</v>
      </c>
      <c r="H3242">
        <v>129919</v>
      </c>
      <c r="I3242">
        <v>135547</v>
      </c>
      <c r="J3242">
        <v>2794</v>
      </c>
      <c r="K3242">
        <v>885753</v>
      </c>
      <c r="L3242">
        <v>114425</v>
      </c>
      <c r="M3242">
        <v>-230014</v>
      </c>
      <c r="N3242">
        <v>137992</v>
      </c>
      <c r="O3242" t="s">
        <v>3260</v>
      </c>
      <c r="P3242" s="9">
        <v>293008</v>
      </c>
      <c r="Q3242" s="9">
        <v>42065</v>
      </c>
      <c r="R3242" s="9">
        <v>335073</v>
      </c>
      <c r="S3242" s="9">
        <v>-185396</v>
      </c>
      <c r="T3242" s="10">
        <v>85851</v>
      </c>
      <c r="U3242" s="10">
        <v>996</v>
      </c>
    </row>
    <row r="3243" spans="1:21" x14ac:dyDescent="0.35">
      <c r="A3243" t="s">
        <v>15</v>
      </c>
      <c r="B3243" t="s">
        <v>20</v>
      </c>
      <c r="C3243" t="s">
        <v>21</v>
      </c>
      <c r="D3243">
        <v>295091</v>
      </c>
      <c r="E3243">
        <v>56417</v>
      </c>
      <c r="F3243">
        <v>36499</v>
      </c>
      <c r="G3243">
        <v>-250241</v>
      </c>
      <c r="H3243">
        <v>137766</v>
      </c>
      <c r="I3243">
        <v>135635</v>
      </c>
      <c r="J3243">
        <v>1697</v>
      </c>
      <c r="K3243">
        <v>636123</v>
      </c>
      <c r="L3243">
        <v>236508</v>
      </c>
      <c r="M3243">
        <v>-133736</v>
      </c>
      <c r="N3243">
        <v>101852</v>
      </c>
      <c r="O3243" t="s">
        <v>3261</v>
      </c>
      <c r="P3243" s="9">
        <v>232073</v>
      </c>
      <c r="Q3243" s="9">
        <v>49104</v>
      </c>
      <c r="R3243" s="9">
        <v>281177</v>
      </c>
      <c r="S3243" s="9">
        <v>-134202</v>
      </c>
      <c r="T3243" s="10">
        <v>146510</v>
      </c>
      <c r="U3243" s="10">
        <v>2309</v>
      </c>
    </row>
    <row r="3244" spans="1:21" x14ac:dyDescent="0.35">
      <c r="A3244" t="s">
        <v>15</v>
      </c>
      <c r="B3244" t="s">
        <v>20</v>
      </c>
      <c r="C3244" t="s">
        <v>21</v>
      </c>
      <c r="D3244">
        <v>240529</v>
      </c>
      <c r="E3244">
        <v>30254</v>
      </c>
      <c r="F3244">
        <v>47658</v>
      </c>
      <c r="G3244">
        <v>-233581</v>
      </c>
      <c r="H3244">
        <v>84860</v>
      </c>
      <c r="I3244">
        <v>76624</v>
      </c>
      <c r="J3244">
        <v>1390</v>
      </c>
      <c r="K3244">
        <v>570224</v>
      </c>
      <c r="L3244">
        <v>196637</v>
      </c>
      <c r="M3244">
        <v>-60327</v>
      </c>
      <c r="N3244">
        <v>108974</v>
      </c>
      <c r="O3244" t="s">
        <v>3262</v>
      </c>
      <c r="P3244" s="9">
        <v>181819</v>
      </c>
      <c r="Q3244" s="9">
        <v>23132</v>
      </c>
      <c r="R3244" s="9">
        <v>204951</v>
      </c>
      <c r="S3244" s="9">
        <v>-84034</v>
      </c>
      <c r="T3244" s="10">
        <v>88214</v>
      </c>
      <c r="U3244" s="10">
        <v>1784</v>
      </c>
    </row>
    <row r="3245" spans="1:21" x14ac:dyDescent="0.35">
      <c r="A3245" t="s">
        <v>15</v>
      </c>
      <c r="B3245" t="s">
        <v>16</v>
      </c>
      <c r="C3245" t="s">
        <v>21</v>
      </c>
      <c r="D3245">
        <v>239557</v>
      </c>
      <c r="E3245">
        <v>35208</v>
      </c>
      <c r="F3245">
        <v>31021</v>
      </c>
      <c r="G3245">
        <v>-196506</v>
      </c>
      <c r="H3245">
        <v>109280</v>
      </c>
      <c r="I3245">
        <v>108916</v>
      </c>
      <c r="J3245">
        <v>2831</v>
      </c>
      <c r="K3245">
        <v>776580</v>
      </c>
      <c r="L3245">
        <v>240224</v>
      </c>
      <c r="M3245">
        <v>-131829</v>
      </c>
      <c r="N3245">
        <v>144146</v>
      </c>
      <c r="O3245" t="s">
        <v>3263</v>
      </c>
      <c r="P3245" s="9">
        <v>219317</v>
      </c>
      <c r="Q3245" s="9">
        <v>38246</v>
      </c>
      <c r="R3245" s="9">
        <v>257563</v>
      </c>
      <c r="S3245" s="9">
        <v>-118994</v>
      </c>
      <c r="T3245" s="10">
        <v>88063</v>
      </c>
      <c r="U3245" s="10">
        <v>1285</v>
      </c>
    </row>
    <row r="3246" spans="1:21" x14ac:dyDescent="0.35">
      <c r="A3246" t="s">
        <v>15</v>
      </c>
      <c r="B3246" t="s">
        <v>16</v>
      </c>
      <c r="C3246" t="s">
        <v>21</v>
      </c>
      <c r="D3246">
        <v>170126</v>
      </c>
      <c r="E3246">
        <v>16475</v>
      </c>
      <c r="F3246">
        <v>22339</v>
      </c>
      <c r="G3246">
        <v>-166684</v>
      </c>
      <c r="H3246">
        <v>42256</v>
      </c>
      <c r="I3246">
        <v>42801</v>
      </c>
      <c r="J3246">
        <v>1101</v>
      </c>
      <c r="K3246">
        <v>419674</v>
      </c>
      <c r="L3246">
        <v>130673</v>
      </c>
      <c r="M3246">
        <v>-84723</v>
      </c>
      <c r="N3246">
        <v>64258</v>
      </c>
      <c r="O3246" t="s">
        <v>3264</v>
      </c>
      <c r="P3246" s="9">
        <v>218488</v>
      </c>
      <c r="Q3246" s="9">
        <v>14940</v>
      </c>
      <c r="R3246" s="9">
        <v>233428</v>
      </c>
      <c r="S3246" s="9">
        <v>-61830</v>
      </c>
      <c r="T3246" s="10">
        <v>48828</v>
      </c>
      <c r="U3246" s="10">
        <v>998</v>
      </c>
    </row>
    <row r="3247" spans="1:21" x14ac:dyDescent="0.35">
      <c r="A3247" t="s">
        <v>15</v>
      </c>
      <c r="B3247" t="s">
        <v>20</v>
      </c>
      <c r="C3247" t="s">
        <v>21</v>
      </c>
      <c r="D3247">
        <v>221980</v>
      </c>
      <c r="E3247">
        <v>42042</v>
      </c>
      <c r="F3247">
        <v>52419</v>
      </c>
      <c r="G3247">
        <v>-192666</v>
      </c>
      <c r="H3247">
        <v>123775</v>
      </c>
      <c r="I3247">
        <v>114378</v>
      </c>
      <c r="J3247">
        <v>1385</v>
      </c>
      <c r="K3247">
        <v>720907</v>
      </c>
      <c r="L3247">
        <v>249947</v>
      </c>
      <c r="M3247">
        <v>-86531</v>
      </c>
      <c r="N3247">
        <v>199396</v>
      </c>
      <c r="O3247" t="s">
        <v>3265</v>
      </c>
      <c r="P3247" s="9">
        <v>285814</v>
      </c>
      <c r="Q3247" s="9">
        <v>42647</v>
      </c>
      <c r="R3247" s="9">
        <v>328461</v>
      </c>
      <c r="S3247" s="9">
        <v>-70807</v>
      </c>
      <c r="T3247" s="10">
        <v>133165</v>
      </c>
      <c r="U3247" s="10">
        <v>2656</v>
      </c>
    </row>
    <row r="3248" spans="1:21" x14ac:dyDescent="0.35">
      <c r="A3248" t="s">
        <v>15</v>
      </c>
      <c r="B3248" t="s">
        <v>20</v>
      </c>
      <c r="C3248" t="s">
        <v>21</v>
      </c>
      <c r="D3248">
        <v>262941</v>
      </c>
      <c r="E3248">
        <v>34371</v>
      </c>
      <c r="F3248">
        <v>57432</v>
      </c>
      <c r="G3248">
        <v>-216571</v>
      </c>
      <c r="H3248">
        <v>138173</v>
      </c>
      <c r="I3248">
        <v>134403</v>
      </c>
      <c r="J3248">
        <v>3148</v>
      </c>
      <c r="K3248">
        <v>829715</v>
      </c>
      <c r="L3248">
        <v>158740</v>
      </c>
      <c r="M3248">
        <v>-182688</v>
      </c>
      <c r="N3248">
        <v>218822</v>
      </c>
      <c r="O3248" t="s">
        <v>3266</v>
      </c>
      <c r="P3248" s="9">
        <v>220893</v>
      </c>
      <c r="Q3248" s="9">
        <v>12838</v>
      </c>
      <c r="R3248" s="9">
        <v>233731</v>
      </c>
      <c r="S3248" s="9">
        <v>-123594</v>
      </c>
      <c r="T3248" s="10">
        <v>66245</v>
      </c>
      <c r="U3248" s="10">
        <v>1430</v>
      </c>
    </row>
    <row r="3249" spans="1:21" x14ac:dyDescent="0.35">
      <c r="A3249" t="s">
        <v>15</v>
      </c>
      <c r="B3249" t="s">
        <v>16</v>
      </c>
      <c r="C3249" t="s">
        <v>21</v>
      </c>
      <c r="D3249">
        <v>229990</v>
      </c>
      <c r="E3249">
        <v>44187</v>
      </c>
      <c r="F3249">
        <v>43880</v>
      </c>
      <c r="G3249">
        <v>-192106</v>
      </c>
      <c r="H3249">
        <v>125951</v>
      </c>
      <c r="I3249">
        <v>117772</v>
      </c>
      <c r="J3249">
        <v>1377</v>
      </c>
      <c r="K3249">
        <v>573506</v>
      </c>
      <c r="L3249">
        <v>178288</v>
      </c>
      <c r="M3249">
        <v>-122945</v>
      </c>
      <c r="N3249">
        <v>122383</v>
      </c>
      <c r="O3249" t="s">
        <v>3267</v>
      </c>
      <c r="P3249" s="9">
        <v>226895</v>
      </c>
      <c r="Q3249" s="9">
        <v>49095</v>
      </c>
      <c r="R3249" s="9">
        <v>275990</v>
      </c>
      <c r="S3249" s="9">
        <v>-156044</v>
      </c>
      <c r="T3249" s="10">
        <v>107722</v>
      </c>
      <c r="U3249" s="10">
        <v>1084</v>
      </c>
    </row>
    <row r="3250" spans="1:21" x14ac:dyDescent="0.35">
      <c r="A3250" t="s">
        <v>15</v>
      </c>
      <c r="B3250" t="s">
        <v>16</v>
      </c>
      <c r="C3250" t="s">
        <v>17</v>
      </c>
      <c r="D3250">
        <v>239828</v>
      </c>
      <c r="E3250">
        <v>17599</v>
      </c>
      <c r="F3250">
        <v>51012</v>
      </c>
      <c r="G3250">
        <v>-200841</v>
      </c>
      <c r="H3250">
        <v>107598</v>
      </c>
      <c r="I3250">
        <v>108119</v>
      </c>
      <c r="J3250">
        <v>2909</v>
      </c>
      <c r="K3250">
        <v>732848</v>
      </c>
      <c r="L3250">
        <v>315517</v>
      </c>
      <c r="M3250">
        <v>-254608</v>
      </c>
      <c r="N3250">
        <v>104195</v>
      </c>
      <c r="O3250" t="s">
        <v>3268</v>
      </c>
      <c r="P3250" s="9">
        <v>265053</v>
      </c>
      <c r="Q3250" s="9">
        <v>19735</v>
      </c>
      <c r="R3250" s="9">
        <v>284788</v>
      </c>
      <c r="S3250" s="9">
        <v>-122476</v>
      </c>
      <c r="T3250" s="10">
        <v>83093</v>
      </c>
      <c r="U3250" s="10">
        <v>1284</v>
      </c>
    </row>
    <row r="3251" spans="1:21" x14ac:dyDescent="0.35">
      <c r="A3251" t="s">
        <v>15</v>
      </c>
      <c r="B3251" t="s">
        <v>16</v>
      </c>
      <c r="C3251" t="s">
        <v>21</v>
      </c>
      <c r="D3251">
        <v>215671</v>
      </c>
      <c r="E3251">
        <v>13586</v>
      </c>
      <c r="F3251">
        <v>22486</v>
      </c>
      <c r="G3251">
        <v>-211274</v>
      </c>
      <c r="H3251">
        <v>40469</v>
      </c>
      <c r="I3251">
        <v>41833</v>
      </c>
      <c r="J3251">
        <v>728</v>
      </c>
      <c r="K3251">
        <v>765465</v>
      </c>
      <c r="L3251">
        <v>273080</v>
      </c>
      <c r="M3251">
        <v>-78196</v>
      </c>
      <c r="N3251">
        <v>164968</v>
      </c>
      <c r="O3251" t="s">
        <v>3269</v>
      </c>
      <c r="P3251" s="9">
        <v>253541</v>
      </c>
      <c r="Q3251" s="9">
        <v>27726</v>
      </c>
      <c r="R3251" s="9">
        <v>281267</v>
      </c>
      <c r="S3251" s="9">
        <v>-103618</v>
      </c>
      <c r="T3251" s="10">
        <v>97706</v>
      </c>
      <c r="U3251" s="10">
        <v>1974</v>
      </c>
    </row>
    <row r="3252" spans="1:21" x14ac:dyDescent="0.35">
      <c r="A3252" t="s">
        <v>15</v>
      </c>
      <c r="B3252" t="s">
        <v>16</v>
      </c>
      <c r="C3252" t="s">
        <v>21</v>
      </c>
      <c r="D3252">
        <v>277883</v>
      </c>
      <c r="E3252">
        <v>16121</v>
      </c>
      <c r="F3252">
        <v>46361</v>
      </c>
      <c r="G3252">
        <v>-251429</v>
      </c>
      <c r="H3252">
        <v>88936</v>
      </c>
      <c r="I3252">
        <v>83502</v>
      </c>
      <c r="J3252">
        <v>1918</v>
      </c>
      <c r="K3252">
        <v>592201</v>
      </c>
      <c r="L3252">
        <v>140267</v>
      </c>
      <c r="M3252">
        <v>-96562</v>
      </c>
      <c r="N3252">
        <v>208960</v>
      </c>
      <c r="O3252" t="s">
        <v>3270</v>
      </c>
      <c r="P3252" s="9">
        <v>246795</v>
      </c>
      <c r="Q3252" s="9">
        <v>40818</v>
      </c>
      <c r="R3252" s="9">
        <v>287613</v>
      </c>
      <c r="S3252" s="9">
        <v>-118541</v>
      </c>
      <c r="T3252" s="10">
        <v>98358</v>
      </c>
      <c r="U3252" s="10">
        <v>2903</v>
      </c>
    </row>
    <row r="3253" spans="1:21" x14ac:dyDescent="0.35">
      <c r="A3253" t="s">
        <v>15</v>
      </c>
      <c r="B3253" t="s">
        <v>16</v>
      </c>
      <c r="C3253" t="s">
        <v>21</v>
      </c>
      <c r="D3253">
        <v>248290</v>
      </c>
      <c r="E3253">
        <v>16338</v>
      </c>
      <c r="F3253">
        <v>60928</v>
      </c>
      <c r="G3253">
        <v>-201431</v>
      </c>
      <c r="H3253">
        <v>124125</v>
      </c>
      <c r="I3253">
        <v>124451</v>
      </c>
      <c r="J3253">
        <v>2354</v>
      </c>
      <c r="K3253">
        <v>805005</v>
      </c>
      <c r="L3253">
        <v>343776</v>
      </c>
      <c r="M3253">
        <v>-220306</v>
      </c>
      <c r="N3253">
        <v>87687</v>
      </c>
      <c r="O3253" t="s">
        <v>3271</v>
      </c>
      <c r="P3253" s="9">
        <v>281226</v>
      </c>
      <c r="Q3253" s="9">
        <v>28378</v>
      </c>
      <c r="R3253" s="9">
        <v>309604</v>
      </c>
      <c r="S3253" s="9">
        <v>-105808</v>
      </c>
      <c r="T3253" s="10">
        <v>105348</v>
      </c>
      <c r="U3253" s="10">
        <v>2559</v>
      </c>
    </row>
    <row r="3254" spans="1:21" x14ac:dyDescent="0.35">
      <c r="A3254" t="s">
        <v>15</v>
      </c>
      <c r="B3254" t="s">
        <v>16</v>
      </c>
      <c r="C3254" t="s">
        <v>21</v>
      </c>
      <c r="D3254">
        <v>196770</v>
      </c>
      <c r="E3254">
        <v>24151</v>
      </c>
      <c r="F3254">
        <v>42511</v>
      </c>
      <c r="G3254">
        <v>-191637</v>
      </c>
      <c r="H3254">
        <v>71795</v>
      </c>
      <c r="I3254">
        <v>65180</v>
      </c>
      <c r="J3254">
        <v>1912</v>
      </c>
      <c r="K3254">
        <v>431810</v>
      </c>
      <c r="L3254">
        <v>188074</v>
      </c>
      <c r="M3254">
        <v>-67797</v>
      </c>
      <c r="N3254">
        <v>74198</v>
      </c>
      <c r="O3254" t="s">
        <v>3272</v>
      </c>
      <c r="P3254" s="9">
        <v>200564</v>
      </c>
      <c r="Q3254" s="9">
        <v>26848</v>
      </c>
      <c r="R3254" s="9">
        <v>227412</v>
      </c>
      <c r="S3254" s="9">
        <v>-92156</v>
      </c>
      <c r="T3254" s="10">
        <v>82422</v>
      </c>
      <c r="U3254" s="10">
        <v>2240</v>
      </c>
    </row>
    <row r="3255" spans="1:21" x14ac:dyDescent="0.35">
      <c r="A3255" t="s">
        <v>15</v>
      </c>
      <c r="B3255" t="s">
        <v>16</v>
      </c>
      <c r="C3255" t="s">
        <v>17</v>
      </c>
      <c r="D3255">
        <v>232897</v>
      </c>
      <c r="E3255">
        <v>43270</v>
      </c>
      <c r="F3255">
        <v>33695</v>
      </c>
      <c r="G3255">
        <v>-190479</v>
      </c>
      <c r="H3255">
        <v>119383</v>
      </c>
      <c r="I3255">
        <v>113309</v>
      </c>
      <c r="J3255">
        <v>1216</v>
      </c>
      <c r="K3255">
        <v>703101</v>
      </c>
      <c r="L3255">
        <v>79219</v>
      </c>
      <c r="M3255">
        <v>-187988</v>
      </c>
      <c r="N3255">
        <v>108506</v>
      </c>
      <c r="O3255" t="s">
        <v>3273</v>
      </c>
      <c r="P3255" s="9">
        <v>257323</v>
      </c>
      <c r="Q3255" s="9">
        <v>16123</v>
      </c>
      <c r="R3255" s="9">
        <v>273446</v>
      </c>
      <c r="S3255" s="9">
        <v>-146781</v>
      </c>
      <c r="T3255" s="10">
        <v>48620</v>
      </c>
      <c r="U3255" s="10">
        <v>626</v>
      </c>
    </row>
    <row r="3256" spans="1:21" x14ac:dyDescent="0.35">
      <c r="A3256" t="s">
        <v>15</v>
      </c>
      <c r="B3256" t="s">
        <v>16</v>
      </c>
      <c r="C3256" t="s">
        <v>21</v>
      </c>
      <c r="D3256">
        <v>179589</v>
      </c>
      <c r="E3256">
        <v>16912</v>
      </c>
      <c r="F3256">
        <v>28177</v>
      </c>
      <c r="G3256">
        <v>-164400</v>
      </c>
      <c r="H3256">
        <v>60278</v>
      </c>
      <c r="I3256">
        <v>60044</v>
      </c>
      <c r="J3256">
        <v>1506</v>
      </c>
      <c r="K3256">
        <v>592977</v>
      </c>
      <c r="L3256">
        <v>141937</v>
      </c>
      <c r="M3256">
        <v>-218366</v>
      </c>
      <c r="N3256">
        <v>66048</v>
      </c>
      <c r="O3256" t="s">
        <v>3274</v>
      </c>
      <c r="P3256" s="9">
        <v>273363</v>
      </c>
      <c r="Q3256" s="9">
        <v>47776</v>
      </c>
      <c r="R3256" s="9">
        <v>321139</v>
      </c>
      <c r="S3256" s="9">
        <v>-119314</v>
      </c>
      <c r="T3256" s="10">
        <v>134524</v>
      </c>
      <c r="U3256" s="10">
        <v>3043</v>
      </c>
    </row>
    <row r="3257" spans="1:21" x14ac:dyDescent="0.35">
      <c r="A3257" t="s">
        <v>15</v>
      </c>
      <c r="B3257" t="s">
        <v>20</v>
      </c>
      <c r="C3257" t="s">
        <v>17</v>
      </c>
      <c r="D3257">
        <v>220596</v>
      </c>
      <c r="E3257">
        <v>31108</v>
      </c>
      <c r="F3257">
        <v>39003</v>
      </c>
      <c r="G3257">
        <v>-209879</v>
      </c>
      <c r="H3257">
        <v>80828</v>
      </c>
      <c r="I3257">
        <v>73581</v>
      </c>
      <c r="J3257">
        <v>1014</v>
      </c>
      <c r="K3257">
        <v>852312</v>
      </c>
      <c r="L3257">
        <v>232843</v>
      </c>
      <c r="M3257">
        <v>-260230</v>
      </c>
      <c r="N3257">
        <v>195127</v>
      </c>
      <c r="O3257" t="s">
        <v>3275</v>
      </c>
      <c r="P3257" s="9">
        <v>290380</v>
      </c>
      <c r="Q3257" s="9">
        <v>17058</v>
      </c>
      <c r="R3257" s="9">
        <v>307438</v>
      </c>
      <c r="S3257" s="9">
        <v>-155082</v>
      </c>
      <c r="T3257" s="10">
        <v>119846</v>
      </c>
      <c r="U3257" s="10">
        <v>1502</v>
      </c>
    </row>
    <row r="3258" spans="1:21" x14ac:dyDescent="0.35">
      <c r="A3258" t="s">
        <v>15</v>
      </c>
      <c r="B3258" t="s">
        <v>16</v>
      </c>
      <c r="C3258" t="s">
        <v>21</v>
      </c>
      <c r="D3258">
        <v>215781</v>
      </c>
      <c r="E3258">
        <v>13661</v>
      </c>
      <c r="F3258">
        <v>50877</v>
      </c>
      <c r="G3258">
        <v>-186910</v>
      </c>
      <c r="H3258">
        <v>93409</v>
      </c>
      <c r="I3258">
        <v>84985</v>
      </c>
      <c r="J3258">
        <v>1456</v>
      </c>
      <c r="K3258">
        <v>445962</v>
      </c>
      <c r="L3258">
        <v>176219</v>
      </c>
      <c r="M3258">
        <v>-75909</v>
      </c>
      <c r="N3258">
        <v>83168</v>
      </c>
      <c r="O3258" t="s">
        <v>3276</v>
      </c>
      <c r="P3258" s="9">
        <v>227364</v>
      </c>
      <c r="Q3258" s="9">
        <v>12847</v>
      </c>
      <c r="R3258" s="9">
        <v>240211</v>
      </c>
      <c r="S3258" s="9">
        <v>-49629</v>
      </c>
      <c r="T3258" s="10">
        <v>60980</v>
      </c>
      <c r="U3258" s="10">
        <v>975</v>
      </c>
    </row>
    <row r="3259" spans="1:21" x14ac:dyDescent="0.35">
      <c r="A3259" t="s">
        <v>15</v>
      </c>
      <c r="B3259" t="s">
        <v>16</v>
      </c>
      <c r="C3259" t="s">
        <v>21</v>
      </c>
      <c r="D3259">
        <v>153255</v>
      </c>
      <c r="E3259">
        <v>22763</v>
      </c>
      <c r="F3259">
        <v>22867</v>
      </c>
      <c r="G3259">
        <v>-139999</v>
      </c>
      <c r="H3259">
        <v>58886</v>
      </c>
      <c r="I3259">
        <v>59214</v>
      </c>
      <c r="J3259">
        <v>1041</v>
      </c>
      <c r="K3259">
        <v>409004</v>
      </c>
      <c r="L3259">
        <v>119753</v>
      </c>
      <c r="M3259">
        <v>-92124</v>
      </c>
      <c r="N3259">
        <v>114429</v>
      </c>
      <c r="O3259" t="s">
        <v>3277</v>
      </c>
      <c r="P3259" s="9">
        <v>248498</v>
      </c>
      <c r="Q3259" s="9">
        <v>12498</v>
      </c>
      <c r="R3259" s="9">
        <v>260996</v>
      </c>
      <c r="S3259" s="9">
        <v>-85977</v>
      </c>
      <c r="T3259" s="10">
        <v>92562</v>
      </c>
      <c r="U3259" s="10">
        <v>1564</v>
      </c>
    </row>
    <row r="3260" spans="1:21" x14ac:dyDescent="0.35">
      <c r="A3260" t="s">
        <v>15</v>
      </c>
      <c r="B3260" t="s">
        <v>16</v>
      </c>
      <c r="C3260" t="s">
        <v>21</v>
      </c>
      <c r="D3260">
        <v>218969</v>
      </c>
      <c r="E3260">
        <v>28253</v>
      </c>
      <c r="F3260">
        <v>22050</v>
      </c>
      <c r="G3260">
        <v>-203566</v>
      </c>
      <c r="H3260">
        <v>65706</v>
      </c>
      <c r="I3260">
        <v>67239</v>
      </c>
      <c r="J3260">
        <v>1882</v>
      </c>
      <c r="K3260">
        <v>822573</v>
      </c>
      <c r="L3260">
        <v>228068</v>
      </c>
      <c r="M3260">
        <v>-323293</v>
      </c>
      <c r="N3260">
        <v>166840</v>
      </c>
      <c r="O3260" t="s">
        <v>3278</v>
      </c>
      <c r="P3260" s="9">
        <v>223105</v>
      </c>
      <c r="Q3260" s="9">
        <v>19745</v>
      </c>
      <c r="R3260" s="9">
        <v>242850</v>
      </c>
      <c r="S3260" s="9">
        <v>-90654</v>
      </c>
      <c r="T3260" s="10">
        <v>80726</v>
      </c>
      <c r="U3260" s="10">
        <v>883</v>
      </c>
    </row>
    <row r="3261" spans="1:21" x14ac:dyDescent="0.35">
      <c r="A3261" t="s">
        <v>15</v>
      </c>
      <c r="B3261" t="s">
        <v>20</v>
      </c>
      <c r="C3261" t="s">
        <v>21</v>
      </c>
      <c r="D3261">
        <v>203787</v>
      </c>
      <c r="E3261">
        <v>12273</v>
      </c>
      <c r="F3261">
        <v>49810</v>
      </c>
      <c r="G3261">
        <v>-163809</v>
      </c>
      <c r="H3261">
        <v>102061</v>
      </c>
      <c r="I3261">
        <v>105847</v>
      </c>
      <c r="J3261">
        <v>2557</v>
      </c>
      <c r="K3261">
        <v>570904</v>
      </c>
      <c r="L3261">
        <v>123746</v>
      </c>
      <c r="M3261">
        <v>-163221</v>
      </c>
      <c r="N3261">
        <v>159917</v>
      </c>
      <c r="O3261" t="s">
        <v>3279</v>
      </c>
      <c r="P3261" s="9">
        <v>256545</v>
      </c>
      <c r="Q3261" s="9">
        <v>36941</v>
      </c>
      <c r="R3261" s="9">
        <v>293486</v>
      </c>
      <c r="S3261" s="9">
        <v>-141145</v>
      </c>
      <c r="T3261" s="10">
        <v>119347</v>
      </c>
      <c r="U3261" s="10">
        <v>1292</v>
      </c>
    </row>
    <row r="3262" spans="1:21" x14ac:dyDescent="0.35">
      <c r="A3262" t="s">
        <v>15</v>
      </c>
      <c r="B3262" t="s">
        <v>16</v>
      </c>
      <c r="C3262" t="s">
        <v>21</v>
      </c>
      <c r="D3262">
        <v>292749</v>
      </c>
      <c r="E3262">
        <v>32716</v>
      </c>
      <c r="F3262">
        <v>65128</v>
      </c>
      <c r="G3262">
        <v>-291442</v>
      </c>
      <c r="H3262">
        <v>99151</v>
      </c>
      <c r="I3262">
        <v>100742</v>
      </c>
      <c r="J3262">
        <v>2122</v>
      </c>
      <c r="K3262">
        <v>937979</v>
      </c>
      <c r="L3262">
        <v>328746</v>
      </c>
      <c r="M3262">
        <v>-194796</v>
      </c>
      <c r="N3262">
        <v>113605</v>
      </c>
      <c r="O3262" t="s">
        <v>3280</v>
      </c>
      <c r="P3262" s="9">
        <v>238425</v>
      </c>
      <c r="Q3262" s="9">
        <v>50064</v>
      </c>
      <c r="R3262" s="9">
        <v>288489</v>
      </c>
      <c r="S3262" s="9">
        <v>-118031</v>
      </c>
      <c r="T3262" s="10">
        <v>123830</v>
      </c>
      <c r="U3262" s="10">
        <v>3345</v>
      </c>
    </row>
    <row r="3263" spans="1:21" x14ac:dyDescent="0.35">
      <c r="A3263" t="s">
        <v>15</v>
      </c>
      <c r="B3263" t="s">
        <v>20</v>
      </c>
      <c r="C3263" t="s">
        <v>21</v>
      </c>
      <c r="D3263">
        <v>199666</v>
      </c>
      <c r="E3263">
        <v>15116</v>
      </c>
      <c r="F3263">
        <v>36513</v>
      </c>
      <c r="G3263">
        <v>-164892</v>
      </c>
      <c r="H3263">
        <v>86403</v>
      </c>
      <c r="I3263">
        <v>83556</v>
      </c>
      <c r="J3263">
        <v>2378</v>
      </c>
      <c r="K3263">
        <v>559212</v>
      </c>
      <c r="L3263">
        <v>105007</v>
      </c>
      <c r="M3263">
        <v>-118764</v>
      </c>
      <c r="N3263">
        <v>135979</v>
      </c>
      <c r="O3263" t="s">
        <v>3281</v>
      </c>
      <c r="P3263" s="9">
        <v>272415</v>
      </c>
      <c r="Q3263" s="9">
        <v>49555</v>
      </c>
      <c r="R3263" s="9">
        <v>321970</v>
      </c>
      <c r="S3263" s="9">
        <v>-135505</v>
      </c>
      <c r="T3263" s="10">
        <v>102744</v>
      </c>
      <c r="U3263" s="10">
        <v>2401</v>
      </c>
    </row>
    <row r="3264" spans="1:21" x14ac:dyDescent="0.35">
      <c r="A3264" t="s">
        <v>15</v>
      </c>
      <c r="B3264" t="s">
        <v>16</v>
      </c>
      <c r="C3264" t="s">
        <v>21</v>
      </c>
      <c r="D3264">
        <v>240543</v>
      </c>
      <c r="E3264">
        <v>47756</v>
      </c>
      <c r="F3264">
        <v>49264</v>
      </c>
      <c r="G3264">
        <v>-212137</v>
      </c>
      <c r="H3264">
        <v>125426</v>
      </c>
      <c r="I3264">
        <v>116434</v>
      </c>
      <c r="J3264">
        <v>2338</v>
      </c>
      <c r="K3264">
        <v>494567</v>
      </c>
      <c r="L3264">
        <v>66892</v>
      </c>
      <c r="M3264">
        <v>-112307</v>
      </c>
      <c r="N3264">
        <v>172041</v>
      </c>
      <c r="O3264" t="s">
        <v>3282</v>
      </c>
      <c r="P3264" s="9">
        <v>171862</v>
      </c>
      <c r="Q3264" s="9">
        <v>17823</v>
      </c>
      <c r="R3264" s="9">
        <v>189685</v>
      </c>
      <c r="S3264" s="9">
        <v>-89283</v>
      </c>
      <c r="T3264" s="10">
        <v>52472</v>
      </c>
      <c r="U3264" s="10">
        <v>1529</v>
      </c>
    </row>
    <row r="3265" spans="1:21" x14ac:dyDescent="0.35">
      <c r="A3265" t="s">
        <v>15</v>
      </c>
      <c r="B3265" t="s">
        <v>16</v>
      </c>
      <c r="C3265" t="s">
        <v>21</v>
      </c>
      <c r="D3265">
        <v>183503</v>
      </c>
      <c r="E3265">
        <v>14471</v>
      </c>
      <c r="F3265">
        <v>27115</v>
      </c>
      <c r="G3265">
        <v>-182542</v>
      </c>
      <c r="H3265">
        <v>42547</v>
      </c>
      <c r="I3265">
        <v>39850</v>
      </c>
      <c r="J3265">
        <v>855</v>
      </c>
      <c r="K3265">
        <v>583014</v>
      </c>
      <c r="L3265">
        <v>164481</v>
      </c>
      <c r="M3265">
        <v>-178677</v>
      </c>
      <c r="N3265">
        <v>65460</v>
      </c>
      <c r="O3265" t="s">
        <v>3283</v>
      </c>
      <c r="P3265" s="9">
        <v>198637</v>
      </c>
      <c r="Q3265" s="9">
        <v>27388</v>
      </c>
      <c r="R3265" s="9">
        <v>226025</v>
      </c>
      <c r="S3265" s="9">
        <v>-79606</v>
      </c>
      <c r="T3265" s="10">
        <v>77400</v>
      </c>
      <c r="U3265" s="10">
        <v>933</v>
      </c>
    </row>
    <row r="3266" spans="1:21" x14ac:dyDescent="0.35">
      <c r="A3266" t="s">
        <v>15</v>
      </c>
      <c r="B3266" t="s">
        <v>16</v>
      </c>
      <c r="C3266" t="s">
        <v>21</v>
      </c>
      <c r="D3266">
        <v>203162</v>
      </c>
      <c r="E3266">
        <v>20706</v>
      </c>
      <c r="F3266">
        <v>50340</v>
      </c>
      <c r="G3266">
        <v>-187996</v>
      </c>
      <c r="H3266">
        <v>86212</v>
      </c>
      <c r="I3266">
        <v>81907</v>
      </c>
      <c r="J3266">
        <v>1411</v>
      </c>
      <c r="K3266">
        <v>552558</v>
      </c>
      <c r="L3266">
        <v>62076</v>
      </c>
      <c r="M3266">
        <v>-156763</v>
      </c>
      <c r="N3266">
        <v>107845</v>
      </c>
      <c r="O3266" t="s">
        <v>3284</v>
      </c>
      <c r="P3266" s="9">
        <v>170961</v>
      </c>
      <c r="Q3266" s="9">
        <v>15132</v>
      </c>
      <c r="R3266" s="9">
        <v>186093</v>
      </c>
      <c r="S3266" s="9">
        <v>-72905</v>
      </c>
      <c r="T3266" s="10">
        <v>63722</v>
      </c>
      <c r="U3266" s="10">
        <v>1235</v>
      </c>
    </row>
    <row r="3267" spans="1:21" x14ac:dyDescent="0.35">
      <c r="A3267" t="s">
        <v>15</v>
      </c>
      <c r="B3267" t="s">
        <v>16</v>
      </c>
      <c r="C3267" t="s">
        <v>21</v>
      </c>
      <c r="D3267">
        <v>264554</v>
      </c>
      <c r="E3267">
        <v>46243</v>
      </c>
      <c r="F3267">
        <v>48409</v>
      </c>
      <c r="G3267">
        <v>-216820</v>
      </c>
      <c r="H3267">
        <v>142386</v>
      </c>
      <c r="I3267">
        <v>136451</v>
      </c>
      <c r="J3267">
        <v>1791</v>
      </c>
      <c r="K3267">
        <v>643267</v>
      </c>
      <c r="L3267">
        <v>209843</v>
      </c>
      <c r="M3267">
        <v>-184207</v>
      </c>
      <c r="N3267">
        <v>143184</v>
      </c>
      <c r="O3267" t="s">
        <v>3285</v>
      </c>
      <c r="P3267" s="9">
        <v>203638</v>
      </c>
      <c r="Q3267" s="9">
        <v>9447</v>
      </c>
      <c r="R3267" s="9">
        <v>213085</v>
      </c>
      <c r="S3267" s="9">
        <v>-92807</v>
      </c>
      <c r="T3267" s="10">
        <v>53171</v>
      </c>
      <c r="U3267" s="10">
        <v>900</v>
      </c>
    </row>
    <row r="3268" spans="1:21" x14ac:dyDescent="0.35">
      <c r="A3268" t="s">
        <v>15</v>
      </c>
      <c r="B3268" t="s">
        <v>20</v>
      </c>
      <c r="C3268" t="s">
        <v>21</v>
      </c>
      <c r="D3268">
        <v>293657</v>
      </c>
      <c r="E3268">
        <v>42690</v>
      </c>
      <c r="F3268">
        <v>40035</v>
      </c>
      <c r="G3268">
        <v>-235355</v>
      </c>
      <c r="H3268">
        <v>141027</v>
      </c>
      <c r="I3268">
        <v>146521</v>
      </c>
      <c r="J3268">
        <v>1632</v>
      </c>
      <c r="K3268">
        <v>765695</v>
      </c>
      <c r="L3268">
        <v>310199</v>
      </c>
      <c r="M3268">
        <v>-120645</v>
      </c>
      <c r="N3268">
        <v>171861</v>
      </c>
      <c r="O3268" t="s">
        <v>3286</v>
      </c>
      <c r="P3268" s="9">
        <v>151350</v>
      </c>
      <c r="Q3268" s="9">
        <v>25224</v>
      </c>
      <c r="R3268" s="9">
        <v>176574</v>
      </c>
      <c r="S3268" s="9">
        <v>-92841</v>
      </c>
      <c r="T3268" s="10">
        <v>50823</v>
      </c>
      <c r="U3268" s="10">
        <v>787</v>
      </c>
    </row>
    <row r="3269" spans="1:21" x14ac:dyDescent="0.35">
      <c r="A3269" t="s">
        <v>15</v>
      </c>
      <c r="B3269" t="s">
        <v>16</v>
      </c>
      <c r="C3269" t="s">
        <v>21</v>
      </c>
      <c r="D3269">
        <v>210886</v>
      </c>
      <c r="E3269">
        <v>36420</v>
      </c>
      <c r="F3269">
        <v>36770</v>
      </c>
      <c r="G3269">
        <v>-169150</v>
      </c>
      <c r="H3269">
        <v>114926</v>
      </c>
      <c r="I3269">
        <v>108222</v>
      </c>
      <c r="J3269">
        <v>1326</v>
      </c>
      <c r="K3269">
        <v>775533</v>
      </c>
      <c r="L3269">
        <v>232995</v>
      </c>
      <c r="M3269">
        <v>-224573</v>
      </c>
      <c r="N3269">
        <v>139807</v>
      </c>
      <c r="O3269" t="s">
        <v>3287</v>
      </c>
      <c r="P3269" s="9">
        <v>262340</v>
      </c>
      <c r="Q3269" s="9">
        <v>40147</v>
      </c>
      <c r="R3269" s="9">
        <v>302487</v>
      </c>
      <c r="S3269" s="9">
        <v>-85584</v>
      </c>
      <c r="T3269" s="10">
        <v>93940</v>
      </c>
      <c r="U3269" s="10">
        <v>1649</v>
      </c>
    </row>
    <row r="3270" spans="1:21" x14ac:dyDescent="0.35">
      <c r="A3270" t="s">
        <v>15</v>
      </c>
      <c r="B3270" t="s">
        <v>20</v>
      </c>
      <c r="C3270" t="s">
        <v>21</v>
      </c>
      <c r="D3270">
        <v>190796</v>
      </c>
      <c r="E3270">
        <v>22542</v>
      </c>
      <c r="F3270">
        <v>44756</v>
      </c>
      <c r="G3270">
        <v>-186485</v>
      </c>
      <c r="H3270">
        <v>71609</v>
      </c>
      <c r="I3270">
        <v>68521</v>
      </c>
      <c r="J3270">
        <v>1972</v>
      </c>
      <c r="K3270">
        <v>400977</v>
      </c>
      <c r="L3270">
        <v>152069</v>
      </c>
      <c r="M3270">
        <v>-89774</v>
      </c>
      <c r="N3270">
        <v>105104</v>
      </c>
      <c r="O3270" t="s">
        <v>3288</v>
      </c>
      <c r="P3270" s="9">
        <v>218956</v>
      </c>
      <c r="Q3270" s="9">
        <v>33304</v>
      </c>
      <c r="R3270" s="9">
        <v>252260</v>
      </c>
      <c r="S3270" s="9">
        <v>-120621</v>
      </c>
      <c r="T3270" s="10">
        <v>78360</v>
      </c>
      <c r="U3270" s="10">
        <v>2179</v>
      </c>
    </row>
    <row r="3271" spans="1:21" x14ac:dyDescent="0.35">
      <c r="A3271" t="s">
        <v>15</v>
      </c>
      <c r="B3271" t="s">
        <v>16</v>
      </c>
      <c r="C3271" t="s">
        <v>17</v>
      </c>
      <c r="D3271">
        <v>182778</v>
      </c>
      <c r="E3271">
        <v>31634</v>
      </c>
      <c r="F3271">
        <v>45353</v>
      </c>
      <c r="G3271">
        <v>-167457</v>
      </c>
      <c r="H3271">
        <v>92308</v>
      </c>
      <c r="I3271">
        <v>90802</v>
      </c>
      <c r="J3271">
        <v>1514</v>
      </c>
      <c r="K3271">
        <v>571134</v>
      </c>
      <c r="L3271">
        <v>68499</v>
      </c>
      <c r="M3271">
        <v>-212279</v>
      </c>
      <c r="N3271">
        <v>149236</v>
      </c>
      <c r="O3271" t="s">
        <v>3289</v>
      </c>
      <c r="P3271" s="9">
        <v>256678</v>
      </c>
      <c r="Q3271" s="9">
        <v>12235</v>
      </c>
      <c r="R3271" s="9">
        <v>268913</v>
      </c>
      <c r="S3271" s="9">
        <v>-157010</v>
      </c>
      <c r="T3271" s="10">
        <v>68787</v>
      </c>
      <c r="U3271" s="10">
        <v>1515</v>
      </c>
    </row>
    <row r="3272" spans="1:21" x14ac:dyDescent="0.35">
      <c r="A3272" t="s">
        <v>15</v>
      </c>
      <c r="B3272" t="s">
        <v>20</v>
      </c>
      <c r="C3272" t="s">
        <v>21</v>
      </c>
      <c r="D3272">
        <v>173655</v>
      </c>
      <c r="E3272">
        <v>26936</v>
      </c>
      <c r="F3272">
        <v>20624</v>
      </c>
      <c r="G3272">
        <v>-156373</v>
      </c>
      <c r="H3272">
        <v>64842</v>
      </c>
      <c r="I3272">
        <v>62755</v>
      </c>
      <c r="J3272">
        <v>1453</v>
      </c>
      <c r="K3272">
        <v>584468</v>
      </c>
      <c r="L3272">
        <v>208138</v>
      </c>
      <c r="M3272">
        <v>-194466</v>
      </c>
      <c r="N3272">
        <v>99409</v>
      </c>
      <c r="O3272" t="s">
        <v>3290</v>
      </c>
      <c r="P3272" s="9">
        <v>156010</v>
      </c>
      <c r="Q3272" s="9">
        <v>27955</v>
      </c>
      <c r="R3272" s="9">
        <v>183965</v>
      </c>
      <c r="S3272" s="9">
        <v>-55994</v>
      </c>
      <c r="T3272" s="10">
        <v>62082</v>
      </c>
      <c r="U3272" s="10">
        <v>1390</v>
      </c>
    </row>
    <row r="3273" spans="1:21" x14ac:dyDescent="0.35">
      <c r="A3273" t="s">
        <v>15</v>
      </c>
      <c r="B3273" t="s">
        <v>16</v>
      </c>
      <c r="C3273" t="s">
        <v>21</v>
      </c>
      <c r="D3273">
        <v>169629</v>
      </c>
      <c r="E3273">
        <v>13052</v>
      </c>
      <c r="F3273">
        <v>34035</v>
      </c>
      <c r="G3273">
        <v>-147165</v>
      </c>
      <c r="H3273">
        <v>69551</v>
      </c>
      <c r="I3273">
        <v>69743</v>
      </c>
      <c r="J3273">
        <v>1757</v>
      </c>
      <c r="K3273">
        <v>461196</v>
      </c>
      <c r="L3273">
        <v>167327</v>
      </c>
      <c r="M3273">
        <v>-146166</v>
      </c>
      <c r="N3273">
        <v>61342</v>
      </c>
      <c r="O3273" t="s">
        <v>3291</v>
      </c>
      <c r="P3273" s="9">
        <v>190031</v>
      </c>
      <c r="Q3273" s="9">
        <v>36904</v>
      </c>
      <c r="R3273" s="9">
        <v>226935</v>
      </c>
      <c r="S3273" s="9">
        <v>-113040</v>
      </c>
      <c r="T3273" s="10">
        <v>71133</v>
      </c>
      <c r="U3273" s="10">
        <v>1208</v>
      </c>
    </row>
    <row r="3274" spans="1:21" x14ac:dyDescent="0.35">
      <c r="A3274" t="s">
        <v>15</v>
      </c>
      <c r="B3274" t="s">
        <v>16</v>
      </c>
      <c r="C3274" t="s">
        <v>17</v>
      </c>
      <c r="D3274">
        <v>248605</v>
      </c>
      <c r="E3274">
        <v>20881</v>
      </c>
      <c r="F3274">
        <v>47095</v>
      </c>
      <c r="G3274">
        <v>-227532</v>
      </c>
      <c r="H3274">
        <v>89049</v>
      </c>
      <c r="I3274">
        <v>84088</v>
      </c>
      <c r="J3274">
        <v>1696</v>
      </c>
      <c r="K3274">
        <v>784042</v>
      </c>
      <c r="L3274">
        <v>374907</v>
      </c>
      <c r="M3274">
        <v>-206300</v>
      </c>
      <c r="N3274">
        <v>126263</v>
      </c>
      <c r="O3274" t="s">
        <v>3292</v>
      </c>
      <c r="P3274" s="9">
        <v>246147</v>
      </c>
      <c r="Q3274" s="9">
        <v>32848</v>
      </c>
      <c r="R3274" s="9">
        <v>278995</v>
      </c>
      <c r="S3274" s="9">
        <v>-128623</v>
      </c>
      <c r="T3274" s="10">
        <v>151828</v>
      </c>
      <c r="U3274" s="10">
        <v>3739</v>
      </c>
    </row>
    <row r="3275" spans="1:21" x14ac:dyDescent="0.35">
      <c r="A3275" t="s">
        <v>15</v>
      </c>
      <c r="B3275" t="s">
        <v>16</v>
      </c>
      <c r="C3275" t="s">
        <v>21</v>
      </c>
      <c r="D3275">
        <v>228407</v>
      </c>
      <c r="E3275">
        <v>42749</v>
      </c>
      <c r="F3275">
        <v>55845</v>
      </c>
      <c r="G3275">
        <v>-228133</v>
      </c>
      <c r="H3275">
        <v>98868</v>
      </c>
      <c r="I3275">
        <v>97061</v>
      </c>
      <c r="J3275">
        <v>2182</v>
      </c>
      <c r="K3275">
        <v>477271</v>
      </c>
      <c r="L3275">
        <v>190472</v>
      </c>
      <c r="M3275">
        <v>-124783</v>
      </c>
      <c r="N3275">
        <v>72402</v>
      </c>
      <c r="O3275" t="s">
        <v>3293</v>
      </c>
      <c r="P3275" s="9">
        <v>200502</v>
      </c>
      <c r="Q3275" s="9">
        <v>24230</v>
      </c>
      <c r="R3275" s="9">
        <v>224732</v>
      </c>
      <c r="S3275" s="9">
        <v>-97803</v>
      </c>
      <c r="T3275" s="10">
        <v>60586</v>
      </c>
      <c r="U3275" s="10">
        <v>616</v>
      </c>
    </row>
    <row r="3276" spans="1:21" x14ac:dyDescent="0.35">
      <c r="A3276" t="s">
        <v>15</v>
      </c>
      <c r="B3276" t="s">
        <v>16</v>
      </c>
      <c r="C3276" t="s">
        <v>17</v>
      </c>
      <c r="D3276">
        <v>219979</v>
      </c>
      <c r="E3276">
        <v>20790</v>
      </c>
      <c r="F3276">
        <v>39235</v>
      </c>
      <c r="G3276">
        <v>-180477</v>
      </c>
      <c r="H3276">
        <v>99527</v>
      </c>
      <c r="I3276">
        <v>103636</v>
      </c>
      <c r="J3276">
        <v>2381</v>
      </c>
      <c r="K3276">
        <v>572774</v>
      </c>
      <c r="L3276">
        <v>97113</v>
      </c>
      <c r="M3276">
        <v>-61876</v>
      </c>
      <c r="N3276">
        <v>113111</v>
      </c>
      <c r="O3276" t="s">
        <v>3294</v>
      </c>
      <c r="P3276" s="9">
        <v>197753</v>
      </c>
      <c r="Q3276" s="9">
        <v>25484</v>
      </c>
      <c r="R3276" s="9">
        <v>223237</v>
      </c>
      <c r="S3276" s="9">
        <v>-77876</v>
      </c>
      <c r="T3276" s="10">
        <v>63699</v>
      </c>
      <c r="U3276" s="10">
        <v>1601</v>
      </c>
    </row>
    <row r="3277" spans="1:21" x14ac:dyDescent="0.35">
      <c r="A3277" t="s">
        <v>15</v>
      </c>
      <c r="B3277" t="s">
        <v>20</v>
      </c>
      <c r="C3277" t="s">
        <v>21</v>
      </c>
      <c r="D3277">
        <v>170813</v>
      </c>
      <c r="E3277">
        <v>16698</v>
      </c>
      <c r="F3277">
        <v>35137</v>
      </c>
      <c r="G3277">
        <v>-169508</v>
      </c>
      <c r="H3277">
        <v>53140</v>
      </c>
      <c r="I3277">
        <v>51606</v>
      </c>
      <c r="J3277">
        <v>1030</v>
      </c>
      <c r="K3277">
        <v>601377</v>
      </c>
      <c r="L3277">
        <v>230095</v>
      </c>
      <c r="M3277">
        <v>-89353</v>
      </c>
      <c r="N3277">
        <v>75998</v>
      </c>
      <c r="O3277" t="s">
        <v>3295</v>
      </c>
      <c r="P3277" s="9">
        <v>243872</v>
      </c>
      <c r="Q3277" s="9">
        <v>39657</v>
      </c>
      <c r="R3277" s="9">
        <v>283529</v>
      </c>
      <c r="S3277" s="9">
        <v>-134781</v>
      </c>
      <c r="T3277" s="10">
        <v>124684</v>
      </c>
      <c r="U3277" s="10">
        <v>2441</v>
      </c>
    </row>
    <row r="3278" spans="1:21" x14ac:dyDescent="0.35">
      <c r="A3278" t="s">
        <v>15</v>
      </c>
      <c r="B3278" t="s">
        <v>16</v>
      </c>
      <c r="C3278" t="s">
        <v>21</v>
      </c>
      <c r="D3278">
        <v>254180</v>
      </c>
      <c r="E3278">
        <v>18919</v>
      </c>
      <c r="F3278">
        <v>60090</v>
      </c>
      <c r="G3278">
        <v>-209996</v>
      </c>
      <c r="H3278">
        <v>123193</v>
      </c>
      <c r="I3278">
        <v>126568</v>
      </c>
      <c r="J3278">
        <v>2887</v>
      </c>
      <c r="K3278">
        <v>705480</v>
      </c>
      <c r="L3278">
        <v>322418</v>
      </c>
      <c r="M3278">
        <v>-80530</v>
      </c>
      <c r="N3278">
        <v>210512</v>
      </c>
      <c r="O3278" t="s">
        <v>3296</v>
      </c>
      <c r="P3278" s="9">
        <v>316958</v>
      </c>
      <c r="Q3278" s="9">
        <v>24780</v>
      </c>
      <c r="R3278" s="9">
        <v>341738</v>
      </c>
      <c r="S3278" s="9">
        <v>-97789</v>
      </c>
      <c r="T3278" s="10">
        <v>94795</v>
      </c>
      <c r="U3278" s="10">
        <v>2701</v>
      </c>
    </row>
    <row r="3279" spans="1:21" x14ac:dyDescent="0.35">
      <c r="A3279" t="s">
        <v>15</v>
      </c>
      <c r="B3279" t="s">
        <v>16</v>
      </c>
      <c r="C3279" t="s">
        <v>21</v>
      </c>
      <c r="D3279">
        <v>201276</v>
      </c>
      <c r="E3279">
        <v>14579</v>
      </c>
      <c r="F3279">
        <v>26906</v>
      </c>
      <c r="G3279">
        <v>-180242</v>
      </c>
      <c r="H3279">
        <v>62519</v>
      </c>
      <c r="I3279">
        <v>58072</v>
      </c>
      <c r="J3279">
        <v>1016</v>
      </c>
      <c r="K3279">
        <v>751281</v>
      </c>
      <c r="L3279">
        <v>175113</v>
      </c>
      <c r="M3279">
        <v>-287049</v>
      </c>
      <c r="N3279">
        <v>165203</v>
      </c>
      <c r="O3279" t="s">
        <v>3297</v>
      </c>
      <c r="P3279" s="9">
        <v>153058</v>
      </c>
      <c r="Q3279" s="9">
        <v>21680</v>
      </c>
      <c r="R3279" s="9">
        <v>174738</v>
      </c>
      <c r="S3279" s="9">
        <v>-53666</v>
      </c>
      <c r="T3279" s="10">
        <v>72810</v>
      </c>
      <c r="U3279" s="10">
        <v>1823</v>
      </c>
    </row>
    <row r="3280" spans="1:21" x14ac:dyDescent="0.35">
      <c r="A3280" t="s">
        <v>15</v>
      </c>
      <c r="B3280" t="s">
        <v>20</v>
      </c>
      <c r="C3280" t="s">
        <v>21</v>
      </c>
      <c r="D3280">
        <v>207736</v>
      </c>
      <c r="E3280">
        <v>22566</v>
      </c>
      <c r="F3280">
        <v>33111</v>
      </c>
      <c r="G3280">
        <v>-196199</v>
      </c>
      <c r="H3280">
        <v>67214</v>
      </c>
      <c r="I3280">
        <v>61997</v>
      </c>
      <c r="J3280">
        <v>1674</v>
      </c>
      <c r="K3280">
        <v>484625</v>
      </c>
      <c r="L3280">
        <v>72284</v>
      </c>
      <c r="M3280">
        <v>-104778</v>
      </c>
      <c r="N3280">
        <v>182109</v>
      </c>
      <c r="O3280" t="s">
        <v>3298</v>
      </c>
      <c r="P3280" s="9">
        <v>256666</v>
      </c>
      <c r="Q3280" s="9">
        <v>23713</v>
      </c>
      <c r="R3280" s="9">
        <v>280379</v>
      </c>
      <c r="S3280" s="9">
        <v>-92808</v>
      </c>
      <c r="T3280" s="10">
        <v>100883</v>
      </c>
      <c r="U3280" s="10">
        <v>2459</v>
      </c>
    </row>
    <row r="3281" spans="1:21" x14ac:dyDescent="0.35">
      <c r="A3281" t="s">
        <v>15</v>
      </c>
      <c r="B3281" t="s">
        <v>20</v>
      </c>
      <c r="C3281" t="s">
        <v>21</v>
      </c>
      <c r="D3281">
        <v>257660</v>
      </c>
      <c r="E3281">
        <v>30711</v>
      </c>
      <c r="F3281">
        <v>30686</v>
      </c>
      <c r="G3281">
        <v>-216091</v>
      </c>
      <c r="H3281">
        <v>102966</v>
      </c>
      <c r="I3281">
        <v>97298</v>
      </c>
      <c r="J3281">
        <v>978</v>
      </c>
      <c r="K3281">
        <v>747628</v>
      </c>
      <c r="L3281">
        <v>314397</v>
      </c>
      <c r="M3281">
        <v>-197521</v>
      </c>
      <c r="N3281">
        <v>189004</v>
      </c>
      <c r="O3281" t="s">
        <v>3299</v>
      </c>
      <c r="P3281" s="9">
        <v>267102</v>
      </c>
      <c r="Q3281" s="9">
        <v>47230</v>
      </c>
      <c r="R3281" s="9">
        <v>314332</v>
      </c>
      <c r="S3281" s="9">
        <v>-147073</v>
      </c>
      <c r="T3281" s="10">
        <v>135541</v>
      </c>
      <c r="U3281" s="10">
        <v>3907</v>
      </c>
    </row>
    <row r="3282" spans="1:21" x14ac:dyDescent="0.35">
      <c r="A3282" t="s">
        <v>15</v>
      </c>
      <c r="B3282" t="s">
        <v>16</v>
      </c>
      <c r="C3282" t="s">
        <v>17</v>
      </c>
      <c r="D3282">
        <v>294686</v>
      </c>
      <c r="E3282">
        <v>43454</v>
      </c>
      <c r="F3282">
        <v>38132</v>
      </c>
      <c r="G3282">
        <v>-278746</v>
      </c>
      <c r="H3282">
        <v>97526</v>
      </c>
      <c r="I3282">
        <v>91304</v>
      </c>
      <c r="J3282">
        <v>1302</v>
      </c>
      <c r="K3282">
        <v>778087</v>
      </c>
      <c r="L3282">
        <v>189634</v>
      </c>
      <c r="M3282">
        <v>-135685</v>
      </c>
      <c r="N3282">
        <v>119913</v>
      </c>
      <c r="O3282" t="s">
        <v>3300</v>
      </c>
      <c r="P3282" s="9">
        <v>196876</v>
      </c>
      <c r="Q3282" s="9">
        <v>23195</v>
      </c>
      <c r="R3282" s="9">
        <v>220071</v>
      </c>
      <c r="S3282" s="9">
        <v>-112824</v>
      </c>
      <c r="T3282" s="10">
        <v>58606</v>
      </c>
      <c r="U3282" s="10">
        <v>1301</v>
      </c>
    </row>
    <row r="3283" spans="1:21" x14ac:dyDescent="0.35">
      <c r="A3283" t="s">
        <v>15</v>
      </c>
      <c r="B3283" t="s">
        <v>16</v>
      </c>
      <c r="C3283" t="s">
        <v>21</v>
      </c>
      <c r="D3283">
        <v>250776</v>
      </c>
      <c r="E3283">
        <v>33812</v>
      </c>
      <c r="F3283">
        <v>48880</v>
      </c>
      <c r="G3283">
        <v>-223367</v>
      </c>
      <c r="H3283">
        <v>110101</v>
      </c>
      <c r="I3283">
        <v>102305</v>
      </c>
      <c r="J3283">
        <v>2080</v>
      </c>
      <c r="K3283">
        <v>820757</v>
      </c>
      <c r="L3283">
        <v>355133</v>
      </c>
      <c r="M3283">
        <v>-198254</v>
      </c>
      <c r="N3283">
        <v>96200</v>
      </c>
      <c r="O3283" t="s">
        <v>3301</v>
      </c>
      <c r="P3283" s="9">
        <v>148616</v>
      </c>
      <c r="Q3283" s="9">
        <v>17187</v>
      </c>
      <c r="R3283" s="9">
        <v>165803</v>
      </c>
      <c r="S3283" s="9">
        <v>-86228</v>
      </c>
      <c r="T3283" s="10">
        <v>84181</v>
      </c>
      <c r="U3283" s="10">
        <v>1582</v>
      </c>
    </row>
    <row r="3284" spans="1:21" x14ac:dyDescent="0.35">
      <c r="A3284" t="s">
        <v>15</v>
      </c>
      <c r="B3284" t="s">
        <v>20</v>
      </c>
      <c r="C3284" t="s">
        <v>17</v>
      </c>
      <c r="D3284">
        <v>152204</v>
      </c>
      <c r="E3284">
        <v>11669</v>
      </c>
      <c r="F3284">
        <v>19554</v>
      </c>
      <c r="G3284">
        <v>-122507</v>
      </c>
      <c r="H3284">
        <v>60920</v>
      </c>
      <c r="I3284">
        <v>60070</v>
      </c>
      <c r="J3284">
        <v>1262</v>
      </c>
      <c r="K3284">
        <v>321344</v>
      </c>
      <c r="L3284">
        <v>135129</v>
      </c>
      <c r="M3284">
        <v>-124329</v>
      </c>
      <c r="N3284">
        <v>133135</v>
      </c>
      <c r="O3284" t="s">
        <v>3302</v>
      </c>
      <c r="P3284" s="9">
        <v>252653</v>
      </c>
      <c r="Q3284" s="9">
        <v>15866</v>
      </c>
      <c r="R3284" s="9">
        <v>268519</v>
      </c>
      <c r="S3284" s="9">
        <v>-61945</v>
      </c>
      <c r="T3284" s="10">
        <v>95942</v>
      </c>
      <c r="U3284" s="10">
        <v>1498</v>
      </c>
    </row>
    <row r="3285" spans="1:21" x14ac:dyDescent="0.35">
      <c r="A3285" t="s">
        <v>15</v>
      </c>
      <c r="B3285" t="s">
        <v>16</v>
      </c>
      <c r="C3285" t="s">
        <v>21</v>
      </c>
      <c r="D3285">
        <v>223211</v>
      </c>
      <c r="E3285">
        <v>11604</v>
      </c>
      <c r="F3285">
        <v>52338</v>
      </c>
      <c r="G3285">
        <v>-186487</v>
      </c>
      <c r="H3285">
        <v>100666</v>
      </c>
      <c r="I3285">
        <v>101995</v>
      </c>
      <c r="J3285">
        <v>1094</v>
      </c>
      <c r="K3285">
        <v>591839</v>
      </c>
      <c r="L3285">
        <v>178755</v>
      </c>
      <c r="M3285">
        <v>-209762</v>
      </c>
      <c r="N3285">
        <v>108557</v>
      </c>
      <c r="O3285" t="s">
        <v>3303</v>
      </c>
      <c r="P3285" s="9">
        <v>315861</v>
      </c>
      <c r="Q3285" s="9">
        <v>51242</v>
      </c>
      <c r="R3285" s="9">
        <v>367103</v>
      </c>
      <c r="S3285" s="9">
        <v>-203119</v>
      </c>
      <c r="T3285" s="10">
        <v>113471</v>
      </c>
      <c r="U3285" s="10">
        <v>3384</v>
      </c>
    </row>
    <row r="3286" spans="1:21" x14ac:dyDescent="0.35">
      <c r="A3286" t="s">
        <v>15</v>
      </c>
      <c r="B3286" t="s">
        <v>16</v>
      </c>
      <c r="C3286" t="s">
        <v>21</v>
      </c>
      <c r="D3286">
        <v>154571</v>
      </c>
      <c r="E3286">
        <v>20564</v>
      </c>
      <c r="F3286">
        <v>20066</v>
      </c>
      <c r="G3286">
        <v>-138824</v>
      </c>
      <c r="H3286">
        <v>56377</v>
      </c>
      <c r="I3286">
        <v>56787</v>
      </c>
      <c r="J3286">
        <v>1165</v>
      </c>
      <c r="K3286">
        <v>342779</v>
      </c>
      <c r="L3286">
        <v>150432</v>
      </c>
      <c r="M3286">
        <v>-85147</v>
      </c>
      <c r="N3286">
        <v>119361</v>
      </c>
      <c r="O3286" t="s">
        <v>3304</v>
      </c>
      <c r="P3286" s="9">
        <v>218787</v>
      </c>
      <c r="Q3286" s="9">
        <v>33604</v>
      </c>
      <c r="R3286" s="9">
        <v>252391</v>
      </c>
      <c r="S3286" s="9">
        <v>-88219</v>
      </c>
      <c r="T3286" s="10">
        <v>89102</v>
      </c>
      <c r="U3286" s="10">
        <v>2288</v>
      </c>
    </row>
    <row r="3287" spans="1:21" x14ac:dyDescent="0.35">
      <c r="A3287" t="s">
        <v>15</v>
      </c>
      <c r="B3287" t="s">
        <v>16</v>
      </c>
      <c r="C3287" t="s">
        <v>17</v>
      </c>
      <c r="D3287">
        <v>256544</v>
      </c>
      <c r="E3287">
        <v>28030</v>
      </c>
      <c r="F3287">
        <v>52052</v>
      </c>
      <c r="G3287">
        <v>-227809</v>
      </c>
      <c r="H3287">
        <v>108817</v>
      </c>
      <c r="I3287">
        <v>107912</v>
      </c>
      <c r="J3287">
        <v>1989</v>
      </c>
      <c r="K3287">
        <v>947366</v>
      </c>
      <c r="L3287">
        <v>288827</v>
      </c>
      <c r="M3287">
        <v>-176168</v>
      </c>
      <c r="N3287">
        <v>129278</v>
      </c>
      <c r="O3287" t="s">
        <v>3305</v>
      </c>
      <c r="P3287" s="9">
        <v>225703</v>
      </c>
      <c r="Q3287" s="9">
        <v>20468</v>
      </c>
      <c r="R3287" s="9">
        <v>246171</v>
      </c>
      <c r="S3287" s="9">
        <v>-136894</v>
      </c>
      <c r="T3287" s="10">
        <v>92870</v>
      </c>
      <c r="U3287" s="10">
        <v>1255</v>
      </c>
    </row>
    <row r="3288" spans="1:21" x14ac:dyDescent="0.35">
      <c r="A3288" t="s">
        <v>15</v>
      </c>
      <c r="B3288" t="s">
        <v>16</v>
      </c>
      <c r="C3288" t="s">
        <v>21</v>
      </c>
      <c r="D3288">
        <v>206471</v>
      </c>
      <c r="E3288">
        <v>33687</v>
      </c>
      <c r="F3288">
        <v>23120</v>
      </c>
      <c r="G3288">
        <v>-165689</v>
      </c>
      <c r="H3288">
        <v>97589</v>
      </c>
      <c r="I3288">
        <v>95232</v>
      </c>
      <c r="J3288">
        <v>1073</v>
      </c>
      <c r="K3288">
        <v>732336</v>
      </c>
      <c r="L3288">
        <v>155009</v>
      </c>
      <c r="M3288">
        <v>-208091</v>
      </c>
      <c r="N3288">
        <v>99588</v>
      </c>
      <c r="O3288" t="s">
        <v>3306</v>
      </c>
      <c r="P3288" s="9">
        <v>267415</v>
      </c>
      <c r="Q3288" s="9">
        <v>42757</v>
      </c>
      <c r="R3288" s="9">
        <v>310172</v>
      </c>
      <c r="S3288" s="9">
        <v>-104787</v>
      </c>
      <c r="T3288" s="10">
        <v>127862</v>
      </c>
      <c r="U3288" s="10">
        <v>2462</v>
      </c>
    </row>
    <row r="3289" spans="1:21" x14ac:dyDescent="0.35">
      <c r="A3289" t="s">
        <v>15</v>
      </c>
      <c r="B3289" t="s">
        <v>20</v>
      </c>
      <c r="C3289" t="s">
        <v>21</v>
      </c>
      <c r="D3289">
        <v>193954</v>
      </c>
      <c r="E3289">
        <v>20844</v>
      </c>
      <c r="F3289">
        <v>21367</v>
      </c>
      <c r="G3289">
        <v>-168534</v>
      </c>
      <c r="H3289">
        <v>67631</v>
      </c>
      <c r="I3289">
        <v>68832</v>
      </c>
      <c r="J3289">
        <v>1715</v>
      </c>
      <c r="K3289">
        <v>667349</v>
      </c>
      <c r="L3289">
        <v>70555</v>
      </c>
      <c r="M3289">
        <v>-122312</v>
      </c>
      <c r="N3289">
        <v>144090</v>
      </c>
      <c r="O3289" t="s">
        <v>3307</v>
      </c>
      <c r="P3289" s="9">
        <v>266270</v>
      </c>
      <c r="Q3289" s="9">
        <v>15887</v>
      </c>
      <c r="R3289" s="9">
        <v>282157</v>
      </c>
      <c r="S3289" s="9">
        <v>-113211</v>
      </c>
      <c r="T3289" s="10">
        <v>75448</v>
      </c>
      <c r="U3289" s="10">
        <v>1284</v>
      </c>
    </row>
    <row r="3290" spans="1:21" x14ac:dyDescent="0.35">
      <c r="A3290" t="s">
        <v>15</v>
      </c>
      <c r="B3290" t="s">
        <v>16</v>
      </c>
      <c r="C3290" t="s">
        <v>21</v>
      </c>
      <c r="D3290">
        <v>243436</v>
      </c>
      <c r="E3290">
        <v>46389</v>
      </c>
      <c r="F3290">
        <v>25254</v>
      </c>
      <c r="G3290">
        <v>-233891</v>
      </c>
      <c r="H3290">
        <v>81188</v>
      </c>
      <c r="I3290">
        <v>80828</v>
      </c>
      <c r="J3290">
        <v>1202</v>
      </c>
      <c r="K3290">
        <v>763015</v>
      </c>
      <c r="L3290">
        <v>165909</v>
      </c>
      <c r="M3290">
        <v>-120419</v>
      </c>
      <c r="N3290">
        <v>131704</v>
      </c>
      <c r="O3290" t="s">
        <v>3308</v>
      </c>
      <c r="P3290" s="9">
        <v>227161</v>
      </c>
      <c r="Q3290" s="9">
        <v>12616</v>
      </c>
      <c r="R3290" s="9">
        <v>239777</v>
      </c>
      <c r="S3290" s="9">
        <v>-102498</v>
      </c>
      <c r="T3290" s="10">
        <v>76157</v>
      </c>
      <c r="U3290" s="10">
        <v>1090</v>
      </c>
    </row>
    <row r="3291" spans="1:21" x14ac:dyDescent="0.35">
      <c r="A3291" t="s">
        <v>15</v>
      </c>
      <c r="B3291" t="s">
        <v>16</v>
      </c>
      <c r="C3291" t="s">
        <v>17</v>
      </c>
      <c r="D3291">
        <v>294765</v>
      </c>
      <c r="E3291">
        <v>42839</v>
      </c>
      <c r="F3291">
        <v>38417</v>
      </c>
      <c r="G3291">
        <v>-269093</v>
      </c>
      <c r="H3291">
        <v>106928</v>
      </c>
      <c r="I3291">
        <v>104628</v>
      </c>
      <c r="J3291">
        <v>1802</v>
      </c>
      <c r="K3291">
        <v>967624</v>
      </c>
      <c r="L3291">
        <v>186071</v>
      </c>
      <c r="M3291">
        <v>-221931</v>
      </c>
      <c r="N3291">
        <v>197782</v>
      </c>
      <c r="O3291" t="s">
        <v>3309</v>
      </c>
      <c r="P3291" s="9">
        <v>239654</v>
      </c>
      <c r="Q3291" s="9">
        <v>37659</v>
      </c>
      <c r="R3291" s="9">
        <v>277313</v>
      </c>
      <c r="S3291" s="9">
        <v>-105379</v>
      </c>
      <c r="T3291" s="10">
        <v>70683</v>
      </c>
      <c r="U3291" s="10">
        <v>752</v>
      </c>
    </row>
    <row r="3292" spans="1:21" x14ac:dyDescent="0.35">
      <c r="A3292" t="s">
        <v>15</v>
      </c>
      <c r="B3292" t="s">
        <v>16</v>
      </c>
      <c r="C3292" t="s">
        <v>21</v>
      </c>
      <c r="D3292">
        <v>157943</v>
      </c>
      <c r="E3292">
        <v>8199</v>
      </c>
      <c r="F3292">
        <v>21055</v>
      </c>
      <c r="G3292">
        <v>-133971</v>
      </c>
      <c r="H3292">
        <v>53226</v>
      </c>
      <c r="I3292">
        <v>50541</v>
      </c>
      <c r="J3292">
        <v>1247</v>
      </c>
      <c r="K3292">
        <v>333702</v>
      </c>
      <c r="L3292">
        <v>157530</v>
      </c>
      <c r="M3292">
        <v>-110058</v>
      </c>
      <c r="N3292">
        <v>109630</v>
      </c>
      <c r="O3292" t="s">
        <v>3310</v>
      </c>
      <c r="P3292" s="9">
        <v>219250</v>
      </c>
      <c r="Q3292" s="9">
        <v>34231</v>
      </c>
      <c r="R3292" s="9">
        <v>253481</v>
      </c>
      <c r="S3292" s="9">
        <v>-150770</v>
      </c>
      <c r="T3292" s="10">
        <v>87047</v>
      </c>
      <c r="U3292" s="10">
        <v>1106</v>
      </c>
    </row>
    <row r="3293" spans="1:21" x14ac:dyDescent="0.35">
      <c r="A3293" t="s">
        <v>15</v>
      </c>
      <c r="B3293" t="s">
        <v>16</v>
      </c>
      <c r="C3293" t="s">
        <v>17</v>
      </c>
      <c r="D3293">
        <v>182891</v>
      </c>
      <c r="E3293">
        <v>35027</v>
      </c>
      <c r="F3293">
        <v>43016</v>
      </c>
      <c r="G3293">
        <v>-167009</v>
      </c>
      <c r="H3293">
        <v>93925</v>
      </c>
      <c r="I3293">
        <v>90906</v>
      </c>
      <c r="J3293">
        <v>2660</v>
      </c>
      <c r="K3293">
        <v>371691</v>
      </c>
      <c r="L3293">
        <v>115853</v>
      </c>
      <c r="M3293">
        <v>-75262</v>
      </c>
      <c r="N3293">
        <v>158591</v>
      </c>
      <c r="O3293" t="s">
        <v>3311</v>
      </c>
      <c r="P3293" s="9">
        <v>202188</v>
      </c>
      <c r="Q3293" s="9">
        <v>11427</v>
      </c>
      <c r="R3293" s="9">
        <v>213615</v>
      </c>
      <c r="S3293" s="9">
        <v>-126078</v>
      </c>
      <c r="T3293" s="10">
        <v>69577</v>
      </c>
      <c r="U3293" s="10">
        <v>1456</v>
      </c>
    </row>
    <row r="3294" spans="1:21" x14ac:dyDescent="0.35">
      <c r="A3294" t="s">
        <v>15</v>
      </c>
      <c r="B3294" t="s">
        <v>20</v>
      </c>
      <c r="C3294" t="s">
        <v>21</v>
      </c>
      <c r="D3294">
        <v>218711</v>
      </c>
      <c r="E3294">
        <v>12901</v>
      </c>
      <c r="F3294">
        <v>54466</v>
      </c>
      <c r="G3294">
        <v>-178915</v>
      </c>
      <c r="H3294">
        <v>107163</v>
      </c>
      <c r="I3294">
        <v>109957</v>
      </c>
      <c r="J3294">
        <v>1139</v>
      </c>
      <c r="K3294">
        <v>865792</v>
      </c>
      <c r="L3294">
        <v>431306</v>
      </c>
      <c r="M3294">
        <v>-215590</v>
      </c>
      <c r="N3294">
        <v>154965</v>
      </c>
      <c r="O3294" t="s">
        <v>3312</v>
      </c>
      <c r="P3294" s="9">
        <v>298436</v>
      </c>
      <c r="Q3294" s="9">
        <v>41490</v>
      </c>
      <c r="R3294" s="9">
        <v>339926</v>
      </c>
      <c r="S3294" s="9">
        <v>-190138</v>
      </c>
      <c r="T3294" s="10">
        <v>106499</v>
      </c>
      <c r="U3294" s="10">
        <v>1988</v>
      </c>
    </row>
    <row r="3295" spans="1:21" x14ac:dyDescent="0.35">
      <c r="A3295" t="s">
        <v>15</v>
      </c>
      <c r="B3295" t="s">
        <v>20</v>
      </c>
      <c r="C3295" t="s">
        <v>21</v>
      </c>
      <c r="D3295">
        <v>291807</v>
      </c>
      <c r="E3295">
        <v>24806</v>
      </c>
      <c r="F3295">
        <v>66785</v>
      </c>
      <c r="G3295">
        <v>-283282</v>
      </c>
      <c r="H3295">
        <v>100116</v>
      </c>
      <c r="I3295">
        <v>91684</v>
      </c>
      <c r="J3295">
        <v>2318</v>
      </c>
      <c r="K3295">
        <v>755582</v>
      </c>
      <c r="L3295">
        <v>284256</v>
      </c>
      <c r="M3295">
        <v>-253007</v>
      </c>
      <c r="N3295">
        <v>91688</v>
      </c>
      <c r="O3295" t="s">
        <v>3313</v>
      </c>
      <c r="P3295" s="9">
        <v>222971</v>
      </c>
      <c r="Q3295" s="9">
        <v>44280</v>
      </c>
      <c r="R3295" s="9">
        <v>267251</v>
      </c>
      <c r="S3295" s="9">
        <v>-64753</v>
      </c>
      <c r="T3295" s="10">
        <v>89293</v>
      </c>
      <c r="U3295" s="10">
        <v>2219</v>
      </c>
    </row>
    <row r="3296" spans="1:21" x14ac:dyDescent="0.35">
      <c r="A3296" t="s">
        <v>15</v>
      </c>
      <c r="B3296" t="s">
        <v>16</v>
      </c>
      <c r="C3296" t="s">
        <v>21</v>
      </c>
      <c r="D3296">
        <v>274107</v>
      </c>
      <c r="E3296">
        <v>28247</v>
      </c>
      <c r="F3296">
        <v>68025</v>
      </c>
      <c r="G3296">
        <v>-221416</v>
      </c>
      <c r="H3296">
        <v>148963</v>
      </c>
      <c r="I3296">
        <v>153427</v>
      </c>
      <c r="J3296">
        <v>3390</v>
      </c>
      <c r="K3296">
        <v>860242</v>
      </c>
      <c r="L3296">
        <v>293001</v>
      </c>
      <c r="M3296">
        <v>-135430</v>
      </c>
      <c r="N3296">
        <v>174536</v>
      </c>
      <c r="O3296" t="s">
        <v>3314</v>
      </c>
      <c r="P3296" s="9">
        <v>166862</v>
      </c>
      <c r="Q3296" s="9">
        <v>33619</v>
      </c>
      <c r="R3296" s="9">
        <v>200481</v>
      </c>
      <c r="S3296" s="9">
        <v>-46765</v>
      </c>
      <c r="T3296" s="10">
        <v>91354</v>
      </c>
      <c r="U3296" s="10">
        <v>990</v>
      </c>
    </row>
    <row r="3297" spans="1:21" x14ac:dyDescent="0.35">
      <c r="A3297" t="s">
        <v>15</v>
      </c>
      <c r="B3297" t="s">
        <v>16</v>
      </c>
      <c r="C3297" t="s">
        <v>21</v>
      </c>
      <c r="D3297">
        <v>162904</v>
      </c>
      <c r="E3297">
        <v>23091</v>
      </c>
      <c r="F3297">
        <v>35599</v>
      </c>
      <c r="G3297">
        <v>-131447</v>
      </c>
      <c r="H3297">
        <v>90147</v>
      </c>
      <c r="I3297">
        <v>91970</v>
      </c>
      <c r="J3297">
        <v>1311</v>
      </c>
      <c r="K3297">
        <v>381168</v>
      </c>
      <c r="L3297">
        <v>176515</v>
      </c>
      <c r="M3297">
        <v>-130962</v>
      </c>
      <c r="N3297">
        <v>127392</v>
      </c>
      <c r="O3297" t="s">
        <v>3315</v>
      </c>
      <c r="P3297" s="9">
        <v>199517</v>
      </c>
      <c r="Q3297" s="9">
        <v>12618</v>
      </c>
      <c r="R3297" s="9">
        <v>212135</v>
      </c>
      <c r="S3297" s="9">
        <v>-81907</v>
      </c>
      <c r="T3297" s="10">
        <v>67685</v>
      </c>
      <c r="U3297" s="10">
        <v>1461</v>
      </c>
    </row>
    <row r="3298" spans="1:21" x14ac:dyDescent="0.35">
      <c r="A3298" t="s">
        <v>15</v>
      </c>
      <c r="B3298" t="s">
        <v>16</v>
      </c>
      <c r="C3298" t="s">
        <v>17</v>
      </c>
      <c r="D3298">
        <v>290766</v>
      </c>
      <c r="E3298">
        <v>21604</v>
      </c>
      <c r="F3298">
        <v>47535</v>
      </c>
      <c r="G3298">
        <v>-248689</v>
      </c>
      <c r="H3298">
        <v>111216</v>
      </c>
      <c r="I3298">
        <v>113498</v>
      </c>
      <c r="J3298">
        <v>2933</v>
      </c>
      <c r="K3298">
        <v>1030786</v>
      </c>
      <c r="L3298">
        <v>433878</v>
      </c>
      <c r="M3298">
        <v>-356223</v>
      </c>
      <c r="N3298">
        <v>258037</v>
      </c>
      <c r="O3298" t="s">
        <v>3316</v>
      </c>
      <c r="P3298" s="9">
        <v>281787</v>
      </c>
      <c r="Q3298" s="9">
        <v>27080</v>
      </c>
      <c r="R3298" s="9">
        <v>308867</v>
      </c>
      <c r="S3298" s="9">
        <v>-96774</v>
      </c>
      <c r="T3298" s="10">
        <v>63623</v>
      </c>
      <c r="U3298" s="10">
        <v>979</v>
      </c>
    </row>
    <row r="3299" spans="1:21" x14ac:dyDescent="0.35">
      <c r="A3299" t="s">
        <v>15</v>
      </c>
      <c r="B3299" t="s">
        <v>20</v>
      </c>
      <c r="C3299" t="s">
        <v>21</v>
      </c>
      <c r="D3299">
        <v>205980</v>
      </c>
      <c r="E3299">
        <v>11607</v>
      </c>
      <c r="F3299">
        <v>43445</v>
      </c>
      <c r="G3299">
        <v>-186271</v>
      </c>
      <c r="H3299">
        <v>74761</v>
      </c>
      <c r="I3299">
        <v>72316</v>
      </c>
      <c r="J3299">
        <v>810</v>
      </c>
      <c r="K3299">
        <v>508496</v>
      </c>
      <c r="L3299">
        <v>250798</v>
      </c>
      <c r="M3299">
        <v>-180263</v>
      </c>
      <c r="N3299">
        <v>163755</v>
      </c>
      <c r="O3299" t="s">
        <v>3317</v>
      </c>
      <c r="P3299" s="9">
        <v>164451</v>
      </c>
      <c r="Q3299" s="9">
        <v>8805</v>
      </c>
      <c r="R3299" s="9">
        <v>173256</v>
      </c>
      <c r="S3299" s="9">
        <v>-76161</v>
      </c>
      <c r="T3299" s="10">
        <v>38459</v>
      </c>
      <c r="U3299" s="10">
        <v>895</v>
      </c>
    </row>
    <row r="3300" spans="1:21" x14ac:dyDescent="0.35">
      <c r="A3300" t="s">
        <v>15</v>
      </c>
      <c r="B3300" t="s">
        <v>16</v>
      </c>
      <c r="C3300" t="s">
        <v>21</v>
      </c>
      <c r="D3300">
        <v>166731</v>
      </c>
      <c r="E3300">
        <v>8510</v>
      </c>
      <c r="F3300">
        <v>23194</v>
      </c>
      <c r="G3300">
        <v>-165610</v>
      </c>
      <c r="H3300">
        <v>32825</v>
      </c>
      <c r="I3300">
        <v>30297</v>
      </c>
      <c r="J3300">
        <v>601</v>
      </c>
      <c r="K3300">
        <v>356500</v>
      </c>
      <c r="L3300">
        <v>47970</v>
      </c>
      <c r="M3300">
        <v>-83134</v>
      </c>
      <c r="N3300">
        <v>97291</v>
      </c>
      <c r="O3300" t="s">
        <v>3318</v>
      </c>
      <c r="P3300" s="9">
        <v>213912</v>
      </c>
      <c r="Q3300" s="9">
        <v>10782</v>
      </c>
      <c r="R3300" s="9">
        <v>224694</v>
      </c>
      <c r="S3300" s="9">
        <v>-94751</v>
      </c>
      <c r="T3300" s="10">
        <v>67729</v>
      </c>
      <c r="U3300" s="10">
        <v>1676</v>
      </c>
    </row>
    <row r="3301" spans="1:21" x14ac:dyDescent="0.35">
      <c r="A3301" t="s">
        <v>15</v>
      </c>
      <c r="B3301" t="s">
        <v>16</v>
      </c>
      <c r="C3301" t="s">
        <v>21</v>
      </c>
      <c r="D3301">
        <v>278838</v>
      </c>
      <c r="E3301">
        <v>55741</v>
      </c>
      <c r="F3301">
        <v>62538</v>
      </c>
      <c r="G3301">
        <v>-255927</v>
      </c>
      <c r="H3301">
        <v>141190</v>
      </c>
      <c r="I3301">
        <v>146482</v>
      </c>
      <c r="J3301">
        <v>3947</v>
      </c>
      <c r="K3301">
        <v>834698</v>
      </c>
      <c r="L3301">
        <v>252522</v>
      </c>
      <c r="M3301">
        <v>-271774</v>
      </c>
      <c r="N3301">
        <v>135479</v>
      </c>
      <c r="O3301" t="s">
        <v>3319</v>
      </c>
      <c r="P3301" s="9">
        <v>271657</v>
      </c>
      <c r="Q3301" s="9">
        <v>44118</v>
      </c>
      <c r="R3301" s="9">
        <v>315775</v>
      </c>
      <c r="S3301" s="9">
        <v>-117935</v>
      </c>
      <c r="T3301" s="10">
        <v>132367</v>
      </c>
      <c r="U3301" s="10">
        <v>2850</v>
      </c>
    </row>
    <row r="3302" spans="1:21" x14ac:dyDescent="0.35">
      <c r="A3302" t="s">
        <v>15</v>
      </c>
      <c r="B3302" t="s">
        <v>20</v>
      </c>
      <c r="C3302" t="s">
        <v>21</v>
      </c>
      <c r="D3302">
        <v>255577</v>
      </c>
      <c r="E3302">
        <v>18594</v>
      </c>
      <c r="F3302">
        <v>35530</v>
      </c>
      <c r="G3302">
        <v>-237982</v>
      </c>
      <c r="H3302">
        <v>71719</v>
      </c>
      <c r="I3302">
        <v>65991</v>
      </c>
      <c r="J3302">
        <v>1556</v>
      </c>
      <c r="K3302">
        <v>938230</v>
      </c>
      <c r="L3302">
        <v>120724</v>
      </c>
      <c r="M3302">
        <v>-152424</v>
      </c>
      <c r="N3302">
        <v>163441</v>
      </c>
      <c r="O3302" t="s">
        <v>3320</v>
      </c>
      <c r="P3302" s="9">
        <v>260569</v>
      </c>
      <c r="Q3302" s="9">
        <v>31871</v>
      </c>
      <c r="R3302" s="9">
        <v>292440</v>
      </c>
      <c r="S3302" s="9">
        <v>-77844</v>
      </c>
      <c r="T3302" s="10">
        <v>122412</v>
      </c>
      <c r="U3302" s="10">
        <v>3570</v>
      </c>
    </row>
    <row r="3303" spans="1:21" x14ac:dyDescent="0.35">
      <c r="A3303" t="s">
        <v>15</v>
      </c>
      <c r="B3303" t="s">
        <v>16</v>
      </c>
      <c r="C3303" t="s">
        <v>21</v>
      </c>
      <c r="D3303">
        <v>151516</v>
      </c>
      <c r="E3303">
        <v>12018</v>
      </c>
      <c r="F3303">
        <v>20971</v>
      </c>
      <c r="G3303">
        <v>-138071</v>
      </c>
      <c r="H3303">
        <v>46434</v>
      </c>
      <c r="I3303">
        <v>46257</v>
      </c>
      <c r="J3303">
        <v>611</v>
      </c>
      <c r="K3303">
        <v>432197</v>
      </c>
      <c r="L3303">
        <v>109464</v>
      </c>
      <c r="M3303">
        <v>-74791</v>
      </c>
      <c r="N3303">
        <v>62701</v>
      </c>
      <c r="O3303" t="s">
        <v>3321</v>
      </c>
      <c r="P3303" s="9">
        <v>243821</v>
      </c>
      <c r="Q3303" s="9">
        <v>34135</v>
      </c>
      <c r="R3303" s="9">
        <v>277956</v>
      </c>
      <c r="S3303" s="9">
        <v>-118322</v>
      </c>
      <c r="T3303" s="10">
        <v>75736</v>
      </c>
      <c r="U3303" s="10">
        <v>759</v>
      </c>
    </row>
    <row r="3304" spans="1:21" x14ac:dyDescent="0.35">
      <c r="A3304" t="s">
        <v>15</v>
      </c>
      <c r="B3304" t="s">
        <v>16</v>
      </c>
      <c r="C3304" t="s">
        <v>21</v>
      </c>
      <c r="D3304">
        <v>259851</v>
      </c>
      <c r="E3304">
        <v>33706</v>
      </c>
      <c r="F3304">
        <v>36677</v>
      </c>
      <c r="G3304">
        <v>-220615</v>
      </c>
      <c r="H3304">
        <v>109619</v>
      </c>
      <c r="I3304">
        <v>109403</v>
      </c>
      <c r="J3304">
        <v>2757</v>
      </c>
      <c r="K3304">
        <v>781720</v>
      </c>
      <c r="L3304">
        <v>388534</v>
      </c>
      <c r="M3304">
        <v>-92113</v>
      </c>
      <c r="N3304">
        <v>152975</v>
      </c>
      <c r="O3304" t="s">
        <v>3322</v>
      </c>
      <c r="P3304" s="9">
        <v>228593</v>
      </c>
      <c r="Q3304" s="9">
        <v>15202</v>
      </c>
      <c r="R3304" s="9">
        <v>243795</v>
      </c>
      <c r="S3304" s="9">
        <v>-70903</v>
      </c>
      <c r="T3304" s="10">
        <v>66598</v>
      </c>
      <c r="U3304" s="10">
        <v>867</v>
      </c>
    </row>
    <row r="3305" spans="1:21" x14ac:dyDescent="0.35">
      <c r="A3305" t="s">
        <v>15</v>
      </c>
      <c r="B3305" t="s">
        <v>20</v>
      </c>
      <c r="C3305" t="s">
        <v>17</v>
      </c>
      <c r="D3305">
        <v>293129</v>
      </c>
      <c r="E3305">
        <v>33576</v>
      </c>
      <c r="F3305">
        <v>35802</v>
      </c>
      <c r="G3305">
        <v>-270102</v>
      </c>
      <c r="H3305">
        <v>92405</v>
      </c>
      <c r="I3305">
        <v>84849</v>
      </c>
      <c r="J3305">
        <v>959</v>
      </c>
      <c r="K3305">
        <v>895444</v>
      </c>
      <c r="L3305">
        <v>361065</v>
      </c>
      <c r="M3305">
        <v>-293054</v>
      </c>
      <c r="N3305">
        <v>147760</v>
      </c>
      <c r="O3305" t="s">
        <v>3323</v>
      </c>
      <c r="P3305" s="9">
        <v>305045</v>
      </c>
      <c r="Q3305" s="9">
        <v>23330</v>
      </c>
      <c r="R3305" s="9">
        <v>328375</v>
      </c>
      <c r="S3305" s="9">
        <v>-150634</v>
      </c>
      <c r="T3305" s="10">
        <v>105848</v>
      </c>
      <c r="U3305" s="10">
        <v>1146</v>
      </c>
    </row>
    <row r="3306" spans="1:21" x14ac:dyDescent="0.35">
      <c r="A3306" t="s">
        <v>15</v>
      </c>
      <c r="B3306" t="s">
        <v>16</v>
      </c>
      <c r="C3306" t="s">
        <v>21</v>
      </c>
      <c r="D3306">
        <v>231977</v>
      </c>
      <c r="E3306">
        <v>36363</v>
      </c>
      <c r="F3306">
        <v>45999</v>
      </c>
      <c r="G3306">
        <v>-214093</v>
      </c>
      <c r="H3306">
        <v>100246</v>
      </c>
      <c r="I3306">
        <v>93669</v>
      </c>
      <c r="J3306">
        <v>1413</v>
      </c>
      <c r="K3306">
        <v>812746</v>
      </c>
      <c r="L3306">
        <v>87242</v>
      </c>
      <c r="M3306">
        <v>-280050</v>
      </c>
      <c r="N3306">
        <v>120670</v>
      </c>
      <c r="O3306" t="s">
        <v>3324</v>
      </c>
      <c r="P3306" s="9">
        <v>219571</v>
      </c>
      <c r="Q3306" s="9">
        <v>28881</v>
      </c>
      <c r="R3306" s="9">
        <v>248452</v>
      </c>
      <c r="S3306" s="9">
        <v>-76405</v>
      </c>
      <c r="T3306" s="10">
        <v>68263</v>
      </c>
      <c r="U3306" s="10">
        <v>830</v>
      </c>
    </row>
    <row r="3307" spans="1:21" x14ac:dyDescent="0.35">
      <c r="A3307" t="s">
        <v>15</v>
      </c>
      <c r="B3307" t="s">
        <v>20</v>
      </c>
      <c r="C3307" t="s">
        <v>21</v>
      </c>
      <c r="D3307">
        <v>197195</v>
      </c>
      <c r="E3307">
        <v>25702</v>
      </c>
      <c r="F3307">
        <v>41183</v>
      </c>
      <c r="G3307">
        <v>-161095</v>
      </c>
      <c r="H3307">
        <v>102985</v>
      </c>
      <c r="I3307">
        <v>101352</v>
      </c>
      <c r="J3307">
        <v>1553</v>
      </c>
      <c r="K3307">
        <v>608180</v>
      </c>
      <c r="L3307">
        <v>246120</v>
      </c>
      <c r="M3307">
        <v>-131761</v>
      </c>
      <c r="N3307">
        <v>69813</v>
      </c>
      <c r="O3307" t="s">
        <v>3325</v>
      </c>
      <c r="P3307" s="9">
        <v>156795</v>
      </c>
      <c r="Q3307" s="9">
        <v>17906</v>
      </c>
      <c r="R3307" s="9">
        <v>174701</v>
      </c>
      <c r="S3307" s="9">
        <v>-36225</v>
      </c>
      <c r="T3307" s="10">
        <v>41776</v>
      </c>
      <c r="U3307" s="10">
        <v>716</v>
      </c>
    </row>
    <row r="3308" spans="1:21" x14ac:dyDescent="0.35">
      <c r="A3308" t="s">
        <v>15</v>
      </c>
      <c r="B3308" t="s">
        <v>20</v>
      </c>
      <c r="C3308" t="s">
        <v>21</v>
      </c>
      <c r="D3308">
        <v>161697</v>
      </c>
      <c r="E3308">
        <v>30166</v>
      </c>
      <c r="F3308">
        <v>21638</v>
      </c>
      <c r="G3308">
        <v>-159240</v>
      </c>
      <c r="H3308">
        <v>54261</v>
      </c>
      <c r="I3308">
        <v>54264</v>
      </c>
      <c r="J3308">
        <v>1528</v>
      </c>
      <c r="K3308">
        <v>593487</v>
      </c>
      <c r="L3308">
        <v>110211</v>
      </c>
      <c r="M3308">
        <v>-148784</v>
      </c>
      <c r="N3308">
        <v>124922</v>
      </c>
      <c r="O3308" t="s">
        <v>3326</v>
      </c>
      <c r="P3308" s="9">
        <v>159216</v>
      </c>
      <c r="Q3308" s="9">
        <v>29957</v>
      </c>
      <c r="R3308" s="9">
        <v>189173</v>
      </c>
      <c r="S3308" s="9">
        <v>-69000</v>
      </c>
      <c r="T3308" s="10">
        <v>76035</v>
      </c>
      <c r="U3308" s="10">
        <v>2110</v>
      </c>
    </row>
    <row r="3309" spans="1:21" x14ac:dyDescent="0.35">
      <c r="A3309" t="s">
        <v>15</v>
      </c>
      <c r="B3309" t="s">
        <v>20</v>
      </c>
      <c r="C3309" t="s">
        <v>21</v>
      </c>
      <c r="D3309">
        <v>188908</v>
      </c>
      <c r="E3309">
        <v>32960</v>
      </c>
      <c r="F3309">
        <v>32878</v>
      </c>
      <c r="G3309">
        <v>-180412</v>
      </c>
      <c r="H3309">
        <v>74334</v>
      </c>
      <c r="I3309">
        <v>74982</v>
      </c>
      <c r="J3309">
        <v>2088</v>
      </c>
      <c r="K3309">
        <v>447356</v>
      </c>
      <c r="L3309">
        <v>113051</v>
      </c>
      <c r="M3309">
        <v>-78337</v>
      </c>
      <c r="N3309">
        <v>163620</v>
      </c>
      <c r="O3309" t="s">
        <v>3327</v>
      </c>
      <c r="P3309" s="9">
        <v>220488</v>
      </c>
      <c r="Q3309" s="9">
        <v>32163</v>
      </c>
      <c r="R3309" s="9">
        <v>252651</v>
      </c>
      <c r="S3309" s="9">
        <v>-134620</v>
      </c>
      <c r="T3309" s="10">
        <v>104180</v>
      </c>
      <c r="U3309" s="10">
        <v>2174</v>
      </c>
    </row>
    <row r="3310" spans="1:21" x14ac:dyDescent="0.35">
      <c r="A3310" t="s">
        <v>15</v>
      </c>
      <c r="B3310" t="s">
        <v>16</v>
      </c>
      <c r="C3310" t="s">
        <v>21</v>
      </c>
      <c r="D3310">
        <v>227368</v>
      </c>
      <c r="E3310">
        <v>26208</v>
      </c>
      <c r="F3310">
        <v>26017</v>
      </c>
      <c r="G3310">
        <v>-188070</v>
      </c>
      <c r="H3310">
        <v>91523</v>
      </c>
      <c r="I3310">
        <v>93682</v>
      </c>
      <c r="J3310">
        <v>1442</v>
      </c>
      <c r="K3310">
        <v>874352</v>
      </c>
      <c r="L3310">
        <v>285173</v>
      </c>
      <c r="M3310">
        <v>-119695</v>
      </c>
      <c r="N3310">
        <v>93950</v>
      </c>
      <c r="O3310" t="s">
        <v>3328</v>
      </c>
      <c r="P3310" s="9">
        <v>293771</v>
      </c>
      <c r="Q3310" s="9">
        <v>20426</v>
      </c>
      <c r="R3310" s="9">
        <v>314197</v>
      </c>
      <c r="S3310" s="9">
        <v>-63445</v>
      </c>
      <c r="T3310" s="10">
        <v>87211</v>
      </c>
      <c r="U3310" s="10">
        <v>2077</v>
      </c>
    </row>
    <row r="3311" spans="1:21" x14ac:dyDescent="0.35">
      <c r="A3311" t="s">
        <v>15</v>
      </c>
      <c r="B3311" t="s">
        <v>20</v>
      </c>
      <c r="C3311" t="s">
        <v>21</v>
      </c>
      <c r="D3311">
        <v>254764</v>
      </c>
      <c r="E3311">
        <v>26491</v>
      </c>
      <c r="F3311">
        <v>51091</v>
      </c>
      <c r="G3311">
        <v>-227980</v>
      </c>
      <c r="H3311">
        <v>104366</v>
      </c>
      <c r="I3311">
        <v>101123</v>
      </c>
      <c r="J3311">
        <v>2962</v>
      </c>
      <c r="K3311">
        <v>518227</v>
      </c>
      <c r="L3311">
        <v>232968</v>
      </c>
      <c r="M3311">
        <v>-82472</v>
      </c>
      <c r="N3311">
        <v>79899</v>
      </c>
      <c r="O3311" t="s">
        <v>3329</v>
      </c>
      <c r="P3311" s="9">
        <v>192899</v>
      </c>
      <c r="Q3311" s="9">
        <v>12224</v>
      </c>
      <c r="R3311" s="9">
        <v>205123</v>
      </c>
      <c r="S3311" s="9">
        <v>-47149</v>
      </c>
      <c r="T3311" s="10">
        <v>56627</v>
      </c>
      <c r="U3311" s="10">
        <v>889</v>
      </c>
    </row>
    <row r="3312" spans="1:21" x14ac:dyDescent="0.35">
      <c r="A3312" t="s">
        <v>15</v>
      </c>
      <c r="B3312" t="s">
        <v>20</v>
      </c>
      <c r="C3312" t="s">
        <v>17</v>
      </c>
      <c r="D3312">
        <v>159456</v>
      </c>
      <c r="E3312">
        <v>22906</v>
      </c>
      <c r="F3312">
        <v>18703</v>
      </c>
      <c r="G3312">
        <v>-128525</v>
      </c>
      <c r="H3312">
        <v>72540</v>
      </c>
      <c r="I3312">
        <v>74375</v>
      </c>
      <c r="J3312">
        <v>2184</v>
      </c>
      <c r="K3312">
        <v>566428</v>
      </c>
      <c r="L3312">
        <v>124747</v>
      </c>
      <c r="M3312">
        <v>-72921</v>
      </c>
      <c r="N3312">
        <v>134896</v>
      </c>
      <c r="O3312" t="s">
        <v>3330</v>
      </c>
      <c r="P3312" s="9">
        <v>261014</v>
      </c>
      <c r="Q3312" s="9">
        <v>35836</v>
      </c>
      <c r="R3312" s="9">
        <v>296850</v>
      </c>
      <c r="S3312" s="9">
        <v>-86222</v>
      </c>
      <c r="T3312" s="10">
        <v>129842</v>
      </c>
      <c r="U3312" s="10">
        <v>2459</v>
      </c>
    </row>
    <row r="3313" spans="1:21" x14ac:dyDescent="0.35">
      <c r="A3313" t="s">
        <v>15</v>
      </c>
      <c r="B3313" t="s">
        <v>20</v>
      </c>
      <c r="C3313" t="s">
        <v>21</v>
      </c>
      <c r="D3313">
        <v>153688</v>
      </c>
      <c r="E3313">
        <v>17929</v>
      </c>
      <c r="F3313">
        <v>21209</v>
      </c>
      <c r="G3313">
        <v>-130422</v>
      </c>
      <c r="H3313">
        <v>62404</v>
      </c>
      <c r="I3313">
        <v>59985</v>
      </c>
      <c r="J3313">
        <v>663</v>
      </c>
      <c r="K3313">
        <v>425245</v>
      </c>
      <c r="L3313">
        <v>67306</v>
      </c>
      <c r="M3313">
        <v>-45201</v>
      </c>
      <c r="N3313">
        <v>95936</v>
      </c>
      <c r="O3313" t="s">
        <v>3331</v>
      </c>
      <c r="P3313" s="9">
        <v>171255</v>
      </c>
      <c r="Q3313" s="9">
        <v>9962</v>
      </c>
      <c r="R3313" s="9">
        <v>181217</v>
      </c>
      <c r="S3313" s="9">
        <v>-98947</v>
      </c>
      <c r="T3313" s="10">
        <v>74446</v>
      </c>
      <c r="U3313" s="10">
        <v>994</v>
      </c>
    </row>
    <row r="3314" spans="1:21" x14ac:dyDescent="0.35">
      <c r="A3314" t="s">
        <v>15</v>
      </c>
      <c r="B3314" t="s">
        <v>20</v>
      </c>
      <c r="C3314" t="s">
        <v>17</v>
      </c>
      <c r="D3314">
        <v>252713</v>
      </c>
      <c r="E3314">
        <v>49362</v>
      </c>
      <c r="F3314">
        <v>33957</v>
      </c>
      <c r="G3314">
        <v>-217167</v>
      </c>
      <c r="H3314">
        <v>118865</v>
      </c>
      <c r="I3314">
        <v>119359</v>
      </c>
      <c r="J3314">
        <v>2608</v>
      </c>
      <c r="K3314">
        <v>529353</v>
      </c>
      <c r="L3314">
        <v>224316</v>
      </c>
      <c r="M3314">
        <v>-174687</v>
      </c>
      <c r="N3314">
        <v>152863</v>
      </c>
      <c r="O3314" t="s">
        <v>3332</v>
      </c>
      <c r="P3314" s="9">
        <v>216648</v>
      </c>
      <c r="Q3314" s="9">
        <v>15407</v>
      </c>
      <c r="R3314" s="9">
        <v>232055</v>
      </c>
      <c r="S3314" s="9">
        <v>-107114</v>
      </c>
      <c r="T3314" s="10">
        <v>78719</v>
      </c>
      <c r="U3314" s="10">
        <v>1782</v>
      </c>
    </row>
    <row r="3315" spans="1:21" x14ac:dyDescent="0.35">
      <c r="A3315" t="s">
        <v>15</v>
      </c>
      <c r="B3315" t="s">
        <v>16</v>
      </c>
      <c r="C3315" t="s">
        <v>21</v>
      </c>
      <c r="D3315">
        <v>171132</v>
      </c>
      <c r="E3315">
        <v>9495</v>
      </c>
      <c r="F3315">
        <v>28948</v>
      </c>
      <c r="G3315">
        <v>-161923</v>
      </c>
      <c r="H3315">
        <v>47652</v>
      </c>
      <c r="I3315">
        <v>47091</v>
      </c>
      <c r="J3315">
        <v>654</v>
      </c>
      <c r="K3315">
        <v>476404</v>
      </c>
      <c r="L3315">
        <v>203167</v>
      </c>
      <c r="M3315">
        <v>-84760</v>
      </c>
      <c r="N3315">
        <v>52800</v>
      </c>
      <c r="O3315" t="s">
        <v>3333</v>
      </c>
      <c r="P3315" s="9">
        <v>243537</v>
      </c>
      <c r="Q3315" s="9">
        <v>41139</v>
      </c>
      <c r="R3315" s="9">
        <v>284676</v>
      </c>
      <c r="S3315" s="9">
        <v>-166149</v>
      </c>
      <c r="T3315" s="10">
        <v>114074</v>
      </c>
      <c r="U3315" s="10">
        <v>2875</v>
      </c>
    </row>
    <row r="3316" spans="1:21" x14ac:dyDescent="0.35">
      <c r="A3316" t="s">
        <v>15</v>
      </c>
      <c r="B3316" t="s">
        <v>20</v>
      </c>
      <c r="C3316" t="s">
        <v>21</v>
      </c>
      <c r="D3316">
        <v>231127</v>
      </c>
      <c r="E3316">
        <v>22330</v>
      </c>
      <c r="F3316">
        <v>25819</v>
      </c>
      <c r="G3316">
        <v>-219052</v>
      </c>
      <c r="H3316">
        <v>60224</v>
      </c>
      <c r="I3316">
        <v>62850</v>
      </c>
      <c r="J3316">
        <v>1545</v>
      </c>
      <c r="K3316">
        <v>813378</v>
      </c>
      <c r="L3316">
        <v>205909</v>
      </c>
      <c r="M3316">
        <v>-310588</v>
      </c>
      <c r="N3316">
        <v>166932</v>
      </c>
      <c r="O3316" t="s">
        <v>3334</v>
      </c>
      <c r="P3316" s="9">
        <v>298395</v>
      </c>
      <c r="Q3316" s="9">
        <v>43405</v>
      </c>
      <c r="R3316" s="9">
        <v>341800</v>
      </c>
      <c r="S3316" s="9">
        <v>-86360</v>
      </c>
      <c r="T3316" s="10">
        <v>150900</v>
      </c>
      <c r="U3316" s="10">
        <v>3724</v>
      </c>
    </row>
    <row r="3317" spans="1:21" x14ac:dyDescent="0.35">
      <c r="A3317" t="s">
        <v>15</v>
      </c>
      <c r="B3317" t="s">
        <v>20</v>
      </c>
      <c r="C3317" t="s">
        <v>21</v>
      </c>
      <c r="D3317">
        <v>180862</v>
      </c>
      <c r="E3317">
        <v>24958</v>
      </c>
      <c r="F3317">
        <v>43126</v>
      </c>
      <c r="G3317">
        <v>-152360</v>
      </c>
      <c r="H3317">
        <v>96586</v>
      </c>
      <c r="I3317">
        <v>90858</v>
      </c>
      <c r="J3317">
        <v>1633</v>
      </c>
      <c r="K3317">
        <v>568480</v>
      </c>
      <c r="L3317">
        <v>241112</v>
      </c>
      <c r="M3317">
        <v>-209486</v>
      </c>
      <c r="N3317">
        <v>90642</v>
      </c>
      <c r="O3317" t="s">
        <v>3335</v>
      </c>
      <c r="P3317" s="9">
        <v>188416</v>
      </c>
      <c r="Q3317" s="9">
        <v>10939</v>
      </c>
      <c r="R3317" s="9">
        <v>199355</v>
      </c>
      <c r="S3317" s="9">
        <v>-68991</v>
      </c>
      <c r="T3317" s="10">
        <v>65512</v>
      </c>
      <c r="U3317" s="10">
        <v>1388</v>
      </c>
    </row>
    <row r="3318" spans="1:21" x14ac:dyDescent="0.35">
      <c r="A3318" t="s">
        <v>15</v>
      </c>
      <c r="B3318" t="s">
        <v>16</v>
      </c>
      <c r="C3318" t="s">
        <v>21</v>
      </c>
      <c r="D3318">
        <v>208535</v>
      </c>
      <c r="E3318">
        <v>37489</v>
      </c>
      <c r="F3318">
        <v>41955</v>
      </c>
      <c r="G3318">
        <v>-167672</v>
      </c>
      <c r="H3318">
        <v>120307</v>
      </c>
      <c r="I3318">
        <v>120082</v>
      </c>
      <c r="J3318">
        <v>3382</v>
      </c>
      <c r="K3318">
        <v>819976</v>
      </c>
      <c r="L3318">
        <v>407273</v>
      </c>
      <c r="M3318">
        <v>-286055</v>
      </c>
      <c r="N3318">
        <v>85850</v>
      </c>
      <c r="O3318" t="s">
        <v>3336</v>
      </c>
      <c r="P3318" s="9">
        <v>296309</v>
      </c>
      <c r="Q3318" s="9">
        <v>14981</v>
      </c>
      <c r="R3318" s="9">
        <v>311290</v>
      </c>
      <c r="S3318" s="9">
        <v>-181783</v>
      </c>
      <c r="T3318" s="10">
        <v>82756</v>
      </c>
      <c r="U3318" s="10">
        <v>1316</v>
      </c>
    </row>
    <row r="3319" spans="1:21" x14ac:dyDescent="0.35">
      <c r="A3319" t="s">
        <v>15</v>
      </c>
      <c r="B3319" t="s">
        <v>20</v>
      </c>
      <c r="C3319" t="s">
        <v>21</v>
      </c>
      <c r="D3319">
        <v>209921</v>
      </c>
      <c r="E3319">
        <v>26494</v>
      </c>
      <c r="F3319">
        <v>21851</v>
      </c>
      <c r="G3319">
        <v>-206344</v>
      </c>
      <c r="H3319">
        <v>51922</v>
      </c>
      <c r="I3319">
        <v>50056</v>
      </c>
      <c r="J3319">
        <v>813</v>
      </c>
      <c r="K3319">
        <v>709894</v>
      </c>
      <c r="L3319">
        <v>332782</v>
      </c>
      <c r="M3319">
        <v>-220812</v>
      </c>
      <c r="N3319">
        <v>159383</v>
      </c>
      <c r="O3319" t="s">
        <v>3337</v>
      </c>
      <c r="P3319" s="9">
        <v>243131</v>
      </c>
      <c r="Q3319" s="9">
        <v>43350</v>
      </c>
      <c r="R3319" s="9">
        <v>286481</v>
      </c>
      <c r="S3319" s="9">
        <v>-139158</v>
      </c>
      <c r="T3319" s="10">
        <v>106229</v>
      </c>
      <c r="U3319" s="10">
        <v>3123</v>
      </c>
    </row>
    <row r="3320" spans="1:21" x14ac:dyDescent="0.35">
      <c r="A3320" t="s">
        <v>15</v>
      </c>
      <c r="B3320" t="s">
        <v>20</v>
      </c>
      <c r="C3320" t="s">
        <v>17</v>
      </c>
      <c r="D3320">
        <v>204625</v>
      </c>
      <c r="E3320">
        <v>28130</v>
      </c>
      <c r="F3320">
        <v>46631</v>
      </c>
      <c r="G3320">
        <v>-181019</v>
      </c>
      <c r="H3320">
        <v>98367</v>
      </c>
      <c r="I3320">
        <v>95505</v>
      </c>
      <c r="J3320">
        <v>2657</v>
      </c>
      <c r="K3320">
        <v>720461</v>
      </c>
      <c r="L3320">
        <v>301249</v>
      </c>
      <c r="M3320">
        <v>-207282</v>
      </c>
      <c r="N3320">
        <v>151581</v>
      </c>
      <c r="O3320" t="s">
        <v>3338</v>
      </c>
      <c r="P3320" s="9">
        <v>267278</v>
      </c>
      <c r="Q3320" s="9">
        <v>27272</v>
      </c>
      <c r="R3320" s="9">
        <v>294550</v>
      </c>
      <c r="S3320" s="9">
        <v>-90989</v>
      </c>
      <c r="T3320" s="10">
        <v>109117</v>
      </c>
      <c r="U3320" s="10">
        <v>1243</v>
      </c>
    </row>
    <row r="3321" spans="1:21" x14ac:dyDescent="0.35">
      <c r="A3321" t="s">
        <v>15</v>
      </c>
      <c r="B3321" t="s">
        <v>16</v>
      </c>
      <c r="C3321" t="s">
        <v>21</v>
      </c>
      <c r="D3321">
        <v>191672</v>
      </c>
      <c r="E3321">
        <v>17677</v>
      </c>
      <c r="F3321">
        <v>33014</v>
      </c>
      <c r="G3321">
        <v>-160208</v>
      </c>
      <c r="H3321">
        <v>82155</v>
      </c>
      <c r="I3321">
        <v>85070</v>
      </c>
      <c r="J3321">
        <v>1836</v>
      </c>
      <c r="K3321">
        <v>664478</v>
      </c>
      <c r="L3321">
        <v>130202</v>
      </c>
      <c r="M3321">
        <v>-106713</v>
      </c>
      <c r="N3321">
        <v>140426</v>
      </c>
      <c r="O3321" t="s">
        <v>3339</v>
      </c>
      <c r="P3321" s="9">
        <v>306193</v>
      </c>
      <c r="Q3321" s="9">
        <v>17645</v>
      </c>
      <c r="R3321" s="9">
        <v>323838</v>
      </c>
      <c r="S3321" s="9">
        <v>-82409</v>
      </c>
      <c r="T3321" s="10">
        <v>106280</v>
      </c>
      <c r="U3321" s="10">
        <v>1386</v>
      </c>
    </row>
    <row r="3322" spans="1:21" x14ac:dyDescent="0.35">
      <c r="A3322" t="s">
        <v>15</v>
      </c>
      <c r="B3322" t="s">
        <v>20</v>
      </c>
      <c r="C3322" t="s">
        <v>21</v>
      </c>
      <c r="D3322">
        <v>267255</v>
      </c>
      <c r="E3322">
        <v>40486</v>
      </c>
      <c r="F3322">
        <v>62627</v>
      </c>
      <c r="G3322">
        <v>-233226</v>
      </c>
      <c r="H3322">
        <v>137142</v>
      </c>
      <c r="I3322">
        <v>124585</v>
      </c>
      <c r="J3322">
        <v>3659</v>
      </c>
      <c r="K3322">
        <v>672173</v>
      </c>
      <c r="L3322">
        <v>149746</v>
      </c>
      <c r="M3322">
        <v>-267294</v>
      </c>
      <c r="N3322">
        <v>94494</v>
      </c>
      <c r="O3322" t="s">
        <v>3340</v>
      </c>
      <c r="P3322" s="9">
        <v>179155</v>
      </c>
      <c r="Q3322" s="9">
        <v>13714</v>
      </c>
      <c r="R3322" s="9">
        <v>192869</v>
      </c>
      <c r="S3322" s="9">
        <v>-93391</v>
      </c>
      <c r="T3322" s="10">
        <v>69106</v>
      </c>
      <c r="U3322" s="10">
        <v>1502</v>
      </c>
    </row>
    <row r="3323" spans="1:21" x14ac:dyDescent="0.35">
      <c r="A3323" t="s">
        <v>15</v>
      </c>
      <c r="B3323" t="s">
        <v>16</v>
      </c>
      <c r="C3323" t="s">
        <v>17</v>
      </c>
      <c r="D3323">
        <v>216100</v>
      </c>
      <c r="E3323">
        <v>16616</v>
      </c>
      <c r="F3323">
        <v>25717</v>
      </c>
      <c r="G3323">
        <v>-202503</v>
      </c>
      <c r="H3323">
        <v>55930</v>
      </c>
      <c r="I3323">
        <v>57428</v>
      </c>
      <c r="J3323">
        <v>1045</v>
      </c>
      <c r="K3323">
        <v>721352</v>
      </c>
      <c r="L3323">
        <v>341340</v>
      </c>
      <c r="M3323">
        <v>-90078</v>
      </c>
      <c r="N3323">
        <v>180469</v>
      </c>
      <c r="O3323" t="s">
        <v>3341</v>
      </c>
      <c r="P3323" s="9">
        <v>283035</v>
      </c>
      <c r="Q3323" s="9">
        <v>34740</v>
      </c>
      <c r="R3323" s="9">
        <v>317775</v>
      </c>
      <c r="S3323" s="9">
        <v>-103101</v>
      </c>
      <c r="T3323" s="10">
        <v>134689</v>
      </c>
      <c r="U3323" s="10">
        <v>4017</v>
      </c>
    </row>
    <row r="3324" spans="1:21" x14ac:dyDescent="0.35">
      <c r="A3324" t="s">
        <v>15</v>
      </c>
      <c r="B3324" t="s">
        <v>16</v>
      </c>
      <c r="C3324" t="s">
        <v>21</v>
      </c>
      <c r="D3324">
        <v>284182</v>
      </c>
      <c r="E3324">
        <v>26295</v>
      </c>
      <c r="F3324">
        <v>31437</v>
      </c>
      <c r="G3324">
        <v>-235305</v>
      </c>
      <c r="H3324">
        <v>106609</v>
      </c>
      <c r="I3324">
        <v>97152</v>
      </c>
      <c r="J3324">
        <v>1284</v>
      </c>
      <c r="K3324">
        <v>770585</v>
      </c>
      <c r="L3324">
        <v>318696</v>
      </c>
      <c r="M3324">
        <v>-189355</v>
      </c>
      <c r="N3324">
        <v>147265</v>
      </c>
      <c r="O3324" t="s">
        <v>3342</v>
      </c>
      <c r="P3324" s="9">
        <v>201356</v>
      </c>
      <c r="Q3324" s="9">
        <v>31620</v>
      </c>
      <c r="R3324" s="9">
        <v>232976</v>
      </c>
      <c r="S3324" s="9">
        <v>-69451</v>
      </c>
      <c r="T3324" s="10">
        <v>79123</v>
      </c>
      <c r="U3324" s="10">
        <v>1052</v>
      </c>
    </row>
    <row r="3325" spans="1:21" x14ac:dyDescent="0.35">
      <c r="A3325" t="s">
        <v>15</v>
      </c>
      <c r="B3325" t="s">
        <v>16</v>
      </c>
      <c r="C3325" t="s">
        <v>21</v>
      </c>
      <c r="D3325">
        <v>183071</v>
      </c>
      <c r="E3325">
        <v>14552</v>
      </c>
      <c r="F3325">
        <v>27185</v>
      </c>
      <c r="G3325">
        <v>-163268</v>
      </c>
      <c r="H3325">
        <v>61540</v>
      </c>
      <c r="I3325">
        <v>62313</v>
      </c>
      <c r="J3325">
        <v>815</v>
      </c>
      <c r="K3325">
        <v>426968</v>
      </c>
      <c r="L3325">
        <v>213161</v>
      </c>
      <c r="M3325">
        <v>-120262</v>
      </c>
      <c r="N3325">
        <v>113231</v>
      </c>
      <c r="O3325" t="s">
        <v>3343</v>
      </c>
      <c r="P3325" s="9">
        <v>221941</v>
      </c>
      <c r="Q3325" s="9">
        <v>19437</v>
      </c>
      <c r="R3325" s="9">
        <v>241378</v>
      </c>
      <c r="S3325" s="9">
        <v>-126081</v>
      </c>
      <c r="T3325" s="10">
        <v>94396</v>
      </c>
      <c r="U3325" s="10">
        <v>2810</v>
      </c>
    </row>
    <row r="3326" spans="1:21" x14ac:dyDescent="0.35">
      <c r="A3326" t="s">
        <v>15</v>
      </c>
      <c r="B3326" t="s">
        <v>20</v>
      </c>
      <c r="C3326" t="s">
        <v>21</v>
      </c>
      <c r="D3326">
        <v>299027</v>
      </c>
      <c r="E3326">
        <v>57709</v>
      </c>
      <c r="F3326">
        <v>72474</v>
      </c>
      <c r="G3326">
        <v>-250737</v>
      </c>
      <c r="H3326">
        <v>178473</v>
      </c>
      <c r="I3326">
        <v>179646</v>
      </c>
      <c r="J3326">
        <v>2334</v>
      </c>
      <c r="K3326">
        <v>704708</v>
      </c>
      <c r="L3326">
        <v>231560</v>
      </c>
      <c r="M3326">
        <v>-196120</v>
      </c>
      <c r="N3326">
        <v>263470</v>
      </c>
      <c r="O3326" t="s">
        <v>3344</v>
      </c>
      <c r="P3326" s="9">
        <v>210115</v>
      </c>
      <c r="Q3326" s="9">
        <v>39816</v>
      </c>
      <c r="R3326" s="9">
        <v>249931</v>
      </c>
      <c r="S3326" s="9">
        <v>-149676</v>
      </c>
      <c r="T3326" s="10">
        <v>123709</v>
      </c>
      <c r="U3326" s="10">
        <v>2973</v>
      </c>
    </row>
    <row r="3327" spans="1:21" x14ac:dyDescent="0.35">
      <c r="A3327" t="s">
        <v>15</v>
      </c>
      <c r="B3327" t="s">
        <v>20</v>
      </c>
      <c r="C3327" t="s">
        <v>17</v>
      </c>
      <c r="D3327">
        <v>259679</v>
      </c>
      <c r="E3327">
        <v>31203</v>
      </c>
      <c r="F3327">
        <v>32878</v>
      </c>
      <c r="G3327">
        <v>-237973</v>
      </c>
      <c r="H3327">
        <v>85787</v>
      </c>
      <c r="I3327">
        <v>79372</v>
      </c>
      <c r="J3327">
        <v>1755</v>
      </c>
      <c r="K3327">
        <v>982303</v>
      </c>
      <c r="L3327">
        <v>382725</v>
      </c>
      <c r="M3327">
        <v>-144116</v>
      </c>
      <c r="N3327">
        <v>191757</v>
      </c>
      <c r="O3327" t="s">
        <v>3345</v>
      </c>
      <c r="P3327" s="9">
        <v>186970</v>
      </c>
      <c r="Q3327" s="9">
        <v>9749</v>
      </c>
      <c r="R3327" s="9">
        <v>196719</v>
      </c>
      <c r="S3327" s="9">
        <v>-95454</v>
      </c>
      <c r="T3327" s="10">
        <v>70385</v>
      </c>
      <c r="U3327" s="10">
        <v>1713</v>
      </c>
    </row>
    <row r="3328" spans="1:21" x14ac:dyDescent="0.35">
      <c r="A3328" t="s">
        <v>15</v>
      </c>
      <c r="B3328" t="s">
        <v>16</v>
      </c>
      <c r="C3328" t="s">
        <v>21</v>
      </c>
      <c r="D3328">
        <v>208310</v>
      </c>
      <c r="E3328">
        <v>27572</v>
      </c>
      <c r="F3328">
        <v>50870</v>
      </c>
      <c r="G3328">
        <v>-191078</v>
      </c>
      <c r="H3328">
        <v>95674</v>
      </c>
      <c r="I3328">
        <v>100127</v>
      </c>
      <c r="J3328">
        <v>1537</v>
      </c>
      <c r="K3328">
        <v>762507</v>
      </c>
      <c r="L3328">
        <v>128215</v>
      </c>
      <c r="M3328">
        <v>-83118</v>
      </c>
      <c r="N3328">
        <v>111520</v>
      </c>
      <c r="O3328" t="s">
        <v>3346</v>
      </c>
      <c r="P3328" s="9">
        <v>156823</v>
      </c>
      <c r="Q3328" s="9">
        <v>21605</v>
      </c>
      <c r="R3328" s="9">
        <v>178428</v>
      </c>
      <c r="S3328" s="9">
        <v>-76267</v>
      </c>
      <c r="T3328" s="10">
        <v>53076</v>
      </c>
      <c r="U3328" s="10">
        <v>1181</v>
      </c>
    </row>
    <row r="3329" spans="1:21" x14ac:dyDescent="0.35">
      <c r="A3329" t="s">
        <v>15</v>
      </c>
      <c r="B3329" t="s">
        <v>16</v>
      </c>
      <c r="C3329" t="s">
        <v>21</v>
      </c>
      <c r="D3329">
        <v>159692</v>
      </c>
      <c r="E3329">
        <v>31440</v>
      </c>
      <c r="F3329">
        <v>24966</v>
      </c>
      <c r="G3329">
        <v>-130407</v>
      </c>
      <c r="H3329">
        <v>85691</v>
      </c>
      <c r="I3329">
        <v>80634</v>
      </c>
      <c r="J3329">
        <v>2146</v>
      </c>
      <c r="K3329">
        <v>400624</v>
      </c>
      <c r="L3329">
        <v>113498</v>
      </c>
      <c r="M3329">
        <v>-72958</v>
      </c>
      <c r="N3329">
        <v>81225</v>
      </c>
      <c r="O3329" t="s">
        <v>3347</v>
      </c>
      <c r="P3329" s="9">
        <v>199075</v>
      </c>
      <c r="Q3329" s="9">
        <v>23852</v>
      </c>
      <c r="R3329" s="9">
        <v>222927</v>
      </c>
      <c r="S3329" s="9">
        <v>-54973</v>
      </c>
      <c r="T3329" s="10">
        <v>84341</v>
      </c>
      <c r="U3329" s="10">
        <v>2469</v>
      </c>
    </row>
    <row r="3330" spans="1:21" x14ac:dyDescent="0.35">
      <c r="A3330" t="s">
        <v>15</v>
      </c>
      <c r="B3330" t="s">
        <v>16</v>
      </c>
      <c r="C3330" t="s">
        <v>21</v>
      </c>
      <c r="D3330">
        <v>277891</v>
      </c>
      <c r="E3330">
        <v>15982</v>
      </c>
      <c r="F3330">
        <v>42711</v>
      </c>
      <c r="G3330">
        <v>-252701</v>
      </c>
      <c r="H3330">
        <v>83883</v>
      </c>
      <c r="I3330">
        <v>79943</v>
      </c>
      <c r="J3330">
        <v>2388</v>
      </c>
      <c r="K3330">
        <v>1003610</v>
      </c>
      <c r="L3330">
        <v>130878</v>
      </c>
      <c r="M3330">
        <v>-150151</v>
      </c>
      <c r="N3330">
        <v>172041</v>
      </c>
      <c r="O3330" t="s">
        <v>3348</v>
      </c>
      <c r="P3330" s="9">
        <v>249138</v>
      </c>
      <c r="Q3330" s="9">
        <v>19843</v>
      </c>
      <c r="R3330" s="9">
        <v>268981</v>
      </c>
      <c r="S3330" s="9">
        <v>-56580</v>
      </c>
      <c r="T3330" s="10">
        <v>81467</v>
      </c>
      <c r="U3330" s="10">
        <v>2218</v>
      </c>
    </row>
    <row r="3331" spans="1:21" x14ac:dyDescent="0.35">
      <c r="A3331" t="s">
        <v>15</v>
      </c>
      <c r="B3331" t="s">
        <v>16</v>
      </c>
      <c r="C3331" t="s">
        <v>21</v>
      </c>
      <c r="D3331">
        <v>161170</v>
      </c>
      <c r="E3331">
        <v>32216</v>
      </c>
      <c r="F3331">
        <v>20669</v>
      </c>
      <c r="G3331">
        <v>-141955</v>
      </c>
      <c r="H3331">
        <v>72100</v>
      </c>
      <c r="I3331">
        <v>70442</v>
      </c>
      <c r="J3331">
        <v>1266</v>
      </c>
      <c r="K3331">
        <v>552791</v>
      </c>
      <c r="L3331">
        <v>103436</v>
      </c>
      <c r="M3331">
        <v>-217822</v>
      </c>
      <c r="N3331">
        <v>96126</v>
      </c>
      <c r="O3331" t="s">
        <v>3349</v>
      </c>
      <c r="P3331" s="9">
        <v>203850</v>
      </c>
      <c r="Q3331" s="9">
        <v>12736</v>
      </c>
      <c r="R3331" s="9">
        <v>216586</v>
      </c>
      <c r="S3331" s="9">
        <v>-67051</v>
      </c>
      <c r="T3331" s="10">
        <v>61499</v>
      </c>
      <c r="U3331" s="10">
        <v>920</v>
      </c>
    </row>
    <row r="3332" spans="1:21" x14ac:dyDescent="0.35">
      <c r="A3332" t="s">
        <v>15</v>
      </c>
      <c r="B3332" t="s">
        <v>20</v>
      </c>
      <c r="C3332" t="s">
        <v>21</v>
      </c>
      <c r="D3332">
        <v>252765</v>
      </c>
      <c r="E3332">
        <v>44373</v>
      </c>
      <c r="F3332">
        <v>52672</v>
      </c>
      <c r="G3332">
        <v>-213382</v>
      </c>
      <c r="H3332">
        <v>136428</v>
      </c>
      <c r="I3332">
        <v>131650</v>
      </c>
      <c r="J3332">
        <v>2851</v>
      </c>
      <c r="K3332">
        <v>559964</v>
      </c>
      <c r="L3332">
        <v>272405</v>
      </c>
      <c r="M3332">
        <v>-152546</v>
      </c>
      <c r="N3332">
        <v>175938</v>
      </c>
      <c r="O3332" t="s">
        <v>3350</v>
      </c>
      <c r="P3332" s="9">
        <v>261040</v>
      </c>
      <c r="Q3332" s="9">
        <v>15890</v>
      </c>
      <c r="R3332" s="9">
        <v>276930</v>
      </c>
      <c r="S3332" s="9">
        <v>-58786</v>
      </c>
      <c r="T3332" s="10">
        <v>96689</v>
      </c>
      <c r="U3332" s="10">
        <v>2710</v>
      </c>
    </row>
    <row r="3333" spans="1:21" x14ac:dyDescent="0.35">
      <c r="A3333" t="s">
        <v>15</v>
      </c>
      <c r="B3333" t="s">
        <v>20</v>
      </c>
      <c r="C3333" t="s">
        <v>17</v>
      </c>
      <c r="D3333">
        <v>196516</v>
      </c>
      <c r="E3333">
        <v>26555</v>
      </c>
      <c r="F3333">
        <v>32225</v>
      </c>
      <c r="G3333">
        <v>-195480</v>
      </c>
      <c r="H3333">
        <v>59816</v>
      </c>
      <c r="I3333">
        <v>54425</v>
      </c>
      <c r="J3333">
        <v>672</v>
      </c>
      <c r="K3333">
        <v>696834</v>
      </c>
      <c r="L3333">
        <v>330539</v>
      </c>
      <c r="M3333">
        <v>-139189</v>
      </c>
      <c r="N3333">
        <v>90077</v>
      </c>
      <c r="O3333" t="s">
        <v>3351</v>
      </c>
      <c r="P3333" s="9">
        <v>182710</v>
      </c>
      <c r="Q3333" s="9">
        <v>24122</v>
      </c>
      <c r="R3333" s="9">
        <v>206832</v>
      </c>
      <c r="S3333" s="9">
        <v>-60424</v>
      </c>
      <c r="T3333" s="10">
        <v>58836</v>
      </c>
      <c r="U3333" s="10">
        <v>1001</v>
      </c>
    </row>
    <row r="3334" spans="1:21" x14ac:dyDescent="0.35">
      <c r="A3334" t="s">
        <v>15</v>
      </c>
      <c r="B3334" t="s">
        <v>16</v>
      </c>
      <c r="C3334" t="s">
        <v>21</v>
      </c>
      <c r="D3334">
        <v>212951</v>
      </c>
      <c r="E3334">
        <v>16271</v>
      </c>
      <c r="F3334">
        <v>43949</v>
      </c>
      <c r="G3334">
        <v>-179316</v>
      </c>
      <c r="H3334">
        <v>93855</v>
      </c>
      <c r="I3334">
        <v>92987</v>
      </c>
      <c r="J3334">
        <v>1743</v>
      </c>
      <c r="K3334">
        <v>494555</v>
      </c>
      <c r="L3334">
        <v>194181</v>
      </c>
      <c r="M3334">
        <v>-129293</v>
      </c>
      <c r="N3334">
        <v>163892</v>
      </c>
      <c r="O3334" t="s">
        <v>3352</v>
      </c>
      <c r="P3334" s="9">
        <v>227101</v>
      </c>
      <c r="Q3334" s="9">
        <v>22900</v>
      </c>
      <c r="R3334" s="9">
        <v>250001</v>
      </c>
      <c r="S3334" s="9">
        <v>-75504</v>
      </c>
      <c r="T3334" s="10">
        <v>113292</v>
      </c>
      <c r="U3334" s="10">
        <v>2938</v>
      </c>
    </row>
    <row r="3335" spans="1:21" x14ac:dyDescent="0.35">
      <c r="A3335" t="s">
        <v>15</v>
      </c>
      <c r="B3335" t="s">
        <v>16</v>
      </c>
      <c r="C3335" t="s">
        <v>17</v>
      </c>
      <c r="D3335">
        <v>167154</v>
      </c>
      <c r="E3335">
        <v>25665</v>
      </c>
      <c r="F3335">
        <v>37008</v>
      </c>
      <c r="G3335">
        <v>-134414</v>
      </c>
      <c r="H3335">
        <v>95413</v>
      </c>
      <c r="I3335">
        <v>93219</v>
      </c>
      <c r="J3335">
        <v>1886</v>
      </c>
      <c r="K3335">
        <v>426909</v>
      </c>
      <c r="L3335">
        <v>108144</v>
      </c>
      <c r="M3335">
        <v>-164950</v>
      </c>
      <c r="N3335">
        <v>113293</v>
      </c>
      <c r="O3335" t="s">
        <v>3353</v>
      </c>
      <c r="P3335" s="9">
        <v>175404</v>
      </c>
      <c r="Q3335" s="9">
        <v>18558</v>
      </c>
      <c r="R3335" s="9">
        <v>193962</v>
      </c>
      <c r="S3335" s="9">
        <v>-43029</v>
      </c>
      <c r="T3335" s="10">
        <v>54685</v>
      </c>
      <c r="U3335" s="10">
        <v>1531</v>
      </c>
    </row>
    <row r="3336" spans="1:21" x14ac:dyDescent="0.35">
      <c r="A3336" t="s">
        <v>15</v>
      </c>
      <c r="B3336" t="s">
        <v>16</v>
      </c>
      <c r="C3336" t="s">
        <v>17</v>
      </c>
      <c r="D3336">
        <v>159027</v>
      </c>
      <c r="E3336">
        <v>14323</v>
      </c>
      <c r="F3336">
        <v>17617</v>
      </c>
      <c r="G3336">
        <v>-148388</v>
      </c>
      <c r="H3336">
        <v>42579</v>
      </c>
      <c r="I3336">
        <v>41000</v>
      </c>
      <c r="J3336">
        <v>794</v>
      </c>
      <c r="K3336">
        <v>468870</v>
      </c>
      <c r="L3336">
        <v>92002</v>
      </c>
      <c r="M3336">
        <v>-144762</v>
      </c>
      <c r="N3336">
        <v>50886</v>
      </c>
      <c r="O3336" t="s">
        <v>3354</v>
      </c>
      <c r="P3336" s="9">
        <v>241964</v>
      </c>
      <c r="Q3336" s="9">
        <v>39823</v>
      </c>
      <c r="R3336" s="9">
        <v>281787</v>
      </c>
      <c r="S3336" s="9">
        <v>-116330</v>
      </c>
      <c r="T3336" s="10">
        <v>70077</v>
      </c>
      <c r="U3336" s="10">
        <v>1514</v>
      </c>
    </row>
    <row r="3337" spans="1:21" x14ac:dyDescent="0.35">
      <c r="A3337" t="s">
        <v>15</v>
      </c>
      <c r="B3337" t="s">
        <v>16</v>
      </c>
      <c r="C3337" t="s">
        <v>17</v>
      </c>
      <c r="D3337">
        <v>248903</v>
      </c>
      <c r="E3337">
        <v>26402</v>
      </c>
      <c r="F3337">
        <v>34611</v>
      </c>
      <c r="G3337">
        <v>-231294</v>
      </c>
      <c r="H3337">
        <v>78622</v>
      </c>
      <c r="I3337">
        <v>71847</v>
      </c>
      <c r="J3337">
        <v>842</v>
      </c>
      <c r="K3337">
        <v>858715</v>
      </c>
      <c r="L3337">
        <v>279939</v>
      </c>
      <c r="M3337">
        <v>-150344</v>
      </c>
      <c r="N3337">
        <v>170388</v>
      </c>
      <c r="O3337" t="s">
        <v>3355</v>
      </c>
      <c r="P3337" s="9">
        <v>184737</v>
      </c>
      <c r="Q3337" s="9">
        <v>10643</v>
      </c>
      <c r="R3337" s="9">
        <v>195380</v>
      </c>
      <c r="S3337" s="9">
        <v>-91585</v>
      </c>
      <c r="T3337" s="10">
        <v>88078</v>
      </c>
      <c r="U3337" s="10">
        <v>2258</v>
      </c>
    </row>
    <row r="3338" spans="1:21" x14ac:dyDescent="0.35">
      <c r="A3338" t="s">
        <v>15</v>
      </c>
      <c r="B3338" t="s">
        <v>20</v>
      </c>
      <c r="C3338" t="s">
        <v>21</v>
      </c>
      <c r="D3338">
        <v>172347</v>
      </c>
      <c r="E3338">
        <v>21329</v>
      </c>
      <c r="F3338">
        <v>29347</v>
      </c>
      <c r="G3338">
        <v>-151300</v>
      </c>
      <c r="H3338">
        <v>71723</v>
      </c>
      <c r="I3338">
        <v>71166</v>
      </c>
      <c r="J3338">
        <v>1827</v>
      </c>
      <c r="K3338">
        <v>376055</v>
      </c>
      <c r="L3338">
        <v>144240</v>
      </c>
      <c r="M3338">
        <v>-87337</v>
      </c>
      <c r="N3338">
        <v>94019</v>
      </c>
      <c r="O3338" t="s">
        <v>3356</v>
      </c>
      <c r="P3338" s="9">
        <v>282191</v>
      </c>
      <c r="Q3338" s="9">
        <v>44908</v>
      </c>
      <c r="R3338" s="9">
        <v>327099</v>
      </c>
      <c r="S3338" s="9">
        <v>-143857</v>
      </c>
      <c r="T3338" s="10">
        <v>117588</v>
      </c>
      <c r="U3338" s="10">
        <v>1405</v>
      </c>
    </row>
    <row r="3339" spans="1:21" x14ac:dyDescent="0.35">
      <c r="A3339" t="s">
        <v>15</v>
      </c>
      <c r="B3339" t="s">
        <v>20</v>
      </c>
      <c r="C3339" t="s">
        <v>17</v>
      </c>
      <c r="D3339">
        <v>186636</v>
      </c>
      <c r="E3339">
        <v>11761</v>
      </c>
      <c r="F3339">
        <v>43750</v>
      </c>
      <c r="G3339">
        <v>-168073</v>
      </c>
      <c r="H3339">
        <v>74074</v>
      </c>
      <c r="I3339">
        <v>72691</v>
      </c>
      <c r="J3339">
        <v>1558</v>
      </c>
      <c r="K3339">
        <v>679569</v>
      </c>
      <c r="L3339">
        <v>243511</v>
      </c>
      <c r="M3339">
        <v>-175735</v>
      </c>
      <c r="N3339">
        <v>78252</v>
      </c>
      <c r="O3339" t="s">
        <v>3357</v>
      </c>
      <c r="P3339" s="9">
        <v>263207</v>
      </c>
      <c r="Q3339" s="9">
        <v>36926</v>
      </c>
      <c r="R3339" s="9">
        <v>300133</v>
      </c>
      <c r="S3339" s="9">
        <v>-132458</v>
      </c>
      <c r="T3339" s="10">
        <v>126773</v>
      </c>
      <c r="U3339" s="10">
        <v>2078</v>
      </c>
    </row>
    <row r="3340" spans="1:21" x14ac:dyDescent="0.35">
      <c r="A3340" t="s">
        <v>15</v>
      </c>
      <c r="B3340" t="s">
        <v>20</v>
      </c>
      <c r="C3340" t="s">
        <v>21</v>
      </c>
      <c r="D3340">
        <v>165687</v>
      </c>
      <c r="E3340">
        <v>22631</v>
      </c>
      <c r="F3340">
        <v>18972</v>
      </c>
      <c r="G3340">
        <v>-156076</v>
      </c>
      <c r="H3340">
        <v>51214</v>
      </c>
      <c r="I3340">
        <v>50749</v>
      </c>
      <c r="J3340">
        <v>1074</v>
      </c>
      <c r="K3340">
        <v>552674</v>
      </c>
      <c r="L3340">
        <v>168336</v>
      </c>
      <c r="M3340">
        <v>-162643</v>
      </c>
      <c r="N3340">
        <v>88608</v>
      </c>
      <c r="O3340" t="s">
        <v>3358</v>
      </c>
      <c r="P3340" s="9">
        <v>274435</v>
      </c>
      <c r="Q3340" s="9">
        <v>30823</v>
      </c>
      <c r="R3340" s="9">
        <v>305258</v>
      </c>
      <c r="S3340" s="9">
        <v>-74429</v>
      </c>
      <c r="T3340" s="10">
        <v>68250</v>
      </c>
      <c r="U3340" s="10">
        <v>944</v>
      </c>
    </row>
    <row r="3341" spans="1:21" x14ac:dyDescent="0.35">
      <c r="A3341" t="s">
        <v>15</v>
      </c>
      <c r="B3341" t="s">
        <v>20</v>
      </c>
      <c r="C3341" t="s">
        <v>21</v>
      </c>
      <c r="D3341">
        <v>161229</v>
      </c>
      <c r="E3341">
        <v>25198</v>
      </c>
      <c r="F3341">
        <v>24218</v>
      </c>
      <c r="G3341">
        <v>-135559</v>
      </c>
      <c r="H3341">
        <v>75086</v>
      </c>
      <c r="I3341">
        <v>73935</v>
      </c>
      <c r="J3341">
        <v>814</v>
      </c>
      <c r="K3341">
        <v>431667</v>
      </c>
      <c r="L3341">
        <v>204859</v>
      </c>
      <c r="M3341">
        <v>-119439</v>
      </c>
      <c r="N3341">
        <v>128489</v>
      </c>
      <c r="O3341" t="s">
        <v>3359</v>
      </c>
      <c r="P3341" s="9">
        <v>172413</v>
      </c>
      <c r="Q3341" s="9">
        <v>11337</v>
      </c>
      <c r="R3341" s="9">
        <v>183750</v>
      </c>
      <c r="S3341" s="9">
        <v>-39659</v>
      </c>
      <c r="T3341" s="10">
        <v>44264</v>
      </c>
      <c r="U3341" s="10">
        <v>625</v>
      </c>
    </row>
    <row r="3342" spans="1:21" x14ac:dyDescent="0.35">
      <c r="A3342" t="s">
        <v>15</v>
      </c>
      <c r="B3342" t="s">
        <v>20</v>
      </c>
      <c r="C3342" t="s">
        <v>21</v>
      </c>
      <c r="D3342">
        <v>264495</v>
      </c>
      <c r="E3342">
        <v>19561</v>
      </c>
      <c r="F3342">
        <v>29154</v>
      </c>
      <c r="G3342">
        <v>-258721</v>
      </c>
      <c r="H3342">
        <v>54489</v>
      </c>
      <c r="I3342">
        <v>52343</v>
      </c>
      <c r="J3342">
        <v>1432</v>
      </c>
      <c r="K3342">
        <v>1007004</v>
      </c>
      <c r="L3342">
        <v>159880</v>
      </c>
      <c r="M3342">
        <v>-309034</v>
      </c>
      <c r="N3342">
        <v>98079</v>
      </c>
      <c r="O3342" t="s">
        <v>3360</v>
      </c>
      <c r="P3342" s="9">
        <v>245508</v>
      </c>
      <c r="Q3342" s="9">
        <v>21703</v>
      </c>
      <c r="R3342" s="9">
        <v>267211</v>
      </c>
      <c r="S3342" s="9">
        <v>-71478</v>
      </c>
      <c r="T3342" s="10">
        <v>52639</v>
      </c>
      <c r="U3342" s="10">
        <v>819</v>
      </c>
    </row>
    <row r="3343" spans="1:21" x14ac:dyDescent="0.35">
      <c r="A3343" t="s">
        <v>15</v>
      </c>
      <c r="B3343" t="s">
        <v>20</v>
      </c>
      <c r="C3343" t="s">
        <v>21</v>
      </c>
      <c r="D3343">
        <v>183829</v>
      </c>
      <c r="E3343">
        <v>9259</v>
      </c>
      <c r="F3343">
        <v>22504</v>
      </c>
      <c r="G3343">
        <v>-155897</v>
      </c>
      <c r="H3343">
        <v>59695</v>
      </c>
      <c r="I3343">
        <v>54627</v>
      </c>
      <c r="J3343">
        <v>1302</v>
      </c>
      <c r="K3343">
        <v>505678</v>
      </c>
      <c r="L3343">
        <v>216337</v>
      </c>
      <c r="M3343">
        <v>-129211</v>
      </c>
      <c r="N3343">
        <v>61989</v>
      </c>
      <c r="O3343" t="s">
        <v>3361</v>
      </c>
      <c r="P3343" s="9">
        <v>257582</v>
      </c>
      <c r="Q3343" s="9">
        <v>39143</v>
      </c>
      <c r="R3343" s="9">
        <v>296725</v>
      </c>
      <c r="S3343" s="9">
        <v>-99574</v>
      </c>
      <c r="T3343" s="10">
        <v>111238</v>
      </c>
      <c r="U3343" s="10">
        <v>2983</v>
      </c>
    </row>
    <row r="3344" spans="1:21" x14ac:dyDescent="0.35">
      <c r="A3344" t="s">
        <v>15</v>
      </c>
      <c r="B3344" t="s">
        <v>20</v>
      </c>
      <c r="C3344" t="s">
        <v>21</v>
      </c>
      <c r="D3344">
        <v>183078</v>
      </c>
      <c r="E3344">
        <v>30394</v>
      </c>
      <c r="F3344">
        <v>24906</v>
      </c>
      <c r="G3344">
        <v>-151231</v>
      </c>
      <c r="H3344">
        <v>87147</v>
      </c>
      <c r="I3344">
        <v>81019</v>
      </c>
      <c r="J3344">
        <v>1589</v>
      </c>
      <c r="K3344">
        <v>492575</v>
      </c>
      <c r="L3344">
        <v>190298</v>
      </c>
      <c r="M3344">
        <v>-170363</v>
      </c>
      <c r="N3344">
        <v>145992</v>
      </c>
      <c r="O3344" t="s">
        <v>3362</v>
      </c>
      <c r="P3344" s="9">
        <v>161603</v>
      </c>
      <c r="Q3344" s="9">
        <v>32783</v>
      </c>
      <c r="R3344" s="9">
        <v>194386</v>
      </c>
      <c r="S3344" s="9">
        <v>-96539</v>
      </c>
      <c r="T3344" s="10">
        <v>81142</v>
      </c>
      <c r="U3344" s="10">
        <v>2170</v>
      </c>
    </row>
    <row r="3345" spans="1:21" x14ac:dyDescent="0.35">
      <c r="A3345" t="s">
        <v>15</v>
      </c>
      <c r="B3345" t="s">
        <v>16</v>
      </c>
      <c r="C3345" t="s">
        <v>21</v>
      </c>
      <c r="D3345">
        <v>292888</v>
      </c>
      <c r="E3345">
        <v>48302</v>
      </c>
      <c r="F3345">
        <v>51413</v>
      </c>
      <c r="G3345">
        <v>-272164</v>
      </c>
      <c r="H3345">
        <v>120439</v>
      </c>
      <c r="I3345">
        <v>122141</v>
      </c>
      <c r="J3345">
        <v>2766</v>
      </c>
      <c r="K3345">
        <v>1044724</v>
      </c>
      <c r="L3345">
        <v>500522</v>
      </c>
      <c r="M3345">
        <v>-144604</v>
      </c>
      <c r="N3345">
        <v>166870</v>
      </c>
      <c r="O3345" t="s">
        <v>3363</v>
      </c>
      <c r="P3345" s="9">
        <v>206595</v>
      </c>
      <c r="Q3345" s="9">
        <v>31884</v>
      </c>
      <c r="R3345" s="9">
        <v>238479</v>
      </c>
      <c r="S3345" s="9">
        <v>-135057</v>
      </c>
      <c r="T3345" s="10">
        <v>83061</v>
      </c>
      <c r="U3345" s="10">
        <v>2476</v>
      </c>
    </row>
    <row r="3346" spans="1:21" x14ac:dyDescent="0.35">
      <c r="A3346" t="s">
        <v>15</v>
      </c>
      <c r="B3346" t="s">
        <v>20</v>
      </c>
      <c r="C3346" t="s">
        <v>21</v>
      </c>
      <c r="D3346">
        <v>227115</v>
      </c>
      <c r="E3346">
        <v>42386</v>
      </c>
      <c r="F3346">
        <v>29127</v>
      </c>
      <c r="G3346">
        <v>-221586</v>
      </c>
      <c r="H3346">
        <v>77042</v>
      </c>
      <c r="I3346">
        <v>80715</v>
      </c>
      <c r="J3346">
        <v>1686</v>
      </c>
      <c r="K3346">
        <v>808043</v>
      </c>
      <c r="L3346">
        <v>363154</v>
      </c>
      <c r="M3346">
        <v>-97830</v>
      </c>
      <c r="N3346">
        <v>171065</v>
      </c>
      <c r="O3346" t="s">
        <v>3364</v>
      </c>
      <c r="P3346" s="9">
        <v>173326</v>
      </c>
      <c r="Q3346" s="9">
        <v>12558</v>
      </c>
      <c r="R3346" s="9">
        <v>185884</v>
      </c>
      <c r="S3346" s="9">
        <v>-99603</v>
      </c>
      <c r="T3346" s="10">
        <v>53922</v>
      </c>
      <c r="U3346" s="10">
        <v>1606</v>
      </c>
    </row>
    <row r="3347" spans="1:21" x14ac:dyDescent="0.35">
      <c r="A3347" t="s">
        <v>15</v>
      </c>
      <c r="B3347" t="s">
        <v>16</v>
      </c>
      <c r="C3347" t="s">
        <v>21</v>
      </c>
      <c r="D3347">
        <v>266827</v>
      </c>
      <c r="E3347">
        <v>48083</v>
      </c>
      <c r="F3347">
        <v>52373</v>
      </c>
      <c r="G3347">
        <v>-219093</v>
      </c>
      <c r="H3347">
        <v>148190</v>
      </c>
      <c r="I3347">
        <v>153271</v>
      </c>
      <c r="J3347">
        <v>3569</v>
      </c>
      <c r="K3347">
        <v>936739</v>
      </c>
      <c r="L3347">
        <v>108845</v>
      </c>
      <c r="M3347">
        <v>-147595</v>
      </c>
      <c r="N3347">
        <v>91051</v>
      </c>
      <c r="O3347" t="s">
        <v>3365</v>
      </c>
      <c r="P3347" s="9">
        <v>167755</v>
      </c>
      <c r="Q3347" s="9">
        <v>15911</v>
      </c>
      <c r="R3347" s="9">
        <v>183666</v>
      </c>
      <c r="S3347" s="9">
        <v>-66014</v>
      </c>
      <c r="T3347" s="10">
        <v>60421</v>
      </c>
      <c r="U3347" s="10">
        <v>1447</v>
      </c>
    </row>
    <row r="3348" spans="1:21" x14ac:dyDescent="0.35">
      <c r="A3348" t="s">
        <v>15</v>
      </c>
      <c r="B3348" t="s">
        <v>20</v>
      </c>
      <c r="C3348" t="s">
        <v>21</v>
      </c>
      <c r="D3348">
        <v>288117</v>
      </c>
      <c r="E3348">
        <v>32597</v>
      </c>
      <c r="F3348">
        <v>40448</v>
      </c>
      <c r="G3348">
        <v>-284124</v>
      </c>
      <c r="H3348">
        <v>77038</v>
      </c>
      <c r="I3348">
        <v>76445</v>
      </c>
      <c r="J3348">
        <v>1348</v>
      </c>
      <c r="K3348">
        <v>1077798</v>
      </c>
      <c r="L3348">
        <v>476351</v>
      </c>
      <c r="M3348">
        <v>-228687</v>
      </c>
      <c r="N3348">
        <v>208972</v>
      </c>
      <c r="O3348" t="s">
        <v>3366</v>
      </c>
      <c r="P3348" s="9">
        <v>235741</v>
      </c>
      <c r="Q3348" s="9">
        <v>19658</v>
      </c>
      <c r="R3348" s="9">
        <v>255399</v>
      </c>
      <c r="S3348" s="9">
        <v>-57478</v>
      </c>
      <c r="T3348" s="10">
        <v>82875</v>
      </c>
      <c r="U3348" s="10">
        <v>1095</v>
      </c>
    </row>
    <row r="3349" spans="1:21" x14ac:dyDescent="0.35">
      <c r="A3349" t="s">
        <v>15</v>
      </c>
      <c r="B3349" t="s">
        <v>16</v>
      </c>
      <c r="C3349" t="s">
        <v>17</v>
      </c>
      <c r="D3349">
        <v>271758</v>
      </c>
      <c r="E3349">
        <v>44274</v>
      </c>
      <c r="F3349">
        <v>28905</v>
      </c>
      <c r="G3349">
        <v>-232721</v>
      </c>
      <c r="H3349">
        <v>112216</v>
      </c>
      <c r="I3349">
        <v>111859</v>
      </c>
      <c r="J3349">
        <v>2499</v>
      </c>
      <c r="K3349">
        <v>604438</v>
      </c>
      <c r="L3349">
        <v>296784</v>
      </c>
      <c r="M3349">
        <v>-146368</v>
      </c>
      <c r="N3349">
        <v>97088</v>
      </c>
      <c r="O3349" t="s">
        <v>3367</v>
      </c>
      <c r="P3349" s="9">
        <v>174147</v>
      </c>
      <c r="Q3349" s="9">
        <v>10122</v>
      </c>
      <c r="R3349" s="9">
        <v>184269</v>
      </c>
      <c r="S3349" s="9">
        <v>-56889</v>
      </c>
      <c r="T3349" s="10">
        <v>66096</v>
      </c>
      <c r="U3349" s="10">
        <v>1615</v>
      </c>
    </row>
    <row r="3350" spans="1:21" x14ac:dyDescent="0.35">
      <c r="A3350" t="s">
        <v>15</v>
      </c>
      <c r="B3350" t="s">
        <v>16</v>
      </c>
      <c r="C3350" t="s">
        <v>17</v>
      </c>
      <c r="D3350">
        <v>260330</v>
      </c>
      <c r="E3350">
        <v>14407</v>
      </c>
      <c r="F3350">
        <v>52918</v>
      </c>
      <c r="G3350">
        <v>-227700</v>
      </c>
      <c r="H3350">
        <v>99955</v>
      </c>
      <c r="I3350">
        <v>90011</v>
      </c>
      <c r="J3350">
        <v>2134</v>
      </c>
      <c r="K3350">
        <v>882142</v>
      </c>
      <c r="L3350">
        <v>369014</v>
      </c>
      <c r="M3350">
        <v>-168032</v>
      </c>
      <c r="N3350">
        <v>201756</v>
      </c>
      <c r="O3350" t="s">
        <v>3368</v>
      </c>
      <c r="P3350" s="9">
        <v>189485</v>
      </c>
      <c r="Q3350" s="9">
        <v>25574</v>
      </c>
      <c r="R3350" s="9">
        <v>215059</v>
      </c>
      <c r="S3350" s="9">
        <v>-86077</v>
      </c>
      <c r="T3350" s="10">
        <v>74316</v>
      </c>
      <c r="U3350" s="10">
        <v>2007</v>
      </c>
    </row>
    <row r="3351" spans="1:21" x14ac:dyDescent="0.35">
      <c r="A3351" t="s">
        <v>15</v>
      </c>
      <c r="B3351" t="s">
        <v>20</v>
      </c>
      <c r="C3351" t="s">
        <v>17</v>
      </c>
      <c r="D3351">
        <v>236531</v>
      </c>
      <c r="E3351">
        <v>26387</v>
      </c>
      <c r="F3351">
        <v>52378</v>
      </c>
      <c r="G3351">
        <v>-235609</v>
      </c>
      <c r="H3351">
        <v>79687</v>
      </c>
      <c r="I3351">
        <v>82021</v>
      </c>
      <c r="J3351">
        <v>1589</v>
      </c>
      <c r="K3351">
        <v>509959</v>
      </c>
      <c r="L3351">
        <v>210249</v>
      </c>
      <c r="M3351">
        <v>-123598</v>
      </c>
      <c r="N3351">
        <v>180921</v>
      </c>
      <c r="O3351" t="s">
        <v>3369</v>
      </c>
      <c r="P3351" s="9">
        <v>272134</v>
      </c>
      <c r="Q3351" s="9">
        <v>22714</v>
      </c>
      <c r="R3351" s="9">
        <v>294848</v>
      </c>
      <c r="S3351" s="9">
        <v>-127055</v>
      </c>
      <c r="T3351" s="10">
        <v>84011</v>
      </c>
      <c r="U3351" s="10">
        <v>2114</v>
      </c>
    </row>
    <row r="3352" spans="1:21" x14ac:dyDescent="0.35">
      <c r="A3352" t="s">
        <v>15</v>
      </c>
      <c r="B3352" t="s">
        <v>16</v>
      </c>
      <c r="C3352" t="s">
        <v>17</v>
      </c>
      <c r="D3352">
        <v>174737</v>
      </c>
      <c r="E3352">
        <v>34562</v>
      </c>
      <c r="F3352">
        <v>22720</v>
      </c>
      <c r="G3352">
        <v>-157361</v>
      </c>
      <c r="H3352">
        <v>74658</v>
      </c>
      <c r="I3352">
        <v>76337</v>
      </c>
      <c r="J3352">
        <v>1406</v>
      </c>
      <c r="K3352">
        <v>642224</v>
      </c>
      <c r="L3352">
        <v>176668</v>
      </c>
      <c r="M3352">
        <v>-253075</v>
      </c>
      <c r="N3352">
        <v>152654</v>
      </c>
      <c r="O3352" t="s">
        <v>3370</v>
      </c>
      <c r="P3352" s="9">
        <v>206349</v>
      </c>
      <c r="Q3352" s="9">
        <v>20759</v>
      </c>
      <c r="R3352" s="9">
        <v>227108</v>
      </c>
      <c r="S3352" s="9">
        <v>-94708</v>
      </c>
      <c r="T3352" s="10">
        <v>71143</v>
      </c>
      <c r="U3352" s="10">
        <v>1651</v>
      </c>
    </row>
    <row r="3353" spans="1:21" x14ac:dyDescent="0.35">
      <c r="A3353" t="s">
        <v>15</v>
      </c>
      <c r="B3353" t="s">
        <v>20</v>
      </c>
      <c r="C3353" t="s">
        <v>17</v>
      </c>
      <c r="D3353">
        <v>272838</v>
      </c>
      <c r="E3353">
        <v>17437</v>
      </c>
      <c r="F3353">
        <v>48225</v>
      </c>
      <c r="G3353">
        <v>-238497</v>
      </c>
      <c r="H3353">
        <v>100003</v>
      </c>
      <c r="I3353">
        <v>99382</v>
      </c>
      <c r="J3353">
        <v>1369</v>
      </c>
      <c r="K3353">
        <v>854651</v>
      </c>
      <c r="L3353">
        <v>136898</v>
      </c>
      <c r="M3353">
        <v>-195124</v>
      </c>
      <c r="N3353">
        <v>153942</v>
      </c>
      <c r="O3353" t="s">
        <v>3371</v>
      </c>
      <c r="P3353" s="9">
        <v>221501</v>
      </c>
      <c r="Q3353" s="9">
        <v>16726</v>
      </c>
      <c r="R3353" s="9">
        <v>238227</v>
      </c>
      <c r="S3353" s="9">
        <v>-139650</v>
      </c>
      <c r="T3353" s="10">
        <v>92008</v>
      </c>
      <c r="U3353" s="10">
        <v>1294</v>
      </c>
    </row>
    <row r="3354" spans="1:21" x14ac:dyDescent="0.35">
      <c r="A3354" t="s">
        <v>15</v>
      </c>
      <c r="B3354" t="s">
        <v>16</v>
      </c>
      <c r="C3354" t="s">
        <v>21</v>
      </c>
      <c r="D3354">
        <v>259546</v>
      </c>
      <c r="E3354">
        <v>31400</v>
      </c>
      <c r="F3354">
        <v>47328</v>
      </c>
      <c r="G3354">
        <v>-209103</v>
      </c>
      <c r="H3354">
        <v>129171</v>
      </c>
      <c r="I3354">
        <v>126790</v>
      </c>
      <c r="J3354">
        <v>3476</v>
      </c>
      <c r="K3354">
        <v>846340</v>
      </c>
      <c r="L3354">
        <v>86304</v>
      </c>
      <c r="M3354">
        <v>-207775</v>
      </c>
      <c r="N3354">
        <v>119697</v>
      </c>
      <c r="O3354" t="s">
        <v>3372</v>
      </c>
      <c r="P3354" s="9">
        <v>178225</v>
      </c>
      <c r="Q3354" s="9">
        <v>34344</v>
      </c>
      <c r="R3354" s="9">
        <v>212569</v>
      </c>
      <c r="S3354" s="9">
        <v>-95151</v>
      </c>
      <c r="T3354" s="10">
        <v>103602</v>
      </c>
      <c r="U3354" s="10">
        <v>1308</v>
      </c>
    </row>
    <row r="3355" spans="1:21" x14ac:dyDescent="0.35">
      <c r="A3355" t="s">
        <v>15</v>
      </c>
      <c r="B3355" t="s">
        <v>20</v>
      </c>
      <c r="C3355" t="s">
        <v>21</v>
      </c>
      <c r="D3355">
        <v>251453</v>
      </c>
      <c r="E3355">
        <v>42193</v>
      </c>
      <c r="F3355">
        <v>39935</v>
      </c>
      <c r="G3355">
        <v>-225337</v>
      </c>
      <c r="H3355">
        <v>108244</v>
      </c>
      <c r="I3355">
        <v>101631</v>
      </c>
      <c r="J3355">
        <v>2598</v>
      </c>
      <c r="K3355">
        <v>626572</v>
      </c>
      <c r="L3355">
        <v>69052</v>
      </c>
      <c r="M3355">
        <v>-165809</v>
      </c>
      <c r="N3355">
        <v>99313</v>
      </c>
      <c r="O3355" t="s">
        <v>3373</v>
      </c>
      <c r="P3355" s="9">
        <v>245095</v>
      </c>
      <c r="Q3355" s="9">
        <v>13618</v>
      </c>
      <c r="R3355" s="9">
        <v>258713</v>
      </c>
      <c r="S3355" s="9">
        <v>-106368</v>
      </c>
      <c r="T3355" s="10">
        <v>110502</v>
      </c>
      <c r="U3355" s="10">
        <v>3133</v>
      </c>
    </row>
    <row r="3356" spans="1:21" x14ac:dyDescent="0.35">
      <c r="A3356" t="s">
        <v>15</v>
      </c>
      <c r="B3356" t="s">
        <v>20</v>
      </c>
      <c r="C3356" t="s">
        <v>21</v>
      </c>
      <c r="D3356">
        <v>244803</v>
      </c>
      <c r="E3356">
        <v>45274</v>
      </c>
      <c r="F3356">
        <v>30120</v>
      </c>
      <c r="G3356">
        <v>-237860</v>
      </c>
      <c r="H3356">
        <v>82337</v>
      </c>
      <c r="I3356">
        <v>80704</v>
      </c>
      <c r="J3356">
        <v>1808</v>
      </c>
      <c r="K3356">
        <v>693440</v>
      </c>
      <c r="L3356">
        <v>141127</v>
      </c>
      <c r="M3356">
        <v>-186126</v>
      </c>
      <c r="N3356">
        <v>153776</v>
      </c>
      <c r="O3356" t="s">
        <v>3374</v>
      </c>
      <c r="P3356" s="9">
        <v>250237</v>
      </c>
      <c r="Q3356" s="9">
        <v>33990</v>
      </c>
      <c r="R3356" s="9">
        <v>284227</v>
      </c>
      <c r="S3356" s="9">
        <v>-95557</v>
      </c>
      <c r="T3356" s="10">
        <v>99577</v>
      </c>
      <c r="U3356" s="10">
        <v>1260</v>
      </c>
    </row>
    <row r="3357" spans="1:21" x14ac:dyDescent="0.35">
      <c r="A3357" t="s">
        <v>15</v>
      </c>
      <c r="B3357" t="s">
        <v>20</v>
      </c>
      <c r="C3357" t="s">
        <v>21</v>
      </c>
      <c r="D3357">
        <v>222876</v>
      </c>
      <c r="E3357">
        <v>32807</v>
      </c>
      <c r="F3357">
        <v>32386</v>
      </c>
      <c r="G3357">
        <v>-195194</v>
      </c>
      <c r="H3357">
        <v>92875</v>
      </c>
      <c r="I3357">
        <v>93848</v>
      </c>
      <c r="J3357">
        <v>958</v>
      </c>
      <c r="K3357">
        <v>456636</v>
      </c>
      <c r="L3357">
        <v>180199</v>
      </c>
      <c r="M3357">
        <v>-145247</v>
      </c>
      <c r="N3357">
        <v>128113</v>
      </c>
      <c r="O3357" t="s">
        <v>3375</v>
      </c>
      <c r="P3357" s="9">
        <v>275572</v>
      </c>
      <c r="Q3357" s="9">
        <v>55851</v>
      </c>
      <c r="R3357" s="9">
        <v>331423</v>
      </c>
      <c r="S3357" s="9">
        <v>-136380</v>
      </c>
      <c r="T3357" s="10">
        <v>107111</v>
      </c>
      <c r="U3357" s="10">
        <v>1691</v>
      </c>
    </row>
    <row r="3358" spans="1:21" x14ac:dyDescent="0.35">
      <c r="A3358" t="s">
        <v>15</v>
      </c>
      <c r="B3358" t="s">
        <v>20</v>
      </c>
      <c r="C3358" t="s">
        <v>21</v>
      </c>
      <c r="D3358">
        <v>242741</v>
      </c>
      <c r="E3358">
        <v>17629</v>
      </c>
      <c r="F3358">
        <v>59613</v>
      </c>
      <c r="G3358">
        <v>-236832</v>
      </c>
      <c r="H3358">
        <v>83151</v>
      </c>
      <c r="I3358">
        <v>86998</v>
      </c>
      <c r="J3358">
        <v>930</v>
      </c>
      <c r="K3358">
        <v>642866</v>
      </c>
      <c r="L3358">
        <v>124990</v>
      </c>
      <c r="M3358">
        <v>-227794</v>
      </c>
      <c r="N3358">
        <v>144929</v>
      </c>
      <c r="O3358" t="s">
        <v>3376</v>
      </c>
      <c r="P3358" s="9">
        <v>222919</v>
      </c>
      <c r="Q3358" s="9">
        <v>34431</v>
      </c>
      <c r="R3358" s="9">
        <v>257350</v>
      </c>
      <c r="S3358" s="9">
        <v>-75889</v>
      </c>
      <c r="T3358" s="10">
        <v>88031</v>
      </c>
      <c r="U3358" s="10">
        <v>1274</v>
      </c>
    </row>
    <row r="3359" spans="1:21" x14ac:dyDescent="0.35">
      <c r="A3359" t="s">
        <v>15</v>
      </c>
      <c r="B3359" t="s">
        <v>16</v>
      </c>
      <c r="C3359" t="s">
        <v>21</v>
      </c>
      <c r="D3359">
        <v>235297</v>
      </c>
      <c r="E3359">
        <v>40907</v>
      </c>
      <c r="F3359">
        <v>37438</v>
      </c>
      <c r="G3359">
        <v>-231923</v>
      </c>
      <c r="H3359">
        <v>81719</v>
      </c>
      <c r="I3359">
        <v>77284</v>
      </c>
      <c r="J3359">
        <v>1546</v>
      </c>
      <c r="K3359">
        <v>798560</v>
      </c>
      <c r="L3359">
        <v>133144</v>
      </c>
      <c r="M3359">
        <v>-239520</v>
      </c>
      <c r="N3359">
        <v>143355</v>
      </c>
      <c r="O3359" t="s">
        <v>3377</v>
      </c>
      <c r="P3359" s="9">
        <v>211036</v>
      </c>
      <c r="Q3359" s="9">
        <v>11017</v>
      </c>
      <c r="R3359" s="9">
        <v>222053</v>
      </c>
      <c r="S3359" s="9">
        <v>-87797</v>
      </c>
      <c r="T3359" s="10">
        <v>44867</v>
      </c>
      <c r="U3359" s="10">
        <v>993</v>
      </c>
    </row>
    <row r="3360" spans="1:21" x14ac:dyDescent="0.35">
      <c r="A3360" t="s">
        <v>15</v>
      </c>
      <c r="B3360" t="s">
        <v>20</v>
      </c>
      <c r="C3360" t="s">
        <v>17</v>
      </c>
      <c r="D3360">
        <v>191728</v>
      </c>
      <c r="E3360">
        <v>36945</v>
      </c>
      <c r="F3360">
        <v>22469</v>
      </c>
      <c r="G3360">
        <v>-181435</v>
      </c>
      <c r="H3360">
        <v>69707</v>
      </c>
      <c r="I3360">
        <v>68140</v>
      </c>
      <c r="J3360">
        <v>1321</v>
      </c>
      <c r="K3360">
        <v>752024</v>
      </c>
      <c r="L3360">
        <v>123731</v>
      </c>
      <c r="M3360">
        <v>-290754</v>
      </c>
      <c r="N3360">
        <v>143082</v>
      </c>
      <c r="O3360" t="s">
        <v>3378</v>
      </c>
      <c r="P3360" s="9">
        <v>261953</v>
      </c>
      <c r="Q3360" s="9">
        <v>21764</v>
      </c>
      <c r="R3360" s="9">
        <v>283717</v>
      </c>
      <c r="S3360" s="9">
        <v>-168706</v>
      </c>
      <c r="T3360" s="10">
        <v>80532</v>
      </c>
      <c r="U3360" s="10">
        <v>1490</v>
      </c>
    </row>
    <row r="3361" spans="1:21" x14ac:dyDescent="0.35">
      <c r="A3361" t="s">
        <v>15</v>
      </c>
      <c r="B3361" t="s">
        <v>16</v>
      </c>
      <c r="C3361" t="s">
        <v>21</v>
      </c>
      <c r="D3361">
        <v>284469</v>
      </c>
      <c r="E3361">
        <v>26973</v>
      </c>
      <c r="F3361">
        <v>31278</v>
      </c>
      <c r="G3361">
        <v>-284194</v>
      </c>
      <c r="H3361">
        <v>58526</v>
      </c>
      <c r="I3361">
        <v>57519</v>
      </c>
      <c r="J3361">
        <v>1701</v>
      </c>
      <c r="K3361">
        <v>992869</v>
      </c>
      <c r="L3361">
        <v>215854</v>
      </c>
      <c r="M3361">
        <v>-275246</v>
      </c>
      <c r="N3361">
        <v>171296</v>
      </c>
      <c r="O3361" t="s">
        <v>3379</v>
      </c>
      <c r="P3361" s="9">
        <v>253874</v>
      </c>
      <c r="Q3361" s="9">
        <v>36414</v>
      </c>
      <c r="R3361" s="9">
        <v>290288</v>
      </c>
      <c r="S3361" s="9">
        <v>-142168</v>
      </c>
      <c r="T3361" s="10">
        <v>117474</v>
      </c>
      <c r="U3361" s="10">
        <v>1213</v>
      </c>
    </row>
    <row r="3362" spans="1:21" x14ac:dyDescent="0.35">
      <c r="A3362" t="s">
        <v>15</v>
      </c>
      <c r="B3362" t="s">
        <v>20</v>
      </c>
      <c r="C3362" t="s">
        <v>17</v>
      </c>
      <c r="D3362">
        <v>199170</v>
      </c>
      <c r="E3362">
        <v>18327</v>
      </c>
      <c r="F3362">
        <v>30889</v>
      </c>
      <c r="G3362">
        <v>-197503</v>
      </c>
      <c r="H3362">
        <v>50883</v>
      </c>
      <c r="I3362">
        <v>50950</v>
      </c>
      <c r="J3362">
        <v>1370</v>
      </c>
      <c r="K3362">
        <v>535170</v>
      </c>
      <c r="L3362">
        <v>190019</v>
      </c>
      <c r="M3362">
        <v>-147419</v>
      </c>
      <c r="N3362">
        <v>146017</v>
      </c>
      <c r="O3362" t="s">
        <v>3380</v>
      </c>
      <c r="P3362" s="9">
        <v>211436</v>
      </c>
      <c r="Q3362" s="9">
        <v>31737</v>
      </c>
      <c r="R3362" s="9">
        <v>243173</v>
      </c>
      <c r="S3362" s="9">
        <v>-63011</v>
      </c>
      <c r="T3362" s="10">
        <v>96402</v>
      </c>
      <c r="U3362" s="10">
        <v>1177</v>
      </c>
    </row>
    <row r="3363" spans="1:21" x14ac:dyDescent="0.35">
      <c r="A3363" t="s">
        <v>15</v>
      </c>
      <c r="B3363" t="s">
        <v>20</v>
      </c>
      <c r="C3363" t="s">
        <v>21</v>
      </c>
      <c r="D3363">
        <v>158953</v>
      </c>
      <c r="E3363">
        <v>29819</v>
      </c>
      <c r="F3363">
        <v>37313</v>
      </c>
      <c r="G3363">
        <v>-144426</v>
      </c>
      <c r="H3363">
        <v>81659</v>
      </c>
      <c r="I3363">
        <v>76013</v>
      </c>
      <c r="J3363">
        <v>970</v>
      </c>
      <c r="K3363">
        <v>617910</v>
      </c>
      <c r="L3363">
        <v>176018</v>
      </c>
      <c r="M3363">
        <v>-117003</v>
      </c>
      <c r="N3363">
        <v>115079</v>
      </c>
      <c r="O3363" t="s">
        <v>3381</v>
      </c>
      <c r="P3363" s="9">
        <v>266242</v>
      </c>
      <c r="Q3363" s="9">
        <v>35401</v>
      </c>
      <c r="R3363" s="9">
        <v>301643</v>
      </c>
      <c r="S3363" s="9">
        <v>-149186</v>
      </c>
      <c r="T3363" s="10">
        <v>128127</v>
      </c>
      <c r="U3363" s="10">
        <v>3748</v>
      </c>
    </row>
    <row r="3364" spans="1:21" x14ac:dyDescent="0.35">
      <c r="A3364" t="s">
        <v>15</v>
      </c>
      <c r="B3364" t="s">
        <v>16</v>
      </c>
      <c r="C3364" t="s">
        <v>17</v>
      </c>
      <c r="D3364">
        <v>168392</v>
      </c>
      <c r="E3364">
        <v>27071</v>
      </c>
      <c r="F3364">
        <v>21218</v>
      </c>
      <c r="G3364">
        <v>-150744</v>
      </c>
      <c r="H3364">
        <v>65937</v>
      </c>
      <c r="I3364">
        <v>67736</v>
      </c>
      <c r="J3364">
        <v>921</v>
      </c>
      <c r="K3364">
        <v>461692</v>
      </c>
      <c r="L3364">
        <v>220761</v>
      </c>
      <c r="M3364">
        <v>-141369</v>
      </c>
      <c r="N3364">
        <v>88976</v>
      </c>
      <c r="O3364" t="s">
        <v>3382</v>
      </c>
      <c r="P3364" s="9">
        <v>242239</v>
      </c>
      <c r="Q3364" s="9">
        <v>32277</v>
      </c>
      <c r="R3364" s="9">
        <v>274516</v>
      </c>
      <c r="S3364" s="9">
        <v>-101905</v>
      </c>
      <c r="T3364" s="10">
        <v>122314</v>
      </c>
      <c r="U3364" s="10">
        <v>2867</v>
      </c>
    </row>
    <row r="3365" spans="1:21" x14ac:dyDescent="0.35">
      <c r="A3365" t="s">
        <v>15</v>
      </c>
      <c r="B3365" t="s">
        <v>20</v>
      </c>
      <c r="C3365" t="s">
        <v>21</v>
      </c>
      <c r="D3365">
        <v>290110</v>
      </c>
      <c r="E3365">
        <v>37760</v>
      </c>
      <c r="F3365">
        <v>57976</v>
      </c>
      <c r="G3365">
        <v>-240989</v>
      </c>
      <c r="H3365">
        <v>144857</v>
      </c>
      <c r="I3365">
        <v>140733</v>
      </c>
      <c r="J3365">
        <v>2003</v>
      </c>
      <c r="K3365">
        <v>895070</v>
      </c>
      <c r="L3365">
        <v>390912</v>
      </c>
      <c r="M3365">
        <v>-183660</v>
      </c>
      <c r="N3365">
        <v>111555</v>
      </c>
      <c r="O3365" t="s">
        <v>3383</v>
      </c>
      <c r="P3365" s="9">
        <v>208907</v>
      </c>
      <c r="Q3365" s="9">
        <v>33263</v>
      </c>
      <c r="R3365" s="9">
        <v>242170</v>
      </c>
      <c r="S3365" s="9">
        <v>-104038</v>
      </c>
      <c r="T3365" s="10">
        <v>103251</v>
      </c>
      <c r="U3365" s="10">
        <v>2152</v>
      </c>
    </row>
    <row r="3366" spans="1:21" x14ac:dyDescent="0.35">
      <c r="A3366" t="s">
        <v>15</v>
      </c>
      <c r="B3366" t="s">
        <v>20</v>
      </c>
      <c r="C3366" t="s">
        <v>17</v>
      </c>
      <c r="D3366">
        <v>249295</v>
      </c>
      <c r="E3366">
        <v>38467</v>
      </c>
      <c r="F3366">
        <v>44680</v>
      </c>
      <c r="G3366">
        <v>-210920</v>
      </c>
      <c r="H3366">
        <v>121522</v>
      </c>
      <c r="I3366">
        <v>127115</v>
      </c>
      <c r="J3366">
        <v>1680</v>
      </c>
      <c r="K3366">
        <v>948247</v>
      </c>
      <c r="L3366">
        <v>288692</v>
      </c>
      <c r="M3366">
        <v>-359782</v>
      </c>
      <c r="N3366">
        <v>130690</v>
      </c>
      <c r="O3366" t="s">
        <v>3384</v>
      </c>
      <c r="P3366" s="9">
        <v>249706</v>
      </c>
      <c r="Q3366" s="9">
        <v>14509</v>
      </c>
      <c r="R3366" s="9">
        <v>264215</v>
      </c>
      <c r="S3366" s="9">
        <v>-73653</v>
      </c>
      <c r="T3366" s="10">
        <v>61651</v>
      </c>
      <c r="U3366" s="10">
        <v>1326</v>
      </c>
    </row>
    <row r="3367" spans="1:21" x14ac:dyDescent="0.35">
      <c r="A3367" t="s">
        <v>15</v>
      </c>
      <c r="B3367" t="s">
        <v>16</v>
      </c>
      <c r="C3367" t="s">
        <v>17</v>
      </c>
      <c r="D3367">
        <v>234188</v>
      </c>
      <c r="E3367">
        <v>42519</v>
      </c>
      <c r="F3367">
        <v>43796</v>
      </c>
      <c r="G3367">
        <v>-226240</v>
      </c>
      <c r="H3367">
        <v>94263</v>
      </c>
      <c r="I3367">
        <v>91750</v>
      </c>
      <c r="J3367">
        <v>1116</v>
      </c>
      <c r="K3367">
        <v>742098</v>
      </c>
      <c r="L3367">
        <v>219580</v>
      </c>
      <c r="M3367">
        <v>-152541</v>
      </c>
      <c r="N3367">
        <v>201631</v>
      </c>
      <c r="O3367" t="s">
        <v>3385</v>
      </c>
      <c r="P3367" s="9">
        <v>165474</v>
      </c>
      <c r="Q3367" s="9">
        <v>32757</v>
      </c>
      <c r="R3367" s="9">
        <v>198231</v>
      </c>
      <c r="S3367" s="9">
        <v>-80022</v>
      </c>
      <c r="T3367" s="10">
        <v>70197</v>
      </c>
      <c r="U3367" s="10">
        <v>1630</v>
      </c>
    </row>
    <row r="3368" spans="1:21" x14ac:dyDescent="0.35">
      <c r="A3368" t="s">
        <v>15</v>
      </c>
      <c r="B3368" t="s">
        <v>20</v>
      </c>
      <c r="C3368" t="s">
        <v>17</v>
      </c>
      <c r="D3368">
        <v>225536</v>
      </c>
      <c r="E3368">
        <v>29946</v>
      </c>
      <c r="F3368">
        <v>35555</v>
      </c>
      <c r="G3368">
        <v>-220020</v>
      </c>
      <c r="H3368">
        <v>71017</v>
      </c>
      <c r="I3368">
        <v>66195</v>
      </c>
      <c r="J3368">
        <v>1648</v>
      </c>
      <c r="K3368">
        <v>538435</v>
      </c>
      <c r="L3368">
        <v>261338</v>
      </c>
      <c r="M3368">
        <v>-122524</v>
      </c>
      <c r="N3368">
        <v>163435</v>
      </c>
      <c r="O3368" t="s">
        <v>3386</v>
      </c>
      <c r="P3368" s="9">
        <v>290523</v>
      </c>
      <c r="Q3368" s="9">
        <v>46784</v>
      </c>
      <c r="R3368" s="9">
        <v>337307</v>
      </c>
      <c r="S3368" s="9">
        <v>-70802</v>
      </c>
      <c r="T3368" s="10">
        <v>95141</v>
      </c>
      <c r="U3368" s="10">
        <v>2516</v>
      </c>
    </row>
    <row r="3369" spans="1:21" x14ac:dyDescent="0.35">
      <c r="A3369" t="s">
        <v>15</v>
      </c>
      <c r="B3369" t="s">
        <v>16</v>
      </c>
      <c r="C3369" t="s">
        <v>21</v>
      </c>
      <c r="D3369">
        <v>167754</v>
      </c>
      <c r="E3369">
        <v>29701</v>
      </c>
      <c r="F3369">
        <v>30545</v>
      </c>
      <c r="G3369">
        <v>-157971</v>
      </c>
      <c r="H3369">
        <v>70029</v>
      </c>
      <c r="I3369">
        <v>73344</v>
      </c>
      <c r="J3369">
        <v>1918</v>
      </c>
      <c r="K3369">
        <v>428464</v>
      </c>
      <c r="L3369">
        <v>173180</v>
      </c>
      <c r="M3369">
        <v>-133843</v>
      </c>
      <c r="N3369">
        <v>107253</v>
      </c>
      <c r="O3369" t="s">
        <v>3387</v>
      </c>
      <c r="P3369" s="9">
        <v>144799</v>
      </c>
      <c r="Q3369" s="9">
        <v>21334</v>
      </c>
      <c r="R3369" s="9">
        <v>166133</v>
      </c>
      <c r="S3369" s="9">
        <v>-41637</v>
      </c>
      <c r="T3369" s="10">
        <v>71632</v>
      </c>
      <c r="U3369" s="10">
        <v>1977</v>
      </c>
    </row>
    <row r="3370" spans="1:21" x14ac:dyDescent="0.35">
      <c r="A3370" t="s">
        <v>15</v>
      </c>
      <c r="B3370" t="s">
        <v>20</v>
      </c>
      <c r="C3370" t="s">
        <v>21</v>
      </c>
      <c r="D3370">
        <v>164294</v>
      </c>
      <c r="E3370">
        <v>24132</v>
      </c>
      <c r="F3370">
        <v>20723</v>
      </c>
      <c r="G3370">
        <v>-149755</v>
      </c>
      <c r="H3370">
        <v>59394</v>
      </c>
      <c r="I3370">
        <v>55824</v>
      </c>
      <c r="J3370">
        <v>1311</v>
      </c>
      <c r="K3370">
        <v>446139</v>
      </c>
      <c r="L3370">
        <v>87564</v>
      </c>
      <c r="M3370">
        <v>-155667</v>
      </c>
      <c r="N3370">
        <v>113806</v>
      </c>
      <c r="O3370" t="s">
        <v>3388</v>
      </c>
      <c r="P3370" s="9">
        <v>230576</v>
      </c>
      <c r="Q3370" s="9">
        <v>20243</v>
      </c>
      <c r="R3370" s="9">
        <v>250819</v>
      </c>
      <c r="S3370" s="9">
        <v>-139348</v>
      </c>
      <c r="T3370" s="10">
        <v>76350</v>
      </c>
      <c r="U3370" s="10">
        <v>763</v>
      </c>
    </row>
    <row r="3371" spans="1:21" x14ac:dyDescent="0.35">
      <c r="A3371" t="s">
        <v>15</v>
      </c>
      <c r="B3371" t="s">
        <v>16</v>
      </c>
      <c r="C3371" t="s">
        <v>21</v>
      </c>
      <c r="D3371">
        <v>203997</v>
      </c>
      <c r="E3371">
        <v>28828</v>
      </c>
      <c r="F3371">
        <v>34585</v>
      </c>
      <c r="G3371">
        <v>-175722</v>
      </c>
      <c r="H3371">
        <v>91688</v>
      </c>
      <c r="I3371">
        <v>87153</v>
      </c>
      <c r="J3371">
        <v>1323</v>
      </c>
      <c r="K3371">
        <v>710282</v>
      </c>
      <c r="L3371">
        <v>149533</v>
      </c>
      <c r="M3371">
        <v>-221038</v>
      </c>
      <c r="N3371">
        <v>169727</v>
      </c>
      <c r="O3371" t="s">
        <v>3389</v>
      </c>
      <c r="P3371" s="9">
        <v>225616</v>
      </c>
      <c r="Q3371" s="9">
        <v>18460</v>
      </c>
      <c r="R3371" s="9">
        <v>244076</v>
      </c>
      <c r="S3371" s="9">
        <v>-129884</v>
      </c>
      <c r="T3371" s="10">
        <v>106244</v>
      </c>
      <c r="U3371" s="10">
        <v>2521</v>
      </c>
    </row>
    <row r="3372" spans="1:21" x14ac:dyDescent="0.35">
      <c r="A3372" t="s">
        <v>15</v>
      </c>
      <c r="B3372" t="s">
        <v>16</v>
      </c>
      <c r="C3372" t="s">
        <v>21</v>
      </c>
      <c r="D3372">
        <v>177751</v>
      </c>
      <c r="E3372">
        <v>13922</v>
      </c>
      <c r="F3372">
        <v>25540</v>
      </c>
      <c r="G3372">
        <v>-171198</v>
      </c>
      <c r="H3372">
        <v>46015</v>
      </c>
      <c r="I3372">
        <v>46261</v>
      </c>
      <c r="J3372">
        <v>530</v>
      </c>
      <c r="K3372">
        <v>436474</v>
      </c>
      <c r="L3372">
        <v>185816</v>
      </c>
      <c r="M3372">
        <v>-160860</v>
      </c>
      <c r="N3372">
        <v>136268</v>
      </c>
      <c r="O3372" t="s">
        <v>3390</v>
      </c>
      <c r="P3372" s="9">
        <v>234644</v>
      </c>
      <c r="Q3372" s="9">
        <v>15323</v>
      </c>
      <c r="R3372" s="9">
        <v>249967</v>
      </c>
      <c r="S3372" s="9">
        <v>-132381</v>
      </c>
      <c r="T3372" s="10">
        <v>66911</v>
      </c>
      <c r="U3372" s="10">
        <v>670</v>
      </c>
    </row>
    <row r="3373" spans="1:21" x14ac:dyDescent="0.35">
      <c r="A3373" t="s">
        <v>15</v>
      </c>
      <c r="B3373" t="s">
        <v>16</v>
      </c>
      <c r="C3373" t="s">
        <v>17</v>
      </c>
      <c r="D3373">
        <v>261815</v>
      </c>
      <c r="E3373">
        <v>24413</v>
      </c>
      <c r="F3373">
        <v>42896</v>
      </c>
      <c r="G3373">
        <v>-209581</v>
      </c>
      <c r="H3373">
        <v>119543</v>
      </c>
      <c r="I3373">
        <v>114628</v>
      </c>
      <c r="J3373">
        <v>1271</v>
      </c>
      <c r="K3373">
        <v>776366</v>
      </c>
      <c r="L3373">
        <v>214591</v>
      </c>
      <c r="M3373">
        <v>-308236</v>
      </c>
      <c r="N3373">
        <v>177546</v>
      </c>
      <c r="O3373" t="s">
        <v>3391</v>
      </c>
      <c r="P3373" s="9">
        <v>165514</v>
      </c>
      <c r="Q3373" s="9">
        <v>25741</v>
      </c>
      <c r="R3373" s="9">
        <v>191255</v>
      </c>
      <c r="S3373" s="9">
        <v>-73426</v>
      </c>
      <c r="T3373" s="10">
        <v>66189</v>
      </c>
      <c r="U3373" s="10">
        <v>994</v>
      </c>
    </row>
    <row r="3374" spans="1:21" x14ac:dyDescent="0.35">
      <c r="A3374" t="s">
        <v>15</v>
      </c>
      <c r="B3374" t="s">
        <v>20</v>
      </c>
      <c r="C3374" t="s">
        <v>21</v>
      </c>
      <c r="D3374">
        <v>185396</v>
      </c>
      <c r="E3374">
        <v>19181</v>
      </c>
      <c r="F3374">
        <v>19854</v>
      </c>
      <c r="G3374">
        <v>-164635</v>
      </c>
      <c r="H3374">
        <v>59796</v>
      </c>
      <c r="I3374">
        <v>60394</v>
      </c>
      <c r="J3374">
        <v>1576</v>
      </c>
      <c r="K3374">
        <v>728360</v>
      </c>
      <c r="L3374">
        <v>236002</v>
      </c>
      <c r="M3374">
        <v>-225625</v>
      </c>
      <c r="N3374">
        <v>91575</v>
      </c>
      <c r="O3374" t="s">
        <v>3392</v>
      </c>
      <c r="P3374" s="9">
        <v>211134</v>
      </c>
      <c r="Q3374" s="9">
        <v>37931</v>
      </c>
      <c r="R3374" s="9">
        <v>249065</v>
      </c>
      <c r="S3374" s="9">
        <v>-133537</v>
      </c>
      <c r="T3374" s="10">
        <v>108025</v>
      </c>
      <c r="U3374" s="10">
        <v>1507</v>
      </c>
    </row>
    <row r="3375" spans="1:21" x14ac:dyDescent="0.35">
      <c r="A3375" t="s">
        <v>15</v>
      </c>
      <c r="B3375" t="s">
        <v>20</v>
      </c>
      <c r="C3375" t="s">
        <v>21</v>
      </c>
      <c r="D3375">
        <v>243249</v>
      </c>
      <c r="E3375">
        <v>48178</v>
      </c>
      <c r="F3375">
        <v>33131</v>
      </c>
      <c r="G3375">
        <v>-239165</v>
      </c>
      <c r="H3375">
        <v>85393</v>
      </c>
      <c r="I3375">
        <v>81582</v>
      </c>
      <c r="J3375">
        <v>1803</v>
      </c>
      <c r="K3375">
        <v>916153</v>
      </c>
      <c r="L3375">
        <v>193863</v>
      </c>
      <c r="M3375">
        <v>-122389</v>
      </c>
      <c r="N3375">
        <v>191576</v>
      </c>
      <c r="O3375" t="s">
        <v>3393</v>
      </c>
      <c r="P3375" s="9">
        <v>322895</v>
      </c>
      <c r="Q3375" s="9">
        <v>31666</v>
      </c>
      <c r="R3375" s="9">
        <v>354561</v>
      </c>
      <c r="S3375" s="9">
        <v>-171300</v>
      </c>
      <c r="T3375" s="10">
        <v>75130</v>
      </c>
      <c r="U3375" s="10">
        <v>1379</v>
      </c>
    </row>
    <row r="3376" spans="1:21" x14ac:dyDescent="0.35">
      <c r="A3376" t="s">
        <v>15</v>
      </c>
      <c r="B3376" t="s">
        <v>20</v>
      </c>
      <c r="C3376" t="s">
        <v>17</v>
      </c>
      <c r="D3376">
        <v>231303</v>
      </c>
      <c r="E3376">
        <v>20379</v>
      </c>
      <c r="F3376">
        <v>35676</v>
      </c>
      <c r="G3376">
        <v>-194355</v>
      </c>
      <c r="H3376">
        <v>93003</v>
      </c>
      <c r="I3376">
        <v>92661</v>
      </c>
      <c r="J3376">
        <v>1152</v>
      </c>
      <c r="K3376">
        <v>602133</v>
      </c>
      <c r="L3376">
        <v>299316</v>
      </c>
      <c r="M3376">
        <v>-235429</v>
      </c>
      <c r="N3376">
        <v>81111</v>
      </c>
      <c r="O3376" t="s">
        <v>3394</v>
      </c>
      <c r="P3376" s="9">
        <v>234264</v>
      </c>
      <c r="Q3376" s="9">
        <v>24727</v>
      </c>
      <c r="R3376" s="9">
        <v>258991</v>
      </c>
      <c r="S3376" s="9">
        <v>-65119</v>
      </c>
      <c r="T3376" s="10">
        <v>122238</v>
      </c>
      <c r="U3376" s="10">
        <v>2886</v>
      </c>
    </row>
    <row r="3377" spans="1:21" x14ac:dyDescent="0.35">
      <c r="A3377" t="s">
        <v>15</v>
      </c>
      <c r="B3377" t="s">
        <v>16</v>
      </c>
      <c r="C3377" t="s">
        <v>21</v>
      </c>
      <c r="D3377">
        <v>264100</v>
      </c>
      <c r="E3377">
        <v>44489</v>
      </c>
      <c r="F3377">
        <v>35004</v>
      </c>
      <c r="G3377">
        <v>-243414</v>
      </c>
      <c r="H3377">
        <v>100179</v>
      </c>
      <c r="I3377">
        <v>93532</v>
      </c>
      <c r="J3377">
        <v>1210</v>
      </c>
      <c r="K3377">
        <v>927306</v>
      </c>
      <c r="L3377">
        <v>264303</v>
      </c>
      <c r="M3377">
        <v>-279836</v>
      </c>
      <c r="N3377">
        <v>153644</v>
      </c>
      <c r="O3377" t="s">
        <v>3395</v>
      </c>
      <c r="P3377" s="9">
        <v>181894</v>
      </c>
      <c r="Q3377" s="9">
        <v>11520</v>
      </c>
      <c r="R3377" s="9">
        <v>193414</v>
      </c>
      <c r="S3377" s="9">
        <v>-104431</v>
      </c>
      <c r="T3377" s="10">
        <v>81664</v>
      </c>
      <c r="U3377" s="10">
        <v>964</v>
      </c>
    </row>
    <row r="3378" spans="1:21" x14ac:dyDescent="0.35">
      <c r="A3378" t="s">
        <v>15</v>
      </c>
      <c r="B3378" t="s">
        <v>16</v>
      </c>
      <c r="C3378" t="s">
        <v>21</v>
      </c>
      <c r="D3378">
        <v>269967</v>
      </c>
      <c r="E3378">
        <v>46830</v>
      </c>
      <c r="F3378">
        <v>46919</v>
      </c>
      <c r="G3378">
        <v>-236332</v>
      </c>
      <c r="H3378">
        <v>127384</v>
      </c>
      <c r="I3378">
        <v>128591</v>
      </c>
      <c r="J3378">
        <v>3587</v>
      </c>
      <c r="K3378">
        <v>637370</v>
      </c>
      <c r="L3378">
        <v>279385</v>
      </c>
      <c r="M3378">
        <v>-64440</v>
      </c>
      <c r="N3378">
        <v>196442</v>
      </c>
      <c r="O3378" t="s">
        <v>3396</v>
      </c>
      <c r="P3378" s="9">
        <v>167838</v>
      </c>
      <c r="Q3378" s="9">
        <v>14131</v>
      </c>
      <c r="R3378" s="9">
        <v>181969</v>
      </c>
      <c r="S3378" s="9">
        <v>-83059</v>
      </c>
      <c r="T3378" s="10">
        <v>68738</v>
      </c>
      <c r="U3378" s="10">
        <v>1069</v>
      </c>
    </row>
    <row r="3379" spans="1:21" x14ac:dyDescent="0.35">
      <c r="A3379" t="s">
        <v>15</v>
      </c>
      <c r="B3379" t="s">
        <v>20</v>
      </c>
      <c r="C3379" t="s">
        <v>17</v>
      </c>
      <c r="D3379">
        <v>187826</v>
      </c>
      <c r="E3379">
        <v>32097</v>
      </c>
      <c r="F3379">
        <v>23234</v>
      </c>
      <c r="G3379">
        <v>-158564</v>
      </c>
      <c r="H3379">
        <v>84593</v>
      </c>
      <c r="I3379">
        <v>88296</v>
      </c>
      <c r="J3379">
        <v>1785</v>
      </c>
      <c r="K3379">
        <v>580128</v>
      </c>
      <c r="L3379">
        <v>204832</v>
      </c>
      <c r="M3379">
        <v>-139887</v>
      </c>
      <c r="N3379">
        <v>157813</v>
      </c>
      <c r="O3379" t="s">
        <v>3397</v>
      </c>
      <c r="P3379" s="9">
        <v>196805</v>
      </c>
      <c r="Q3379" s="9">
        <v>13387</v>
      </c>
      <c r="R3379" s="9">
        <v>210192</v>
      </c>
      <c r="S3379" s="9">
        <v>-51453</v>
      </c>
      <c r="T3379" s="10">
        <v>54862</v>
      </c>
      <c r="U3379" s="10">
        <v>895</v>
      </c>
    </row>
    <row r="3380" spans="1:21" x14ac:dyDescent="0.35">
      <c r="A3380" t="s">
        <v>15</v>
      </c>
      <c r="B3380" t="s">
        <v>20</v>
      </c>
      <c r="C3380" t="s">
        <v>21</v>
      </c>
      <c r="D3380">
        <v>241681</v>
      </c>
      <c r="E3380">
        <v>43472</v>
      </c>
      <c r="F3380">
        <v>36279</v>
      </c>
      <c r="G3380">
        <v>-239747</v>
      </c>
      <c r="H3380">
        <v>81685</v>
      </c>
      <c r="I3380">
        <v>85551</v>
      </c>
      <c r="J3380">
        <v>2113</v>
      </c>
      <c r="K3380">
        <v>652633</v>
      </c>
      <c r="L3380">
        <v>273353</v>
      </c>
      <c r="M3380">
        <v>-97144</v>
      </c>
      <c r="N3380">
        <v>158529</v>
      </c>
      <c r="O3380" t="s">
        <v>3398</v>
      </c>
      <c r="P3380" s="9">
        <v>306885</v>
      </c>
      <c r="Q3380" s="9">
        <v>57033</v>
      </c>
      <c r="R3380" s="9">
        <v>363918</v>
      </c>
      <c r="S3380" s="9">
        <v>-203852</v>
      </c>
      <c r="T3380" s="10">
        <v>149033</v>
      </c>
      <c r="U3380" s="10">
        <v>3025</v>
      </c>
    </row>
    <row r="3381" spans="1:21" x14ac:dyDescent="0.35">
      <c r="A3381" t="s">
        <v>15</v>
      </c>
      <c r="B3381" t="s">
        <v>20</v>
      </c>
      <c r="C3381" t="s">
        <v>21</v>
      </c>
      <c r="D3381">
        <v>190047</v>
      </c>
      <c r="E3381">
        <v>11489</v>
      </c>
      <c r="F3381">
        <v>46874</v>
      </c>
      <c r="G3381">
        <v>-179402</v>
      </c>
      <c r="H3381">
        <v>69008</v>
      </c>
      <c r="I3381">
        <v>65799</v>
      </c>
      <c r="J3381">
        <v>716</v>
      </c>
      <c r="K3381">
        <v>483035</v>
      </c>
      <c r="L3381">
        <v>115082</v>
      </c>
      <c r="M3381">
        <v>-98222</v>
      </c>
      <c r="N3381">
        <v>75146</v>
      </c>
      <c r="O3381" t="s">
        <v>3399</v>
      </c>
      <c r="P3381" s="9">
        <v>262842</v>
      </c>
      <c r="Q3381" s="9">
        <v>17250</v>
      </c>
      <c r="R3381" s="9">
        <v>280092</v>
      </c>
      <c r="S3381" s="9">
        <v>-102500</v>
      </c>
      <c r="T3381" s="10">
        <v>100562</v>
      </c>
      <c r="U3381" s="10">
        <v>1894</v>
      </c>
    </row>
    <row r="3382" spans="1:21" x14ac:dyDescent="0.35">
      <c r="A3382" t="s">
        <v>15</v>
      </c>
      <c r="B3382" t="s">
        <v>16</v>
      </c>
      <c r="C3382" t="s">
        <v>17</v>
      </c>
      <c r="D3382">
        <v>179618</v>
      </c>
      <c r="E3382">
        <v>17671</v>
      </c>
      <c r="F3382">
        <v>37075</v>
      </c>
      <c r="G3382">
        <v>-175862</v>
      </c>
      <c r="H3382">
        <v>58502</v>
      </c>
      <c r="I3382">
        <v>59560</v>
      </c>
      <c r="J3382">
        <v>1511</v>
      </c>
      <c r="K3382">
        <v>437399</v>
      </c>
      <c r="L3382">
        <v>140728</v>
      </c>
      <c r="M3382">
        <v>-174091</v>
      </c>
      <c r="N3382">
        <v>87799</v>
      </c>
      <c r="O3382" t="s">
        <v>3400</v>
      </c>
      <c r="P3382" s="9">
        <v>228064</v>
      </c>
      <c r="Q3382" s="9">
        <v>22243</v>
      </c>
      <c r="R3382" s="9">
        <v>250307</v>
      </c>
      <c r="S3382" s="9">
        <v>-78784</v>
      </c>
      <c r="T3382" s="10">
        <v>64137</v>
      </c>
      <c r="U3382" s="10">
        <v>661</v>
      </c>
    </row>
    <row r="3383" spans="1:21" x14ac:dyDescent="0.35">
      <c r="A3383" t="s">
        <v>15</v>
      </c>
      <c r="B3383" t="s">
        <v>16</v>
      </c>
      <c r="C3383" t="s">
        <v>21</v>
      </c>
      <c r="D3383">
        <v>280051</v>
      </c>
      <c r="E3383">
        <v>19321</v>
      </c>
      <c r="F3383">
        <v>33387</v>
      </c>
      <c r="G3383">
        <v>-271427</v>
      </c>
      <c r="H3383">
        <v>61332</v>
      </c>
      <c r="I3383">
        <v>61639</v>
      </c>
      <c r="J3383">
        <v>1232</v>
      </c>
      <c r="K3383">
        <v>832236</v>
      </c>
      <c r="L3383">
        <v>105533</v>
      </c>
      <c r="M3383">
        <v>-250971</v>
      </c>
      <c r="N3383">
        <v>192168</v>
      </c>
      <c r="O3383" t="s">
        <v>3401</v>
      </c>
      <c r="P3383" s="9">
        <v>277287</v>
      </c>
      <c r="Q3383" s="9">
        <v>49482</v>
      </c>
      <c r="R3383" s="9">
        <v>326769</v>
      </c>
      <c r="S3383" s="9">
        <v>-177518</v>
      </c>
      <c r="T3383" s="10">
        <v>105428</v>
      </c>
      <c r="U3383" s="10">
        <v>1308</v>
      </c>
    </row>
    <row r="3384" spans="1:21" x14ac:dyDescent="0.35">
      <c r="A3384" t="s">
        <v>15</v>
      </c>
      <c r="B3384" t="s">
        <v>16</v>
      </c>
      <c r="C3384" t="s">
        <v>17</v>
      </c>
      <c r="D3384">
        <v>155707</v>
      </c>
      <c r="E3384">
        <v>16722</v>
      </c>
      <c r="F3384">
        <v>19894</v>
      </c>
      <c r="G3384">
        <v>-129434</v>
      </c>
      <c r="H3384">
        <v>62889</v>
      </c>
      <c r="I3384">
        <v>59944</v>
      </c>
      <c r="J3384">
        <v>718</v>
      </c>
      <c r="K3384">
        <v>427212</v>
      </c>
      <c r="L3384">
        <v>125282</v>
      </c>
      <c r="M3384">
        <v>-152393</v>
      </c>
      <c r="N3384">
        <v>63217</v>
      </c>
      <c r="O3384" t="s">
        <v>3402</v>
      </c>
      <c r="P3384" s="9">
        <v>282408</v>
      </c>
      <c r="Q3384" s="9">
        <v>17423</v>
      </c>
      <c r="R3384" s="9">
        <v>299831</v>
      </c>
      <c r="S3384" s="9">
        <v>-91533</v>
      </c>
      <c r="T3384" s="10">
        <v>103983</v>
      </c>
      <c r="U3384" s="10">
        <v>1719</v>
      </c>
    </row>
    <row r="3385" spans="1:21" x14ac:dyDescent="0.35">
      <c r="A3385" t="s">
        <v>15</v>
      </c>
      <c r="B3385" t="s">
        <v>20</v>
      </c>
      <c r="C3385" t="s">
        <v>21</v>
      </c>
      <c r="D3385">
        <v>288311</v>
      </c>
      <c r="E3385">
        <v>26272</v>
      </c>
      <c r="F3385">
        <v>37312</v>
      </c>
      <c r="G3385">
        <v>-279596</v>
      </c>
      <c r="H3385">
        <v>72299</v>
      </c>
      <c r="I3385">
        <v>70156</v>
      </c>
      <c r="J3385">
        <v>1579</v>
      </c>
      <c r="K3385">
        <v>855060</v>
      </c>
      <c r="L3385">
        <v>347106</v>
      </c>
      <c r="M3385">
        <v>-334731</v>
      </c>
      <c r="N3385">
        <v>180631</v>
      </c>
      <c r="O3385" t="s">
        <v>3403</v>
      </c>
      <c r="P3385" s="9">
        <v>315702</v>
      </c>
      <c r="Q3385" s="9">
        <v>57435</v>
      </c>
      <c r="R3385" s="9">
        <v>373137</v>
      </c>
      <c r="S3385" s="9">
        <v>-192578</v>
      </c>
      <c r="T3385" s="10">
        <v>140448</v>
      </c>
      <c r="U3385" s="10">
        <v>1490</v>
      </c>
    </row>
    <row r="3386" spans="1:21" x14ac:dyDescent="0.35">
      <c r="A3386" t="s">
        <v>15</v>
      </c>
      <c r="B3386" t="s">
        <v>16</v>
      </c>
      <c r="C3386" t="s">
        <v>17</v>
      </c>
      <c r="D3386">
        <v>234744</v>
      </c>
      <c r="E3386">
        <v>42075</v>
      </c>
      <c r="F3386">
        <v>48231</v>
      </c>
      <c r="G3386">
        <v>-188391</v>
      </c>
      <c r="H3386">
        <v>136659</v>
      </c>
      <c r="I3386">
        <v>131523</v>
      </c>
      <c r="J3386">
        <v>2262</v>
      </c>
      <c r="K3386">
        <v>798103</v>
      </c>
      <c r="L3386">
        <v>313947</v>
      </c>
      <c r="M3386">
        <v>-142772</v>
      </c>
      <c r="N3386">
        <v>167206</v>
      </c>
      <c r="O3386" t="s">
        <v>3404</v>
      </c>
      <c r="P3386" s="9">
        <v>252997</v>
      </c>
      <c r="Q3386" s="9">
        <v>40694</v>
      </c>
      <c r="R3386" s="9">
        <v>293691</v>
      </c>
      <c r="S3386" s="9">
        <v>-73042</v>
      </c>
      <c r="T3386" s="10">
        <v>101102</v>
      </c>
      <c r="U3386" s="10">
        <v>2410</v>
      </c>
    </row>
    <row r="3387" spans="1:21" x14ac:dyDescent="0.35">
      <c r="A3387" t="s">
        <v>15</v>
      </c>
      <c r="B3387" t="s">
        <v>16</v>
      </c>
      <c r="C3387" t="s">
        <v>21</v>
      </c>
      <c r="D3387">
        <v>248091</v>
      </c>
      <c r="E3387">
        <v>27325</v>
      </c>
      <c r="F3387">
        <v>38464</v>
      </c>
      <c r="G3387">
        <v>-199333</v>
      </c>
      <c r="H3387">
        <v>114547</v>
      </c>
      <c r="I3387">
        <v>118405</v>
      </c>
      <c r="J3387">
        <v>1248</v>
      </c>
      <c r="K3387">
        <v>560245</v>
      </c>
      <c r="L3387">
        <v>189451</v>
      </c>
      <c r="M3387">
        <v>-186274</v>
      </c>
      <c r="N3387">
        <v>155883</v>
      </c>
      <c r="O3387" t="s">
        <v>3405</v>
      </c>
      <c r="P3387" s="9">
        <v>238433</v>
      </c>
      <c r="Q3387" s="9">
        <v>18762</v>
      </c>
      <c r="R3387" s="9">
        <v>257195</v>
      </c>
      <c r="S3387" s="9">
        <v>-61620</v>
      </c>
      <c r="T3387" s="10">
        <v>101646</v>
      </c>
      <c r="U3387" s="10">
        <v>2777</v>
      </c>
    </row>
    <row r="3388" spans="1:21" x14ac:dyDescent="0.35">
      <c r="A3388" t="s">
        <v>15</v>
      </c>
      <c r="B3388" t="s">
        <v>16</v>
      </c>
      <c r="C3388" t="s">
        <v>21</v>
      </c>
      <c r="D3388">
        <v>246695</v>
      </c>
      <c r="E3388">
        <v>39718</v>
      </c>
      <c r="F3388">
        <v>37494</v>
      </c>
      <c r="G3388">
        <v>-210551</v>
      </c>
      <c r="H3388">
        <v>113356</v>
      </c>
      <c r="I3388">
        <v>105896</v>
      </c>
      <c r="J3388">
        <v>2602</v>
      </c>
      <c r="K3388">
        <v>903192</v>
      </c>
      <c r="L3388">
        <v>311474</v>
      </c>
      <c r="M3388">
        <v>-321886</v>
      </c>
      <c r="N3388">
        <v>128061</v>
      </c>
      <c r="O3388" t="s">
        <v>3406</v>
      </c>
      <c r="P3388" s="9">
        <v>279401</v>
      </c>
      <c r="Q3388" s="9">
        <v>26737</v>
      </c>
      <c r="R3388" s="9">
        <v>306138</v>
      </c>
      <c r="S3388" s="9">
        <v>-143391</v>
      </c>
      <c r="T3388" s="10">
        <v>121130</v>
      </c>
      <c r="U3388" s="10">
        <v>1508</v>
      </c>
    </row>
    <row r="3389" spans="1:21" x14ac:dyDescent="0.35">
      <c r="A3389" t="s">
        <v>15</v>
      </c>
      <c r="B3389" t="s">
        <v>16</v>
      </c>
      <c r="C3389" t="s">
        <v>21</v>
      </c>
      <c r="D3389">
        <v>210075</v>
      </c>
      <c r="E3389">
        <v>15625</v>
      </c>
      <c r="F3389">
        <v>41396</v>
      </c>
      <c r="G3389">
        <v>-201067</v>
      </c>
      <c r="H3389">
        <v>66029</v>
      </c>
      <c r="I3389">
        <v>63451</v>
      </c>
      <c r="J3389">
        <v>1785</v>
      </c>
      <c r="K3389">
        <v>528417</v>
      </c>
      <c r="L3389">
        <v>155980</v>
      </c>
      <c r="M3389">
        <v>-185406</v>
      </c>
      <c r="N3389">
        <v>130677</v>
      </c>
      <c r="O3389" t="s">
        <v>3407</v>
      </c>
      <c r="P3389" s="9">
        <v>197134</v>
      </c>
      <c r="Q3389" s="9">
        <v>11331</v>
      </c>
      <c r="R3389" s="9">
        <v>208465</v>
      </c>
      <c r="S3389" s="9">
        <v>-43804</v>
      </c>
      <c r="T3389" s="10">
        <v>72610</v>
      </c>
      <c r="U3389" s="10">
        <v>1671</v>
      </c>
    </row>
    <row r="3390" spans="1:21" x14ac:dyDescent="0.35">
      <c r="A3390" t="s">
        <v>15</v>
      </c>
      <c r="B3390" t="s">
        <v>16</v>
      </c>
      <c r="C3390" t="s">
        <v>21</v>
      </c>
      <c r="D3390">
        <v>192251</v>
      </c>
      <c r="E3390">
        <v>31435</v>
      </c>
      <c r="F3390">
        <v>40036</v>
      </c>
      <c r="G3390">
        <v>-161076</v>
      </c>
      <c r="H3390">
        <v>102646</v>
      </c>
      <c r="I3390">
        <v>97058</v>
      </c>
      <c r="J3390">
        <v>1702</v>
      </c>
      <c r="K3390">
        <v>438729</v>
      </c>
      <c r="L3390">
        <v>71481</v>
      </c>
      <c r="M3390">
        <v>-51351</v>
      </c>
      <c r="N3390">
        <v>65550</v>
      </c>
      <c r="O3390" t="s">
        <v>3408</v>
      </c>
      <c r="P3390" s="9">
        <v>245362</v>
      </c>
      <c r="Q3390" s="9">
        <v>41761</v>
      </c>
      <c r="R3390" s="9">
        <v>287123</v>
      </c>
      <c r="S3390" s="9">
        <v>-78996</v>
      </c>
      <c r="T3390" s="10">
        <v>134220</v>
      </c>
      <c r="U3390" s="10">
        <v>2265</v>
      </c>
    </row>
    <row r="3391" spans="1:21" x14ac:dyDescent="0.35">
      <c r="A3391" t="s">
        <v>15</v>
      </c>
      <c r="B3391" t="s">
        <v>20</v>
      </c>
      <c r="C3391" t="s">
        <v>17</v>
      </c>
      <c r="D3391">
        <v>169320</v>
      </c>
      <c r="E3391">
        <v>16087</v>
      </c>
      <c r="F3391">
        <v>23507</v>
      </c>
      <c r="G3391">
        <v>-136830</v>
      </c>
      <c r="H3391">
        <v>72084</v>
      </c>
      <c r="I3391">
        <v>74683</v>
      </c>
      <c r="J3391">
        <v>1964</v>
      </c>
      <c r="K3391">
        <v>445008</v>
      </c>
      <c r="L3391">
        <v>120710</v>
      </c>
      <c r="M3391">
        <v>-65201</v>
      </c>
      <c r="N3391">
        <v>77806</v>
      </c>
      <c r="O3391" t="s">
        <v>3409</v>
      </c>
      <c r="P3391" s="9">
        <v>205958</v>
      </c>
      <c r="Q3391" s="9">
        <v>36936</v>
      </c>
      <c r="R3391" s="9">
        <v>242894</v>
      </c>
      <c r="S3391" s="9">
        <v>-95622</v>
      </c>
      <c r="T3391" s="10">
        <v>92409</v>
      </c>
      <c r="U3391" s="10">
        <v>1956</v>
      </c>
    </row>
    <row r="3392" spans="1:21" x14ac:dyDescent="0.35">
      <c r="A3392" t="s">
        <v>15</v>
      </c>
      <c r="B3392" t="s">
        <v>20</v>
      </c>
      <c r="C3392" t="s">
        <v>21</v>
      </c>
      <c r="D3392">
        <v>230731</v>
      </c>
      <c r="E3392">
        <v>28456</v>
      </c>
      <c r="F3392">
        <v>33732</v>
      </c>
      <c r="G3392">
        <v>-224465</v>
      </c>
      <c r="H3392">
        <v>68454</v>
      </c>
      <c r="I3392">
        <v>65154</v>
      </c>
      <c r="J3392">
        <v>900</v>
      </c>
      <c r="K3392">
        <v>721579</v>
      </c>
      <c r="L3392">
        <v>168500</v>
      </c>
      <c r="M3392">
        <v>-107363</v>
      </c>
      <c r="N3392">
        <v>114549</v>
      </c>
      <c r="O3392" t="s">
        <v>3410</v>
      </c>
      <c r="P3392" s="9">
        <v>245577</v>
      </c>
      <c r="Q3392" s="9">
        <v>18081</v>
      </c>
      <c r="R3392" s="9">
        <v>263658</v>
      </c>
      <c r="S3392" s="9">
        <v>-140158</v>
      </c>
      <c r="T3392" s="10">
        <v>79736</v>
      </c>
      <c r="U3392" s="10">
        <v>1745</v>
      </c>
    </row>
    <row r="3393" spans="1:21" x14ac:dyDescent="0.35">
      <c r="A3393" t="s">
        <v>15</v>
      </c>
      <c r="B3393" t="s">
        <v>16</v>
      </c>
      <c r="C3393" t="s">
        <v>21</v>
      </c>
      <c r="D3393">
        <v>242898</v>
      </c>
      <c r="E3393">
        <v>23808</v>
      </c>
      <c r="F3393">
        <v>38926</v>
      </c>
      <c r="G3393">
        <v>-207904</v>
      </c>
      <c r="H3393">
        <v>97728</v>
      </c>
      <c r="I3393">
        <v>97719</v>
      </c>
      <c r="J3393">
        <v>2476</v>
      </c>
      <c r="K3393">
        <v>573925</v>
      </c>
      <c r="L3393">
        <v>244201</v>
      </c>
      <c r="M3393">
        <v>-202417</v>
      </c>
      <c r="N3393">
        <v>109541</v>
      </c>
      <c r="O3393" t="s">
        <v>3411</v>
      </c>
      <c r="P3393" s="9">
        <v>314890</v>
      </c>
      <c r="Q3393" s="9">
        <v>44772</v>
      </c>
      <c r="R3393" s="9">
        <v>359662</v>
      </c>
      <c r="S3393" s="9">
        <v>-77648</v>
      </c>
      <c r="T3393" s="10">
        <v>127000</v>
      </c>
      <c r="U3393" s="10">
        <v>2214</v>
      </c>
    </row>
    <row r="3394" spans="1:21" x14ac:dyDescent="0.35">
      <c r="A3394" t="s">
        <v>15</v>
      </c>
      <c r="B3394" t="s">
        <v>20</v>
      </c>
      <c r="C3394" t="s">
        <v>21</v>
      </c>
      <c r="D3394">
        <v>255278</v>
      </c>
      <c r="E3394">
        <v>46862</v>
      </c>
      <c r="F3394">
        <v>62565</v>
      </c>
      <c r="G3394">
        <v>-228109</v>
      </c>
      <c r="H3394">
        <v>136596</v>
      </c>
      <c r="I3394">
        <v>142883</v>
      </c>
      <c r="J3394">
        <v>2583</v>
      </c>
      <c r="K3394">
        <v>996400</v>
      </c>
      <c r="L3394">
        <v>150159</v>
      </c>
      <c r="M3394">
        <v>-325117</v>
      </c>
      <c r="N3394">
        <v>97814</v>
      </c>
      <c r="O3394" t="s">
        <v>3412</v>
      </c>
      <c r="P3394" s="9">
        <v>228400</v>
      </c>
      <c r="Q3394" s="9">
        <v>43939</v>
      </c>
      <c r="R3394" s="9">
        <v>272339</v>
      </c>
      <c r="S3394" s="9">
        <v>-132147</v>
      </c>
      <c r="T3394" s="10">
        <v>87920</v>
      </c>
      <c r="U3394" s="10">
        <v>1978</v>
      </c>
    </row>
    <row r="3395" spans="1:21" x14ac:dyDescent="0.35">
      <c r="A3395" t="s">
        <v>15</v>
      </c>
      <c r="B3395" t="s">
        <v>16</v>
      </c>
      <c r="C3395" t="s">
        <v>21</v>
      </c>
      <c r="D3395">
        <v>154628</v>
      </c>
      <c r="E3395">
        <v>24940</v>
      </c>
      <c r="F3395">
        <v>29999</v>
      </c>
      <c r="G3395">
        <v>-127049</v>
      </c>
      <c r="H3395">
        <v>82518</v>
      </c>
      <c r="I3395">
        <v>78533</v>
      </c>
      <c r="J3395">
        <v>846</v>
      </c>
      <c r="K3395">
        <v>412585</v>
      </c>
      <c r="L3395">
        <v>147965</v>
      </c>
      <c r="M3395">
        <v>-99783</v>
      </c>
      <c r="N3395">
        <v>102983</v>
      </c>
      <c r="O3395" t="s">
        <v>3413</v>
      </c>
      <c r="P3395" s="9">
        <v>185220</v>
      </c>
      <c r="Q3395" s="9">
        <v>12003</v>
      </c>
      <c r="R3395" s="9">
        <v>197223</v>
      </c>
      <c r="S3395" s="9">
        <v>-74513</v>
      </c>
      <c r="T3395" s="10">
        <v>75233</v>
      </c>
      <c r="U3395" s="10">
        <v>858</v>
      </c>
    </row>
    <row r="3396" spans="1:21" x14ac:dyDescent="0.35">
      <c r="A3396" t="s">
        <v>15</v>
      </c>
      <c r="B3396" t="s">
        <v>20</v>
      </c>
      <c r="C3396" t="s">
        <v>21</v>
      </c>
      <c r="D3396">
        <v>191655</v>
      </c>
      <c r="E3396">
        <v>13079</v>
      </c>
      <c r="F3396">
        <v>31083</v>
      </c>
      <c r="G3396">
        <v>-161600</v>
      </c>
      <c r="H3396">
        <v>74217</v>
      </c>
      <c r="I3396">
        <v>69558</v>
      </c>
      <c r="J3396">
        <v>821</v>
      </c>
      <c r="K3396">
        <v>489251</v>
      </c>
      <c r="L3396">
        <v>145254</v>
      </c>
      <c r="M3396">
        <v>-190695</v>
      </c>
      <c r="N3396">
        <v>98486</v>
      </c>
      <c r="O3396" t="s">
        <v>3414</v>
      </c>
      <c r="P3396" s="9">
        <v>319154</v>
      </c>
      <c r="Q3396" s="9">
        <v>28320</v>
      </c>
      <c r="R3396" s="9">
        <v>347474</v>
      </c>
      <c r="S3396" s="9">
        <v>-138375</v>
      </c>
      <c r="T3396" s="10">
        <v>99342</v>
      </c>
      <c r="U3396" s="10">
        <v>1591</v>
      </c>
    </row>
    <row r="3397" spans="1:21" x14ac:dyDescent="0.35">
      <c r="A3397" t="s">
        <v>15</v>
      </c>
      <c r="B3397" t="s">
        <v>20</v>
      </c>
      <c r="C3397" t="s">
        <v>21</v>
      </c>
      <c r="D3397">
        <v>199098</v>
      </c>
      <c r="E3397">
        <v>34869</v>
      </c>
      <c r="F3397">
        <v>31769</v>
      </c>
      <c r="G3397">
        <v>-181618</v>
      </c>
      <c r="H3397">
        <v>84118</v>
      </c>
      <c r="I3397">
        <v>75777</v>
      </c>
      <c r="J3397">
        <v>1843</v>
      </c>
      <c r="K3397">
        <v>764791</v>
      </c>
      <c r="L3397">
        <v>241484</v>
      </c>
      <c r="M3397">
        <v>-232469</v>
      </c>
      <c r="N3397">
        <v>174178</v>
      </c>
      <c r="O3397" t="s">
        <v>3415</v>
      </c>
      <c r="P3397" s="9">
        <v>224683</v>
      </c>
      <c r="Q3397" s="9">
        <v>37785</v>
      </c>
      <c r="R3397" s="9">
        <v>262468</v>
      </c>
      <c r="S3397" s="9">
        <v>-97807</v>
      </c>
      <c r="T3397" s="10">
        <v>104280</v>
      </c>
      <c r="U3397" s="10">
        <v>2579</v>
      </c>
    </row>
    <row r="3398" spans="1:21" x14ac:dyDescent="0.35">
      <c r="A3398" t="s">
        <v>15</v>
      </c>
      <c r="B3398" t="s">
        <v>16</v>
      </c>
      <c r="C3398" t="s">
        <v>21</v>
      </c>
      <c r="D3398">
        <v>224116</v>
      </c>
      <c r="E3398">
        <v>27869</v>
      </c>
      <c r="F3398">
        <v>45283</v>
      </c>
      <c r="G3398">
        <v>-189922</v>
      </c>
      <c r="H3398">
        <v>107346</v>
      </c>
      <c r="I3398">
        <v>97941</v>
      </c>
      <c r="J3398">
        <v>2730</v>
      </c>
      <c r="K3398">
        <v>829686</v>
      </c>
      <c r="L3398">
        <v>280657</v>
      </c>
      <c r="M3398">
        <v>-113189</v>
      </c>
      <c r="N3398">
        <v>68704</v>
      </c>
      <c r="O3398" t="s">
        <v>3416</v>
      </c>
      <c r="P3398" s="9">
        <v>218912</v>
      </c>
      <c r="Q3398" s="9">
        <v>35846</v>
      </c>
      <c r="R3398" s="9">
        <v>254758</v>
      </c>
      <c r="S3398" s="9">
        <v>-122999</v>
      </c>
      <c r="T3398" s="10">
        <v>103458</v>
      </c>
      <c r="U3398" s="10">
        <v>2666</v>
      </c>
    </row>
    <row r="3399" spans="1:21" x14ac:dyDescent="0.35">
      <c r="A3399" t="s">
        <v>15</v>
      </c>
      <c r="B3399" t="s">
        <v>16</v>
      </c>
      <c r="C3399" t="s">
        <v>21</v>
      </c>
      <c r="D3399">
        <v>230200</v>
      </c>
      <c r="E3399">
        <v>29004</v>
      </c>
      <c r="F3399">
        <v>47427</v>
      </c>
      <c r="G3399">
        <v>-228320</v>
      </c>
      <c r="H3399">
        <v>78311</v>
      </c>
      <c r="I3399">
        <v>72768</v>
      </c>
      <c r="J3399">
        <v>1491</v>
      </c>
      <c r="K3399">
        <v>782371</v>
      </c>
      <c r="L3399">
        <v>362076</v>
      </c>
      <c r="M3399">
        <v>-216062</v>
      </c>
      <c r="N3399">
        <v>178615</v>
      </c>
      <c r="O3399" t="s">
        <v>3417</v>
      </c>
      <c r="P3399" s="9">
        <v>162080</v>
      </c>
      <c r="Q3399" s="9">
        <v>8148</v>
      </c>
      <c r="R3399" s="9">
        <v>170228</v>
      </c>
      <c r="S3399" s="9">
        <v>-90086</v>
      </c>
      <c r="T3399" s="10">
        <v>57472</v>
      </c>
      <c r="U3399" s="10">
        <v>1653</v>
      </c>
    </row>
    <row r="3400" spans="1:21" x14ac:dyDescent="0.35">
      <c r="A3400" t="s">
        <v>15</v>
      </c>
      <c r="B3400" t="s">
        <v>20</v>
      </c>
      <c r="C3400" t="s">
        <v>17</v>
      </c>
      <c r="D3400">
        <v>236962</v>
      </c>
      <c r="E3400">
        <v>12954</v>
      </c>
      <c r="F3400">
        <v>35810</v>
      </c>
      <c r="G3400">
        <v>-202425</v>
      </c>
      <c r="H3400">
        <v>83301</v>
      </c>
      <c r="I3400">
        <v>78209</v>
      </c>
      <c r="J3400">
        <v>936</v>
      </c>
      <c r="K3400">
        <v>567081</v>
      </c>
      <c r="L3400">
        <v>79541</v>
      </c>
      <c r="M3400">
        <v>-155294</v>
      </c>
      <c r="N3400">
        <v>112638</v>
      </c>
      <c r="O3400" t="s">
        <v>3418</v>
      </c>
      <c r="P3400" s="9">
        <v>189337</v>
      </c>
      <c r="Q3400" s="9">
        <v>31112</v>
      </c>
      <c r="R3400" s="9">
        <v>220449</v>
      </c>
      <c r="S3400" s="9">
        <v>-56324</v>
      </c>
      <c r="T3400" s="10">
        <v>91496</v>
      </c>
      <c r="U3400" s="10">
        <v>924</v>
      </c>
    </row>
    <row r="3401" spans="1:21" x14ac:dyDescent="0.35">
      <c r="A3401" t="s">
        <v>15</v>
      </c>
      <c r="B3401" t="s">
        <v>16</v>
      </c>
      <c r="C3401" t="s">
        <v>17</v>
      </c>
      <c r="D3401">
        <v>269143</v>
      </c>
      <c r="E3401">
        <v>48321</v>
      </c>
      <c r="F3401">
        <v>38064</v>
      </c>
      <c r="G3401">
        <v>-226272</v>
      </c>
      <c r="H3401">
        <v>129256</v>
      </c>
      <c r="I3401">
        <v>127319</v>
      </c>
      <c r="J3401">
        <v>3277</v>
      </c>
      <c r="K3401">
        <v>1039622</v>
      </c>
      <c r="L3401">
        <v>350812</v>
      </c>
      <c r="M3401">
        <v>-348689</v>
      </c>
      <c r="N3401">
        <v>177047</v>
      </c>
      <c r="O3401" t="s">
        <v>3419</v>
      </c>
      <c r="P3401" s="9">
        <v>273877</v>
      </c>
      <c r="Q3401" s="9">
        <v>14201</v>
      </c>
      <c r="R3401" s="9">
        <v>288078</v>
      </c>
      <c r="S3401" s="9">
        <v>-87834</v>
      </c>
      <c r="T3401" s="10">
        <v>71101</v>
      </c>
      <c r="U3401" s="10">
        <v>1043</v>
      </c>
    </row>
    <row r="3402" spans="1:21" x14ac:dyDescent="0.35">
      <c r="A3402" t="s">
        <v>15</v>
      </c>
      <c r="B3402" t="s">
        <v>16</v>
      </c>
      <c r="C3402" t="s">
        <v>21</v>
      </c>
      <c r="D3402">
        <v>170925</v>
      </c>
      <c r="E3402">
        <v>19960</v>
      </c>
      <c r="F3402">
        <v>30612</v>
      </c>
      <c r="G3402">
        <v>-146163</v>
      </c>
      <c r="H3402">
        <v>75334</v>
      </c>
      <c r="I3402">
        <v>76283</v>
      </c>
      <c r="J3402">
        <v>1331</v>
      </c>
      <c r="K3402">
        <v>529227</v>
      </c>
      <c r="L3402">
        <v>118310</v>
      </c>
      <c r="M3402">
        <v>-186281</v>
      </c>
      <c r="N3402">
        <v>80508</v>
      </c>
      <c r="O3402" t="s">
        <v>3420</v>
      </c>
      <c r="P3402" s="9">
        <v>186795</v>
      </c>
      <c r="Q3402" s="9">
        <v>35031</v>
      </c>
      <c r="R3402" s="9">
        <v>221826</v>
      </c>
      <c r="S3402" s="9">
        <v>-90063</v>
      </c>
      <c r="T3402" s="10">
        <v>102774</v>
      </c>
      <c r="U3402" s="10">
        <v>1141</v>
      </c>
    </row>
    <row r="3403" spans="1:21" x14ac:dyDescent="0.35">
      <c r="A3403" t="s">
        <v>15</v>
      </c>
      <c r="B3403" t="s">
        <v>20</v>
      </c>
      <c r="C3403" t="s">
        <v>21</v>
      </c>
      <c r="D3403">
        <v>271477</v>
      </c>
      <c r="E3403">
        <v>34346</v>
      </c>
      <c r="F3403">
        <v>50478</v>
      </c>
      <c r="G3403">
        <v>-253730</v>
      </c>
      <c r="H3403">
        <v>102571</v>
      </c>
      <c r="I3403">
        <v>101857</v>
      </c>
      <c r="J3403">
        <v>1411</v>
      </c>
      <c r="K3403">
        <v>824058</v>
      </c>
      <c r="L3403">
        <v>97122</v>
      </c>
      <c r="M3403">
        <v>-325730</v>
      </c>
      <c r="N3403">
        <v>215222</v>
      </c>
      <c r="O3403" t="s">
        <v>3421</v>
      </c>
      <c r="P3403" s="9">
        <v>153163</v>
      </c>
      <c r="Q3403" s="9">
        <v>20381</v>
      </c>
      <c r="R3403" s="9">
        <v>173544</v>
      </c>
      <c r="S3403" s="9">
        <v>-48092</v>
      </c>
      <c r="T3403" s="10">
        <v>60950</v>
      </c>
      <c r="U3403" s="10">
        <v>703</v>
      </c>
    </row>
    <row r="3404" spans="1:21" x14ac:dyDescent="0.35">
      <c r="A3404" t="s">
        <v>15</v>
      </c>
      <c r="B3404" t="s">
        <v>16</v>
      </c>
      <c r="C3404" t="s">
        <v>17</v>
      </c>
      <c r="D3404">
        <v>219393</v>
      </c>
      <c r="E3404">
        <v>34076</v>
      </c>
      <c r="F3404">
        <v>53188</v>
      </c>
      <c r="G3404">
        <v>-216705</v>
      </c>
      <c r="H3404">
        <v>89952</v>
      </c>
      <c r="I3404">
        <v>87362</v>
      </c>
      <c r="J3404">
        <v>1270</v>
      </c>
      <c r="K3404">
        <v>519431</v>
      </c>
      <c r="L3404">
        <v>208279</v>
      </c>
      <c r="M3404">
        <v>-105719</v>
      </c>
      <c r="N3404">
        <v>72250</v>
      </c>
      <c r="O3404" t="s">
        <v>3422</v>
      </c>
      <c r="P3404" s="9">
        <v>233024</v>
      </c>
      <c r="Q3404" s="9">
        <v>16228</v>
      </c>
      <c r="R3404" s="9">
        <v>249252</v>
      </c>
      <c r="S3404" s="9">
        <v>-109597</v>
      </c>
      <c r="T3404" s="10">
        <v>93363</v>
      </c>
      <c r="U3404" s="10">
        <v>1654</v>
      </c>
    </row>
    <row r="3405" spans="1:21" x14ac:dyDescent="0.35">
      <c r="A3405" t="s">
        <v>15</v>
      </c>
      <c r="B3405" t="s">
        <v>20</v>
      </c>
      <c r="C3405" t="s">
        <v>21</v>
      </c>
      <c r="D3405">
        <v>278344</v>
      </c>
      <c r="E3405">
        <v>54223</v>
      </c>
      <c r="F3405">
        <v>46079</v>
      </c>
      <c r="G3405">
        <v>-230299</v>
      </c>
      <c r="H3405">
        <v>148347</v>
      </c>
      <c r="I3405">
        <v>153416</v>
      </c>
      <c r="J3405">
        <v>1577</v>
      </c>
      <c r="K3405">
        <v>816936</v>
      </c>
      <c r="L3405">
        <v>180219</v>
      </c>
      <c r="M3405">
        <v>-321143</v>
      </c>
      <c r="N3405">
        <v>177766</v>
      </c>
      <c r="O3405" t="s">
        <v>3423</v>
      </c>
      <c r="P3405" s="9">
        <v>155534</v>
      </c>
      <c r="Q3405" s="9">
        <v>22245</v>
      </c>
      <c r="R3405" s="9">
        <v>177779</v>
      </c>
      <c r="S3405" s="9">
        <v>-73545</v>
      </c>
      <c r="T3405" s="10">
        <v>64102</v>
      </c>
      <c r="U3405" s="10">
        <v>1733</v>
      </c>
    </row>
    <row r="3406" spans="1:21" x14ac:dyDescent="0.35">
      <c r="A3406" t="s">
        <v>15</v>
      </c>
      <c r="B3406" t="s">
        <v>16</v>
      </c>
      <c r="C3406" t="s">
        <v>21</v>
      </c>
      <c r="D3406">
        <v>176491</v>
      </c>
      <c r="E3406">
        <v>29364</v>
      </c>
      <c r="F3406">
        <v>22839</v>
      </c>
      <c r="G3406">
        <v>-171747</v>
      </c>
      <c r="H3406">
        <v>56947</v>
      </c>
      <c r="I3406">
        <v>52288</v>
      </c>
      <c r="J3406">
        <v>1214</v>
      </c>
      <c r="K3406">
        <v>504039</v>
      </c>
      <c r="L3406">
        <v>178031</v>
      </c>
      <c r="M3406">
        <v>-192137</v>
      </c>
      <c r="N3406">
        <v>93415</v>
      </c>
      <c r="O3406" t="s">
        <v>3424</v>
      </c>
      <c r="P3406" s="9">
        <v>204440</v>
      </c>
      <c r="Q3406" s="9">
        <v>28862</v>
      </c>
      <c r="R3406" s="9">
        <v>233302</v>
      </c>
      <c r="S3406" s="9">
        <v>-79625</v>
      </c>
      <c r="T3406" s="10">
        <v>93154</v>
      </c>
      <c r="U3406" s="10">
        <v>2216</v>
      </c>
    </row>
    <row r="3407" spans="1:21" x14ac:dyDescent="0.35">
      <c r="A3407" t="s">
        <v>15</v>
      </c>
      <c r="B3407" t="s">
        <v>20</v>
      </c>
      <c r="C3407" t="s">
        <v>21</v>
      </c>
      <c r="D3407">
        <v>156641</v>
      </c>
      <c r="E3407">
        <v>16575</v>
      </c>
      <c r="F3407">
        <v>19620</v>
      </c>
      <c r="G3407">
        <v>-135703</v>
      </c>
      <c r="H3407">
        <v>57133</v>
      </c>
      <c r="I3407">
        <v>53678</v>
      </c>
      <c r="J3407">
        <v>1301</v>
      </c>
      <c r="K3407">
        <v>449159</v>
      </c>
      <c r="L3407">
        <v>153080</v>
      </c>
      <c r="M3407">
        <v>-143072</v>
      </c>
      <c r="N3407">
        <v>111527</v>
      </c>
      <c r="O3407" t="s">
        <v>3425</v>
      </c>
      <c r="P3407" s="9">
        <v>213472</v>
      </c>
      <c r="Q3407" s="9">
        <v>20827</v>
      </c>
      <c r="R3407" s="9">
        <v>234299</v>
      </c>
      <c r="S3407" s="9">
        <v>-53341</v>
      </c>
      <c r="T3407" s="10">
        <v>73981</v>
      </c>
      <c r="U3407" s="10">
        <v>782</v>
      </c>
    </row>
    <row r="3408" spans="1:21" x14ac:dyDescent="0.35">
      <c r="A3408" t="s">
        <v>15</v>
      </c>
      <c r="B3408" t="s">
        <v>16</v>
      </c>
      <c r="C3408" t="s">
        <v>21</v>
      </c>
      <c r="D3408">
        <v>178906</v>
      </c>
      <c r="E3408">
        <v>22839</v>
      </c>
      <c r="F3408">
        <v>33910</v>
      </c>
      <c r="G3408">
        <v>-164740</v>
      </c>
      <c r="H3408">
        <v>70915</v>
      </c>
      <c r="I3408">
        <v>69847</v>
      </c>
      <c r="J3408">
        <v>1347</v>
      </c>
      <c r="K3408">
        <v>585388</v>
      </c>
      <c r="L3408">
        <v>233982</v>
      </c>
      <c r="M3408">
        <v>-163589</v>
      </c>
      <c r="N3408">
        <v>137037</v>
      </c>
      <c r="O3408" t="s">
        <v>3426</v>
      </c>
      <c r="P3408" s="9">
        <v>259539</v>
      </c>
      <c r="Q3408" s="9">
        <v>26594</v>
      </c>
      <c r="R3408" s="9">
        <v>286133</v>
      </c>
      <c r="S3408" s="9">
        <v>-100952</v>
      </c>
      <c r="T3408" s="10">
        <v>87100</v>
      </c>
      <c r="U3408" s="10">
        <v>1308</v>
      </c>
    </row>
    <row r="3409" spans="1:21" x14ac:dyDescent="0.35">
      <c r="A3409" t="s">
        <v>15</v>
      </c>
      <c r="B3409" t="s">
        <v>16</v>
      </c>
      <c r="C3409" t="s">
        <v>21</v>
      </c>
      <c r="D3409">
        <v>282258</v>
      </c>
      <c r="E3409">
        <v>40753</v>
      </c>
      <c r="F3409">
        <v>46618</v>
      </c>
      <c r="G3409">
        <v>-261172</v>
      </c>
      <c r="H3409">
        <v>108457</v>
      </c>
      <c r="I3409">
        <v>104965</v>
      </c>
      <c r="J3409">
        <v>1853</v>
      </c>
      <c r="K3409">
        <v>608455</v>
      </c>
      <c r="L3409">
        <v>105306</v>
      </c>
      <c r="M3409">
        <v>-107764</v>
      </c>
      <c r="N3409">
        <v>191291</v>
      </c>
      <c r="O3409" t="s">
        <v>3427</v>
      </c>
      <c r="P3409" s="9">
        <v>226546</v>
      </c>
      <c r="Q3409" s="9">
        <v>27977</v>
      </c>
      <c r="R3409" s="9">
        <v>254523</v>
      </c>
      <c r="S3409" s="9">
        <v>-138013</v>
      </c>
      <c r="T3409" s="10">
        <v>69613</v>
      </c>
      <c r="U3409" s="10">
        <v>749</v>
      </c>
    </row>
    <row r="3410" spans="1:21" x14ac:dyDescent="0.35">
      <c r="A3410" t="s">
        <v>15</v>
      </c>
      <c r="B3410" t="s">
        <v>20</v>
      </c>
      <c r="C3410" t="s">
        <v>21</v>
      </c>
      <c r="D3410">
        <v>264859</v>
      </c>
      <c r="E3410">
        <v>52599</v>
      </c>
      <c r="F3410">
        <v>54883</v>
      </c>
      <c r="G3410">
        <v>-221333</v>
      </c>
      <c r="H3410">
        <v>151008</v>
      </c>
      <c r="I3410">
        <v>146119</v>
      </c>
      <c r="J3410">
        <v>1517</v>
      </c>
      <c r="K3410">
        <v>1014555</v>
      </c>
      <c r="L3410">
        <v>330096</v>
      </c>
      <c r="M3410">
        <v>-243885</v>
      </c>
      <c r="N3410">
        <v>126541</v>
      </c>
      <c r="O3410" t="s">
        <v>3428</v>
      </c>
      <c r="P3410" s="9">
        <v>230466</v>
      </c>
      <c r="Q3410" s="9">
        <v>41697</v>
      </c>
      <c r="R3410" s="9">
        <v>272163</v>
      </c>
      <c r="S3410" s="9">
        <v>-71067</v>
      </c>
      <c r="T3410" s="10">
        <v>115002</v>
      </c>
      <c r="U3410" s="10">
        <v>2105</v>
      </c>
    </row>
    <row r="3411" spans="1:21" x14ac:dyDescent="0.35">
      <c r="A3411" t="s">
        <v>15</v>
      </c>
      <c r="B3411" t="s">
        <v>16</v>
      </c>
      <c r="C3411" t="s">
        <v>21</v>
      </c>
      <c r="D3411">
        <v>297792</v>
      </c>
      <c r="E3411">
        <v>33600</v>
      </c>
      <c r="F3411">
        <v>30280</v>
      </c>
      <c r="G3411">
        <v>-259418</v>
      </c>
      <c r="H3411">
        <v>102254</v>
      </c>
      <c r="I3411">
        <v>103388</v>
      </c>
      <c r="J3411">
        <v>1118</v>
      </c>
      <c r="K3411">
        <v>717278</v>
      </c>
      <c r="L3411">
        <v>90357</v>
      </c>
      <c r="M3411">
        <v>-176387</v>
      </c>
      <c r="N3411">
        <v>247532</v>
      </c>
      <c r="O3411" t="s">
        <v>3429</v>
      </c>
      <c r="P3411" s="9">
        <v>192605</v>
      </c>
      <c r="Q3411" s="9">
        <v>32084</v>
      </c>
      <c r="R3411" s="9">
        <v>224689</v>
      </c>
      <c r="S3411" s="9">
        <v>-55389</v>
      </c>
      <c r="T3411" s="10">
        <v>113706</v>
      </c>
      <c r="U3411" s="10">
        <v>2250</v>
      </c>
    </row>
    <row r="3412" spans="1:21" x14ac:dyDescent="0.35">
      <c r="A3412" t="s">
        <v>15</v>
      </c>
      <c r="B3412" t="s">
        <v>16</v>
      </c>
      <c r="C3412" t="s">
        <v>17</v>
      </c>
      <c r="D3412">
        <v>294876</v>
      </c>
      <c r="E3412">
        <v>26699</v>
      </c>
      <c r="F3412">
        <v>48093</v>
      </c>
      <c r="G3412">
        <v>-284134</v>
      </c>
      <c r="H3412">
        <v>85534</v>
      </c>
      <c r="I3412">
        <v>88830</v>
      </c>
      <c r="J3412">
        <v>2470</v>
      </c>
      <c r="K3412">
        <v>1074924</v>
      </c>
      <c r="L3412">
        <v>264558</v>
      </c>
      <c r="M3412">
        <v>-325258</v>
      </c>
      <c r="N3412">
        <v>241413</v>
      </c>
      <c r="O3412" t="s">
        <v>3430</v>
      </c>
      <c r="P3412" s="9">
        <v>200969</v>
      </c>
      <c r="Q3412" s="9">
        <v>17086</v>
      </c>
      <c r="R3412" s="9">
        <v>218055</v>
      </c>
      <c r="S3412" s="9">
        <v>-50083</v>
      </c>
      <c r="T3412" s="10">
        <v>39883</v>
      </c>
      <c r="U3412" s="10">
        <v>972</v>
      </c>
    </row>
    <row r="3413" spans="1:21" x14ac:dyDescent="0.35">
      <c r="A3413" t="s">
        <v>15</v>
      </c>
      <c r="B3413" t="s">
        <v>20</v>
      </c>
      <c r="C3413" t="s">
        <v>21</v>
      </c>
      <c r="D3413">
        <v>288217</v>
      </c>
      <c r="E3413">
        <v>26279</v>
      </c>
      <c r="F3413">
        <v>62478</v>
      </c>
      <c r="G3413">
        <v>-276675</v>
      </c>
      <c r="H3413">
        <v>100299</v>
      </c>
      <c r="I3413">
        <v>92047</v>
      </c>
      <c r="J3413">
        <v>926</v>
      </c>
      <c r="K3413">
        <v>948814</v>
      </c>
      <c r="L3413">
        <v>356912</v>
      </c>
      <c r="M3413">
        <v>-99317</v>
      </c>
      <c r="N3413">
        <v>99693</v>
      </c>
      <c r="O3413" t="s">
        <v>3431</v>
      </c>
      <c r="P3413" s="9">
        <v>204099</v>
      </c>
      <c r="Q3413" s="9">
        <v>28782</v>
      </c>
      <c r="R3413" s="9">
        <v>232881</v>
      </c>
      <c r="S3413" s="9">
        <v>-132436</v>
      </c>
      <c r="T3413" s="10">
        <v>82752</v>
      </c>
      <c r="U3413" s="10">
        <v>905</v>
      </c>
    </row>
    <row r="3414" spans="1:21" x14ac:dyDescent="0.35">
      <c r="A3414" t="s">
        <v>15</v>
      </c>
      <c r="B3414" t="s">
        <v>16</v>
      </c>
      <c r="C3414" t="s">
        <v>21</v>
      </c>
      <c r="D3414">
        <v>157570</v>
      </c>
      <c r="E3414">
        <v>27427</v>
      </c>
      <c r="F3414">
        <v>30680</v>
      </c>
      <c r="G3414">
        <v>-153525</v>
      </c>
      <c r="H3414">
        <v>62152</v>
      </c>
      <c r="I3414">
        <v>65076</v>
      </c>
      <c r="J3414">
        <v>1480</v>
      </c>
      <c r="K3414">
        <v>376940</v>
      </c>
      <c r="L3414">
        <v>65267</v>
      </c>
      <c r="M3414">
        <v>-126977</v>
      </c>
      <c r="N3414">
        <v>116782</v>
      </c>
      <c r="O3414" t="s">
        <v>3432</v>
      </c>
      <c r="P3414" s="9">
        <v>243568</v>
      </c>
      <c r="Q3414" s="9">
        <v>33303</v>
      </c>
      <c r="R3414" s="9">
        <v>276871</v>
      </c>
      <c r="S3414" s="9">
        <v>-156775</v>
      </c>
      <c r="T3414" s="10">
        <v>79734</v>
      </c>
      <c r="U3414" s="10">
        <v>1084</v>
      </c>
    </row>
    <row r="3415" spans="1:21" x14ac:dyDescent="0.35">
      <c r="A3415" t="s">
        <v>15</v>
      </c>
      <c r="B3415" t="s">
        <v>16</v>
      </c>
      <c r="C3415" t="s">
        <v>21</v>
      </c>
      <c r="D3415">
        <v>210707</v>
      </c>
      <c r="E3415">
        <v>24803</v>
      </c>
      <c r="F3415">
        <v>47147</v>
      </c>
      <c r="G3415">
        <v>-181111</v>
      </c>
      <c r="H3415">
        <v>101546</v>
      </c>
      <c r="I3415">
        <v>98548</v>
      </c>
      <c r="J3415">
        <v>1924</v>
      </c>
      <c r="K3415">
        <v>544974</v>
      </c>
      <c r="L3415">
        <v>76807</v>
      </c>
      <c r="M3415">
        <v>-160854</v>
      </c>
      <c r="N3415">
        <v>91147</v>
      </c>
      <c r="O3415" t="s">
        <v>3433</v>
      </c>
      <c r="P3415" s="9">
        <v>196889</v>
      </c>
      <c r="Q3415" s="9">
        <v>12728</v>
      </c>
      <c r="R3415" s="9">
        <v>209617</v>
      </c>
      <c r="S3415" s="9">
        <v>-76437</v>
      </c>
      <c r="T3415" s="10">
        <v>61809</v>
      </c>
      <c r="U3415" s="10">
        <v>1016</v>
      </c>
    </row>
    <row r="3416" spans="1:21" x14ac:dyDescent="0.35">
      <c r="A3416" t="s">
        <v>15</v>
      </c>
      <c r="B3416" t="s">
        <v>16</v>
      </c>
      <c r="C3416" t="s">
        <v>17</v>
      </c>
      <c r="D3416">
        <v>221692</v>
      </c>
      <c r="E3416">
        <v>31971</v>
      </c>
      <c r="F3416">
        <v>53462</v>
      </c>
      <c r="G3416">
        <v>-217034</v>
      </c>
      <c r="H3416">
        <v>90091</v>
      </c>
      <c r="I3416">
        <v>93109</v>
      </c>
      <c r="J3416">
        <v>2077</v>
      </c>
      <c r="K3416">
        <v>580010</v>
      </c>
      <c r="L3416">
        <v>154479</v>
      </c>
      <c r="M3416">
        <v>-133510</v>
      </c>
      <c r="N3416">
        <v>115667</v>
      </c>
      <c r="O3416" t="s">
        <v>3434</v>
      </c>
      <c r="P3416" s="9">
        <v>261127</v>
      </c>
      <c r="Q3416" s="9">
        <v>38701</v>
      </c>
      <c r="R3416" s="9">
        <v>299828</v>
      </c>
      <c r="S3416" s="9">
        <v>-99878</v>
      </c>
      <c r="T3416" s="10">
        <v>126693</v>
      </c>
      <c r="U3416" s="10">
        <v>2909</v>
      </c>
    </row>
    <row r="3417" spans="1:21" x14ac:dyDescent="0.35">
      <c r="A3417" t="s">
        <v>15</v>
      </c>
      <c r="B3417" t="s">
        <v>16</v>
      </c>
      <c r="C3417" t="s">
        <v>21</v>
      </c>
      <c r="D3417">
        <v>210071</v>
      </c>
      <c r="E3417">
        <v>26979</v>
      </c>
      <c r="F3417">
        <v>39014</v>
      </c>
      <c r="G3417">
        <v>-209474</v>
      </c>
      <c r="H3417">
        <v>66590</v>
      </c>
      <c r="I3417">
        <v>65102</v>
      </c>
      <c r="J3417">
        <v>972</v>
      </c>
      <c r="K3417">
        <v>798702</v>
      </c>
      <c r="L3417">
        <v>112996</v>
      </c>
      <c r="M3417">
        <v>-164006</v>
      </c>
      <c r="N3417">
        <v>130669</v>
      </c>
      <c r="O3417" t="s">
        <v>3435</v>
      </c>
      <c r="P3417" s="9">
        <v>175951</v>
      </c>
      <c r="Q3417" s="9">
        <v>16875</v>
      </c>
      <c r="R3417" s="9">
        <v>192826</v>
      </c>
      <c r="S3417" s="9">
        <v>-39855</v>
      </c>
      <c r="T3417" s="10">
        <v>82155</v>
      </c>
      <c r="U3417" s="10">
        <v>923</v>
      </c>
    </row>
    <row r="3418" spans="1:21" x14ac:dyDescent="0.35">
      <c r="A3418" t="s">
        <v>15</v>
      </c>
      <c r="B3418" t="s">
        <v>16</v>
      </c>
      <c r="C3418" t="s">
        <v>17</v>
      </c>
      <c r="D3418">
        <v>151873</v>
      </c>
      <c r="E3418">
        <v>25713</v>
      </c>
      <c r="F3418">
        <v>20136</v>
      </c>
      <c r="G3418">
        <v>-129894</v>
      </c>
      <c r="H3418">
        <v>67828</v>
      </c>
      <c r="I3418">
        <v>70471</v>
      </c>
      <c r="J3418">
        <v>2054</v>
      </c>
      <c r="K3418">
        <v>583628</v>
      </c>
      <c r="L3418">
        <v>167542</v>
      </c>
      <c r="M3418">
        <v>-184524</v>
      </c>
      <c r="N3418">
        <v>82480</v>
      </c>
      <c r="O3418" t="s">
        <v>3436</v>
      </c>
      <c r="P3418" s="9">
        <v>194081</v>
      </c>
      <c r="Q3418" s="9">
        <v>31670</v>
      </c>
      <c r="R3418" s="9">
        <v>225751</v>
      </c>
      <c r="S3418" s="9">
        <v>-94012</v>
      </c>
      <c r="T3418" s="10">
        <v>69338</v>
      </c>
      <c r="U3418" s="10">
        <v>1498</v>
      </c>
    </row>
    <row r="3419" spans="1:21" x14ac:dyDescent="0.35">
      <c r="A3419" t="s">
        <v>15</v>
      </c>
      <c r="B3419" t="s">
        <v>20</v>
      </c>
      <c r="C3419" t="s">
        <v>17</v>
      </c>
      <c r="D3419">
        <v>247305</v>
      </c>
      <c r="E3419">
        <v>29665</v>
      </c>
      <c r="F3419">
        <v>41907</v>
      </c>
      <c r="G3419">
        <v>-217677</v>
      </c>
      <c r="H3419">
        <v>101200</v>
      </c>
      <c r="I3419">
        <v>101080</v>
      </c>
      <c r="J3419">
        <v>2799</v>
      </c>
      <c r="K3419">
        <v>855996</v>
      </c>
      <c r="L3419">
        <v>405501</v>
      </c>
      <c r="M3419">
        <v>-335662</v>
      </c>
      <c r="N3419">
        <v>176469</v>
      </c>
      <c r="O3419" t="s">
        <v>3437</v>
      </c>
      <c r="P3419" s="9">
        <v>274252</v>
      </c>
      <c r="Q3419" s="9">
        <v>20231</v>
      </c>
      <c r="R3419" s="9">
        <v>294483</v>
      </c>
      <c r="S3419" s="9">
        <v>-89748</v>
      </c>
      <c r="T3419" s="10">
        <v>94155</v>
      </c>
      <c r="U3419" s="10">
        <v>1455</v>
      </c>
    </row>
    <row r="3420" spans="1:21" x14ac:dyDescent="0.35">
      <c r="A3420" t="s">
        <v>15</v>
      </c>
      <c r="B3420" t="s">
        <v>20</v>
      </c>
      <c r="C3420" t="s">
        <v>21</v>
      </c>
      <c r="D3420">
        <v>194746</v>
      </c>
      <c r="E3420">
        <v>11908</v>
      </c>
      <c r="F3420">
        <v>46737</v>
      </c>
      <c r="G3420">
        <v>-186427</v>
      </c>
      <c r="H3420">
        <v>66964</v>
      </c>
      <c r="I3420">
        <v>60270</v>
      </c>
      <c r="J3420">
        <v>1489</v>
      </c>
      <c r="K3420">
        <v>589822</v>
      </c>
      <c r="L3420">
        <v>223457</v>
      </c>
      <c r="M3420">
        <v>-86589</v>
      </c>
      <c r="N3420">
        <v>129604</v>
      </c>
      <c r="O3420" t="s">
        <v>3438</v>
      </c>
      <c r="P3420" s="9">
        <v>259187</v>
      </c>
      <c r="Q3420" s="9">
        <v>59266</v>
      </c>
      <c r="R3420" s="9">
        <v>318453</v>
      </c>
      <c r="S3420" s="9">
        <v>-154556</v>
      </c>
      <c r="T3420" s="10">
        <v>139822</v>
      </c>
      <c r="U3420" s="10">
        <v>2112</v>
      </c>
    </row>
    <row r="3421" spans="1:21" x14ac:dyDescent="0.35">
      <c r="A3421" t="s">
        <v>15</v>
      </c>
      <c r="B3421" t="s">
        <v>20</v>
      </c>
      <c r="C3421" t="s">
        <v>17</v>
      </c>
      <c r="D3421">
        <v>262322</v>
      </c>
      <c r="E3421">
        <v>27595</v>
      </c>
      <c r="F3421">
        <v>30816</v>
      </c>
      <c r="G3421">
        <v>-244718</v>
      </c>
      <c r="H3421">
        <v>76015</v>
      </c>
      <c r="I3421">
        <v>72277</v>
      </c>
      <c r="J3421">
        <v>987</v>
      </c>
      <c r="K3421">
        <v>888616</v>
      </c>
      <c r="L3421">
        <v>134177</v>
      </c>
      <c r="M3421">
        <v>-157335</v>
      </c>
      <c r="N3421">
        <v>133923</v>
      </c>
      <c r="O3421" t="s">
        <v>3439</v>
      </c>
      <c r="P3421" s="9">
        <v>215556</v>
      </c>
      <c r="Q3421" s="9">
        <v>15292</v>
      </c>
      <c r="R3421" s="9">
        <v>230848</v>
      </c>
      <c r="S3421" s="9">
        <v>-52829</v>
      </c>
      <c r="T3421" s="10">
        <v>50434</v>
      </c>
      <c r="U3421" s="10">
        <v>914</v>
      </c>
    </row>
    <row r="3422" spans="1:21" x14ac:dyDescent="0.35">
      <c r="A3422" t="s">
        <v>15</v>
      </c>
      <c r="B3422" t="s">
        <v>16</v>
      </c>
      <c r="C3422" t="s">
        <v>21</v>
      </c>
      <c r="D3422">
        <v>162646</v>
      </c>
      <c r="E3422">
        <v>19321</v>
      </c>
      <c r="F3422">
        <v>26229</v>
      </c>
      <c r="G3422">
        <v>-156425</v>
      </c>
      <c r="H3422">
        <v>51771</v>
      </c>
      <c r="I3422">
        <v>53244</v>
      </c>
      <c r="J3422">
        <v>675</v>
      </c>
      <c r="K3422">
        <v>587029</v>
      </c>
      <c r="L3422">
        <v>190899</v>
      </c>
      <c r="M3422">
        <v>-213966</v>
      </c>
      <c r="N3422">
        <v>88239</v>
      </c>
      <c r="O3422" t="s">
        <v>3440</v>
      </c>
      <c r="P3422" s="9">
        <v>252662</v>
      </c>
      <c r="Q3422" s="9">
        <v>20149</v>
      </c>
      <c r="R3422" s="9">
        <v>272811</v>
      </c>
      <c r="S3422" s="9">
        <v>-140919</v>
      </c>
      <c r="T3422" s="10">
        <v>76494</v>
      </c>
      <c r="U3422" s="10">
        <v>1625</v>
      </c>
    </row>
    <row r="3423" spans="1:21" x14ac:dyDescent="0.35">
      <c r="A3423" t="s">
        <v>15</v>
      </c>
      <c r="B3423" t="s">
        <v>20</v>
      </c>
      <c r="C3423" t="s">
        <v>21</v>
      </c>
      <c r="D3423">
        <v>258142</v>
      </c>
      <c r="E3423">
        <v>49659</v>
      </c>
      <c r="F3423">
        <v>55411</v>
      </c>
      <c r="G3423">
        <v>-239677</v>
      </c>
      <c r="H3423">
        <v>123535</v>
      </c>
      <c r="I3423">
        <v>125556</v>
      </c>
      <c r="J3423">
        <v>1279</v>
      </c>
      <c r="K3423">
        <v>880061</v>
      </c>
      <c r="L3423">
        <v>223988</v>
      </c>
      <c r="M3423">
        <v>-189644</v>
      </c>
      <c r="N3423">
        <v>178584</v>
      </c>
      <c r="O3423" t="s">
        <v>3441</v>
      </c>
      <c r="P3423" s="9">
        <v>212137</v>
      </c>
      <c r="Q3423" s="9">
        <v>16808</v>
      </c>
      <c r="R3423" s="9">
        <v>228945</v>
      </c>
      <c r="S3423" s="9">
        <v>-68360</v>
      </c>
      <c r="T3423" s="10">
        <v>70833</v>
      </c>
      <c r="U3423" s="10">
        <v>1680</v>
      </c>
    </row>
    <row r="3424" spans="1:21" x14ac:dyDescent="0.35">
      <c r="A3424" t="s">
        <v>15</v>
      </c>
      <c r="B3424" t="s">
        <v>20</v>
      </c>
      <c r="C3424" t="s">
        <v>21</v>
      </c>
      <c r="D3424">
        <v>285972</v>
      </c>
      <c r="E3424">
        <v>46606</v>
      </c>
      <c r="F3424">
        <v>42680</v>
      </c>
      <c r="G3424">
        <v>-266282</v>
      </c>
      <c r="H3424">
        <v>108976</v>
      </c>
      <c r="I3424">
        <v>102687</v>
      </c>
      <c r="J3424">
        <v>1426</v>
      </c>
      <c r="K3424">
        <v>579986</v>
      </c>
      <c r="L3424">
        <v>171508</v>
      </c>
      <c r="M3424">
        <v>-168777</v>
      </c>
      <c r="N3424">
        <v>151513</v>
      </c>
      <c r="O3424" t="s">
        <v>3442</v>
      </c>
      <c r="P3424" s="9">
        <v>270857</v>
      </c>
      <c r="Q3424" s="9">
        <v>57239</v>
      </c>
      <c r="R3424" s="9">
        <v>328096</v>
      </c>
      <c r="S3424" s="9">
        <v>-109141</v>
      </c>
      <c r="T3424" s="10">
        <v>123415</v>
      </c>
      <c r="U3424" s="10">
        <v>1753</v>
      </c>
    </row>
    <row r="3425" spans="1:21" x14ac:dyDescent="0.35">
      <c r="A3425" t="s">
        <v>15</v>
      </c>
      <c r="B3425" t="s">
        <v>20</v>
      </c>
      <c r="C3425" t="s">
        <v>21</v>
      </c>
      <c r="D3425">
        <v>285597</v>
      </c>
      <c r="E3425">
        <v>41333</v>
      </c>
      <c r="F3425">
        <v>59665</v>
      </c>
      <c r="G3425">
        <v>-242009</v>
      </c>
      <c r="H3425">
        <v>144586</v>
      </c>
      <c r="I3425">
        <v>134334</v>
      </c>
      <c r="J3425">
        <v>2358</v>
      </c>
      <c r="K3425">
        <v>696602</v>
      </c>
      <c r="L3425">
        <v>181988</v>
      </c>
      <c r="M3425">
        <v>-78775</v>
      </c>
      <c r="N3425">
        <v>129835</v>
      </c>
      <c r="O3425" t="s">
        <v>3443</v>
      </c>
      <c r="P3425" s="9">
        <v>218831</v>
      </c>
      <c r="Q3425" s="9">
        <v>33377</v>
      </c>
      <c r="R3425" s="9">
        <v>252208</v>
      </c>
      <c r="S3425" s="9">
        <v>-120747</v>
      </c>
      <c r="T3425" s="10">
        <v>83327</v>
      </c>
      <c r="U3425" s="10">
        <v>2069</v>
      </c>
    </row>
    <row r="3426" spans="1:21" x14ac:dyDescent="0.35">
      <c r="A3426" t="s">
        <v>15</v>
      </c>
      <c r="B3426" t="s">
        <v>16</v>
      </c>
      <c r="C3426" t="s">
        <v>17</v>
      </c>
      <c r="D3426">
        <v>297823</v>
      </c>
      <c r="E3426">
        <v>30288</v>
      </c>
      <c r="F3426">
        <v>72560</v>
      </c>
      <c r="G3426">
        <v>-282896</v>
      </c>
      <c r="H3426">
        <v>117775</v>
      </c>
      <c r="I3426">
        <v>112815</v>
      </c>
      <c r="J3426">
        <v>1609</v>
      </c>
      <c r="K3426">
        <v>978098</v>
      </c>
      <c r="L3426">
        <v>313964</v>
      </c>
      <c r="M3426">
        <v>-127544</v>
      </c>
      <c r="N3426">
        <v>148364</v>
      </c>
      <c r="O3426" t="s">
        <v>3444</v>
      </c>
      <c r="P3426" s="9">
        <v>172355</v>
      </c>
      <c r="Q3426" s="9">
        <v>29208</v>
      </c>
      <c r="R3426" s="9">
        <v>201563</v>
      </c>
      <c r="S3426" s="9">
        <v>-92339</v>
      </c>
      <c r="T3426" s="10">
        <v>78132</v>
      </c>
      <c r="U3426" s="10">
        <v>2011</v>
      </c>
    </row>
    <row r="3427" spans="1:21" x14ac:dyDescent="0.35">
      <c r="A3427" t="s">
        <v>15</v>
      </c>
      <c r="B3427" t="s">
        <v>16</v>
      </c>
      <c r="C3427" t="s">
        <v>21</v>
      </c>
      <c r="D3427">
        <v>157783</v>
      </c>
      <c r="E3427">
        <v>15984</v>
      </c>
      <c r="F3427">
        <v>32517</v>
      </c>
      <c r="G3427">
        <v>-146452</v>
      </c>
      <c r="H3427">
        <v>59832</v>
      </c>
      <c r="I3427">
        <v>54517</v>
      </c>
      <c r="J3427">
        <v>1497</v>
      </c>
      <c r="K3427">
        <v>361605</v>
      </c>
      <c r="L3427">
        <v>69473</v>
      </c>
      <c r="M3427">
        <v>-68156</v>
      </c>
      <c r="N3427">
        <v>83115</v>
      </c>
      <c r="O3427" t="s">
        <v>3445</v>
      </c>
      <c r="P3427" s="9">
        <v>213410</v>
      </c>
      <c r="Q3427" s="9">
        <v>25090</v>
      </c>
      <c r="R3427" s="9">
        <v>238500</v>
      </c>
      <c r="S3427" s="9">
        <v>-53319</v>
      </c>
      <c r="T3427" s="10">
        <v>73761</v>
      </c>
      <c r="U3427" s="10">
        <v>841</v>
      </c>
    </row>
    <row r="3428" spans="1:21" x14ac:dyDescent="0.35">
      <c r="A3428" t="s">
        <v>15</v>
      </c>
      <c r="B3428" t="s">
        <v>16</v>
      </c>
      <c r="C3428" t="s">
        <v>21</v>
      </c>
      <c r="D3428">
        <v>279132</v>
      </c>
      <c r="E3428">
        <v>24701</v>
      </c>
      <c r="F3428">
        <v>47726</v>
      </c>
      <c r="G3428">
        <v>-252851</v>
      </c>
      <c r="H3428">
        <v>98708</v>
      </c>
      <c r="I3428">
        <v>101156</v>
      </c>
      <c r="J3428">
        <v>2077</v>
      </c>
      <c r="K3428">
        <v>1047840</v>
      </c>
      <c r="L3428">
        <v>373374</v>
      </c>
      <c r="M3428">
        <v>-186365</v>
      </c>
      <c r="N3428">
        <v>182505</v>
      </c>
      <c r="O3428" t="s">
        <v>3446</v>
      </c>
      <c r="P3428" s="9">
        <v>149474</v>
      </c>
      <c r="Q3428" s="9">
        <v>25006</v>
      </c>
      <c r="R3428" s="9">
        <v>174480</v>
      </c>
      <c r="S3428" s="9">
        <v>-61973</v>
      </c>
      <c r="T3428" s="10">
        <v>46970</v>
      </c>
      <c r="U3428" s="10">
        <v>977</v>
      </c>
    </row>
    <row r="3429" spans="1:21" x14ac:dyDescent="0.35">
      <c r="A3429" t="s">
        <v>15</v>
      </c>
      <c r="B3429" t="s">
        <v>16</v>
      </c>
      <c r="C3429" t="s">
        <v>21</v>
      </c>
      <c r="D3429">
        <v>286648</v>
      </c>
      <c r="E3429">
        <v>24408</v>
      </c>
      <c r="F3429">
        <v>58459</v>
      </c>
      <c r="G3429">
        <v>-233917</v>
      </c>
      <c r="H3429">
        <v>135598</v>
      </c>
      <c r="I3429">
        <v>132938</v>
      </c>
      <c r="J3429">
        <v>2075</v>
      </c>
      <c r="K3429">
        <v>1081209</v>
      </c>
      <c r="L3429">
        <v>207033</v>
      </c>
      <c r="M3429">
        <v>-420670</v>
      </c>
      <c r="N3429">
        <v>201027</v>
      </c>
      <c r="O3429" t="s">
        <v>3447</v>
      </c>
      <c r="P3429" s="9">
        <v>217682</v>
      </c>
      <c r="Q3429" s="9">
        <v>26621</v>
      </c>
      <c r="R3429" s="9">
        <v>244303</v>
      </c>
      <c r="S3429" s="9">
        <v>-103326</v>
      </c>
      <c r="T3429" s="10">
        <v>99284</v>
      </c>
      <c r="U3429" s="10">
        <v>1482</v>
      </c>
    </row>
    <row r="3430" spans="1:21" x14ac:dyDescent="0.35">
      <c r="A3430" t="s">
        <v>15</v>
      </c>
      <c r="B3430" t="s">
        <v>16</v>
      </c>
      <c r="C3430" t="s">
        <v>21</v>
      </c>
      <c r="D3430">
        <v>251681</v>
      </c>
      <c r="E3430">
        <v>44007</v>
      </c>
      <c r="F3430">
        <v>28812</v>
      </c>
      <c r="G3430">
        <v>-239802</v>
      </c>
      <c r="H3430">
        <v>84698</v>
      </c>
      <c r="I3430">
        <v>77794</v>
      </c>
      <c r="J3430">
        <v>1888</v>
      </c>
      <c r="K3430">
        <v>799085</v>
      </c>
      <c r="L3430">
        <v>240521</v>
      </c>
      <c r="M3430">
        <v>-133423</v>
      </c>
      <c r="N3430">
        <v>113621</v>
      </c>
      <c r="O3430" t="s">
        <v>3448</v>
      </c>
      <c r="P3430" s="9">
        <v>190045</v>
      </c>
      <c r="Q3430" s="9">
        <v>28854</v>
      </c>
      <c r="R3430" s="9">
        <v>218899</v>
      </c>
      <c r="S3430" s="9">
        <v>-57768</v>
      </c>
      <c r="T3430" s="10">
        <v>81015</v>
      </c>
      <c r="U3430" s="10">
        <v>1287</v>
      </c>
    </row>
    <row r="3431" spans="1:21" x14ac:dyDescent="0.35">
      <c r="A3431" t="s">
        <v>15</v>
      </c>
      <c r="B3431" t="s">
        <v>16</v>
      </c>
      <c r="C3431" t="s">
        <v>17</v>
      </c>
      <c r="D3431">
        <v>262927</v>
      </c>
      <c r="E3431">
        <v>33292</v>
      </c>
      <c r="F3431">
        <v>44112</v>
      </c>
      <c r="G3431">
        <v>-223144</v>
      </c>
      <c r="H3431">
        <v>117187</v>
      </c>
      <c r="I3431">
        <v>107115</v>
      </c>
      <c r="J3431">
        <v>1872</v>
      </c>
      <c r="K3431">
        <v>823168</v>
      </c>
      <c r="L3431">
        <v>193624</v>
      </c>
      <c r="M3431">
        <v>-122708</v>
      </c>
      <c r="N3431">
        <v>128349</v>
      </c>
      <c r="O3431" t="s">
        <v>3449</v>
      </c>
      <c r="P3431" s="9">
        <v>186663</v>
      </c>
      <c r="Q3431" s="9">
        <v>19620</v>
      </c>
      <c r="R3431" s="9">
        <v>206283</v>
      </c>
      <c r="S3431" s="9">
        <v>-91837</v>
      </c>
      <c r="T3431" s="10">
        <v>75396</v>
      </c>
      <c r="U3431" s="10">
        <v>2084</v>
      </c>
    </row>
    <row r="3432" spans="1:21" x14ac:dyDescent="0.35">
      <c r="A3432" t="s">
        <v>15</v>
      </c>
      <c r="B3432" t="s">
        <v>16</v>
      </c>
      <c r="C3432" t="s">
        <v>17</v>
      </c>
      <c r="D3432">
        <v>199299</v>
      </c>
      <c r="E3432">
        <v>16092</v>
      </c>
      <c r="F3432">
        <v>27180</v>
      </c>
      <c r="G3432">
        <v>-168791</v>
      </c>
      <c r="H3432">
        <v>73780</v>
      </c>
      <c r="I3432">
        <v>70930</v>
      </c>
      <c r="J3432">
        <v>1683</v>
      </c>
      <c r="K3432">
        <v>635708</v>
      </c>
      <c r="L3432">
        <v>176879</v>
      </c>
      <c r="M3432">
        <v>-109094</v>
      </c>
      <c r="N3432">
        <v>108449</v>
      </c>
      <c r="O3432" t="s">
        <v>3450</v>
      </c>
      <c r="P3432" s="9">
        <v>217907</v>
      </c>
      <c r="Q3432" s="9">
        <v>35681</v>
      </c>
      <c r="R3432" s="9">
        <v>253588</v>
      </c>
      <c r="S3432" s="9">
        <v>-137131</v>
      </c>
      <c r="T3432" s="10">
        <v>111648</v>
      </c>
      <c r="U3432" s="10">
        <v>3180</v>
      </c>
    </row>
    <row r="3433" spans="1:21" x14ac:dyDescent="0.35">
      <c r="A3433" t="s">
        <v>15</v>
      </c>
      <c r="B3433" t="s">
        <v>20</v>
      </c>
      <c r="C3433" t="s">
        <v>21</v>
      </c>
      <c r="D3433">
        <v>186064</v>
      </c>
      <c r="E3433">
        <v>33144</v>
      </c>
      <c r="F3433">
        <v>28306</v>
      </c>
      <c r="G3433">
        <v>-163970</v>
      </c>
      <c r="H3433">
        <v>83544</v>
      </c>
      <c r="I3433">
        <v>84886</v>
      </c>
      <c r="J3433">
        <v>1281</v>
      </c>
      <c r="K3433">
        <v>520739</v>
      </c>
      <c r="L3433">
        <v>234522</v>
      </c>
      <c r="M3433">
        <v>-126168</v>
      </c>
      <c r="N3433">
        <v>161598</v>
      </c>
      <c r="O3433" t="s">
        <v>3451</v>
      </c>
      <c r="P3433" s="9">
        <v>205994</v>
      </c>
      <c r="Q3433" s="9">
        <v>14454</v>
      </c>
      <c r="R3433" s="9">
        <v>220448</v>
      </c>
      <c r="S3433" s="9">
        <v>-53556</v>
      </c>
      <c r="T3433" s="10">
        <v>87330</v>
      </c>
      <c r="U3433" s="10">
        <v>880</v>
      </c>
    </row>
    <row r="3434" spans="1:21" x14ac:dyDescent="0.35">
      <c r="A3434" t="s">
        <v>15</v>
      </c>
      <c r="B3434" t="s">
        <v>20</v>
      </c>
      <c r="C3434" t="s">
        <v>21</v>
      </c>
      <c r="D3434">
        <v>223791</v>
      </c>
      <c r="E3434">
        <v>14945</v>
      </c>
      <c r="F3434">
        <v>26686</v>
      </c>
      <c r="G3434">
        <v>-200477</v>
      </c>
      <c r="H3434">
        <v>64945</v>
      </c>
      <c r="I3434">
        <v>62227</v>
      </c>
      <c r="J3434">
        <v>1166</v>
      </c>
      <c r="K3434">
        <v>475168</v>
      </c>
      <c r="L3434">
        <v>182019</v>
      </c>
      <c r="M3434">
        <v>-157504</v>
      </c>
      <c r="N3434">
        <v>195868</v>
      </c>
      <c r="O3434" t="s">
        <v>3452</v>
      </c>
      <c r="P3434" s="9">
        <v>215438</v>
      </c>
      <c r="Q3434" s="9">
        <v>40902</v>
      </c>
      <c r="R3434" s="9">
        <v>256340</v>
      </c>
      <c r="S3434" s="9">
        <v>-101614</v>
      </c>
      <c r="T3434" s="10">
        <v>110525</v>
      </c>
      <c r="U3434" s="10">
        <v>2110</v>
      </c>
    </row>
    <row r="3435" spans="1:21" x14ac:dyDescent="0.35">
      <c r="A3435" t="s">
        <v>15</v>
      </c>
      <c r="B3435" t="s">
        <v>16</v>
      </c>
      <c r="C3435" t="s">
        <v>17</v>
      </c>
      <c r="D3435">
        <v>258007</v>
      </c>
      <c r="E3435">
        <v>20087</v>
      </c>
      <c r="F3435">
        <v>51887</v>
      </c>
      <c r="G3435">
        <v>-228404</v>
      </c>
      <c r="H3435">
        <v>101577</v>
      </c>
      <c r="I3435">
        <v>92928</v>
      </c>
      <c r="J3435">
        <v>2163</v>
      </c>
      <c r="K3435">
        <v>857240</v>
      </c>
      <c r="L3435">
        <v>103964</v>
      </c>
      <c r="M3435">
        <v>-183800</v>
      </c>
      <c r="N3435">
        <v>189069</v>
      </c>
      <c r="O3435" t="s">
        <v>3453</v>
      </c>
      <c r="P3435" s="9">
        <v>280135</v>
      </c>
      <c r="Q3435" s="9">
        <v>45821</v>
      </c>
      <c r="R3435" s="9">
        <v>325956</v>
      </c>
      <c r="S3435" s="9">
        <v>-140167</v>
      </c>
      <c r="T3435" s="10">
        <v>111156</v>
      </c>
      <c r="U3435" s="10">
        <v>3327</v>
      </c>
    </row>
    <row r="3436" spans="1:21" x14ac:dyDescent="0.35">
      <c r="A3436" t="s">
        <v>15</v>
      </c>
      <c r="B3436" t="s">
        <v>16</v>
      </c>
      <c r="C3436" t="s">
        <v>21</v>
      </c>
      <c r="D3436">
        <v>197625</v>
      </c>
      <c r="E3436">
        <v>32257</v>
      </c>
      <c r="F3436">
        <v>38611</v>
      </c>
      <c r="G3436">
        <v>-178977</v>
      </c>
      <c r="H3436">
        <v>89516</v>
      </c>
      <c r="I3436">
        <v>88622</v>
      </c>
      <c r="J3436">
        <v>1759</v>
      </c>
      <c r="K3436">
        <v>453708</v>
      </c>
      <c r="L3436">
        <v>78880</v>
      </c>
      <c r="M3436">
        <v>-92913</v>
      </c>
      <c r="N3436">
        <v>152319</v>
      </c>
      <c r="O3436" t="s">
        <v>3454</v>
      </c>
      <c r="P3436" s="9">
        <v>197474</v>
      </c>
      <c r="Q3436" s="9">
        <v>20399</v>
      </c>
      <c r="R3436" s="9">
        <v>217873</v>
      </c>
      <c r="S3436" s="9">
        <v>-130466</v>
      </c>
      <c r="T3436" s="10">
        <v>67990</v>
      </c>
      <c r="U3436" s="10">
        <v>1821</v>
      </c>
    </row>
    <row r="3437" spans="1:21" x14ac:dyDescent="0.35">
      <c r="A3437" t="s">
        <v>15</v>
      </c>
      <c r="B3437" t="s">
        <v>16</v>
      </c>
      <c r="C3437" t="s">
        <v>17</v>
      </c>
      <c r="D3437">
        <v>195478</v>
      </c>
      <c r="E3437">
        <v>24949</v>
      </c>
      <c r="F3437">
        <v>34168</v>
      </c>
      <c r="G3437">
        <v>-158582</v>
      </c>
      <c r="H3437">
        <v>96013</v>
      </c>
      <c r="I3437">
        <v>86730</v>
      </c>
      <c r="J3437">
        <v>1607</v>
      </c>
      <c r="K3437">
        <v>755763</v>
      </c>
      <c r="L3437">
        <v>220193</v>
      </c>
      <c r="M3437">
        <v>-229223</v>
      </c>
      <c r="N3437">
        <v>100784</v>
      </c>
      <c r="O3437" t="s">
        <v>3455</v>
      </c>
      <c r="P3437" s="9">
        <v>227813</v>
      </c>
      <c r="Q3437" s="9">
        <v>25884</v>
      </c>
      <c r="R3437" s="9">
        <v>253697</v>
      </c>
      <c r="S3437" s="9">
        <v>-108107</v>
      </c>
      <c r="T3437" s="10">
        <v>66774</v>
      </c>
      <c r="U3437" s="10">
        <v>1735</v>
      </c>
    </row>
    <row r="3438" spans="1:21" x14ac:dyDescent="0.35">
      <c r="A3438" t="s">
        <v>15</v>
      </c>
      <c r="B3438" t="s">
        <v>20</v>
      </c>
      <c r="C3438" t="s">
        <v>21</v>
      </c>
      <c r="D3438">
        <v>292463</v>
      </c>
      <c r="E3438">
        <v>34064</v>
      </c>
      <c r="F3438">
        <v>33818</v>
      </c>
      <c r="G3438">
        <v>-264433</v>
      </c>
      <c r="H3438">
        <v>95912</v>
      </c>
      <c r="I3438">
        <v>86385</v>
      </c>
      <c r="J3438">
        <v>1069</v>
      </c>
      <c r="K3438">
        <v>1051607</v>
      </c>
      <c r="L3438">
        <v>111557</v>
      </c>
      <c r="M3438">
        <v>-387173</v>
      </c>
      <c r="N3438">
        <v>140045</v>
      </c>
      <c r="O3438" t="s">
        <v>3456</v>
      </c>
      <c r="P3438" s="9">
        <v>194358</v>
      </c>
      <c r="Q3438" s="9">
        <v>35113</v>
      </c>
      <c r="R3438" s="9">
        <v>229471</v>
      </c>
      <c r="S3438" s="9">
        <v>-117782</v>
      </c>
      <c r="T3438" s="10">
        <v>79469</v>
      </c>
      <c r="U3438" s="10">
        <v>1219</v>
      </c>
    </row>
    <row r="3439" spans="1:21" x14ac:dyDescent="0.35">
      <c r="A3439" t="s">
        <v>15</v>
      </c>
      <c r="B3439" t="s">
        <v>16</v>
      </c>
      <c r="C3439" t="s">
        <v>21</v>
      </c>
      <c r="D3439">
        <v>278128</v>
      </c>
      <c r="E3439">
        <v>45667</v>
      </c>
      <c r="F3439">
        <v>38196</v>
      </c>
      <c r="G3439">
        <v>-251925</v>
      </c>
      <c r="H3439">
        <v>110066</v>
      </c>
      <c r="I3439">
        <v>101305</v>
      </c>
      <c r="J3439">
        <v>2529</v>
      </c>
      <c r="K3439">
        <v>682664</v>
      </c>
      <c r="L3439">
        <v>81896</v>
      </c>
      <c r="M3439">
        <v>-192800</v>
      </c>
      <c r="N3439">
        <v>161457</v>
      </c>
      <c r="O3439" t="s">
        <v>3457</v>
      </c>
      <c r="P3439" s="9">
        <v>161193</v>
      </c>
      <c r="Q3439" s="9">
        <v>14044</v>
      </c>
      <c r="R3439" s="9">
        <v>175237</v>
      </c>
      <c r="S3439" s="9">
        <v>-89271</v>
      </c>
      <c r="T3439" s="10">
        <v>49806</v>
      </c>
      <c r="U3439" s="10">
        <v>1357</v>
      </c>
    </row>
    <row r="3440" spans="1:21" x14ac:dyDescent="0.35">
      <c r="A3440" t="s">
        <v>15</v>
      </c>
      <c r="B3440" t="s">
        <v>16</v>
      </c>
      <c r="C3440" t="s">
        <v>17</v>
      </c>
      <c r="D3440">
        <v>241183</v>
      </c>
      <c r="E3440">
        <v>12665</v>
      </c>
      <c r="F3440">
        <v>38051</v>
      </c>
      <c r="G3440">
        <v>-201057</v>
      </c>
      <c r="H3440">
        <v>90842</v>
      </c>
      <c r="I3440">
        <v>91930</v>
      </c>
      <c r="J3440">
        <v>929</v>
      </c>
      <c r="K3440">
        <v>850646</v>
      </c>
      <c r="L3440">
        <v>391218</v>
      </c>
      <c r="M3440">
        <v>-316929</v>
      </c>
      <c r="N3440">
        <v>161441</v>
      </c>
      <c r="O3440" t="s">
        <v>3458</v>
      </c>
      <c r="P3440" s="9">
        <v>159078</v>
      </c>
      <c r="Q3440" s="9">
        <v>16357</v>
      </c>
      <c r="R3440" s="9">
        <v>175435</v>
      </c>
      <c r="S3440" s="9">
        <v>-93496</v>
      </c>
      <c r="T3440" s="10">
        <v>62455</v>
      </c>
      <c r="U3440" s="10">
        <v>691</v>
      </c>
    </row>
    <row r="3441" spans="1:21" x14ac:dyDescent="0.35">
      <c r="A3441" t="s">
        <v>15</v>
      </c>
      <c r="B3441" t="s">
        <v>16</v>
      </c>
      <c r="C3441" t="s">
        <v>21</v>
      </c>
      <c r="D3441">
        <v>178931</v>
      </c>
      <c r="E3441">
        <v>35752</v>
      </c>
      <c r="F3441">
        <v>34749</v>
      </c>
      <c r="G3441">
        <v>-153330</v>
      </c>
      <c r="H3441">
        <v>96102</v>
      </c>
      <c r="I3441">
        <v>90970</v>
      </c>
      <c r="J3441">
        <v>2205</v>
      </c>
      <c r="K3441">
        <v>692760</v>
      </c>
      <c r="L3441">
        <v>228775</v>
      </c>
      <c r="M3441">
        <v>-160300</v>
      </c>
      <c r="N3441">
        <v>160219</v>
      </c>
      <c r="O3441" t="s">
        <v>3459</v>
      </c>
      <c r="P3441" s="9">
        <v>189810</v>
      </c>
      <c r="Q3441" s="9">
        <v>16927</v>
      </c>
      <c r="R3441" s="9">
        <v>206737</v>
      </c>
      <c r="S3441" s="9">
        <v>-55943</v>
      </c>
      <c r="T3441" s="10">
        <v>77787</v>
      </c>
      <c r="U3441" s="10">
        <v>983</v>
      </c>
    </row>
    <row r="3442" spans="1:21" x14ac:dyDescent="0.35">
      <c r="A3442" t="s">
        <v>15</v>
      </c>
      <c r="B3442" t="s">
        <v>16</v>
      </c>
      <c r="C3442" t="s">
        <v>21</v>
      </c>
      <c r="D3442">
        <v>256317</v>
      </c>
      <c r="E3442">
        <v>20734</v>
      </c>
      <c r="F3442">
        <v>29589</v>
      </c>
      <c r="G3442">
        <v>-247413</v>
      </c>
      <c r="H3442">
        <v>59227</v>
      </c>
      <c r="I3442">
        <v>54944</v>
      </c>
      <c r="J3442">
        <v>1157</v>
      </c>
      <c r="K3442">
        <v>700125</v>
      </c>
      <c r="L3442">
        <v>212255</v>
      </c>
      <c r="M3442">
        <v>-209652</v>
      </c>
      <c r="N3442">
        <v>96856</v>
      </c>
      <c r="O3442" t="s">
        <v>3460</v>
      </c>
      <c r="P3442" s="9">
        <v>174809</v>
      </c>
      <c r="Q3442" s="9">
        <v>15301</v>
      </c>
      <c r="R3442" s="9">
        <v>190110</v>
      </c>
      <c r="S3442" s="9">
        <v>-88846</v>
      </c>
      <c r="T3442" s="10">
        <v>66905</v>
      </c>
      <c r="U3442" s="10">
        <v>720</v>
      </c>
    </row>
    <row r="3443" spans="1:21" x14ac:dyDescent="0.35">
      <c r="A3443" t="s">
        <v>15</v>
      </c>
      <c r="B3443" t="s">
        <v>20</v>
      </c>
      <c r="C3443" t="s">
        <v>21</v>
      </c>
      <c r="D3443">
        <v>230017</v>
      </c>
      <c r="E3443">
        <v>27440</v>
      </c>
      <c r="F3443">
        <v>33777</v>
      </c>
      <c r="G3443">
        <v>-219923</v>
      </c>
      <c r="H3443">
        <v>71311</v>
      </c>
      <c r="I3443">
        <v>69106</v>
      </c>
      <c r="J3443">
        <v>876</v>
      </c>
      <c r="K3443">
        <v>851708</v>
      </c>
      <c r="L3443">
        <v>356624</v>
      </c>
      <c r="M3443">
        <v>-305249</v>
      </c>
      <c r="N3443">
        <v>170829</v>
      </c>
      <c r="O3443" t="s">
        <v>3461</v>
      </c>
      <c r="P3443" s="9">
        <v>257401</v>
      </c>
      <c r="Q3443" s="9">
        <v>33630</v>
      </c>
      <c r="R3443" s="9">
        <v>291031</v>
      </c>
      <c r="S3443" s="9">
        <v>-89378</v>
      </c>
      <c r="T3443" s="10">
        <v>122881</v>
      </c>
      <c r="U3443" s="10">
        <v>2841</v>
      </c>
    </row>
    <row r="3444" spans="1:21" x14ac:dyDescent="0.35">
      <c r="A3444" t="s">
        <v>15</v>
      </c>
      <c r="B3444" t="s">
        <v>20</v>
      </c>
      <c r="C3444" t="s">
        <v>17</v>
      </c>
      <c r="D3444">
        <v>204492</v>
      </c>
      <c r="E3444">
        <v>22072</v>
      </c>
      <c r="F3444">
        <v>22188</v>
      </c>
      <c r="G3444">
        <v>-167325</v>
      </c>
      <c r="H3444">
        <v>81427</v>
      </c>
      <c r="I3444">
        <v>73896</v>
      </c>
      <c r="J3444">
        <v>1855</v>
      </c>
      <c r="K3444">
        <v>670034</v>
      </c>
      <c r="L3444">
        <v>147417</v>
      </c>
      <c r="M3444">
        <v>-246114</v>
      </c>
      <c r="N3444">
        <v>100819</v>
      </c>
      <c r="O3444" t="s">
        <v>3462</v>
      </c>
      <c r="P3444" s="9">
        <v>228179</v>
      </c>
      <c r="Q3444" s="9">
        <v>48738</v>
      </c>
      <c r="R3444" s="9">
        <v>276917</v>
      </c>
      <c r="S3444" s="9">
        <v>-141508</v>
      </c>
      <c r="T3444" s="10">
        <v>120958</v>
      </c>
      <c r="U3444" s="10">
        <v>3056</v>
      </c>
    </row>
    <row r="3445" spans="1:21" x14ac:dyDescent="0.35">
      <c r="A3445" t="s">
        <v>15</v>
      </c>
      <c r="B3445" t="s">
        <v>16</v>
      </c>
      <c r="C3445" t="s">
        <v>21</v>
      </c>
      <c r="D3445">
        <v>205250</v>
      </c>
      <c r="E3445">
        <v>27101</v>
      </c>
      <c r="F3445">
        <v>41862</v>
      </c>
      <c r="G3445">
        <v>-180232</v>
      </c>
      <c r="H3445">
        <v>93981</v>
      </c>
      <c r="I3445">
        <v>97138</v>
      </c>
      <c r="J3445">
        <v>2190</v>
      </c>
      <c r="K3445">
        <v>582857</v>
      </c>
      <c r="L3445">
        <v>101677</v>
      </c>
      <c r="M3445">
        <v>-158402</v>
      </c>
      <c r="N3445">
        <v>68410</v>
      </c>
      <c r="O3445" t="s">
        <v>3463</v>
      </c>
      <c r="P3445" s="9">
        <v>240906</v>
      </c>
      <c r="Q3445" s="9">
        <v>22713</v>
      </c>
      <c r="R3445" s="9">
        <v>263619</v>
      </c>
      <c r="S3445" s="9">
        <v>-127195</v>
      </c>
      <c r="T3445" s="10">
        <v>80727</v>
      </c>
      <c r="U3445" s="10">
        <v>1615</v>
      </c>
    </row>
    <row r="3446" spans="1:21" x14ac:dyDescent="0.35">
      <c r="A3446" t="s">
        <v>15</v>
      </c>
      <c r="B3446" t="s">
        <v>20</v>
      </c>
      <c r="C3446" t="s">
        <v>21</v>
      </c>
      <c r="D3446">
        <v>256443</v>
      </c>
      <c r="E3446">
        <v>43852</v>
      </c>
      <c r="F3446">
        <v>55093</v>
      </c>
      <c r="G3446">
        <v>-234493</v>
      </c>
      <c r="H3446">
        <v>120895</v>
      </c>
      <c r="I3446">
        <v>116751</v>
      </c>
      <c r="J3446">
        <v>2277</v>
      </c>
      <c r="K3446">
        <v>636084</v>
      </c>
      <c r="L3446">
        <v>251052</v>
      </c>
      <c r="M3446">
        <v>-228530</v>
      </c>
      <c r="N3446">
        <v>179989</v>
      </c>
      <c r="O3446" t="s">
        <v>3464</v>
      </c>
      <c r="P3446" s="9">
        <v>153275</v>
      </c>
      <c r="Q3446" s="9">
        <v>12721</v>
      </c>
      <c r="R3446" s="9">
        <v>165996</v>
      </c>
      <c r="S3446" s="9">
        <v>-49736</v>
      </c>
      <c r="T3446" s="10">
        <v>65011</v>
      </c>
      <c r="U3446" s="10">
        <v>1435</v>
      </c>
    </row>
    <row r="3447" spans="1:21" x14ac:dyDescent="0.35">
      <c r="A3447" t="s">
        <v>15</v>
      </c>
      <c r="B3447" t="s">
        <v>20</v>
      </c>
      <c r="C3447" t="s">
        <v>17</v>
      </c>
      <c r="D3447">
        <v>224218</v>
      </c>
      <c r="E3447">
        <v>29173</v>
      </c>
      <c r="F3447">
        <v>51027</v>
      </c>
      <c r="G3447">
        <v>-186684</v>
      </c>
      <c r="H3447">
        <v>117734</v>
      </c>
      <c r="I3447">
        <v>107969</v>
      </c>
      <c r="J3447">
        <v>2548</v>
      </c>
      <c r="K3447">
        <v>831411</v>
      </c>
      <c r="L3447">
        <v>380704</v>
      </c>
      <c r="M3447">
        <v>-204251</v>
      </c>
      <c r="N3447">
        <v>68824</v>
      </c>
      <c r="O3447" t="s">
        <v>3465</v>
      </c>
      <c r="P3447" s="9">
        <v>160546</v>
      </c>
      <c r="Q3447" s="9">
        <v>11171</v>
      </c>
      <c r="R3447" s="9">
        <v>171717</v>
      </c>
      <c r="S3447" s="9">
        <v>-96473</v>
      </c>
      <c r="T3447" s="10">
        <v>64769</v>
      </c>
      <c r="U3447" s="10">
        <v>1561</v>
      </c>
    </row>
    <row r="3448" spans="1:21" x14ac:dyDescent="0.35">
      <c r="A3448" t="s">
        <v>15</v>
      </c>
      <c r="B3448" t="s">
        <v>20</v>
      </c>
      <c r="C3448" t="s">
        <v>21</v>
      </c>
      <c r="D3448">
        <v>200741</v>
      </c>
      <c r="E3448">
        <v>27566</v>
      </c>
      <c r="F3448">
        <v>23306</v>
      </c>
      <c r="G3448">
        <v>-193133</v>
      </c>
      <c r="H3448">
        <v>58480</v>
      </c>
      <c r="I3448">
        <v>59100</v>
      </c>
      <c r="J3448">
        <v>1488</v>
      </c>
      <c r="K3448">
        <v>439447</v>
      </c>
      <c r="L3448">
        <v>70149</v>
      </c>
      <c r="M3448">
        <v>-154288</v>
      </c>
      <c r="N3448">
        <v>110524</v>
      </c>
      <c r="O3448" t="s">
        <v>3466</v>
      </c>
      <c r="P3448" s="9">
        <v>270202</v>
      </c>
      <c r="Q3448" s="9">
        <v>50932</v>
      </c>
      <c r="R3448" s="9">
        <v>321134</v>
      </c>
      <c r="S3448" s="9">
        <v>-154000</v>
      </c>
      <c r="T3448" s="10">
        <v>131540</v>
      </c>
      <c r="U3448" s="10">
        <v>1635</v>
      </c>
    </row>
    <row r="3449" spans="1:21" x14ac:dyDescent="0.35">
      <c r="A3449" t="s">
        <v>15</v>
      </c>
      <c r="B3449" t="s">
        <v>16</v>
      </c>
      <c r="C3449" t="s">
        <v>21</v>
      </c>
      <c r="D3449">
        <v>230186</v>
      </c>
      <c r="E3449">
        <v>14214</v>
      </c>
      <c r="F3449">
        <v>50720</v>
      </c>
      <c r="G3449">
        <v>-229233</v>
      </c>
      <c r="H3449">
        <v>65887</v>
      </c>
      <c r="I3449">
        <v>62144</v>
      </c>
      <c r="J3449">
        <v>1572</v>
      </c>
      <c r="K3449">
        <v>522511</v>
      </c>
      <c r="L3449">
        <v>168464</v>
      </c>
      <c r="M3449">
        <v>-94505</v>
      </c>
      <c r="N3449">
        <v>105199</v>
      </c>
      <c r="O3449" t="s">
        <v>3467</v>
      </c>
      <c r="P3449" s="9">
        <v>194967</v>
      </c>
      <c r="Q3449" s="9">
        <v>39830</v>
      </c>
      <c r="R3449" s="9">
        <v>234797</v>
      </c>
      <c r="S3449" s="9">
        <v>-98075</v>
      </c>
      <c r="T3449" s="10">
        <v>94266</v>
      </c>
      <c r="U3449" s="10">
        <v>1328</v>
      </c>
    </row>
    <row r="3450" spans="1:21" x14ac:dyDescent="0.35">
      <c r="A3450" t="s">
        <v>15</v>
      </c>
      <c r="B3450" t="s">
        <v>16</v>
      </c>
      <c r="C3450" t="s">
        <v>21</v>
      </c>
      <c r="D3450">
        <v>219960</v>
      </c>
      <c r="E3450">
        <v>19254</v>
      </c>
      <c r="F3450">
        <v>30852</v>
      </c>
      <c r="G3450">
        <v>-196176</v>
      </c>
      <c r="H3450">
        <v>73890</v>
      </c>
      <c r="I3450">
        <v>76304</v>
      </c>
      <c r="J3450">
        <v>1139</v>
      </c>
      <c r="K3450">
        <v>800764</v>
      </c>
      <c r="L3450">
        <v>296634</v>
      </c>
      <c r="M3450">
        <v>-218072</v>
      </c>
      <c r="N3450">
        <v>156157</v>
      </c>
      <c r="O3450" t="s">
        <v>3468</v>
      </c>
      <c r="P3450" s="9">
        <v>222041</v>
      </c>
      <c r="Q3450" s="9">
        <v>14373</v>
      </c>
      <c r="R3450" s="9">
        <v>236414</v>
      </c>
      <c r="S3450" s="9">
        <v>-129745</v>
      </c>
      <c r="T3450" s="10">
        <v>53574</v>
      </c>
      <c r="U3450" s="10">
        <v>618</v>
      </c>
    </row>
    <row r="3451" spans="1:21" x14ac:dyDescent="0.35">
      <c r="A3451" t="s">
        <v>15</v>
      </c>
      <c r="B3451" t="s">
        <v>20</v>
      </c>
      <c r="C3451" t="s">
        <v>21</v>
      </c>
      <c r="D3451">
        <v>203038</v>
      </c>
      <c r="E3451">
        <v>17956</v>
      </c>
      <c r="F3451">
        <v>25108</v>
      </c>
      <c r="G3451">
        <v>-177923</v>
      </c>
      <c r="H3451">
        <v>68179</v>
      </c>
      <c r="I3451">
        <v>71260</v>
      </c>
      <c r="J3451">
        <v>1617</v>
      </c>
      <c r="K3451">
        <v>632422</v>
      </c>
      <c r="L3451">
        <v>185070</v>
      </c>
      <c r="M3451">
        <v>-190714</v>
      </c>
      <c r="N3451">
        <v>102101</v>
      </c>
      <c r="O3451" t="s">
        <v>3469</v>
      </c>
      <c r="P3451" s="9">
        <v>307975</v>
      </c>
      <c r="Q3451" s="9">
        <v>17766</v>
      </c>
      <c r="R3451" s="9">
        <v>325741</v>
      </c>
      <c r="S3451" s="9">
        <v>-192717</v>
      </c>
      <c r="T3451" s="10">
        <v>92428</v>
      </c>
      <c r="U3451" s="10">
        <v>1156</v>
      </c>
    </row>
    <row r="3452" spans="1:21" x14ac:dyDescent="0.35">
      <c r="A3452" t="s">
        <v>15</v>
      </c>
      <c r="B3452" t="s">
        <v>16</v>
      </c>
      <c r="C3452" t="s">
        <v>21</v>
      </c>
      <c r="D3452">
        <v>203360</v>
      </c>
      <c r="E3452">
        <v>21534</v>
      </c>
      <c r="F3452">
        <v>40204</v>
      </c>
      <c r="G3452">
        <v>-201250</v>
      </c>
      <c r="H3452">
        <v>63848</v>
      </c>
      <c r="I3452">
        <v>60186</v>
      </c>
      <c r="J3452">
        <v>1103</v>
      </c>
      <c r="K3452">
        <v>684924</v>
      </c>
      <c r="L3452">
        <v>286209</v>
      </c>
      <c r="M3452">
        <v>-151352</v>
      </c>
      <c r="N3452">
        <v>103111</v>
      </c>
      <c r="O3452" t="s">
        <v>3470</v>
      </c>
      <c r="P3452" s="9">
        <v>153420</v>
      </c>
      <c r="Q3452" s="9">
        <v>12952</v>
      </c>
      <c r="R3452" s="9">
        <v>166372</v>
      </c>
      <c r="S3452" s="9">
        <v>-43002</v>
      </c>
      <c r="T3452" s="10">
        <v>59796</v>
      </c>
      <c r="U3452" s="10">
        <v>1552</v>
      </c>
    </row>
    <row r="3453" spans="1:21" x14ac:dyDescent="0.35">
      <c r="A3453" t="s">
        <v>15</v>
      </c>
      <c r="B3453" t="s">
        <v>16</v>
      </c>
      <c r="C3453" t="s">
        <v>21</v>
      </c>
      <c r="D3453">
        <v>228538</v>
      </c>
      <c r="E3453">
        <v>17465</v>
      </c>
      <c r="F3453">
        <v>56844</v>
      </c>
      <c r="G3453">
        <v>-218444</v>
      </c>
      <c r="H3453">
        <v>84403</v>
      </c>
      <c r="I3453">
        <v>84821</v>
      </c>
      <c r="J3453">
        <v>1062</v>
      </c>
      <c r="K3453">
        <v>575326</v>
      </c>
      <c r="L3453">
        <v>248848</v>
      </c>
      <c r="M3453">
        <v>-83510</v>
      </c>
      <c r="N3453">
        <v>147592</v>
      </c>
      <c r="O3453" t="s">
        <v>3471</v>
      </c>
      <c r="P3453" s="9">
        <v>299016</v>
      </c>
      <c r="Q3453" s="9">
        <v>50447</v>
      </c>
      <c r="R3453" s="9">
        <v>349463</v>
      </c>
      <c r="S3453" s="9">
        <v>-190902</v>
      </c>
      <c r="T3453" s="10">
        <v>135390</v>
      </c>
      <c r="U3453" s="10">
        <v>1365</v>
      </c>
    </row>
    <row r="3454" spans="1:21" x14ac:dyDescent="0.35">
      <c r="A3454" t="s">
        <v>15</v>
      </c>
      <c r="B3454" t="s">
        <v>20</v>
      </c>
      <c r="C3454" t="s">
        <v>17</v>
      </c>
      <c r="D3454">
        <v>258387</v>
      </c>
      <c r="E3454">
        <v>13576</v>
      </c>
      <c r="F3454">
        <v>53741</v>
      </c>
      <c r="G3454">
        <v>-244494</v>
      </c>
      <c r="H3454">
        <v>81210</v>
      </c>
      <c r="I3454">
        <v>80260</v>
      </c>
      <c r="J3454">
        <v>2344</v>
      </c>
      <c r="K3454">
        <v>578415</v>
      </c>
      <c r="L3454">
        <v>162300</v>
      </c>
      <c r="M3454">
        <v>-182603</v>
      </c>
      <c r="N3454">
        <v>118713</v>
      </c>
      <c r="O3454" t="s">
        <v>3472</v>
      </c>
      <c r="P3454" s="9">
        <v>273010</v>
      </c>
      <c r="Q3454" s="9">
        <v>24565</v>
      </c>
      <c r="R3454" s="9">
        <v>297575</v>
      </c>
      <c r="S3454" s="9">
        <v>-149661</v>
      </c>
      <c r="T3454" s="10">
        <v>93614</v>
      </c>
      <c r="U3454" s="10">
        <v>2688</v>
      </c>
    </row>
    <row r="3455" spans="1:21" x14ac:dyDescent="0.35">
      <c r="A3455" t="s">
        <v>15</v>
      </c>
      <c r="B3455" t="s">
        <v>16</v>
      </c>
      <c r="C3455" t="s">
        <v>21</v>
      </c>
      <c r="D3455">
        <v>169238</v>
      </c>
      <c r="E3455">
        <v>25783</v>
      </c>
      <c r="F3455">
        <v>25782</v>
      </c>
      <c r="G3455">
        <v>-167967</v>
      </c>
      <c r="H3455">
        <v>52836</v>
      </c>
      <c r="I3455">
        <v>50410</v>
      </c>
      <c r="J3455">
        <v>963</v>
      </c>
      <c r="K3455">
        <v>592822</v>
      </c>
      <c r="L3455">
        <v>246034</v>
      </c>
      <c r="M3455">
        <v>-149541</v>
      </c>
      <c r="N3455">
        <v>63751</v>
      </c>
      <c r="O3455" t="s">
        <v>3473</v>
      </c>
      <c r="P3455" s="9">
        <v>272604</v>
      </c>
      <c r="Q3455" s="9">
        <v>47544</v>
      </c>
      <c r="R3455" s="9">
        <v>320148</v>
      </c>
      <c r="S3455" s="9">
        <v>-140909</v>
      </c>
      <c r="T3455" s="10">
        <v>101926</v>
      </c>
      <c r="U3455" s="10">
        <v>2600</v>
      </c>
    </row>
    <row r="3456" spans="1:21" x14ac:dyDescent="0.35">
      <c r="A3456" t="s">
        <v>15</v>
      </c>
      <c r="B3456" t="s">
        <v>16</v>
      </c>
      <c r="C3456" t="s">
        <v>21</v>
      </c>
      <c r="D3456">
        <v>257383</v>
      </c>
      <c r="E3456">
        <v>13354</v>
      </c>
      <c r="F3456">
        <v>63006</v>
      </c>
      <c r="G3456">
        <v>-238371</v>
      </c>
      <c r="H3456">
        <v>95372</v>
      </c>
      <c r="I3456">
        <v>99761</v>
      </c>
      <c r="J3456">
        <v>2655</v>
      </c>
      <c r="K3456">
        <v>875419</v>
      </c>
      <c r="L3456">
        <v>239330</v>
      </c>
      <c r="M3456">
        <v>-312820</v>
      </c>
      <c r="N3456">
        <v>199867</v>
      </c>
      <c r="O3456" t="s">
        <v>3474</v>
      </c>
      <c r="P3456" s="9">
        <v>298136</v>
      </c>
      <c r="Q3456" s="9">
        <v>44036</v>
      </c>
      <c r="R3456" s="9">
        <v>342172</v>
      </c>
      <c r="S3456" s="9">
        <v>-183675</v>
      </c>
      <c r="T3456" s="10">
        <v>126950</v>
      </c>
      <c r="U3456" s="10">
        <v>2307</v>
      </c>
    </row>
    <row r="3457" spans="1:21" x14ac:dyDescent="0.35">
      <c r="A3457" t="s">
        <v>15</v>
      </c>
      <c r="B3457" t="s">
        <v>20</v>
      </c>
      <c r="C3457" t="s">
        <v>21</v>
      </c>
      <c r="D3457">
        <v>291559</v>
      </c>
      <c r="E3457">
        <v>45525</v>
      </c>
      <c r="F3457">
        <v>65752</v>
      </c>
      <c r="G3457">
        <v>-240282</v>
      </c>
      <c r="H3457">
        <v>162554</v>
      </c>
      <c r="I3457">
        <v>166204</v>
      </c>
      <c r="J3457">
        <v>3413</v>
      </c>
      <c r="K3457">
        <v>647874</v>
      </c>
      <c r="L3457">
        <v>253568</v>
      </c>
      <c r="M3457">
        <v>-233566</v>
      </c>
      <c r="N3457">
        <v>195231</v>
      </c>
      <c r="O3457" t="s">
        <v>3475</v>
      </c>
      <c r="P3457" s="9">
        <v>246038</v>
      </c>
      <c r="Q3457" s="9">
        <v>23144</v>
      </c>
      <c r="R3457" s="9">
        <v>269182</v>
      </c>
      <c r="S3457" s="9">
        <v>-94900</v>
      </c>
      <c r="T3457" s="10">
        <v>102782</v>
      </c>
      <c r="U3457" s="10">
        <v>2578</v>
      </c>
    </row>
    <row r="3458" spans="1:21" x14ac:dyDescent="0.35">
      <c r="A3458" t="s">
        <v>15</v>
      </c>
      <c r="B3458" t="s">
        <v>20</v>
      </c>
      <c r="C3458" t="s">
        <v>21</v>
      </c>
      <c r="D3458">
        <v>234938</v>
      </c>
      <c r="E3458">
        <v>30397</v>
      </c>
      <c r="F3458">
        <v>54976</v>
      </c>
      <c r="G3458">
        <v>-190619</v>
      </c>
      <c r="H3458">
        <v>129692</v>
      </c>
      <c r="I3458">
        <v>121208</v>
      </c>
      <c r="J3458">
        <v>3098</v>
      </c>
      <c r="K3458">
        <v>833693</v>
      </c>
      <c r="L3458">
        <v>350673</v>
      </c>
      <c r="M3458">
        <v>-138310</v>
      </c>
      <c r="N3458">
        <v>97654</v>
      </c>
      <c r="O3458" t="s">
        <v>3476</v>
      </c>
      <c r="P3458" s="9">
        <v>243766</v>
      </c>
      <c r="Q3458" s="9">
        <v>27752</v>
      </c>
      <c r="R3458" s="9">
        <v>271518</v>
      </c>
      <c r="S3458" s="9">
        <v>-119247</v>
      </c>
      <c r="T3458" s="10">
        <v>109313</v>
      </c>
      <c r="U3458" s="10">
        <v>1713</v>
      </c>
    </row>
    <row r="3459" spans="1:21" x14ac:dyDescent="0.35">
      <c r="A3459" t="s">
        <v>15</v>
      </c>
      <c r="B3459" t="s">
        <v>16</v>
      </c>
      <c r="C3459" t="s">
        <v>21</v>
      </c>
      <c r="D3459">
        <v>202005</v>
      </c>
      <c r="E3459">
        <v>40198</v>
      </c>
      <c r="F3459">
        <v>32693</v>
      </c>
      <c r="G3459">
        <v>-173690</v>
      </c>
      <c r="H3459">
        <v>101206</v>
      </c>
      <c r="I3459">
        <v>99412</v>
      </c>
      <c r="J3459">
        <v>1240</v>
      </c>
      <c r="K3459">
        <v>559897</v>
      </c>
      <c r="L3459">
        <v>139896</v>
      </c>
      <c r="M3459">
        <v>-167353</v>
      </c>
      <c r="N3459">
        <v>148645</v>
      </c>
      <c r="O3459" t="s">
        <v>3477</v>
      </c>
      <c r="P3459" s="9">
        <v>192528</v>
      </c>
      <c r="Q3459" s="9">
        <v>21146</v>
      </c>
      <c r="R3459" s="9">
        <v>213674</v>
      </c>
      <c r="S3459" s="9">
        <v>-86078</v>
      </c>
      <c r="T3459" s="10">
        <v>72325</v>
      </c>
      <c r="U3459" s="10">
        <v>1071</v>
      </c>
    </row>
    <row r="3460" spans="1:21" x14ac:dyDescent="0.35">
      <c r="A3460" t="s">
        <v>15</v>
      </c>
      <c r="B3460" t="s">
        <v>16</v>
      </c>
      <c r="C3460" t="s">
        <v>21</v>
      </c>
      <c r="D3460">
        <v>298498</v>
      </c>
      <c r="E3460">
        <v>45815</v>
      </c>
      <c r="F3460">
        <v>71577</v>
      </c>
      <c r="G3460">
        <v>-263698</v>
      </c>
      <c r="H3460">
        <v>152192</v>
      </c>
      <c r="I3460">
        <v>155114</v>
      </c>
      <c r="J3460">
        <v>4472</v>
      </c>
      <c r="K3460">
        <v>1027578</v>
      </c>
      <c r="L3460">
        <v>437765</v>
      </c>
      <c r="M3460">
        <v>-276715</v>
      </c>
      <c r="N3460">
        <v>168178</v>
      </c>
      <c r="O3460" t="s">
        <v>3478</v>
      </c>
      <c r="P3460" s="9">
        <v>153831</v>
      </c>
      <c r="Q3460" s="9">
        <v>31318</v>
      </c>
      <c r="R3460" s="9">
        <v>185149</v>
      </c>
      <c r="S3460" s="9">
        <v>-56976</v>
      </c>
      <c r="T3460" s="10">
        <v>86241</v>
      </c>
      <c r="U3460" s="10">
        <v>1679</v>
      </c>
    </row>
    <row r="3461" spans="1:21" x14ac:dyDescent="0.35">
      <c r="A3461" t="s">
        <v>15</v>
      </c>
      <c r="B3461" t="s">
        <v>20</v>
      </c>
      <c r="C3461" t="s">
        <v>21</v>
      </c>
      <c r="D3461">
        <v>212389</v>
      </c>
      <c r="E3461">
        <v>33510</v>
      </c>
      <c r="F3461">
        <v>40722</v>
      </c>
      <c r="G3461">
        <v>-170196</v>
      </c>
      <c r="H3461">
        <v>116425</v>
      </c>
      <c r="I3461">
        <v>119654</v>
      </c>
      <c r="J3461">
        <v>1590</v>
      </c>
      <c r="K3461">
        <v>751592</v>
      </c>
      <c r="L3461">
        <v>370941</v>
      </c>
      <c r="M3461">
        <v>-262109</v>
      </c>
      <c r="N3461">
        <v>94696</v>
      </c>
      <c r="O3461" t="s">
        <v>3479</v>
      </c>
      <c r="P3461" s="9">
        <v>283948</v>
      </c>
      <c r="Q3461" s="9">
        <v>28857</v>
      </c>
      <c r="R3461" s="9">
        <v>312805</v>
      </c>
      <c r="S3461" s="9">
        <v>-178778</v>
      </c>
      <c r="T3461" s="10">
        <v>85476</v>
      </c>
      <c r="U3461" s="10">
        <v>1315</v>
      </c>
    </row>
    <row r="3462" spans="1:21" x14ac:dyDescent="0.35">
      <c r="A3462" t="s">
        <v>15</v>
      </c>
      <c r="B3462" t="s">
        <v>20</v>
      </c>
      <c r="C3462" t="s">
        <v>21</v>
      </c>
      <c r="D3462">
        <v>170643</v>
      </c>
      <c r="E3462">
        <v>23085</v>
      </c>
      <c r="F3462">
        <v>26356</v>
      </c>
      <c r="G3462">
        <v>-161816</v>
      </c>
      <c r="H3462">
        <v>58268</v>
      </c>
      <c r="I3462">
        <v>54552</v>
      </c>
      <c r="J3462">
        <v>1396</v>
      </c>
      <c r="K3462">
        <v>368734</v>
      </c>
      <c r="L3462">
        <v>166857</v>
      </c>
      <c r="M3462">
        <v>-147473</v>
      </c>
      <c r="N3462">
        <v>84872</v>
      </c>
      <c r="O3462" t="s">
        <v>3480</v>
      </c>
      <c r="P3462" s="9">
        <v>234250</v>
      </c>
      <c r="Q3462" s="9">
        <v>36764</v>
      </c>
      <c r="R3462" s="9">
        <v>271014</v>
      </c>
      <c r="S3462" s="9">
        <v>-150793</v>
      </c>
      <c r="T3462" s="10">
        <v>114426</v>
      </c>
      <c r="U3462" s="10">
        <v>2382</v>
      </c>
    </row>
    <row r="3463" spans="1:21" x14ac:dyDescent="0.35">
      <c r="A3463" t="s">
        <v>15</v>
      </c>
      <c r="B3463" t="s">
        <v>16</v>
      </c>
      <c r="C3463" t="s">
        <v>21</v>
      </c>
      <c r="D3463">
        <v>164727</v>
      </c>
      <c r="E3463">
        <v>31369</v>
      </c>
      <c r="F3463">
        <v>30356</v>
      </c>
      <c r="G3463">
        <v>-151631</v>
      </c>
      <c r="H3463">
        <v>74821</v>
      </c>
      <c r="I3463">
        <v>70045</v>
      </c>
      <c r="J3463">
        <v>980</v>
      </c>
      <c r="K3463">
        <v>626930</v>
      </c>
      <c r="L3463">
        <v>98313</v>
      </c>
      <c r="M3463">
        <v>-246223</v>
      </c>
      <c r="N3463">
        <v>116077</v>
      </c>
      <c r="O3463" t="s">
        <v>3481</v>
      </c>
      <c r="P3463" s="9">
        <v>208103</v>
      </c>
      <c r="Q3463" s="9">
        <v>30104</v>
      </c>
      <c r="R3463" s="9">
        <v>238207</v>
      </c>
      <c r="S3463" s="9">
        <v>-129632</v>
      </c>
      <c r="T3463" s="10">
        <v>103380</v>
      </c>
      <c r="U3463" s="10">
        <v>2919</v>
      </c>
    </row>
    <row r="3464" spans="1:21" x14ac:dyDescent="0.35">
      <c r="A3464" t="s">
        <v>15</v>
      </c>
      <c r="B3464" t="s">
        <v>20</v>
      </c>
      <c r="C3464" t="s">
        <v>21</v>
      </c>
      <c r="D3464">
        <v>229832</v>
      </c>
      <c r="E3464">
        <v>41001</v>
      </c>
      <c r="F3464">
        <v>55912</v>
      </c>
      <c r="G3464">
        <v>-190958</v>
      </c>
      <c r="H3464">
        <v>135787</v>
      </c>
      <c r="I3464">
        <v>131254</v>
      </c>
      <c r="J3464">
        <v>2596</v>
      </c>
      <c r="K3464">
        <v>712070</v>
      </c>
      <c r="L3464">
        <v>176641</v>
      </c>
      <c r="M3464">
        <v>-206822</v>
      </c>
      <c r="N3464">
        <v>139136</v>
      </c>
      <c r="O3464" t="s">
        <v>3482</v>
      </c>
      <c r="P3464" s="9">
        <v>246399</v>
      </c>
      <c r="Q3464" s="9">
        <v>22566</v>
      </c>
      <c r="R3464" s="9">
        <v>268965</v>
      </c>
      <c r="S3464" s="9">
        <v>-158854</v>
      </c>
      <c r="T3464" s="10">
        <v>96467</v>
      </c>
      <c r="U3464" s="10">
        <v>1567</v>
      </c>
    </row>
    <row r="3465" spans="1:21" x14ac:dyDescent="0.35">
      <c r="A3465" t="s">
        <v>15</v>
      </c>
      <c r="B3465" t="s">
        <v>20</v>
      </c>
      <c r="C3465" t="s">
        <v>17</v>
      </c>
      <c r="D3465">
        <v>207077</v>
      </c>
      <c r="E3465">
        <v>26524</v>
      </c>
      <c r="F3465">
        <v>42115</v>
      </c>
      <c r="G3465">
        <v>-175454</v>
      </c>
      <c r="H3465">
        <v>100262</v>
      </c>
      <c r="I3465">
        <v>99998</v>
      </c>
      <c r="J3465">
        <v>2391</v>
      </c>
      <c r="K3465">
        <v>712157</v>
      </c>
      <c r="L3465">
        <v>111116</v>
      </c>
      <c r="M3465">
        <v>-123105</v>
      </c>
      <c r="N3465">
        <v>109556</v>
      </c>
      <c r="O3465" t="s">
        <v>3483</v>
      </c>
      <c r="P3465" s="9">
        <v>173817</v>
      </c>
      <c r="Q3465" s="9">
        <v>24759</v>
      </c>
      <c r="R3465" s="9">
        <v>198576</v>
      </c>
      <c r="S3465" s="9">
        <v>-74031</v>
      </c>
      <c r="T3465" s="10">
        <v>77749</v>
      </c>
      <c r="U3465" s="10">
        <v>935</v>
      </c>
    </row>
    <row r="3466" spans="1:21" x14ac:dyDescent="0.35">
      <c r="A3466" t="s">
        <v>15</v>
      </c>
      <c r="B3466" t="s">
        <v>16</v>
      </c>
      <c r="C3466" t="s">
        <v>21</v>
      </c>
      <c r="D3466">
        <v>161353</v>
      </c>
      <c r="E3466">
        <v>9074</v>
      </c>
      <c r="F3466">
        <v>36116</v>
      </c>
      <c r="G3466">
        <v>-155486</v>
      </c>
      <c r="H3466">
        <v>51057</v>
      </c>
      <c r="I3466">
        <v>49683</v>
      </c>
      <c r="J3466">
        <v>595</v>
      </c>
      <c r="K3466">
        <v>421630</v>
      </c>
      <c r="L3466">
        <v>43789</v>
      </c>
      <c r="M3466">
        <v>-84797</v>
      </c>
      <c r="N3466">
        <v>118042</v>
      </c>
      <c r="O3466" t="s">
        <v>3484</v>
      </c>
      <c r="P3466" s="9">
        <v>230838</v>
      </c>
      <c r="Q3466" s="9">
        <v>18456</v>
      </c>
      <c r="R3466" s="9">
        <v>249294</v>
      </c>
      <c r="S3466" s="9">
        <v>-58197</v>
      </c>
      <c r="T3466" s="10">
        <v>49043</v>
      </c>
      <c r="U3466" s="10">
        <v>987</v>
      </c>
    </row>
    <row r="3467" spans="1:21" x14ac:dyDescent="0.35">
      <c r="A3467" t="s">
        <v>15</v>
      </c>
      <c r="B3467" t="s">
        <v>20</v>
      </c>
      <c r="C3467" t="s">
        <v>21</v>
      </c>
      <c r="D3467">
        <v>212682</v>
      </c>
      <c r="E3467">
        <v>24742</v>
      </c>
      <c r="F3467">
        <v>50649</v>
      </c>
      <c r="G3467">
        <v>-191900</v>
      </c>
      <c r="H3467">
        <v>96173</v>
      </c>
      <c r="I3467">
        <v>86684</v>
      </c>
      <c r="J3467">
        <v>1041</v>
      </c>
      <c r="K3467">
        <v>796262</v>
      </c>
      <c r="L3467">
        <v>278956</v>
      </c>
      <c r="M3467">
        <v>-98266</v>
      </c>
      <c r="N3467">
        <v>126694</v>
      </c>
      <c r="O3467" t="s">
        <v>3485</v>
      </c>
      <c r="P3467" s="9">
        <v>161825</v>
      </c>
      <c r="Q3467" s="9">
        <v>9028</v>
      </c>
      <c r="R3467" s="9">
        <v>170853</v>
      </c>
      <c r="S3467" s="9">
        <v>-41687</v>
      </c>
      <c r="T3467" s="10">
        <v>29836</v>
      </c>
      <c r="U3467" s="10">
        <v>609</v>
      </c>
    </row>
    <row r="3468" spans="1:21" x14ac:dyDescent="0.35">
      <c r="A3468" t="s">
        <v>15</v>
      </c>
      <c r="B3468" t="s">
        <v>20</v>
      </c>
      <c r="C3468" t="s">
        <v>21</v>
      </c>
      <c r="D3468">
        <v>221685</v>
      </c>
      <c r="E3468">
        <v>38044</v>
      </c>
      <c r="F3468">
        <v>23382</v>
      </c>
      <c r="G3468">
        <v>-188679</v>
      </c>
      <c r="H3468">
        <v>94432</v>
      </c>
      <c r="I3468">
        <v>89042</v>
      </c>
      <c r="J3468">
        <v>1553</v>
      </c>
      <c r="K3468">
        <v>653559</v>
      </c>
      <c r="L3468">
        <v>293512</v>
      </c>
      <c r="M3468">
        <v>-69360</v>
      </c>
      <c r="N3468">
        <v>93649</v>
      </c>
      <c r="O3468" t="s">
        <v>3486</v>
      </c>
      <c r="P3468" s="9">
        <v>200789</v>
      </c>
      <c r="Q3468" s="9">
        <v>15044</v>
      </c>
      <c r="R3468" s="9">
        <v>215833</v>
      </c>
      <c r="S3468" s="9">
        <v>-57384</v>
      </c>
      <c r="T3468" s="10">
        <v>43090</v>
      </c>
      <c r="U3468" s="10">
        <v>1141</v>
      </c>
    </row>
    <row r="3469" spans="1:21" x14ac:dyDescent="0.35">
      <c r="A3469" t="s">
        <v>15</v>
      </c>
      <c r="B3469" t="s">
        <v>16</v>
      </c>
      <c r="C3469" t="s">
        <v>17</v>
      </c>
      <c r="D3469">
        <v>166047</v>
      </c>
      <c r="E3469">
        <v>23434</v>
      </c>
      <c r="F3469">
        <v>24049</v>
      </c>
      <c r="G3469">
        <v>-138673</v>
      </c>
      <c r="H3469">
        <v>74857</v>
      </c>
      <c r="I3469">
        <v>72323</v>
      </c>
      <c r="J3469">
        <v>1533</v>
      </c>
      <c r="K3469">
        <v>429068</v>
      </c>
      <c r="L3469">
        <v>153628</v>
      </c>
      <c r="M3469">
        <v>-102761</v>
      </c>
      <c r="N3469">
        <v>140101</v>
      </c>
      <c r="O3469" t="s">
        <v>3487</v>
      </c>
      <c r="P3469" s="9">
        <v>265772</v>
      </c>
      <c r="Q3469" s="9">
        <v>41991</v>
      </c>
      <c r="R3469" s="9">
        <v>307763</v>
      </c>
      <c r="S3469" s="9">
        <v>-126696</v>
      </c>
      <c r="T3469" s="10">
        <v>124094</v>
      </c>
      <c r="U3469" s="10">
        <v>1772</v>
      </c>
    </row>
    <row r="3470" spans="1:21" x14ac:dyDescent="0.35">
      <c r="A3470" t="s">
        <v>15</v>
      </c>
      <c r="B3470" t="s">
        <v>20</v>
      </c>
      <c r="C3470" t="s">
        <v>21</v>
      </c>
      <c r="D3470">
        <v>163002</v>
      </c>
      <c r="E3470">
        <v>14645</v>
      </c>
      <c r="F3470">
        <v>27459</v>
      </c>
      <c r="G3470">
        <v>-141016</v>
      </c>
      <c r="H3470">
        <v>64090</v>
      </c>
      <c r="I3470">
        <v>59633</v>
      </c>
      <c r="J3470">
        <v>863</v>
      </c>
      <c r="K3470">
        <v>373221</v>
      </c>
      <c r="L3470">
        <v>102424</v>
      </c>
      <c r="M3470">
        <v>-139701</v>
      </c>
      <c r="N3470">
        <v>73752</v>
      </c>
      <c r="O3470" t="s">
        <v>3488</v>
      </c>
      <c r="P3470" s="9">
        <v>296555</v>
      </c>
      <c r="Q3470" s="9">
        <v>54530</v>
      </c>
      <c r="R3470" s="9">
        <v>351085</v>
      </c>
      <c r="S3470" s="9">
        <v>-110830</v>
      </c>
      <c r="T3470" s="10">
        <v>149248</v>
      </c>
      <c r="U3470" s="10">
        <v>2418</v>
      </c>
    </row>
    <row r="3471" spans="1:21" x14ac:dyDescent="0.35">
      <c r="A3471" t="s">
        <v>15</v>
      </c>
      <c r="B3471" t="s">
        <v>20</v>
      </c>
      <c r="C3471" t="s">
        <v>17</v>
      </c>
      <c r="D3471">
        <v>199275</v>
      </c>
      <c r="E3471">
        <v>10749</v>
      </c>
      <c r="F3471">
        <v>34236</v>
      </c>
      <c r="G3471">
        <v>-195370</v>
      </c>
      <c r="H3471">
        <v>48890</v>
      </c>
      <c r="I3471">
        <v>47144</v>
      </c>
      <c r="J3471">
        <v>1260</v>
      </c>
      <c r="K3471">
        <v>714271</v>
      </c>
      <c r="L3471">
        <v>343595</v>
      </c>
      <c r="M3471">
        <v>-191445</v>
      </c>
      <c r="N3471">
        <v>171052</v>
      </c>
      <c r="O3471" t="s">
        <v>3489</v>
      </c>
      <c r="P3471" s="9">
        <v>225444</v>
      </c>
      <c r="Q3471" s="9">
        <v>21710</v>
      </c>
      <c r="R3471" s="9">
        <v>247154</v>
      </c>
      <c r="S3471" s="9">
        <v>-112385</v>
      </c>
      <c r="T3471" s="10">
        <v>81857</v>
      </c>
      <c r="U3471" s="10">
        <v>1828</v>
      </c>
    </row>
    <row r="3472" spans="1:21" x14ac:dyDescent="0.35">
      <c r="A3472" t="s">
        <v>15</v>
      </c>
      <c r="B3472" t="s">
        <v>16</v>
      </c>
      <c r="C3472" t="s">
        <v>17</v>
      </c>
      <c r="D3472">
        <v>256575</v>
      </c>
      <c r="E3472">
        <v>13606</v>
      </c>
      <c r="F3472">
        <v>38471</v>
      </c>
      <c r="G3472">
        <v>-237295</v>
      </c>
      <c r="H3472">
        <v>71357</v>
      </c>
      <c r="I3472">
        <v>71322</v>
      </c>
      <c r="J3472">
        <v>1270</v>
      </c>
      <c r="K3472">
        <v>929413</v>
      </c>
      <c r="L3472">
        <v>323110</v>
      </c>
      <c r="M3472">
        <v>-219628</v>
      </c>
      <c r="N3472">
        <v>131841</v>
      </c>
      <c r="O3472" t="s">
        <v>3490</v>
      </c>
      <c r="P3472" s="9">
        <v>183908</v>
      </c>
      <c r="Q3472" s="9">
        <v>33289</v>
      </c>
      <c r="R3472" s="9">
        <v>217197</v>
      </c>
      <c r="S3472" s="9">
        <v>-126460</v>
      </c>
      <c r="T3472" s="10">
        <v>109528</v>
      </c>
      <c r="U3472" s="10">
        <v>1585</v>
      </c>
    </row>
    <row r="3473" spans="1:21" x14ac:dyDescent="0.35">
      <c r="A3473" t="s">
        <v>15</v>
      </c>
      <c r="B3473" t="s">
        <v>16</v>
      </c>
      <c r="C3473" t="s">
        <v>21</v>
      </c>
      <c r="D3473">
        <v>286452</v>
      </c>
      <c r="E3473">
        <v>42319</v>
      </c>
      <c r="F3473">
        <v>50379</v>
      </c>
      <c r="G3473">
        <v>-252252</v>
      </c>
      <c r="H3473">
        <v>126898</v>
      </c>
      <c r="I3473">
        <v>129155</v>
      </c>
      <c r="J3473">
        <v>1734</v>
      </c>
      <c r="K3473">
        <v>652788</v>
      </c>
      <c r="L3473">
        <v>314479</v>
      </c>
      <c r="M3473">
        <v>-102532</v>
      </c>
      <c r="N3473">
        <v>164926</v>
      </c>
      <c r="O3473" t="s">
        <v>3491</v>
      </c>
      <c r="P3473" s="9">
        <v>268280</v>
      </c>
      <c r="Q3473" s="9">
        <v>42642</v>
      </c>
      <c r="R3473" s="9">
        <v>310922</v>
      </c>
      <c r="S3473" s="9">
        <v>-78231</v>
      </c>
      <c r="T3473" s="10">
        <v>131240</v>
      </c>
      <c r="U3473" s="10">
        <v>2528</v>
      </c>
    </row>
    <row r="3474" spans="1:21" x14ac:dyDescent="0.35">
      <c r="A3474" t="s">
        <v>15</v>
      </c>
      <c r="B3474" t="s">
        <v>16</v>
      </c>
      <c r="C3474" t="s">
        <v>21</v>
      </c>
      <c r="D3474">
        <v>179358</v>
      </c>
      <c r="E3474">
        <v>20439</v>
      </c>
      <c r="F3474">
        <v>33518</v>
      </c>
      <c r="G3474">
        <v>-172593</v>
      </c>
      <c r="H3474">
        <v>60722</v>
      </c>
      <c r="I3474">
        <v>60552</v>
      </c>
      <c r="J3474">
        <v>1636</v>
      </c>
      <c r="K3474">
        <v>556653</v>
      </c>
      <c r="L3474">
        <v>106518</v>
      </c>
      <c r="M3474">
        <v>-85296</v>
      </c>
      <c r="N3474">
        <v>92666</v>
      </c>
      <c r="O3474" t="s">
        <v>3492</v>
      </c>
      <c r="P3474" s="9">
        <v>224449</v>
      </c>
      <c r="Q3474" s="9">
        <v>28417</v>
      </c>
      <c r="R3474" s="9">
        <v>252866</v>
      </c>
      <c r="S3474" s="9">
        <v>-126155</v>
      </c>
      <c r="T3474" s="10">
        <v>91935</v>
      </c>
      <c r="U3474" s="10">
        <v>1200</v>
      </c>
    </row>
    <row r="3475" spans="1:21" x14ac:dyDescent="0.35">
      <c r="A3475" t="s">
        <v>15</v>
      </c>
      <c r="B3475" t="s">
        <v>20</v>
      </c>
      <c r="C3475" t="s">
        <v>21</v>
      </c>
      <c r="D3475">
        <v>287433</v>
      </c>
      <c r="E3475">
        <v>43134</v>
      </c>
      <c r="F3475">
        <v>49810</v>
      </c>
      <c r="G3475">
        <v>-255843</v>
      </c>
      <c r="H3475">
        <v>124534</v>
      </c>
      <c r="I3475">
        <v>118419</v>
      </c>
      <c r="J3475">
        <v>2388</v>
      </c>
      <c r="K3475">
        <v>698489</v>
      </c>
      <c r="L3475">
        <v>107578</v>
      </c>
      <c r="M3475">
        <v>-164178</v>
      </c>
      <c r="N3475">
        <v>197463</v>
      </c>
      <c r="O3475" t="s">
        <v>3493</v>
      </c>
      <c r="P3475" s="9">
        <v>228863</v>
      </c>
      <c r="Q3475" s="9">
        <v>46282</v>
      </c>
      <c r="R3475" s="9">
        <v>275145</v>
      </c>
      <c r="S3475" s="9">
        <v>-140760</v>
      </c>
      <c r="T3475" s="10">
        <v>91942</v>
      </c>
      <c r="U3475" s="10">
        <v>2484</v>
      </c>
    </row>
    <row r="3476" spans="1:21" x14ac:dyDescent="0.35">
      <c r="A3476" t="s">
        <v>15</v>
      </c>
      <c r="B3476" t="s">
        <v>16</v>
      </c>
      <c r="C3476" t="s">
        <v>21</v>
      </c>
      <c r="D3476">
        <v>280315</v>
      </c>
      <c r="E3476">
        <v>16500</v>
      </c>
      <c r="F3476">
        <v>63765</v>
      </c>
      <c r="G3476">
        <v>-267135</v>
      </c>
      <c r="H3476">
        <v>93445</v>
      </c>
      <c r="I3476">
        <v>88766</v>
      </c>
      <c r="J3476">
        <v>1437</v>
      </c>
      <c r="K3476">
        <v>929896</v>
      </c>
      <c r="L3476">
        <v>276961</v>
      </c>
      <c r="M3476">
        <v>-152425</v>
      </c>
      <c r="N3476">
        <v>202299</v>
      </c>
      <c r="O3476" t="s">
        <v>3494</v>
      </c>
      <c r="P3476" s="9">
        <v>215422</v>
      </c>
      <c r="Q3476" s="9">
        <v>18734</v>
      </c>
      <c r="R3476" s="9">
        <v>234156</v>
      </c>
      <c r="S3476" s="9">
        <v>-59957</v>
      </c>
      <c r="T3476" s="10">
        <v>73432</v>
      </c>
      <c r="U3476" s="10">
        <v>1219</v>
      </c>
    </row>
    <row r="3477" spans="1:21" x14ac:dyDescent="0.35">
      <c r="A3477" t="s">
        <v>15</v>
      </c>
      <c r="B3477" t="s">
        <v>16</v>
      </c>
      <c r="C3477" t="s">
        <v>17</v>
      </c>
      <c r="D3477">
        <v>226673</v>
      </c>
      <c r="E3477">
        <v>35607</v>
      </c>
      <c r="F3477">
        <v>27417</v>
      </c>
      <c r="G3477">
        <v>-190581</v>
      </c>
      <c r="H3477">
        <v>99116</v>
      </c>
      <c r="I3477">
        <v>102671</v>
      </c>
      <c r="J3477">
        <v>2510</v>
      </c>
      <c r="K3477">
        <v>775995</v>
      </c>
      <c r="L3477">
        <v>224860</v>
      </c>
      <c r="M3477">
        <v>-262368</v>
      </c>
      <c r="N3477">
        <v>110430</v>
      </c>
      <c r="O3477" t="s">
        <v>3495</v>
      </c>
      <c r="P3477" s="9">
        <v>242597</v>
      </c>
      <c r="Q3477" s="9">
        <v>24238</v>
      </c>
      <c r="R3477" s="9">
        <v>266835</v>
      </c>
      <c r="S3477" s="9">
        <v>-69977</v>
      </c>
      <c r="T3477" s="10">
        <v>101759</v>
      </c>
      <c r="U3477" s="10">
        <v>1561</v>
      </c>
    </row>
    <row r="3478" spans="1:21" x14ac:dyDescent="0.35">
      <c r="A3478" t="s">
        <v>15</v>
      </c>
      <c r="B3478" t="s">
        <v>16</v>
      </c>
      <c r="C3478" t="s">
        <v>21</v>
      </c>
      <c r="D3478">
        <v>234277</v>
      </c>
      <c r="E3478">
        <v>26252</v>
      </c>
      <c r="F3478">
        <v>42269</v>
      </c>
      <c r="G3478">
        <v>-225841</v>
      </c>
      <c r="H3478">
        <v>76957</v>
      </c>
      <c r="I3478">
        <v>70285</v>
      </c>
      <c r="J3478">
        <v>1105</v>
      </c>
      <c r="K3478">
        <v>890935</v>
      </c>
      <c r="L3478">
        <v>172899</v>
      </c>
      <c r="M3478">
        <v>-200810</v>
      </c>
      <c r="N3478">
        <v>178417</v>
      </c>
      <c r="O3478" t="s">
        <v>3496</v>
      </c>
      <c r="P3478" s="9">
        <v>221550</v>
      </c>
      <c r="Q3478" s="9">
        <v>13673</v>
      </c>
      <c r="R3478" s="9">
        <v>235223</v>
      </c>
      <c r="S3478" s="9">
        <v>-55321</v>
      </c>
      <c r="T3478" s="10">
        <v>70429</v>
      </c>
      <c r="U3478" s="10">
        <v>1789</v>
      </c>
    </row>
    <row r="3479" spans="1:21" x14ac:dyDescent="0.35">
      <c r="A3479" t="s">
        <v>15</v>
      </c>
      <c r="B3479" t="s">
        <v>16</v>
      </c>
      <c r="C3479" t="s">
        <v>21</v>
      </c>
      <c r="D3479">
        <v>236662</v>
      </c>
      <c r="E3479">
        <v>39429</v>
      </c>
      <c r="F3479">
        <v>29633</v>
      </c>
      <c r="G3479">
        <v>-219029</v>
      </c>
      <c r="H3479">
        <v>86695</v>
      </c>
      <c r="I3479">
        <v>88678</v>
      </c>
      <c r="J3479">
        <v>2193</v>
      </c>
      <c r="K3479">
        <v>671139</v>
      </c>
      <c r="L3479">
        <v>308474</v>
      </c>
      <c r="M3479">
        <v>-94609</v>
      </c>
      <c r="N3479">
        <v>199752</v>
      </c>
      <c r="O3479" t="s">
        <v>3497</v>
      </c>
      <c r="P3479" s="9">
        <v>231680</v>
      </c>
      <c r="Q3479" s="9">
        <v>13300</v>
      </c>
      <c r="R3479" s="9">
        <v>244980</v>
      </c>
      <c r="S3479" s="9">
        <v>-126870</v>
      </c>
      <c r="T3479" s="10">
        <v>56065</v>
      </c>
      <c r="U3479" s="10">
        <v>791</v>
      </c>
    </row>
    <row r="3480" spans="1:21" x14ac:dyDescent="0.35">
      <c r="A3480" t="s">
        <v>15</v>
      </c>
      <c r="B3480" t="s">
        <v>20</v>
      </c>
      <c r="C3480" t="s">
        <v>21</v>
      </c>
      <c r="D3480">
        <v>269351</v>
      </c>
      <c r="E3480">
        <v>45974</v>
      </c>
      <c r="F3480">
        <v>45291</v>
      </c>
      <c r="G3480">
        <v>-259974</v>
      </c>
      <c r="H3480">
        <v>100642</v>
      </c>
      <c r="I3480">
        <v>92234</v>
      </c>
      <c r="J3480">
        <v>2227</v>
      </c>
      <c r="K3480">
        <v>900301</v>
      </c>
      <c r="L3480">
        <v>215724</v>
      </c>
      <c r="M3480">
        <v>-140511</v>
      </c>
      <c r="N3480">
        <v>156855</v>
      </c>
      <c r="O3480" t="s">
        <v>3498</v>
      </c>
      <c r="P3480" s="9">
        <v>180051</v>
      </c>
      <c r="Q3480" s="9">
        <v>17342</v>
      </c>
      <c r="R3480" s="9">
        <v>197393</v>
      </c>
      <c r="S3480" s="9">
        <v>-41867</v>
      </c>
      <c r="T3480" s="10">
        <v>65737</v>
      </c>
      <c r="U3480" s="10">
        <v>1125</v>
      </c>
    </row>
    <row r="3481" spans="1:21" x14ac:dyDescent="0.35">
      <c r="A3481" t="s">
        <v>15</v>
      </c>
      <c r="B3481" t="s">
        <v>16</v>
      </c>
      <c r="C3481" t="s">
        <v>17</v>
      </c>
      <c r="D3481">
        <v>150477</v>
      </c>
      <c r="E3481">
        <v>23614</v>
      </c>
      <c r="F3481">
        <v>19630</v>
      </c>
      <c r="G3481">
        <v>-132844</v>
      </c>
      <c r="H3481">
        <v>60877</v>
      </c>
      <c r="I3481">
        <v>61546</v>
      </c>
      <c r="J3481">
        <v>649</v>
      </c>
      <c r="K3481">
        <v>500637</v>
      </c>
      <c r="L3481">
        <v>114825</v>
      </c>
      <c r="M3481">
        <v>-114850</v>
      </c>
      <c r="N3481">
        <v>49280</v>
      </c>
      <c r="O3481" t="s">
        <v>3499</v>
      </c>
      <c r="P3481" s="9">
        <v>155578</v>
      </c>
      <c r="Q3481" s="9">
        <v>22912</v>
      </c>
      <c r="R3481" s="9">
        <v>178490</v>
      </c>
      <c r="S3481" s="9">
        <v>-72573</v>
      </c>
      <c r="T3481" s="10">
        <v>78147</v>
      </c>
      <c r="U3481" s="10">
        <v>1239</v>
      </c>
    </row>
    <row r="3482" spans="1:21" x14ac:dyDescent="0.35">
      <c r="A3482" t="s">
        <v>15</v>
      </c>
      <c r="B3482" t="s">
        <v>20</v>
      </c>
      <c r="C3482" t="s">
        <v>21</v>
      </c>
      <c r="D3482">
        <v>150200</v>
      </c>
      <c r="E3482">
        <v>29910</v>
      </c>
      <c r="F3482">
        <v>16250</v>
      </c>
      <c r="G3482">
        <v>-144125</v>
      </c>
      <c r="H3482">
        <v>52235</v>
      </c>
      <c r="I3482">
        <v>51743</v>
      </c>
      <c r="J3482">
        <v>978</v>
      </c>
      <c r="K3482">
        <v>323571</v>
      </c>
      <c r="L3482">
        <v>41498</v>
      </c>
      <c r="M3482">
        <v>-63698</v>
      </c>
      <c r="N3482">
        <v>62382</v>
      </c>
      <c r="O3482" t="s">
        <v>3500</v>
      </c>
      <c r="P3482" s="9">
        <v>186808</v>
      </c>
      <c r="Q3482" s="9">
        <v>13336</v>
      </c>
      <c r="R3482" s="9">
        <v>200144</v>
      </c>
      <c r="S3482" s="9">
        <v>-96274</v>
      </c>
      <c r="T3482" s="10">
        <v>69985</v>
      </c>
      <c r="U3482" s="10">
        <v>1707</v>
      </c>
    </row>
    <row r="3483" spans="1:21" x14ac:dyDescent="0.35">
      <c r="A3483" t="s">
        <v>15</v>
      </c>
      <c r="B3483" t="s">
        <v>20</v>
      </c>
      <c r="C3483" t="s">
        <v>21</v>
      </c>
      <c r="D3483">
        <v>270665</v>
      </c>
      <c r="E3483">
        <v>28886</v>
      </c>
      <c r="F3483">
        <v>34426</v>
      </c>
      <c r="G3483">
        <v>-233304</v>
      </c>
      <c r="H3483">
        <v>100673</v>
      </c>
      <c r="I3483">
        <v>93266</v>
      </c>
      <c r="J3483">
        <v>2120</v>
      </c>
      <c r="K3483">
        <v>1078171</v>
      </c>
      <c r="L3483">
        <v>127002</v>
      </c>
      <c r="M3483">
        <v>-353966</v>
      </c>
      <c r="N3483">
        <v>186920</v>
      </c>
      <c r="O3483" t="s">
        <v>3501</v>
      </c>
      <c r="P3483" s="9">
        <v>149690</v>
      </c>
      <c r="Q3483" s="9">
        <v>16344</v>
      </c>
      <c r="R3483" s="9">
        <v>166034</v>
      </c>
      <c r="S3483" s="9">
        <v>-90110</v>
      </c>
      <c r="T3483" s="10">
        <v>35064</v>
      </c>
      <c r="U3483" s="10">
        <v>555</v>
      </c>
    </row>
    <row r="3484" spans="1:21" x14ac:dyDescent="0.35">
      <c r="A3484" t="s">
        <v>15</v>
      </c>
      <c r="B3484" t="s">
        <v>20</v>
      </c>
      <c r="C3484" t="s">
        <v>17</v>
      </c>
      <c r="D3484">
        <v>200671</v>
      </c>
      <c r="E3484">
        <v>29002</v>
      </c>
      <c r="F3484">
        <v>33703</v>
      </c>
      <c r="G3484">
        <v>-163422</v>
      </c>
      <c r="H3484">
        <v>99954</v>
      </c>
      <c r="I3484">
        <v>102945</v>
      </c>
      <c r="J3484">
        <v>1456</v>
      </c>
      <c r="K3484">
        <v>723588</v>
      </c>
      <c r="L3484">
        <v>171040</v>
      </c>
      <c r="M3484">
        <v>-282447</v>
      </c>
      <c r="N3484">
        <v>165997</v>
      </c>
      <c r="O3484" t="s">
        <v>3502</v>
      </c>
      <c r="P3484" s="9">
        <v>312962</v>
      </c>
      <c r="Q3484" s="9">
        <v>35032</v>
      </c>
      <c r="R3484" s="9">
        <v>347994</v>
      </c>
      <c r="S3484" s="9">
        <v>-79679</v>
      </c>
      <c r="T3484" s="10">
        <v>138410</v>
      </c>
      <c r="U3484" s="10">
        <v>1835</v>
      </c>
    </row>
    <row r="3485" spans="1:21" x14ac:dyDescent="0.35">
      <c r="A3485" t="s">
        <v>15</v>
      </c>
      <c r="B3485" t="s">
        <v>16</v>
      </c>
      <c r="C3485" t="s">
        <v>21</v>
      </c>
      <c r="D3485">
        <v>272503</v>
      </c>
      <c r="E3485">
        <v>38263</v>
      </c>
      <c r="F3485">
        <v>66345</v>
      </c>
      <c r="G3485">
        <v>-237017</v>
      </c>
      <c r="H3485">
        <v>140094</v>
      </c>
      <c r="I3485">
        <v>137767</v>
      </c>
      <c r="J3485">
        <v>2402</v>
      </c>
      <c r="K3485">
        <v>818629</v>
      </c>
      <c r="L3485">
        <v>273515</v>
      </c>
      <c r="M3485">
        <v>-269489</v>
      </c>
      <c r="N3485">
        <v>218292</v>
      </c>
      <c r="O3485" t="s">
        <v>3503</v>
      </c>
      <c r="P3485" s="9">
        <v>242755</v>
      </c>
      <c r="Q3485" s="9">
        <v>16326</v>
      </c>
      <c r="R3485" s="9">
        <v>259081</v>
      </c>
      <c r="S3485" s="9">
        <v>-67151</v>
      </c>
      <c r="T3485" s="10">
        <v>89339</v>
      </c>
      <c r="U3485" s="10">
        <v>958</v>
      </c>
    </row>
    <row r="3486" spans="1:21" x14ac:dyDescent="0.35">
      <c r="A3486" t="s">
        <v>15</v>
      </c>
      <c r="B3486" t="s">
        <v>20</v>
      </c>
      <c r="C3486" t="s">
        <v>17</v>
      </c>
      <c r="D3486">
        <v>175600</v>
      </c>
      <c r="E3486">
        <v>21248</v>
      </c>
      <c r="F3486">
        <v>35280</v>
      </c>
      <c r="G3486">
        <v>-156990</v>
      </c>
      <c r="H3486">
        <v>75138</v>
      </c>
      <c r="I3486">
        <v>71490</v>
      </c>
      <c r="J3486">
        <v>2036</v>
      </c>
      <c r="K3486">
        <v>639963</v>
      </c>
      <c r="L3486">
        <v>315093</v>
      </c>
      <c r="M3486">
        <v>-88925</v>
      </c>
      <c r="N3486">
        <v>74036</v>
      </c>
      <c r="O3486" t="s">
        <v>3504</v>
      </c>
      <c r="P3486" s="9">
        <v>216588</v>
      </c>
      <c r="Q3486" s="9">
        <v>29497</v>
      </c>
      <c r="R3486" s="9">
        <v>246085</v>
      </c>
      <c r="S3486" s="9">
        <v>-73267</v>
      </c>
      <c r="T3486" s="10">
        <v>95312</v>
      </c>
      <c r="U3486" s="10">
        <v>1948</v>
      </c>
    </row>
    <row r="3487" spans="1:21" x14ac:dyDescent="0.35">
      <c r="A3487" t="s">
        <v>15</v>
      </c>
      <c r="B3487" t="s">
        <v>16</v>
      </c>
      <c r="C3487" t="s">
        <v>21</v>
      </c>
      <c r="D3487">
        <v>214463</v>
      </c>
      <c r="E3487">
        <v>39666</v>
      </c>
      <c r="F3487">
        <v>25107</v>
      </c>
      <c r="G3487">
        <v>-194497</v>
      </c>
      <c r="H3487">
        <v>84739</v>
      </c>
      <c r="I3487">
        <v>81059</v>
      </c>
      <c r="J3487">
        <v>2426</v>
      </c>
      <c r="K3487">
        <v>738339</v>
      </c>
      <c r="L3487">
        <v>335382</v>
      </c>
      <c r="M3487">
        <v>-95309</v>
      </c>
      <c r="N3487">
        <v>192448</v>
      </c>
      <c r="O3487" t="s">
        <v>3505</v>
      </c>
      <c r="P3487" s="9">
        <v>314652</v>
      </c>
      <c r="Q3487" s="9">
        <v>41970</v>
      </c>
      <c r="R3487" s="9">
        <v>356622</v>
      </c>
      <c r="S3487" s="9">
        <v>-138354</v>
      </c>
      <c r="T3487" s="10">
        <v>129607</v>
      </c>
      <c r="U3487" s="10">
        <v>3017</v>
      </c>
    </row>
    <row r="3488" spans="1:21" x14ac:dyDescent="0.35">
      <c r="A3488" t="s">
        <v>15</v>
      </c>
      <c r="B3488" t="s">
        <v>16</v>
      </c>
      <c r="C3488" t="s">
        <v>17</v>
      </c>
      <c r="D3488">
        <v>238785</v>
      </c>
      <c r="E3488">
        <v>20766</v>
      </c>
      <c r="F3488">
        <v>36428</v>
      </c>
      <c r="G3488">
        <v>-221576</v>
      </c>
      <c r="H3488">
        <v>74403</v>
      </c>
      <c r="I3488">
        <v>70857</v>
      </c>
      <c r="J3488">
        <v>1206</v>
      </c>
      <c r="K3488">
        <v>713302</v>
      </c>
      <c r="L3488">
        <v>84965</v>
      </c>
      <c r="M3488">
        <v>-282371</v>
      </c>
      <c r="N3488">
        <v>104596</v>
      </c>
      <c r="O3488" t="s">
        <v>3506</v>
      </c>
      <c r="P3488" s="9">
        <v>195273</v>
      </c>
      <c r="Q3488" s="9">
        <v>16717</v>
      </c>
      <c r="R3488" s="9">
        <v>211990</v>
      </c>
      <c r="S3488" s="9">
        <v>-126625</v>
      </c>
      <c r="T3488" s="10">
        <v>83469</v>
      </c>
      <c r="U3488" s="10">
        <v>2208</v>
      </c>
    </row>
    <row r="3489" spans="1:21" x14ac:dyDescent="0.35">
      <c r="A3489" t="s">
        <v>15</v>
      </c>
      <c r="B3489" t="s">
        <v>20</v>
      </c>
      <c r="C3489" t="s">
        <v>17</v>
      </c>
      <c r="D3489">
        <v>201660</v>
      </c>
      <c r="E3489">
        <v>13485</v>
      </c>
      <c r="F3489">
        <v>21125</v>
      </c>
      <c r="G3489">
        <v>-182277</v>
      </c>
      <c r="H3489">
        <v>53993</v>
      </c>
      <c r="I3489">
        <v>51315</v>
      </c>
      <c r="J3489">
        <v>1227</v>
      </c>
      <c r="K3489">
        <v>488262</v>
      </c>
      <c r="L3489">
        <v>157538</v>
      </c>
      <c r="M3489">
        <v>-96742</v>
      </c>
      <c r="N3489">
        <v>156111</v>
      </c>
      <c r="O3489" t="s">
        <v>3507</v>
      </c>
      <c r="P3489" s="9">
        <v>165544</v>
      </c>
      <c r="Q3489" s="9">
        <v>14380</v>
      </c>
      <c r="R3489" s="9">
        <v>179924</v>
      </c>
      <c r="S3489" s="9">
        <v>-57584</v>
      </c>
      <c r="T3489" s="10">
        <v>60333</v>
      </c>
      <c r="U3489" s="10">
        <v>684</v>
      </c>
    </row>
    <row r="3490" spans="1:21" x14ac:dyDescent="0.35">
      <c r="A3490" t="s">
        <v>15</v>
      </c>
      <c r="B3490" t="s">
        <v>20</v>
      </c>
      <c r="C3490" t="s">
        <v>21</v>
      </c>
      <c r="D3490">
        <v>156438</v>
      </c>
      <c r="E3490">
        <v>15166</v>
      </c>
      <c r="F3490">
        <v>23624</v>
      </c>
      <c r="G3490">
        <v>-134753</v>
      </c>
      <c r="H3490">
        <v>60475</v>
      </c>
      <c r="I3490">
        <v>58738</v>
      </c>
      <c r="J3490">
        <v>1597</v>
      </c>
      <c r="K3490">
        <v>356874</v>
      </c>
      <c r="L3490">
        <v>168161</v>
      </c>
      <c r="M3490">
        <v>-46709</v>
      </c>
      <c r="N3490">
        <v>55478</v>
      </c>
      <c r="O3490" t="s">
        <v>3508</v>
      </c>
      <c r="P3490" s="9">
        <v>174810</v>
      </c>
      <c r="Q3490" s="9">
        <v>12509</v>
      </c>
      <c r="R3490" s="9">
        <v>187319</v>
      </c>
      <c r="S3490" s="9">
        <v>-70860</v>
      </c>
      <c r="T3490" s="10">
        <v>54757</v>
      </c>
      <c r="U3490" s="10">
        <v>1015</v>
      </c>
    </row>
    <row r="3491" spans="1:21" x14ac:dyDescent="0.35">
      <c r="A3491" t="s">
        <v>15</v>
      </c>
      <c r="B3491" t="s">
        <v>16</v>
      </c>
      <c r="C3491" t="s">
        <v>21</v>
      </c>
      <c r="D3491">
        <v>184830</v>
      </c>
      <c r="E3491">
        <v>10266</v>
      </c>
      <c r="F3491">
        <v>35931</v>
      </c>
      <c r="G3491">
        <v>-171997</v>
      </c>
      <c r="H3491">
        <v>59030</v>
      </c>
      <c r="I3491">
        <v>61177</v>
      </c>
      <c r="J3491">
        <v>681</v>
      </c>
      <c r="K3491">
        <v>425949</v>
      </c>
      <c r="L3491">
        <v>125673</v>
      </c>
      <c r="M3491">
        <v>-111629</v>
      </c>
      <c r="N3491">
        <v>58090</v>
      </c>
      <c r="O3491" t="s">
        <v>3509</v>
      </c>
      <c r="P3491" s="9">
        <v>186802</v>
      </c>
      <c r="Q3491" s="9">
        <v>29972</v>
      </c>
      <c r="R3491" s="9">
        <v>216774</v>
      </c>
      <c r="S3491" s="9">
        <v>-88567</v>
      </c>
      <c r="T3491" s="10">
        <v>87886</v>
      </c>
      <c r="U3491" s="10">
        <v>2517</v>
      </c>
    </row>
    <row r="3492" spans="1:21" x14ac:dyDescent="0.35">
      <c r="A3492" t="s">
        <v>15</v>
      </c>
      <c r="B3492" t="s">
        <v>16</v>
      </c>
      <c r="C3492" t="s">
        <v>21</v>
      </c>
      <c r="D3492">
        <v>234948</v>
      </c>
      <c r="E3492">
        <v>19213</v>
      </c>
      <c r="F3492">
        <v>26649</v>
      </c>
      <c r="G3492">
        <v>-198803</v>
      </c>
      <c r="H3492">
        <v>82007</v>
      </c>
      <c r="I3492">
        <v>83038</v>
      </c>
      <c r="J3492">
        <v>1743</v>
      </c>
      <c r="K3492">
        <v>540139</v>
      </c>
      <c r="L3492">
        <v>266523</v>
      </c>
      <c r="M3492">
        <v>-125104</v>
      </c>
      <c r="N3492">
        <v>173795</v>
      </c>
      <c r="O3492" t="s">
        <v>3510</v>
      </c>
      <c r="P3492" s="9">
        <v>181655</v>
      </c>
      <c r="Q3492" s="9">
        <v>17431</v>
      </c>
      <c r="R3492" s="9">
        <v>199086</v>
      </c>
      <c r="S3492" s="9">
        <v>-85965</v>
      </c>
      <c r="T3492" s="10">
        <v>76285</v>
      </c>
      <c r="U3492" s="10">
        <v>1859</v>
      </c>
    </row>
    <row r="3493" spans="1:21" x14ac:dyDescent="0.35">
      <c r="A3493" t="s">
        <v>15</v>
      </c>
      <c r="B3493" t="s">
        <v>16</v>
      </c>
      <c r="C3493" t="s">
        <v>17</v>
      </c>
      <c r="D3493">
        <v>194130</v>
      </c>
      <c r="E3493">
        <v>16039</v>
      </c>
      <c r="F3493">
        <v>31988</v>
      </c>
      <c r="G3493">
        <v>-187515</v>
      </c>
      <c r="H3493">
        <v>54642</v>
      </c>
      <c r="I3493">
        <v>57364</v>
      </c>
      <c r="J3493">
        <v>1531</v>
      </c>
      <c r="K3493">
        <v>747118</v>
      </c>
      <c r="L3493">
        <v>312143</v>
      </c>
      <c r="M3493">
        <v>-78427</v>
      </c>
      <c r="N3493">
        <v>133812</v>
      </c>
      <c r="O3493" t="s">
        <v>3511</v>
      </c>
      <c r="P3493" s="9">
        <v>209621</v>
      </c>
      <c r="Q3493" s="9">
        <v>12103</v>
      </c>
      <c r="R3493" s="9">
        <v>221724</v>
      </c>
      <c r="S3493" s="9">
        <v>-102429</v>
      </c>
      <c r="T3493" s="10">
        <v>49554</v>
      </c>
      <c r="U3493" s="10">
        <v>671</v>
      </c>
    </row>
    <row r="3494" spans="1:21" x14ac:dyDescent="0.35">
      <c r="A3494" t="s">
        <v>15</v>
      </c>
      <c r="B3494" t="s">
        <v>20</v>
      </c>
      <c r="C3494" t="s">
        <v>21</v>
      </c>
      <c r="D3494">
        <v>248399</v>
      </c>
      <c r="E3494">
        <v>49132</v>
      </c>
      <c r="F3494">
        <v>62053</v>
      </c>
      <c r="G3494">
        <v>-205632</v>
      </c>
      <c r="H3494">
        <v>153952</v>
      </c>
      <c r="I3494">
        <v>140709</v>
      </c>
      <c r="J3494">
        <v>3360</v>
      </c>
      <c r="K3494">
        <v>967918</v>
      </c>
      <c r="L3494">
        <v>234266</v>
      </c>
      <c r="M3494">
        <v>-103443</v>
      </c>
      <c r="N3494">
        <v>142387</v>
      </c>
      <c r="O3494" t="s">
        <v>3512</v>
      </c>
      <c r="P3494" s="9">
        <v>256539</v>
      </c>
      <c r="Q3494" s="9">
        <v>19724</v>
      </c>
      <c r="R3494" s="9">
        <v>276263</v>
      </c>
      <c r="S3494" s="9">
        <v>-73142</v>
      </c>
      <c r="T3494" s="10">
        <v>64472</v>
      </c>
      <c r="U3494" s="10">
        <v>858</v>
      </c>
    </row>
    <row r="3495" spans="1:21" x14ac:dyDescent="0.35">
      <c r="A3495" t="s">
        <v>15</v>
      </c>
      <c r="B3495" t="s">
        <v>20</v>
      </c>
      <c r="C3495" t="s">
        <v>17</v>
      </c>
      <c r="D3495">
        <v>253876</v>
      </c>
      <c r="E3495">
        <v>43042</v>
      </c>
      <c r="F3495">
        <v>43406</v>
      </c>
      <c r="G3495">
        <v>-219976</v>
      </c>
      <c r="H3495">
        <v>120348</v>
      </c>
      <c r="I3495">
        <v>108912</v>
      </c>
      <c r="J3495">
        <v>2795</v>
      </c>
      <c r="K3495">
        <v>781616</v>
      </c>
      <c r="L3495">
        <v>347398</v>
      </c>
      <c r="M3495">
        <v>-231782</v>
      </c>
      <c r="N3495">
        <v>95872</v>
      </c>
      <c r="O3495" t="s">
        <v>3513</v>
      </c>
      <c r="P3495" s="9">
        <v>165269</v>
      </c>
      <c r="Q3495" s="9">
        <v>27781</v>
      </c>
      <c r="R3495" s="9">
        <v>193050</v>
      </c>
      <c r="S3495" s="9">
        <v>-81906</v>
      </c>
      <c r="T3495" s="10">
        <v>65519</v>
      </c>
      <c r="U3495" s="10">
        <v>1300</v>
      </c>
    </row>
    <row r="3496" spans="1:21" x14ac:dyDescent="0.35">
      <c r="A3496" t="s">
        <v>15</v>
      </c>
      <c r="B3496" t="s">
        <v>16</v>
      </c>
      <c r="C3496" t="s">
        <v>21</v>
      </c>
      <c r="D3496">
        <v>248451</v>
      </c>
      <c r="E3496">
        <v>35107</v>
      </c>
      <c r="F3496">
        <v>31259</v>
      </c>
      <c r="G3496">
        <v>-208381</v>
      </c>
      <c r="H3496">
        <v>106436</v>
      </c>
      <c r="I3496">
        <v>103253</v>
      </c>
      <c r="J3496">
        <v>2956</v>
      </c>
      <c r="K3496">
        <v>911847</v>
      </c>
      <c r="L3496">
        <v>263123</v>
      </c>
      <c r="M3496">
        <v>-230065</v>
      </c>
      <c r="N3496">
        <v>137831</v>
      </c>
      <c r="O3496" t="s">
        <v>3514</v>
      </c>
      <c r="P3496" s="9">
        <v>157961</v>
      </c>
      <c r="Q3496" s="9">
        <v>30026</v>
      </c>
      <c r="R3496" s="9">
        <v>187987</v>
      </c>
      <c r="S3496" s="9">
        <v>-76840</v>
      </c>
      <c r="T3496" s="10">
        <v>71927</v>
      </c>
      <c r="U3496" s="10">
        <v>2146</v>
      </c>
    </row>
    <row r="3497" spans="1:21" x14ac:dyDescent="0.35">
      <c r="A3497" t="s">
        <v>15</v>
      </c>
      <c r="B3497" t="s">
        <v>16</v>
      </c>
      <c r="C3497" t="s">
        <v>21</v>
      </c>
      <c r="D3497">
        <v>199518</v>
      </c>
      <c r="E3497">
        <v>36712</v>
      </c>
      <c r="F3497">
        <v>29104</v>
      </c>
      <c r="G3497">
        <v>-170847</v>
      </c>
      <c r="H3497">
        <v>94487</v>
      </c>
      <c r="I3497">
        <v>90274</v>
      </c>
      <c r="J3497">
        <v>2590</v>
      </c>
      <c r="K3497">
        <v>399460</v>
      </c>
      <c r="L3497">
        <v>141117</v>
      </c>
      <c r="M3497">
        <v>-156202</v>
      </c>
      <c r="N3497">
        <v>83490</v>
      </c>
      <c r="O3497" t="s">
        <v>3515</v>
      </c>
      <c r="P3497" s="9">
        <v>224018</v>
      </c>
      <c r="Q3497" s="9">
        <v>22969</v>
      </c>
      <c r="R3497" s="9">
        <v>246987</v>
      </c>
      <c r="S3497" s="9">
        <v>-114809</v>
      </c>
      <c r="T3497" s="10">
        <v>57059</v>
      </c>
      <c r="U3497" s="10">
        <v>1386</v>
      </c>
    </row>
    <row r="3498" spans="1:21" x14ac:dyDescent="0.35">
      <c r="A3498" t="s">
        <v>15</v>
      </c>
      <c r="B3498" t="s">
        <v>20</v>
      </c>
      <c r="C3498" t="s">
        <v>17</v>
      </c>
      <c r="D3498">
        <v>191553</v>
      </c>
      <c r="E3498">
        <v>11746</v>
      </c>
      <c r="F3498">
        <v>43330</v>
      </c>
      <c r="G3498">
        <v>-163393</v>
      </c>
      <c r="H3498">
        <v>83236</v>
      </c>
      <c r="I3498">
        <v>78273</v>
      </c>
      <c r="J3498">
        <v>1480</v>
      </c>
      <c r="K3498">
        <v>737108</v>
      </c>
      <c r="L3498">
        <v>267993</v>
      </c>
      <c r="M3498">
        <v>-234913</v>
      </c>
      <c r="N3498">
        <v>149510</v>
      </c>
      <c r="O3498" t="s">
        <v>3516</v>
      </c>
      <c r="P3498" s="9">
        <v>242579</v>
      </c>
      <c r="Q3498" s="9">
        <v>32243</v>
      </c>
      <c r="R3498" s="9">
        <v>274822</v>
      </c>
      <c r="S3498" s="9">
        <v>-56818</v>
      </c>
      <c r="T3498" s="10">
        <v>117652</v>
      </c>
      <c r="U3498" s="10">
        <v>3008</v>
      </c>
    </row>
    <row r="3499" spans="1:21" x14ac:dyDescent="0.35">
      <c r="A3499" t="s">
        <v>15</v>
      </c>
      <c r="B3499" t="s">
        <v>20</v>
      </c>
      <c r="C3499" t="s">
        <v>17</v>
      </c>
      <c r="D3499">
        <v>165207</v>
      </c>
      <c r="E3499">
        <v>20252</v>
      </c>
      <c r="F3499">
        <v>33996</v>
      </c>
      <c r="G3499">
        <v>-162331</v>
      </c>
      <c r="H3499">
        <v>57124</v>
      </c>
      <c r="I3499">
        <v>51721</v>
      </c>
      <c r="J3499">
        <v>1504</v>
      </c>
      <c r="K3499">
        <v>650105</v>
      </c>
      <c r="L3499">
        <v>241914</v>
      </c>
      <c r="M3499">
        <v>-146833</v>
      </c>
      <c r="N3499">
        <v>88441</v>
      </c>
      <c r="O3499" t="s">
        <v>3517</v>
      </c>
      <c r="P3499" s="9">
        <v>288264</v>
      </c>
      <c r="Q3499" s="9">
        <v>40995</v>
      </c>
      <c r="R3499" s="9">
        <v>329259</v>
      </c>
      <c r="S3499" s="9">
        <v>-110599</v>
      </c>
      <c r="T3499" s="10">
        <v>133570</v>
      </c>
      <c r="U3499" s="10">
        <v>1936</v>
      </c>
    </row>
    <row r="3500" spans="1:21" x14ac:dyDescent="0.35">
      <c r="A3500" t="s">
        <v>15</v>
      </c>
      <c r="B3500" t="s">
        <v>16</v>
      </c>
      <c r="C3500" t="s">
        <v>21</v>
      </c>
      <c r="D3500">
        <v>194683</v>
      </c>
      <c r="E3500">
        <v>31704</v>
      </c>
      <c r="F3500">
        <v>37674</v>
      </c>
      <c r="G3500">
        <v>-186659</v>
      </c>
      <c r="H3500">
        <v>77402</v>
      </c>
      <c r="I3500">
        <v>80977</v>
      </c>
      <c r="J3500">
        <v>2102</v>
      </c>
      <c r="K3500">
        <v>426636</v>
      </c>
      <c r="L3500">
        <v>56615</v>
      </c>
      <c r="M3500">
        <v>-99487</v>
      </c>
      <c r="N3500">
        <v>114385</v>
      </c>
      <c r="O3500" t="s">
        <v>3518</v>
      </c>
      <c r="P3500" s="9">
        <v>289232</v>
      </c>
      <c r="Q3500" s="9">
        <v>49839</v>
      </c>
      <c r="R3500" s="9">
        <v>339071</v>
      </c>
      <c r="S3500" s="9">
        <v>-78036</v>
      </c>
      <c r="T3500" s="10">
        <v>98412</v>
      </c>
      <c r="U3500" s="10">
        <v>1674</v>
      </c>
    </row>
    <row r="3501" spans="1:21" x14ac:dyDescent="0.35">
      <c r="A3501" t="s">
        <v>15</v>
      </c>
      <c r="B3501" t="s">
        <v>16</v>
      </c>
      <c r="C3501" t="s">
        <v>17</v>
      </c>
      <c r="D3501">
        <v>285485</v>
      </c>
      <c r="E3501">
        <v>15869</v>
      </c>
      <c r="F3501">
        <v>42653</v>
      </c>
      <c r="G3501">
        <v>-240475</v>
      </c>
      <c r="H3501">
        <v>103532</v>
      </c>
      <c r="I3501">
        <v>106492</v>
      </c>
      <c r="J3501">
        <v>2126</v>
      </c>
      <c r="K3501">
        <v>797131</v>
      </c>
      <c r="L3501">
        <v>232085</v>
      </c>
      <c r="M3501">
        <v>-129374</v>
      </c>
      <c r="N3501">
        <v>99014</v>
      </c>
      <c r="O3501" t="s">
        <v>3519</v>
      </c>
      <c r="P3501" s="9">
        <v>264545</v>
      </c>
      <c r="Q3501" s="9">
        <v>33731</v>
      </c>
      <c r="R3501" s="9">
        <v>298276</v>
      </c>
      <c r="S3501" s="9">
        <v>-107812</v>
      </c>
      <c r="T3501" s="10">
        <v>119686</v>
      </c>
      <c r="U3501" s="10">
        <v>1218</v>
      </c>
    </row>
    <row r="3502" spans="1:21" x14ac:dyDescent="0.35">
      <c r="A3502" t="s">
        <v>15</v>
      </c>
      <c r="B3502" t="s">
        <v>16</v>
      </c>
      <c r="C3502" t="s">
        <v>17</v>
      </c>
      <c r="D3502">
        <v>279642</v>
      </c>
      <c r="E3502">
        <v>45578</v>
      </c>
      <c r="F3502">
        <v>29075</v>
      </c>
      <c r="G3502">
        <v>-275765</v>
      </c>
      <c r="H3502">
        <v>78530</v>
      </c>
      <c r="I3502">
        <v>78353</v>
      </c>
      <c r="J3502">
        <v>2195</v>
      </c>
      <c r="K3502">
        <v>565975</v>
      </c>
      <c r="L3502">
        <v>164781</v>
      </c>
      <c r="M3502">
        <v>-86549</v>
      </c>
      <c r="N3502">
        <v>148897</v>
      </c>
      <c r="O3502" t="s">
        <v>3520</v>
      </c>
      <c r="P3502" s="9">
        <v>228811</v>
      </c>
      <c r="Q3502" s="9">
        <v>22569</v>
      </c>
      <c r="R3502" s="9">
        <v>251380</v>
      </c>
      <c r="S3502" s="9">
        <v>-121645</v>
      </c>
      <c r="T3502" s="10">
        <v>53987</v>
      </c>
      <c r="U3502" s="10">
        <v>701</v>
      </c>
    </row>
    <row r="3503" spans="1:21" x14ac:dyDescent="0.35">
      <c r="A3503" t="s">
        <v>15</v>
      </c>
      <c r="B3503" t="s">
        <v>20</v>
      </c>
      <c r="C3503" t="s">
        <v>21</v>
      </c>
      <c r="D3503">
        <v>161445</v>
      </c>
      <c r="E3503">
        <v>12374</v>
      </c>
      <c r="F3503">
        <v>32977</v>
      </c>
      <c r="G3503">
        <v>-155856</v>
      </c>
      <c r="H3503">
        <v>50940</v>
      </c>
      <c r="I3503">
        <v>46030</v>
      </c>
      <c r="J3503">
        <v>1073</v>
      </c>
      <c r="K3503">
        <v>493850</v>
      </c>
      <c r="L3503">
        <v>98616</v>
      </c>
      <c r="M3503">
        <v>-145297</v>
      </c>
      <c r="N3503">
        <v>59718</v>
      </c>
      <c r="O3503" t="s">
        <v>3521</v>
      </c>
      <c r="P3503" s="9">
        <v>244477</v>
      </c>
      <c r="Q3503" s="9">
        <v>16265</v>
      </c>
      <c r="R3503" s="9">
        <v>260742</v>
      </c>
      <c r="S3503" s="9">
        <v>-143679</v>
      </c>
      <c r="T3503" s="10">
        <v>66091</v>
      </c>
      <c r="U3503" s="10">
        <v>1448</v>
      </c>
    </row>
    <row r="3504" spans="1:21" x14ac:dyDescent="0.35">
      <c r="A3504" t="s">
        <v>15</v>
      </c>
      <c r="B3504" t="s">
        <v>20</v>
      </c>
      <c r="C3504" t="s">
        <v>17</v>
      </c>
      <c r="D3504">
        <v>193592</v>
      </c>
      <c r="E3504">
        <v>26102</v>
      </c>
      <c r="F3504">
        <v>26675</v>
      </c>
      <c r="G3504">
        <v>-171991</v>
      </c>
      <c r="H3504">
        <v>74378</v>
      </c>
      <c r="I3504">
        <v>71648</v>
      </c>
      <c r="J3504">
        <v>1304</v>
      </c>
      <c r="K3504">
        <v>394603</v>
      </c>
      <c r="L3504">
        <v>60693</v>
      </c>
      <c r="M3504">
        <v>-62655</v>
      </c>
      <c r="N3504">
        <v>137450</v>
      </c>
      <c r="O3504" t="s">
        <v>3522</v>
      </c>
      <c r="P3504" s="9">
        <v>162398</v>
      </c>
      <c r="Q3504" s="9">
        <v>28532</v>
      </c>
      <c r="R3504" s="9">
        <v>190930</v>
      </c>
      <c r="S3504" s="9">
        <v>-68707</v>
      </c>
      <c r="T3504" s="10">
        <v>79190</v>
      </c>
      <c r="U3504" s="10">
        <v>1084</v>
      </c>
    </row>
    <row r="3505" spans="1:21" x14ac:dyDescent="0.35">
      <c r="A3505" t="s">
        <v>15</v>
      </c>
      <c r="B3505" t="s">
        <v>20</v>
      </c>
      <c r="C3505" t="s">
        <v>21</v>
      </c>
      <c r="D3505">
        <v>213974</v>
      </c>
      <c r="E3505">
        <v>21496</v>
      </c>
      <c r="F3505">
        <v>29438</v>
      </c>
      <c r="G3505">
        <v>-194640</v>
      </c>
      <c r="H3505">
        <v>70268</v>
      </c>
      <c r="I3505">
        <v>63393</v>
      </c>
      <c r="J3505">
        <v>1168</v>
      </c>
      <c r="K3505">
        <v>579205</v>
      </c>
      <c r="L3505">
        <v>189902</v>
      </c>
      <c r="M3505">
        <v>-169802</v>
      </c>
      <c r="N3505">
        <v>138605</v>
      </c>
      <c r="O3505" t="s">
        <v>3523</v>
      </c>
      <c r="P3505" s="9">
        <v>226907</v>
      </c>
      <c r="Q3505" s="9">
        <v>41865</v>
      </c>
      <c r="R3505" s="9">
        <v>268772</v>
      </c>
      <c r="S3505" s="9">
        <v>-156136</v>
      </c>
      <c r="T3505" s="10">
        <v>96871</v>
      </c>
      <c r="U3505" s="10">
        <v>1024</v>
      </c>
    </row>
    <row r="3506" spans="1:21" x14ac:dyDescent="0.35">
      <c r="A3506" t="s">
        <v>15</v>
      </c>
      <c r="B3506" t="s">
        <v>20</v>
      </c>
      <c r="C3506" t="s">
        <v>17</v>
      </c>
      <c r="D3506">
        <v>192174</v>
      </c>
      <c r="E3506">
        <v>33195</v>
      </c>
      <c r="F3506">
        <v>46937</v>
      </c>
      <c r="G3506">
        <v>-186887</v>
      </c>
      <c r="H3506">
        <v>85419</v>
      </c>
      <c r="I3506">
        <v>88280</v>
      </c>
      <c r="J3506">
        <v>884</v>
      </c>
      <c r="K3506">
        <v>475507</v>
      </c>
      <c r="L3506">
        <v>124967</v>
      </c>
      <c r="M3506">
        <v>-175508</v>
      </c>
      <c r="N3506">
        <v>109352</v>
      </c>
      <c r="O3506" t="s">
        <v>3524</v>
      </c>
      <c r="P3506" s="9">
        <v>210533</v>
      </c>
      <c r="Q3506" s="9">
        <v>38442</v>
      </c>
      <c r="R3506" s="9">
        <v>248975</v>
      </c>
      <c r="S3506" s="9">
        <v>-76969</v>
      </c>
      <c r="T3506" s="10">
        <v>121862</v>
      </c>
      <c r="U3506" s="10">
        <v>1370</v>
      </c>
    </row>
    <row r="3507" spans="1:21" x14ac:dyDescent="0.35">
      <c r="A3507" t="s">
        <v>15</v>
      </c>
      <c r="B3507" t="s">
        <v>16</v>
      </c>
      <c r="C3507" t="s">
        <v>21</v>
      </c>
      <c r="D3507">
        <v>228531</v>
      </c>
      <c r="E3507">
        <v>43475</v>
      </c>
      <c r="F3507">
        <v>39212</v>
      </c>
      <c r="G3507">
        <v>-204055</v>
      </c>
      <c r="H3507">
        <v>107163</v>
      </c>
      <c r="I3507">
        <v>104882</v>
      </c>
      <c r="J3507">
        <v>2016</v>
      </c>
      <c r="K3507">
        <v>576859</v>
      </c>
      <c r="L3507">
        <v>117502</v>
      </c>
      <c r="M3507">
        <v>-213983</v>
      </c>
      <c r="N3507">
        <v>161867</v>
      </c>
      <c r="O3507" t="s">
        <v>3525</v>
      </c>
      <c r="P3507" s="9">
        <v>175582</v>
      </c>
      <c r="Q3507" s="9">
        <v>13932</v>
      </c>
      <c r="R3507" s="9">
        <v>189514</v>
      </c>
      <c r="S3507" s="9">
        <v>-92829</v>
      </c>
      <c r="T3507" s="10">
        <v>55152</v>
      </c>
      <c r="U3507" s="10">
        <v>630</v>
      </c>
    </row>
    <row r="3508" spans="1:21" x14ac:dyDescent="0.35">
      <c r="A3508" t="s">
        <v>15</v>
      </c>
      <c r="B3508" t="s">
        <v>16</v>
      </c>
      <c r="C3508" t="s">
        <v>17</v>
      </c>
      <c r="D3508">
        <v>198430</v>
      </c>
      <c r="E3508">
        <v>12941</v>
      </c>
      <c r="F3508">
        <v>22555</v>
      </c>
      <c r="G3508">
        <v>-169538</v>
      </c>
      <c r="H3508">
        <v>64388</v>
      </c>
      <c r="I3508">
        <v>61966</v>
      </c>
      <c r="J3508">
        <v>742</v>
      </c>
      <c r="K3508">
        <v>770477</v>
      </c>
      <c r="L3508">
        <v>353808</v>
      </c>
      <c r="M3508">
        <v>-159425</v>
      </c>
      <c r="N3508">
        <v>92526</v>
      </c>
      <c r="O3508" t="s">
        <v>3526</v>
      </c>
      <c r="P3508" s="9">
        <v>169577</v>
      </c>
      <c r="Q3508" s="9">
        <v>20075</v>
      </c>
      <c r="R3508" s="9">
        <v>189652</v>
      </c>
      <c r="S3508" s="9">
        <v>-94628</v>
      </c>
      <c r="T3508" s="10">
        <v>44963</v>
      </c>
      <c r="U3508" s="10">
        <v>612</v>
      </c>
    </row>
    <row r="3509" spans="1:21" x14ac:dyDescent="0.35">
      <c r="A3509" t="s">
        <v>15</v>
      </c>
      <c r="B3509" t="s">
        <v>16</v>
      </c>
      <c r="C3509" t="s">
        <v>21</v>
      </c>
      <c r="D3509">
        <v>282634</v>
      </c>
      <c r="E3509">
        <v>25312</v>
      </c>
      <c r="F3509">
        <v>47708</v>
      </c>
      <c r="G3509">
        <v>-255556</v>
      </c>
      <c r="H3509">
        <v>100098</v>
      </c>
      <c r="I3509">
        <v>104618</v>
      </c>
      <c r="J3509">
        <v>3000</v>
      </c>
      <c r="K3509">
        <v>1041788</v>
      </c>
      <c r="L3509">
        <v>476922</v>
      </c>
      <c r="M3509">
        <v>-242851</v>
      </c>
      <c r="N3509">
        <v>239927</v>
      </c>
      <c r="O3509" t="s">
        <v>3527</v>
      </c>
      <c r="P3509" s="9">
        <v>217491</v>
      </c>
      <c r="Q3509" s="9">
        <v>19161</v>
      </c>
      <c r="R3509" s="9">
        <v>236652</v>
      </c>
      <c r="S3509" s="9">
        <v>-97778</v>
      </c>
      <c r="T3509" s="10">
        <v>106518</v>
      </c>
      <c r="U3509" s="10">
        <v>2792</v>
      </c>
    </row>
    <row r="3510" spans="1:21" x14ac:dyDescent="0.35">
      <c r="A3510" t="s">
        <v>15</v>
      </c>
      <c r="B3510" t="s">
        <v>16</v>
      </c>
      <c r="C3510" t="s">
        <v>21</v>
      </c>
      <c r="D3510">
        <v>233342</v>
      </c>
      <c r="E3510">
        <v>14290</v>
      </c>
      <c r="F3510">
        <v>32083</v>
      </c>
      <c r="G3510">
        <v>-189619</v>
      </c>
      <c r="H3510">
        <v>90096</v>
      </c>
      <c r="I3510">
        <v>85727</v>
      </c>
      <c r="J3510">
        <v>1219</v>
      </c>
      <c r="K3510">
        <v>868644</v>
      </c>
      <c r="L3510">
        <v>361335</v>
      </c>
      <c r="M3510">
        <v>-154509</v>
      </c>
      <c r="N3510">
        <v>88675</v>
      </c>
      <c r="O3510" t="s">
        <v>3528</v>
      </c>
      <c r="P3510" s="9">
        <v>157118</v>
      </c>
      <c r="Q3510" s="9">
        <v>23545</v>
      </c>
      <c r="R3510" s="9">
        <v>180663</v>
      </c>
      <c r="S3510" s="9">
        <v>-67500</v>
      </c>
      <c r="T3510" s="10">
        <v>43554</v>
      </c>
      <c r="U3510" s="10">
        <v>807</v>
      </c>
    </row>
    <row r="3511" spans="1:21" x14ac:dyDescent="0.35">
      <c r="A3511" t="s">
        <v>15</v>
      </c>
      <c r="B3511" t="s">
        <v>16</v>
      </c>
      <c r="C3511" t="s">
        <v>21</v>
      </c>
      <c r="D3511">
        <v>296120</v>
      </c>
      <c r="E3511">
        <v>26492</v>
      </c>
      <c r="F3511">
        <v>54325</v>
      </c>
      <c r="G3511">
        <v>-237037</v>
      </c>
      <c r="H3511">
        <v>139900</v>
      </c>
      <c r="I3511">
        <v>129010</v>
      </c>
      <c r="J3511">
        <v>1941</v>
      </c>
      <c r="K3511">
        <v>1173749</v>
      </c>
      <c r="L3511">
        <v>477108</v>
      </c>
      <c r="M3511">
        <v>-334314</v>
      </c>
      <c r="N3511">
        <v>150301</v>
      </c>
      <c r="O3511" t="s">
        <v>3529</v>
      </c>
      <c r="P3511" s="9">
        <v>167631</v>
      </c>
      <c r="Q3511" s="9">
        <v>24364</v>
      </c>
      <c r="R3511" s="9">
        <v>191995</v>
      </c>
      <c r="S3511" s="9">
        <v>-74675</v>
      </c>
      <c r="T3511" s="10">
        <v>67688</v>
      </c>
      <c r="U3511" s="10">
        <v>1423</v>
      </c>
    </row>
    <row r="3512" spans="1:21" x14ac:dyDescent="0.35">
      <c r="A3512" t="s">
        <v>15</v>
      </c>
      <c r="B3512" t="s">
        <v>16</v>
      </c>
      <c r="C3512" t="s">
        <v>21</v>
      </c>
      <c r="D3512">
        <v>232120</v>
      </c>
      <c r="E3512">
        <v>13707</v>
      </c>
      <c r="F3512">
        <v>37750</v>
      </c>
      <c r="G3512">
        <v>-225957</v>
      </c>
      <c r="H3512">
        <v>57620</v>
      </c>
      <c r="I3512">
        <v>59170</v>
      </c>
      <c r="J3512">
        <v>1416</v>
      </c>
      <c r="K3512">
        <v>541879</v>
      </c>
      <c r="L3512">
        <v>256328</v>
      </c>
      <c r="M3512">
        <v>-72519</v>
      </c>
      <c r="N3512">
        <v>155675</v>
      </c>
      <c r="O3512" t="s">
        <v>3530</v>
      </c>
      <c r="P3512" s="9">
        <v>262252</v>
      </c>
      <c r="Q3512" s="9">
        <v>31418</v>
      </c>
      <c r="R3512" s="9">
        <v>293670</v>
      </c>
      <c r="S3512" s="9">
        <v>-116158</v>
      </c>
      <c r="T3512" s="10">
        <v>100275</v>
      </c>
      <c r="U3512" s="10">
        <v>2480</v>
      </c>
    </row>
    <row r="3513" spans="1:21" x14ac:dyDescent="0.35">
      <c r="A3513" t="s">
        <v>15</v>
      </c>
      <c r="B3513" t="s">
        <v>20</v>
      </c>
      <c r="C3513" t="s">
        <v>17</v>
      </c>
      <c r="D3513">
        <v>298638</v>
      </c>
      <c r="E3513">
        <v>59665</v>
      </c>
      <c r="F3513">
        <v>62768</v>
      </c>
      <c r="G3513">
        <v>-266981</v>
      </c>
      <c r="H3513">
        <v>154090</v>
      </c>
      <c r="I3513">
        <v>144314</v>
      </c>
      <c r="J3513">
        <v>3164</v>
      </c>
      <c r="K3513">
        <v>704568</v>
      </c>
      <c r="L3513">
        <v>99154</v>
      </c>
      <c r="M3513">
        <v>-247101</v>
      </c>
      <c r="N3513">
        <v>142310</v>
      </c>
      <c r="O3513" t="s">
        <v>3531</v>
      </c>
      <c r="P3513" s="9">
        <v>281700</v>
      </c>
      <c r="Q3513" s="9">
        <v>24710</v>
      </c>
      <c r="R3513" s="9">
        <v>306410</v>
      </c>
      <c r="S3513" s="9">
        <v>-95929</v>
      </c>
      <c r="T3513" s="10">
        <v>110750</v>
      </c>
      <c r="U3513" s="10">
        <v>2777</v>
      </c>
    </row>
    <row r="3514" spans="1:21" x14ac:dyDescent="0.35">
      <c r="A3514" t="s">
        <v>15</v>
      </c>
      <c r="B3514" t="s">
        <v>20</v>
      </c>
      <c r="C3514" t="s">
        <v>17</v>
      </c>
      <c r="D3514">
        <v>260133</v>
      </c>
      <c r="E3514">
        <v>31778</v>
      </c>
      <c r="F3514">
        <v>56549</v>
      </c>
      <c r="G3514">
        <v>-210486</v>
      </c>
      <c r="H3514">
        <v>137974</v>
      </c>
      <c r="I3514">
        <v>132833</v>
      </c>
      <c r="J3514">
        <v>2003</v>
      </c>
      <c r="K3514">
        <v>778802</v>
      </c>
      <c r="L3514">
        <v>107320</v>
      </c>
      <c r="M3514">
        <v>-136380</v>
      </c>
      <c r="N3514">
        <v>110485</v>
      </c>
      <c r="O3514" t="s">
        <v>3532</v>
      </c>
      <c r="P3514" s="9">
        <v>167394</v>
      </c>
      <c r="Q3514" s="9">
        <v>10153</v>
      </c>
      <c r="R3514" s="9">
        <v>177547</v>
      </c>
      <c r="S3514" s="9">
        <v>-77800</v>
      </c>
      <c r="T3514" s="10">
        <v>66009</v>
      </c>
      <c r="U3514" s="10">
        <v>1185</v>
      </c>
    </row>
    <row r="3515" spans="1:21" x14ac:dyDescent="0.35">
      <c r="A3515" t="s">
        <v>15</v>
      </c>
      <c r="B3515" t="s">
        <v>16</v>
      </c>
      <c r="C3515" t="s">
        <v>17</v>
      </c>
      <c r="D3515">
        <v>207312</v>
      </c>
      <c r="E3515">
        <v>15265</v>
      </c>
      <c r="F3515">
        <v>24238</v>
      </c>
      <c r="G3515">
        <v>-175426</v>
      </c>
      <c r="H3515">
        <v>71389</v>
      </c>
      <c r="I3515">
        <v>72507</v>
      </c>
      <c r="J3515">
        <v>921</v>
      </c>
      <c r="K3515">
        <v>466539</v>
      </c>
      <c r="L3515">
        <v>155162</v>
      </c>
      <c r="M3515">
        <v>-162322</v>
      </c>
      <c r="N3515">
        <v>99583</v>
      </c>
      <c r="O3515" t="s">
        <v>3533</v>
      </c>
      <c r="P3515" s="9">
        <v>170389</v>
      </c>
      <c r="Q3515" s="9">
        <v>31421</v>
      </c>
      <c r="R3515" s="9">
        <v>201810</v>
      </c>
      <c r="S3515" s="9">
        <v>-46625</v>
      </c>
      <c r="T3515" s="10">
        <v>73830</v>
      </c>
      <c r="U3515" s="10">
        <v>1128</v>
      </c>
    </row>
    <row r="3516" spans="1:21" x14ac:dyDescent="0.35">
      <c r="A3516" t="s">
        <v>15</v>
      </c>
      <c r="B3516" t="s">
        <v>20</v>
      </c>
      <c r="C3516" t="s">
        <v>17</v>
      </c>
      <c r="D3516">
        <v>287262</v>
      </c>
      <c r="E3516">
        <v>26111</v>
      </c>
      <c r="F3516">
        <v>65116</v>
      </c>
      <c r="G3516">
        <v>-256351</v>
      </c>
      <c r="H3516">
        <v>122138</v>
      </c>
      <c r="I3516">
        <v>127817</v>
      </c>
      <c r="J3516">
        <v>1531</v>
      </c>
      <c r="K3516">
        <v>630070</v>
      </c>
      <c r="L3516">
        <v>134173</v>
      </c>
      <c r="M3516">
        <v>-86400</v>
      </c>
      <c r="N3516">
        <v>94712</v>
      </c>
      <c r="O3516" t="s">
        <v>3534</v>
      </c>
      <c r="P3516" s="9">
        <v>185481</v>
      </c>
      <c r="Q3516" s="9">
        <v>22578</v>
      </c>
      <c r="R3516" s="9">
        <v>208059</v>
      </c>
      <c r="S3516" s="9">
        <v>-96439</v>
      </c>
      <c r="T3516" s="10">
        <v>93444</v>
      </c>
      <c r="U3516" s="10">
        <v>2239</v>
      </c>
    </row>
    <row r="3517" spans="1:21" x14ac:dyDescent="0.35">
      <c r="A3517" t="s">
        <v>15</v>
      </c>
      <c r="B3517" t="s">
        <v>20</v>
      </c>
      <c r="C3517" t="s">
        <v>21</v>
      </c>
      <c r="D3517">
        <v>214754</v>
      </c>
      <c r="E3517">
        <v>39189</v>
      </c>
      <c r="F3517">
        <v>28580</v>
      </c>
      <c r="G3517">
        <v>-177268</v>
      </c>
      <c r="H3517">
        <v>105255</v>
      </c>
      <c r="I3517">
        <v>95894</v>
      </c>
      <c r="J3517">
        <v>1135</v>
      </c>
      <c r="K3517">
        <v>633157</v>
      </c>
      <c r="L3517">
        <v>125171</v>
      </c>
      <c r="M3517">
        <v>-117096</v>
      </c>
      <c r="N3517">
        <v>177530</v>
      </c>
      <c r="O3517" t="s">
        <v>3535</v>
      </c>
      <c r="P3517" s="9">
        <v>238874</v>
      </c>
      <c r="Q3517" s="9">
        <v>37015</v>
      </c>
      <c r="R3517" s="9">
        <v>275889</v>
      </c>
      <c r="S3517" s="9">
        <v>-58545</v>
      </c>
      <c r="T3517" s="10">
        <v>95740</v>
      </c>
      <c r="U3517" s="10">
        <v>2064</v>
      </c>
    </row>
    <row r="3518" spans="1:21" x14ac:dyDescent="0.35">
      <c r="A3518" t="s">
        <v>15</v>
      </c>
      <c r="B3518" t="s">
        <v>16</v>
      </c>
      <c r="C3518" t="s">
        <v>21</v>
      </c>
      <c r="D3518">
        <v>213445</v>
      </c>
      <c r="E3518">
        <v>16144</v>
      </c>
      <c r="F3518">
        <v>23964</v>
      </c>
      <c r="G3518">
        <v>-178662</v>
      </c>
      <c r="H3518">
        <v>74891</v>
      </c>
      <c r="I3518">
        <v>74230</v>
      </c>
      <c r="J3518">
        <v>1559</v>
      </c>
      <c r="K3518">
        <v>639295</v>
      </c>
      <c r="L3518">
        <v>178347</v>
      </c>
      <c r="M3518">
        <v>-96819</v>
      </c>
      <c r="N3518">
        <v>152065</v>
      </c>
      <c r="O3518" t="s">
        <v>3536</v>
      </c>
      <c r="P3518" s="9">
        <v>178152</v>
      </c>
      <c r="Q3518" s="9">
        <v>12366</v>
      </c>
      <c r="R3518" s="9">
        <v>190518</v>
      </c>
      <c r="S3518" s="9">
        <v>-108415</v>
      </c>
      <c r="T3518" s="10">
        <v>65020</v>
      </c>
      <c r="U3518" s="10">
        <v>1945</v>
      </c>
    </row>
    <row r="3519" spans="1:21" x14ac:dyDescent="0.35">
      <c r="A3519" t="s">
        <v>15</v>
      </c>
      <c r="B3519" t="s">
        <v>16</v>
      </c>
      <c r="C3519" t="s">
        <v>21</v>
      </c>
      <c r="D3519">
        <v>191285</v>
      </c>
      <c r="E3519">
        <v>23976</v>
      </c>
      <c r="F3519">
        <v>20404</v>
      </c>
      <c r="G3519">
        <v>-156069</v>
      </c>
      <c r="H3519">
        <v>79596</v>
      </c>
      <c r="I3519">
        <v>81170</v>
      </c>
      <c r="J3519">
        <v>2435</v>
      </c>
      <c r="K3519">
        <v>623502</v>
      </c>
      <c r="L3519">
        <v>295687</v>
      </c>
      <c r="M3519">
        <v>-85655</v>
      </c>
      <c r="N3519">
        <v>117618</v>
      </c>
      <c r="O3519" t="s">
        <v>3537</v>
      </c>
      <c r="P3519" s="9">
        <v>256412</v>
      </c>
      <c r="Q3519" s="9">
        <v>25414</v>
      </c>
      <c r="R3519" s="9">
        <v>281826</v>
      </c>
      <c r="S3519" s="9">
        <v>-155795</v>
      </c>
      <c r="T3519" s="10">
        <v>98787</v>
      </c>
      <c r="U3519" s="10">
        <v>1955</v>
      </c>
    </row>
    <row r="3520" spans="1:21" x14ac:dyDescent="0.35">
      <c r="A3520" t="s">
        <v>15</v>
      </c>
      <c r="B3520" t="s">
        <v>16</v>
      </c>
      <c r="C3520" t="s">
        <v>17</v>
      </c>
      <c r="D3520">
        <v>291159</v>
      </c>
      <c r="E3520">
        <v>40892</v>
      </c>
      <c r="F3520">
        <v>50605</v>
      </c>
      <c r="G3520">
        <v>-278714</v>
      </c>
      <c r="H3520">
        <v>103942</v>
      </c>
      <c r="I3520">
        <v>104454</v>
      </c>
      <c r="J3520">
        <v>2036</v>
      </c>
      <c r="K3520">
        <v>829804</v>
      </c>
      <c r="L3520">
        <v>206035</v>
      </c>
      <c r="M3520">
        <v>-287956</v>
      </c>
      <c r="N3520">
        <v>143612</v>
      </c>
      <c r="O3520" t="s">
        <v>3538</v>
      </c>
      <c r="P3520" s="9">
        <v>147391</v>
      </c>
      <c r="Q3520" s="9">
        <v>18389</v>
      </c>
      <c r="R3520" s="9">
        <v>165780</v>
      </c>
      <c r="S3520" s="9">
        <v>-67462</v>
      </c>
      <c r="T3520" s="10">
        <v>59927</v>
      </c>
      <c r="U3520" s="10">
        <v>1603</v>
      </c>
    </row>
    <row r="3521" spans="1:21" x14ac:dyDescent="0.35">
      <c r="A3521" t="s">
        <v>15</v>
      </c>
      <c r="B3521" t="s">
        <v>20</v>
      </c>
      <c r="C3521" t="s">
        <v>17</v>
      </c>
      <c r="D3521">
        <v>287347</v>
      </c>
      <c r="E3521">
        <v>26794</v>
      </c>
      <c r="F3521">
        <v>68169</v>
      </c>
      <c r="G3521">
        <v>-247129</v>
      </c>
      <c r="H3521">
        <v>135181</v>
      </c>
      <c r="I3521">
        <v>139193</v>
      </c>
      <c r="J3521">
        <v>3247</v>
      </c>
      <c r="K3521">
        <v>1073425</v>
      </c>
      <c r="L3521">
        <v>187824</v>
      </c>
      <c r="M3521">
        <v>-310524</v>
      </c>
      <c r="N3521">
        <v>86641</v>
      </c>
      <c r="O3521" t="s">
        <v>3539</v>
      </c>
      <c r="P3521" s="9">
        <v>235109</v>
      </c>
      <c r="Q3521" s="9">
        <v>12221</v>
      </c>
      <c r="R3521" s="9">
        <v>247330</v>
      </c>
      <c r="S3521" s="9">
        <v>-109596</v>
      </c>
      <c r="T3521" s="10">
        <v>68317</v>
      </c>
      <c r="U3521" s="10">
        <v>1158</v>
      </c>
    </row>
    <row r="3522" spans="1:21" x14ac:dyDescent="0.35">
      <c r="A3522" t="s">
        <v>15</v>
      </c>
      <c r="B3522" t="s">
        <v>16</v>
      </c>
      <c r="C3522" t="s">
        <v>21</v>
      </c>
      <c r="D3522">
        <v>227368</v>
      </c>
      <c r="E3522">
        <v>17499</v>
      </c>
      <c r="F3522">
        <v>23013</v>
      </c>
      <c r="G3522">
        <v>-198790</v>
      </c>
      <c r="H3522">
        <v>69090</v>
      </c>
      <c r="I3522">
        <v>66312</v>
      </c>
      <c r="J3522">
        <v>983</v>
      </c>
      <c r="K3522">
        <v>714937</v>
      </c>
      <c r="L3522">
        <v>270660</v>
      </c>
      <c r="M3522">
        <v>-246792</v>
      </c>
      <c r="N3522">
        <v>69352</v>
      </c>
      <c r="O3522" t="s">
        <v>3540</v>
      </c>
      <c r="P3522" s="9">
        <v>254506</v>
      </c>
      <c r="Q3522" s="9">
        <v>38606</v>
      </c>
      <c r="R3522" s="9">
        <v>293112</v>
      </c>
      <c r="S3522" s="9">
        <v>-169620</v>
      </c>
      <c r="T3522" s="10">
        <v>132960</v>
      </c>
      <c r="U3522" s="10">
        <v>2901</v>
      </c>
    </row>
    <row r="3523" spans="1:21" x14ac:dyDescent="0.35">
      <c r="A3523" t="s">
        <v>15</v>
      </c>
      <c r="B3523" t="s">
        <v>20</v>
      </c>
      <c r="C3523" t="s">
        <v>21</v>
      </c>
      <c r="D3523">
        <v>191573</v>
      </c>
      <c r="E3523">
        <v>21886</v>
      </c>
      <c r="F3523">
        <v>29250</v>
      </c>
      <c r="G3523">
        <v>-183890</v>
      </c>
      <c r="H3523">
        <v>58819</v>
      </c>
      <c r="I3523">
        <v>53677</v>
      </c>
      <c r="J3523">
        <v>1221</v>
      </c>
      <c r="K3523">
        <v>539793</v>
      </c>
      <c r="L3523">
        <v>63907</v>
      </c>
      <c r="M3523">
        <v>-121520</v>
      </c>
      <c r="N3523">
        <v>113299</v>
      </c>
      <c r="O3523" t="s">
        <v>3541</v>
      </c>
      <c r="P3523" s="9">
        <v>261052</v>
      </c>
      <c r="Q3523" s="9">
        <v>36101</v>
      </c>
      <c r="R3523" s="9">
        <v>297153</v>
      </c>
      <c r="S3523" s="9">
        <v>-165695</v>
      </c>
      <c r="T3523" s="10">
        <v>87841</v>
      </c>
      <c r="U3523" s="10">
        <v>1964</v>
      </c>
    </row>
    <row r="3524" spans="1:21" x14ac:dyDescent="0.35">
      <c r="A3524" t="s">
        <v>15</v>
      </c>
      <c r="B3524" t="s">
        <v>16</v>
      </c>
      <c r="C3524" t="s">
        <v>21</v>
      </c>
      <c r="D3524">
        <v>265858</v>
      </c>
      <c r="E3524">
        <v>43832</v>
      </c>
      <c r="F3524">
        <v>47133</v>
      </c>
      <c r="G3524">
        <v>-265543</v>
      </c>
      <c r="H3524">
        <v>91280</v>
      </c>
      <c r="I3524">
        <v>85066</v>
      </c>
      <c r="J3524">
        <v>2424</v>
      </c>
      <c r="K3524">
        <v>884215</v>
      </c>
      <c r="L3524">
        <v>160036</v>
      </c>
      <c r="M3524">
        <v>-165614</v>
      </c>
      <c r="N3524">
        <v>156086</v>
      </c>
      <c r="O3524" t="s">
        <v>3542</v>
      </c>
      <c r="P3524" s="9">
        <v>194920</v>
      </c>
      <c r="Q3524" s="9">
        <v>34387</v>
      </c>
      <c r="R3524" s="9">
        <v>229307</v>
      </c>
      <c r="S3524" s="9">
        <v>-61961</v>
      </c>
      <c r="T3524" s="10">
        <v>96145</v>
      </c>
      <c r="U3524" s="10">
        <v>1280</v>
      </c>
    </row>
    <row r="3525" spans="1:21" x14ac:dyDescent="0.35">
      <c r="A3525" t="s">
        <v>15</v>
      </c>
      <c r="B3525" t="s">
        <v>16</v>
      </c>
      <c r="C3525" t="s">
        <v>21</v>
      </c>
      <c r="D3525">
        <v>158971</v>
      </c>
      <c r="E3525">
        <v>16247</v>
      </c>
      <c r="F3525">
        <v>38943</v>
      </c>
      <c r="G3525">
        <v>-156009</v>
      </c>
      <c r="H3525">
        <v>58152</v>
      </c>
      <c r="I3525">
        <v>60134</v>
      </c>
      <c r="J3525">
        <v>1336</v>
      </c>
      <c r="K3525">
        <v>514293</v>
      </c>
      <c r="L3525">
        <v>137252</v>
      </c>
      <c r="M3525">
        <v>-114142</v>
      </c>
      <c r="N3525">
        <v>69086</v>
      </c>
      <c r="O3525" t="s">
        <v>3543</v>
      </c>
      <c r="P3525" s="9">
        <v>166412</v>
      </c>
      <c r="Q3525" s="9">
        <v>27324</v>
      </c>
      <c r="R3525" s="9">
        <v>193736</v>
      </c>
      <c r="S3525" s="9">
        <v>-112233</v>
      </c>
      <c r="T3525" s="10">
        <v>73027</v>
      </c>
      <c r="U3525" s="10">
        <v>1021</v>
      </c>
    </row>
    <row r="3526" spans="1:21" x14ac:dyDescent="0.35">
      <c r="A3526" t="s">
        <v>15</v>
      </c>
      <c r="B3526" t="s">
        <v>20</v>
      </c>
      <c r="C3526" t="s">
        <v>21</v>
      </c>
      <c r="D3526">
        <v>240683</v>
      </c>
      <c r="E3526">
        <v>37321</v>
      </c>
      <c r="F3526">
        <v>47319</v>
      </c>
      <c r="G3526">
        <v>-218238</v>
      </c>
      <c r="H3526">
        <v>107085</v>
      </c>
      <c r="I3526">
        <v>99325</v>
      </c>
      <c r="J3526">
        <v>2324</v>
      </c>
      <c r="K3526">
        <v>924258</v>
      </c>
      <c r="L3526">
        <v>376057</v>
      </c>
      <c r="M3526">
        <v>-259875</v>
      </c>
      <c r="N3526">
        <v>80596</v>
      </c>
      <c r="O3526" t="s">
        <v>3544</v>
      </c>
      <c r="P3526" s="9">
        <v>221617</v>
      </c>
      <c r="Q3526" s="9">
        <v>14895</v>
      </c>
      <c r="R3526" s="9">
        <v>236512</v>
      </c>
      <c r="S3526" s="9">
        <v>-77381</v>
      </c>
      <c r="T3526" s="10">
        <v>83365</v>
      </c>
      <c r="U3526" s="10">
        <v>1628</v>
      </c>
    </row>
    <row r="3527" spans="1:21" x14ac:dyDescent="0.35">
      <c r="A3527" t="s">
        <v>15</v>
      </c>
      <c r="B3527" t="s">
        <v>20</v>
      </c>
      <c r="C3527" t="s">
        <v>21</v>
      </c>
      <c r="D3527">
        <v>223548</v>
      </c>
      <c r="E3527">
        <v>28915</v>
      </c>
      <c r="F3527">
        <v>39439</v>
      </c>
      <c r="G3527">
        <v>-203854</v>
      </c>
      <c r="H3527">
        <v>88048</v>
      </c>
      <c r="I3527">
        <v>92283</v>
      </c>
      <c r="J3527">
        <v>1275</v>
      </c>
      <c r="K3527">
        <v>608044</v>
      </c>
      <c r="L3527">
        <v>200368</v>
      </c>
      <c r="M3527">
        <v>-102536</v>
      </c>
      <c r="N3527">
        <v>148088</v>
      </c>
      <c r="O3527" t="s">
        <v>3545</v>
      </c>
      <c r="P3527" s="9">
        <v>149152</v>
      </c>
      <c r="Q3527" s="9">
        <v>15044</v>
      </c>
      <c r="R3527" s="9">
        <v>164196</v>
      </c>
      <c r="S3527" s="9">
        <v>-84588</v>
      </c>
      <c r="T3527" s="10">
        <v>75660</v>
      </c>
      <c r="U3527" s="10">
        <v>1470</v>
      </c>
    </row>
    <row r="3528" spans="1:21" x14ac:dyDescent="0.35">
      <c r="A3528" t="s">
        <v>15</v>
      </c>
      <c r="B3528" t="s">
        <v>16</v>
      </c>
      <c r="C3528" t="s">
        <v>21</v>
      </c>
      <c r="D3528">
        <v>210119</v>
      </c>
      <c r="E3528">
        <v>35152</v>
      </c>
      <c r="F3528">
        <v>34053</v>
      </c>
      <c r="G3528">
        <v>-186234</v>
      </c>
      <c r="H3528">
        <v>93090</v>
      </c>
      <c r="I3528">
        <v>88278</v>
      </c>
      <c r="J3528">
        <v>1391</v>
      </c>
      <c r="K3528">
        <v>535584</v>
      </c>
      <c r="L3528">
        <v>60751</v>
      </c>
      <c r="M3528">
        <v>-77356</v>
      </c>
      <c r="N3528">
        <v>140894</v>
      </c>
      <c r="O3528" t="s">
        <v>3546</v>
      </c>
      <c r="P3528" s="9">
        <v>219963</v>
      </c>
      <c r="Q3528" s="9">
        <v>19414</v>
      </c>
      <c r="R3528" s="9">
        <v>239377</v>
      </c>
      <c r="S3528" s="9">
        <v>-142048</v>
      </c>
      <c r="T3528" s="10">
        <v>71479</v>
      </c>
      <c r="U3528" s="10">
        <v>1207</v>
      </c>
    </row>
    <row r="3529" spans="1:21" x14ac:dyDescent="0.35">
      <c r="A3529" t="s">
        <v>15</v>
      </c>
      <c r="B3529" t="s">
        <v>20</v>
      </c>
      <c r="C3529" t="s">
        <v>21</v>
      </c>
      <c r="D3529">
        <v>293945</v>
      </c>
      <c r="E3529">
        <v>37229</v>
      </c>
      <c r="F3529">
        <v>34147</v>
      </c>
      <c r="G3529">
        <v>-238516</v>
      </c>
      <c r="H3529">
        <v>126805</v>
      </c>
      <c r="I3529">
        <v>119142</v>
      </c>
      <c r="J3529">
        <v>2455</v>
      </c>
      <c r="K3529">
        <v>721964</v>
      </c>
      <c r="L3529">
        <v>333672</v>
      </c>
      <c r="M3529">
        <v>-192481</v>
      </c>
      <c r="N3529">
        <v>122540</v>
      </c>
      <c r="O3529" t="s">
        <v>3547</v>
      </c>
      <c r="P3529" s="9">
        <v>231188</v>
      </c>
      <c r="Q3529" s="9">
        <v>45090</v>
      </c>
      <c r="R3529" s="9">
        <v>276278</v>
      </c>
      <c r="S3529" s="9">
        <v>-112369</v>
      </c>
      <c r="T3529" s="10">
        <v>99748</v>
      </c>
      <c r="U3529" s="10">
        <v>1278</v>
      </c>
    </row>
    <row r="3530" spans="1:21" x14ac:dyDescent="0.35">
      <c r="A3530" t="s">
        <v>15</v>
      </c>
      <c r="B3530" t="s">
        <v>20</v>
      </c>
      <c r="C3530" t="s">
        <v>21</v>
      </c>
      <c r="D3530">
        <v>188708</v>
      </c>
      <c r="E3530">
        <v>13401</v>
      </c>
      <c r="F3530">
        <v>20290</v>
      </c>
      <c r="G3530">
        <v>-154714</v>
      </c>
      <c r="H3530">
        <v>67685</v>
      </c>
      <c r="I3530">
        <v>69112</v>
      </c>
      <c r="J3530">
        <v>1985</v>
      </c>
      <c r="K3530">
        <v>563509</v>
      </c>
      <c r="L3530">
        <v>73450</v>
      </c>
      <c r="M3530">
        <v>-185594</v>
      </c>
      <c r="N3530">
        <v>103587</v>
      </c>
      <c r="O3530" t="s">
        <v>3548</v>
      </c>
      <c r="P3530" s="9">
        <v>222310</v>
      </c>
      <c r="Q3530" s="9">
        <v>30667</v>
      </c>
      <c r="R3530" s="9">
        <v>252977</v>
      </c>
      <c r="S3530" s="9">
        <v>-87206</v>
      </c>
      <c r="T3530" s="10">
        <v>82956</v>
      </c>
      <c r="U3530" s="10">
        <v>1916</v>
      </c>
    </row>
    <row r="3531" spans="1:21" x14ac:dyDescent="0.35">
      <c r="A3531" t="s">
        <v>15</v>
      </c>
      <c r="B3531" t="s">
        <v>20</v>
      </c>
      <c r="C3531" t="s">
        <v>21</v>
      </c>
      <c r="D3531">
        <v>222422</v>
      </c>
      <c r="E3531">
        <v>21223</v>
      </c>
      <c r="F3531">
        <v>31958</v>
      </c>
      <c r="G3531">
        <v>-219772</v>
      </c>
      <c r="H3531">
        <v>55831</v>
      </c>
      <c r="I3531">
        <v>52394</v>
      </c>
      <c r="J3531">
        <v>1538</v>
      </c>
      <c r="K3531">
        <v>686368</v>
      </c>
      <c r="L3531">
        <v>136600</v>
      </c>
      <c r="M3531">
        <v>-203539</v>
      </c>
      <c r="N3531">
        <v>190751</v>
      </c>
      <c r="O3531" t="s">
        <v>3549</v>
      </c>
      <c r="P3531" s="9">
        <v>323092</v>
      </c>
      <c r="Q3531" s="9">
        <v>53648</v>
      </c>
      <c r="R3531" s="9">
        <v>376740</v>
      </c>
      <c r="S3531" s="9">
        <v>-117954</v>
      </c>
      <c r="T3531" s="10">
        <v>128078</v>
      </c>
      <c r="U3531" s="10">
        <v>3217</v>
      </c>
    </row>
    <row r="3532" spans="1:21" x14ac:dyDescent="0.35">
      <c r="A3532" t="s">
        <v>15</v>
      </c>
      <c r="B3532" t="s">
        <v>20</v>
      </c>
      <c r="C3532" t="s">
        <v>21</v>
      </c>
      <c r="D3532">
        <v>288805</v>
      </c>
      <c r="E3532">
        <v>42559</v>
      </c>
      <c r="F3532">
        <v>30308</v>
      </c>
      <c r="G3532">
        <v>-268226</v>
      </c>
      <c r="H3532">
        <v>93446</v>
      </c>
      <c r="I3532">
        <v>92415</v>
      </c>
      <c r="J3532">
        <v>2650</v>
      </c>
      <c r="K3532">
        <v>695203</v>
      </c>
      <c r="L3532">
        <v>265812</v>
      </c>
      <c r="M3532">
        <v>-232212</v>
      </c>
      <c r="N3532">
        <v>149948</v>
      </c>
      <c r="O3532" t="s">
        <v>3550</v>
      </c>
      <c r="P3532" s="9">
        <v>252390</v>
      </c>
      <c r="Q3532" s="9">
        <v>28921</v>
      </c>
      <c r="R3532" s="9">
        <v>281311</v>
      </c>
      <c r="S3532" s="9">
        <v>-132716</v>
      </c>
      <c r="T3532" s="10">
        <v>75024</v>
      </c>
      <c r="U3532" s="10">
        <v>2197</v>
      </c>
    </row>
    <row r="3533" spans="1:21" x14ac:dyDescent="0.35">
      <c r="A3533" t="s">
        <v>15</v>
      </c>
      <c r="B3533" t="s">
        <v>20</v>
      </c>
      <c r="C3533" t="s">
        <v>21</v>
      </c>
      <c r="D3533">
        <v>247376</v>
      </c>
      <c r="E3533">
        <v>23483</v>
      </c>
      <c r="F3533">
        <v>54214</v>
      </c>
      <c r="G3533">
        <v>-206296</v>
      </c>
      <c r="H3533">
        <v>118777</v>
      </c>
      <c r="I3533">
        <v>120298</v>
      </c>
      <c r="J3533">
        <v>2327</v>
      </c>
      <c r="K3533">
        <v>629738</v>
      </c>
      <c r="L3533">
        <v>113736</v>
      </c>
      <c r="M3533">
        <v>-227593</v>
      </c>
      <c r="N3533">
        <v>98320</v>
      </c>
      <c r="O3533" t="s">
        <v>3551</v>
      </c>
      <c r="P3533" s="9">
        <v>193326</v>
      </c>
      <c r="Q3533" s="9">
        <v>32655</v>
      </c>
      <c r="R3533" s="9">
        <v>225981</v>
      </c>
      <c r="S3533" s="9">
        <v>-131437</v>
      </c>
      <c r="T3533" s="10">
        <v>86644</v>
      </c>
      <c r="U3533" s="10">
        <v>889</v>
      </c>
    </row>
    <row r="3534" spans="1:21" x14ac:dyDescent="0.35">
      <c r="A3534" t="s">
        <v>15</v>
      </c>
      <c r="B3534" t="s">
        <v>20</v>
      </c>
      <c r="C3534" t="s">
        <v>21</v>
      </c>
      <c r="D3534">
        <v>232298</v>
      </c>
      <c r="E3534">
        <v>31796</v>
      </c>
      <c r="F3534">
        <v>37713</v>
      </c>
      <c r="G3534">
        <v>-217867</v>
      </c>
      <c r="H3534">
        <v>83940</v>
      </c>
      <c r="I3534">
        <v>76233</v>
      </c>
      <c r="J3534">
        <v>951</v>
      </c>
      <c r="K3534">
        <v>570831</v>
      </c>
      <c r="L3534">
        <v>89182</v>
      </c>
      <c r="M3534">
        <v>-146292</v>
      </c>
      <c r="N3534">
        <v>146308</v>
      </c>
      <c r="O3534" t="s">
        <v>3552</v>
      </c>
      <c r="P3534" s="9">
        <v>221957</v>
      </c>
      <c r="Q3534" s="9">
        <v>26337</v>
      </c>
      <c r="R3534" s="9">
        <v>248294</v>
      </c>
      <c r="S3534" s="9">
        <v>-85573</v>
      </c>
      <c r="T3534" s="10">
        <v>66464</v>
      </c>
      <c r="U3534" s="10">
        <v>906</v>
      </c>
    </row>
    <row r="3535" spans="1:21" x14ac:dyDescent="0.35">
      <c r="A3535" t="s">
        <v>15</v>
      </c>
      <c r="B3535" t="s">
        <v>20</v>
      </c>
      <c r="C3535" t="s">
        <v>17</v>
      </c>
      <c r="D3535">
        <v>158072</v>
      </c>
      <c r="E3535">
        <v>28498</v>
      </c>
      <c r="F3535">
        <v>37835</v>
      </c>
      <c r="G3535">
        <v>-152084</v>
      </c>
      <c r="H3535">
        <v>72321</v>
      </c>
      <c r="I3535">
        <v>73642</v>
      </c>
      <c r="J3535">
        <v>1740</v>
      </c>
      <c r="K3535">
        <v>564541</v>
      </c>
      <c r="L3535">
        <v>156321</v>
      </c>
      <c r="M3535">
        <v>-132141</v>
      </c>
      <c r="N3535">
        <v>138795</v>
      </c>
      <c r="O3535" t="s">
        <v>3553</v>
      </c>
      <c r="P3535" s="9">
        <v>278287</v>
      </c>
      <c r="Q3535" s="9">
        <v>24600</v>
      </c>
      <c r="R3535" s="9">
        <v>302887</v>
      </c>
      <c r="S3535" s="9">
        <v>-179018</v>
      </c>
      <c r="T3535" s="10">
        <v>94605</v>
      </c>
      <c r="U3535" s="10">
        <v>2398</v>
      </c>
    </row>
    <row r="3536" spans="1:21" x14ac:dyDescent="0.35">
      <c r="A3536" t="s">
        <v>15</v>
      </c>
      <c r="B3536" t="s">
        <v>20</v>
      </c>
      <c r="C3536" t="s">
        <v>21</v>
      </c>
      <c r="D3536">
        <v>275217</v>
      </c>
      <c r="E3536">
        <v>53073</v>
      </c>
      <c r="F3536">
        <v>31829</v>
      </c>
      <c r="G3536">
        <v>-272672</v>
      </c>
      <c r="H3536">
        <v>87447</v>
      </c>
      <c r="I3536">
        <v>88067</v>
      </c>
      <c r="J3536">
        <v>2585</v>
      </c>
      <c r="K3536">
        <v>849981</v>
      </c>
      <c r="L3536">
        <v>370002</v>
      </c>
      <c r="M3536">
        <v>-104967</v>
      </c>
      <c r="N3536">
        <v>156869</v>
      </c>
      <c r="O3536" t="s">
        <v>3554</v>
      </c>
      <c r="P3536" s="9">
        <v>149621</v>
      </c>
      <c r="Q3536" s="9">
        <v>13059</v>
      </c>
      <c r="R3536" s="9">
        <v>162680</v>
      </c>
      <c r="S3536" s="9">
        <v>-84913</v>
      </c>
      <c r="T3536" s="10">
        <v>46892</v>
      </c>
      <c r="U3536" s="10">
        <v>720</v>
      </c>
    </row>
    <row r="3537" spans="1:21" x14ac:dyDescent="0.35">
      <c r="A3537" t="s">
        <v>15</v>
      </c>
      <c r="B3537" t="s">
        <v>16</v>
      </c>
      <c r="C3537" t="s">
        <v>21</v>
      </c>
      <c r="D3537">
        <v>284474</v>
      </c>
      <c r="E3537">
        <v>35125</v>
      </c>
      <c r="F3537">
        <v>52154</v>
      </c>
      <c r="G3537">
        <v>-276588</v>
      </c>
      <c r="H3537">
        <v>95165</v>
      </c>
      <c r="I3537">
        <v>96481</v>
      </c>
      <c r="J3537">
        <v>1734</v>
      </c>
      <c r="K3537">
        <v>969334</v>
      </c>
      <c r="L3537">
        <v>466669</v>
      </c>
      <c r="M3537">
        <v>-201706</v>
      </c>
      <c r="N3537">
        <v>158596</v>
      </c>
      <c r="O3537" t="s">
        <v>3555</v>
      </c>
      <c r="P3537" s="9">
        <v>226559</v>
      </c>
      <c r="Q3537" s="9">
        <v>37741</v>
      </c>
      <c r="R3537" s="9">
        <v>264300</v>
      </c>
      <c r="S3537" s="9">
        <v>-139202</v>
      </c>
      <c r="T3537" s="10">
        <v>102716</v>
      </c>
      <c r="U3537" s="10">
        <v>1685</v>
      </c>
    </row>
    <row r="3538" spans="1:21" x14ac:dyDescent="0.35">
      <c r="A3538" t="s">
        <v>15</v>
      </c>
      <c r="B3538" t="s">
        <v>20</v>
      </c>
      <c r="C3538" t="s">
        <v>17</v>
      </c>
      <c r="D3538">
        <v>278327</v>
      </c>
      <c r="E3538">
        <v>44479</v>
      </c>
      <c r="F3538">
        <v>56943</v>
      </c>
      <c r="G3538">
        <v>-222777</v>
      </c>
      <c r="H3538">
        <v>156972</v>
      </c>
      <c r="I3538">
        <v>144984</v>
      </c>
      <c r="J3538">
        <v>3040</v>
      </c>
      <c r="K3538">
        <v>606316</v>
      </c>
      <c r="L3538">
        <v>130248</v>
      </c>
      <c r="M3538">
        <v>-224003</v>
      </c>
      <c r="N3538">
        <v>209689</v>
      </c>
      <c r="O3538" t="s">
        <v>3556</v>
      </c>
      <c r="P3538" s="9">
        <v>263638</v>
      </c>
      <c r="Q3538" s="9">
        <v>26507</v>
      </c>
      <c r="R3538" s="9">
        <v>290145</v>
      </c>
      <c r="S3538" s="9">
        <v>-74029</v>
      </c>
      <c r="T3538" s="10">
        <v>107939</v>
      </c>
      <c r="U3538" s="10">
        <v>2123</v>
      </c>
    </row>
    <row r="3539" spans="1:21" x14ac:dyDescent="0.35">
      <c r="A3539" t="s">
        <v>15</v>
      </c>
      <c r="B3539" t="s">
        <v>16</v>
      </c>
      <c r="C3539" t="s">
        <v>17</v>
      </c>
      <c r="D3539">
        <v>224261</v>
      </c>
      <c r="E3539">
        <v>40493</v>
      </c>
      <c r="F3539">
        <v>35975</v>
      </c>
      <c r="G3539">
        <v>-212514</v>
      </c>
      <c r="H3539">
        <v>88215</v>
      </c>
      <c r="I3539">
        <v>87401</v>
      </c>
      <c r="J3539">
        <v>2016</v>
      </c>
      <c r="K3539">
        <v>506409</v>
      </c>
      <c r="L3539">
        <v>223500</v>
      </c>
      <c r="M3539">
        <v>-107259</v>
      </c>
      <c r="N3539">
        <v>89703</v>
      </c>
      <c r="O3539" t="s">
        <v>3557</v>
      </c>
      <c r="P3539" s="9">
        <v>183849</v>
      </c>
      <c r="Q3539" s="9">
        <v>22685</v>
      </c>
      <c r="R3539" s="9">
        <v>206534</v>
      </c>
      <c r="S3539" s="9">
        <v>-95596</v>
      </c>
      <c r="T3539" s="10">
        <v>83173</v>
      </c>
      <c r="U3539" s="10">
        <v>2042</v>
      </c>
    </row>
    <row r="3540" spans="1:21" x14ac:dyDescent="0.35">
      <c r="A3540" t="s">
        <v>15</v>
      </c>
      <c r="B3540" t="s">
        <v>16</v>
      </c>
      <c r="C3540" t="s">
        <v>17</v>
      </c>
      <c r="D3540">
        <v>198342</v>
      </c>
      <c r="E3540">
        <v>23464</v>
      </c>
      <c r="F3540">
        <v>31294</v>
      </c>
      <c r="G3540">
        <v>-193141</v>
      </c>
      <c r="H3540">
        <v>59959</v>
      </c>
      <c r="I3540">
        <v>62348</v>
      </c>
      <c r="J3540">
        <v>1786</v>
      </c>
      <c r="K3540">
        <v>791472</v>
      </c>
      <c r="L3540">
        <v>329468</v>
      </c>
      <c r="M3540">
        <v>-161942</v>
      </c>
      <c r="N3540">
        <v>81273</v>
      </c>
      <c r="O3540" t="s">
        <v>3558</v>
      </c>
      <c r="P3540" s="9">
        <v>189142</v>
      </c>
      <c r="Q3540" s="9">
        <v>28456</v>
      </c>
      <c r="R3540" s="9">
        <v>217598</v>
      </c>
      <c r="S3540" s="9">
        <v>-61418</v>
      </c>
      <c r="T3540" s="10">
        <v>108126</v>
      </c>
      <c r="U3540" s="10">
        <v>2885</v>
      </c>
    </row>
    <row r="3541" spans="1:21" x14ac:dyDescent="0.35">
      <c r="A3541" t="s">
        <v>15</v>
      </c>
      <c r="B3541" t="s">
        <v>20</v>
      </c>
      <c r="C3541" t="s">
        <v>21</v>
      </c>
      <c r="D3541">
        <v>168873</v>
      </c>
      <c r="E3541">
        <v>19797</v>
      </c>
      <c r="F3541">
        <v>36053</v>
      </c>
      <c r="G3541">
        <v>-164645</v>
      </c>
      <c r="H3541">
        <v>60078</v>
      </c>
      <c r="I3541">
        <v>59514</v>
      </c>
      <c r="J3541">
        <v>778</v>
      </c>
      <c r="K3541">
        <v>388391</v>
      </c>
      <c r="L3541">
        <v>55197</v>
      </c>
      <c r="M3541">
        <v>-120499</v>
      </c>
      <c r="N3541">
        <v>67021</v>
      </c>
      <c r="O3541" t="s">
        <v>3559</v>
      </c>
      <c r="P3541" s="9">
        <v>214609</v>
      </c>
      <c r="Q3541" s="9">
        <v>38471</v>
      </c>
      <c r="R3541" s="9">
        <v>253080</v>
      </c>
      <c r="S3541" s="9">
        <v>-84301</v>
      </c>
      <c r="T3541" s="10">
        <v>117498</v>
      </c>
      <c r="U3541" s="10">
        <v>1544</v>
      </c>
    </row>
    <row r="3542" spans="1:21" x14ac:dyDescent="0.35">
      <c r="A3542" t="s">
        <v>15</v>
      </c>
      <c r="B3542" t="s">
        <v>16</v>
      </c>
      <c r="C3542" t="s">
        <v>21</v>
      </c>
      <c r="D3542">
        <v>257563</v>
      </c>
      <c r="E3542">
        <v>18119</v>
      </c>
      <c r="F3542">
        <v>29652</v>
      </c>
      <c r="G3542">
        <v>-214261</v>
      </c>
      <c r="H3542">
        <v>91073</v>
      </c>
      <c r="I3542">
        <v>85566</v>
      </c>
      <c r="J3542">
        <v>1264</v>
      </c>
      <c r="K3542">
        <v>658106</v>
      </c>
      <c r="L3542">
        <v>200759</v>
      </c>
      <c r="M3542">
        <v>-82565</v>
      </c>
      <c r="N3542">
        <v>105188</v>
      </c>
      <c r="O3542" t="s">
        <v>3560</v>
      </c>
      <c r="P3542" s="9">
        <v>168601</v>
      </c>
      <c r="Q3542" s="9">
        <v>14009</v>
      </c>
      <c r="R3542" s="9">
        <v>182610</v>
      </c>
      <c r="S3542" s="9">
        <v>-102439</v>
      </c>
      <c r="T3542" s="10">
        <v>75146</v>
      </c>
      <c r="U3542" s="10">
        <v>1204</v>
      </c>
    </row>
    <row r="3543" spans="1:21" x14ac:dyDescent="0.35">
      <c r="A3543" t="s">
        <v>15</v>
      </c>
      <c r="B3543" t="s">
        <v>16</v>
      </c>
      <c r="C3543" t="s">
        <v>21</v>
      </c>
      <c r="D3543">
        <v>202825</v>
      </c>
      <c r="E3543">
        <v>30533</v>
      </c>
      <c r="F3543">
        <v>44880</v>
      </c>
      <c r="G3543">
        <v>-174102</v>
      </c>
      <c r="H3543">
        <v>104136</v>
      </c>
      <c r="I3543">
        <v>93951</v>
      </c>
      <c r="J3543">
        <v>2114</v>
      </c>
      <c r="K3543">
        <v>726614</v>
      </c>
      <c r="L3543">
        <v>338208</v>
      </c>
      <c r="M3543">
        <v>-138788</v>
      </c>
      <c r="N3543">
        <v>116913</v>
      </c>
      <c r="O3543" t="s">
        <v>3561</v>
      </c>
      <c r="P3543" s="9">
        <v>222976</v>
      </c>
      <c r="Q3543" s="9">
        <v>43558</v>
      </c>
      <c r="R3543" s="9">
        <v>266534</v>
      </c>
      <c r="S3543" s="9">
        <v>-65535</v>
      </c>
      <c r="T3543" s="10">
        <v>95717</v>
      </c>
      <c r="U3543" s="10">
        <v>2547</v>
      </c>
    </row>
    <row r="3544" spans="1:21" x14ac:dyDescent="0.35">
      <c r="A3544" t="s">
        <v>15</v>
      </c>
      <c r="B3544" t="s">
        <v>16</v>
      </c>
      <c r="C3544" t="s">
        <v>21</v>
      </c>
      <c r="D3544">
        <v>269817</v>
      </c>
      <c r="E3544">
        <v>14888</v>
      </c>
      <c r="F3544">
        <v>35845</v>
      </c>
      <c r="G3544">
        <v>-253573</v>
      </c>
      <c r="H3544">
        <v>66977</v>
      </c>
      <c r="I3544">
        <v>66326</v>
      </c>
      <c r="J3544">
        <v>1538</v>
      </c>
      <c r="K3544">
        <v>980155</v>
      </c>
      <c r="L3544">
        <v>447610</v>
      </c>
      <c r="M3544">
        <v>-133063</v>
      </c>
      <c r="N3544">
        <v>209815</v>
      </c>
      <c r="O3544" t="s">
        <v>3562</v>
      </c>
      <c r="P3544" s="9">
        <v>139300</v>
      </c>
      <c r="Q3544" s="9">
        <v>10053</v>
      </c>
      <c r="R3544" s="9">
        <v>149353</v>
      </c>
      <c r="S3544" s="9">
        <v>-36515</v>
      </c>
      <c r="T3544" s="10">
        <v>49913</v>
      </c>
      <c r="U3544" s="10">
        <v>975</v>
      </c>
    </row>
    <row r="3545" spans="1:21" x14ac:dyDescent="0.35">
      <c r="A3545" t="s">
        <v>15</v>
      </c>
      <c r="B3545" t="s">
        <v>16</v>
      </c>
      <c r="C3545" t="s">
        <v>21</v>
      </c>
      <c r="D3545">
        <v>203053</v>
      </c>
      <c r="E3545">
        <v>25952</v>
      </c>
      <c r="F3545">
        <v>27773</v>
      </c>
      <c r="G3545">
        <v>-170665</v>
      </c>
      <c r="H3545">
        <v>86113</v>
      </c>
      <c r="I3545">
        <v>88095</v>
      </c>
      <c r="J3545">
        <v>1883</v>
      </c>
      <c r="K3545">
        <v>440866</v>
      </c>
      <c r="L3545">
        <v>155628</v>
      </c>
      <c r="M3545">
        <v>-88859</v>
      </c>
      <c r="N3545">
        <v>131476</v>
      </c>
      <c r="O3545" t="s">
        <v>3563</v>
      </c>
      <c r="P3545" s="9">
        <v>156714</v>
      </c>
      <c r="Q3545" s="9">
        <v>9331</v>
      </c>
      <c r="R3545" s="9">
        <v>166045</v>
      </c>
      <c r="S3545" s="9">
        <v>-94580</v>
      </c>
      <c r="T3545" s="10">
        <v>61561</v>
      </c>
      <c r="U3545" s="10">
        <v>1575</v>
      </c>
    </row>
    <row r="3546" spans="1:21" x14ac:dyDescent="0.35">
      <c r="A3546" t="s">
        <v>15</v>
      </c>
      <c r="B3546" t="s">
        <v>16</v>
      </c>
      <c r="C3546" t="s">
        <v>17</v>
      </c>
      <c r="D3546">
        <v>204881</v>
      </c>
      <c r="E3546">
        <v>30319</v>
      </c>
      <c r="F3546">
        <v>27412</v>
      </c>
      <c r="G3546">
        <v>-198202</v>
      </c>
      <c r="H3546">
        <v>64410</v>
      </c>
      <c r="I3546">
        <v>63968</v>
      </c>
      <c r="J3546">
        <v>1071</v>
      </c>
      <c r="K3546">
        <v>649242</v>
      </c>
      <c r="L3546">
        <v>320033</v>
      </c>
      <c r="M3546">
        <v>-233565</v>
      </c>
      <c r="N3546">
        <v>133095</v>
      </c>
      <c r="O3546" t="s">
        <v>3564</v>
      </c>
      <c r="P3546" s="9">
        <v>234729</v>
      </c>
      <c r="Q3546" s="9">
        <v>33211</v>
      </c>
      <c r="R3546" s="9">
        <v>267940</v>
      </c>
      <c r="S3546" s="9">
        <v>-152602</v>
      </c>
      <c r="T3546" s="10">
        <v>114794</v>
      </c>
      <c r="U3546" s="10">
        <v>2273</v>
      </c>
    </row>
    <row r="3547" spans="1:21" x14ac:dyDescent="0.35">
      <c r="A3547" t="s">
        <v>15</v>
      </c>
      <c r="B3547" t="s">
        <v>16</v>
      </c>
      <c r="C3547" t="s">
        <v>21</v>
      </c>
      <c r="D3547">
        <v>188179</v>
      </c>
      <c r="E3547">
        <v>35985</v>
      </c>
      <c r="F3547">
        <v>44327</v>
      </c>
      <c r="G3547">
        <v>-152361</v>
      </c>
      <c r="H3547">
        <v>116130</v>
      </c>
      <c r="I3547">
        <v>116597</v>
      </c>
      <c r="J3547">
        <v>1214</v>
      </c>
      <c r="K3547">
        <v>480094</v>
      </c>
      <c r="L3547">
        <v>111835</v>
      </c>
      <c r="M3547">
        <v>-138818</v>
      </c>
      <c r="N3547">
        <v>89127</v>
      </c>
      <c r="O3547" t="s">
        <v>3565</v>
      </c>
      <c r="P3547" s="9">
        <v>303004</v>
      </c>
      <c r="Q3547" s="9">
        <v>14692</v>
      </c>
      <c r="R3547" s="9">
        <v>317696</v>
      </c>
      <c r="S3547" s="9">
        <v>-169459</v>
      </c>
      <c r="T3547" s="10">
        <v>86172</v>
      </c>
      <c r="U3547" s="10">
        <v>1421</v>
      </c>
    </row>
    <row r="3548" spans="1:21" x14ac:dyDescent="0.35">
      <c r="A3548" t="s">
        <v>15</v>
      </c>
      <c r="B3548" t="s">
        <v>20</v>
      </c>
      <c r="C3548" t="s">
        <v>21</v>
      </c>
      <c r="D3548">
        <v>285396</v>
      </c>
      <c r="E3548">
        <v>31435</v>
      </c>
      <c r="F3548">
        <v>48334</v>
      </c>
      <c r="G3548">
        <v>-242974</v>
      </c>
      <c r="H3548">
        <v>122191</v>
      </c>
      <c r="I3548">
        <v>110448</v>
      </c>
      <c r="J3548">
        <v>1772</v>
      </c>
      <c r="K3548">
        <v>677012</v>
      </c>
      <c r="L3548">
        <v>193937</v>
      </c>
      <c r="M3548">
        <v>-170277</v>
      </c>
      <c r="N3548">
        <v>222912</v>
      </c>
      <c r="O3548" t="s">
        <v>3566</v>
      </c>
      <c r="P3548" s="9">
        <v>304226</v>
      </c>
      <c r="Q3548" s="9">
        <v>25088</v>
      </c>
      <c r="R3548" s="9">
        <v>329314</v>
      </c>
      <c r="S3548" s="9">
        <v>-125561</v>
      </c>
      <c r="T3548" s="10">
        <v>93983</v>
      </c>
      <c r="U3548" s="10">
        <v>2693</v>
      </c>
    </row>
    <row r="3549" spans="1:21" x14ac:dyDescent="0.35">
      <c r="A3549" t="s">
        <v>15</v>
      </c>
      <c r="B3549" t="s">
        <v>16</v>
      </c>
      <c r="C3549" t="s">
        <v>21</v>
      </c>
      <c r="D3549">
        <v>179979</v>
      </c>
      <c r="E3549">
        <v>24051</v>
      </c>
      <c r="F3549">
        <v>41405</v>
      </c>
      <c r="G3549">
        <v>-150496</v>
      </c>
      <c r="H3549">
        <v>94939</v>
      </c>
      <c r="I3549">
        <v>87628</v>
      </c>
      <c r="J3549">
        <v>1104</v>
      </c>
      <c r="K3549">
        <v>576450</v>
      </c>
      <c r="L3549">
        <v>234781</v>
      </c>
      <c r="M3549">
        <v>-200897</v>
      </c>
      <c r="N3549">
        <v>155485</v>
      </c>
      <c r="O3549" t="s">
        <v>3567</v>
      </c>
      <c r="P3549" s="9">
        <v>210053</v>
      </c>
      <c r="Q3549" s="9">
        <v>40472</v>
      </c>
      <c r="R3549" s="9">
        <v>250525</v>
      </c>
      <c r="S3549" s="9">
        <v>-62154</v>
      </c>
      <c r="T3549" s="10">
        <v>98581</v>
      </c>
      <c r="U3549" s="10">
        <v>1309</v>
      </c>
    </row>
    <row r="3550" spans="1:21" x14ac:dyDescent="0.35">
      <c r="A3550" t="s">
        <v>15</v>
      </c>
      <c r="B3550" t="s">
        <v>20</v>
      </c>
      <c r="C3550" t="s">
        <v>21</v>
      </c>
      <c r="D3550">
        <v>169714</v>
      </c>
      <c r="E3550">
        <v>19329</v>
      </c>
      <c r="F3550">
        <v>42061</v>
      </c>
      <c r="G3550">
        <v>-147080</v>
      </c>
      <c r="H3550">
        <v>84024</v>
      </c>
      <c r="I3550">
        <v>85775</v>
      </c>
      <c r="J3550">
        <v>1763</v>
      </c>
      <c r="K3550">
        <v>641940</v>
      </c>
      <c r="L3550">
        <v>271676</v>
      </c>
      <c r="M3550">
        <v>-97617</v>
      </c>
      <c r="N3550">
        <v>94792</v>
      </c>
      <c r="O3550" t="s">
        <v>3568</v>
      </c>
      <c r="P3550" s="9">
        <v>149515</v>
      </c>
      <c r="Q3550" s="9">
        <v>8480</v>
      </c>
      <c r="R3550" s="9">
        <v>157995</v>
      </c>
      <c r="S3550" s="9">
        <v>-77930</v>
      </c>
      <c r="T3550" s="10">
        <v>49490</v>
      </c>
      <c r="U3550" s="10">
        <v>662</v>
      </c>
    </row>
    <row r="3551" spans="1:21" x14ac:dyDescent="0.35">
      <c r="A3551" t="s">
        <v>15</v>
      </c>
      <c r="B3551" t="s">
        <v>16</v>
      </c>
      <c r="C3551" t="s">
        <v>21</v>
      </c>
      <c r="D3551">
        <v>212769</v>
      </c>
      <c r="E3551">
        <v>19094</v>
      </c>
      <c r="F3551">
        <v>23552</v>
      </c>
      <c r="G3551">
        <v>-183300</v>
      </c>
      <c r="H3551">
        <v>72115</v>
      </c>
      <c r="I3551">
        <v>66190</v>
      </c>
      <c r="J3551">
        <v>1442</v>
      </c>
      <c r="K3551">
        <v>453975</v>
      </c>
      <c r="L3551">
        <v>170630</v>
      </c>
      <c r="M3551">
        <v>-72163</v>
      </c>
      <c r="N3551">
        <v>109276</v>
      </c>
      <c r="O3551" t="s">
        <v>3569</v>
      </c>
      <c r="P3551" s="9">
        <v>264808</v>
      </c>
      <c r="Q3551" s="9">
        <v>20098</v>
      </c>
      <c r="R3551" s="9">
        <v>284906</v>
      </c>
      <c r="S3551" s="9">
        <v>-102273</v>
      </c>
      <c r="T3551" s="10">
        <v>80297</v>
      </c>
      <c r="U3551" s="10">
        <v>2154</v>
      </c>
    </row>
    <row r="3552" spans="1:21" x14ac:dyDescent="0.35">
      <c r="A3552" t="s">
        <v>15</v>
      </c>
      <c r="B3552" t="s">
        <v>16</v>
      </c>
      <c r="C3552" t="s">
        <v>21</v>
      </c>
      <c r="D3552">
        <v>237667</v>
      </c>
      <c r="E3552">
        <v>20081</v>
      </c>
      <c r="F3552">
        <v>34329</v>
      </c>
      <c r="G3552">
        <v>-219468</v>
      </c>
      <c r="H3552">
        <v>72609</v>
      </c>
      <c r="I3552">
        <v>72509</v>
      </c>
      <c r="J3552">
        <v>1566</v>
      </c>
      <c r="K3552">
        <v>931064</v>
      </c>
      <c r="L3552">
        <v>203365</v>
      </c>
      <c r="M3552">
        <v>-254164</v>
      </c>
      <c r="N3552">
        <v>198926</v>
      </c>
      <c r="O3552" t="s">
        <v>3570</v>
      </c>
      <c r="P3552" s="9">
        <v>181623</v>
      </c>
      <c r="Q3552" s="9">
        <v>15208</v>
      </c>
      <c r="R3552" s="9">
        <v>196831</v>
      </c>
      <c r="S3552" s="9">
        <v>-43417</v>
      </c>
      <c r="T3552" s="10">
        <v>42232</v>
      </c>
      <c r="U3552" s="10">
        <v>657</v>
      </c>
    </row>
    <row r="3553" spans="1:21" x14ac:dyDescent="0.35">
      <c r="A3553" t="s">
        <v>15</v>
      </c>
      <c r="B3553" t="s">
        <v>16</v>
      </c>
      <c r="C3553" t="s">
        <v>21</v>
      </c>
      <c r="D3553">
        <v>151763</v>
      </c>
      <c r="E3553">
        <v>10108</v>
      </c>
      <c r="F3553">
        <v>36574</v>
      </c>
      <c r="G3553">
        <v>-139714</v>
      </c>
      <c r="H3553">
        <v>58731</v>
      </c>
      <c r="I3553">
        <v>54810</v>
      </c>
      <c r="J3553">
        <v>706</v>
      </c>
      <c r="K3553">
        <v>383552</v>
      </c>
      <c r="L3553">
        <v>100754</v>
      </c>
      <c r="M3553">
        <v>-136155</v>
      </c>
      <c r="N3553">
        <v>130936</v>
      </c>
      <c r="O3553" t="s">
        <v>3571</v>
      </c>
      <c r="P3553" s="9">
        <v>165270</v>
      </c>
      <c r="Q3553" s="9">
        <v>21067</v>
      </c>
      <c r="R3553" s="9">
        <v>186337</v>
      </c>
      <c r="S3553" s="9">
        <v>-43236</v>
      </c>
      <c r="T3553" s="10">
        <v>70281</v>
      </c>
      <c r="U3553" s="10">
        <v>1919</v>
      </c>
    </row>
    <row r="3554" spans="1:21" x14ac:dyDescent="0.35">
      <c r="A3554" t="s">
        <v>15</v>
      </c>
      <c r="B3554" t="s">
        <v>16</v>
      </c>
      <c r="C3554" t="s">
        <v>21</v>
      </c>
      <c r="D3554">
        <v>200952</v>
      </c>
      <c r="E3554">
        <v>35690</v>
      </c>
      <c r="F3554">
        <v>30726</v>
      </c>
      <c r="G3554">
        <v>-173939</v>
      </c>
      <c r="H3554">
        <v>93429</v>
      </c>
      <c r="I3554">
        <v>88396</v>
      </c>
      <c r="J3554">
        <v>2268</v>
      </c>
      <c r="K3554">
        <v>709771</v>
      </c>
      <c r="L3554">
        <v>263829</v>
      </c>
      <c r="M3554">
        <v>-222218</v>
      </c>
      <c r="N3554">
        <v>104269</v>
      </c>
      <c r="O3554" t="s">
        <v>3572</v>
      </c>
      <c r="P3554" s="9">
        <v>202590</v>
      </c>
      <c r="Q3554" s="9">
        <v>33398</v>
      </c>
      <c r="R3554" s="9">
        <v>235988</v>
      </c>
      <c r="S3554" s="9">
        <v>-77794</v>
      </c>
      <c r="T3554" s="10">
        <v>92431</v>
      </c>
      <c r="U3554" s="10">
        <v>2765</v>
      </c>
    </row>
    <row r="3555" spans="1:21" x14ac:dyDescent="0.35">
      <c r="A3555" t="s">
        <v>15</v>
      </c>
      <c r="B3555" t="s">
        <v>16</v>
      </c>
      <c r="C3555" t="s">
        <v>21</v>
      </c>
      <c r="D3555">
        <v>180622</v>
      </c>
      <c r="E3555">
        <v>17029</v>
      </c>
      <c r="F3555">
        <v>42536</v>
      </c>
      <c r="G3555">
        <v>-167918</v>
      </c>
      <c r="H3555">
        <v>72269</v>
      </c>
      <c r="I3555">
        <v>71862</v>
      </c>
      <c r="J3555">
        <v>1517</v>
      </c>
      <c r="K3555">
        <v>613315</v>
      </c>
      <c r="L3555">
        <v>122179</v>
      </c>
      <c r="M3555">
        <v>-227601</v>
      </c>
      <c r="N3555">
        <v>106412</v>
      </c>
      <c r="O3555" t="s">
        <v>3573</v>
      </c>
      <c r="P3555" s="9">
        <v>190507</v>
      </c>
      <c r="Q3555" s="9">
        <v>11323</v>
      </c>
      <c r="R3555" s="9">
        <v>201830</v>
      </c>
      <c r="S3555" s="9">
        <v>-65667</v>
      </c>
      <c r="T3555" s="10">
        <v>72396</v>
      </c>
      <c r="U3555" s="10">
        <v>879</v>
      </c>
    </row>
    <row r="3556" spans="1:21" x14ac:dyDescent="0.35">
      <c r="A3556" t="s">
        <v>15</v>
      </c>
      <c r="B3556" t="s">
        <v>20</v>
      </c>
      <c r="C3556" t="s">
        <v>21</v>
      </c>
      <c r="D3556">
        <v>235214</v>
      </c>
      <c r="E3556">
        <v>40248</v>
      </c>
      <c r="F3556">
        <v>27927</v>
      </c>
      <c r="G3556">
        <v>-223951</v>
      </c>
      <c r="H3556">
        <v>79438</v>
      </c>
      <c r="I3556">
        <v>78809</v>
      </c>
      <c r="J3556">
        <v>2136</v>
      </c>
      <c r="K3556">
        <v>904667</v>
      </c>
      <c r="L3556">
        <v>224486</v>
      </c>
      <c r="M3556">
        <v>-257312</v>
      </c>
      <c r="N3556">
        <v>142067</v>
      </c>
      <c r="O3556" t="s">
        <v>3574</v>
      </c>
      <c r="P3556" s="9">
        <v>187856</v>
      </c>
      <c r="Q3556" s="9">
        <v>19798</v>
      </c>
      <c r="R3556" s="9">
        <v>207654</v>
      </c>
      <c r="S3556" s="9">
        <v>-42778</v>
      </c>
      <c r="T3556" s="10">
        <v>51012</v>
      </c>
      <c r="U3556" s="10">
        <v>644</v>
      </c>
    </row>
    <row r="3557" spans="1:21" x14ac:dyDescent="0.35">
      <c r="A3557" t="s">
        <v>15</v>
      </c>
      <c r="B3557" t="s">
        <v>16</v>
      </c>
      <c r="C3557" t="s">
        <v>21</v>
      </c>
      <c r="D3557">
        <v>256097</v>
      </c>
      <c r="E3557">
        <v>29445</v>
      </c>
      <c r="F3557">
        <v>59090</v>
      </c>
      <c r="G3557">
        <v>-225262</v>
      </c>
      <c r="H3557">
        <v>119370</v>
      </c>
      <c r="I3557">
        <v>110551</v>
      </c>
      <c r="J3557">
        <v>2799</v>
      </c>
      <c r="K3557">
        <v>621404</v>
      </c>
      <c r="L3557">
        <v>200766</v>
      </c>
      <c r="M3557">
        <v>-184805</v>
      </c>
      <c r="N3557">
        <v>151311</v>
      </c>
      <c r="O3557" t="s">
        <v>3575</v>
      </c>
      <c r="P3557" s="9">
        <v>248549</v>
      </c>
      <c r="Q3557" s="9">
        <v>39564</v>
      </c>
      <c r="R3557" s="9">
        <v>288113</v>
      </c>
      <c r="S3557" s="9">
        <v>-59080</v>
      </c>
      <c r="T3557" s="10">
        <v>89168</v>
      </c>
      <c r="U3557" s="10">
        <v>1490</v>
      </c>
    </row>
    <row r="3558" spans="1:21" x14ac:dyDescent="0.35">
      <c r="A3558" t="s">
        <v>15</v>
      </c>
      <c r="B3558" t="s">
        <v>16</v>
      </c>
      <c r="C3558" t="s">
        <v>21</v>
      </c>
      <c r="D3558">
        <v>265264</v>
      </c>
      <c r="E3558">
        <v>23633</v>
      </c>
      <c r="F3558">
        <v>55239</v>
      </c>
      <c r="G3558">
        <v>-219973</v>
      </c>
      <c r="H3558">
        <v>124163</v>
      </c>
      <c r="I3558">
        <v>126357</v>
      </c>
      <c r="J3558">
        <v>3295</v>
      </c>
      <c r="K3558">
        <v>755546</v>
      </c>
      <c r="L3558">
        <v>87845</v>
      </c>
      <c r="M3558">
        <v>-269588</v>
      </c>
      <c r="N3558">
        <v>137640</v>
      </c>
      <c r="O3558" t="s">
        <v>3576</v>
      </c>
      <c r="P3558" s="9">
        <v>305023</v>
      </c>
      <c r="Q3558" s="9">
        <v>30829</v>
      </c>
      <c r="R3558" s="9">
        <v>335852</v>
      </c>
      <c r="S3558" s="9">
        <v>-158654</v>
      </c>
      <c r="T3558" s="10">
        <v>120329</v>
      </c>
      <c r="U3558" s="10">
        <v>2162</v>
      </c>
    </row>
    <row r="3559" spans="1:21" x14ac:dyDescent="0.35">
      <c r="A3559" t="s">
        <v>15</v>
      </c>
      <c r="B3559" t="s">
        <v>16</v>
      </c>
      <c r="C3559" t="s">
        <v>21</v>
      </c>
      <c r="D3559">
        <v>224534</v>
      </c>
      <c r="E3559">
        <v>32989</v>
      </c>
      <c r="F3559">
        <v>50492</v>
      </c>
      <c r="G3559">
        <v>-188405</v>
      </c>
      <c r="H3559">
        <v>119610</v>
      </c>
      <c r="I3559">
        <v>109030</v>
      </c>
      <c r="J3559">
        <v>1246</v>
      </c>
      <c r="K3559">
        <v>725277</v>
      </c>
      <c r="L3559">
        <v>147324</v>
      </c>
      <c r="M3559">
        <v>-239182</v>
      </c>
      <c r="N3559">
        <v>91057</v>
      </c>
      <c r="O3559" t="s">
        <v>3577</v>
      </c>
      <c r="P3559" s="9">
        <v>182417</v>
      </c>
      <c r="Q3559" s="9">
        <v>9753</v>
      </c>
      <c r="R3559" s="9">
        <v>192170</v>
      </c>
      <c r="S3559" s="9">
        <v>-111167</v>
      </c>
      <c r="T3559" s="10">
        <v>68803</v>
      </c>
      <c r="U3559" s="10">
        <v>2006</v>
      </c>
    </row>
    <row r="3560" spans="1:21" x14ac:dyDescent="0.35">
      <c r="A3560" t="s">
        <v>15</v>
      </c>
      <c r="B3560" t="s">
        <v>16</v>
      </c>
      <c r="C3560" t="s">
        <v>17</v>
      </c>
      <c r="D3560">
        <v>150385</v>
      </c>
      <c r="E3560">
        <v>18205</v>
      </c>
      <c r="F3560">
        <v>27134</v>
      </c>
      <c r="G3560">
        <v>-141061</v>
      </c>
      <c r="H3560">
        <v>54663</v>
      </c>
      <c r="I3560">
        <v>50098</v>
      </c>
      <c r="J3560">
        <v>531</v>
      </c>
      <c r="K3560">
        <v>355463</v>
      </c>
      <c r="L3560">
        <v>102290</v>
      </c>
      <c r="M3560">
        <v>-86332</v>
      </c>
      <c r="N3560">
        <v>53967</v>
      </c>
      <c r="O3560" t="s">
        <v>3578</v>
      </c>
      <c r="P3560" s="9">
        <v>204728</v>
      </c>
      <c r="Q3560" s="9">
        <v>22657</v>
      </c>
      <c r="R3560" s="9">
        <v>227385</v>
      </c>
      <c r="S3560" s="9">
        <v>-54131</v>
      </c>
      <c r="T3560" s="10">
        <v>66233</v>
      </c>
      <c r="U3560" s="10">
        <v>1594</v>
      </c>
    </row>
    <row r="3561" spans="1:21" x14ac:dyDescent="0.35">
      <c r="A3561" t="s">
        <v>15</v>
      </c>
      <c r="B3561" t="s">
        <v>16</v>
      </c>
      <c r="C3561" t="s">
        <v>21</v>
      </c>
      <c r="D3561">
        <v>155241</v>
      </c>
      <c r="E3561">
        <v>19471</v>
      </c>
      <c r="F3561">
        <v>38581</v>
      </c>
      <c r="G3561">
        <v>-127467</v>
      </c>
      <c r="H3561">
        <v>85826</v>
      </c>
      <c r="I3561">
        <v>88230</v>
      </c>
      <c r="J3561">
        <v>1418</v>
      </c>
      <c r="K3561">
        <v>503318</v>
      </c>
      <c r="L3561">
        <v>215022</v>
      </c>
      <c r="M3561">
        <v>-146921</v>
      </c>
      <c r="N3561">
        <v>134530</v>
      </c>
      <c r="O3561" t="s">
        <v>3579</v>
      </c>
      <c r="P3561" s="9">
        <v>152696</v>
      </c>
      <c r="Q3561" s="9">
        <v>11196</v>
      </c>
      <c r="R3561" s="9">
        <v>163892</v>
      </c>
      <c r="S3561" s="9">
        <v>-78507</v>
      </c>
      <c r="T3561" s="10">
        <v>55150</v>
      </c>
      <c r="U3561" s="10">
        <v>1192</v>
      </c>
    </row>
    <row r="3562" spans="1:21" x14ac:dyDescent="0.35">
      <c r="A3562" t="s">
        <v>15</v>
      </c>
      <c r="B3562" t="s">
        <v>16</v>
      </c>
      <c r="C3562" t="s">
        <v>21</v>
      </c>
      <c r="D3562">
        <v>265930</v>
      </c>
      <c r="E3562">
        <v>15071</v>
      </c>
      <c r="F3562">
        <v>32901</v>
      </c>
      <c r="G3562">
        <v>-226349</v>
      </c>
      <c r="H3562">
        <v>87553</v>
      </c>
      <c r="I3562">
        <v>86294</v>
      </c>
      <c r="J3562">
        <v>1816</v>
      </c>
      <c r="K3562">
        <v>769693</v>
      </c>
      <c r="L3562">
        <v>356442</v>
      </c>
      <c r="M3562">
        <v>-170924</v>
      </c>
      <c r="N3562">
        <v>205922</v>
      </c>
      <c r="O3562" t="s">
        <v>3580</v>
      </c>
      <c r="P3562" s="9">
        <v>276294</v>
      </c>
      <c r="Q3562" s="9">
        <v>29574</v>
      </c>
      <c r="R3562" s="9">
        <v>305868</v>
      </c>
      <c r="S3562" s="9">
        <v>-161497</v>
      </c>
      <c r="T3562" s="10">
        <v>93844</v>
      </c>
      <c r="U3562" s="10">
        <v>2163</v>
      </c>
    </row>
    <row r="3563" spans="1:21" x14ac:dyDescent="0.35">
      <c r="A3563" t="s">
        <v>15</v>
      </c>
      <c r="B3563" t="s">
        <v>20</v>
      </c>
      <c r="C3563" t="s">
        <v>21</v>
      </c>
      <c r="D3563">
        <v>280667</v>
      </c>
      <c r="E3563">
        <v>17466</v>
      </c>
      <c r="F3563">
        <v>48501</v>
      </c>
      <c r="G3563">
        <v>-238116</v>
      </c>
      <c r="H3563">
        <v>108518</v>
      </c>
      <c r="I3563">
        <v>106521</v>
      </c>
      <c r="J3563">
        <v>1938</v>
      </c>
      <c r="K3563">
        <v>606066</v>
      </c>
      <c r="L3563">
        <v>200264</v>
      </c>
      <c r="M3563">
        <v>-188672</v>
      </c>
      <c r="N3563">
        <v>170576</v>
      </c>
      <c r="O3563" t="s">
        <v>3581</v>
      </c>
      <c r="P3563" s="9">
        <v>268412</v>
      </c>
      <c r="Q3563" s="9">
        <v>33558</v>
      </c>
      <c r="R3563" s="9">
        <v>301970</v>
      </c>
      <c r="S3563" s="9">
        <v>-141638</v>
      </c>
      <c r="T3563" s="10">
        <v>115371</v>
      </c>
      <c r="U3563" s="10">
        <v>2687</v>
      </c>
    </row>
    <row r="3564" spans="1:21" x14ac:dyDescent="0.35">
      <c r="A3564" t="s">
        <v>15</v>
      </c>
      <c r="B3564" t="s">
        <v>16</v>
      </c>
      <c r="C3564" t="s">
        <v>21</v>
      </c>
      <c r="D3564">
        <v>231567</v>
      </c>
      <c r="E3564">
        <v>41968</v>
      </c>
      <c r="F3564">
        <v>32746</v>
      </c>
      <c r="G3564">
        <v>-225429</v>
      </c>
      <c r="H3564">
        <v>80852</v>
      </c>
      <c r="I3564">
        <v>82207</v>
      </c>
      <c r="J3564">
        <v>2114</v>
      </c>
      <c r="K3564">
        <v>739293</v>
      </c>
      <c r="L3564">
        <v>219156</v>
      </c>
      <c r="M3564">
        <v>-122261</v>
      </c>
      <c r="N3564">
        <v>183942</v>
      </c>
      <c r="O3564" t="s">
        <v>3582</v>
      </c>
      <c r="P3564" s="9">
        <v>196702</v>
      </c>
      <c r="Q3564" s="9">
        <v>29953</v>
      </c>
      <c r="R3564" s="9">
        <v>226655</v>
      </c>
      <c r="S3564" s="9">
        <v>-56641</v>
      </c>
      <c r="T3564" s="10">
        <v>90921</v>
      </c>
      <c r="U3564" s="10">
        <v>979</v>
      </c>
    </row>
    <row r="3565" spans="1:21" x14ac:dyDescent="0.35">
      <c r="A3565" t="s">
        <v>15</v>
      </c>
      <c r="B3565" t="s">
        <v>20</v>
      </c>
      <c r="C3565" t="s">
        <v>21</v>
      </c>
      <c r="D3565">
        <v>213872</v>
      </c>
      <c r="E3565">
        <v>21449</v>
      </c>
      <c r="F3565">
        <v>35134</v>
      </c>
      <c r="G3565">
        <v>-191603</v>
      </c>
      <c r="H3565">
        <v>78852</v>
      </c>
      <c r="I3565">
        <v>76151</v>
      </c>
      <c r="J3565">
        <v>1128</v>
      </c>
      <c r="K3565">
        <v>589294</v>
      </c>
      <c r="L3565">
        <v>260728</v>
      </c>
      <c r="M3565">
        <v>-92209</v>
      </c>
      <c r="N3565">
        <v>110775</v>
      </c>
      <c r="O3565" t="s">
        <v>3583</v>
      </c>
      <c r="P3565" s="9">
        <v>250276</v>
      </c>
      <c r="Q3565" s="9">
        <v>51199</v>
      </c>
      <c r="R3565" s="9">
        <v>301475</v>
      </c>
      <c r="S3565" s="9">
        <v>-135175</v>
      </c>
      <c r="T3565" s="10">
        <v>112450</v>
      </c>
      <c r="U3565" s="10">
        <v>1321</v>
      </c>
    </row>
    <row r="3566" spans="1:21" x14ac:dyDescent="0.35">
      <c r="A3566" t="s">
        <v>15</v>
      </c>
      <c r="B3566" t="s">
        <v>16</v>
      </c>
      <c r="C3566" t="s">
        <v>17</v>
      </c>
      <c r="D3566">
        <v>256570</v>
      </c>
      <c r="E3566">
        <v>40383</v>
      </c>
      <c r="F3566">
        <v>55834</v>
      </c>
      <c r="G3566">
        <v>-251669</v>
      </c>
      <c r="H3566">
        <v>101118</v>
      </c>
      <c r="I3566">
        <v>100142</v>
      </c>
      <c r="J3566">
        <v>2375</v>
      </c>
      <c r="K3566">
        <v>654497</v>
      </c>
      <c r="L3566">
        <v>126293</v>
      </c>
      <c r="M3566">
        <v>-187528</v>
      </c>
      <c r="N3566">
        <v>155730</v>
      </c>
      <c r="O3566" t="s">
        <v>3584</v>
      </c>
      <c r="P3566" s="9">
        <v>190200</v>
      </c>
      <c r="Q3566" s="9">
        <v>34907</v>
      </c>
      <c r="R3566" s="9">
        <v>225107</v>
      </c>
      <c r="S3566" s="9">
        <v>-117783</v>
      </c>
      <c r="T3566" s="10">
        <v>99080</v>
      </c>
      <c r="U3566" s="10">
        <v>2496</v>
      </c>
    </row>
    <row r="3567" spans="1:21" x14ac:dyDescent="0.35">
      <c r="A3567" t="s">
        <v>15</v>
      </c>
      <c r="B3567" t="s">
        <v>20</v>
      </c>
      <c r="C3567" t="s">
        <v>17</v>
      </c>
      <c r="D3567">
        <v>173763</v>
      </c>
      <c r="E3567">
        <v>30941</v>
      </c>
      <c r="F3567">
        <v>31401</v>
      </c>
      <c r="G3567">
        <v>-173418</v>
      </c>
      <c r="H3567">
        <v>62687</v>
      </c>
      <c r="I3567">
        <v>62058</v>
      </c>
      <c r="J3567">
        <v>1463</v>
      </c>
      <c r="K3567">
        <v>446839</v>
      </c>
      <c r="L3567">
        <v>95010</v>
      </c>
      <c r="M3567">
        <v>-65115</v>
      </c>
      <c r="N3567">
        <v>136756</v>
      </c>
      <c r="O3567" t="s">
        <v>3585</v>
      </c>
      <c r="P3567" s="9">
        <v>209824</v>
      </c>
      <c r="Q3567" s="9">
        <v>17243</v>
      </c>
      <c r="R3567" s="9">
        <v>227067</v>
      </c>
      <c r="S3567" s="9">
        <v>-67512</v>
      </c>
      <c r="T3567" s="10">
        <v>52457</v>
      </c>
      <c r="U3567" s="10">
        <v>1376</v>
      </c>
    </row>
    <row r="3568" spans="1:21" x14ac:dyDescent="0.35">
      <c r="A3568" t="s">
        <v>15</v>
      </c>
      <c r="B3568" t="s">
        <v>16</v>
      </c>
      <c r="C3568" t="s">
        <v>21</v>
      </c>
      <c r="D3568">
        <v>243513</v>
      </c>
      <c r="E3568">
        <v>32994</v>
      </c>
      <c r="F3568">
        <v>37329</v>
      </c>
      <c r="G3568">
        <v>-198656</v>
      </c>
      <c r="H3568">
        <v>115180</v>
      </c>
      <c r="I3568">
        <v>119879</v>
      </c>
      <c r="J3568">
        <v>2508</v>
      </c>
      <c r="K3568">
        <v>627245</v>
      </c>
      <c r="L3568">
        <v>296766</v>
      </c>
      <c r="M3568">
        <v>-155670</v>
      </c>
      <c r="N3568">
        <v>186587</v>
      </c>
      <c r="O3568" t="s">
        <v>3586</v>
      </c>
      <c r="P3568" s="9">
        <v>180087</v>
      </c>
      <c r="Q3568" s="9">
        <v>25858</v>
      </c>
      <c r="R3568" s="9">
        <v>205945</v>
      </c>
      <c r="S3568" s="9">
        <v>-89637</v>
      </c>
      <c r="T3568" s="10">
        <v>68683</v>
      </c>
      <c r="U3568" s="10">
        <v>1424</v>
      </c>
    </row>
    <row r="3569" spans="1:21" x14ac:dyDescent="0.35">
      <c r="A3569" t="s">
        <v>15</v>
      </c>
      <c r="B3569" t="s">
        <v>20</v>
      </c>
      <c r="C3569" t="s">
        <v>21</v>
      </c>
      <c r="D3569">
        <v>274976</v>
      </c>
      <c r="E3569">
        <v>28243</v>
      </c>
      <c r="F3569">
        <v>61110</v>
      </c>
      <c r="G3569">
        <v>-253820</v>
      </c>
      <c r="H3569">
        <v>110509</v>
      </c>
      <c r="I3569">
        <v>103213</v>
      </c>
      <c r="J3569">
        <v>1805</v>
      </c>
      <c r="K3569">
        <v>791354</v>
      </c>
      <c r="L3569">
        <v>172991</v>
      </c>
      <c r="M3569">
        <v>-274230</v>
      </c>
      <c r="N3569">
        <v>104507</v>
      </c>
      <c r="O3569" t="s">
        <v>3587</v>
      </c>
      <c r="P3569" s="9">
        <v>189351</v>
      </c>
      <c r="Q3569" s="9">
        <v>12909</v>
      </c>
      <c r="R3569" s="9">
        <v>202260</v>
      </c>
      <c r="S3569" s="9">
        <v>-60148</v>
      </c>
      <c r="T3569" s="10">
        <v>65460</v>
      </c>
      <c r="U3569" s="10">
        <v>878</v>
      </c>
    </row>
    <row r="3570" spans="1:21" x14ac:dyDescent="0.35">
      <c r="A3570" t="s">
        <v>15</v>
      </c>
      <c r="B3570" t="s">
        <v>20</v>
      </c>
      <c r="C3570" t="s">
        <v>17</v>
      </c>
      <c r="D3570">
        <v>190768</v>
      </c>
      <c r="E3570">
        <v>36401</v>
      </c>
      <c r="F3570">
        <v>42037</v>
      </c>
      <c r="G3570">
        <v>-159399</v>
      </c>
      <c r="H3570">
        <v>109807</v>
      </c>
      <c r="I3570">
        <v>106995</v>
      </c>
      <c r="J3570">
        <v>2679</v>
      </c>
      <c r="K3570">
        <v>404886</v>
      </c>
      <c r="L3570">
        <v>191355</v>
      </c>
      <c r="M3570">
        <v>-61017</v>
      </c>
      <c r="N3570">
        <v>82962</v>
      </c>
      <c r="O3570" t="s">
        <v>3588</v>
      </c>
      <c r="P3570" s="9">
        <v>294753</v>
      </c>
      <c r="Q3570" s="9">
        <v>30156</v>
      </c>
      <c r="R3570" s="9">
        <v>324909</v>
      </c>
      <c r="S3570" s="9">
        <v>-82012</v>
      </c>
      <c r="T3570" s="10">
        <v>92332</v>
      </c>
      <c r="U3570" s="10">
        <v>2176</v>
      </c>
    </row>
    <row r="3571" spans="1:21" x14ac:dyDescent="0.35">
      <c r="A3571" t="s">
        <v>15</v>
      </c>
      <c r="B3571" t="s">
        <v>16</v>
      </c>
      <c r="C3571" t="s">
        <v>17</v>
      </c>
      <c r="D3571">
        <v>150964</v>
      </c>
      <c r="E3571">
        <v>28406</v>
      </c>
      <c r="F3571">
        <v>16226</v>
      </c>
      <c r="G3571">
        <v>-130883</v>
      </c>
      <c r="H3571">
        <v>64713</v>
      </c>
      <c r="I3571">
        <v>60242</v>
      </c>
      <c r="J3571">
        <v>1264</v>
      </c>
      <c r="K3571">
        <v>426140</v>
      </c>
      <c r="L3571">
        <v>87169</v>
      </c>
      <c r="M3571">
        <v>-52386</v>
      </c>
      <c r="N3571">
        <v>86630</v>
      </c>
      <c r="O3571" t="s">
        <v>3589</v>
      </c>
      <c r="P3571" s="9">
        <v>268146</v>
      </c>
      <c r="Q3571" s="9">
        <v>36433</v>
      </c>
      <c r="R3571" s="9">
        <v>304579</v>
      </c>
      <c r="S3571" s="9">
        <v>-141410</v>
      </c>
      <c r="T3571" s="10">
        <v>70259</v>
      </c>
      <c r="U3571" s="10">
        <v>854</v>
      </c>
    </row>
    <row r="3572" spans="1:21" x14ac:dyDescent="0.35">
      <c r="A3572" t="s">
        <v>15</v>
      </c>
      <c r="B3572" t="s">
        <v>20</v>
      </c>
      <c r="C3572" t="s">
        <v>17</v>
      </c>
      <c r="D3572">
        <v>227063</v>
      </c>
      <c r="E3572">
        <v>18523</v>
      </c>
      <c r="F3572">
        <v>55429</v>
      </c>
      <c r="G3572">
        <v>-225621</v>
      </c>
      <c r="H3572">
        <v>75394</v>
      </c>
      <c r="I3572">
        <v>78297</v>
      </c>
      <c r="J3572">
        <v>1992</v>
      </c>
      <c r="K3572">
        <v>605993</v>
      </c>
      <c r="L3572">
        <v>166120</v>
      </c>
      <c r="M3572">
        <v>-168936</v>
      </c>
      <c r="N3572">
        <v>117457</v>
      </c>
      <c r="O3572" t="s">
        <v>3590</v>
      </c>
      <c r="P3572" s="9">
        <v>225432</v>
      </c>
      <c r="Q3572" s="9">
        <v>22118</v>
      </c>
      <c r="R3572" s="9">
        <v>247550</v>
      </c>
      <c r="S3572" s="9">
        <v>-146863</v>
      </c>
      <c r="T3572" s="10">
        <v>80567</v>
      </c>
      <c r="U3572" s="10">
        <v>2314</v>
      </c>
    </row>
    <row r="3573" spans="1:21" x14ac:dyDescent="0.35">
      <c r="A3573" t="s">
        <v>15</v>
      </c>
      <c r="B3573" t="s">
        <v>16</v>
      </c>
      <c r="C3573" t="s">
        <v>21</v>
      </c>
      <c r="D3573">
        <v>231559</v>
      </c>
      <c r="E3573">
        <v>28177</v>
      </c>
      <c r="F3573">
        <v>34936</v>
      </c>
      <c r="G3573">
        <v>-228750</v>
      </c>
      <c r="H3573">
        <v>65922</v>
      </c>
      <c r="I3573">
        <v>65062</v>
      </c>
      <c r="J3573">
        <v>1153</v>
      </c>
      <c r="K3573">
        <v>787483</v>
      </c>
      <c r="L3573">
        <v>270680</v>
      </c>
      <c r="M3573">
        <v>-212057</v>
      </c>
      <c r="N3573">
        <v>69764</v>
      </c>
      <c r="O3573" t="s">
        <v>3591</v>
      </c>
      <c r="P3573" s="9">
        <v>294026</v>
      </c>
      <c r="Q3573" s="9">
        <v>35109</v>
      </c>
      <c r="R3573" s="9">
        <v>329135</v>
      </c>
      <c r="S3573" s="9">
        <v>-197296</v>
      </c>
      <c r="T3573" s="10">
        <v>108092</v>
      </c>
      <c r="U3573" s="10">
        <v>2029</v>
      </c>
    </row>
    <row r="3574" spans="1:21" x14ac:dyDescent="0.35">
      <c r="A3574" t="s">
        <v>15</v>
      </c>
      <c r="B3574" t="s">
        <v>16</v>
      </c>
      <c r="C3574" t="s">
        <v>21</v>
      </c>
      <c r="D3574">
        <v>297701</v>
      </c>
      <c r="E3574">
        <v>24029</v>
      </c>
      <c r="F3574">
        <v>69759</v>
      </c>
      <c r="G3574">
        <v>-295241</v>
      </c>
      <c r="H3574">
        <v>96248</v>
      </c>
      <c r="I3574">
        <v>88273</v>
      </c>
      <c r="J3574">
        <v>2058</v>
      </c>
      <c r="K3574">
        <v>642515</v>
      </c>
      <c r="L3574">
        <v>268110</v>
      </c>
      <c r="M3574">
        <v>-172286</v>
      </c>
      <c r="N3574">
        <v>140301</v>
      </c>
      <c r="O3574" t="s">
        <v>3592</v>
      </c>
      <c r="P3574" s="9">
        <v>258514</v>
      </c>
      <c r="Q3574" s="9">
        <v>26518</v>
      </c>
      <c r="R3574" s="9">
        <v>285032</v>
      </c>
      <c r="S3574" s="9">
        <v>-144383</v>
      </c>
      <c r="T3574" s="10">
        <v>95174</v>
      </c>
      <c r="U3574" s="10">
        <v>1701</v>
      </c>
    </row>
    <row r="3575" spans="1:21" x14ac:dyDescent="0.35">
      <c r="A3575" t="s">
        <v>15</v>
      </c>
      <c r="B3575" t="s">
        <v>20</v>
      </c>
      <c r="C3575" t="s">
        <v>21</v>
      </c>
      <c r="D3575">
        <v>252925</v>
      </c>
      <c r="E3575">
        <v>47994</v>
      </c>
      <c r="F3575">
        <v>39330</v>
      </c>
      <c r="G3575">
        <v>-214953</v>
      </c>
      <c r="H3575">
        <v>125296</v>
      </c>
      <c r="I3575">
        <v>126581</v>
      </c>
      <c r="J3575">
        <v>2783</v>
      </c>
      <c r="K3575">
        <v>621454</v>
      </c>
      <c r="L3575">
        <v>247877</v>
      </c>
      <c r="M3575">
        <v>-203744</v>
      </c>
      <c r="N3575">
        <v>91282</v>
      </c>
      <c r="O3575" t="s">
        <v>3593</v>
      </c>
      <c r="P3575" s="9">
        <v>259944</v>
      </c>
      <c r="Q3575" s="9">
        <v>35777</v>
      </c>
      <c r="R3575" s="9">
        <v>295721</v>
      </c>
      <c r="S3575" s="9">
        <v>-175488</v>
      </c>
      <c r="T3575" s="10">
        <v>101582</v>
      </c>
      <c r="U3575" s="10">
        <v>3005</v>
      </c>
    </row>
    <row r="3576" spans="1:21" x14ac:dyDescent="0.35">
      <c r="A3576" t="s">
        <v>15</v>
      </c>
      <c r="B3576" t="s">
        <v>16</v>
      </c>
      <c r="C3576" t="s">
        <v>21</v>
      </c>
      <c r="D3576">
        <v>251564</v>
      </c>
      <c r="E3576">
        <v>12966</v>
      </c>
      <c r="F3576">
        <v>37320</v>
      </c>
      <c r="G3576">
        <v>-207071</v>
      </c>
      <c r="H3576">
        <v>94779</v>
      </c>
      <c r="I3576">
        <v>86583</v>
      </c>
      <c r="J3576">
        <v>2108</v>
      </c>
      <c r="K3576">
        <v>611594</v>
      </c>
      <c r="L3576">
        <v>137083</v>
      </c>
      <c r="M3576">
        <v>-110843</v>
      </c>
      <c r="N3576">
        <v>123993</v>
      </c>
      <c r="O3576" t="s">
        <v>3594</v>
      </c>
      <c r="P3576" s="9">
        <v>157020</v>
      </c>
      <c r="Q3576" s="9">
        <v>21557</v>
      </c>
      <c r="R3576" s="9">
        <v>178577</v>
      </c>
      <c r="S3576" s="9">
        <v>-42273</v>
      </c>
      <c r="T3576" s="10">
        <v>42142</v>
      </c>
      <c r="U3576" s="10">
        <v>1183</v>
      </c>
    </row>
    <row r="3577" spans="1:21" x14ac:dyDescent="0.35">
      <c r="A3577" t="s">
        <v>15</v>
      </c>
      <c r="B3577" t="s">
        <v>16</v>
      </c>
      <c r="C3577" t="s">
        <v>17</v>
      </c>
      <c r="D3577">
        <v>289250</v>
      </c>
      <c r="E3577">
        <v>41886</v>
      </c>
      <c r="F3577">
        <v>55915</v>
      </c>
      <c r="G3577">
        <v>-281916</v>
      </c>
      <c r="H3577">
        <v>105135</v>
      </c>
      <c r="I3577">
        <v>105767</v>
      </c>
      <c r="J3577">
        <v>1281</v>
      </c>
      <c r="K3577">
        <v>954669</v>
      </c>
      <c r="L3577">
        <v>406779</v>
      </c>
      <c r="M3577">
        <v>-104767</v>
      </c>
      <c r="N3577">
        <v>150573</v>
      </c>
      <c r="O3577" t="s">
        <v>3595</v>
      </c>
      <c r="P3577" s="9">
        <v>234891</v>
      </c>
      <c r="Q3577" s="9">
        <v>28140</v>
      </c>
      <c r="R3577" s="9">
        <v>263031</v>
      </c>
      <c r="S3577" s="9">
        <v>-135248</v>
      </c>
      <c r="T3577" s="10">
        <v>96917</v>
      </c>
      <c r="U3577" s="10">
        <v>2063</v>
      </c>
    </row>
    <row r="3578" spans="1:21" x14ac:dyDescent="0.35">
      <c r="A3578" t="s">
        <v>15</v>
      </c>
      <c r="B3578" t="s">
        <v>16</v>
      </c>
      <c r="C3578" t="s">
        <v>21</v>
      </c>
      <c r="D3578">
        <v>261789</v>
      </c>
      <c r="E3578">
        <v>49509</v>
      </c>
      <c r="F3578">
        <v>32954</v>
      </c>
      <c r="G3578">
        <v>-211360</v>
      </c>
      <c r="H3578">
        <v>132892</v>
      </c>
      <c r="I3578">
        <v>119967</v>
      </c>
      <c r="J3578">
        <v>1656</v>
      </c>
      <c r="K3578">
        <v>624745</v>
      </c>
      <c r="L3578">
        <v>211721</v>
      </c>
      <c r="M3578">
        <v>-239344</v>
      </c>
      <c r="N3578">
        <v>216006</v>
      </c>
      <c r="O3578" t="s">
        <v>3596</v>
      </c>
      <c r="P3578" s="9">
        <v>194632</v>
      </c>
      <c r="Q3578" s="9">
        <v>21360</v>
      </c>
      <c r="R3578" s="9">
        <v>215992</v>
      </c>
      <c r="S3578" s="9">
        <v>-72031</v>
      </c>
      <c r="T3578" s="10">
        <v>90193</v>
      </c>
      <c r="U3578" s="10">
        <v>2681</v>
      </c>
    </row>
    <row r="3579" spans="1:21" x14ac:dyDescent="0.35">
      <c r="A3579" t="s">
        <v>15</v>
      </c>
      <c r="B3579" t="s">
        <v>16</v>
      </c>
      <c r="C3579" t="s">
        <v>21</v>
      </c>
      <c r="D3579">
        <v>217842</v>
      </c>
      <c r="E3579">
        <v>17069</v>
      </c>
      <c r="F3579">
        <v>39766</v>
      </c>
      <c r="G3579">
        <v>-194436</v>
      </c>
      <c r="H3579">
        <v>80241</v>
      </c>
      <c r="I3579">
        <v>81254</v>
      </c>
      <c r="J3579">
        <v>1113</v>
      </c>
      <c r="K3579">
        <v>680143</v>
      </c>
      <c r="L3579">
        <v>328917</v>
      </c>
      <c r="M3579">
        <v>-155869</v>
      </c>
      <c r="N3579">
        <v>72410</v>
      </c>
      <c r="O3579" t="s">
        <v>3597</v>
      </c>
      <c r="P3579" s="9">
        <v>162684</v>
      </c>
      <c r="Q3579" s="9">
        <v>22271</v>
      </c>
      <c r="R3579" s="9">
        <v>184955</v>
      </c>
      <c r="S3579" s="9">
        <v>-93029</v>
      </c>
      <c r="T3579" s="10">
        <v>72120</v>
      </c>
      <c r="U3579" s="10">
        <v>1826</v>
      </c>
    </row>
    <row r="3580" spans="1:21" x14ac:dyDescent="0.35">
      <c r="A3580" t="s">
        <v>15</v>
      </c>
      <c r="B3580" t="s">
        <v>20</v>
      </c>
      <c r="C3580" t="s">
        <v>21</v>
      </c>
      <c r="D3580">
        <v>205786</v>
      </c>
      <c r="E3580">
        <v>32111</v>
      </c>
      <c r="F3580">
        <v>27111</v>
      </c>
      <c r="G3580">
        <v>-174348</v>
      </c>
      <c r="H3580">
        <v>90660</v>
      </c>
      <c r="I3580">
        <v>85365</v>
      </c>
      <c r="J3580">
        <v>861</v>
      </c>
      <c r="K3580">
        <v>779781</v>
      </c>
      <c r="L3580">
        <v>295090</v>
      </c>
      <c r="M3580">
        <v>-258306</v>
      </c>
      <c r="N3580">
        <v>166540</v>
      </c>
      <c r="O3580" t="s">
        <v>3598</v>
      </c>
      <c r="P3580" s="9">
        <v>293432</v>
      </c>
      <c r="Q3580" s="9">
        <v>33990</v>
      </c>
      <c r="R3580" s="9">
        <v>327422</v>
      </c>
      <c r="S3580" s="9">
        <v>-167086</v>
      </c>
      <c r="T3580" s="10">
        <v>106210</v>
      </c>
      <c r="U3580" s="10">
        <v>1234</v>
      </c>
    </row>
    <row r="3581" spans="1:21" x14ac:dyDescent="0.35">
      <c r="A3581" t="s">
        <v>15</v>
      </c>
      <c r="B3581" t="s">
        <v>16</v>
      </c>
      <c r="C3581" t="s">
        <v>21</v>
      </c>
      <c r="D3581">
        <v>199159</v>
      </c>
      <c r="E3581">
        <v>34805</v>
      </c>
      <c r="F3581">
        <v>31612</v>
      </c>
      <c r="G3581">
        <v>-192283</v>
      </c>
      <c r="H3581">
        <v>73293</v>
      </c>
      <c r="I3581">
        <v>70954</v>
      </c>
      <c r="J3581">
        <v>2037</v>
      </c>
      <c r="K3581">
        <v>736538</v>
      </c>
      <c r="L3581">
        <v>234704</v>
      </c>
      <c r="M3581">
        <v>-128996</v>
      </c>
      <c r="N3581">
        <v>81581</v>
      </c>
      <c r="O3581" t="s">
        <v>3599</v>
      </c>
      <c r="P3581" s="9">
        <v>215203</v>
      </c>
      <c r="Q3581" s="9">
        <v>28350</v>
      </c>
      <c r="R3581" s="9">
        <v>243553</v>
      </c>
      <c r="S3581" s="9">
        <v>-68794</v>
      </c>
      <c r="T3581" s="10">
        <v>80805</v>
      </c>
      <c r="U3581" s="10">
        <v>1489</v>
      </c>
    </row>
    <row r="3582" spans="1:21" x14ac:dyDescent="0.35">
      <c r="A3582" t="s">
        <v>15</v>
      </c>
      <c r="B3582" t="s">
        <v>16</v>
      </c>
      <c r="C3582" t="s">
        <v>21</v>
      </c>
      <c r="D3582">
        <v>202965</v>
      </c>
      <c r="E3582">
        <v>34720</v>
      </c>
      <c r="F3582">
        <v>50582</v>
      </c>
      <c r="G3582">
        <v>-197536</v>
      </c>
      <c r="H3582">
        <v>90731</v>
      </c>
      <c r="I3582">
        <v>87328</v>
      </c>
      <c r="J3582">
        <v>1503</v>
      </c>
      <c r="K3582">
        <v>461508</v>
      </c>
      <c r="L3582">
        <v>83528</v>
      </c>
      <c r="M3582">
        <v>-130095</v>
      </c>
      <c r="N3582">
        <v>156182</v>
      </c>
      <c r="O3582" t="s">
        <v>3600</v>
      </c>
      <c r="P3582" s="9">
        <v>187550</v>
      </c>
      <c r="Q3582" s="9">
        <v>9852</v>
      </c>
      <c r="R3582" s="9">
        <v>197402</v>
      </c>
      <c r="S3582" s="9">
        <v>-43749</v>
      </c>
      <c r="T3582" s="10">
        <v>70348</v>
      </c>
      <c r="U3582" s="10">
        <v>2016</v>
      </c>
    </row>
    <row r="3583" spans="1:21" x14ac:dyDescent="0.35">
      <c r="A3583" t="s">
        <v>15</v>
      </c>
      <c r="B3583" t="s">
        <v>16</v>
      </c>
      <c r="C3583" t="s">
        <v>21</v>
      </c>
      <c r="D3583">
        <v>288987</v>
      </c>
      <c r="E3583">
        <v>30540</v>
      </c>
      <c r="F3583">
        <v>29674</v>
      </c>
      <c r="G3583">
        <v>-251225</v>
      </c>
      <c r="H3583">
        <v>97976</v>
      </c>
      <c r="I3583">
        <v>101360</v>
      </c>
      <c r="J3583">
        <v>1884</v>
      </c>
      <c r="K3583">
        <v>651357</v>
      </c>
      <c r="L3583">
        <v>158979</v>
      </c>
      <c r="M3583">
        <v>-138487</v>
      </c>
      <c r="N3583">
        <v>240314</v>
      </c>
      <c r="O3583" t="s">
        <v>3601</v>
      </c>
      <c r="P3583" s="9">
        <v>183192</v>
      </c>
      <c r="Q3583" s="9">
        <v>27172</v>
      </c>
      <c r="R3583" s="9">
        <v>210364</v>
      </c>
      <c r="S3583" s="9">
        <v>-114658</v>
      </c>
      <c r="T3583" s="10">
        <v>78049</v>
      </c>
      <c r="U3583" s="10">
        <v>1523</v>
      </c>
    </row>
    <row r="3584" spans="1:21" x14ac:dyDescent="0.35">
      <c r="A3584" t="s">
        <v>15</v>
      </c>
      <c r="B3584" t="s">
        <v>16</v>
      </c>
      <c r="C3584" t="s">
        <v>17</v>
      </c>
      <c r="D3584">
        <v>288323</v>
      </c>
      <c r="E3584">
        <v>31267</v>
      </c>
      <c r="F3584">
        <v>30403</v>
      </c>
      <c r="G3584">
        <v>-242663</v>
      </c>
      <c r="H3584">
        <v>107330</v>
      </c>
      <c r="I3584">
        <v>108387</v>
      </c>
      <c r="J3584">
        <v>3121</v>
      </c>
      <c r="K3584">
        <v>697953</v>
      </c>
      <c r="L3584">
        <v>190879</v>
      </c>
      <c r="M3584">
        <v>-131311</v>
      </c>
      <c r="N3584">
        <v>119732</v>
      </c>
      <c r="O3584" t="s">
        <v>3602</v>
      </c>
      <c r="P3584" s="9">
        <v>154442</v>
      </c>
      <c r="Q3584" s="9">
        <v>11057</v>
      </c>
      <c r="R3584" s="9">
        <v>165499</v>
      </c>
      <c r="S3584" s="9">
        <v>-57295</v>
      </c>
      <c r="T3584" s="10">
        <v>71265</v>
      </c>
      <c r="U3584" s="10">
        <v>1522</v>
      </c>
    </row>
    <row r="3585" spans="1:21" x14ac:dyDescent="0.35">
      <c r="A3585" t="s">
        <v>15</v>
      </c>
      <c r="B3585" t="s">
        <v>16</v>
      </c>
      <c r="C3585" t="s">
        <v>17</v>
      </c>
      <c r="D3585">
        <v>280368</v>
      </c>
      <c r="E3585">
        <v>37166</v>
      </c>
      <c r="F3585">
        <v>51309</v>
      </c>
      <c r="G3585">
        <v>-249465</v>
      </c>
      <c r="H3585">
        <v>119378</v>
      </c>
      <c r="I3585">
        <v>118172</v>
      </c>
      <c r="J3585">
        <v>2789</v>
      </c>
      <c r="K3585">
        <v>907646</v>
      </c>
      <c r="L3585">
        <v>116216</v>
      </c>
      <c r="M3585">
        <v>-253395</v>
      </c>
      <c r="N3585">
        <v>156093</v>
      </c>
      <c r="O3585" t="s">
        <v>3603</v>
      </c>
      <c r="P3585" s="9">
        <v>200528</v>
      </c>
      <c r="Q3585" s="9">
        <v>21329</v>
      </c>
      <c r="R3585" s="9">
        <v>221857</v>
      </c>
      <c r="S3585" s="9">
        <v>-50028</v>
      </c>
      <c r="T3585" s="10">
        <v>69037</v>
      </c>
      <c r="U3585" s="10">
        <v>1088</v>
      </c>
    </row>
    <row r="3586" spans="1:21" x14ac:dyDescent="0.35">
      <c r="A3586" t="s">
        <v>15</v>
      </c>
      <c r="B3586" t="s">
        <v>16</v>
      </c>
      <c r="C3586" t="s">
        <v>21</v>
      </c>
      <c r="D3586">
        <v>291336</v>
      </c>
      <c r="E3586">
        <v>35159</v>
      </c>
      <c r="F3586">
        <v>40848</v>
      </c>
      <c r="G3586">
        <v>-253141</v>
      </c>
      <c r="H3586">
        <v>114202</v>
      </c>
      <c r="I3586">
        <v>116484</v>
      </c>
      <c r="J3586">
        <v>2104</v>
      </c>
      <c r="K3586">
        <v>924042</v>
      </c>
      <c r="L3586">
        <v>115688</v>
      </c>
      <c r="M3586">
        <v>-201214</v>
      </c>
      <c r="N3586">
        <v>97392</v>
      </c>
      <c r="O3586" t="s">
        <v>3604</v>
      </c>
      <c r="P3586" s="9">
        <v>289200</v>
      </c>
      <c r="Q3586" s="9">
        <v>25460</v>
      </c>
      <c r="R3586" s="9">
        <v>314660</v>
      </c>
      <c r="S3586" s="9">
        <v>-86916</v>
      </c>
      <c r="T3586" s="10">
        <v>109704</v>
      </c>
      <c r="U3586" s="10">
        <v>3239</v>
      </c>
    </row>
    <row r="3587" spans="1:21" x14ac:dyDescent="0.35">
      <c r="A3587" t="s">
        <v>15</v>
      </c>
      <c r="B3587" t="s">
        <v>16</v>
      </c>
      <c r="C3587" t="s">
        <v>21</v>
      </c>
      <c r="D3587">
        <v>243211</v>
      </c>
      <c r="E3587">
        <v>35844</v>
      </c>
      <c r="F3587">
        <v>48185</v>
      </c>
      <c r="G3587">
        <v>-216467</v>
      </c>
      <c r="H3587">
        <v>110773</v>
      </c>
      <c r="I3587">
        <v>108600</v>
      </c>
      <c r="J3587">
        <v>1603</v>
      </c>
      <c r="K3587">
        <v>713243</v>
      </c>
      <c r="L3587">
        <v>342455</v>
      </c>
      <c r="M3587">
        <v>-132613</v>
      </c>
      <c r="N3587">
        <v>216435</v>
      </c>
      <c r="O3587" t="s">
        <v>3605</v>
      </c>
      <c r="P3587" s="9">
        <v>262000</v>
      </c>
      <c r="Q3587" s="9">
        <v>43551</v>
      </c>
      <c r="R3587" s="9">
        <v>305551</v>
      </c>
      <c r="S3587" s="9">
        <v>-87259</v>
      </c>
      <c r="T3587" s="10">
        <v>88303</v>
      </c>
      <c r="U3587" s="10">
        <v>2272</v>
      </c>
    </row>
    <row r="3588" spans="1:21" x14ac:dyDescent="0.35">
      <c r="A3588" t="s">
        <v>15</v>
      </c>
      <c r="B3588" t="s">
        <v>20</v>
      </c>
      <c r="C3588" t="s">
        <v>17</v>
      </c>
      <c r="D3588">
        <v>212219</v>
      </c>
      <c r="E3588">
        <v>16257</v>
      </c>
      <c r="F3588">
        <v>38473</v>
      </c>
      <c r="G3588">
        <v>-195870</v>
      </c>
      <c r="H3588">
        <v>71079</v>
      </c>
      <c r="I3588">
        <v>67272</v>
      </c>
      <c r="J3588">
        <v>1818</v>
      </c>
      <c r="K3588">
        <v>670981</v>
      </c>
      <c r="L3588">
        <v>256760</v>
      </c>
      <c r="M3588">
        <v>-234661</v>
      </c>
      <c r="N3588">
        <v>178843</v>
      </c>
      <c r="O3588" t="s">
        <v>3606</v>
      </c>
      <c r="P3588" s="9">
        <v>142944</v>
      </c>
      <c r="Q3588" s="9">
        <v>16976</v>
      </c>
      <c r="R3588" s="9">
        <v>159920</v>
      </c>
      <c r="S3588" s="9">
        <v>-32070</v>
      </c>
      <c r="T3588" s="10">
        <v>54434</v>
      </c>
      <c r="U3588" s="10">
        <v>1474</v>
      </c>
    </row>
    <row r="3589" spans="1:21" x14ac:dyDescent="0.35">
      <c r="A3589" t="s">
        <v>15</v>
      </c>
      <c r="B3589" t="s">
        <v>20</v>
      </c>
      <c r="C3589" t="s">
        <v>21</v>
      </c>
      <c r="D3589">
        <v>157447</v>
      </c>
      <c r="E3589">
        <v>27029</v>
      </c>
      <c r="F3589">
        <v>26602</v>
      </c>
      <c r="G3589">
        <v>-148976</v>
      </c>
      <c r="H3589">
        <v>62102</v>
      </c>
      <c r="I3589">
        <v>58507</v>
      </c>
      <c r="J3589">
        <v>1622</v>
      </c>
      <c r="K3589">
        <v>339675</v>
      </c>
      <c r="L3589">
        <v>155553</v>
      </c>
      <c r="M3589">
        <v>-77748</v>
      </c>
      <c r="N3589">
        <v>65495</v>
      </c>
      <c r="O3589" t="s">
        <v>3607</v>
      </c>
      <c r="P3589" s="9">
        <v>153719</v>
      </c>
      <c r="Q3589" s="9">
        <v>20611</v>
      </c>
      <c r="R3589" s="9">
        <v>174330</v>
      </c>
      <c r="S3589" s="9">
        <v>-77059</v>
      </c>
      <c r="T3589" s="10">
        <v>77198</v>
      </c>
      <c r="U3589" s="10">
        <v>1731</v>
      </c>
    </row>
    <row r="3590" spans="1:21" x14ac:dyDescent="0.35">
      <c r="A3590" t="s">
        <v>15</v>
      </c>
      <c r="B3590" t="s">
        <v>16</v>
      </c>
      <c r="C3590" t="s">
        <v>21</v>
      </c>
      <c r="D3590">
        <v>192328</v>
      </c>
      <c r="E3590">
        <v>23464</v>
      </c>
      <c r="F3590">
        <v>39666</v>
      </c>
      <c r="G3590">
        <v>-185497</v>
      </c>
      <c r="H3590">
        <v>69961</v>
      </c>
      <c r="I3590">
        <v>73224</v>
      </c>
      <c r="J3590">
        <v>1183</v>
      </c>
      <c r="K3590">
        <v>688466</v>
      </c>
      <c r="L3590">
        <v>300105</v>
      </c>
      <c r="M3590">
        <v>-167658</v>
      </c>
      <c r="N3590">
        <v>155289</v>
      </c>
      <c r="O3590" t="s">
        <v>3608</v>
      </c>
      <c r="P3590" s="9">
        <v>203311</v>
      </c>
      <c r="Q3590" s="9">
        <v>42479</v>
      </c>
      <c r="R3590" s="9">
        <v>245790</v>
      </c>
      <c r="S3590" s="9">
        <v>-88401</v>
      </c>
      <c r="T3590" s="10">
        <v>113652</v>
      </c>
      <c r="U3590" s="10">
        <v>1618</v>
      </c>
    </row>
    <row r="3591" spans="1:21" x14ac:dyDescent="0.35">
      <c r="A3591" t="s">
        <v>15</v>
      </c>
      <c r="B3591" t="s">
        <v>16</v>
      </c>
      <c r="C3591" t="s">
        <v>21</v>
      </c>
      <c r="D3591">
        <v>212940</v>
      </c>
      <c r="E3591">
        <v>30116</v>
      </c>
      <c r="F3591">
        <v>34753</v>
      </c>
      <c r="G3591">
        <v>-171676</v>
      </c>
      <c r="H3591">
        <v>106133</v>
      </c>
      <c r="I3591">
        <v>100173</v>
      </c>
      <c r="J3591">
        <v>1969</v>
      </c>
      <c r="K3591">
        <v>530621</v>
      </c>
      <c r="L3591">
        <v>67817</v>
      </c>
      <c r="M3591">
        <v>-192554</v>
      </c>
      <c r="N3591">
        <v>161808</v>
      </c>
      <c r="O3591" t="s">
        <v>3609</v>
      </c>
      <c r="P3591" s="9">
        <v>178736</v>
      </c>
      <c r="Q3591" s="9">
        <v>17224</v>
      </c>
      <c r="R3591" s="9">
        <v>195960</v>
      </c>
      <c r="S3591" s="9">
        <v>-67509</v>
      </c>
      <c r="T3591" s="10">
        <v>42680</v>
      </c>
      <c r="U3591" s="10">
        <v>1058</v>
      </c>
    </row>
    <row r="3592" spans="1:21" x14ac:dyDescent="0.35">
      <c r="A3592" t="s">
        <v>15</v>
      </c>
      <c r="B3592" t="s">
        <v>16</v>
      </c>
      <c r="C3592" t="s">
        <v>21</v>
      </c>
      <c r="D3592">
        <v>168114</v>
      </c>
      <c r="E3592">
        <v>32837</v>
      </c>
      <c r="F3592">
        <v>18314</v>
      </c>
      <c r="G3592">
        <v>-165646</v>
      </c>
      <c r="H3592">
        <v>53619</v>
      </c>
      <c r="I3592">
        <v>49727</v>
      </c>
      <c r="J3592">
        <v>1015</v>
      </c>
      <c r="K3592">
        <v>635667</v>
      </c>
      <c r="L3592">
        <v>307235</v>
      </c>
      <c r="M3592">
        <v>-207896</v>
      </c>
      <c r="N3592">
        <v>101526</v>
      </c>
      <c r="O3592" t="s">
        <v>3610</v>
      </c>
      <c r="P3592" s="9">
        <v>218066</v>
      </c>
      <c r="Q3592" s="9">
        <v>39810</v>
      </c>
      <c r="R3592" s="9">
        <v>257876</v>
      </c>
      <c r="S3592" s="9">
        <v>-140558</v>
      </c>
      <c r="T3592" s="10">
        <v>92486</v>
      </c>
      <c r="U3592" s="10">
        <v>1212</v>
      </c>
    </row>
    <row r="3593" spans="1:21" x14ac:dyDescent="0.35">
      <c r="A3593" t="s">
        <v>15</v>
      </c>
      <c r="B3593" t="s">
        <v>20</v>
      </c>
      <c r="C3593" t="s">
        <v>21</v>
      </c>
      <c r="D3593">
        <v>190124</v>
      </c>
      <c r="E3593">
        <v>18734</v>
      </c>
      <c r="F3593">
        <v>46352</v>
      </c>
      <c r="G3593">
        <v>-164471</v>
      </c>
      <c r="H3593">
        <v>90739</v>
      </c>
      <c r="I3593">
        <v>90324</v>
      </c>
      <c r="J3593">
        <v>2339</v>
      </c>
      <c r="K3593">
        <v>442738</v>
      </c>
      <c r="L3593">
        <v>213432</v>
      </c>
      <c r="M3593">
        <v>-137917</v>
      </c>
      <c r="N3593">
        <v>154190</v>
      </c>
      <c r="O3593" t="s">
        <v>3611</v>
      </c>
      <c r="P3593" s="9">
        <v>174131</v>
      </c>
      <c r="Q3593" s="9">
        <v>17673</v>
      </c>
      <c r="R3593" s="9">
        <v>191804</v>
      </c>
      <c r="S3593" s="9">
        <v>-47658</v>
      </c>
      <c r="T3593" s="10">
        <v>65928</v>
      </c>
      <c r="U3593" s="10">
        <v>1565</v>
      </c>
    </row>
    <row r="3594" spans="1:21" x14ac:dyDescent="0.35">
      <c r="A3594" t="s">
        <v>15</v>
      </c>
      <c r="B3594" t="s">
        <v>20</v>
      </c>
      <c r="C3594" t="s">
        <v>17</v>
      </c>
      <c r="D3594">
        <v>291647</v>
      </c>
      <c r="E3594">
        <v>48946</v>
      </c>
      <c r="F3594">
        <v>62509</v>
      </c>
      <c r="G3594">
        <v>-281745</v>
      </c>
      <c r="H3594">
        <v>121357</v>
      </c>
      <c r="I3594">
        <v>113487</v>
      </c>
      <c r="J3594">
        <v>1360</v>
      </c>
      <c r="K3594">
        <v>892834</v>
      </c>
      <c r="L3594">
        <v>233525</v>
      </c>
      <c r="M3594">
        <v>-128236</v>
      </c>
      <c r="N3594">
        <v>258125</v>
      </c>
      <c r="O3594" t="s">
        <v>3612</v>
      </c>
      <c r="P3594" s="9">
        <v>216523</v>
      </c>
      <c r="Q3594" s="9">
        <v>24126</v>
      </c>
      <c r="R3594" s="9">
        <v>240649</v>
      </c>
      <c r="S3594" s="9">
        <v>-120265</v>
      </c>
      <c r="T3594" s="10">
        <v>59192</v>
      </c>
      <c r="U3594" s="10">
        <v>1299</v>
      </c>
    </row>
    <row r="3595" spans="1:21" x14ac:dyDescent="0.35">
      <c r="A3595" t="s">
        <v>15</v>
      </c>
      <c r="B3595" t="s">
        <v>20</v>
      </c>
      <c r="C3595" t="s">
        <v>21</v>
      </c>
      <c r="D3595">
        <v>282971</v>
      </c>
      <c r="E3595">
        <v>38342</v>
      </c>
      <c r="F3595">
        <v>31862</v>
      </c>
      <c r="G3595">
        <v>-243727</v>
      </c>
      <c r="H3595">
        <v>109448</v>
      </c>
      <c r="I3595">
        <v>108949</v>
      </c>
      <c r="J3595">
        <v>1822</v>
      </c>
      <c r="K3595">
        <v>1089233</v>
      </c>
      <c r="L3595">
        <v>438154</v>
      </c>
      <c r="M3595">
        <v>-199761</v>
      </c>
      <c r="N3595">
        <v>210480</v>
      </c>
      <c r="O3595" t="s">
        <v>3613</v>
      </c>
      <c r="P3595" s="9">
        <v>182178</v>
      </c>
      <c r="Q3595" s="9">
        <v>32295</v>
      </c>
      <c r="R3595" s="9">
        <v>214473</v>
      </c>
      <c r="S3595" s="9">
        <v>-63161</v>
      </c>
      <c r="T3595" s="10">
        <v>55780</v>
      </c>
      <c r="U3595" s="10">
        <v>643</v>
      </c>
    </row>
    <row r="3596" spans="1:21" x14ac:dyDescent="0.35">
      <c r="A3596" t="s">
        <v>15</v>
      </c>
      <c r="B3596" t="s">
        <v>20</v>
      </c>
      <c r="C3596" t="s">
        <v>21</v>
      </c>
      <c r="D3596">
        <v>231242</v>
      </c>
      <c r="E3596">
        <v>44198</v>
      </c>
      <c r="F3596">
        <v>49498</v>
      </c>
      <c r="G3596">
        <v>-214084</v>
      </c>
      <c r="H3596">
        <v>110854</v>
      </c>
      <c r="I3596">
        <v>107578</v>
      </c>
      <c r="J3596">
        <v>2704</v>
      </c>
      <c r="K3596">
        <v>704040</v>
      </c>
      <c r="L3596">
        <v>299757</v>
      </c>
      <c r="M3596">
        <v>-83446</v>
      </c>
      <c r="N3596">
        <v>158923</v>
      </c>
      <c r="O3596" t="s">
        <v>3614</v>
      </c>
      <c r="P3596" s="9">
        <v>224070</v>
      </c>
      <c r="Q3596" s="9">
        <v>36825</v>
      </c>
      <c r="R3596" s="9">
        <v>260895</v>
      </c>
      <c r="S3596" s="9">
        <v>-140925</v>
      </c>
      <c r="T3596" s="10">
        <v>86482</v>
      </c>
      <c r="U3596" s="10">
        <v>1815</v>
      </c>
    </row>
    <row r="3597" spans="1:21" x14ac:dyDescent="0.35">
      <c r="A3597" t="s">
        <v>15</v>
      </c>
      <c r="B3597" t="s">
        <v>20</v>
      </c>
      <c r="C3597" t="s">
        <v>21</v>
      </c>
      <c r="D3597">
        <v>191508</v>
      </c>
      <c r="E3597">
        <v>35709</v>
      </c>
      <c r="F3597">
        <v>38426</v>
      </c>
      <c r="G3597">
        <v>-166683</v>
      </c>
      <c r="H3597">
        <v>98960</v>
      </c>
      <c r="I3597">
        <v>100462</v>
      </c>
      <c r="J3597">
        <v>2763</v>
      </c>
      <c r="K3597">
        <v>518354</v>
      </c>
      <c r="L3597">
        <v>185842</v>
      </c>
      <c r="M3597">
        <v>-94414</v>
      </c>
      <c r="N3597">
        <v>92480</v>
      </c>
      <c r="O3597" t="s">
        <v>3615</v>
      </c>
      <c r="P3597" s="9">
        <v>178017</v>
      </c>
      <c r="Q3597" s="9">
        <v>30908</v>
      </c>
      <c r="R3597" s="9">
        <v>208925</v>
      </c>
      <c r="S3597" s="9">
        <v>-100460</v>
      </c>
      <c r="T3597" s="10">
        <v>84439</v>
      </c>
      <c r="U3597" s="10">
        <v>2104</v>
      </c>
    </row>
    <row r="3598" spans="1:21" x14ac:dyDescent="0.35">
      <c r="A3598" t="s">
        <v>15</v>
      </c>
      <c r="B3598" t="s">
        <v>16</v>
      </c>
      <c r="C3598" t="s">
        <v>21</v>
      </c>
      <c r="D3598">
        <v>260880</v>
      </c>
      <c r="E3598">
        <v>14572</v>
      </c>
      <c r="F3598">
        <v>48845</v>
      </c>
      <c r="G3598">
        <v>-254009</v>
      </c>
      <c r="H3598">
        <v>70288</v>
      </c>
      <c r="I3598">
        <v>68710</v>
      </c>
      <c r="J3598">
        <v>894</v>
      </c>
      <c r="K3598">
        <v>658774</v>
      </c>
      <c r="L3598">
        <v>215465</v>
      </c>
      <c r="M3598">
        <v>-128899</v>
      </c>
      <c r="N3598">
        <v>115838</v>
      </c>
      <c r="O3598" t="s">
        <v>3616</v>
      </c>
      <c r="P3598" s="9">
        <v>273804</v>
      </c>
      <c r="Q3598" s="9">
        <v>17566</v>
      </c>
      <c r="R3598" s="9">
        <v>291370</v>
      </c>
      <c r="S3598" s="9">
        <v>-154971</v>
      </c>
      <c r="T3598" s="10">
        <v>97519</v>
      </c>
      <c r="U3598" s="10">
        <v>2434</v>
      </c>
    </row>
    <row r="3599" spans="1:21" x14ac:dyDescent="0.35">
      <c r="A3599" t="s">
        <v>15</v>
      </c>
      <c r="B3599" t="s">
        <v>16</v>
      </c>
      <c r="C3599" t="s">
        <v>21</v>
      </c>
      <c r="D3599">
        <v>164881</v>
      </c>
      <c r="E3599">
        <v>18816</v>
      </c>
      <c r="F3599">
        <v>33652</v>
      </c>
      <c r="G3599">
        <v>-163552</v>
      </c>
      <c r="H3599">
        <v>53797</v>
      </c>
      <c r="I3599">
        <v>52897</v>
      </c>
      <c r="J3599">
        <v>1205</v>
      </c>
      <c r="K3599">
        <v>362527</v>
      </c>
      <c r="L3599">
        <v>125681</v>
      </c>
      <c r="M3599">
        <v>-49018</v>
      </c>
      <c r="N3599">
        <v>99158</v>
      </c>
      <c r="O3599" t="s">
        <v>3617</v>
      </c>
      <c r="P3599" s="9">
        <v>190237</v>
      </c>
      <c r="Q3599" s="9">
        <v>35975</v>
      </c>
      <c r="R3599" s="9">
        <v>226212</v>
      </c>
      <c r="S3599" s="9">
        <v>-67163</v>
      </c>
      <c r="T3599" s="10">
        <v>88236</v>
      </c>
      <c r="U3599" s="10">
        <v>1295</v>
      </c>
    </row>
    <row r="3600" spans="1:21" x14ac:dyDescent="0.35">
      <c r="A3600" t="s">
        <v>15</v>
      </c>
      <c r="B3600" t="s">
        <v>16</v>
      </c>
      <c r="C3600" t="s">
        <v>17</v>
      </c>
      <c r="D3600">
        <v>206250</v>
      </c>
      <c r="E3600">
        <v>40754</v>
      </c>
      <c r="F3600">
        <v>21328</v>
      </c>
      <c r="G3600">
        <v>-189471</v>
      </c>
      <c r="H3600">
        <v>78861</v>
      </c>
      <c r="I3600">
        <v>81321</v>
      </c>
      <c r="J3600">
        <v>2322</v>
      </c>
      <c r="K3600">
        <v>423639</v>
      </c>
      <c r="L3600">
        <v>91735</v>
      </c>
      <c r="M3600">
        <v>-100995</v>
      </c>
      <c r="N3600">
        <v>154382</v>
      </c>
      <c r="O3600" t="s">
        <v>3618</v>
      </c>
      <c r="P3600" s="9">
        <v>154627</v>
      </c>
      <c r="Q3600" s="9">
        <v>14190</v>
      </c>
      <c r="R3600" s="9">
        <v>168817</v>
      </c>
      <c r="S3600" s="9">
        <v>-54047</v>
      </c>
      <c r="T3600" s="10">
        <v>61514</v>
      </c>
      <c r="U3600" s="10">
        <v>1801</v>
      </c>
    </row>
    <row r="3601" spans="1:21" x14ac:dyDescent="0.35">
      <c r="A3601" t="s">
        <v>15</v>
      </c>
      <c r="B3601" t="s">
        <v>16</v>
      </c>
      <c r="C3601" t="s">
        <v>17</v>
      </c>
      <c r="D3601">
        <v>172176</v>
      </c>
      <c r="E3601">
        <v>32935</v>
      </c>
      <c r="F3601">
        <v>27169</v>
      </c>
      <c r="G3601">
        <v>-146155</v>
      </c>
      <c r="H3601">
        <v>86125</v>
      </c>
      <c r="I3601">
        <v>81107</v>
      </c>
      <c r="J3601">
        <v>1435</v>
      </c>
      <c r="K3601">
        <v>567531</v>
      </c>
      <c r="L3601">
        <v>99575</v>
      </c>
      <c r="M3601">
        <v>-219357</v>
      </c>
      <c r="N3601">
        <v>63716</v>
      </c>
      <c r="O3601" t="s">
        <v>3619</v>
      </c>
      <c r="P3601" s="9">
        <v>223471</v>
      </c>
      <c r="Q3601" s="9">
        <v>17122</v>
      </c>
      <c r="R3601" s="9">
        <v>240593</v>
      </c>
      <c r="S3601" s="9">
        <v>-107441</v>
      </c>
      <c r="T3601" s="10">
        <v>63596</v>
      </c>
      <c r="U3601" s="10">
        <v>1026</v>
      </c>
    </row>
    <row r="3602" spans="1:21" x14ac:dyDescent="0.35">
      <c r="A3602" t="s">
        <v>15</v>
      </c>
      <c r="B3602" t="s">
        <v>20</v>
      </c>
      <c r="C3602" t="s">
        <v>17</v>
      </c>
      <c r="D3602">
        <v>172611</v>
      </c>
      <c r="E3602">
        <v>12556</v>
      </c>
      <c r="F3602">
        <v>33878</v>
      </c>
      <c r="G3602">
        <v>-145764</v>
      </c>
      <c r="H3602">
        <v>73281</v>
      </c>
      <c r="I3602">
        <v>73500</v>
      </c>
      <c r="J3602">
        <v>1123</v>
      </c>
      <c r="K3602">
        <v>663915</v>
      </c>
      <c r="L3602">
        <v>149775</v>
      </c>
      <c r="M3602">
        <v>-205494</v>
      </c>
      <c r="N3602">
        <v>115474</v>
      </c>
      <c r="O3602" t="s">
        <v>3620</v>
      </c>
      <c r="P3602" s="9">
        <v>240665</v>
      </c>
      <c r="Q3602" s="9">
        <v>37013</v>
      </c>
      <c r="R3602" s="9">
        <v>277678</v>
      </c>
      <c r="S3602" s="9">
        <v>-133689</v>
      </c>
      <c r="T3602" s="10">
        <v>57039</v>
      </c>
      <c r="U3602" s="10">
        <v>1125</v>
      </c>
    </row>
    <row r="3603" spans="1:21" x14ac:dyDescent="0.35">
      <c r="A3603" t="s">
        <v>15</v>
      </c>
      <c r="B3603" t="s">
        <v>16</v>
      </c>
      <c r="C3603" t="s">
        <v>21</v>
      </c>
      <c r="D3603">
        <v>299211</v>
      </c>
      <c r="E3603">
        <v>50286</v>
      </c>
      <c r="F3603">
        <v>34648</v>
      </c>
      <c r="G3603">
        <v>-246020</v>
      </c>
      <c r="H3603">
        <v>138125</v>
      </c>
      <c r="I3603">
        <v>140229</v>
      </c>
      <c r="J3603">
        <v>3315</v>
      </c>
      <c r="K3603">
        <v>698515</v>
      </c>
      <c r="L3603">
        <v>183199</v>
      </c>
      <c r="M3603">
        <v>-161375</v>
      </c>
      <c r="N3603">
        <v>174588</v>
      </c>
      <c r="O3603" t="s">
        <v>3621</v>
      </c>
      <c r="P3603" s="9">
        <v>268801</v>
      </c>
      <c r="Q3603" s="9">
        <v>25960</v>
      </c>
      <c r="R3603" s="9">
        <v>294761</v>
      </c>
      <c r="S3603" s="9">
        <v>-112283</v>
      </c>
      <c r="T3603" s="10">
        <v>92249</v>
      </c>
      <c r="U3603" s="10">
        <v>1029</v>
      </c>
    </row>
    <row r="3604" spans="1:21" x14ac:dyDescent="0.35">
      <c r="A3604" t="s">
        <v>15</v>
      </c>
      <c r="B3604" t="s">
        <v>16</v>
      </c>
      <c r="C3604" t="s">
        <v>17</v>
      </c>
      <c r="D3604">
        <v>180374</v>
      </c>
      <c r="E3604">
        <v>9409</v>
      </c>
      <c r="F3604">
        <v>26284</v>
      </c>
      <c r="G3604">
        <v>-160526</v>
      </c>
      <c r="H3604">
        <v>55541</v>
      </c>
      <c r="I3604">
        <v>57968</v>
      </c>
      <c r="J3604">
        <v>1576</v>
      </c>
      <c r="K3604">
        <v>629550</v>
      </c>
      <c r="L3604">
        <v>313002</v>
      </c>
      <c r="M3604">
        <v>-171914</v>
      </c>
      <c r="N3604">
        <v>85693</v>
      </c>
      <c r="O3604" t="s">
        <v>3622</v>
      </c>
      <c r="P3604" s="9">
        <v>231756</v>
      </c>
      <c r="Q3604" s="9">
        <v>22206</v>
      </c>
      <c r="R3604" s="9">
        <v>253962</v>
      </c>
      <c r="S3604" s="9">
        <v>-143595</v>
      </c>
      <c r="T3604" s="10">
        <v>88012</v>
      </c>
      <c r="U3604" s="10">
        <v>2063</v>
      </c>
    </row>
    <row r="3605" spans="1:21" x14ac:dyDescent="0.35">
      <c r="A3605" t="s">
        <v>15</v>
      </c>
      <c r="B3605" t="s">
        <v>20</v>
      </c>
      <c r="C3605" t="s">
        <v>17</v>
      </c>
      <c r="D3605">
        <v>275997</v>
      </c>
      <c r="E3605">
        <v>45776</v>
      </c>
      <c r="F3605">
        <v>63210</v>
      </c>
      <c r="G3605">
        <v>-262005</v>
      </c>
      <c r="H3605">
        <v>122978</v>
      </c>
      <c r="I3605">
        <v>115868</v>
      </c>
      <c r="J3605">
        <v>2897</v>
      </c>
      <c r="K3605">
        <v>708767</v>
      </c>
      <c r="L3605">
        <v>253813</v>
      </c>
      <c r="M3605">
        <v>-106287</v>
      </c>
      <c r="N3605">
        <v>140737</v>
      </c>
      <c r="O3605" t="s">
        <v>3623</v>
      </c>
      <c r="P3605" s="9">
        <v>197800</v>
      </c>
      <c r="Q3605" s="9">
        <v>13981</v>
      </c>
      <c r="R3605" s="9">
        <v>211781</v>
      </c>
      <c r="S3605" s="9">
        <v>-57361</v>
      </c>
      <c r="T3605" s="10">
        <v>73443</v>
      </c>
      <c r="U3605" s="10">
        <v>829</v>
      </c>
    </row>
    <row r="3606" spans="1:21" x14ac:dyDescent="0.35">
      <c r="A3606" t="s">
        <v>15</v>
      </c>
      <c r="B3606" t="s">
        <v>20</v>
      </c>
      <c r="C3606" t="s">
        <v>17</v>
      </c>
      <c r="D3606">
        <v>271003</v>
      </c>
      <c r="E3606">
        <v>44061</v>
      </c>
      <c r="F3606">
        <v>52796</v>
      </c>
      <c r="G3606">
        <v>-268424</v>
      </c>
      <c r="H3606">
        <v>99436</v>
      </c>
      <c r="I3606">
        <v>99929</v>
      </c>
      <c r="J3606">
        <v>2892</v>
      </c>
      <c r="K3606">
        <v>816207</v>
      </c>
      <c r="L3606">
        <v>171358</v>
      </c>
      <c r="M3606">
        <v>-281528</v>
      </c>
      <c r="N3606">
        <v>165885</v>
      </c>
      <c r="O3606" t="s">
        <v>3624</v>
      </c>
      <c r="P3606" s="9">
        <v>266630</v>
      </c>
      <c r="Q3606" s="9">
        <v>40082</v>
      </c>
      <c r="R3606" s="9">
        <v>306712</v>
      </c>
      <c r="S3606" s="9">
        <v>-125823</v>
      </c>
      <c r="T3606" s="10">
        <v>113506</v>
      </c>
      <c r="U3606" s="10">
        <v>1420</v>
      </c>
    </row>
    <row r="3607" spans="1:21" x14ac:dyDescent="0.35">
      <c r="A3607" t="s">
        <v>15</v>
      </c>
      <c r="B3607" t="s">
        <v>16</v>
      </c>
      <c r="C3607" t="s">
        <v>17</v>
      </c>
      <c r="D3607">
        <v>276569</v>
      </c>
      <c r="E3607">
        <v>30198</v>
      </c>
      <c r="F3607">
        <v>33013</v>
      </c>
      <c r="G3607">
        <v>-260122</v>
      </c>
      <c r="H3607">
        <v>79658</v>
      </c>
      <c r="I3607">
        <v>74365</v>
      </c>
      <c r="J3607">
        <v>1460</v>
      </c>
      <c r="K3607">
        <v>743483</v>
      </c>
      <c r="L3607">
        <v>260786</v>
      </c>
      <c r="M3607">
        <v>-78807</v>
      </c>
      <c r="N3607">
        <v>213110</v>
      </c>
      <c r="O3607" t="s">
        <v>3625</v>
      </c>
      <c r="P3607" s="9">
        <v>222829</v>
      </c>
      <c r="Q3607" s="9">
        <v>32513</v>
      </c>
      <c r="R3607" s="9">
        <v>255342</v>
      </c>
      <c r="S3607" s="9">
        <v>-135790</v>
      </c>
      <c r="T3607" s="10">
        <v>94982</v>
      </c>
      <c r="U3607" s="10">
        <v>2665</v>
      </c>
    </row>
    <row r="3608" spans="1:21" x14ac:dyDescent="0.35">
      <c r="A3608" t="s">
        <v>15</v>
      </c>
      <c r="B3608" t="s">
        <v>20</v>
      </c>
      <c r="C3608" t="s">
        <v>21</v>
      </c>
      <c r="D3608">
        <v>152907</v>
      </c>
      <c r="E3608">
        <v>10100</v>
      </c>
      <c r="F3608">
        <v>38026</v>
      </c>
      <c r="G3608">
        <v>-128735</v>
      </c>
      <c r="H3608">
        <v>72298</v>
      </c>
      <c r="I3608">
        <v>74492</v>
      </c>
      <c r="J3608">
        <v>843</v>
      </c>
      <c r="K3608">
        <v>348962</v>
      </c>
      <c r="L3608">
        <v>112199</v>
      </c>
      <c r="M3608">
        <v>-90152</v>
      </c>
      <c r="N3608">
        <v>48179</v>
      </c>
      <c r="O3608" t="s">
        <v>3626</v>
      </c>
      <c r="P3608" s="9">
        <v>275033</v>
      </c>
      <c r="Q3608" s="9">
        <v>27576</v>
      </c>
      <c r="R3608" s="9">
        <v>302609</v>
      </c>
      <c r="S3608" s="9">
        <v>-70240</v>
      </c>
      <c r="T3608" s="10">
        <v>83068</v>
      </c>
      <c r="U3608" s="10">
        <v>1406</v>
      </c>
    </row>
    <row r="3609" spans="1:21" x14ac:dyDescent="0.35">
      <c r="A3609" t="s">
        <v>15</v>
      </c>
      <c r="B3609" t="s">
        <v>20</v>
      </c>
      <c r="C3609" t="s">
        <v>21</v>
      </c>
      <c r="D3609">
        <v>210036</v>
      </c>
      <c r="E3609">
        <v>35816</v>
      </c>
      <c r="F3609">
        <v>49215</v>
      </c>
      <c r="G3609">
        <v>-168390</v>
      </c>
      <c r="H3609">
        <v>126677</v>
      </c>
      <c r="I3609">
        <v>125596</v>
      </c>
      <c r="J3609">
        <v>3169</v>
      </c>
      <c r="K3609">
        <v>796804</v>
      </c>
      <c r="L3609">
        <v>285171</v>
      </c>
      <c r="M3609">
        <v>-80580</v>
      </c>
      <c r="N3609">
        <v>85722</v>
      </c>
      <c r="O3609" t="s">
        <v>3627</v>
      </c>
      <c r="P3609" s="9">
        <v>203175</v>
      </c>
      <c r="Q3609" s="9">
        <v>19121</v>
      </c>
      <c r="R3609" s="9">
        <v>222296</v>
      </c>
      <c r="S3609" s="9">
        <v>-69258</v>
      </c>
      <c r="T3609" s="10">
        <v>71520</v>
      </c>
      <c r="U3609" s="10">
        <v>1604</v>
      </c>
    </row>
    <row r="3610" spans="1:21" x14ac:dyDescent="0.35">
      <c r="A3610" t="s">
        <v>15</v>
      </c>
      <c r="B3610" t="s">
        <v>20</v>
      </c>
      <c r="C3610" t="s">
        <v>21</v>
      </c>
      <c r="D3610">
        <v>184462</v>
      </c>
      <c r="E3610">
        <v>11283</v>
      </c>
      <c r="F3610">
        <v>18700</v>
      </c>
      <c r="G3610">
        <v>-168210</v>
      </c>
      <c r="H3610">
        <v>46235</v>
      </c>
      <c r="I3610">
        <v>47052</v>
      </c>
      <c r="J3610">
        <v>1112</v>
      </c>
      <c r="K3610">
        <v>596288</v>
      </c>
      <c r="L3610">
        <v>206025</v>
      </c>
      <c r="M3610">
        <v>-177347</v>
      </c>
      <c r="N3610">
        <v>152211</v>
      </c>
      <c r="O3610" t="s">
        <v>3628</v>
      </c>
      <c r="P3610" s="9">
        <v>243975</v>
      </c>
      <c r="Q3610" s="9">
        <v>40317</v>
      </c>
      <c r="R3610" s="9">
        <v>284292</v>
      </c>
      <c r="S3610" s="9">
        <v>-59067</v>
      </c>
      <c r="T3610" s="10">
        <v>87178</v>
      </c>
      <c r="U3610" s="10">
        <v>2116</v>
      </c>
    </row>
    <row r="3611" spans="1:21" x14ac:dyDescent="0.35">
      <c r="A3611" t="s">
        <v>15</v>
      </c>
      <c r="B3611" t="s">
        <v>16</v>
      </c>
      <c r="C3611" t="s">
        <v>17</v>
      </c>
      <c r="D3611">
        <v>161934</v>
      </c>
      <c r="E3611">
        <v>27561</v>
      </c>
      <c r="F3611">
        <v>20026</v>
      </c>
      <c r="G3611">
        <v>-149199</v>
      </c>
      <c r="H3611">
        <v>60322</v>
      </c>
      <c r="I3611">
        <v>61908</v>
      </c>
      <c r="J3611">
        <v>824</v>
      </c>
      <c r="K3611">
        <v>610774</v>
      </c>
      <c r="L3611">
        <v>258669</v>
      </c>
      <c r="M3611">
        <v>-120949</v>
      </c>
      <c r="N3611">
        <v>139074</v>
      </c>
      <c r="O3611" t="s">
        <v>3629</v>
      </c>
      <c r="P3611" s="9">
        <v>189977</v>
      </c>
      <c r="Q3611" s="9">
        <v>19127</v>
      </c>
      <c r="R3611" s="9">
        <v>209104</v>
      </c>
      <c r="S3611" s="9">
        <v>-102848</v>
      </c>
      <c r="T3611" s="10">
        <v>55102</v>
      </c>
      <c r="U3611" s="10">
        <v>1424</v>
      </c>
    </row>
    <row r="3612" spans="1:21" x14ac:dyDescent="0.35">
      <c r="A3612" t="s">
        <v>15</v>
      </c>
      <c r="B3612" t="s">
        <v>20</v>
      </c>
      <c r="C3612" t="s">
        <v>21</v>
      </c>
      <c r="D3612">
        <v>288341</v>
      </c>
      <c r="E3612">
        <v>48128</v>
      </c>
      <c r="F3612">
        <v>51244</v>
      </c>
      <c r="G3612">
        <v>-276077</v>
      </c>
      <c r="H3612">
        <v>111636</v>
      </c>
      <c r="I3612">
        <v>111358</v>
      </c>
      <c r="J3612">
        <v>2963</v>
      </c>
      <c r="K3612">
        <v>679958</v>
      </c>
      <c r="L3612">
        <v>94466</v>
      </c>
      <c r="M3612">
        <v>-245084</v>
      </c>
      <c r="N3612">
        <v>184142</v>
      </c>
      <c r="O3612" t="s">
        <v>3630</v>
      </c>
      <c r="P3612" s="9">
        <v>217696</v>
      </c>
      <c r="Q3612" s="9">
        <v>18907</v>
      </c>
      <c r="R3612" s="9">
        <v>236603</v>
      </c>
      <c r="S3612" s="9">
        <v>-76488</v>
      </c>
      <c r="T3612" s="10">
        <v>59782</v>
      </c>
      <c r="U3612" s="10">
        <v>893</v>
      </c>
    </row>
    <row r="3613" spans="1:21" x14ac:dyDescent="0.35">
      <c r="A3613" t="s">
        <v>15</v>
      </c>
      <c r="B3613" t="s">
        <v>16</v>
      </c>
      <c r="C3613" t="s">
        <v>17</v>
      </c>
      <c r="D3613">
        <v>213450</v>
      </c>
      <c r="E3613">
        <v>11514</v>
      </c>
      <c r="F3613">
        <v>42677</v>
      </c>
      <c r="G3613">
        <v>-208588</v>
      </c>
      <c r="H3613">
        <v>59053</v>
      </c>
      <c r="I3613">
        <v>54590</v>
      </c>
      <c r="J3613">
        <v>1182</v>
      </c>
      <c r="K3613">
        <v>852929</v>
      </c>
      <c r="L3613">
        <v>332348</v>
      </c>
      <c r="M3613">
        <v>-130455</v>
      </c>
      <c r="N3613">
        <v>171232</v>
      </c>
      <c r="O3613" t="s">
        <v>3631</v>
      </c>
      <c r="P3613" s="9">
        <v>239155</v>
      </c>
      <c r="Q3613" s="9">
        <v>30208</v>
      </c>
      <c r="R3613" s="9">
        <v>269363</v>
      </c>
      <c r="S3613" s="9">
        <v>-75464</v>
      </c>
      <c r="T3613" s="10">
        <v>82043</v>
      </c>
      <c r="U3613" s="10">
        <v>898</v>
      </c>
    </row>
    <row r="3614" spans="1:21" x14ac:dyDescent="0.35">
      <c r="A3614" t="s">
        <v>15</v>
      </c>
      <c r="B3614" t="s">
        <v>16</v>
      </c>
      <c r="C3614" t="s">
        <v>21</v>
      </c>
      <c r="D3614">
        <v>281695</v>
      </c>
      <c r="E3614">
        <v>43035</v>
      </c>
      <c r="F3614">
        <v>64489</v>
      </c>
      <c r="G3614">
        <v>-234640</v>
      </c>
      <c r="H3614">
        <v>154579</v>
      </c>
      <c r="I3614">
        <v>148767</v>
      </c>
      <c r="J3614">
        <v>4138</v>
      </c>
      <c r="K3614">
        <v>923219</v>
      </c>
      <c r="L3614">
        <v>149459</v>
      </c>
      <c r="M3614">
        <v>-170056</v>
      </c>
      <c r="N3614">
        <v>227858</v>
      </c>
      <c r="O3614" t="s">
        <v>3632</v>
      </c>
      <c r="P3614" s="9">
        <v>178533</v>
      </c>
      <c r="Q3614" s="9">
        <v>20589</v>
      </c>
      <c r="R3614" s="9">
        <v>199122</v>
      </c>
      <c r="S3614" s="9">
        <v>-64921</v>
      </c>
      <c r="T3614" s="10">
        <v>76443</v>
      </c>
      <c r="U3614" s="10">
        <v>1876</v>
      </c>
    </row>
    <row r="3615" spans="1:21" x14ac:dyDescent="0.35">
      <c r="A3615" t="s">
        <v>15</v>
      </c>
      <c r="B3615" t="s">
        <v>20</v>
      </c>
      <c r="C3615" t="s">
        <v>21</v>
      </c>
      <c r="D3615">
        <v>293058</v>
      </c>
      <c r="E3615">
        <v>47065</v>
      </c>
      <c r="F3615">
        <v>66580</v>
      </c>
      <c r="G3615">
        <v>-239172</v>
      </c>
      <c r="H3615">
        <v>167531</v>
      </c>
      <c r="I3615">
        <v>174186</v>
      </c>
      <c r="J3615">
        <v>2561</v>
      </c>
      <c r="K3615">
        <v>1071425</v>
      </c>
      <c r="L3615">
        <v>313296</v>
      </c>
      <c r="M3615">
        <v>-288335</v>
      </c>
      <c r="N3615">
        <v>104225</v>
      </c>
      <c r="O3615" t="s">
        <v>3633</v>
      </c>
      <c r="P3615" s="9">
        <v>191187</v>
      </c>
      <c r="Q3615" s="9">
        <v>27566</v>
      </c>
      <c r="R3615" s="9">
        <v>218753</v>
      </c>
      <c r="S3615" s="9">
        <v>-80526</v>
      </c>
      <c r="T3615" s="10">
        <v>68513</v>
      </c>
      <c r="U3615" s="10">
        <v>1711</v>
      </c>
    </row>
    <row r="3616" spans="1:21" x14ac:dyDescent="0.35">
      <c r="A3616" t="s">
        <v>15</v>
      </c>
      <c r="B3616" t="s">
        <v>16</v>
      </c>
      <c r="C3616" t="s">
        <v>21</v>
      </c>
      <c r="D3616">
        <v>297332</v>
      </c>
      <c r="E3616">
        <v>17396</v>
      </c>
      <c r="F3616">
        <v>64967</v>
      </c>
      <c r="G3616">
        <v>-238640</v>
      </c>
      <c r="H3616">
        <v>141055</v>
      </c>
      <c r="I3616">
        <v>131142</v>
      </c>
      <c r="J3616">
        <v>2443</v>
      </c>
      <c r="K3616">
        <v>819321</v>
      </c>
      <c r="L3616">
        <v>266962</v>
      </c>
      <c r="M3616">
        <v>-242676</v>
      </c>
      <c r="N3616">
        <v>149677</v>
      </c>
      <c r="O3616" t="s">
        <v>3634</v>
      </c>
      <c r="P3616" s="9">
        <v>316972</v>
      </c>
      <c r="Q3616" s="9">
        <v>49010</v>
      </c>
      <c r="R3616" s="9">
        <v>365982</v>
      </c>
      <c r="S3616" s="9">
        <v>-154752</v>
      </c>
      <c r="T3616" s="10">
        <v>126053</v>
      </c>
      <c r="U3616" s="10">
        <v>2613</v>
      </c>
    </row>
    <row r="3617" spans="1:21" x14ac:dyDescent="0.35">
      <c r="A3617" t="s">
        <v>15</v>
      </c>
      <c r="B3617" t="s">
        <v>16</v>
      </c>
      <c r="C3617" t="s">
        <v>17</v>
      </c>
      <c r="D3617">
        <v>230483</v>
      </c>
      <c r="E3617">
        <v>13024</v>
      </c>
      <c r="F3617">
        <v>48118</v>
      </c>
      <c r="G3617">
        <v>-200587</v>
      </c>
      <c r="H3617">
        <v>91038</v>
      </c>
      <c r="I3617">
        <v>89647</v>
      </c>
      <c r="J3617">
        <v>2331</v>
      </c>
      <c r="K3617">
        <v>728266</v>
      </c>
      <c r="L3617">
        <v>188974</v>
      </c>
      <c r="M3617">
        <v>-269921</v>
      </c>
      <c r="N3617">
        <v>122426</v>
      </c>
      <c r="O3617" t="s">
        <v>3635</v>
      </c>
      <c r="P3617" s="9">
        <v>209312</v>
      </c>
      <c r="Q3617" s="9">
        <v>32987</v>
      </c>
      <c r="R3617" s="9">
        <v>242299</v>
      </c>
      <c r="S3617" s="9">
        <v>-106253</v>
      </c>
      <c r="T3617" s="10">
        <v>86208</v>
      </c>
      <c r="U3617" s="10">
        <v>1350</v>
      </c>
    </row>
    <row r="3618" spans="1:21" x14ac:dyDescent="0.35">
      <c r="A3618" t="s">
        <v>15</v>
      </c>
      <c r="B3618" t="s">
        <v>20</v>
      </c>
      <c r="C3618" t="s">
        <v>17</v>
      </c>
      <c r="D3618">
        <v>202332</v>
      </c>
      <c r="E3618">
        <v>38038</v>
      </c>
      <c r="F3618">
        <v>46578</v>
      </c>
      <c r="G3618">
        <v>-196208</v>
      </c>
      <c r="H3618">
        <v>90740</v>
      </c>
      <c r="I3618">
        <v>86032</v>
      </c>
      <c r="J3618">
        <v>1099</v>
      </c>
      <c r="K3618">
        <v>530131</v>
      </c>
      <c r="L3618">
        <v>88525</v>
      </c>
      <c r="M3618">
        <v>-155368</v>
      </c>
      <c r="N3618">
        <v>83726</v>
      </c>
      <c r="O3618" t="s">
        <v>3636</v>
      </c>
      <c r="P3618" s="9">
        <v>280927</v>
      </c>
      <c r="Q3618" s="9">
        <v>51683</v>
      </c>
      <c r="R3618" s="9">
        <v>332610</v>
      </c>
      <c r="S3618" s="9">
        <v>-96769</v>
      </c>
      <c r="T3618" s="10">
        <v>111551</v>
      </c>
      <c r="U3618" s="10">
        <v>1539</v>
      </c>
    </row>
    <row r="3619" spans="1:21" x14ac:dyDescent="0.35">
      <c r="A3619" t="s">
        <v>15</v>
      </c>
      <c r="B3619" t="s">
        <v>16</v>
      </c>
      <c r="C3619" t="s">
        <v>21</v>
      </c>
      <c r="D3619">
        <v>282471</v>
      </c>
      <c r="E3619">
        <v>29675</v>
      </c>
      <c r="F3619">
        <v>69115</v>
      </c>
      <c r="G3619">
        <v>-247336</v>
      </c>
      <c r="H3619">
        <v>133925</v>
      </c>
      <c r="I3619">
        <v>136488</v>
      </c>
      <c r="J3619">
        <v>3012</v>
      </c>
      <c r="K3619">
        <v>637161</v>
      </c>
      <c r="L3619">
        <v>188270</v>
      </c>
      <c r="M3619">
        <v>-140190</v>
      </c>
      <c r="N3619">
        <v>194952</v>
      </c>
      <c r="O3619" t="s">
        <v>3637</v>
      </c>
      <c r="P3619" s="9">
        <v>150770</v>
      </c>
      <c r="Q3619" s="9">
        <v>8708</v>
      </c>
      <c r="R3619" s="9">
        <v>159478</v>
      </c>
      <c r="S3619" s="9">
        <v>-51075</v>
      </c>
      <c r="T3619" s="10">
        <v>56969</v>
      </c>
      <c r="U3619" s="10">
        <v>1277</v>
      </c>
    </row>
    <row r="3620" spans="1:21" x14ac:dyDescent="0.35">
      <c r="A3620" t="s">
        <v>15</v>
      </c>
      <c r="B3620" t="s">
        <v>20</v>
      </c>
      <c r="C3620" t="s">
        <v>21</v>
      </c>
      <c r="D3620">
        <v>184420</v>
      </c>
      <c r="E3620">
        <v>17264</v>
      </c>
      <c r="F3620">
        <v>36995</v>
      </c>
      <c r="G3620">
        <v>-168148</v>
      </c>
      <c r="H3620">
        <v>70531</v>
      </c>
      <c r="I3620">
        <v>73989</v>
      </c>
      <c r="J3620">
        <v>1280</v>
      </c>
      <c r="K3620">
        <v>458169</v>
      </c>
      <c r="L3620">
        <v>187357</v>
      </c>
      <c r="M3620">
        <v>-175427</v>
      </c>
      <c r="N3620">
        <v>77047</v>
      </c>
      <c r="O3620" t="s">
        <v>3638</v>
      </c>
      <c r="P3620" s="9">
        <v>224037</v>
      </c>
      <c r="Q3620" s="9">
        <v>25977</v>
      </c>
      <c r="R3620" s="9">
        <v>250014</v>
      </c>
      <c r="S3620" s="9">
        <v>-65204</v>
      </c>
      <c r="T3620" s="10">
        <v>97480</v>
      </c>
      <c r="U3620" s="10">
        <v>2621</v>
      </c>
    </row>
    <row r="3621" spans="1:21" x14ac:dyDescent="0.35">
      <c r="A3621" t="s">
        <v>15</v>
      </c>
      <c r="B3621" t="s">
        <v>16</v>
      </c>
      <c r="C3621" t="s">
        <v>21</v>
      </c>
      <c r="D3621">
        <v>153039</v>
      </c>
      <c r="E3621">
        <v>21191</v>
      </c>
      <c r="F3621">
        <v>33838</v>
      </c>
      <c r="G3621">
        <v>-149414</v>
      </c>
      <c r="H3621">
        <v>58654</v>
      </c>
      <c r="I3621">
        <v>54495</v>
      </c>
      <c r="J3621">
        <v>1057</v>
      </c>
      <c r="K3621">
        <v>521343</v>
      </c>
      <c r="L3621">
        <v>110655</v>
      </c>
      <c r="M3621">
        <v>-144277</v>
      </c>
      <c r="N3621">
        <v>51156</v>
      </c>
      <c r="O3621" t="s">
        <v>3639</v>
      </c>
      <c r="P3621" s="9">
        <v>157021</v>
      </c>
      <c r="Q3621" s="9">
        <v>12065</v>
      </c>
      <c r="R3621" s="9">
        <v>169086</v>
      </c>
      <c r="S3621" s="9">
        <v>-48414</v>
      </c>
      <c r="T3621" s="10">
        <v>55845</v>
      </c>
      <c r="U3621" s="10">
        <v>559</v>
      </c>
    </row>
    <row r="3622" spans="1:21" x14ac:dyDescent="0.35">
      <c r="A3622" t="s">
        <v>15</v>
      </c>
      <c r="B3622" t="s">
        <v>16</v>
      </c>
      <c r="C3622" t="s">
        <v>17</v>
      </c>
      <c r="D3622">
        <v>259754</v>
      </c>
      <c r="E3622">
        <v>41476</v>
      </c>
      <c r="F3622">
        <v>32811</v>
      </c>
      <c r="G3622">
        <v>-222234</v>
      </c>
      <c r="H3622">
        <v>111807</v>
      </c>
      <c r="I3622">
        <v>107527</v>
      </c>
      <c r="J3622">
        <v>1624</v>
      </c>
      <c r="K3622">
        <v>976502</v>
      </c>
      <c r="L3622">
        <v>98409</v>
      </c>
      <c r="M3622">
        <v>-291960</v>
      </c>
      <c r="N3622">
        <v>162177</v>
      </c>
      <c r="O3622" t="s">
        <v>3640</v>
      </c>
      <c r="P3622" s="9">
        <v>175576</v>
      </c>
      <c r="Q3622" s="9">
        <v>21769</v>
      </c>
      <c r="R3622" s="9">
        <v>197345</v>
      </c>
      <c r="S3622" s="9">
        <v>-55419</v>
      </c>
      <c r="T3622" s="10">
        <v>58407</v>
      </c>
      <c r="U3622" s="10">
        <v>729</v>
      </c>
    </row>
    <row r="3623" spans="1:21" x14ac:dyDescent="0.35">
      <c r="A3623" t="s">
        <v>15</v>
      </c>
      <c r="B3623" t="s">
        <v>16</v>
      </c>
      <c r="C3623" t="s">
        <v>21</v>
      </c>
      <c r="D3623">
        <v>278647</v>
      </c>
      <c r="E3623">
        <v>33364</v>
      </c>
      <c r="F3623">
        <v>40413</v>
      </c>
      <c r="G3623">
        <v>-267066</v>
      </c>
      <c r="H3623">
        <v>85358</v>
      </c>
      <c r="I3623">
        <v>77478</v>
      </c>
      <c r="J3623">
        <v>1479</v>
      </c>
      <c r="K3623">
        <v>975512</v>
      </c>
      <c r="L3623">
        <v>379211</v>
      </c>
      <c r="M3623">
        <v>-190320</v>
      </c>
      <c r="N3623">
        <v>97206</v>
      </c>
      <c r="O3623" t="s">
        <v>3641</v>
      </c>
      <c r="P3623" s="9">
        <v>209936</v>
      </c>
      <c r="Q3623" s="9">
        <v>28327</v>
      </c>
      <c r="R3623" s="9">
        <v>238263</v>
      </c>
      <c r="S3623" s="9">
        <v>-56768</v>
      </c>
      <c r="T3623" s="10">
        <v>108533</v>
      </c>
      <c r="U3623" s="10">
        <v>1589</v>
      </c>
    </row>
    <row r="3624" spans="1:21" x14ac:dyDescent="0.35">
      <c r="A3624" t="s">
        <v>15</v>
      </c>
      <c r="B3624" t="s">
        <v>20</v>
      </c>
      <c r="C3624" t="s">
        <v>17</v>
      </c>
      <c r="D3624">
        <v>265234</v>
      </c>
      <c r="E3624">
        <v>52815</v>
      </c>
      <c r="F3624">
        <v>57079</v>
      </c>
      <c r="G3624">
        <v>-241398</v>
      </c>
      <c r="H3624">
        <v>133730</v>
      </c>
      <c r="I3624">
        <v>124751</v>
      </c>
      <c r="J3624">
        <v>1573</v>
      </c>
      <c r="K3624">
        <v>838763</v>
      </c>
      <c r="L3624">
        <v>104594</v>
      </c>
      <c r="M3624">
        <v>-306335</v>
      </c>
      <c r="N3624">
        <v>237779</v>
      </c>
      <c r="O3624" t="s">
        <v>3642</v>
      </c>
      <c r="P3624" s="9">
        <v>239208</v>
      </c>
      <c r="Q3624" s="9">
        <v>38254</v>
      </c>
      <c r="R3624" s="9">
        <v>277462</v>
      </c>
      <c r="S3624" s="9">
        <v>-56640</v>
      </c>
      <c r="T3624" s="10">
        <v>124565</v>
      </c>
      <c r="U3624" s="10">
        <v>1871</v>
      </c>
    </row>
    <row r="3625" spans="1:21" x14ac:dyDescent="0.35">
      <c r="A3625" t="s">
        <v>15</v>
      </c>
      <c r="B3625" t="s">
        <v>16</v>
      </c>
      <c r="C3625" t="s">
        <v>21</v>
      </c>
      <c r="D3625">
        <v>184769</v>
      </c>
      <c r="E3625">
        <v>17141</v>
      </c>
      <c r="F3625">
        <v>36347</v>
      </c>
      <c r="G3625">
        <v>-158636</v>
      </c>
      <c r="H3625">
        <v>79621</v>
      </c>
      <c r="I3625">
        <v>81356</v>
      </c>
      <c r="J3625">
        <v>975</v>
      </c>
      <c r="K3625">
        <v>512185</v>
      </c>
      <c r="L3625">
        <v>180313</v>
      </c>
      <c r="M3625">
        <v>-130957</v>
      </c>
      <c r="N3625">
        <v>76581</v>
      </c>
      <c r="O3625" t="s">
        <v>3643</v>
      </c>
      <c r="P3625" s="9">
        <v>183731</v>
      </c>
      <c r="Q3625" s="9">
        <v>34092</v>
      </c>
      <c r="R3625" s="9">
        <v>217823</v>
      </c>
      <c r="S3625" s="9">
        <v>-67923</v>
      </c>
      <c r="T3625" s="10">
        <v>89606</v>
      </c>
      <c r="U3625" s="10">
        <v>1617</v>
      </c>
    </row>
    <row r="3626" spans="1:21" x14ac:dyDescent="0.35">
      <c r="A3626" t="s">
        <v>15</v>
      </c>
      <c r="B3626" t="s">
        <v>16</v>
      </c>
      <c r="C3626" t="s">
        <v>21</v>
      </c>
      <c r="D3626">
        <v>183245</v>
      </c>
      <c r="E3626">
        <v>19674</v>
      </c>
      <c r="F3626">
        <v>26531</v>
      </c>
      <c r="G3626">
        <v>-150943</v>
      </c>
      <c r="H3626">
        <v>78507</v>
      </c>
      <c r="I3626">
        <v>75282</v>
      </c>
      <c r="J3626">
        <v>2241</v>
      </c>
      <c r="K3626">
        <v>611732</v>
      </c>
      <c r="L3626">
        <v>286387</v>
      </c>
      <c r="M3626">
        <v>-191341</v>
      </c>
      <c r="N3626">
        <v>84830</v>
      </c>
      <c r="O3626" t="s">
        <v>3644</v>
      </c>
      <c r="P3626" s="9">
        <v>284243</v>
      </c>
      <c r="Q3626" s="9">
        <v>26737</v>
      </c>
      <c r="R3626" s="9">
        <v>310980</v>
      </c>
      <c r="S3626" s="9">
        <v>-86530</v>
      </c>
      <c r="T3626" s="10">
        <v>92372</v>
      </c>
      <c r="U3626" s="10">
        <v>2574</v>
      </c>
    </row>
    <row r="3627" spans="1:21" x14ac:dyDescent="0.35">
      <c r="A3627" t="s">
        <v>15</v>
      </c>
      <c r="B3627" t="s">
        <v>16</v>
      </c>
      <c r="C3627" t="s">
        <v>21</v>
      </c>
      <c r="D3627">
        <v>158793</v>
      </c>
      <c r="E3627">
        <v>9357</v>
      </c>
      <c r="F3627">
        <v>21503</v>
      </c>
      <c r="G3627">
        <v>-148835</v>
      </c>
      <c r="H3627">
        <v>40818</v>
      </c>
      <c r="I3627">
        <v>41620</v>
      </c>
      <c r="J3627">
        <v>1059</v>
      </c>
      <c r="K3627">
        <v>492087</v>
      </c>
      <c r="L3627">
        <v>65794</v>
      </c>
      <c r="M3627">
        <v>-57075</v>
      </c>
      <c r="N3627">
        <v>131278</v>
      </c>
      <c r="O3627" t="s">
        <v>3645</v>
      </c>
      <c r="P3627" s="9">
        <v>159913</v>
      </c>
      <c r="Q3627" s="9">
        <v>20512</v>
      </c>
      <c r="R3627" s="9">
        <v>180425</v>
      </c>
      <c r="S3627" s="9">
        <v>-42417</v>
      </c>
      <c r="T3627" s="10">
        <v>81017</v>
      </c>
      <c r="U3627" s="10">
        <v>2082</v>
      </c>
    </row>
    <row r="3628" spans="1:21" x14ac:dyDescent="0.35">
      <c r="A3628" t="s">
        <v>15</v>
      </c>
      <c r="B3628" t="s">
        <v>16</v>
      </c>
      <c r="C3628" t="s">
        <v>21</v>
      </c>
      <c r="D3628">
        <v>271837</v>
      </c>
      <c r="E3628">
        <v>18954</v>
      </c>
      <c r="F3628">
        <v>59679</v>
      </c>
      <c r="G3628">
        <v>-250518</v>
      </c>
      <c r="H3628">
        <v>99952</v>
      </c>
      <c r="I3628">
        <v>99107</v>
      </c>
      <c r="J3628">
        <v>1694</v>
      </c>
      <c r="K3628">
        <v>562221</v>
      </c>
      <c r="L3628">
        <v>251674</v>
      </c>
      <c r="M3628">
        <v>-88572</v>
      </c>
      <c r="N3628">
        <v>95046</v>
      </c>
      <c r="O3628" t="s">
        <v>3646</v>
      </c>
      <c r="P3628" s="9">
        <v>249980</v>
      </c>
      <c r="Q3628" s="9">
        <v>37306</v>
      </c>
      <c r="R3628" s="9">
        <v>287286</v>
      </c>
      <c r="S3628" s="9">
        <v>-155369</v>
      </c>
      <c r="T3628" s="10">
        <v>116703</v>
      </c>
      <c r="U3628" s="10">
        <v>1497</v>
      </c>
    </row>
    <row r="3629" spans="1:21" x14ac:dyDescent="0.35">
      <c r="A3629" t="s">
        <v>15</v>
      </c>
      <c r="B3629" t="s">
        <v>16</v>
      </c>
      <c r="C3629" t="s">
        <v>21</v>
      </c>
      <c r="D3629">
        <v>182966</v>
      </c>
      <c r="E3629">
        <v>30601</v>
      </c>
      <c r="F3629">
        <v>35846</v>
      </c>
      <c r="G3629">
        <v>-162856</v>
      </c>
      <c r="H3629">
        <v>86557</v>
      </c>
      <c r="I3629">
        <v>80160</v>
      </c>
      <c r="J3629">
        <v>1648</v>
      </c>
      <c r="K3629">
        <v>714653</v>
      </c>
      <c r="L3629">
        <v>238057</v>
      </c>
      <c r="M3629">
        <v>-218845</v>
      </c>
      <c r="N3629">
        <v>67656</v>
      </c>
      <c r="O3629" t="s">
        <v>3647</v>
      </c>
      <c r="P3629" s="9">
        <v>194515</v>
      </c>
      <c r="Q3629" s="9">
        <v>26554</v>
      </c>
      <c r="R3629" s="9">
        <v>221069</v>
      </c>
      <c r="S3629" s="9">
        <v>-50585</v>
      </c>
      <c r="T3629" s="10">
        <v>106955</v>
      </c>
      <c r="U3629" s="10">
        <v>2080</v>
      </c>
    </row>
    <row r="3630" spans="1:21" x14ac:dyDescent="0.35">
      <c r="A3630" t="s">
        <v>15</v>
      </c>
      <c r="B3630" t="s">
        <v>20</v>
      </c>
      <c r="C3630" t="s">
        <v>21</v>
      </c>
      <c r="D3630">
        <v>188273</v>
      </c>
      <c r="E3630">
        <v>15345</v>
      </c>
      <c r="F3630">
        <v>31476</v>
      </c>
      <c r="G3630">
        <v>-162690</v>
      </c>
      <c r="H3630">
        <v>72404</v>
      </c>
      <c r="I3630">
        <v>74665</v>
      </c>
      <c r="J3630">
        <v>1439</v>
      </c>
      <c r="K3630">
        <v>477985</v>
      </c>
      <c r="L3630">
        <v>184090</v>
      </c>
      <c r="M3630">
        <v>-168136</v>
      </c>
      <c r="N3630">
        <v>159128</v>
      </c>
      <c r="O3630" t="s">
        <v>3648</v>
      </c>
      <c r="P3630" s="9">
        <v>183151</v>
      </c>
      <c r="Q3630" s="9">
        <v>17316</v>
      </c>
      <c r="R3630" s="9">
        <v>200467</v>
      </c>
      <c r="S3630" s="9">
        <v>-110455</v>
      </c>
      <c r="T3630" s="10">
        <v>57459</v>
      </c>
      <c r="U3630" s="10">
        <v>697</v>
      </c>
    </row>
    <row r="3631" spans="1:21" x14ac:dyDescent="0.35">
      <c r="A3631" t="s">
        <v>15</v>
      </c>
      <c r="B3631" t="s">
        <v>16</v>
      </c>
      <c r="C3631" t="s">
        <v>21</v>
      </c>
      <c r="D3631">
        <v>194990</v>
      </c>
      <c r="E3631">
        <v>18048</v>
      </c>
      <c r="F3631">
        <v>48155</v>
      </c>
      <c r="G3631">
        <v>-162747</v>
      </c>
      <c r="H3631">
        <v>98446</v>
      </c>
      <c r="I3631">
        <v>88606</v>
      </c>
      <c r="J3631">
        <v>1497</v>
      </c>
      <c r="K3631">
        <v>496024</v>
      </c>
      <c r="L3631">
        <v>158724</v>
      </c>
      <c r="M3631">
        <v>-187516</v>
      </c>
      <c r="N3631">
        <v>155595</v>
      </c>
      <c r="O3631" t="s">
        <v>3649</v>
      </c>
      <c r="P3631" s="9">
        <v>191278</v>
      </c>
      <c r="Q3631" s="9">
        <v>17333</v>
      </c>
      <c r="R3631" s="9">
        <v>208611</v>
      </c>
      <c r="S3631" s="9">
        <v>-69343</v>
      </c>
      <c r="T3631" s="10">
        <v>42149</v>
      </c>
      <c r="U3631" s="10">
        <v>613</v>
      </c>
    </row>
    <row r="3632" spans="1:21" x14ac:dyDescent="0.35">
      <c r="A3632" t="s">
        <v>15</v>
      </c>
      <c r="B3632" t="s">
        <v>20</v>
      </c>
      <c r="C3632" t="s">
        <v>17</v>
      </c>
      <c r="D3632">
        <v>194027</v>
      </c>
      <c r="E3632">
        <v>14785</v>
      </c>
      <c r="F3632">
        <v>35992</v>
      </c>
      <c r="G3632">
        <v>-184178</v>
      </c>
      <c r="H3632">
        <v>60626</v>
      </c>
      <c r="I3632">
        <v>56768</v>
      </c>
      <c r="J3632">
        <v>996</v>
      </c>
      <c r="K3632">
        <v>513476</v>
      </c>
      <c r="L3632">
        <v>237800</v>
      </c>
      <c r="M3632">
        <v>-201765</v>
      </c>
      <c r="N3632">
        <v>113734</v>
      </c>
      <c r="O3632" t="s">
        <v>3650</v>
      </c>
      <c r="P3632" s="9">
        <v>197918</v>
      </c>
      <c r="Q3632" s="9">
        <v>33100</v>
      </c>
      <c r="R3632" s="9">
        <v>231018</v>
      </c>
      <c r="S3632" s="9">
        <v>-77233</v>
      </c>
      <c r="T3632" s="10">
        <v>102504</v>
      </c>
      <c r="U3632" s="10">
        <v>1853</v>
      </c>
    </row>
    <row r="3633" spans="1:21" x14ac:dyDescent="0.35">
      <c r="A3633" t="s">
        <v>15</v>
      </c>
      <c r="B3633" t="s">
        <v>20</v>
      </c>
      <c r="C3633" t="s">
        <v>21</v>
      </c>
      <c r="D3633">
        <v>213715</v>
      </c>
      <c r="E3633">
        <v>12677</v>
      </c>
      <c r="F3633">
        <v>28014</v>
      </c>
      <c r="G3633">
        <v>-188684</v>
      </c>
      <c r="H3633">
        <v>65722</v>
      </c>
      <c r="I3633">
        <v>68988</v>
      </c>
      <c r="J3633">
        <v>2059</v>
      </c>
      <c r="K3633">
        <v>471305</v>
      </c>
      <c r="L3633">
        <v>138306</v>
      </c>
      <c r="M3633">
        <v>-153139</v>
      </c>
      <c r="N3633">
        <v>173025</v>
      </c>
      <c r="O3633" t="s">
        <v>3651</v>
      </c>
      <c r="P3633" s="9">
        <v>271703</v>
      </c>
      <c r="Q3633" s="9">
        <v>15321</v>
      </c>
      <c r="R3633" s="9">
        <v>287024</v>
      </c>
      <c r="S3633" s="9">
        <v>-62856</v>
      </c>
      <c r="T3633" s="10">
        <v>76616</v>
      </c>
      <c r="U3633" s="10">
        <v>1806</v>
      </c>
    </row>
    <row r="3634" spans="1:21" x14ac:dyDescent="0.35">
      <c r="A3634" t="s">
        <v>15</v>
      </c>
      <c r="B3634" t="s">
        <v>16</v>
      </c>
      <c r="C3634" t="s">
        <v>21</v>
      </c>
      <c r="D3634">
        <v>157687</v>
      </c>
      <c r="E3634">
        <v>28502</v>
      </c>
      <c r="F3634">
        <v>20551</v>
      </c>
      <c r="G3634">
        <v>-152403</v>
      </c>
      <c r="H3634">
        <v>54337</v>
      </c>
      <c r="I3634">
        <v>55521</v>
      </c>
      <c r="J3634">
        <v>1326</v>
      </c>
      <c r="K3634">
        <v>414275</v>
      </c>
      <c r="L3634">
        <v>182600</v>
      </c>
      <c r="M3634">
        <v>-86034</v>
      </c>
      <c r="N3634">
        <v>127226</v>
      </c>
      <c r="O3634" t="s">
        <v>3652</v>
      </c>
      <c r="P3634" s="9">
        <v>252458</v>
      </c>
      <c r="Q3634" s="9">
        <v>50982</v>
      </c>
      <c r="R3634" s="9">
        <v>303440</v>
      </c>
      <c r="S3634" s="9">
        <v>-149554</v>
      </c>
      <c r="T3634" s="10">
        <v>148371</v>
      </c>
      <c r="U3634" s="10">
        <v>3095</v>
      </c>
    </row>
    <row r="3635" spans="1:21" x14ac:dyDescent="0.35">
      <c r="A3635" t="s">
        <v>15</v>
      </c>
      <c r="B3635" t="s">
        <v>16</v>
      </c>
      <c r="C3635" t="s">
        <v>17</v>
      </c>
      <c r="D3635">
        <v>231192</v>
      </c>
      <c r="E3635">
        <v>33988</v>
      </c>
      <c r="F3635">
        <v>56905</v>
      </c>
      <c r="G3635">
        <v>-185885</v>
      </c>
      <c r="H3635">
        <v>136200</v>
      </c>
      <c r="I3635">
        <v>134567</v>
      </c>
      <c r="J3635">
        <v>3044</v>
      </c>
      <c r="K3635">
        <v>647538</v>
      </c>
      <c r="L3635">
        <v>101789</v>
      </c>
      <c r="M3635">
        <v>-87701</v>
      </c>
      <c r="N3635">
        <v>99681</v>
      </c>
      <c r="O3635" t="s">
        <v>3653</v>
      </c>
      <c r="P3635" s="9">
        <v>265904</v>
      </c>
      <c r="Q3635" s="9">
        <v>29991</v>
      </c>
      <c r="R3635" s="9">
        <v>295895</v>
      </c>
      <c r="S3635" s="9">
        <v>-95017</v>
      </c>
      <c r="T3635" s="10">
        <v>129393</v>
      </c>
      <c r="U3635" s="10">
        <v>3433</v>
      </c>
    </row>
    <row r="3636" spans="1:21" x14ac:dyDescent="0.35">
      <c r="A3636" t="s">
        <v>15</v>
      </c>
      <c r="B3636" t="s">
        <v>16</v>
      </c>
      <c r="C3636" t="s">
        <v>21</v>
      </c>
      <c r="D3636">
        <v>272857</v>
      </c>
      <c r="E3636">
        <v>40253</v>
      </c>
      <c r="F3636">
        <v>31584</v>
      </c>
      <c r="G3636">
        <v>-226864</v>
      </c>
      <c r="H3636">
        <v>117830</v>
      </c>
      <c r="I3636">
        <v>121874</v>
      </c>
      <c r="J3636">
        <v>2318</v>
      </c>
      <c r="K3636">
        <v>1065158</v>
      </c>
      <c r="L3636">
        <v>409503</v>
      </c>
      <c r="M3636">
        <v>-160291</v>
      </c>
      <c r="N3636">
        <v>239960</v>
      </c>
      <c r="O3636" t="s">
        <v>3654</v>
      </c>
      <c r="P3636" s="9">
        <v>155337</v>
      </c>
      <c r="Q3636" s="9">
        <v>20115</v>
      </c>
      <c r="R3636" s="9">
        <v>175452</v>
      </c>
      <c r="S3636" s="9">
        <v>-101635</v>
      </c>
      <c r="T3636" s="10">
        <v>51059</v>
      </c>
      <c r="U3636" s="10">
        <v>929</v>
      </c>
    </row>
    <row r="3637" spans="1:21" x14ac:dyDescent="0.35">
      <c r="A3637" t="s">
        <v>15</v>
      </c>
      <c r="B3637" t="s">
        <v>16</v>
      </c>
      <c r="C3637" t="s">
        <v>21</v>
      </c>
      <c r="D3637">
        <v>261623</v>
      </c>
      <c r="E3637">
        <v>46317</v>
      </c>
      <c r="F3637">
        <v>30116</v>
      </c>
      <c r="G3637">
        <v>-220467</v>
      </c>
      <c r="H3637">
        <v>117589</v>
      </c>
      <c r="I3637">
        <v>119924</v>
      </c>
      <c r="J3637">
        <v>2788</v>
      </c>
      <c r="K3637">
        <v>1009020</v>
      </c>
      <c r="L3637">
        <v>156094</v>
      </c>
      <c r="M3637">
        <v>-274296</v>
      </c>
      <c r="N3637">
        <v>222302</v>
      </c>
      <c r="O3637" t="s">
        <v>3655</v>
      </c>
      <c r="P3637" s="9">
        <v>269689</v>
      </c>
      <c r="Q3637" s="9">
        <v>34940</v>
      </c>
      <c r="R3637" s="9">
        <v>304629</v>
      </c>
      <c r="S3637" s="9">
        <v>-141550</v>
      </c>
      <c r="T3637" s="10">
        <v>93237</v>
      </c>
      <c r="U3637" s="10">
        <v>1816</v>
      </c>
    </row>
    <row r="3638" spans="1:21" x14ac:dyDescent="0.35">
      <c r="A3638" t="s">
        <v>15</v>
      </c>
      <c r="B3638" t="s">
        <v>16</v>
      </c>
      <c r="C3638" t="s">
        <v>21</v>
      </c>
      <c r="D3638">
        <v>295983</v>
      </c>
      <c r="E3638">
        <v>25046</v>
      </c>
      <c r="F3638">
        <v>68032</v>
      </c>
      <c r="G3638">
        <v>-295127</v>
      </c>
      <c r="H3638">
        <v>93934</v>
      </c>
      <c r="I3638">
        <v>89949</v>
      </c>
      <c r="J3638">
        <v>1022</v>
      </c>
      <c r="K3638">
        <v>856561</v>
      </c>
      <c r="L3638">
        <v>360240</v>
      </c>
      <c r="M3638">
        <v>-123932</v>
      </c>
      <c r="N3638">
        <v>187929</v>
      </c>
      <c r="O3638" t="s">
        <v>3656</v>
      </c>
      <c r="P3638" s="9">
        <v>230295</v>
      </c>
      <c r="Q3638" s="9">
        <v>32248</v>
      </c>
      <c r="R3638" s="9">
        <v>262543</v>
      </c>
      <c r="S3638" s="9">
        <v>-151497</v>
      </c>
      <c r="T3638" s="10">
        <v>97033</v>
      </c>
      <c r="U3638" s="10">
        <v>1714</v>
      </c>
    </row>
    <row r="3639" spans="1:21" x14ac:dyDescent="0.35">
      <c r="A3639" t="s">
        <v>15</v>
      </c>
      <c r="B3639" t="s">
        <v>16</v>
      </c>
      <c r="C3639" t="s">
        <v>21</v>
      </c>
      <c r="D3639">
        <v>287911</v>
      </c>
      <c r="E3639">
        <v>42938</v>
      </c>
      <c r="F3639">
        <v>54385</v>
      </c>
      <c r="G3639">
        <v>-251603</v>
      </c>
      <c r="H3639">
        <v>133631</v>
      </c>
      <c r="I3639">
        <v>140129</v>
      </c>
      <c r="J3639">
        <v>1687</v>
      </c>
      <c r="K3639">
        <v>836910</v>
      </c>
      <c r="L3639">
        <v>268539</v>
      </c>
      <c r="M3639">
        <v>-128043</v>
      </c>
      <c r="N3639">
        <v>225439</v>
      </c>
      <c r="O3639" t="s">
        <v>3657</v>
      </c>
      <c r="P3639" s="9">
        <v>264072</v>
      </c>
      <c r="Q3639" s="9">
        <v>27148</v>
      </c>
      <c r="R3639" s="9">
        <v>291220</v>
      </c>
      <c r="S3639" s="9">
        <v>-108283</v>
      </c>
      <c r="T3639" s="10">
        <v>85100</v>
      </c>
      <c r="U3639" s="10">
        <v>1951</v>
      </c>
    </row>
    <row r="3640" spans="1:21" x14ac:dyDescent="0.35">
      <c r="A3640" t="s">
        <v>15</v>
      </c>
      <c r="B3640" t="s">
        <v>16</v>
      </c>
      <c r="C3640" t="s">
        <v>21</v>
      </c>
      <c r="D3640">
        <v>278692</v>
      </c>
      <c r="E3640">
        <v>26528</v>
      </c>
      <c r="F3640">
        <v>42890</v>
      </c>
      <c r="G3640">
        <v>-249808</v>
      </c>
      <c r="H3640">
        <v>98302</v>
      </c>
      <c r="I3640">
        <v>91453</v>
      </c>
      <c r="J3640">
        <v>1094</v>
      </c>
      <c r="K3640">
        <v>931449</v>
      </c>
      <c r="L3640">
        <v>346909</v>
      </c>
      <c r="M3640">
        <v>-197613</v>
      </c>
      <c r="N3640">
        <v>217728</v>
      </c>
      <c r="O3640" t="s">
        <v>3658</v>
      </c>
      <c r="P3640" s="9">
        <v>209368</v>
      </c>
      <c r="Q3640" s="9">
        <v>18682</v>
      </c>
      <c r="R3640" s="9">
        <v>228050</v>
      </c>
      <c r="S3640" s="9">
        <v>-71774</v>
      </c>
      <c r="T3640" s="10">
        <v>110048</v>
      </c>
      <c r="U3640" s="10">
        <v>2902</v>
      </c>
    </row>
    <row r="3641" spans="1:21" x14ac:dyDescent="0.35">
      <c r="A3641" t="s">
        <v>15</v>
      </c>
      <c r="B3641" t="s">
        <v>16</v>
      </c>
      <c r="C3641" t="s">
        <v>21</v>
      </c>
      <c r="D3641">
        <v>269305</v>
      </c>
      <c r="E3641">
        <v>34692</v>
      </c>
      <c r="F3641">
        <v>54891</v>
      </c>
      <c r="G3641">
        <v>-241949</v>
      </c>
      <c r="H3641">
        <v>116939</v>
      </c>
      <c r="I3641">
        <v>110410</v>
      </c>
      <c r="J3641">
        <v>1313</v>
      </c>
      <c r="K3641">
        <v>605268</v>
      </c>
      <c r="L3641">
        <v>141692</v>
      </c>
      <c r="M3641">
        <v>-184424</v>
      </c>
      <c r="N3641">
        <v>90955</v>
      </c>
      <c r="O3641" t="s">
        <v>3659</v>
      </c>
      <c r="P3641" s="9">
        <v>255831</v>
      </c>
      <c r="Q3641" s="9">
        <v>45106</v>
      </c>
      <c r="R3641" s="9">
        <v>300937</v>
      </c>
      <c r="S3641" s="9">
        <v>-147640</v>
      </c>
      <c r="T3641" s="10">
        <v>137193</v>
      </c>
      <c r="U3641" s="10">
        <v>2081</v>
      </c>
    </row>
    <row r="3642" spans="1:21" x14ac:dyDescent="0.35">
      <c r="A3642" t="s">
        <v>15</v>
      </c>
      <c r="B3642" t="s">
        <v>16</v>
      </c>
      <c r="C3642" t="s">
        <v>21</v>
      </c>
      <c r="D3642">
        <v>238464</v>
      </c>
      <c r="E3642">
        <v>31827</v>
      </c>
      <c r="F3642">
        <v>56142</v>
      </c>
      <c r="G3642">
        <v>-237036</v>
      </c>
      <c r="H3642">
        <v>89397</v>
      </c>
      <c r="I3642">
        <v>91590</v>
      </c>
      <c r="J3642">
        <v>1348</v>
      </c>
      <c r="K3642">
        <v>519212</v>
      </c>
      <c r="L3642">
        <v>234013</v>
      </c>
      <c r="M3642">
        <v>-126248</v>
      </c>
      <c r="N3642">
        <v>100849</v>
      </c>
      <c r="O3642" t="s">
        <v>3660</v>
      </c>
      <c r="P3642" s="9">
        <v>273199</v>
      </c>
      <c r="Q3642" s="9">
        <v>47318</v>
      </c>
      <c r="R3642" s="9">
        <v>320517</v>
      </c>
      <c r="S3642" s="9">
        <v>-178569</v>
      </c>
      <c r="T3642" s="10">
        <v>105847</v>
      </c>
      <c r="U3642" s="10">
        <v>1916</v>
      </c>
    </row>
    <row r="3643" spans="1:21" x14ac:dyDescent="0.35">
      <c r="A3643" t="s">
        <v>15</v>
      </c>
      <c r="B3643" t="s">
        <v>16</v>
      </c>
      <c r="C3643" t="s">
        <v>17</v>
      </c>
      <c r="D3643">
        <v>171404</v>
      </c>
      <c r="E3643">
        <v>29187</v>
      </c>
      <c r="F3643">
        <v>30671</v>
      </c>
      <c r="G3643">
        <v>-143272</v>
      </c>
      <c r="H3643">
        <v>87990</v>
      </c>
      <c r="I3643">
        <v>79573</v>
      </c>
      <c r="J3643">
        <v>1575</v>
      </c>
      <c r="K3643">
        <v>621530</v>
      </c>
      <c r="L3643">
        <v>84498</v>
      </c>
      <c r="M3643">
        <v>-168727</v>
      </c>
      <c r="N3643">
        <v>73227</v>
      </c>
      <c r="O3643" t="s">
        <v>3661</v>
      </c>
      <c r="P3643" s="9">
        <v>238793</v>
      </c>
      <c r="Q3643" s="9">
        <v>25314</v>
      </c>
      <c r="R3643" s="9">
        <v>264107</v>
      </c>
      <c r="S3643" s="9">
        <v>-62894</v>
      </c>
      <c r="T3643" s="10">
        <v>84532</v>
      </c>
      <c r="U3643" s="10">
        <v>1891</v>
      </c>
    </row>
    <row r="3644" spans="1:21" x14ac:dyDescent="0.35">
      <c r="A3644" t="s">
        <v>15</v>
      </c>
      <c r="B3644" t="s">
        <v>16</v>
      </c>
      <c r="C3644" t="s">
        <v>17</v>
      </c>
      <c r="D3644">
        <v>264376</v>
      </c>
      <c r="E3644">
        <v>43553</v>
      </c>
      <c r="F3644">
        <v>38274</v>
      </c>
      <c r="G3644">
        <v>-235843</v>
      </c>
      <c r="H3644">
        <v>110360</v>
      </c>
      <c r="I3644">
        <v>102005</v>
      </c>
      <c r="J3644">
        <v>1558</v>
      </c>
      <c r="K3644">
        <v>844436</v>
      </c>
      <c r="L3644">
        <v>329776</v>
      </c>
      <c r="M3644">
        <v>-308710</v>
      </c>
      <c r="N3644">
        <v>209027</v>
      </c>
      <c r="O3644" t="s">
        <v>3662</v>
      </c>
      <c r="P3644" s="9">
        <v>247371</v>
      </c>
      <c r="Q3644" s="9">
        <v>40917</v>
      </c>
      <c r="R3644" s="9">
        <v>288288</v>
      </c>
      <c r="S3644" s="9">
        <v>-157557</v>
      </c>
      <c r="T3644" s="10">
        <v>115221</v>
      </c>
      <c r="U3644" s="10">
        <v>1465</v>
      </c>
    </row>
    <row r="3645" spans="1:21" x14ac:dyDescent="0.35">
      <c r="A3645" t="s">
        <v>15</v>
      </c>
      <c r="B3645" t="s">
        <v>20</v>
      </c>
      <c r="C3645" t="s">
        <v>21</v>
      </c>
      <c r="D3645">
        <v>204473</v>
      </c>
      <c r="E3645">
        <v>16882</v>
      </c>
      <c r="F3645">
        <v>31665</v>
      </c>
      <c r="G3645">
        <v>-180447</v>
      </c>
      <c r="H3645">
        <v>72573</v>
      </c>
      <c r="I3645">
        <v>66867</v>
      </c>
      <c r="J3645">
        <v>699</v>
      </c>
      <c r="K3645">
        <v>644231</v>
      </c>
      <c r="L3645">
        <v>195294</v>
      </c>
      <c r="M3645">
        <v>-190039</v>
      </c>
      <c r="N3645">
        <v>73839</v>
      </c>
      <c r="O3645" t="s">
        <v>3663</v>
      </c>
      <c r="P3645" s="9">
        <v>221716</v>
      </c>
      <c r="Q3645" s="9">
        <v>10378</v>
      </c>
      <c r="R3645" s="9">
        <v>232094</v>
      </c>
      <c r="S3645" s="9">
        <v>-109005</v>
      </c>
      <c r="T3645" s="10">
        <v>54601</v>
      </c>
      <c r="U3645" s="10">
        <v>703</v>
      </c>
    </row>
    <row r="3646" spans="1:21" x14ac:dyDescent="0.35">
      <c r="A3646" t="s">
        <v>15</v>
      </c>
      <c r="B3646" t="s">
        <v>20</v>
      </c>
      <c r="C3646" t="s">
        <v>21</v>
      </c>
      <c r="D3646">
        <v>280179</v>
      </c>
      <c r="E3646">
        <v>16309</v>
      </c>
      <c r="F3646">
        <v>49808</v>
      </c>
      <c r="G3646">
        <v>-235778</v>
      </c>
      <c r="H3646">
        <v>110518</v>
      </c>
      <c r="I3646">
        <v>113079</v>
      </c>
      <c r="J3646">
        <v>3017</v>
      </c>
      <c r="K3646">
        <v>587684</v>
      </c>
      <c r="L3646">
        <v>137237</v>
      </c>
      <c r="M3646">
        <v>-133345</v>
      </c>
      <c r="N3646">
        <v>200050</v>
      </c>
      <c r="O3646" t="s">
        <v>3664</v>
      </c>
      <c r="P3646" s="9">
        <v>312587</v>
      </c>
      <c r="Q3646" s="9">
        <v>48953</v>
      </c>
      <c r="R3646" s="9">
        <v>361540</v>
      </c>
      <c r="S3646" s="9">
        <v>-151912</v>
      </c>
      <c r="T3646" s="10">
        <v>127942</v>
      </c>
      <c r="U3646" s="10">
        <v>1396</v>
      </c>
    </row>
    <row r="3647" spans="1:21" x14ac:dyDescent="0.35">
      <c r="A3647" t="s">
        <v>15</v>
      </c>
      <c r="B3647" t="s">
        <v>20</v>
      </c>
      <c r="C3647" t="s">
        <v>17</v>
      </c>
      <c r="D3647">
        <v>159517</v>
      </c>
      <c r="E3647">
        <v>10478</v>
      </c>
      <c r="F3647">
        <v>17901</v>
      </c>
      <c r="G3647">
        <v>-153070</v>
      </c>
      <c r="H3647">
        <v>34826</v>
      </c>
      <c r="I3647">
        <v>32367</v>
      </c>
      <c r="J3647">
        <v>726</v>
      </c>
      <c r="K3647">
        <v>448048</v>
      </c>
      <c r="L3647">
        <v>186855</v>
      </c>
      <c r="M3647">
        <v>-168408</v>
      </c>
      <c r="N3647">
        <v>119103</v>
      </c>
      <c r="O3647" t="s">
        <v>3665</v>
      </c>
      <c r="P3647" s="9">
        <v>179496</v>
      </c>
      <c r="Q3647" s="9">
        <v>33025</v>
      </c>
      <c r="R3647" s="9">
        <v>212521</v>
      </c>
      <c r="S3647" s="9">
        <v>-58299</v>
      </c>
      <c r="T3647" s="10">
        <v>104921</v>
      </c>
      <c r="U3647" s="10">
        <v>2683</v>
      </c>
    </row>
    <row r="3648" spans="1:21" x14ac:dyDescent="0.35">
      <c r="A3648" t="s">
        <v>15</v>
      </c>
      <c r="B3648" t="s">
        <v>20</v>
      </c>
      <c r="C3648" t="s">
        <v>21</v>
      </c>
      <c r="D3648">
        <v>205354</v>
      </c>
      <c r="E3648">
        <v>11652</v>
      </c>
      <c r="F3648">
        <v>39660</v>
      </c>
      <c r="G3648">
        <v>-168999</v>
      </c>
      <c r="H3648">
        <v>87667</v>
      </c>
      <c r="I3648">
        <v>83256</v>
      </c>
      <c r="J3648">
        <v>1340</v>
      </c>
      <c r="K3648">
        <v>770406</v>
      </c>
      <c r="L3648">
        <v>135890</v>
      </c>
      <c r="M3648">
        <v>-237385</v>
      </c>
      <c r="N3648">
        <v>114590</v>
      </c>
      <c r="O3648" t="s">
        <v>3666</v>
      </c>
      <c r="P3648" s="9">
        <v>282302</v>
      </c>
      <c r="Q3648" s="9">
        <v>37559</v>
      </c>
      <c r="R3648" s="9">
        <v>319861</v>
      </c>
      <c r="S3648" s="9">
        <v>-95476</v>
      </c>
      <c r="T3648" s="10">
        <v>87769</v>
      </c>
      <c r="U3648" s="10">
        <v>939</v>
      </c>
    </row>
    <row r="3649" spans="1:21" x14ac:dyDescent="0.35">
      <c r="A3649" t="s">
        <v>15</v>
      </c>
      <c r="B3649" t="s">
        <v>20</v>
      </c>
      <c r="C3649" t="s">
        <v>17</v>
      </c>
      <c r="D3649">
        <v>273627</v>
      </c>
      <c r="E3649">
        <v>42516</v>
      </c>
      <c r="F3649">
        <v>46932</v>
      </c>
      <c r="G3649">
        <v>-266144</v>
      </c>
      <c r="H3649">
        <v>96931</v>
      </c>
      <c r="I3649">
        <v>95468</v>
      </c>
      <c r="J3649">
        <v>2092</v>
      </c>
      <c r="K3649">
        <v>551257</v>
      </c>
      <c r="L3649">
        <v>80819</v>
      </c>
      <c r="M3649">
        <v>-197012</v>
      </c>
      <c r="N3649">
        <v>239887</v>
      </c>
      <c r="O3649" t="s">
        <v>3667</v>
      </c>
      <c r="P3649" s="9">
        <v>178878</v>
      </c>
      <c r="Q3649" s="9">
        <v>34347</v>
      </c>
      <c r="R3649" s="9">
        <v>213225</v>
      </c>
      <c r="S3649" s="9">
        <v>-85744</v>
      </c>
      <c r="T3649" s="10">
        <v>83389</v>
      </c>
      <c r="U3649" s="10">
        <v>1145</v>
      </c>
    </row>
    <row r="3650" spans="1:21" x14ac:dyDescent="0.35">
      <c r="A3650" t="s">
        <v>15</v>
      </c>
      <c r="B3650" t="s">
        <v>20</v>
      </c>
      <c r="C3650" t="s">
        <v>21</v>
      </c>
      <c r="D3650">
        <v>258609</v>
      </c>
      <c r="E3650">
        <v>44381</v>
      </c>
      <c r="F3650">
        <v>36466</v>
      </c>
      <c r="G3650">
        <v>-208732</v>
      </c>
      <c r="H3650">
        <v>130724</v>
      </c>
      <c r="I3650">
        <v>120751</v>
      </c>
      <c r="J3650">
        <v>1277</v>
      </c>
      <c r="K3650">
        <v>831895</v>
      </c>
      <c r="L3650">
        <v>227366</v>
      </c>
      <c r="M3650">
        <v>-84054</v>
      </c>
      <c r="N3650">
        <v>136593</v>
      </c>
      <c r="O3650" t="s">
        <v>3668</v>
      </c>
      <c r="P3650" s="9">
        <v>159715</v>
      </c>
      <c r="Q3650" s="9">
        <v>11973</v>
      </c>
      <c r="R3650" s="9">
        <v>171688</v>
      </c>
      <c r="S3650" s="9">
        <v>-85048</v>
      </c>
      <c r="T3650" s="10">
        <v>53221</v>
      </c>
      <c r="U3650" s="10">
        <v>1125</v>
      </c>
    </row>
    <row r="3651" spans="1:21" x14ac:dyDescent="0.35">
      <c r="A3651" t="s">
        <v>15</v>
      </c>
      <c r="B3651" t="s">
        <v>16</v>
      </c>
      <c r="C3651" t="s">
        <v>21</v>
      </c>
      <c r="D3651">
        <v>241865</v>
      </c>
      <c r="E3651">
        <v>17105</v>
      </c>
      <c r="F3651">
        <v>36423</v>
      </c>
      <c r="G3651">
        <v>-199066</v>
      </c>
      <c r="H3651">
        <v>96327</v>
      </c>
      <c r="I3651">
        <v>100746</v>
      </c>
      <c r="J3651">
        <v>2132</v>
      </c>
      <c r="K3651">
        <v>670722</v>
      </c>
      <c r="L3651">
        <v>101182</v>
      </c>
      <c r="M3651">
        <v>-110582</v>
      </c>
      <c r="N3651">
        <v>187758</v>
      </c>
      <c r="O3651" t="s">
        <v>3669</v>
      </c>
      <c r="P3651" s="9">
        <v>167223</v>
      </c>
      <c r="Q3651" s="9">
        <v>28802</v>
      </c>
      <c r="R3651" s="9">
        <v>196025</v>
      </c>
      <c r="S3651" s="9">
        <v>-90589</v>
      </c>
      <c r="T3651" s="10">
        <v>91863</v>
      </c>
      <c r="U3651" s="10">
        <v>1643</v>
      </c>
    </row>
    <row r="3652" spans="1:21" x14ac:dyDescent="0.35">
      <c r="A3652" t="s">
        <v>15</v>
      </c>
      <c r="B3652" t="s">
        <v>20</v>
      </c>
      <c r="C3652" t="s">
        <v>17</v>
      </c>
      <c r="D3652">
        <v>215535</v>
      </c>
      <c r="E3652">
        <v>16712</v>
      </c>
      <c r="F3652">
        <v>46020</v>
      </c>
      <c r="G3652">
        <v>-209030</v>
      </c>
      <c r="H3652">
        <v>69237</v>
      </c>
      <c r="I3652">
        <v>66021</v>
      </c>
      <c r="J3652">
        <v>683</v>
      </c>
      <c r="K3652">
        <v>683045</v>
      </c>
      <c r="L3652">
        <v>101122</v>
      </c>
      <c r="M3652">
        <v>-244360</v>
      </c>
      <c r="N3652">
        <v>131154</v>
      </c>
      <c r="O3652" t="s">
        <v>3670</v>
      </c>
      <c r="P3652" s="9">
        <v>149656</v>
      </c>
      <c r="Q3652" s="9">
        <v>30573</v>
      </c>
      <c r="R3652" s="9">
        <v>180229</v>
      </c>
      <c r="S3652" s="9">
        <v>-63612</v>
      </c>
      <c r="T3652" s="10">
        <v>83116</v>
      </c>
      <c r="U3652" s="10">
        <v>1458</v>
      </c>
    </row>
    <row r="3653" spans="1:21" x14ac:dyDescent="0.35">
      <c r="A3653" t="s">
        <v>15</v>
      </c>
      <c r="B3653" t="s">
        <v>20</v>
      </c>
      <c r="C3653" t="s">
        <v>21</v>
      </c>
      <c r="D3653">
        <v>163703</v>
      </c>
      <c r="E3653">
        <v>11969</v>
      </c>
      <c r="F3653">
        <v>29568</v>
      </c>
      <c r="G3653">
        <v>-151525</v>
      </c>
      <c r="H3653">
        <v>53715</v>
      </c>
      <c r="I3653">
        <v>51036</v>
      </c>
      <c r="J3653">
        <v>1323</v>
      </c>
      <c r="K3653">
        <v>642791</v>
      </c>
      <c r="L3653">
        <v>245941</v>
      </c>
      <c r="M3653">
        <v>-160499</v>
      </c>
      <c r="N3653">
        <v>118827</v>
      </c>
      <c r="O3653" t="s">
        <v>3671</v>
      </c>
      <c r="P3653" s="9">
        <v>204061</v>
      </c>
      <c r="Q3653" s="9">
        <v>28209</v>
      </c>
      <c r="R3653" s="9">
        <v>232270</v>
      </c>
      <c r="S3653" s="9">
        <v>-48584</v>
      </c>
      <c r="T3653" s="10">
        <v>77399</v>
      </c>
      <c r="U3653" s="10">
        <v>2049</v>
      </c>
    </row>
    <row r="3654" spans="1:21" x14ac:dyDescent="0.35">
      <c r="A3654" t="s">
        <v>15</v>
      </c>
      <c r="B3654" t="s">
        <v>16</v>
      </c>
      <c r="C3654" t="s">
        <v>17</v>
      </c>
      <c r="D3654">
        <v>159890</v>
      </c>
      <c r="E3654">
        <v>22073</v>
      </c>
      <c r="F3654">
        <v>19577</v>
      </c>
      <c r="G3654">
        <v>-159103</v>
      </c>
      <c r="H3654">
        <v>42437</v>
      </c>
      <c r="I3654">
        <v>41028</v>
      </c>
      <c r="J3654">
        <v>998</v>
      </c>
      <c r="K3654">
        <v>469372</v>
      </c>
      <c r="L3654">
        <v>181045</v>
      </c>
      <c r="M3654">
        <v>-161592</v>
      </c>
      <c r="N3654">
        <v>69054</v>
      </c>
      <c r="O3654" t="s">
        <v>3672</v>
      </c>
      <c r="P3654" s="9">
        <v>154082</v>
      </c>
      <c r="Q3654" s="9">
        <v>24088</v>
      </c>
      <c r="R3654" s="9">
        <v>178170</v>
      </c>
      <c r="S3654" s="9">
        <v>-97907</v>
      </c>
      <c r="T3654" s="10">
        <v>88314</v>
      </c>
      <c r="U3654" s="10">
        <v>2568</v>
      </c>
    </row>
    <row r="3655" spans="1:21" x14ac:dyDescent="0.35">
      <c r="A3655" t="s">
        <v>15</v>
      </c>
      <c r="B3655" t="s">
        <v>16</v>
      </c>
      <c r="C3655" t="s">
        <v>21</v>
      </c>
      <c r="D3655">
        <v>270621</v>
      </c>
      <c r="E3655">
        <v>29729</v>
      </c>
      <c r="F3655">
        <v>55892</v>
      </c>
      <c r="G3655">
        <v>-239764</v>
      </c>
      <c r="H3655">
        <v>116478</v>
      </c>
      <c r="I3655">
        <v>117618</v>
      </c>
      <c r="J3655">
        <v>3462</v>
      </c>
      <c r="K3655">
        <v>928844</v>
      </c>
      <c r="L3655">
        <v>294549</v>
      </c>
      <c r="M3655">
        <v>-274307</v>
      </c>
      <c r="N3655">
        <v>240746</v>
      </c>
      <c r="O3655" t="s">
        <v>3673</v>
      </c>
      <c r="P3655" s="9">
        <v>273632</v>
      </c>
      <c r="Q3655" s="9">
        <v>42693</v>
      </c>
      <c r="R3655" s="9">
        <v>316325</v>
      </c>
      <c r="S3655" s="9">
        <v>-99194</v>
      </c>
      <c r="T3655" s="10">
        <v>101041</v>
      </c>
      <c r="U3655" s="10">
        <v>2360</v>
      </c>
    </row>
    <row r="3656" spans="1:21" x14ac:dyDescent="0.35">
      <c r="A3656" t="s">
        <v>15</v>
      </c>
      <c r="B3656" t="s">
        <v>20</v>
      </c>
      <c r="C3656" t="s">
        <v>21</v>
      </c>
      <c r="D3656">
        <v>224486</v>
      </c>
      <c r="E3656">
        <v>32128</v>
      </c>
      <c r="F3656">
        <v>47853</v>
      </c>
      <c r="G3656">
        <v>-210538</v>
      </c>
      <c r="H3656">
        <v>93929</v>
      </c>
      <c r="I3656">
        <v>92207</v>
      </c>
      <c r="J3656">
        <v>1578</v>
      </c>
      <c r="K3656">
        <v>536425</v>
      </c>
      <c r="L3656">
        <v>102009</v>
      </c>
      <c r="M3656">
        <v>-94171</v>
      </c>
      <c r="N3656">
        <v>87139</v>
      </c>
      <c r="O3656" t="s">
        <v>3674</v>
      </c>
      <c r="P3656" s="9">
        <v>176970</v>
      </c>
      <c r="Q3656" s="9">
        <v>30564</v>
      </c>
      <c r="R3656" s="9">
        <v>207534</v>
      </c>
      <c r="S3656" s="9">
        <v>-44415</v>
      </c>
      <c r="T3656" s="10">
        <v>87971</v>
      </c>
      <c r="U3656" s="10">
        <v>2607</v>
      </c>
    </row>
    <row r="3657" spans="1:21" x14ac:dyDescent="0.35">
      <c r="A3657" t="s">
        <v>15</v>
      </c>
      <c r="B3657" t="s">
        <v>20</v>
      </c>
      <c r="C3657" t="s">
        <v>21</v>
      </c>
      <c r="D3657">
        <v>242900</v>
      </c>
      <c r="E3657">
        <v>26056</v>
      </c>
      <c r="F3657">
        <v>51411</v>
      </c>
      <c r="G3657">
        <v>-232806</v>
      </c>
      <c r="H3657">
        <v>87561</v>
      </c>
      <c r="I3657">
        <v>87402</v>
      </c>
      <c r="J3657">
        <v>1849</v>
      </c>
      <c r="K3657">
        <v>718853</v>
      </c>
      <c r="L3657">
        <v>327786</v>
      </c>
      <c r="M3657">
        <v>-140066</v>
      </c>
      <c r="N3657">
        <v>100053</v>
      </c>
      <c r="O3657" t="s">
        <v>3675</v>
      </c>
      <c r="P3657" s="9">
        <v>163966</v>
      </c>
      <c r="Q3657" s="9">
        <v>22657</v>
      </c>
      <c r="R3657" s="9">
        <v>186623</v>
      </c>
      <c r="S3657" s="9">
        <v>-71841</v>
      </c>
      <c r="T3657" s="10">
        <v>43131</v>
      </c>
      <c r="U3657" s="10">
        <v>1154</v>
      </c>
    </row>
    <row r="3658" spans="1:21" x14ac:dyDescent="0.35">
      <c r="A3658" t="s">
        <v>15</v>
      </c>
      <c r="B3658" t="s">
        <v>20</v>
      </c>
      <c r="C3658" t="s">
        <v>21</v>
      </c>
      <c r="D3658">
        <v>292245</v>
      </c>
      <c r="E3658">
        <v>56744</v>
      </c>
      <c r="F3658">
        <v>51739</v>
      </c>
      <c r="G3658">
        <v>-255016</v>
      </c>
      <c r="H3658">
        <v>145712</v>
      </c>
      <c r="I3658">
        <v>141816</v>
      </c>
      <c r="J3658">
        <v>2533</v>
      </c>
      <c r="K3658">
        <v>1018154</v>
      </c>
      <c r="L3658">
        <v>432659</v>
      </c>
      <c r="M3658">
        <v>-263130</v>
      </c>
      <c r="N3658">
        <v>215436</v>
      </c>
      <c r="O3658" t="s">
        <v>3676</v>
      </c>
      <c r="P3658" s="9">
        <v>303730</v>
      </c>
      <c r="Q3658" s="9">
        <v>30459</v>
      </c>
      <c r="R3658" s="9">
        <v>334189</v>
      </c>
      <c r="S3658" s="9">
        <v>-192212</v>
      </c>
      <c r="T3658" s="10">
        <v>124853</v>
      </c>
      <c r="U3658" s="10">
        <v>2522</v>
      </c>
    </row>
    <row r="3659" spans="1:21" x14ac:dyDescent="0.35">
      <c r="A3659" t="s">
        <v>15</v>
      </c>
      <c r="B3659" t="s">
        <v>16</v>
      </c>
      <c r="C3659" t="s">
        <v>21</v>
      </c>
      <c r="D3659">
        <v>267917</v>
      </c>
      <c r="E3659">
        <v>26178</v>
      </c>
      <c r="F3659">
        <v>57786</v>
      </c>
      <c r="G3659">
        <v>-251915</v>
      </c>
      <c r="H3659">
        <v>99966</v>
      </c>
      <c r="I3659">
        <v>92433</v>
      </c>
      <c r="J3659">
        <v>2126</v>
      </c>
      <c r="K3659">
        <v>1066436</v>
      </c>
      <c r="L3659">
        <v>325933</v>
      </c>
      <c r="M3659">
        <v>-388080</v>
      </c>
      <c r="N3659">
        <v>152086</v>
      </c>
      <c r="O3659" t="s">
        <v>3677</v>
      </c>
      <c r="P3659" s="9">
        <v>239455</v>
      </c>
      <c r="Q3659" s="9">
        <v>47087</v>
      </c>
      <c r="R3659" s="9">
        <v>286542</v>
      </c>
      <c r="S3659" s="9">
        <v>-152729</v>
      </c>
      <c r="T3659" s="10">
        <v>138620</v>
      </c>
      <c r="U3659" s="10">
        <v>3098</v>
      </c>
    </row>
    <row r="3660" spans="1:21" x14ac:dyDescent="0.35">
      <c r="A3660" t="s">
        <v>15</v>
      </c>
      <c r="B3660" t="s">
        <v>20</v>
      </c>
      <c r="C3660" t="s">
        <v>21</v>
      </c>
      <c r="D3660">
        <v>160262</v>
      </c>
      <c r="E3660">
        <v>29696</v>
      </c>
      <c r="F3660">
        <v>27894</v>
      </c>
      <c r="G3660">
        <v>-139359</v>
      </c>
      <c r="H3660">
        <v>78493</v>
      </c>
      <c r="I3660">
        <v>72488</v>
      </c>
      <c r="J3660">
        <v>1006</v>
      </c>
      <c r="K3660">
        <v>579594</v>
      </c>
      <c r="L3660">
        <v>266923</v>
      </c>
      <c r="M3660">
        <v>-202533</v>
      </c>
      <c r="N3660">
        <v>92417</v>
      </c>
      <c r="O3660" t="s">
        <v>3678</v>
      </c>
      <c r="P3660" s="9">
        <v>262445</v>
      </c>
      <c r="Q3660" s="9">
        <v>18883</v>
      </c>
      <c r="R3660" s="9">
        <v>281328</v>
      </c>
      <c r="S3660" s="9">
        <v>-130435</v>
      </c>
      <c r="T3660" s="10">
        <v>62446</v>
      </c>
      <c r="U3660" s="10">
        <v>993</v>
      </c>
    </row>
    <row r="3661" spans="1:21" x14ac:dyDescent="0.35">
      <c r="A3661" t="s">
        <v>15</v>
      </c>
      <c r="B3661" t="s">
        <v>16</v>
      </c>
      <c r="C3661" t="s">
        <v>21</v>
      </c>
      <c r="D3661">
        <v>271367</v>
      </c>
      <c r="E3661">
        <v>44436</v>
      </c>
      <c r="F3661">
        <v>55367</v>
      </c>
      <c r="G3661">
        <v>-256606</v>
      </c>
      <c r="H3661">
        <v>114564</v>
      </c>
      <c r="I3661">
        <v>111946</v>
      </c>
      <c r="J3661">
        <v>2754</v>
      </c>
      <c r="K3661">
        <v>1012989</v>
      </c>
      <c r="L3661">
        <v>307660</v>
      </c>
      <c r="M3661">
        <v>-159942</v>
      </c>
      <c r="N3661">
        <v>151545</v>
      </c>
      <c r="O3661" t="s">
        <v>3679</v>
      </c>
      <c r="P3661" s="9">
        <v>182879</v>
      </c>
      <c r="Q3661" s="9">
        <v>29136</v>
      </c>
      <c r="R3661" s="9">
        <v>212015</v>
      </c>
      <c r="S3661" s="9">
        <v>-101522</v>
      </c>
      <c r="T3661" s="10">
        <v>86316</v>
      </c>
      <c r="U3661" s="10">
        <v>1250</v>
      </c>
    </row>
    <row r="3662" spans="1:21" x14ac:dyDescent="0.35">
      <c r="A3662" t="s">
        <v>15</v>
      </c>
      <c r="B3662" t="s">
        <v>16</v>
      </c>
      <c r="C3662" t="s">
        <v>21</v>
      </c>
      <c r="D3662">
        <v>282569</v>
      </c>
      <c r="E3662">
        <v>32590</v>
      </c>
      <c r="F3662">
        <v>32858</v>
      </c>
      <c r="G3662">
        <v>-280512</v>
      </c>
      <c r="H3662">
        <v>67505</v>
      </c>
      <c r="I3662">
        <v>63912</v>
      </c>
      <c r="J3662">
        <v>735</v>
      </c>
      <c r="K3662">
        <v>674689</v>
      </c>
      <c r="L3662">
        <v>69692</v>
      </c>
      <c r="M3662">
        <v>-92930</v>
      </c>
      <c r="N3662">
        <v>106450</v>
      </c>
      <c r="O3662" t="s">
        <v>3680</v>
      </c>
      <c r="P3662" s="9">
        <v>257875</v>
      </c>
      <c r="Q3662" s="9">
        <v>31145</v>
      </c>
      <c r="R3662" s="9">
        <v>289020</v>
      </c>
      <c r="S3662" s="9">
        <v>-161872</v>
      </c>
      <c r="T3662" s="10">
        <v>100273</v>
      </c>
      <c r="U3662" s="10">
        <v>1261</v>
      </c>
    </row>
    <row r="3663" spans="1:21" x14ac:dyDescent="0.35">
      <c r="A3663" t="s">
        <v>15</v>
      </c>
      <c r="B3663" t="s">
        <v>20</v>
      </c>
      <c r="C3663" t="s">
        <v>21</v>
      </c>
      <c r="D3663">
        <v>178107</v>
      </c>
      <c r="E3663">
        <v>27039</v>
      </c>
      <c r="F3663">
        <v>38639</v>
      </c>
      <c r="G3663">
        <v>-155418</v>
      </c>
      <c r="H3663">
        <v>88367</v>
      </c>
      <c r="I3663">
        <v>84302</v>
      </c>
      <c r="J3663">
        <v>1836</v>
      </c>
      <c r="K3663">
        <v>677381</v>
      </c>
      <c r="L3663">
        <v>198257</v>
      </c>
      <c r="M3663">
        <v>-183326</v>
      </c>
      <c r="N3663">
        <v>125573</v>
      </c>
      <c r="O3663" t="s">
        <v>3681</v>
      </c>
      <c r="P3663" s="9">
        <v>218217</v>
      </c>
      <c r="Q3663" s="9">
        <v>14705</v>
      </c>
      <c r="R3663" s="9">
        <v>232922</v>
      </c>
      <c r="S3663" s="9">
        <v>-48287</v>
      </c>
      <c r="T3663" s="10">
        <v>72986</v>
      </c>
      <c r="U3663" s="10">
        <v>2094</v>
      </c>
    </row>
    <row r="3664" spans="1:21" x14ac:dyDescent="0.35">
      <c r="A3664" t="s">
        <v>15</v>
      </c>
      <c r="B3664" t="s">
        <v>20</v>
      </c>
      <c r="C3664" t="s">
        <v>21</v>
      </c>
      <c r="D3664">
        <v>244854</v>
      </c>
      <c r="E3664">
        <v>26959</v>
      </c>
      <c r="F3664">
        <v>47445</v>
      </c>
      <c r="G3664">
        <v>-225291</v>
      </c>
      <c r="H3664">
        <v>93967</v>
      </c>
      <c r="I3664">
        <v>96051</v>
      </c>
      <c r="J3664">
        <v>1417</v>
      </c>
      <c r="K3664">
        <v>582287</v>
      </c>
      <c r="L3664">
        <v>238500</v>
      </c>
      <c r="M3664">
        <v>-141682</v>
      </c>
      <c r="N3664">
        <v>96076</v>
      </c>
      <c r="O3664" t="s">
        <v>3682</v>
      </c>
      <c r="P3664" s="9">
        <v>239021</v>
      </c>
      <c r="Q3664" s="9">
        <v>27794</v>
      </c>
      <c r="R3664" s="9">
        <v>266815</v>
      </c>
      <c r="S3664" s="9">
        <v>-94008</v>
      </c>
      <c r="T3664" s="10">
        <v>98976</v>
      </c>
      <c r="U3664" s="10">
        <v>2216</v>
      </c>
    </row>
    <row r="3665" spans="1:21" x14ac:dyDescent="0.35">
      <c r="A3665" t="s">
        <v>15</v>
      </c>
      <c r="B3665" t="s">
        <v>16</v>
      </c>
      <c r="C3665" t="s">
        <v>21</v>
      </c>
      <c r="D3665">
        <v>249781</v>
      </c>
      <c r="E3665">
        <v>20797</v>
      </c>
      <c r="F3665">
        <v>40757</v>
      </c>
      <c r="G3665">
        <v>-209688</v>
      </c>
      <c r="H3665">
        <v>101647</v>
      </c>
      <c r="I3665">
        <v>106284</v>
      </c>
      <c r="J3665">
        <v>1386</v>
      </c>
      <c r="K3665">
        <v>662633</v>
      </c>
      <c r="L3665">
        <v>112113</v>
      </c>
      <c r="M3665">
        <v>-171327</v>
      </c>
      <c r="N3665">
        <v>120611</v>
      </c>
      <c r="O3665" t="s">
        <v>3683</v>
      </c>
      <c r="P3665" s="9">
        <v>217116</v>
      </c>
      <c r="Q3665" s="9">
        <v>40483</v>
      </c>
      <c r="R3665" s="9">
        <v>257599</v>
      </c>
      <c r="S3665" s="9">
        <v>-130460</v>
      </c>
      <c r="T3665" s="10">
        <v>77706</v>
      </c>
      <c r="U3665" s="10">
        <v>1705</v>
      </c>
    </row>
    <row r="3666" spans="1:21" x14ac:dyDescent="0.35">
      <c r="A3666" t="s">
        <v>15</v>
      </c>
      <c r="B3666" t="s">
        <v>16</v>
      </c>
      <c r="C3666" t="s">
        <v>21</v>
      </c>
      <c r="D3666">
        <v>298123</v>
      </c>
      <c r="E3666">
        <v>15299</v>
      </c>
      <c r="F3666">
        <v>50055</v>
      </c>
      <c r="G3666">
        <v>-238850</v>
      </c>
      <c r="H3666">
        <v>124627</v>
      </c>
      <c r="I3666">
        <v>120148</v>
      </c>
      <c r="J3666">
        <v>1674</v>
      </c>
      <c r="K3666">
        <v>745853</v>
      </c>
      <c r="L3666">
        <v>212338</v>
      </c>
      <c r="M3666">
        <v>-187739</v>
      </c>
      <c r="N3666">
        <v>183178</v>
      </c>
      <c r="O3666" t="s">
        <v>3684</v>
      </c>
      <c r="P3666" s="9">
        <v>219114</v>
      </c>
      <c r="Q3666" s="9">
        <v>37199</v>
      </c>
      <c r="R3666" s="9">
        <v>256313</v>
      </c>
      <c r="S3666" s="9">
        <v>-105492</v>
      </c>
      <c r="T3666" s="10">
        <v>89221</v>
      </c>
      <c r="U3666" s="10">
        <v>2321</v>
      </c>
    </row>
    <row r="3667" spans="1:21" x14ac:dyDescent="0.35">
      <c r="A3667" t="s">
        <v>15</v>
      </c>
      <c r="B3667" t="s">
        <v>20</v>
      </c>
      <c r="C3667" t="s">
        <v>21</v>
      </c>
      <c r="D3667">
        <v>226320</v>
      </c>
      <c r="E3667">
        <v>29792</v>
      </c>
      <c r="F3667">
        <v>25175</v>
      </c>
      <c r="G3667">
        <v>-214679</v>
      </c>
      <c r="H3667">
        <v>66608</v>
      </c>
      <c r="I3667">
        <v>62487</v>
      </c>
      <c r="J3667">
        <v>656</v>
      </c>
      <c r="K3667">
        <v>515757</v>
      </c>
      <c r="L3667">
        <v>221327</v>
      </c>
      <c r="M3667">
        <v>-93644</v>
      </c>
      <c r="N3667">
        <v>158383</v>
      </c>
      <c r="O3667" t="s">
        <v>3685</v>
      </c>
      <c r="P3667" s="9">
        <v>191908</v>
      </c>
      <c r="Q3667" s="9">
        <v>27761</v>
      </c>
      <c r="R3667" s="9">
        <v>219669</v>
      </c>
      <c r="S3667" s="9">
        <v>-86453</v>
      </c>
      <c r="T3667" s="10">
        <v>85339</v>
      </c>
      <c r="U3667" s="10">
        <v>1688</v>
      </c>
    </row>
    <row r="3668" spans="1:21" x14ac:dyDescent="0.35">
      <c r="A3668" t="s">
        <v>15</v>
      </c>
      <c r="B3668" t="s">
        <v>20</v>
      </c>
      <c r="C3668" t="s">
        <v>21</v>
      </c>
      <c r="D3668">
        <v>181998</v>
      </c>
      <c r="E3668">
        <v>28350</v>
      </c>
      <c r="F3668">
        <v>41694</v>
      </c>
      <c r="G3668">
        <v>-151319</v>
      </c>
      <c r="H3668">
        <v>100723</v>
      </c>
      <c r="I3668">
        <v>101244</v>
      </c>
      <c r="J3668">
        <v>2198</v>
      </c>
      <c r="K3668">
        <v>722737</v>
      </c>
      <c r="L3668">
        <v>204910</v>
      </c>
      <c r="M3668">
        <v>-185842</v>
      </c>
      <c r="N3668">
        <v>113762</v>
      </c>
      <c r="O3668" t="s">
        <v>3686</v>
      </c>
      <c r="P3668" s="9">
        <v>245992</v>
      </c>
      <c r="Q3668" s="9">
        <v>44976</v>
      </c>
      <c r="R3668" s="9">
        <v>290968</v>
      </c>
      <c r="S3668" s="9">
        <v>-62428</v>
      </c>
      <c r="T3668" s="10">
        <v>147186</v>
      </c>
      <c r="U3668" s="10">
        <v>4239</v>
      </c>
    </row>
    <row r="3669" spans="1:21" x14ac:dyDescent="0.35">
      <c r="A3669" t="s">
        <v>15</v>
      </c>
      <c r="B3669" t="s">
        <v>16</v>
      </c>
      <c r="C3669" t="s">
        <v>21</v>
      </c>
      <c r="D3669">
        <v>151244</v>
      </c>
      <c r="E3669">
        <v>18332</v>
      </c>
      <c r="F3669">
        <v>25624</v>
      </c>
      <c r="G3669">
        <v>-136528</v>
      </c>
      <c r="H3669">
        <v>58672</v>
      </c>
      <c r="I3669">
        <v>54667</v>
      </c>
      <c r="J3669">
        <v>1009</v>
      </c>
      <c r="K3669">
        <v>601689</v>
      </c>
      <c r="L3669">
        <v>126146</v>
      </c>
      <c r="M3669">
        <v>-141434</v>
      </c>
      <c r="N3669">
        <v>103758</v>
      </c>
      <c r="O3669" t="s">
        <v>3687</v>
      </c>
      <c r="P3669" s="9">
        <v>182317</v>
      </c>
      <c r="Q3669" s="9">
        <v>31525</v>
      </c>
      <c r="R3669" s="9">
        <v>213842</v>
      </c>
      <c r="S3669" s="9">
        <v>-66672</v>
      </c>
      <c r="T3669" s="10">
        <v>95400</v>
      </c>
      <c r="U3669" s="10">
        <v>1211</v>
      </c>
    </row>
    <row r="3670" spans="1:21" x14ac:dyDescent="0.35">
      <c r="A3670" t="s">
        <v>15</v>
      </c>
      <c r="B3670" t="s">
        <v>20</v>
      </c>
      <c r="C3670" t="s">
        <v>21</v>
      </c>
      <c r="D3670">
        <v>220357</v>
      </c>
      <c r="E3670">
        <v>26469</v>
      </c>
      <c r="F3670">
        <v>46709</v>
      </c>
      <c r="G3670">
        <v>-202486</v>
      </c>
      <c r="H3670">
        <v>91049</v>
      </c>
      <c r="I3670">
        <v>93499</v>
      </c>
      <c r="J3670">
        <v>2069</v>
      </c>
      <c r="K3670">
        <v>757832</v>
      </c>
      <c r="L3670">
        <v>327970</v>
      </c>
      <c r="M3670">
        <v>-197991</v>
      </c>
      <c r="N3670">
        <v>156941</v>
      </c>
      <c r="O3670" t="s">
        <v>3688</v>
      </c>
      <c r="P3670" s="9">
        <v>139871</v>
      </c>
      <c r="Q3670" s="9">
        <v>24386</v>
      </c>
      <c r="R3670" s="9">
        <v>164257</v>
      </c>
      <c r="S3670" s="9">
        <v>-71605</v>
      </c>
      <c r="T3670" s="10">
        <v>69815</v>
      </c>
      <c r="U3670" s="10">
        <v>1741</v>
      </c>
    </row>
    <row r="3671" spans="1:21" x14ac:dyDescent="0.35">
      <c r="A3671" t="s">
        <v>15</v>
      </c>
      <c r="B3671" t="s">
        <v>16</v>
      </c>
      <c r="C3671" t="s">
        <v>17</v>
      </c>
      <c r="D3671">
        <v>250549</v>
      </c>
      <c r="E3671">
        <v>37255</v>
      </c>
      <c r="F3671">
        <v>54052</v>
      </c>
      <c r="G3671">
        <v>-205287</v>
      </c>
      <c r="H3671">
        <v>136569</v>
      </c>
      <c r="I3671">
        <v>135622</v>
      </c>
      <c r="J3671">
        <v>2218</v>
      </c>
      <c r="K3671">
        <v>743984</v>
      </c>
      <c r="L3671">
        <v>226305</v>
      </c>
      <c r="M3671">
        <v>-227896</v>
      </c>
      <c r="N3671">
        <v>156446</v>
      </c>
      <c r="O3671" t="s">
        <v>3689</v>
      </c>
      <c r="P3671" s="9">
        <v>230785</v>
      </c>
      <c r="Q3671" s="9">
        <v>42991</v>
      </c>
      <c r="R3671" s="9">
        <v>273776</v>
      </c>
      <c r="S3671" s="9">
        <v>-72487</v>
      </c>
      <c r="T3671" s="10">
        <v>87719</v>
      </c>
      <c r="U3671" s="10">
        <v>1671</v>
      </c>
    </row>
    <row r="3672" spans="1:21" x14ac:dyDescent="0.35">
      <c r="A3672" t="s">
        <v>15</v>
      </c>
      <c r="B3672" t="s">
        <v>16</v>
      </c>
      <c r="C3672" t="s">
        <v>17</v>
      </c>
      <c r="D3672">
        <v>193167</v>
      </c>
      <c r="E3672">
        <v>15033</v>
      </c>
      <c r="F3672">
        <v>45310</v>
      </c>
      <c r="G3672">
        <v>-159145</v>
      </c>
      <c r="H3672">
        <v>94365</v>
      </c>
      <c r="I3672">
        <v>93485</v>
      </c>
      <c r="J3672">
        <v>2555</v>
      </c>
      <c r="K3672">
        <v>402718</v>
      </c>
      <c r="L3672">
        <v>69218</v>
      </c>
      <c r="M3672">
        <v>-154696</v>
      </c>
      <c r="N3672">
        <v>94824</v>
      </c>
      <c r="O3672" t="s">
        <v>3690</v>
      </c>
      <c r="P3672" s="9">
        <v>243054</v>
      </c>
      <c r="Q3672" s="9">
        <v>42489</v>
      </c>
      <c r="R3672" s="9">
        <v>285543</v>
      </c>
      <c r="S3672" s="9">
        <v>-164743</v>
      </c>
      <c r="T3672" s="10">
        <v>124410</v>
      </c>
      <c r="U3672" s="10">
        <v>2805</v>
      </c>
    </row>
    <row r="3673" spans="1:21" x14ac:dyDescent="0.35">
      <c r="A3673" t="s">
        <v>15</v>
      </c>
      <c r="B3673" t="s">
        <v>20</v>
      </c>
      <c r="C3673" t="s">
        <v>17</v>
      </c>
      <c r="D3673">
        <v>295615</v>
      </c>
      <c r="E3673">
        <v>42227</v>
      </c>
      <c r="F3673">
        <v>34164</v>
      </c>
      <c r="G3673">
        <v>-294106</v>
      </c>
      <c r="H3673">
        <v>77900</v>
      </c>
      <c r="I3673">
        <v>72309</v>
      </c>
      <c r="J3673">
        <v>1454</v>
      </c>
      <c r="K3673">
        <v>1161274</v>
      </c>
      <c r="L3673">
        <v>289109</v>
      </c>
      <c r="M3673">
        <v>-409408</v>
      </c>
      <c r="N3673">
        <v>204219</v>
      </c>
      <c r="O3673" t="s">
        <v>3691</v>
      </c>
      <c r="P3673" s="9">
        <v>277788</v>
      </c>
      <c r="Q3673" s="9">
        <v>54160</v>
      </c>
      <c r="R3673" s="9">
        <v>331948</v>
      </c>
      <c r="S3673" s="9">
        <v>-178931</v>
      </c>
      <c r="T3673" s="10">
        <v>118750</v>
      </c>
      <c r="U3673" s="10">
        <v>2139</v>
      </c>
    </row>
    <row r="3674" spans="1:21" x14ac:dyDescent="0.35">
      <c r="A3674" t="s">
        <v>15</v>
      </c>
      <c r="B3674" t="s">
        <v>20</v>
      </c>
      <c r="C3674" t="s">
        <v>21</v>
      </c>
      <c r="D3674">
        <v>239313</v>
      </c>
      <c r="E3674">
        <v>22405</v>
      </c>
      <c r="F3674">
        <v>30108</v>
      </c>
      <c r="G3674">
        <v>-200464</v>
      </c>
      <c r="H3674">
        <v>91362</v>
      </c>
      <c r="I3674">
        <v>92480</v>
      </c>
      <c r="J3674">
        <v>1253</v>
      </c>
      <c r="K3674">
        <v>745163</v>
      </c>
      <c r="L3674">
        <v>191626</v>
      </c>
      <c r="M3674">
        <v>-245791</v>
      </c>
      <c r="N3674">
        <v>157964</v>
      </c>
      <c r="O3674" t="s">
        <v>3692</v>
      </c>
      <c r="P3674" s="9">
        <v>221843</v>
      </c>
      <c r="Q3674" s="9">
        <v>13504</v>
      </c>
      <c r="R3674" s="9">
        <v>235347</v>
      </c>
      <c r="S3674" s="9">
        <v>-47086</v>
      </c>
      <c r="T3674" s="10">
        <v>64014</v>
      </c>
      <c r="U3674" s="10">
        <v>1667</v>
      </c>
    </row>
    <row r="3675" spans="1:21" x14ac:dyDescent="0.35">
      <c r="A3675" t="s">
        <v>15</v>
      </c>
      <c r="B3675" t="s">
        <v>16</v>
      </c>
      <c r="C3675" t="s">
        <v>21</v>
      </c>
      <c r="D3675">
        <v>151813</v>
      </c>
      <c r="E3675">
        <v>14532</v>
      </c>
      <c r="F3675">
        <v>37263</v>
      </c>
      <c r="G3675">
        <v>-143949</v>
      </c>
      <c r="H3675">
        <v>59659</v>
      </c>
      <c r="I3675">
        <v>54174</v>
      </c>
      <c r="J3675">
        <v>559</v>
      </c>
      <c r="K3675">
        <v>537646</v>
      </c>
      <c r="L3675">
        <v>212078</v>
      </c>
      <c r="M3675">
        <v>-95818</v>
      </c>
      <c r="N3675">
        <v>57662</v>
      </c>
      <c r="O3675" t="s">
        <v>3693</v>
      </c>
      <c r="P3675" s="9">
        <v>226308</v>
      </c>
      <c r="Q3675" s="9">
        <v>39476</v>
      </c>
      <c r="R3675" s="9">
        <v>265784</v>
      </c>
      <c r="S3675" s="9">
        <v>-59518</v>
      </c>
      <c r="T3675" s="10">
        <v>77858</v>
      </c>
      <c r="U3675" s="10">
        <v>2124</v>
      </c>
    </row>
    <row r="3676" spans="1:21" x14ac:dyDescent="0.35">
      <c r="A3676" t="s">
        <v>15</v>
      </c>
      <c r="B3676" t="s">
        <v>16</v>
      </c>
      <c r="C3676" t="s">
        <v>21</v>
      </c>
      <c r="D3676">
        <v>273043</v>
      </c>
      <c r="E3676">
        <v>32391</v>
      </c>
      <c r="F3676">
        <v>55851</v>
      </c>
      <c r="G3676">
        <v>-237780</v>
      </c>
      <c r="H3676">
        <v>123505</v>
      </c>
      <c r="I3676">
        <v>126719</v>
      </c>
      <c r="J3676">
        <v>2720</v>
      </c>
      <c r="K3676">
        <v>808512</v>
      </c>
      <c r="L3676">
        <v>241113</v>
      </c>
      <c r="M3676">
        <v>-267735</v>
      </c>
      <c r="N3676">
        <v>214645</v>
      </c>
      <c r="O3676" t="s">
        <v>3694</v>
      </c>
      <c r="P3676" s="9">
        <v>158913</v>
      </c>
      <c r="Q3676" s="9">
        <v>16625</v>
      </c>
      <c r="R3676" s="9">
        <v>175538</v>
      </c>
      <c r="S3676" s="9">
        <v>-60284</v>
      </c>
      <c r="T3676" s="10">
        <v>38690</v>
      </c>
      <c r="U3676" s="10">
        <v>785</v>
      </c>
    </row>
    <row r="3677" spans="1:21" x14ac:dyDescent="0.35">
      <c r="A3677" t="s">
        <v>15</v>
      </c>
      <c r="B3677" t="s">
        <v>16</v>
      </c>
      <c r="C3677" t="s">
        <v>17</v>
      </c>
      <c r="D3677">
        <v>271283</v>
      </c>
      <c r="E3677">
        <v>15843</v>
      </c>
      <c r="F3677">
        <v>52512</v>
      </c>
      <c r="G3677">
        <v>-228524</v>
      </c>
      <c r="H3677">
        <v>111114</v>
      </c>
      <c r="I3677">
        <v>111651</v>
      </c>
      <c r="J3677">
        <v>1747</v>
      </c>
      <c r="K3677">
        <v>615113</v>
      </c>
      <c r="L3677">
        <v>226986</v>
      </c>
      <c r="M3677">
        <v>-183552</v>
      </c>
      <c r="N3677">
        <v>113325</v>
      </c>
      <c r="O3677" t="s">
        <v>3695</v>
      </c>
      <c r="P3677" s="9">
        <v>176298</v>
      </c>
      <c r="Q3677" s="9">
        <v>8140</v>
      </c>
      <c r="R3677" s="9">
        <v>184438</v>
      </c>
      <c r="S3677" s="9">
        <v>-70024</v>
      </c>
      <c r="T3677" s="10">
        <v>65079</v>
      </c>
      <c r="U3677" s="10">
        <v>952</v>
      </c>
    </row>
    <row r="3678" spans="1:21" x14ac:dyDescent="0.35">
      <c r="A3678" t="s">
        <v>15</v>
      </c>
      <c r="B3678" t="s">
        <v>20</v>
      </c>
      <c r="C3678" t="s">
        <v>21</v>
      </c>
      <c r="D3678">
        <v>210207</v>
      </c>
      <c r="E3678">
        <v>27850</v>
      </c>
      <c r="F3678">
        <v>25845</v>
      </c>
      <c r="G3678">
        <v>-192032</v>
      </c>
      <c r="H3678">
        <v>71870</v>
      </c>
      <c r="I3678">
        <v>67254</v>
      </c>
      <c r="J3678">
        <v>787</v>
      </c>
      <c r="K3678">
        <v>714466</v>
      </c>
      <c r="L3678">
        <v>297675</v>
      </c>
      <c r="M3678">
        <v>-150412</v>
      </c>
      <c r="N3678">
        <v>86369</v>
      </c>
      <c r="O3678" t="s">
        <v>3696</v>
      </c>
      <c r="P3678" s="9">
        <v>234341</v>
      </c>
      <c r="Q3678" s="9">
        <v>36785</v>
      </c>
      <c r="R3678" s="9">
        <v>271126</v>
      </c>
      <c r="S3678" s="9">
        <v>-132315</v>
      </c>
      <c r="T3678" s="10">
        <v>118188</v>
      </c>
      <c r="U3678" s="10">
        <v>2498</v>
      </c>
    </row>
    <row r="3679" spans="1:21" x14ac:dyDescent="0.35">
      <c r="A3679" t="s">
        <v>15</v>
      </c>
      <c r="B3679" t="s">
        <v>16</v>
      </c>
      <c r="C3679" t="s">
        <v>21</v>
      </c>
      <c r="D3679">
        <v>195016</v>
      </c>
      <c r="E3679">
        <v>20077</v>
      </c>
      <c r="F3679">
        <v>32392</v>
      </c>
      <c r="G3679">
        <v>-186080</v>
      </c>
      <c r="H3679">
        <v>61405</v>
      </c>
      <c r="I3679">
        <v>57010</v>
      </c>
      <c r="J3679">
        <v>1534</v>
      </c>
      <c r="K3679">
        <v>681816</v>
      </c>
      <c r="L3679">
        <v>250435</v>
      </c>
      <c r="M3679">
        <v>-163594</v>
      </c>
      <c r="N3679">
        <v>68785</v>
      </c>
      <c r="O3679" t="s">
        <v>3697</v>
      </c>
      <c r="P3679" s="9">
        <v>272196</v>
      </c>
      <c r="Q3679" s="9">
        <v>42721</v>
      </c>
      <c r="R3679" s="9">
        <v>314917</v>
      </c>
      <c r="S3679" s="9">
        <v>-78906</v>
      </c>
      <c r="T3679" s="10">
        <v>87753</v>
      </c>
      <c r="U3679" s="10">
        <v>1392</v>
      </c>
    </row>
    <row r="3680" spans="1:21" x14ac:dyDescent="0.35">
      <c r="A3680" t="s">
        <v>15</v>
      </c>
      <c r="B3680" t="s">
        <v>20</v>
      </c>
      <c r="C3680" t="s">
        <v>17</v>
      </c>
      <c r="D3680">
        <v>221625</v>
      </c>
      <c r="E3680">
        <v>18963</v>
      </c>
      <c r="F3680">
        <v>38257</v>
      </c>
      <c r="G3680">
        <v>-192301</v>
      </c>
      <c r="H3680">
        <v>86544</v>
      </c>
      <c r="I3680">
        <v>84371</v>
      </c>
      <c r="J3680">
        <v>1976</v>
      </c>
      <c r="K3680">
        <v>502516</v>
      </c>
      <c r="L3680">
        <v>151386</v>
      </c>
      <c r="M3680">
        <v>-89880</v>
      </c>
      <c r="N3680">
        <v>164839</v>
      </c>
      <c r="O3680" t="s">
        <v>3698</v>
      </c>
      <c r="P3680" s="9">
        <v>261804</v>
      </c>
      <c r="Q3680" s="9">
        <v>40508</v>
      </c>
      <c r="R3680" s="9">
        <v>302312</v>
      </c>
      <c r="S3680" s="9">
        <v>-157594</v>
      </c>
      <c r="T3680" s="10">
        <v>80331</v>
      </c>
      <c r="U3680" s="10">
        <v>1329</v>
      </c>
    </row>
    <row r="3681" spans="1:21" x14ac:dyDescent="0.35">
      <c r="A3681" t="s">
        <v>15</v>
      </c>
      <c r="B3681" t="s">
        <v>16</v>
      </c>
      <c r="C3681" t="s">
        <v>21</v>
      </c>
      <c r="D3681">
        <v>189391</v>
      </c>
      <c r="E3681">
        <v>11273</v>
      </c>
      <c r="F3681">
        <v>21374</v>
      </c>
      <c r="G3681">
        <v>-165260</v>
      </c>
      <c r="H3681">
        <v>56778</v>
      </c>
      <c r="I3681">
        <v>54873</v>
      </c>
      <c r="J3681">
        <v>1260</v>
      </c>
      <c r="K3681">
        <v>597988</v>
      </c>
      <c r="L3681">
        <v>144519</v>
      </c>
      <c r="M3681">
        <v>-192484</v>
      </c>
      <c r="N3681">
        <v>97727</v>
      </c>
      <c r="O3681" t="s">
        <v>3699</v>
      </c>
      <c r="P3681" s="9">
        <v>196027</v>
      </c>
      <c r="Q3681" s="9">
        <v>20591</v>
      </c>
      <c r="R3681" s="9">
        <v>216618</v>
      </c>
      <c r="S3681" s="9">
        <v>-87624</v>
      </c>
      <c r="T3681" s="10">
        <v>77009</v>
      </c>
      <c r="U3681" s="10">
        <v>2047</v>
      </c>
    </row>
    <row r="3682" spans="1:21" x14ac:dyDescent="0.35">
      <c r="A3682" t="s">
        <v>15</v>
      </c>
      <c r="B3682" t="s">
        <v>16</v>
      </c>
      <c r="C3682" t="s">
        <v>21</v>
      </c>
      <c r="D3682">
        <v>297421</v>
      </c>
      <c r="E3682">
        <v>57185</v>
      </c>
      <c r="F3682">
        <v>39034</v>
      </c>
      <c r="G3682">
        <v>-285229</v>
      </c>
      <c r="H3682">
        <v>108411</v>
      </c>
      <c r="I3682">
        <v>100409</v>
      </c>
      <c r="J3682">
        <v>1656</v>
      </c>
      <c r="K3682">
        <v>1065768</v>
      </c>
      <c r="L3682">
        <v>477509</v>
      </c>
      <c r="M3682">
        <v>-229669</v>
      </c>
      <c r="N3682">
        <v>252839</v>
      </c>
      <c r="O3682" t="s">
        <v>3700</v>
      </c>
      <c r="P3682" s="9">
        <v>179015</v>
      </c>
      <c r="Q3682" s="9">
        <v>13453</v>
      </c>
      <c r="R3682" s="9">
        <v>192468</v>
      </c>
      <c r="S3682" s="9">
        <v>-61866</v>
      </c>
      <c r="T3682" s="10">
        <v>53377</v>
      </c>
      <c r="U3682" s="10">
        <v>1271</v>
      </c>
    </row>
    <row r="3683" spans="1:21" x14ac:dyDescent="0.35">
      <c r="A3683" t="s">
        <v>15</v>
      </c>
      <c r="B3683" t="s">
        <v>20</v>
      </c>
      <c r="C3683" t="s">
        <v>21</v>
      </c>
      <c r="D3683">
        <v>219599</v>
      </c>
      <c r="E3683">
        <v>11120</v>
      </c>
      <c r="F3683">
        <v>22077</v>
      </c>
      <c r="G3683">
        <v>-177617</v>
      </c>
      <c r="H3683">
        <v>75179</v>
      </c>
      <c r="I3683">
        <v>77862</v>
      </c>
      <c r="J3683">
        <v>2155</v>
      </c>
      <c r="K3683">
        <v>863566</v>
      </c>
      <c r="L3683">
        <v>267114</v>
      </c>
      <c r="M3683">
        <v>-313995</v>
      </c>
      <c r="N3683">
        <v>66934</v>
      </c>
      <c r="O3683" t="s">
        <v>3701</v>
      </c>
      <c r="P3683" s="9">
        <v>315067</v>
      </c>
      <c r="Q3683" s="9">
        <v>27049</v>
      </c>
      <c r="R3683" s="9">
        <v>342116</v>
      </c>
      <c r="S3683" s="9">
        <v>-107994</v>
      </c>
      <c r="T3683" s="10">
        <v>71748</v>
      </c>
      <c r="U3683" s="10">
        <v>1898</v>
      </c>
    </row>
    <row r="3684" spans="1:21" x14ac:dyDescent="0.35">
      <c r="A3684" t="s">
        <v>15</v>
      </c>
      <c r="B3684" t="s">
        <v>16</v>
      </c>
      <c r="C3684" t="s">
        <v>21</v>
      </c>
      <c r="D3684">
        <v>264403</v>
      </c>
      <c r="E3684">
        <v>21615</v>
      </c>
      <c r="F3684">
        <v>60181</v>
      </c>
      <c r="G3684">
        <v>-226633</v>
      </c>
      <c r="H3684">
        <v>119566</v>
      </c>
      <c r="I3684">
        <v>123227</v>
      </c>
      <c r="J3684">
        <v>3611</v>
      </c>
      <c r="K3684">
        <v>541378</v>
      </c>
      <c r="L3684">
        <v>133740</v>
      </c>
      <c r="M3684">
        <v>-186323</v>
      </c>
      <c r="N3684">
        <v>90337</v>
      </c>
      <c r="O3684" t="s">
        <v>3702</v>
      </c>
      <c r="P3684" s="9">
        <v>157952</v>
      </c>
      <c r="Q3684" s="9">
        <v>14755</v>
      </c>
      <c r="R3684" s="9">
        <v>172707</v>
      </c>
      <c r="S3684" s="9">
        <v>-94178</v>
      </c>
      <c r="T3684" s="10">
        <v>55108</v>
      </c>
      <c r="U3684" s="10">
        <v>1512</v>
      </c>
    </row>
    <row r="3685" spans="1:21" x14ac:dyDescent="0.35">
      <c r="A3685" t="s">
        <v>15</v>
      </c>
      <c r="B3685" t="s">
        <v>20</v>
      </c>
      <c r="C3685" t="s">
        <v>21</v>
      </c>
      <c r="D3685">
        <v>279429</v>
      </c>
      <c r="E3685">
        <v>53149</v>
      </c>
      <c r="F3685">
        <v>28714</v>
      </c>
      <c r="G3685">
        <v>-240353</v>
      </c>
      <c r="H3685">
        <v>120939</v>
      </c>
      <c r="I3685">
        <v>120100</v>
      </c>
      <c r="J3685">
        <v>2139</v>
      </c>
      <c r="K3685">
        <v>802949</v>
      </c>
      <c r="L3685">
        <v>228071</v>
      </c>
      <c r="M3685">
        <v>-191728</v>
      </c>
      <c r="N3685">
        <v>248919</v>
      </c>
      <c r="O3685" t="s">
        <v>3703</v>
      </c>
      <c r="P3685" s="9">
        <v>211787</v>
      </c>
      <c r="Q3685" s="9">
        <v>23880</v>
      </c>
      <c r="R3685" s="9">
        <v>235667</v>
      </c>
      <c r="S3685" s="9">
        <v>-70325</v>
      </c>
      <c r="T3685" s="10">
        <v>98576</v>
      </c>
      <c r="U3685" s="10">
        <v>1288</v>
      </c>
    </row>
    <row r="3686" spans="1:21" x14ac:dyDescent="0.35">
      <c r="A3686" t="s">
        <v>15</v>
      </c>
      <c r="B3686" t="s">
        <v>16</v>
      </c>
      <c r="C3686" t="s">
        <v>17</v>
      </c>
      <c r="D3686">
        <v>181761</v>
      </c>
      <c r="E3686">
        <v>26350</v>
      </c>
      <c r="F3686">
        <v>35735</v>
      </c>
      <c r="G3686">
        <v>-159788</v>
      </c>
      <c r="H3686">
        <v>84058</v>
      </c>
      <c r="I3686">
        <v>86535</v>
      </c>
      <c r="J3686">
        <v>1805</v>
      </c>
      <c r="K3686">
        <v>614017</v>
      </c>
      <c r="L3686">
        <v>187054</v>
      </c>
      <c r="M3686">
        <v>-143807</v>
      </c>
      <c r="N3686">
        <v>94594</v>
      </c>
      <c r="O3686" t="s">
        <v>3704</v>
      </c>
      <c r="P3686" s="9">
        <v>253218</v>
      </c>
      <c r="Q3686" s="9">
        <v>28555</v>
      </c>
      <c r="R3686" s="9">
        <v>281773</v>
      </c>
      <c r="S3686" s="9">
        <v>-82858</v>
      </c>
      <c r="T3686" s="10">
        <v>78013</v>
      </c>
      <c r="U3686" s="10">
        <v>2277</v>
      </c>
    </row>
    <row r="3687" spans="1:21" x14ac:dyDescent="0.35">
      <c r="A3687" t="s">
        <v>15</v>
      </c>
      <c r="B3687" t="s">
        <v>16</v>
      </c>
      <c r="C3687" t="s">
        <v>21</v>
      </c>
      <c r="D3687">
        <v>276025</v>
      </c>
      <c r="E3687">
        <v>29428</v>
      </c>
      <c r="F3687">
        <v>63644</v>
      </c>
      <c r="G3687">
        <v>-228197</v>
      </c>
      <c r="H3687">
        <v>140900</v>
      </c>
      <c r="I3687">
        <v>145597</v>
      </c>
      <c r="J3687">
        <v>2044</v>
      </c>
      <c r="K3687">
        <v>734700</v>
      </c>
      <c r="L3687">
        <v>132521</v>
      </c>
      <c r="M3687">
        <v>-254827</v>
      </c>
      <c r="N3687">
        <v>232718</v>
      </c>
      <c r="O3687" t="s">
        <v>3705</v>
      </c>
      <c r="P3687" s="9">
        <v>289355</v>
      </c>
      <c r="Q3687" s="9">
        <v>35974</v>
      </c>
      <c r="R3687" s="9">
        <v>325329</v>
      </c>
      <c r="S3687" s="9">
        <v>-91925</v>
      </c>
      <c r="T3687" s="10">
        <v>147619</v>
      </c>
      <c r="U3687" s="10">
        <v>2692</v>
      </c>
    </row>
    <row r="3688" spans="1:21" x14ac:dyDescent="0.35">
      <c r="A3688" t="s">
        <v>15</v>
      </c>
      <c r="B3688" t="s">
        <v>16</v>
      </c>
      <c r="C3688" t="s">
        <v>21</v>
      </c>
      <c r="D3688">
        <v>264665</v>
      </c>
      <c r="E3688">
        <v>41918</v>
      </c>
      <c r="F3688">
        <v>45079</v>
      </c>
      <c r="G3688">
        <v>-247606</v>
      </c>
      <c r="H3688">
        <v>104056</v>
      </c>
      <c r="I3688">
        <v>98445</v>
      </c>
      <c r="J3688">
        <v>2285</v>
      </c>
      <c r="K3688">
        <v>988753</v>
      </c>
      <c r="L3688">
        <v>415188</v>
      </c>
      <c r="M3688">
        <v>-236926</v>
      </c>
      <c r="N3688">
        <v>121104</v>
      </c>
      <c r="O3688" t="s">
        <v>3706</v>
      </c>
      <c r="P3688" s="9">
        <v>262022</v>
      </c>
      <c r="Q3688" s="9">
        <v>41994</v>
      </c>
      <c r="R3688" s="9">
        <v>304016</v>
      </c>
      <c r="S3688" s="9">
        <v>-99837</v>
      </c>
      <c r="T3688" s="10">
        <v>132699</v>
      </c>
      <c r="U3688" s="10">
        <v>2377</v>
      </c>
    </row>
    <row r="3689" spans="1:21" x14ac:dyDescent="0.35">
      <c r="A3689" t="s">
        <v>15</v>
      </c>
      <c r="B3689" t="s">
        <v>16</v>
      </c>
      <c r="C3689" t="s">
        <v>21</v>
      </c>
      <c r="D3689">
        <v>225585</v>
      </c>
      <c r="E3689">
        <v>44697</v>
      </c>
      <c r="F3689">
        <v>54651</v>
      </c>
      <c r="G3689">
        <v>-222342</v>
      </c>
      <c r="H3689">
        <v>102591</v>
      </c>
      <c r="I3689">
        <v>107318</v>
      </c>
      <c r="J3689">
        <v>1356</v>
      </c>
      <c r="K3689">
        <v>780898</v>
      </c>
      <c r="L3689">
        <v>203573</v>
      </c>
      <c r="M3689">
        <v>-237376</v>
      </c>
      <c r="N3689">
        <v>120312</v>
      </c>
      <c r="O3689" t="s">
        <v>3707</v>
      </c>
      <c r="P3689" s="9">
        <v>291669</v>
      </c>
      <c r="Q3689" s="9">
        <v>27189</v>
      </c>
      <c r="R3689" s="9">
        <v>318858</v>
      </c>
      <c r="S3689" s="9">
        <v>-98500</v>
      </c>
      <c r="T3689" s="10">
        <v>105957</v>
      </c>
      <c r="U3689" s="10">
        <v>1504</v>
      </c>
    </row>
    <row r="3690" spans="1:21" x14ac:dyDescent="0.35">
      <c r="A3690" t="s">
        <v>15</v>
      </c>
      <c r="B3690" t="s">
        <v>16</v>
      </c>
      <c r="C3690" t="s">
        <v>21</v>
      </c>
      <c r="D3690">
        <v>272570</v>
      </c>
      <c r="E3690">
        <v>15108</v>
      </c>
      <c r="F3690">
        <v>34675</v>
      </c>
      <c r="G3690">
        <v>-220450</v>
      </c>
      <c r="H3690">
        <v>101903</v>
      </c>
      <c r="I3690">
        <v>97320</v>
      </c>
      <c r="J3690">
        <v>2915</v>
      </c>
      <c r="K3690">
        <v>688443</v>
      </c>
      <c r="L3690">
        <v>104703</v>
      </c>
      <c r="M3690">
        <v>-152552</v>
      </c>
      <c r="N3690">
        <v>113656</v>
      </c>
      <c r="O3690" t="s">
        <v>3708</v>
      </c>
      <c r="P3690" s="9">
        <v>274545</v>
      </c>
      <c r="Q3690" s="9">
        <v>22578</v>
      </c>
      <c r="R3690" s="9">
        <v>297123</v>
      </c>
      <c r="S3690" s="9">
        <v>-162587</v>
      </c>
      <c r="T3690" s="10">
        <v>86050</v>
      </c>
      <c r="U3690" s="10">
        <v>1591</v>
      </c>
    </row>
    <row r="3691" spans="1:21" x14ac:dyDescent="0.35">
      <c r="A3691" t="s">
        <v>15</v>
      </c>
      <c r="B3691" t="s">
        <v>16</v>
      </c>
      <c r="C3691" t="s">
        <v>21</v>
      </c>
      <c r="D3691">
        <v>227904</v>
      </c>
      <c r="E3691">
        <v>28107</v>
      </c>
      <c r="F3691">
        <v>23554</v>
      </c>
      <c r="G3691">
        <v>-183980</v>
      </c>
      <c r="H3691">
        <v>95585</v>
      </c>
      <c r="I3691">
        <v>96122</v>
      </c>
      <c r="J3691">
        <v>2763</v>
      </c>
      <c r="K3691">
        <v>739642</v>
      </c>
      <c r="L3691">
        <v>313886</v>
      </c>
      <c r="M3691">
        <v>-206136</v>
      </c>
      <c r="N3691">
        <v>135283</v>
      </c>
      <c r="O3691" t="s">
        <v>3709</v>
      </c>
      <c r="P3691" s="9">
        <v>164287</v>
      </c>
      <c r="Q3691" s="9">
        <v>20043</v>
      </c>
      <c r="R3691" s="9">
        <v>184330</v>
      </c>
      <c r="S3691" s="9">
        <v>-39256</v>
      </c>
      <c r="T3691" s="10">
        <v>77770</v>
      </c>
      <c r="U3691" s="10">
        <v>1046</v>
      </c>
    </row>
    <row r="3692" spans="1:21" x14ac:dyDescent="0.35">
      <c r="A3692" t="s">
        <v>15</v>
      </c>
      <c r="B3692" t="s">
        <v>20</v>
      </c>
      <c r="C3692" t="s">
        <v>21</v>
      </c>
      <c r="D3692">
        <v>167922</v>
      </c>
      <c r="E3692">
        <v>16871</v>
      </c>
      <c r="F3692">
        <v>23604</v>
      </c>
      <c r="G3692">
        <v>-134914</v>
      </c>
      <c r="H3692">
        <v>73483</v>
      </c>
      <c r="I3692">
        <v>72731</v>
      </c>
      <c r="J3692">
        <v>1107</v>
      </c>
      <c r="K3692">
        <v>524934</v>
      </c>
      <c r="L3692">
        <v>230026</v>
      </c>
      <c r="M3692">
        <v>-194346</v>
      </c>
      <c r="N3692">
        <v>140401</v>
      </c>
      <c r="O3692" t="s">
        <v>3710</v>
      </c>
      <c r="P3692" s="9">
        <v>196747</v>
      </c>
      <c r="Q3692" s="9">
        <v>25433</v>
      </c>
      <c r="R3692" s="9">
        <v>222180</v>
      </c>
      <c r="S3692" s="9">
        <v>-125086</v>
      </c>
      <c r="T3692" s="10">
        <v>77141</v>
      </c>
      <c r="U3692" s="10">
        <v>1222</v>
      </c>
    </row>
    <row r="3693" spans="1:21" x14ac:dyDescent="0.35">
      <c r="A3693" t="s">
        <v>15</v>
      </c>
      <c r="B3693" t="s">
        <v>20</v>
      </c>
      <c r="C3693" t="s">
        <v>17</v>
      </c>
      <c r="D3693">
        <v>167573</v>
      </c>
      <c r="E3693">
        <v>28496</v>
      </c>
      <c r="F3693">
        <v>34087</v>
      </c>
      <c r="G3693">
        <v>-140877</v>
      </c>
      <c r="H3693">
        <v>89279</v>
      </c>
      <c r="I3693">
        <v>85649</v>
      </c>
      <c r="J3693">
        <v>1729</v>
      </c>
      <c r="K3693">
        <v>638368</v>
      </c>
      <c r="L3693">
        <v>273009</v>
      </c>
      <c r="M3693">
        <v>-173745</v>
      </c>
      <c r="N3693">
        <v>123958</v>
      </c>
      <c r="O3693" t="s">
        <v>3711</v>
      </c>
      <c r="P3693" s="9">
        <v>246262</v>
      </c>
      <c r="Q3693" s="9">
        <v>42363</v>
      </c>
      <c r="R3693" s="9">
        <v>288625</v>
      </c>
      <c r="S3693" s="9">
        <v>-162117</v>
      </c>
      <c r="T3693" s="10">
        <v>88971</v>
      </c>
      <c r="U3693" s="10">
        <v>2142</v>
      </c>
    </row>
    <row r="3694" spans="1:21" x14ac:dyDescent="0.35">
      <c r="A3694" t="s">
        <v>15</v>
      </c>
      <c r="B3694" t="s">
        <v>20</v>
      </c>
      <c r="C3694" t="s">
        <v>17</v>
      </c>
      <c r="D3694">
        <v>296861</v>
      </c>
      <c r="E3694">
        <v>15992</v>
      </c>
      <c r="F3694">
        <v>59814</v>
      </c>
      <c r="G3694">
        <v>-266411</v>
      </c>
      <c r="H3694">
        <v>106256</v>
      </c>
      <c r="I3694">
        <v>109065</v>
      </c>
      <c r="J3694">
        <v>1898</v>
      </c>
      <c r="K3694">
        <v>856744</v>
      </c>
      <c r="L3694">
        <v>397440</v>
      </c>
      <c r="M3694">
        <v>-313077</v>
      </c>
      <c r="N3694">
        <v>94463</v>
      </c>
      <c r="O3694" t="s">
        <v>3712</v>
      </c>
      <c r="P3694" s="9">
        <v>177508</v>
      </c>
      <c r="Q3694" s="9">
        <v>13720</v>
      </c>
      <c r="R3694" s="9">
        <v>191228</v>
      </c>
      <c r="S3694" s="9">
        <v>-41361</v>
      </c>
      <c r="T3694" s="10">
        <v>74926</v>
      </c>
      <c r="U3694" s="10">
        <v>1685</v>
      </c>
    </row>
    <row r="3695" spans="1:21" x14ac:dyDescent="0.35">
      <c r="A3695" t="s">
        <v>15</v>
      </c>
      <c r="B3695" t="s">
        <v>20</v>
      </c>
      <c r="C3695" t="s">
        <v>17</v>
      </c>
      <c r="D3695">
        <v>251080</v>
      </c>
      <c r="E3695">
        <v>28873</v>
      </c>
      <c r="F3695">
        <v>33183</v>
      </c>
      <c r="G3695">
        <v>-207144</v>
      </c>
      <c r="H3695">
        <v>105992</v>
      </c>
      <c r="I3695">
        <v>98770</v>
      </c>
      <c r="J3695">
        <v>1896</v>
      </c>
      <c r="K3695">
        <v>847162</v>
      </c>
      <c r="L3695">
        <v>184953</v>
      </c>
      <c r="M3695">
        <v>-270009</v>
      </c>
      <c r="N3695">
        <v>186605</v>
      </c>
      <c r="O3695" t="s">
        <v>3713</v>
      </c>
      <c r="P3695" s="9">
        <v>193821</v>
      </c>
      <c r="Q3695" s="9">
        <v>22369</v>
      </c>
      <c r="R3695" s="9">
        <v>216190</v>
      </c>
      <c r="S3695" s="9">
        <v>-65786</v>
      </c>
      <c r="T3695" s="10">
        <v>69605</v>
      </c>
      <c r="U3695" s="10">
        <v>2016</v>
      </c>
    </row>
    <row r="3696" spans="1:21" x14ac:dyDescent="0.35">
      <c r="A3696" t="s">
        <v>15</v>
      </c>
      <c r="B3696" t="s">
        <v>20</v>
      </c>
      <c r="C3696" t="s">
        <v>17</v>
      </c>
      <c r="D3696">
        <v>191199</v>
      </c>
      <c r="E3696">
        <v>23207</v>
      </c>
      <c r="F3696">
        <v>38374</v>
      </c>
      <c r="G3696">
        <v>-156260</v>
      </c>
      <c r="H3696">
        <v>96520</v>
      </c>
      <c r="I3696">
        <v>98041</v>
      </c>
      <c r="J3696">
        <v>1057</v>
      </c>
      <c r="K3696">
        <v>571831</v>
      </c>
      <c r="L3696">
        <v>65743</v>
      </c>
      <c r="M3696">
        <v>-192681</v>
      </c>
      <c r="N3696">
        <v>64345</v>
      </c>
      <c r="O3696" t="s">
        <v>3714</v>
      </c>
      <c r="P3696" s="9">
        <v>250963</v>
      </c>
      <c r="Q3696" s="9">
        <v>34407</v>
      </c>
      <c r="R3696" s="9">
        <v>285370</v>
      </c>
      <c r="S3696" s="9">
        <v>-155773</v>
      </c>
      <c r="T3696" s="10">
        <v>132758</v>
      </c>
      <c r="U3696" s="10">
        <v>3846</v>
      </c>
    </row>
    <row r="3697" spans="1:21" x14ac:dyDescent="0.35">
      <c r="A3697" t="s">
        <v>15</v>
      </c>
      <c r="B3697" t="s">
        <v>16</v>
      </c>
      <c r="C3697" t="s">
        <v>17</v>
      </c>
      <c r="D3697">
        <v>280768</v>
      </c>
      <c r="E3697">
        <v>14454</v>
      </c>
      <c r="F3697">
        <v>38226</v>
      </c>
      <c r="G3697">
        <v>-274685</v>
      </c>
      <c r="H3697">
        <v>58763</v>
      </c>
      <c r="I3697">
        <v>59643</v>
      </c>
      <c r="J3697">
        <v>1251</v>
      </c>
      <c r="K3697">
        <v>874214</v>
      </c>
      <c r="L3697">
        <v>254329</v>
      </c>
      <c r="M3697">
        <v>-341839</v>
      </c>
      <c r="N3697">
        <v>233098</v>
      </c>
      <c r="O3697" t="s">
        <v>3715</v>
      </c>
      <c r="P3697" s="9">
        <v>298950</v>
      </c>
      <c r="Q3697" s="9">
        <v>36228</v>
      </c>
      <c r="R3697" s="9">
        <v>335178</v>
      </c>
      <c r="S3697" s="9">
        <v>-150938</v>
      </c>
      <c r="T3697" s="10">
        <v>73855</v>
      </c>
      <c r="U3697" s="10">
        <v>1139</v>
      </c>
    </row>
    <row r="3698" spans="1:21" x14ac:dyDescent="0.35">
      <c r="A3698" t="s">
        <v>15</v>
      </c>
      <c r="B3698" t="s">
        <v>20</v>
      </c>
      <c r="C3698" t="s">
        <v>17</v>
      </c>
      <c r="D3698">
        <v>286185</v>
      </c>
      <c r="E3698">
        <v>29125</v>
      </c>
      <c r="F3698">
        <v>47928</v>
      </c>
      <c r="G3698">
        <v>-239917</v>
      </c>
      <c r="H3698">
        <v>123321</v>
      </c>
      <c r="I3698">
        <v>124439</v>
      </c>
      <c r="J3698">
        <v>1479</v>
      </c>
      <c r="K3698">
        <v>972999</v>
      </c>
      <c r="L3698">
        <v>254222</v>
      </c>
      <c r="M3698">
        <v>-112923</v>
      </c>
      <c r="N3698">
        <v>149501</v>
      </c>
      <c r="O3698" t="s">
        <v>3716</v>
      </c>
      <c r="P3698" s="9">
        <v>156742</v>
      </c>
      <c r="Q3698" s="9">
        <v>20673</v>
      </c>
      <c r="R3698" s="9">
        <v>177415</v>
      </c>
      <c r="S3698" s="9">
        <v>-106073</v>
      </c>
      <c r="T3698" s="10">
        <v>67456</v>
      </c>
      <c r="U3698" s="10">
        <v>767</v>
      </c>
    </row>
    <row r="3699" spans="1:21" x14ac:dyDescent="0.35">
      <c r="A3699" t="s">
        <v>15</v>
      </c>
      <c r="B3699" t="s">
        <v>20</v>
      </c>
      <c r="C3699" t="s">
        <v>21</v>
      </c>
      <c r="D3699">
        <v>296718</v>
      </c>
      <c r="E3699">
        <v>45550</v>
      </c>
      <c r="F3699">
        <v>30689</v>
      </c>
      <c r="G3699">
        <v>-249588</v>
      </c>
      <c r="H3699">
        <v>123369</v>
      </c>
      <c r="I3699">
        <v>116513</v>
      </c>
      <c r="J3699">
        <v>3227</v>
      </c>
      <c r="K3699">
        <v>638469</v>
      </c>
      <c r="L3699">
        <v>305564</v>
      </c>
      <c r="M3699">
        <v>-180129</v>
      </c>
      <c r="N3699">
        <v>176097</v>
      </c>
      <c r="O3699" t="s">
        <v>3717</v>
      </c>
      <c r="P3699" s="9">
        <v>220863</v>
      </c>
      <c r="Q3699" s="9">
        <v>32332</v>
      </c>
      <c r="R3699" s="9">
        <v>253195</v>
      </c>
      <c r="S3699" s="9">
        <v>-121346</v>
      </c>
      <c r="T3699" s="10">
        <v>98729</v>
      </c>
      <c r="U3699" s="10">
        <v>2629</v>
      </c>
    </row>
    <row r="3700" spans="1:21" x14ac:dyDescent="0.35">
      <c r="A3700" t="s">
        <v>15</v>
      </c>
      <c r="B3700" t="s">
        <v>20</v>
      </c>
      <c r="C3700" t="s">
        <v>17</v>
      </c>
      <c r="D3700">
        <v>192845</v>
      </c>
      <c r="E3700">
        <v>12726</v>
      </c>
      <c r="F3700">
        <v>28565</v>
      </c>
      <c r="G3700">
        <v>-163788</v>
      </c>
      <c r="H3700">
        <v>70348</v>
      </c>
      <c r="I3700">
        <v>73197</v>
      </c>
      <c r="J3700">
        <v>1609</v>
      </c>
      <c r="K3700">
        <v>696192</v>
      </c>
      <c r="L3700">
        <v>344877</v>
      </c>
      <c r="M3700">
        <v>-150646</v>
      </c>
      <c r="N3700">
        <v>64457</v>
      </c>
      <c r="O3700" t="s">
        <v>3718</v>
      </c>
      <c r="P3700" s="9">
        <v>216550</v>
      </c>
      <c r="Q3700" s="9">
        <v>27789</v>
      </c>
      <c r="R3700" s="9">
        <v>244339</v>
      </c>
      <c r="S3700" s="9">
        <v>-58092</v>
      </c>
      <c r="T3700" s="10">
        <v>68035</v>
      </c>
      <c r="U3700" s="10">
        <v>982</v>
      </c>
    </row>
    <row r="3701" spans="1:21" x14ac:dyDescent="0.35">
      <c r="A3701" t="s">
        <v>15</v>
      </c>
      <c r="B3701" t="s">
        <v>16</v>
      </c>
      <c r="C3701" t="s">
        <v>21</v>
      </c>
      <c r="D3701">
        <v>200774</v>
      </c>
      <c r="E3701">
        <v>17136</v>
      </c>
      <c r="F3701">
        <v>22105</v>
      </c>
      <c r="G3701">
        <v>-166780</v>
      </c>
      <c r="H3701">
        <v>73235</v>
      </c>
      <c r="I3701">
        <v>73706</v>
      </c>
      <c r="J3701">
        <v>741</v>
      </c>
      <c r="K3701">
        <v>754393</v>
      </c>
      <c r="L3701">
        <v>190986</v>
      </c>
      <c r="M3701">
        <v>-184435</v>
      </c>
      <c r="N3701">
        <v>164552</v>
      </c>
      <c r="O3701" t="s">
        <v>3719</v>
      </c>
      <c r="P3701" s="9">
        <v>223841</v>
      </c>
      <c r="Q3701" s="9">
        <v>46287</v>
      </c>
      <c r="R3701" s="9">
        <v>270128</v>
      </c>
      <c r="S3701" s="9">
        <v>-123242</v>
      </c>
      <c r="T3701" s="10">
        <v>102899</v>
      </c>
      <c r="U3701" s="10">
        <v>2655</v>
      </c>
    </row>
    <row r="3702" spans="1:21" x14ac:dyDescent="0.35">
      <c r="A3702" t="s">
        <v>15</v>
      </c>
      <c r="B3702" t="s">
        <v>20</v>
      </c>
      <c r="C3702" t="s">
        <v>17</v>
      </c>
      <c r="D3702">
        <v>211131</v>
      </c>
      <c r="E3702">
        <v>21343</v>
      </c>
      <c r="F3702">
        <v>37366</v>
      </c>
      <c r="G3702">
        <v>-184470</v>
      </c>
      <c r="H3702">
        <v>85370</v>
      </c>
      <c r="I3702">
        <v>86478</v>
      </c>
      <c r="J3702">
        <v>1352</v>
      </c>
      <c r="K3702">
        <v>436007</v>
      </c>
      <c r="L3702">
        <v>119408</v>
      </c>
      <c r="M3702">
        <v>-79151</v>
      </c>
      <c r="N3702">
        <v>177133</v>
      </c>
      <c r="O3702" t="s">
        <v>3720</v>
      </c>
      <c r="P3702" s="9">
        <v>173174</v>
      </c>
      <c r="Q3702" s="9">
        <v>17964</v>
      </c>
      <c r="R3702" s="9">
        <v>191138</v>
      </c>
      <c r="S3702" s="9">
        <v>-111547</v>
      </c>
      <c r="T3702" s="10">
        <v>47156</v>
      </c>
      <c r="U3702" s="10">
        <v>610</v>
      </c>
    </row>
    <row r="3703" spans="1:21" x14ac:dyDescent="0.35">
      <c r="A3703" t="s">
        <v>15</v>
      </c>
      <c r="B3703" t="s">
        <v>16</v>
      </c>
      <c r="C3703" t="s">
        <v>21</v>
      </c>
      <c r="D3703">
        <v>227080</v>
      </c>
      <c r="E3703">
        <v>24749</v>
      </c>
      <c r="F3703">
        <v>51372</v>
      </c>
      <c r="G3703">
        <v>-208292</v>
      </c>
      <c r="H3703">
        <v>94909</v>
      </c>
      <c r="I3703">
        <v>97999</v>
      </c>
      <c r="J3703">
        <v>1802</v>
      </c>
      <c r="K3703">
        <v>483627</v>
      </c>
      <c r="L3703">
        <v>171464</v>
      </c>
      <c r="M3703">
        <v>-169020</v>
      </c>
      <c r="N3703">
        <v>73786</v>
      </c>
      <c r="O3703" t="s">
        <v>3721</v>
      </c>
      <c r="P3703" s="9">
        <v>175481</v>
      </c>
      <c r="Q3703" s="9">
        <v>23459</v>
      </c>
      <c r="R3703" s="9">
        <v>198940</v>
      </c>
      <c r="S3703" s="9">
        <v>-81171</v>
      </c>
      <c r="T3703" s="10">
        <v>79905</v>
      </c>
      <c r="U3703" s="10">
        <v>1585</v>
      </c>
    </row>
    <row r="3704" spans="1:21" x14ac:dyDescent="0.35">
      <c r="A3704" t="s">
        <v>15</v>
      </c>
      <c r="B3704" t="s">
        <v>16</v>
      </c>
      <c r="C3704" t="s">
        <v>17</v>
      </c>
      <c r="D3704">
        <v>261102</v>
      </c>
      <c r="E3704">
        <v>36723</v>
      </c>
      <c r="F3704">
        <v>50189</v>
      </c>
      <c r="G3704">
        <v>-248828</v>
      </c>
      <c r="H3704">
        <v>99186</v>
      </c>
      <c r="I3704">
        <v>93020</v>
      </c>
      <c r="J3704">
        <v>1333</v>
      </c>
      <c r="K3704">
        <v>795049</v>
      </c>
      <c r="L3704">
        <v>324623</v>
      </c>
      <c r="M3704">
        <v>-232621</v>
      </c>
      <c r="N3704">
        <v>128299</v>
      </c>
      <c r="O3704" t="s">
        <v>3722</v>
      </c>
      <c r="P3704" s="9">
        <v>235003</v>
      </c>
      <c r="Q3704" s="9">
        <v>40971</v>
      </c>
      <c r="R3704" s="9">
        <v>275974</v>
      </c>
      <c r="S3704" s="9">
        <v>-73850</v>
      </c>
      <c r="T3704" s="10">
        <v>95769</v>
      </c>
      <c r="U3704" s="10">
        <v>1389</v>
      </c>
    </row>
    <row r="3705" spans="1:21" x14ac:dyDescent="0.35">
      <c r="A3705" t="s">
        <v>15</v>
      </c>
      <c r="B3705" t="s">
        <v>16</v>
      </c>
      <c r="C3705" t="s">
        <v>21</v>
      </c>
      <c r="D3705">
        <v>227604</v>
      </c>
      <c r="E3705">
        <v>42321</v>
      </c>
      <c r="F3705">
        <v>24903</v>
      </c>
      <c r="G3705">
        <v>-185684</v>
      </c>
      <c r="H3705">
        <v>109144</v>
      </c>
      <c r="I3705">
        <v>110151</v>
      </c>
      <c r="J3705">
        <v>3226</v>
      </c>
      <c r="K3705">
        <v>485135</v>
      </c>
      <c r="L3705">
        <v>126667</v>
      </c>
      <c r="M3705">
        <v>-166323</v>
      </c>
      <c r="N3705">
        <v>88371</v>
      </c>
      <c r="O3705" t="s">
        <v>3723</v>
      </c>
      <c r="P3705" s="9">
        <v>260391</v>
      </c>
      <c r="Q3705" s="9">
        <v>24816</v>
      </c>
      <c r="R3705" s="9">
        <v>285207</v>
      </c>
      <c r="S3705" s="9">
        <v>-59376</v>
      </c>
      <c r="T3705" s="10">
        <v>68022</v>
      </c>
      <c r="U3705" s="10">
        <v>1138</v>
      </c>
    </row>
    <row r="3706" spans="1:21" x14ac:dyDescent="0.35">
      <c r="A3706" t="s">
        <v>15</v>
      </c>
      <c r="B3706" t="s">
        <v>20</v>
      </c>
      <c r="C3706" t="s">
        <v>17</v>
      </c>
      <c r="D3706">
        <v>192565</v>
      </c>
      <c r="E3706">
        <v>25907</v>
      </c>
      <c r="F3706">
        <v>46721</v>
      </c>
      <c r="G3706">
        <v>-182021</v>
      </c>
      <c r="H3706">
        <v>83172</v>
      </c>
      <c r="I3706">
        <v>78448</v>
      </c>
      <c r="J3706">
        <v>865</v>
      </c>
      <c r="K3706">
        <v>523827</v>
      </c>
      <c r="L3706">
        <v>99145</v>
      </c>
      <c r="M3706">
        <v>-176203</v>
      </c>
      <c r="N3706">
        <v>83745</v>
      </c>
      <c r="O3706" t="s">
        <v>3724</v>
      </c>
      <c r="P3706" s="9">
        <v>259563</v>
      </c>
      <c r="Q3706" s="9">
        <v>15713</v>
      </c>
      <c r="R3706" s="9">
        <v>275276</v>
      </c>
      <c r="S3706" s="9">
        <v>-161705</v>
      </c>
      <c r="T3706" s="10">
        <v>74384</v>
      </c>
      <c r="U3706" s="10">
        <v>1285</v>
      </c>
    </row>
    <row r="3707" spans="1:21" x14ac:dyDescent="0.35">
      <c r="A3707" t="s">
        <v>15</v>
      </c>
      <c r="B3707" t="s">
        <v>20</v>
      </c>
      <c r="C3707" t="s">
        <v>17</v>
      </c>
      <c r="D3707">
        <v>278737</v>
      </c>
      <c r="E3707">
        <v>14572</v>
      </c>
      <c r="F3707">
        <v>58692</v>
      </c>
      <c r="G3707">
        <v>-267790</v>
      </c>
      <c r="H3707">
        <v>84211</v>
      </c>
      <c r="I3707">
        <v>76931</v>
      </c>
      <c r="J3707">
        <v>1719</v>
      </c>
      <c r="K3707">
        <v>1078931</v>
      </c>
      <c r="L3707">
        <v>378425</v>
      </c>
      <c r="M3707">
        <v>-404007</v>
      </c>
      <c r="N3707">
        <v>245447</v>
      </c>
      <c r="O3707" t="s">
        <v>3725</v>
      </c>
      <c r="P3707" s="9">
        <v>241240</v>
      </c>
      <c r="Q3707" s="9">
        <v>17605</v>
      </c>
      <c r="R3707" s="9">
        <v>258845</v>
      </c>
      <c r="S3707" s="9">
        <v>-84510</v>
      </c>
      <c r="T3707" s="10">
        <v>92129</v>
      </c>
      <c r="U3707" s="10">
        <v>1536</v>
      </c>
    </row>
    <row r="3708" spans="1:21" x14ac:dyDescent="0.35">
      <c r="A3708" t="s">
        <v>15</v>
      </c>
      <c r="B3708" t="s">
        <v>16</v>
      </c>
      <c r="C3708" t="s">
        <v>21</v>
      </c>
      <c r="D3708">
        <v>241472</v>
      </c>
      <c r="E3708">
        <v>35733</v>
      </c>
      <c r="F3708">
        <v>49940</v>
      </c>
      <c r="G3708">
        <v>-204332</v>
      </c>
      <c r="H3708">
        <v>122813</v>
      </c>
      <c r="I3708">
        <v>118559</v>
      </c>
      <c r="J3708">
        <v>2420</v>
      </c>
      <c r="K3708">
        <v>858248</v>
      </c>
      <c r="L3708">
        <v>281872</v>
      </c>
      <c r="M3708">
        <v>-222745</v>
      </c>
      <c r="N3708">
        <v>90883</v>
      </c>
      <c r="O3708" t="s">
        <v>3726</v>
      </c>
      <c r="P3708" s="9">
        <v>172255</v>
      </c>
      <c r="Q3708" s="9">
        <v>23502</v>
      </c>
      <c r="R3708" s="9">
        <v>195757</v>
      </c>
      <c r="S3708" s="9">
        <v>-67567</v>
      </c>
      <c r="T3708" s="10">
        <v>78343</v>
      </c>
      <c r="U3708" s="10">
        <v>823</v>
      </c>
    </row>
    <row r="3709" spans="1:21" x14ac:dyDescent="0.35">
      <c r="A3709" t="s">
        <v>15</v>
      </c>
      <c r="B3709" t="s">
        <v>20</v>
      </c>
      <c r="C3709" t="s">
        <v>21</v>
      </c>
      <c r="D3709">
        <v>160887</v>
      </c>
      <c r="E3709">
        <v>24930</v>
      </c>
      <c r="F3709">
        <v>22686</v>
      </c>
      <c r="G3709">
        <v>-152821</v>
      </c>
      <c r="H3709">
        <v>55682</v>
      </c>
      <c r="I3709">
        <v>51060</v>
      </c>
      <c r="J3709">
        <v>1027</v>
      </c>
      <c r="K3709">
        <v>621520</v>
      </c>
      <c r="L3709">
        <v>163499</v>
      </c>
      <c r="M3709">
        <v>-220894</v>
      </c>
      <c r="N3709">
        <v>131347</v>
      </c>
      <c r="O3709" t="s">
        <v>3727</v>
      </c>
      <c r="P3709" s="9">
        <v>183781</v>
      </c>
      <c r="Q3709" s="9">
        <v>14471</v>
      </c>
      <c r="R3709" s="9">
        <v>198252</v>
      </c>
      <c r="S3709" s="9">
        <v>-68368</v>
      </c>
      <c r="T3709" s="10">
        <v>91233</v>
      </c>
      <c r="U3709" s="10">
        <v>1615</v>
      </c>
    </row>
    <row r="3710" spans="1:21" x14ac:dyDescent="0.35">
      <c r="A3710" t="s">
        <v>15</v>
      </c>
      <c r="B3710" t="s">
        <v>20</v>
      </c>
      <c r="C3710" t="s">
        <v>21</v>
      </c>
      <c r="D3710">
        <v>272038</v>
      </c>
      <c r="E3710">
        <v>20658</v>
      </c>
      <c r="F3710">
        <v>51473</v>
      </c>
      <c r="G3710">
        <v>-254018</v>
      </c>
      <c r="H3710">
        <v>90151</v>
      </c>
      <c r="I3710">
        <v>84760</v>
      </c>
      <c r="J3710">
        <v>1448</v>
      </c>
      <c r="K3710">
        <v>614561</v>
      </c>
      <c r="L3710">
        <v>93161</v>
      </c>
      <c r="M3710">
        <v>-97581</v>
      </c>
      <c r="N3710">
        <v>117872</v>
      </c>
      <c r="O3710" t="s">
        <v>3728</v>
      </c>
      <c r="P3710" s="9">
        <v>195494</v>
      </c>
      <c r="Q3710" s="9">
        <v>21033</v>
      </c>
      <c r="R3710" s="9">
        <v>216527</v>
      </c>
      <c r="S3710" s="9">
        <v>-53531</v>
      </c>
      <c r="T3710" s="10">
        <v>55197</v>
      </c>
      <c r="U3710" s="10">
        <v>631</v>
      </c>
    </row>
    <row r="3711" spans="1:21" x14ac:dyDescent="0.35">
      <c r="A3711" t="s">
        <v>15</v>
      </c>
      <c r="B3711" t="s">
        <v>20</v>
      </c>
      <c r="C3711" t="s">
        <v>17</v>
      </c>
      <c r="D3711">
        <v>154980</v>
      </c>
      <c r="E3711">
        <v>16432</v>
      </c>
      <c r="F3711">
        <v>19467</v>
      </c>
      <c r="G3711">
        <v>-139102</v>
      </c>
      <c r="H3711">
        <v>51777</v>
      </c>
      <c r="I3711">
        <v>52779</v>
      </c>
      <c r="J3711">
        <v>792</v>
      </c>
      <c r="K3711">
        <v>599532</v>
      </c>
      <c r="L3711">
        <v>262834</v>
      </c>
      <c r="M3711">
        <v>-207716</v>
      </c>
      <c r="N3711">
        <v>107430</v>
      </c>
      <c r="O3711" t="s">
        <v>3729</v>
      </c>
      <c r="P3711" s="9">
        <v>289588</v>
      </c>
      <c r="Q3711" s="9">
        <v>50371</v>
      </c>
      <c r="R3711" s="9">
        <v>339959</v>
      </c>
      <c r="S3711" s="9">
        <v>-141176</v>
      </c>
      <c r="T3711" s="10">
        <v>107100</v>
      </c>
      <c r="U3711" s="10">
        <v>2663</v>
      </c>
    </row>
    <row r="3712" spans="1:21" x14ac:dyDescent="0.35">
      <c r="A3712" t="s">
        <v>15</v>
      </c>
      <c r="B3712" t="s">
        <v>20</v>
      </c>
      <c r="C3712" t="s">
        <v>17</v>
      </c>
      <c r="D3712">
        <v>273628</v>
      </c>
      <c r="E3712">
        <v>39243</v>
      </c>
      <c r="F3712">
        <v>34587</v>
      </c>
      <c r="G3712">
        <v>-254493</v>
      </c>
      <c r="H3712">
        <v>92965</v>
      </c>
      <c r="I3712">
        <v>92156</v>
      </c>
      <c r="J3712">
        <v>1763</v>
      </c>
      <c r="K3712">
        <v>833521</v>
      </c>
      <c r="L3712">
        <v>149210</v>
      </c>
      <c r="M3712">
        <v>-137851</v>
      </c>
      <c r="N3712">
        <v>167999</v>
      </c>
      <c r="O3712" t="s">
        <v>3730</v>
      </c>
      <c r="P3712" s="9">
        <v>175927</v>
      </c>
      <c r="Q3712" s="9">
        <v>11730</v>
      </c>
      <c r="R3712" s="9">
        <v>187657</v>
      </c>
      <c r="S3712" s="9">
        <v>-101490</v>
      </c>
      <c r="T3712" s="10">
        <v>73256</v>
      </c>
      <c r="U3712" s="10">
        <v>1764</v>
      </c>
    </row>
    <row r="3713" spans="1:21" x14ac:dyDescent="0.35">
      <c r="A3713" t="s">
        <v>15</v>
      </c>
      <c r="B3713" t="s">
        <v>16</v>
      </c>
      <c r="C3713" t="s">
        <v>17</v>
      </c>
      <c r="D3713">
        <v>214633</v>
      </c>
      <c r="E3713">
        <v>36887</v>
      </c>
      <c r="F3713">
        <v>50922</v>
      </c>
      <c r="G3713">
        <v>-199788</v>
      </c>
      <c r="H3713">
        <v>102654</v>
      </c>
      <c r="I3713">
        <v>100738</v>
      </c>
      <c r="J3713">
        <v>1101</v>
      </c>
      <c r="K3713">
        <v>770298</v>
      </c>
      <c r="L3713">
        <v>100234</v>
      </c>
      <c r="M3713">
        <v>-287841</v>
      </c>
      <c r="N3713">
        <v>148773</v>
      </c>
      <c r="O3713" t="s">
        <v>3731</v>
      </c>
      <c r="P3713" s="9">
        <v>262361</v>
      </c>
      <c r="Q3713" s="9">
        <v>32141</v>
      </c>
      <c r="R3713" s="9">
        <v>294502</v>
      </c>
      <c r="S3713" s="9">
        <v>-169197</v>
      </c>
      <c r="T3713" s="10">
        <v>89001</v>
      </c>
      <c r="U3713" s="10">
        <v>1724</v>
      </c>
    </row>
    <row r="3714" spans="1:21" x14ac:dyDescent="0.35">
      <c r="A3714" t="s">
        <v>15</v>
      </c>
      <c r="B3714" t="s">
        <v>20</v>
      </c>
      <c r="C3714" t="s">
        <v>21</v>
      </c>
      <c r="D3714">
        <v>176435</v>
      </c>
      <c r="E3714">
        <v>10674</v>
      </c>
      <c r="F3714">
        <v>36400</v>
      </c>
      <c r="G3714">
        <v>-147517</v>
      </c>
      <c r="H3714">
        <v>75992</v>
      </c>
      <c r="I3714">
        <v>72248</v>
      </c>
      <c r="J3714">
        <v>983</v>
      </c>
      <c r="K3714">
        <v>539538</v>
      </c>
      <c r="L3714">
        <v>232613</v>
      </c>
      <c r="M3714">
        <v>-171390</v>
      </c>
      <c r="N3714">
        <v>136393</v>
      </c>
      <c r="O3714" t="s">
        <v>3732</v>
      </c>
      <c r="P3714" s="9">
        <v>218000</v>
      </c>
      <c r="Q3714" s="9">
        <v>15522</v>
      </c>
      <c r="R3714" s="9">
        <v>233522</v>
      </c>
      <c r="S3714" s="9">
        <v>-71589</v>
      </c>
      <c r="T3714" s="10">
        <v>83277</v>
      </c>
      <c r="U3714" s="10">
        <v>1171</v>
      </c>
    </row>
    <row r="3715" spans="1:21" x14ac:dyDescent="0.35">
      <c r="A3715" t="s">
        <v>15</v>
      </c>
      <c r="B3715" t="s">
        <v>16</v>
      </c>
      <c r="C3715" t="s">
        <v>21</v>
      </c>
      <c r="D3715">
        <v>150926</v>
      </c>
      <c r="E3715">
        <v>13825</v>
      </c>
      <c r="F3715">
        <v>15912</v>
      </c>
      <c r="G3715">
        <v>-126606</v>
      </c>
      <c r="H3715">
        <v>54057</v>
      </c>
      <c r="I3715">
        <v>51048</v>
      </c>
      <c r="J3715">
        <v>1252</v>
      </c>
      <c r="K3715">
        <v>370169</v>
      </c>
      <c r="L3715">
        <v>69219</v>
      </c>
      <c r="M3715">
        <v>-49679</v>
      </c>
      <c r="N3715">
        <v>71228</v>
      </c>
      <c r="O3715" t="s">
        <v>3733</v>
      </c>
      <c r="P3715" s="9">
        <v>169910</v>
      </c>
      <c r="Q3715" s="9">
        <v>22673</v>
      </c>
      <c r="R3715" s="9">
        <v>192583</v>
      </c>
      <c r="S3715" s="9">
        <v>-98977</v>
      </c>
      <c r="T3715" s="10">
        <v>77549</v>
      </c>
      <c r="U3715" s="10">
        <v>1945</v>
      </c>
    </row>
    <row r="3716" spans="1:21" x14ac:dyDescent="0.35">
      <c r="A3716" t="s">
        <v>15</v>
      </c>
      <c r="B3716" t="s">
        <v>16</v>
      </c>
      <c r="C3716" t="s">
        <v>17</v>
      </c>
      <c r="D3716">
        <v>296944</v>
      </c>
      <c r="E3716">
        <v>21599</v>
      </c>
      <c r="F3716">
        <v>35439</v>
      </c>
      <c r="G3716">
        <v>-282657</v>
      </c>
      <c r="H3716">
        <v>71325</v>
      </c>
      <c r="I3716">
        <v>66757</v>
      </c>
      <c r="J3716">
        <v>1284</v>
      </c>
      <c r="K3716">
        <v>999052</v>
      </c>
      <c r="L3716">
        <v>309687</v>
      </c>
      <c r="M3716">
        <v>-296394</v>
      </c>
      <c r="N3716">
        <v>99138</v>
      </c>
      <c r="O3716" t="s">
        <v>3734</v>
      </c>
      <c r="P3716" s="9">
        <v>150580</v>
      </c>
      <c r="Q3716" s="9">
        <v>12811</v>
      </c>
      <c r="R3716" s="9">
        <v>163391</v>
      </c>
      <c r="S3716" s="9">
        <v>-42714</v>
      </c>
      <c r="T3716" s="10">
        <v>67020</v>
      </c>
      <c r="U3716" s="10">
        <v>1584</v>
      </c>
    </row>
    <row r="3717" spans="1:21" x14ac:dyDescent="0.35">
      <c r="A3717" t="s">
        <v>15</v>
      </c>
      <c r="B3717" t="s">
        <v>20</v>
      </c>
      <c r="C3717" t="s">
        <v>21</v>
      </c>
      <c r="D3717">
        <v>244447</v>
      </c>
      <c r="E3717">
        <v>15901</v>
      </c>
      <c r="F3717">
        <v>60044</v>
      </c>
      <c r="G3717">
        <v>-226349</v>
      </c>
      <c r="H3717">
        <v>94043</v>
      </c>
      <c r="I3717">
        <v>93144</v>
      </c>
      <c r="J3717">
        <v>2386</v>
      </c>
      <c r="K3717">
        <v>583142</v>
      </c>
      <c r="L3717">
        <v>81229</v>
      </c>
      <c r="M3717">
        <v>-112032</v>
      </c>
      <c r="N3717">
        <v>83894</v>
      </c>
      <c r="O3717" t="s">
        <v>3735</v>
      </c>
      <c r="P3717" s="9">
        <v>210549</v>
      </c>
      <c r="Q3717" s="9">
        <v>18265</v>
      </c>
      <c r="R3717" s="9">
        <v>228814</v>
      </c>
      <c r="S3717" s="9">
        <v>-82763</v>
      </c>
      <c r="T3717" s="10">
        <v>71636</v>
      </c>
      <c r="U3717" s="10">
        <v>834</v>
      </c>
    </row>
    <row r="3718" spans="1:21" x14ac:dyDescent="0.35">
      <c r="A3718" t="s">
        <v>15</v>
      </c>
      <c r="B3718" t="s">
        <v>20</v>
      </c>
      <c r="C3718" t="s">
        <v>21</v>
      </c>
      <c r="D3718">
        <v>226028</v>
      </c>
      <c r="E3718">
        <v>26614</v>
      </c>
      <c r="F3718">
        <v>53047</v>
      </c>
      <c r="G3718">
        <v>-203269</v>
      </c>
      <c r="H3718">
        <v>102420</v>
      </c>
      <c r="I3718">
        <v>93423</v>
      </c>
      <c r="J3718">
        <v>1212</v>
      </c>
      <c r="K3718">
        <v>458343</v>
      </c>
      <c r="L3718">
        <v>156856</v>
      </c>
      <c r="M3718">
        <v>-164407</v>
      </c>
      <c r="N3718">
        <v>105748</v>
      </c>
      <c r="O3718" t="s">
        <v>3736</v>
      </c>
      <c r="P3718" s="9">
        <v>225825</v>
      </c>
      <c r="Q3718" s="9">
        <v>25357</v>
      </c>
      <c r="R3718" s="9">
        <v>251182</v>
      </c>
      <c r="S3718" s="9">
        <v>-122834</v>
      </c>
      <c r="T3718" s="10">
        <v>100515</v>
      </c>
      <c r="U3718" s="10">
        <v>2529</v>
      </c>
    </row>
    <row r="3719" spans="1:21" x14ac:dyDescent="0.35">
      <c r="A3719" t="s">
        <v>15</v>
      </c>
      <c r="B3719" t="s">
        <v>20</v>
      </c>
      <c r="C3719" t="s">
        <v>21</v>
      </c>
      <c r="D3719">
        <v>213173</v>
      </c>
      <c r="E3719">
        <v>36523</v>
      </c>
      <c r="F3719">
        <v>45265</v>
      </c>
      <c r="G3719">
        <v>-212578</v>
      </c>
      <c r="H3719">
        <v>82383</v>
      </c>
      <c r="I3719">
        <v>76458</v>
      </c>
      <c r="J3719">
        <v>2157</v>
      </c>
      <c r="K3719">
        <v>745940</v>
      </c>
      <c r="L3719">
        <v>273607</v>
      </c>
      <c r="M3719">
        <v>-194638</v>
      </c>
      <c r="N3719">
        <v>96764</v>
      </c>
      <c r="O3719" t="s">
        <v>3737</v>
      </c>
      <c r="P3719" s="9">
        <v>237782</v>
      </c>
      <c r="Q3719" s="9">
        <v>21317</v>
      </c>
      <c r="R3719" s="9">
        <v>259099</v>
      </c>
      <c r="S3719" s="9">
        <v>-55707</v>
      </c>
      <c r="T3719" s="10">
        <v>108823</v>
      </c>
      <c r="U3719" s="10">
        <v>2524</v>
      </c>
    </row>
    <row r="3720" spans="1:21" x14ac:dyDescent="0.35">
      <c r="A3720" t="s">
        <v>15</v>
      </c>
      <c r="B3720" t="s">
        <v>20</v>
      </c>
      <c r="C3720" t="s">
        <v>21</v>
      </c>
      <c r="D3720">
        <v>165071</v>
      </c>
      <c r="E3720">
        <v>25773</v>
      </c>
      <c r="F3720">
        <v>33651</v>
      </c>
      <c r="G3720">
        <v>-163423</v>
      </c>
      <c r="H3720">
        <v>61072</v>
      </c>
      <c r="I3720">
        <v>56738</v>
      </c>
      <c r="J3720">
        <v>1228</v>
      </c>
      <c r="K3720">
        <v>366236</v>
      </c>
      <c r="L3720">
        <v>69784</v>
      </c>
      <c r="M3720">
        <v>-96764</v>
      </c>
      <c r="N3720">
        <v>135950</v>
      </c>
      <c r="O3720" t="s">
        <v>3738</v>
      </c>
      <c r="P3720" s="9">
        <v>276694</v>
      </c>
      <c r="Q3720" s="9">
        <v>37503</v>
      </c>
      <c r="R3720" s="9">
        <v>314197</v>
      </c>
      <c r="S3720" s="9">
        <v>-75163</v>
      </c>
      <c r="T3720" s="10">
        <v>130602</v>
      </c>
      <c r="U3720" s="10">
        <v>3236</v>
      </c>
    </row>
    <row r="3721" spans="1:21" x14ac:dyDescent="0.35">
      <c r="A3721" t="s">
        <v>15</v>
      </c>
      <c r="B3721" t="s">
        <v>16</v>
      </c>
      <c r="C3721" t="s">
        <v>17</v>
      </c>
      <c r="D3721">
        <v>230988</v>
      </c>
      <c r="E3721">
        <v>45489</v>
      </c>
      <c r="F3721">
        <v>37529</v>
      </c>
      <c r="G3721">
        <v>-206372</v>
      </c>
      <c r="H3721">
        <v>107634</v>
      </c>
      <c r="I3721">
        <v>107239</v>
      </c>
      <c r="J3721">
        <v>1106</v>
      </c>
      <c r="K3721">
        <v>817783</v>
      </c>
      <c r="L3721">
        <v>181663</v>
      </c>
      <c r="M3721">
        <v>-107162</v>
      </c>
      <c r="N3721">
        <v>144370</v>
      </c>
      <c r="O3721" t="s">
        <v>3739</v>
      </c>
      <c r="P3721" s="9">
        <v>175539</v>
      </c>
      <c r="Q3721" s="9">
        <v>28285</v>
      </c>
      <c r="R3721" s="9">
        <v>203824</v>
      </c>
      <c r="S3721" s="9">
        <v>-104239</v>
      </c>
      <c r="T3721" s="10">
        <v>84842</v>
      </c>
      <c r="U3721" s="10">
        <v>1803</v>
      </c>
    </row>
    <row r="3722" spans="1:21" x14ac:dyDescent="0.35">
      <c r="A3722" t="s">
        <v>15</v>
      </c>
      <c r="B3722" t="s">
        <v>20</v>
      </c>
      <c r="C3722" t="s">
        <v>17</v>
      </c>
      <c r="D3722">
        <v>264187</v>
      </c>
      <c r="E3722">
        <v>29491</v>
      </c>
      <c r="F3722">
        <v>42936</v>
      </c>
      <c r="G3722">
        <v>-264141</v>
      </c>
      <c r="H3722">
        <v>72473</v>
      </c>
      <c r="I3722">
        <v>74119</v>
      </c>
      <c r="J3722">
        <v>1286</v>
      </c>
      <c r="K3722">
        <v>768665</v>
      </c>
      <c r="L3722">
        <v>90510</v>
      </c>
      <c r="M3722">
        <v>-173113</v>
      </c>
      <c r="N3722">
        <v>147429</v>
      </c>
      <c r="O3722" t="s">
        <v>3740</v>
      </c>
      <c r="P3722" s="9">
        <v>183706</v>
      </c>
      <c r="Q3722" s="9">
        <v>18949</v>
      </c>
      <c r="R3722" s="9">
        <v>202655</v>
      </c>
      <c r="S3722" s="9">
        <v>-98894</v>
      </c>
      <c r="T3722" s="10">
        <v>68992</v>
      </c>
      <c r="U3722" s="10">
        <v>2058</v>
      </c>
    </row>
    <row r="3723" spans="1:21" x14ac:dyDescent="0.35">
      <c r="A3723" t="s">
        <v>15</v>
      </c>
      <c r="B3723" t="s">
        <v>16</v>
      </c>
      <c r="C3723" t="s">
        <v>21</v>
      </c>
      <c r="D3723">
        <v>211352</v>
      </c>
      <c r="E3723">
        <v>26490</v>
      </c>
      <c r="F3723">
        <v>32695</v>
      </c>
      <c r="G3723">
        <v>-177808</v>
      </c>
      <c r="H3723">
        <v>92729</v>
      </c>
      <c r="I3723">
        <v>91335</v>
      </c>
      <c r="J3723">
        <v>1834</v>
      </c>
      <c r="K3723">
        <v>500299</v>
      </c>
      <c r="L3723">
        <v>218531</v>
      </c>
      <c r="M3723">
        <v>-177201</v>
      </c>
      <c r="N3723">
        <v>121163</v>
      </c>
      <c r="O3723" t="s">
        <v>3741</v>
      </c>
      <c r="P3723" s="9">
        <v>234462</v>
      </c>
      <c r="Q3723" s="9">
        <v>15939</v>
      </c>
      <c r="R3723" s="9">
        <v>250401</v>
      </c>
      <c r="S3723" s="9">
        <v>-110892</v>
      </c>
      <c r="T3723" s="10">
        <v>67900</v>
      </c>
      <c r="U3723" s="10">
        <v>1681</v>
      </c>
    </row>
    <row r="3724" spans="1:21" x14ac:dyDescent="0.35">
      <c r="A3724" t="s">
        <v>15</v>
      </c>
      <c r="B3724" t="s">
        <v>20</v>
      </c>
      <c r="C3724" t="s">
        <v>17</v>
      </c>
      <c r="D3724">
        <v>272305</v>
      </c>
      <c r="E3724">
        <v>34318</v>
      </c>
      <c r="F3724">
        <v>60964</v>
      </c>
      <c r="G3724">
        <v>-246248</v>
      </c>
      <c r="H3724">
        <v>121339</v>
      </c>
      <c r="I3724">
        <v>120956</v>
      </c>
      <c r="J3724">
        <v>3289</v>
      </c>
      <c r="K3724">
        <v>631136</v>
      </c>
      <c r="L3724">
        <v>308821</v>
      </c>
      <c r="M3724">
        <v>-231154</v>
      </c>
      <c r="N3724">
        <v>123518</v>
      </c>
      <c r="O3724" t="s">
        <v>3742</v>
      </c>
      <c r="P3724" s="9">
        <v>206609</v>
      </c>
      <c r="Q3724" s="9">
        <v>34344</v>
      </c>
      <c r="R3724" s="9">
        <v>240953</v>
      </c>
      <c r="S3724" s="9">
        <v>-93033</v>
      </c>
      <c r="T3724" s="10">
        <v>80108</v>
      </c>
      <c r="U3724" s="10">
        <v>959</v>
      </c>
    </row>
    <row r="3725" spans="1:21" x14ac:dyDescent="0.35">
      <c r="A3725" t="s">
        <v>15</v>
      </c>
      <c r="B3725" t="s">
        <v>16</v>
      </c>
      <c r="C3725" t="s">
        <v>17</v>
      </c>
      <c r="D3725">
        <v>254757</v>
      </c>
      <c r="E3725">
        <v>44499</v>
      </c>
      <c r="F3725">
        <v>35242</v>
      </c>
      <c r="G3725">
        <v>-253170</v>
      </c>
      <c r="H3725">
        <v>81328</v>
      </c>
      <c r="I3725">
        <v>78168</v>
      </c>
      <c r="J3725">
        <v>1143</v>
      </c>
      <c r="K3725">
        <v>544182</v>
      </c>
      <c r="L3725">
        <v>101798</v>
      </c>
      <c r="M3725">
        <v>-77948</v>
      </c>
      <c r="N3725">
        <v>147488</v>
      </c>
      <c r="O3725" t="s">
        <v>3743</v>
      </c>
      <c r="P3725" s="9">
        <v>249100</v>
      </c>
      <c r="Q3725" s="9">
        <v>19682</v>
      </c>
      <c r="R3725" s="9">
        <v>268782</v>
      </c>
      <c r="S3725" s="9">
        <v>-114410</v>
      </c>
      <c r="T3725" s="10">
        <v>80053</v>
      </c>
      <c r="U3725" s="10">
        <v>1373</v>
      </c>
    </row>
    <row r="3726" spans="1:21" x14ac:dyDescent="0.35">
      <c r="A3726" t="s">
        <v>15</v>
      </c>
      <c r="B3726" t="s">
        <v>16</v>
      </c>
      <c r="C3726" t="s">
        <v>21</v>
      </c>
      <c r="D3726">
        <v>169838</v>
      </c>
      <c r="E3726">
        <v>19077</v>
      </c>
      <c r="F3726">
        <v>30961</v>
      </c>
      <c r="G3726">
        <v>-145986</v>
      </c>
      <c r="H3726">
        <v>73890</v>
      </c>
      <c r="I3726">
        <v>69236</v>
      </c>
      <c r="J3726">
        <v>1098</v>
      </c>
      <c r="K3726">
        <v>473965</v>
      </c>
      <c r="L3726">
        <v>92993</v>
      </c>
      <c r="M3726">
        <v>-93595</v>
      </c>
      <c r="N3726">
        <v>54861</v>
      </c>
      <c r="O3726" t="s">
        <v>3744</v>
      </c>
      <c r="P3726" s="9">
        <v>172036</v>
      </c>
      <c r="Q3726" s="9">
        <v>27462</v>
      </c>
      <c r="R3726" s="9">
        <v>199498</v>
      </c>
      <c r="S3726" s="9">
        <v>-77279</v>
      </c>
      <c r="T3726" s="10">
        <v>68371</v>
      </c>
      <c r="U3726" s="10">
        <v>1513</v>
      </c>
    </row>
    <row r="3727" spans="1:21" x14ac:dyDescent="0.35">
      <c r="A3727" t="s">
        <v>15</v>
      </c>
      <c r="B3727" t="s">
        <v>16</v>
      </c>
      <c r="C3727" t="s">
        <v>21</v>
      </c>
      <c r="D3727">
        <v>210456</v>
      </c>
      <c r="E3727">
        <v>18561</v>
      </c>
      <c r="F3727">
        <v>41527</v>
      </c>
      <c r="G3727">
        <v>-175668</v>
      </c>
      <c r="H3727">
        <v>94876</v>
      </c>
      <c r="I3727">
        <v>97208</v>
      </c>
      <c r="J3727">
        <v>2275</v>
      </c>
      <c r="K3727">
        <v>649678</v>
      </c>
      <c r="L3727">
        <v>307251</v>
      </c>
      <c r="M3727">
        <v>-249119</v>
      </c>
      <c r="N3727">
        <v>103719</v>
      </c>
      <c r="O3727" t="s">
        <v>3745</v>
      </c>
      <c r="P3727" s="9">
        <v>285634</v>
      </c>
      <c r="Q3727" s="9">
        <v>40083</v>
      </c>
      <c r="R3727" s="9">
        <v>325717</v>
      </c>
      <c r="S3727" s="9">
        <v>-107215</v>
      </c>
      <c r="T3727" s="10">
        <v>117150</v>
      </c>
      <c r="U3727" s="10">
        <v>1645</v>
      </c>
    </row>
    <row r="3728" spans="1:21" x14ac:dyDescent="0.35">
      <c r="A3728" t="s">
        <v>15</v>
      </c>
      <c r="B3728" t="s">
        <v>16</v>
      </c>
      <c r="C3728" t="s">
        <v>21</v>
      </c>
      <c r="D3728">
        <v>181281</v>
      </c>
      <c r="E3728">
        <v>18042</v>
      </c>
      <c r="F3728">
        <v>24747</v>
      </c>
      <c r="G3728">
        <v>-176696</v>
      </c>
      <c r="H3728">
        <v>47374</v>
      </c>
      <c r="I3728">
        <v>45067</v>
      </c>
      <c r="J3728">
        <v>473</v>
      </c>
      <c r="K3728">
        <v>470570</v>
      </c>
      <c r="L3728">
        <v>162656</v>
      </c>
      <c r="M3728">
        <v>-68161</v>
      </c>
      <c r="N3728">
        <v>128982</v>
      </c>
      <c r="O3728" t="s">
        <v>3746</v>
      </c>
      <c r="P3728" s="9">
        <v>163789</v>
      </c>
      <c r="Q3728" s="9">
        <v>30454</v>
      </c>
      <c r="R3728" s="9">
        <v>194243</v>
      </c>
      <c r="S3728" s="9">
        <v>-114971</v>
      </c>
      <c r="T3728" s="10">
        <v>80268</v>
      </c>
      <c r="U3728" s="10">
        <v>883</v>
      </c>
    </row>
    <row r="3729" spans="1:21" x14ac:dyDescent="0.35">
      <c r="A3729" t="s">
        <v>15</v>
      </c>
      <c r="B3729" t="s">
        <v>16</v>
      </c>
      <c r="C3729" t="s">
        <v>21</v>
      </c>
      <c r="D3729">
        <v>258010</v>
      </c>
      <c r="E3729">
        <v>14639</v>
      </c>
      <c r="F3729">
        <v>34355</v>
      </c>
      <c r="G3729">
        <v>-256019</v>
      </c>
      <c r="H3729">
        <v>50985</v>
      </c>
      <c r="I3729">
        <v>51760</v>
      </c>
      <c r="J3729">
        <v>811</v>
      </c>
      <c r="K3729">
        <v>728719</v>
      </c>
      <c r="L3729">
        <v>262480</v>
      </c>
      <c r="M3729">
        <v>-275535</v>
      </c>
      <c r="N3729">
        <v>163590</v>
      </c>
      <c r="O3729" t="s">
        <v>3747</v>
      </c>
      <c r="P3729" s="9">
        <v>199913</v>
      </c>
      <c r="Q3729" s="9">
        <v>14749</v>
      </c>
      <c r="R3729" s="9">
        <v>214662</v>
      </c>
      <c r="S3729" s="9">
        <v>-125585</v>
      </c>
      <c r="T3729" s="10">
        <v>82054</v>
      </c>
      <c r="U3729" s="10">
        <v>995</v>
      </c>
    </row>
    <row r="3730" spans="1:21" x14ac:dyDescent="0.35">
      <c r="A3730" t="s">
        <v>15</v>
      </c>
      <c r="B3730" t="s">
        <v>16</v>
      </c>
      <c r="C3730" t="s">
        <v>21</v>
      </c>
      <c r="D3730">
        <v>152807</v>
      </c>
      <c r="E3730">
        <v>15843</v>
      </c>
      <c r="F3730">
        <v>35434</v>
      </c>
      <c r="G3730">
        <v>-123449</v>
      </c>
      <c r="H3730">
        <v>80635</v>
      </c>
      <c r="I3730">
        <v>77105</v>
      </c>
      <c r="J3730">
        <v>1262</v>
      </c>
      <c r="K3730">
        <v>595610</v>
      </c>
      <c r="L3730">
        <v>180107</v>
      </c>
      <c r="M3730">
        <v>-107423</v>
      </c>
      <c r="N3730">
        <v>54695</v>
      </c>
      <c r="O3730" t="s">
        <v>3748</v>
      </c>
      <c r="P3730" s="9">
        <v>164380</v>
      </c>
      <c r="Q3730" s="9">
        <v>37363</v>
      </c>
      <c r="R3730" s="9">
        <v>201743</v>
      </c>
      <c r="S3730" s="9">
        <v>-106955</v>
      </c>
      <c r="T3730" s="10">
        <v>94025</v>
      </c>
      <c r="U3730" s="10">
        <v>1657</v>
      </c>
    </row>
    <row r="3731" spans="1:21" x14ac:dyDescent="0.35">
      <c r="A3731" t="s">
        <v>15</v>
      </c>
      <c r="B3731" t="s">
        <v>16</v>
      </c>
      <c r="C3731" t="s">
        <v>21</v>
      </c>
      <c r="D3731">
        <v>278409</v>
      </c>
      <c r="E3731">
        <v>47071</v>
      </c>
      <c r="F3731">
        <v>29284</v>
      </c>
      <c r="G3731">
        <v>-239928</v>
      </c>
      <c r="H3731">
        <v>114836</v>
      </c>
      <c r="I3731">
        <v>107945</v>
      </c>
      <c r="J3731">
        <v>1427</v>
      </c>
      <c r="K3731">
        <v>992754</v>
      </c>
      <c r="L3731">
        <v>347241</v>
      </c>
      <c r="M3731">
        <v>-371989</v>
      </c>
      <c r="N3731">
        <v>231929</v>
      </c>
      <c r="O3731" t="s">
        <v>3749</v>
      </c>
      <c r="P3731" s="9">
        <v>210083</v>
      </c>
      <c r="Q3731" s="9">
        <v>12422</v>
      </c>
      <c r="R3731" s="9">
        <v>222505</v>
      </c>
      <c r="S3731" s="9">
        <v>-94907</v>
      </c>
      <c r="T3731" s="10">
        <v>82071</v>
      </c>
      <c r="U3731" s="10">
        <v>1919</v>
      </c>
    </row>
    <row r="3732" spans="1:21" x14ac:dyDescent="0.35">
      <c r="A3732" t="s">
        <v>15</v>
      </c>
      <c r="B3732" t="s">
        <v>16</v>
      </c>
      <c r="C3732" t="s">
        <v>21</v>
      </c>
      <c r="D3732">
        <v>195250</v>
      </c>
      <c r="E3732">
        <v>13256</v>
      </c>
      <c r="F3732">
        <v>41844</v>
      </c>
      <c r="G3732">
        <v>-164949</v>
      </c>
      <c r="H3732">
        <v>85401</v>
      </c>
      <c r="I3732">
        <v>83800</v>
      </c>
      <c r="J3732">
        <v>1968</v>
      </c>
      <c r="K3732">
        <v>611273</v>
      </c>
      <c r="L3732">
        <v>236998</v>
      </c>
      <c r="M3732">
        <v>-208872</v>
      </c>
      <c r="N3732">
        <v>64627</v>
      </c>
      <c r="O3732" t="s">
        <v>3750</v>
      </c>
      <c r="P3732" s="9">
        <v>314732</v>
      </c>
      <c r="Q3732" s="9">
        <v>18052</v>
      </c>
      <c r="R3732" s="9">
        <v>332784</v>
      </c>
      <c r="S3732" s="9">
        <v>-81572</v>
      </c>
      <c r="T3732" s="10">
        <v>96808</v>
      </c>
      <c r="U3732" s="10">
        <v>1161</v>
      </c>
    </row>
    <row r="3733" spans="1:21" x14ac:dyDescent="0.35">
      <c r="A3733" t="s">
        <v>15</v>
      </c>
      <c r="B3733" t="s">
        <v>20</v>
      </c>
      <c r="C3733" t="s">
        <v>21</v>
      </c>
      <c r="D3733">
        <v>178537</v>
      </c>
      <c r="E3733">
        <v>25403</v>
      </c>
      <c r="F3733">
        <v>36387</v>
      </c>
      <c r="G3733">
        <v>-169676</v>
      </c>
      <c r="H3733">
        <v>70651</v>
      </c>
      <c r="I3733">
        <v>71151</v>
      </c>
      <c r="J3733">
        <v>936</v>
      </c>
      <c r="K3733">
        <v>621806</v>
      </c>
      <c r="L3733">
        <v>245426</v>
      </c>
      <c r="M3733">
        <v>-132602</v>
      </c>
      <c r="N3733">
        <v>58547</v>
      </c>
      <c r="O3733" t="s">
        <v>3751</v>
      </c>
      <c r="P3733" s="9">
        <v>243596</v>
      </c>
      <c r="Q3733" s="9">
        <v>42372</v>
      </c>
      <c r="R3733" s="9">
        <v>285968</v>
      </c>
      <c r="S3733" s="9">
        <v>-71470</v>
      </c>
      <c r="T3733" s="10">
        <v>122357</v>
      </c>
      <c r="U3733" s="10">
        <v>2366</v>
      </c>
    </row>
    <row r="3734" spans="1:21" x14ac:dyDescent="0.35">
      <c r="A3734" t="s">
        <v>15</v>
      </c>
      <c r="B3734" t="s">
        <v>16</v>
      </c>
      <c r="C3734" t="s">
        <v>17</v>
      </c>
      <c r="D3734">
        <v>197474</v>
      </c>
      <c r="E3734">
        <v>28307</v>
      </c>
      <c r="F3734">
        <v>42172</v>
      </c>
      <c r="G3734">
        <v>-159009</v>
      </c>
      <c r="H3734">
        <v>108944</v>
      </c>
      <c r="I3734">
        <v>104070</v>
      </c>
      <c r="J3734">
        <v>1295</v>
      </c>
      <c r="K3734">
        <v>532336</v>
      </c>
      <c r="L3734">
        <v>121169</v>
      </c>
      <c r="M3734">
        <v>-141027</v>
      </c>
      <c r="N3734">
        <v>173727</v>
      </c>
      <c r="O3734" t="s">
        <v>3752</v>
      </c>
      <c r="P3734" s="9">
        <v>240359</v>
      </c>
      <c r="Q3734" s="9">
        <v>39282</v>
      </c>
      <c r="R3734" s="9">
        <v>279641</v>
      </c>
      <c r="S3734" s="9">
        <v>-60609</v>
      </c>
      <c r="T3734" s="10">
        <v>97724</v>
      </c>
      <c r="U3734" s="10">
        <v>1515</v>
      </c>
    </row>
    <row r="3735" spans="1:21" x14ac:dyDescent="0.35">
      <c r="A3735" t="s">
        <v>15</v>
      </c>
      <c r="B3735" t="s">
        <v>16</v>
      </c>
      <c r="C3735" t="s">
        <v>21</v>
      </c>
      <c r="D3735">
        <v>208839</v>
      </c>
      <c r="E3735">
        <v>23409</v>
      </c>
      <c r="F3735">
        <v>37783</v>
      </c>
      <c r="G3735">
        <v>-177448</v>
      </c>
      <c r="H3735">
        <v>92583</v>
      </c>
      <c r="I3735">
        <v>91235</v>
      </c>
      <c r="J3735">
        <v>1448</v>
      </c>
      <c r="K3735">
        <v>760739</v>
      </c>
      <c r="L3735">
        <v>340526</v>
      </c>
      <c r="M3735">
        <v>-95670</v>
      </c>
      <c r="N3735">
        <v>112819</v>
      </c>
      <c r="O3735" t="s">
        <v>3753</v>
      </c>
      <c r="P3735" s="9">
        <v>156511</v>
      </c>
      <c r="Q3735" s="9">
        <v>8744</v>
      </c>
      <c r="R3735" s="9">
        <v>165255</v>
      </c>
      <c r="S3735" s="9">
        <v>-51870</v>
      </c>
      <c r="T3735" s="10">
        <v>32492</v>
      </c>
      <c r="U3735" s="10">
        <v>792</v>
      </c>
    </row>
    <row r="3736" spans="1:21" x14ac:dyDescent="0.35">
      <c r="A3736" t="s">
        <v>15</v>
      </c>
      <c r="B3736" t="s">
        <v>20</v>
      </c>
      <c r="C3736" t="s">
        <v>17</v>
      </c>
      <c r="D3736">
        <v>265308</v>
      </c>
      <c r="E3736">
        <v>22087</v>
      </c>
      <c r="F3736">
        <v>60828</v>
      </c>
      <c r="G3736">
        <v>-254015</v>
      </c>
      <c r="H3736">
        <v>94208</v>
      </c>
      <c r="I3736">
        <v>88023</v>
      </c>
      <c r="J3736">
        <v>1195</v>
      </c>
      <c r="K3736">
        <v>618744</v>
      </c>
      <c r="L3736">
        <v>135239</v>
      </c>
      <c r="M3736">
        <v>-141882</v>
      </c>
      <c r="N3736">
        <v>169933</v>
      </c>
      <c r="O3736" t="s">
        <v>3754</v>
      </c>
      <c r="P3736" s="9">
        <v>237277</v>
      </c>
      <c r="Q3736" s="9">
        <v>41473</v>
      </c>
      <c r="R3736" s="9">
        <v>278750</v>
      </c>
      <c r="S3736" s="9">
        <v>-146138</v>
      </c>
      <c r="T3736" s="10">
        <v>124545</v>
      </c>
      <c r="U3736" s="10">
        <v>1456</v>
      </c>
    </row>
    <row r="3737" spans="1:21" x14ac:dyDescent="0.35">
      <c r="A3737" t="s">
        <v>15</v>
      </c>
      <c r="B3737" t="s">
        <v>20</v>
      </c>
      <c r="C3737" t="s">
        <v>21</v>
      </c>
      <c r="D3737">
        <v>229978</v>
      </c>
      <c r="E3737">
        <v>14015</v>
      </c>
      <c r="F3737">
        <v>45522</v>
      </c>
      <c r="G3737">
        <v>-199076</v>
      </c>
      <c r="H3737">
        <v>90439</v>
      </c>
      <c r="I3737">
        <v>88487</v>
      </c>
      <c r="J3737">
        <v>1346</v>
      </c>
      <c r="K3737">
        <v>844893</v>
      </c>
      <c r="L3737">
        <v>366964</v>
      </c>
      <c r="M3737">
        <v>-200287</v>
      </c>
      <c r="N3737">
        <v>140395</v>
      </c>
      <c r="O3737" t="s">
        <v>3755</v>
      </c>
      <c r="P3737" s="9">
        <v>213945</v>
      </c>
      <c r="Q3737" s="9">
        <v>17069</v>
      </c>
      <c r="R3737" s="9">
        <v>231014</v>
      </c>
      <c r="S3737" s="9">
        <v>-55709</v>
      </c>
      <c r="T3737" s="10">
        <v>49513</v>
      </c>
      <c r="U3737" s="10">
        <v>1318</v>
      </c>
    </row>
    <row r="3738" spans="1:21" x14ac:dyDescent="0.35">
      <c r="A3738" t="s">
        <v>15</v>
      </c>
      <c r="B3738" t="s">
        <v>20</v>
      </c>
      <c r="C3738" t="s">
        <v>17</v>
      </c>
      <c r="D3738">
        <v>221746</v>
      </c>
      <c r="E3738">
        <v>42963</v>
      </c>
      <c r="F3738">
        <v>27750</v>
      </c>
      <c r="G3738">
        <v>-213316</v>
      </c>
      <c r="H3738">
        <v>79143</v>
      </c>
      <c r="I3738">
        <v>82762</v>
      </c>
      <c r="J3738">
        <v>2186</v>
      </c>
      <c r="K3738">
        <v>869854</v>
      </c>
      <c r="L3738">
        <v>379935</v>
      </c>
      <c r="M3738">
        <v>-291739</v>
      </c>
      <c r="N3738">
        <v>113999</v>
      </c>
      <c r="O3738" t="s">
        <v>3756</v>
      </c>
      <c r="P3738" s="9">
        <v>197493</v>
      </c>
      <c r="Q3738" s="9">
        <v>16702</v>
      </c>
      <c r="R3738" s="9">
        <v>214195</v>
      </c>
      <c r="S3738" s="9">
        <v>-73506</v>
      </c>
      <c r="T3738" s="10">
        <v>52505</v>
      </c>
      <c r="U3738" s="10">
        <v>1035</v>
      </c>
    </row>
    <row r="3739" spans="1:21" x14ac:dyDescent="0.35">
      <c r="A3739" t="s">
        <v>15</v>
      </c>
      <c r="B3739" t="s">
        <v>20</v>
      </c>
      <c r="C3739" t="s">
        <v>21</v>
      </c>
      <c r="D3739">
        <v>290434</v>
      </c>
      <c r="E3739">
        <v>39130</v>
      </c>
      <c r="F3739">
        <v>55987</v>
      </c>
      <c r="G3739">
        <v>-243641</v>
      </c>
      <c r="H3739">
        <v>141910</v>
      </c>
      <c r="I3739">
        <v>145416</v>
      </c>
      <c r="J3739">
        <v>4018</v>
      </c>
      <c r="K3739">
        <v>1001595</v>
      </c>
      <c r="L3739">
        <v>282323</v>
      </c>
      <c r="M3739">
        <v>-154415</v>
      </c>
      <c r="N3739">
        <v>148797</v>
      </c>
      <c r="O3739" t="s">
        <v>3757</v>
      </c>
      <c r="P3739" s="9">
        <v>235533</v>
      </c>
      <c r="Q3739" s="9">
        <v>41600</v>
      </c>
      <c r="R3739" s="9">
        <v>277133</v>
      </c>
      <c r="S3739" s="9">
        <v>-124811</v>
      </c>
      <c r="T3739" s="10">
        <v>76515</v>
      </c>
      <c r="U3739" s="10">
        <v>1852</v>
      </c>
    </row>
    <row r="3740" spans="1:21" x14ac:dyDescent="0.35">
      <c r="A3740" t="s">
        <v>15</v>
      </c>
      <c r="B3740" t="s">
        <v>16</v>
      </c>
      <c r="C3740" t="s">
        <v>17</v>
      </c>
      <c r="D3740">
        <v>230300</v>
      </c>
      <c r="E3740">
        <v>29521</v>
      </c>
      <c r="F3740">
        <v>42012</v>
      </c>
      <c r="G3740">
        <v>-198572</v>
      </c>
      <c r="H3740">
        <v>103261</v>
      </c>
      <c r="I3740">
        <v>94105</v>
      </c>
      <c r="J3740">
        <v>1325</v>
      </c>
      <c r="K3740">
        <v>847499</v>
      </c>
      <c r="L3740">
        <v>88063</v>
      </c>
      <c r="M3740">
        <v>-154884</v>
      </c>
      <c r="N3740">
        <v>91604</v>
      </c>
      <c r="O3740" t="s">
        <v>3758</v>
      </c>
      <c r="P3740" s="9">
        <v>178944</v>
      </c>
      <c r="Q3740" s="9">
        <v>15716</v>
      </c>
      <c r="R3740" s="9">
        <v>194660</v>
      </c>
      <c r="S3740" s="9">
        <v>-40808</v>
      </c>
      <c r="T3740" s="10">
        <v>71030</v>
      </c>
      <c r="U3740" s="10">
        <v>1432</v>
      </c>
    </row>
    <row r="3741" spans="1:21" x14ac:dyDescent="0.35">
      <c r="A3741" t="s">
        <v>15</v>
      </c>
      <c r="B3741" t="s">
        <v>20</v>
      </c>
      <c r="C3741" t="s">
        <v>21</v>
      </c>
      <c r="D3741">
        <v>197495</v>
      </c>
      <c r="E3741">
        <v>30837</v>
      </c>
      <c r="F3741">
        <v>26447</v>
      </c>
      <c r="G3741">
        <v>-159053</v>
      </c>
      <c r="H3741">
        <v>95726</v>
      </c>
      <c r="I3741">
        <v>89465</v>
      </c>
      <c r="J3741">
        <v>1396</v>
      </c>
      <c r="K3741">
        <v>647490</v>
      </c>
      <c r="L3741">
        <v>68830</v>
      </c>
      <c r="M3741">
        <v>-140304</v>
      </c>
      <c r="N3741">
        <v>90119</v>
      </c>
      <c r="O3741" t="s">
        <v>3759</v>
      </c>
      <c r="P3741" s="9">
        <v>292728</v>
      </c>
      <c r="Q3741" s="9">
        <v>40686</v>
      </c>
      <c r="R3741" s="9">
        <v>333414</v>
      </c>
      <c r="S3741" s="9">
        <v>-96113</v>
      </c>
      <c r="T3741" s="10">
        <v>126707</v>
      </c>
      <c r="U3741" s="10">
        <v>2066</v>
      </c>
    </row>
    <row r="3742" spans="1:21" x14ac:dyDescent="0.35">
      <c r="A3742" t="s">
        <v>15</v>
      </c>
      <c r="B3742" t="s">
        <v>16</v>
      </c>
      <c r="C3742" t="s">
        <v>17</v>
      </c>
      <c r="D3742">
        <v>251504</v>
      </c>
      <c r="E3742">
        <v>15578</v>
      </c>
      <c r="F3742">
        <v>60573</v>
      </c>
      <c r="G3742">
        <v>-227407</v>
      </c>
      <c r="H3742">
        <v>100248</v>
      </c>
      <c r="I3742">
        <v>93005</v>
      </c>
      <c r="J3742">
        <v>2550</v>
      </c>
      <c r="K3742">
        <v>970938</v>
      </c>
      <c r="L3742">
        <v>323503</v>
      </c>
      <c r="M3742">
        <v>-332972</v>
      </c>
      <c r="N3742">
        <v>121736</v>
      </c>
      <c r="O3742" t="s">
        <v>3760</v>
      </c>
      <c r="P3742" s="9">
        <v>243678</v>
      </c>
      <c r="Q3742" s="9">
        <v>12337</v>
      </c>
      <c r="R3742" s="9">
        <v>256015</v>
      </c>
      <c r="S3742" s="9">
        <v>-143627</v>
      </c>
      <c r="T3742" s="10">
        <v>101014</v>
      </c>
      <c r="U3742" s="10">
        <v>2635</v>
      </c>
    </row>
    <row r="3743" spans="1:21" x14ac:dyDescent="0.35">
      <c r="A3743" t="s">
        <v>15</v>
      </c>
      <c r="B3743" t="s">
        <v>20</v>
      </c>
      <c r="C3743" t="s">
        <v>21</v>
      </c>
      <c r="D3743">
        <v>206348</v>
      </c>
      <c r="E3743">
        <v>39141</v>
      </c>
      <c r="F3743">
        <v>23432</v>
      </c>
      <c r="G3743">
        <v>-180790</v>
      </c>
      <c r="H3743">
        <v>88131</v>
      </c>
      <c r="I3743">
        <v>89254</v>
      </c>
      <c r="J3743">
        <v>1381</v>
      </c>
      <c r="K3743">
        <v>779556</v>
      </c>
      <c r="L3743">
        <v>359660</v>
      </c>
      <c r="M3743">
        <v>-100602</v>
      </c>
      <c r="N3743">
        <v>62883</v>
      </c>
      <c r="O3743" t="s">
        <v>3761</v>
      </c>
      <c r="P3743" s="9">
        <v>158585</v>
      </c>
      <c r="Q3743" s="9">
        <v>28585</v>
      </c>
      <c r="R3743" s="9">
        <v>187170</v>
      </c>
      <c r="S3743" s="9">
        <v>-89079</v>
      </c>
      <c r="T3743" s="10">
        <v>66909</v>
      </c>
      <c r="U3743" s="10">
        <v>1483</v>
      </c>
    </row>
    <row r="3744" spans="1:21" x14ac:dyDescent="0.35">
      <c r="A3744" t="s">
        <v>15</v>
      </c>
      <c r="B3744" t="s">
        <v>20</v>
      </c>
      <c r="C3744" t="s">
        <v>21</v>
      </c>
      <c r="D3744">
        <v>195317</v>
      </c>
      <c r="E3744">
        <v>24608</v>
      </c>
      <c r="F3744">
        <v>48729</v>
      </c>
      <c r="G3744">
        <v>-191366</v>
      </c>
      <c r="H3744">
        <v>77288</v>
      </c>
      <c r="I3744">
        <v>71214</v>
      </c>
      <c r="J3744">
        <v>1854</v>
      </c>
      <c r="K3744">
        <v>518891</v>
      </c>
      <c r="L3744">
        <v>257727</v>
      </c>
      <c r="M3744">
        <v>-173044</v>
      </c>
      <c r="N3744">
        <v>62204</v>
      </c>
      <c r="O3744" t="s">
        <v>3762</v>
      </c>
      <c r="P3744" s="9">
        <v>208981</v>
      </c>
      <c r="Q3744" s="9">
        <v>15114</v>
      </c>
      <c r="R3744" s="9">
        <v>224095</v>
      </c>
      <c r="S3744" s="9">
        <v>-127863</v>
      </c>
      <c r="T3744" s="10">
        <v>78295</v>
      </c>
      <c r="U3744" s="10">
        <v>1027</v>
      </c>
    </row>
    <row r="3745" spans="1:21" x14ac:dyDescent="0.35">
      <c r="A3745" t="s">
        <v>15</v>
      </c>
      <c r="B3745" t="s">
        <v>16</v>
      </c>
      <c r="C3745" t="s">
        <v>21</v>
      </c>
      <c r="D3745">
        <v>290453</v>
      </c>
      <c r="E3745">
        <v>22688</v>
      </c>
      <c r="F3745">
        <v>45344</v>
      </c>
      <c r="G3745">
        <v>-262128</v>
      </c>
      <c r="H3745">
        <v>96357</v>
      </c>
      <c r="I3745">
        <v>94027</v>
      </c>
      <c r="J3745">
        <v>1574</v>
      </c>
      <c r="K3745">
        <v>740735</v>
      </c>
      <c r="L3745">
        <v>110265</v>
      </c>
      <c r="M3745">
        <v>-173890</v>
      </c>
      <c r="N3745">
        <v>178792</v>
      </c>
      <c r="O3745" t="s">
        <v>3763</v>
      </c>
      <c r="P3745" s="9">
        <v>294376</v>
      </c>
      <c r="Q3745" s="9">
        <v>42304</v>
      </c>
      <c r="R3745" s="9">
        <v>336680</v>
      </c>
      <c r="S3745" s="9">
        <v>-93707</v>
      </c>
      <c r="T3745" s="10">
        <v>145920</v>
      </c>
      <c r="U3745" s="10">
        <v>2842</v>
      </c>
    </row>
    <row r="3746" spans="1:21" x14ac:dyDescent="0.35">
      <c r="A3746" t="s">
        <v>15</v>
      </c>
      <c r="B3746" t="s">
        <v>20</v>
      </c>
      <c r="C3746" t="s">
        <v>21</v>
      </c>
      <c r="D3746">
        <v>152757</v>
      </c>
      <c r="E3746">
        <v>17667</v>
      </c>
      <c r="F3746">
        <v>32695</v>
      </c>
      <c r="G3746">
        <v>-139660</v>
      </c>
      <c r="H3746">
        <v>63459</v>
      </c>
      <c r="I3746">
        <v>65291</v>
      </c>
      <c r="J3746">
        <v>821</v>
      </c>
      <c r="K3746">
        <v>351442</v>
      </c>
      <c r="L3746">
        <v>165192</v>
      </c>
      <c r="M3746">
        <v>-37594</v>
      </c>
      <c r="N3746">
        <v>128610</v>
      </c>
      <c r="O3746" t="s">
        <v>3764</v>
      </c>
      <c r="P3746" s="9">
        <v>273934</v>
      </c>
      <c r="Q3746" s="9">
        <v>23900</v>
      </c>
      <c r="R3746" s="9">
        <v>297834</v>
      </c>
      <c r="S3746" s="9">
        <v>-142564</v>
      </c>
      <c r="T3746" s="10">
        <v>58326</v>
      </c>
      <c r="U3746" s="10">
        <v>586</v>
      </c>
    </row>
    <row r="3747" spans="1:21" x14ac:dyDescent="0.35">
      <c r="A3747" t="s">
        <v>15</v>
      </c>
      <c r="B3747" t="s">
        <v>16</v>
      </c>
      <c r="C3747" t="s">
        <v>21</v>
      </c>
      <c r="D3747">
        <v>208122</v>
      </c>
      <c r="E3747">
        <v>31855</v>
      </c>
      <c r="F3747">
        <v>51743</v>
      </c>
      <c r="G3747">
        <v>-188150</v>
      </c>
      <c r="H3747">
        <v>103570</v>
      </c>
      <c r="I3747">
        <v>102601</v>
      </c>
      <c r="J3747">
        <v>3076</v>
      </c>
      <c r="K3747">
        <v>819133</v>
      </c>
      <c r="L3747">
        <v>184222</v>
      </c>
      <c r="M3747">
        <v>-253722</v>
      </c>
      <c r="N3747">
        <v>78268</v>
      </c>
      <c r="O3747" t="s">
        <v>3765</v>
      </c>
      <c r="P3747" s="9">
        <v>233944</v>
      </c>
      <c r="Q3747" s="9">
        <v>23033</v>
      </c>
      <c r="R3747" s="9">
        <v>256977</v>
      </c>
      <c r="S3747" s="9">
        <v>-121902</v>
      </c>
      <c r="T3747" s="10">
        <v>69637</v>
      </c>
      <c r="U3747" s="10">
        <v>2005</v>
      </c>
    </row>
    <row r="3748" spans="1:21" x14ac:dyDescent="0.35">
      <c r="A3748" t="s">
        <v>15</v>
      </c>
      <c r="B3748" t="s">
        <v>20</v>
      </c>
      <c r="C3748" t="s">
        <v>21</v>
      </c>
      <c r="D3748">
        <v>157182</v>
      </c>
      <c r="E3748">
        <v>17926</v>
      </c>
      <c r="F3748">
        <v>39151</v>
      </c>
      <c r="G3748">
        <v>-136055</v>
      </c>
      <c r="H3748">
        <v>78204</v>
      </c>
      <c r="I3748">
        <v>73926</v>
      </c>
      <c r="J3748">
        <v>1651</v>
      </c>
      <c r="K3748">
        <v>605415</v>
      </c>
      <c r="L3748">
        <v>301455</v>
      </c>
      <c r="M3748">
        <v>-96064</v>
      </c>
      <c r="N3748">
        <v>130373</v>
      </c>
      <c r="O3748" t="s">
        <v>3766</v>
      </c>
      <c r="P3748" s="9">
        <v>221800</v>
      </c>
      <c r="Q3748" s="9">
        <v>15900</v>
      </c>
      <c r="R3748" s="9">
        <v>237700</v>
      </c>
      <c r="S3748" s="9">
        <v>-137255</v>
      </c>
      <c r="T3748" s="10">
        <v>58355</v>
      </c>
      <c r="U3748" s="10">
        <v>1605</v>
      </c>
    </row>
    <row r="3749" spans="1:21" x14ac:dyDescent="0.35">
      <c r="A3749" t="s">
        <v>15</v>
      </c>
      <c r="B3749" t="s">
        <v>16</v>
      </c>
      <c r="C3749" t="s">
        <v>21</v>
      </c>
      <c r="D3749">
        <v>163395</v>
      </c>
      <c r="E3749">
        <v>20421</v>
      </c>
      <c r="F3749">
        <v>34483</v>
      </c>
      <c r="G3749">
        <v>-141097</v>
      </c>
      <c r="H3749">
        <v>77202</v>
      </c>
      <c r="I3749">
        <v>77653</v>
      </c>
      <c r="J3749">
        <v>1907</v>
      </c>
      <c r="K3749">
        <v>599651</v>
      </c>
      <c r="L3749">
        <v>220071</v>
      </c>
      <c r="M3749">
        <v>-116922</v>
      </c>
      <c r="N3749">
        <v>125514</v>
      </c>
      <c r="O3749" t="s">
        <v>3767</v>
      </c>
      <c r="P3749" s="9">
        <v>163167</v>
      </c>
      <c r="Q3749" s="9">
        <v>28116</v>
      </c>
      <c r="R3749" s="9">
        <v>191283</v>
      </c>
      <c r="S3749" s="9">
        <v>-110061</v>
      </c>
      <c r="T3749" s="10">
        <v>93530</v>
      </c>
      <c r="U3749" s="10">
        <v>1218</v>
      </c>
    </row>
    <row r="3750" spans="1:21" x14ac:dyDescent="0.35">
      <c r="A3750" t="s">
        <v>15</v>
      </c>
      <c r="B3750" t="s">
        <v>16</v>
      </c>
      <c r="C3750" t="s">
        <v>17</v>
      </c>
      <c r="D3750">
        <v>239881</v>
      </c>
      <c r="E3750">
        <v>45021</v>
      </c>
      <c r="F3750">
        <v>51845</v>
      </c>
      <c r="G3750">
        <v>-215378</v>
      </c>
      <c r="H3750">
        <v>121369</v>
      </c>
      <c r="I3750">
        <v>112821</v>
      </c>
      <c r="J3750">
        <v>3023</v>
      </c>
      <c r="K3750">
        <v>782791</v>
      </c>
      <c r="L3750">
        <v>178798</v>
      </c>
      <c r="M3750">
        <v>-117299</v>
      </c>
      <c r="N3750">
        <v>115514</v>
      </c>
      <c r="O3750" t="s">
        <v>3768</v>
      </c>
      <c r="P3750" s="9">
        <v>291911</v>
      </c>
      <c r="Q3750" s="9">
        <v>21426</v>
      </c>
      <c r="R3750" s="9">
        <v>313337</v>
      </c>
      <c r="S3750" s="9">
        <v>-145073</v>
      </c>
      <c r="T3750" s="10">
        <v>79446</v>
      </c>
      <c r="U3750" s="10">
        <v>833</v>
      </c>
    </row>
    <row r="3751" spans="1:21" x14ac:dyDescent="0.35">
      <c r="A3751" t="s">
        <v>15</v>
      </c>
      <c r="B3751" t="s">
        <v>16</v>
      </c>
      <c r="C3751" t="s">
        <v>21</v>
      </c>
      <c r="D3751">
        <v>232767</v>
      </c>
      <c r="E3751">
        <v>17242</v>
      </c>
      <c r="F3751">
        <v>53016</v>
      </c>
      <c r="G3751">
        <v>-225952</v>
      </c>
      <c r="H3751">
        <v>77073</v>
      </c>
      <c r="I3751">
        <v>75159</v>
      </c>
      <c r="J3751">
        <v>1275</v>
      </c>
      <c r="K3751">
        <v>671307</v>
      </c>
      <c r="L3751">
        <v>74099</v>
      </c>
      <c r="M3751">
        <v>-107366</v>
      </c>
      <c r="N3751">
        <v>189739</v>
      </c>
      <c r="O3751" t="s">
        <v>3769</v>
      </c>
      <c r="P3751" s="9">
        <v>169933</v>
      </c>
      <c r="Q3751" s="9">
        <v>26468</v>
      </c>
      <c r="R3751" s="9">
        <v>196401</v>
      </c>
      <c r="S3751" s="9">
        <v>-115778</v>
      </c>
      <c r="T3751" s="10">
        <v>49534</v>
      </c>
      <c r="U3751" s="10">
        <v>619</v>
      </c>
    </row>
    <row r="3752" spans="1:21" x14ac:dyDescent="0.35">
      <c r="A3752" t="s">
        <v>15</v>
      </c>
      <c r="B3752" t="s">
        <v>20</v>
      </c>
      <c r="C3752" t="s">
        <v>21</v>
      </c>
      <c r="D3752">
        <v>152214</v>
      </c>
      <c r="E3752">
        <v>15361</v>
      </c>
      <c r="F3752">
        <v>21328</v>
      </c>
      <c r="G3752">
        <v>-141799</v>
      </c>
      <c r="H3752">
        <v>47104</v>
      </c>
      <c r="I3752">
        <v>44245</v>
      </c>
      <c r="J3752">
        <v>620</v>
      </c>
      <c r="K3752">
        <v>404505</v>
      </c>
      <c r="L3752">
        <v>148021</v>
      </c>
      <c r="M3752">
        <v>-133766</v>
      </c>
      <c r="N3752">
        <v>53014</v>
      </c>
      <c r="O3752" t="s">
        <v>3770</v>
      </c>
      <c r="P3752" s="9">
        <v>262985</v>
      </c>
      <c r="Q3752" s="9">
        <v>43690</v>
      </c>
      <c r="R3752" s="9">
        <v>306675</v>
      </c>
      <c r="S3752" s="9">
        <v>-90464</v>
      </c>
      <c r="T3752" s="10">
        <v>69470</v>
      </c>
      <c r="U3752" s="10">
        <v>1182</v>
      </c>
    </row>
    <row r="3753" spans="1:21" x14ac:dyDescent="0.35">
      <c r="A3753" t="s">
        <v>15</v>
      </c>
      <c r="B3753" t="s">
        <v>20</v>
      </c>
      <c r="C3753" t="s">
        <v>21</v>
      </c>
      <c r="D3753">
        <v>233560</v>
      </c>
      <c r="E3753">
        <v>23855</v>
      </c>
      <c r="F3753">
        <v>50398</v>
      </c>
      <c r="G3753">
        <v>-233093</v>
      </c>
      <c r="H3753">
        <v>74720</v>
      </c>
      <c r="I3753">
        <v>78391</v>
      </c>
      <c r="J3753">
        <v>1370</v>
      </c>
      <c r="K3753">
        <v>631966</v>
      </c>
      <c r="L3753">
        <v>72061</v>
      </c>
      <c r="M3753">
        <v>-207061</v>
      </c>
      <c r="N3753">
        <v>100501</v>
      </c>
      <c r="O3753" t="s">
        <v>3771</v>
      </c>
      <c r="P3753" s="9">
        <v>153863</v>
      </c>
      <c r="Q3753" s="9">
        <v>11221</v>
      </c>
      <c r="R3753" s="9">
        <v>165084</v>
      </c>
      <c r="S3753" s="9">
        <v>-90123</v>
      </c>
      <c r="T3753" s="10">
        <v>60645</v>
      </c>
      <c r="U3753" s="10">
        <v>1270</v>
      </c>
    </row>
    <row r="3754" spans="1:21" x14ac:dyDescent="0.35">
      <c r="A3754" t="s">
        <v>15</v>
      </c>
      <c r="B3754" t="s">
        <v>16</v>
      </c>
      <c r="C3754" t="s">
        <v>21</v>
      </c>
      <c r="D3754">
        <v>181316</v>
      </c>
      <c r="E3754">
        <v>20325</v>
      </c>
      <c r="F3754">
        <v>23388</v>
      </c>
      <c r="G3754">
        <v>-163942</v>
      </c>
      <c r="H3754">
        <v>61087</v>
      </c>
      <c r="I3754">
        <v>58158</v>
      </c>
      <c r="J3754">
        <v>692</v>
      </c>
      <c r="K3754">
        <v>443569</v>
      </c>
      <c r="L3754">
        <v>191165</v>
      </c>
      <c r="M3754">
        <v>-129767</v>
      </c>
      <c r="N3754">
        <v>97162</v>
      </c>
      <c r="O3754" t="s">
        <v>3772</v>
      </c>
      <c r="P3754" s="9">
        <v>158447</v>
      </c>
      <c r="Q3754" s="9">
        <v>24760</v>
      </c>
      <c r="R3754" s="9">
        <v>183207</v>
      </c>
      <c r="S3754" s="9">
        <v>-61869</v>
      </c>
      <c r="T3754" s="10">
        <v>74055</v>
      </c>
      <c r="U3754" s="10">
        <v>1335</v>
      </c>
    </row>
    <row r="3755" spans="1:21" x14ac:dyDescent="0.35">
      <c r="A3755" t="s">
        <v>15</v>
      </c>
      <c r="B3755" t="s">
        <v>20</v>
      </c>
      <c r="C3755" t="s">
        <v>21</v>
      </c>
      <c r="D3755">
        <v>224279</v>
      </c>
      <c r="E3755">
        <v>41206</v>
      </c>
      <c r="F3755">
        <v>48679</v>
      </c>
      <c r="G3755">
        <v>-204278</v>
      </c>
      <c r="H3755">
        <v>109886</v>
      </c>
      <c r="I3755">
        <v>114235</v>
      </c>
      <c r="J3755">
        <v>1603</v>
      </c>
      <c r="K3755">
        <v>564550</v>
      </c>
      <c r="L3755">
        <v>175528</v>
      </c>
      <c r="M3755">
        <v>-161496</v>
      </c>
      <c r="N3755">
        <v>110217</v>
      </c>
      <c r="O3755" t="s">
        <v>3773</v>
      </c>
      <c r="P3755" s="9">
        <v>226984</v>
      </c>
      <c r="Q3755" s="9">
        <v>30198</v>
      </c>
      <c r="R3755" s="9">
        <v>257182</v>
      </c>
      <c r="S3755" s="9">
        <v>-52837</v>
      </c>
      <c r="T3755" s="10">
        <v>115482</v>
      </c>
      <c r="U3755" s="10">
        <v>1427</v>
      </c>
    </row>
    <row r="3756" spans="1:21" x14ac:dyDescent="0.35">
      <c r="A3756" t="s">
        <v>15</v>
      </c>
      <c r="B3756" t="s">
        <v>20</v>
      </c>
      <c r="C3756" t="s">
        <v>17</v>
      </c>
      <c r="D3756">
        <v>232400</v>
      </c>
      <c r="E3756">
        <v>43700</v>
      </c>
      <c r="F3756">
        <v>56468</v>
      </c>
      <c r="G3756">
        <v>-224989</v>
      </c>
      <c r="H3756">
        <v>107579</v>
      </c>
      <c r="I3756">
        <v>112951</v>
      </c>
      <c r="J3756">
        <v>2831</v>
      </c>
      <c r="K3756">
        <v>712130</v>
      </c>
      <c r="L3756">
        <v>148047</v>
      </c>
      <c r="M3756">
        <v>-109650</v>
      </c>
      <c r="N3756">
        <v>190009</v>
      </c>
      <c r="O3756" t="s">
        <v>3774</v>
      </c>
      <c r="P3756" s="9">
        <v>153021</v>
      </c>
      <c r="Q3756" s="9">
        <v>14729</v>
      </c>
      <c r="R3756" s="9">
        <v>167750</v>
      </c>
      <c r="S3756" s="9">
        <v>-87645</v>
      </c>
      <c r="T3756" s="10">
        <v>71306</v>
      </c>
      <c r="U3756" s="10">
        <v>1056</v>
      </c>
    </row>
    <row r="3757" spans="1:21" x14ac:dyDescent="0.35">
      <c r="A3757" t="s">
        <v>15</v>
      </c>
      <c r="B3757" t="s">
        <v>16</v>
      </c>
      <c r="C3757" t="s">
        <v>21</v>
      </c>
      <c r="D3757">
        <v>151014</v>
      </c>
      <c r="E3757">
        <v>20891</v>
      </c>
      <c r="F3757">
        <v>32208</v>
      </c>
      <c r="G3757">
        <v>-145885</v>
      </c>
      <c r="H3757">
        <v>58228</v>
      </c>
      <c r="I3757">
        <v>58639</v>
      </c>
      <c r="J3757">
        <v>1326</v>
      </c>
      <c r="K3757">
        <v>459305</v>
      </c>
      <c r="L3757">
        <v>167423</v>
      </c>
      <c r="M3757">
        <v>-134839</v>
      </c>
      <c r="N3757">
        <v>57586</v>
      </c>
      <c r="O3757" t="s">
        <v>3775</v>
      </c>
      <c r="P3757" s="9">
        <v>184479</v>
      </c>
      <c r="Q3757" s="9">
        <v>33229</v>
      </c>
      <c r="R3757" s="9">
        <v>217708</v>
      </c>
      <c r="S3757" s="9">
        <v>-61795</v>
      </c>
      <c r="T3757" s="10">
        <v>81072</v>
      </c>
      <c r="U3757" s="10">
        <v>2341</v>
      </c>
    </row>
    <row r="3758" spans="1:21" x14ac:dyDescent="0.35">
      <c r="A3758" t="s">
        <v>15</v>
      </c>
      <c r="B3758" t="s">
        <v>20</v>
      </c>
      <c r="C3758" t="s">
        <v>21</v>
      </c>
      <c r="D3758">
        <v>263818</v>
      </c>
      <c r="E3758">
        <v>43034</v>
      </c>
      <c r="F3758">
        <v>31123</v>
      </c>
      <c r="G3758">
        <v>-217940</v>
      </c>
      <c r="H3758">
        <v>120035</v>
      </c>
      <c r="I3758">
        <v>119330</v>
      </c>
      <c r="J3758">
        <v>3097</v>
      </c>
      <c r="K3758">
        <v>817700</v>
      </c>
      <c r="L3758">
        <v>405008</v>
      </c>
      <c r="M3758">
        <v>-92992</v>
      </c>
      <c r="N3758">
        <v>103357</v>
      </c>
      <c r="O3758" t="s">
        <v>3776</v>
      </c>
      <c r="P3758" s="9">
        <v>234690</v>
      </c>
      <c r="Q3758" s="9">
        <v>39441</v>
      </c>
      <c r="R3758" s="9">
        <v>274131</v>
      </c>
      <c r="S3758" s="9">
        <v>-106459</v>
      </c>
      <c r="T3758" s="10">
        <v>72725</v>
      </c>
      <c r="U3758" s="10">
        <v>1678</v>
      </c>
    </row>
    <row r="3759" spans="1:21" x14ac:dyDescent="0.35">
      <c r="A3759" t="s">
        <v>15</v>
      </c>
      <c r="B3759" t="s">
        <v>20</v>
      </c>
      <c r="C3759" t="s">
        <v>17</v>
      </c>
      <c r="D3759">
        <v>250453</v>
      </c>
      <c r="E3759">
        <v>18981</v>
      </c>
      <c r="F3759">
        <v>39315</v>
      </c>
      <c r="G3759">
        <v>-219430</v>
      </c>
      <c r="H3759">
        <v>89319</v>
      </c>
      <c r="I3759">
        <v>80968</v>
      </c>
      <c r="J3759">
        <v>2107</v>
      </c>
      <c r="K3759">
        <v>971870</v>
      </c>
      <c r="L3759">
        <v>383640</v>
      </c>
      <c r="M3759">
        <v>-308138</v>
      </c>
      <c r="N3759">
        <v>134844</v>
      </c>
      <c r="O3759" t="s">
        <v>3777</v>
      </c>
      <c r="P3759" s="9">
        <v>197298</v>
      </c>
      <c r="Q3759" s="9">
        <v>16228</v>
      </c>
      <c r="R3759" s="9">
        <v>213526</v>
      </c>
      <c r="S3759" s="9">
        <v>-64263</v>
      </c>
      <c r="T3759" s="10">
        <v>52542</v>
      </c>
      <c r="U3759" s="10">
        <v>1345</v>
      </c>
    </row>
    <row r="3760" spans="1:21" x14ac:dyDescent="0.35">
      <c r="A3760" t="s">
        <v>15</v>
      </c>
      <c r="B3760" t="s">
        <v>20</v>
      </c>
      <c r="C3760" t="s">
        <v>21</v>
      </c>
      <c r="D3760">
        <v>160011</v>
      </c>
      <c r="E3760">
        <v>30517</v>
      </c>
      <c r="F3760">
        <v>35913</v>
      </c>
      <c r="G3760">
        <v>-145312</v>
      </c>
      <c r="H3760">
        <v>81129</v>
      </c>
      <c r="I3760">
        <v>76676</v>
      </c>
      <c r="J3760">
        <v>1698</v>
      </c>
      <c r="K3760">
        <v>538784</v>
      </c>
      <c r="L3760">
        <v>141687</v>
      </c>
      <c r="M3760">
        <v>-174413</v>
      </c>
      <c r="N3760">
        <v>51561</v>
      </c>
      <c r="O3760" t="s">
        <v>3778</v>
      </c>
      <c r="P3760" s="9">
        <v>213846</v>
      </c>
      <c r="Q3760" s="9">
        <v>30575</v>
      </c>
      <c r="R3760" s="9">
        <v>244421</v>
      </c>
      <c r="S3760" s="9">
        <v>-66085</v>
      </c>
      <c r="T3760" s="10">
        <v>95557</v>
      </c>
      <c r="U3760" s="10">
        <v>1180</v>
      </c>
    </row>
    <row r="3761" spans="1:21" x14ac:dyDescent="0.35">
      <c r="A3761" t="s">
        <v>15</v>
      </c>
      <c r="B3761" t="s">
        <v>16</v>
      </c>
      <c r="C3761" t="s">
        <v>21</v>
      </c>
      <c r="D3761">
        <v>180716</v>
      </c>
      <c r="E3761">
        <v>20113</v>
      </c>
      <c r="F3761">
        <v>36591</v>
      </c>
      <c r="G3761">
        <v>-161632</v>
      </c>
      <c r="H3761">
        <v>75788</v>
      </c>
      <c r="I3761">
        <v>69353</v>
      </c>
      <c r="J3761">
        <v>726</v>
      </c>
      <c r="K3761">
        <v>666446</v>
      </c>
      <c r="L3761">
        <v>189103</v>
      </c>
      <c r="M3761">
        <v>-87644</v>
      </c>
      <c r="N3761">
        <v>79978</v>
      </c>
      <c r="O3761" t="s">
        <v>3779</v>
      </c>
      <c r="P3761" s="9">
        <v>192749</v>
      </c>
      <c r="Q3761" s="9">
        <v>37284</v>
      </c>
      <c r="R3761" s="9">
        <v>230033</v>
      </c>
      <c r="S3761" s="9">
        <v>-86813</v>
      </c>
      <c r="T3761" s="10">
        <v>94949</v>
      </c>
      <c r="U3761" s="10">
        <v>1025</v>
      </c>
    </row>
    <row r="3762" spans="1:21" x14ac:dyDescent="0.35">
      <c r="A3762" t="s">
        <v>15</v>
      </c>
      <c r="B3762" t="s">
        <v>16</v>
      </c>
      <c r="C3762" t="s">
        <v>21</v>
      </c>
      <c r="D3762">
        <v>296404</v>
      </c>
      <c r="E3762">
        <v>29643</v>
      </c>
      <c r="F3762">
        <v>61599</v>
      </c>
      <c r="G3762">
        <v>-274758</v>
      </c>
      <c r="H3762">
        <v>112888</v>
      </c>
      <c r="I3762">
        <v>106219</v>
      </c>
      <c r="J3762">
        <v>2515</v>
      </c>
      <c r="K3762">
        <v>825201</v>
      </c>
      <c r="L3762">
        <v>103999</v>
      </c>
      <c r="M3762">
        <v>-229628</v>
      </c>
      <c r="N3762">
        <v>139903</v>
      </c>
      <c r="O3762" t="s">
        <v>3780</v>
      </c>
      <c r="P3762" s="9">
        <v>164034</v>
      </c>
      <c r="Q3762" s="9">
        <v>27014</v>
      </c>
      <c r="R3762" s="9">
        <v>191048</v>
      </c>
      <c r="S3762" s="9">
        <v>-92714</v>
      </c>
      <c r="T3762" s="10">
        <v>63549</v>
      </c>
      <c r="U3762" s="10">
        <v>652</v>
      </c>
    </row>
    <row r="3763" spans="1:21" x14ac:dyDescent="0.35">
      <c r="A3763" t="s">
        <v>15</v>
      </c>
      <c r="B3763" t="s">
        <v>20</v>
      </c>
      <c r="C3763" t="s">
        <v>21</v>
      </c>
      <c r="D3763">
        <v>256414</v>
      </c>
      <c r="E3763">
        <v>48259</v>
      </c>
      <c r="F3763">
        <v>46178</v>
      </c>
      <c r="G3763">
        <v>-213809</v>
      </c>
      <c r="H3763">
        <v>137042</v>
      </c>
      <c r="I3763">
        <v>142680</v>
      </c>
      <c r="J3763">
        <v>2579</v>
      </c>
      <c r="K3763">
        <v>954541</v>
      </c>
      <c r="L3763">
        <v>152715</v>
      </c>
      <c r="M3763">
        <v>-154441</v>
      </c>
      <c r="N3763">
        <v>126617</v>
      </c>
      <c r="O3763" t="s">
        <v>3781</v>
      </c>
      <c r="P3763" s="9">
        <v>261224</v>
      </c>
      <c r="Q3763" s="9">
        <v>46814</v>
      </c>
      <c r="R3763" s="9">
        <v>308038</v>
      </c>
      <c r="S3763" s="9">
        <v>-109360</v>
      </c>
      <c r="T3763" s="10">
        <v>134839</v>
      </c>
      <c r="U3763" s="10">
        <v>3644</v>
      </c>
    </row>
    <row r="3764" spans="1:21" x14ac:dyDescent="0.35">
      <c r="A3764" t="s">
        <v>15</v>
      </c>
      <c r="B3764" t="s">
        <v>16</v>
      </c>
      <c r="C3764" t="s">
        <v>17</v>
      </c>
      <c r="D3764">
        <v>185362</v>
      </c>
      <c r="E3764">
        <v>35353</v>
      </c>
      <c r="F3764">
        <v>19195</v>
      </c>
      <c r="G3764">
        <v>-161915</v>
      </c>
      <c r="H3764">
        <v>77995</v>
      </c>
      <c r="I3764">
        <v>79520</v>
      </c>
      <c r="J3764">
        <v>1033</v>
      </c>
      <c r="K3764">
        <v>735835</v>
      </c>
      <c r="L3764">
        <v>189021</v>
      </c>
      <c r="M3764">
        <v>-233873</v>
      </c>
      <c r="N3764">
        <v>81168</v>
      </c>
      <c r="O3764" t="s">
        <v>3782</v>
      </c>
      <c r="P3764" s="9">
        <v>289349</v>
      </c>
      <c r="Q3764" s="9">
        <v>34069</v>
      </c>
      <c r="R3764" s="9">
        <v>323418</v>
      </c>
      <c r="S3764" s="9">
        <v>-127683</v>
      </c>
      <c r="T3764" s="10">
        <v>140182</v>
      </c>
      <c r="U3764" s="10">
        <v>2111</v>
      </c>
    </row>
    <row r="3765" spans="1:21" x14ac:dyDescent="0.35">
      <c r="A3765" t="s">
        <v>15</v>
      </c>
      <c r="B3765" t="s">
        <v>16</v>
      </c>
      <c r="C3765" t="s">
        <v>21</v>
      </c>
      <c r="D3765">
        <v>156156</v>
      </c>
      <c r="E3765">
        <v>11817</v>
      </c>
      <c r="F3765">
        <v>23379</v>
      </c>
      <c r="G3765">
        <v>-140828</v>
      </c>
      <c r="H3765">
        <v>50524</v>
      </c>
      <c r="I3765">
        <v>51408</v>
      </c>
      <c r="J3765">
        <v>1263</v>
      </c>
      <c r="K3765">
        <v>520456</v>
      </c>
      <c r="L3765">
        <v>229717</v>
      </c>
      <c r="M3765">
        <v>-170053</v>
      </c>
      <c r="N3765">
        <v>93104</v>
      </c>
      <c r="O3765" t="s">
        <v>3783</v>
      </c>
      <c r="P3765" s="9">
        <v>162472</v>
      </c>
      <c r="Q3765" s="9">
        <v>18965</v>
      </c>
      <c r="R3765" s="9">
        <v>181437</v>
      </c>
      <c r="S3765" s="9">
        <v>-54537</v>
      </c>
      <c r="T3765" s="10">
        <v>56035</v>
      </c>
      <c r="U3765" s="10">
        <v>1097</v>
      </c>
    </row>
    <row r="3766" spans="1:21" x14ac:dyDescent="0.35">
      <c r="A3766" t="s">
        <v>15</v>
      </c>
      <c r="B3766" t="s">
        <v>20</v>
      </c>
      <c r="C3766" t="s">
        <v>21</v>
      </c>
      <c r="D3766">
        <v>291819</v>
      </c>
      <c r="E3766">
        <v>27391</v>
      </c>
      <c r="F3766">
        <v>51279</v>
      </c>
      <c r="G3766">
        <v>-280385</v>
      </c>
      <c r="H3766">
        <v>90104</v>
      </c>
      <c r="I3766">
        <v>86336</v>
      </c>
      <c r="J3766">
        <v>1261</v>
      </c>
      <c r="K3766">
        <v>1097884</v>
      </c>
      <c r="L3766">
        <v>148880</v>
      </c>
      <c r="M3766">
        <v>-236236</v>
      </c>
      <c r="N3766">
        <v>194137</v>
      </c>
      <c r="O3766" t="s">
        <v>3784</v>
      </c>
      <c r="P3766" s="9">
        <v>301717</v>
      </c>
      <c r="Q3766" s="9">
        <v>60230</v>
      </c>
      <c r="R3766" s="9">
        <v>361947</v>
      </c>
      <c r="S3766" s="9">
        <v>-199541</v>
      </c>
      <c r="T3766" s="10">
        <v>164403</v>
      </c>
      <c r="U3766" s="10">
        <v>3681</v>
      </c>
    </row>
    <row r="3767" spans="1:21" x14ac:dyDescent="0.35">
      <c r="A3767" t="s">
        <v>15</v>
      </c>
      <c r="B3767" t="s">
        <v>20</v>
      </c>
      <c r="C3767" t="s">
        <v>21</v>
      </c>
      <c r="D3767">
        <v>212292</v>
      </c>
      <c r="E3767">
        <v>12727</v>
      </c>
      <c r="F3767">
        <v>52740</v>
      </c>
      <c r="G3767">
        <v>-209476</v>
      </c>
      <c r="H3767">
        <v>68283</v>
      </c>
      <c r="I3767">
        <v>67507</v>
      </c>
      <c r="J3767">
        <v>734</v>
      </c>
      <c r="K3767">
        <v>707447</v>
      </c>
      <c r="L3767">
        <v>276080</v>
      </c>
      <c r="M3767">
        <v>-175219</v>
      </c>
      <c r="N3767">
        <v>118037</v>
      </c>
      <c r="O3767" t="s">
        <v>3785</v>
      </c>
      <c r="P3767" s="9">
        <v>194804</v>
      </c>
      <c r="Q3767" s="9">
        <v>25134</v>
      </c>
      <c r="R3767" s="9">
        <v>219938</v>
      </c>
      <c r="S3767" s="9">
        <v>-70916</v>
      </c>
      <c r="T3767" s="10">
        <v>61544</v>
      </c>
      <c r="U3767" s="10">
        <v>769</v>
      </c>
    </row>
    <row r="3768" spans="1:21" x14ac:dyDescent="0.35">
      <c r="A3768" t="s">
        <v>15</v>
      </c>
      <c r="B3768" t="s">
        <v>20</v>
      </c>
      <c r="C3768" t="s">
        <v>21</v>
      </c>
      <c r="D3768">
        <v>231691</v>
      </c>
      <c r="E3768">
        <v>25603</v>
      </c>
      <c r="F3768">
        <v>38368</v>
      </c>
      <c r="G3768">
        <v>-209651</v>
      </c>
      <c r="H3768">
        <v>86011</v>
      </c>
      <c r="I3768">
        <v>89037</v>
      </c>
      <c r="J3768">
        <v>1915</v>
      </c>
      <c r="K3768">
        <v>628537</v>
      </c>
      <c r="L3768">
        <v>128810</v>
      </c>
      <c r="M3768">
        <v>-229603</v>
      </c>
      <c r="N3768">
        <v>149925</v>
      </c>
      <c r="O3768" t="s">
        <v>3786</v>
      </c>
      <c r="P3768" s="9">
        <v>222560</v>
      </c>
      <c r="Q3768" s="9">
        <v>33383</v>
      </c>
      <c r="R3768" s="9">
        <v>255943</v>
      </c>
      <c r="S3768" s="9">
        <v>-53837</v>
      </c>
      <c r="T3768" s="10">
        <v>90933</v>
      </c>
      <c r="U3768" s="10">
        <v>2116</v>
      </c>
    </row>
    <row r="3769" spans="1:21" x14ac:dyDescent="0.35">
      <c r="A3769" t="s">
        <v>15</v>
      </c>
      <c r="B3769" t="s">
        <v>20</v>
      </c>
      <c r="C3769" t="s">
        <v>21</v>
      </c>
      <c r="D3769">
        <v>174274</v>
      </c>
      <c r="E3769">
        <v>24012</v>
      </c>
      <c r="F3769">
        <v>31277</v>
      </c>
      <c r="G3769">
        <v>-162720</v>
      </c>
      <c r="H3769">
        <v>66843</v>
      </c>
      <c r="I3769">
        <v>66234</v>
      </c>
      <c r="J3769">
        <v>759</v>
      </c>
      <c r="K3769">
        <v>366028</v>
      </c>
      <c r="L3769">
        <v>135155</v>
      </c>
      <c r="M3769">
        <v>-101337</v>
      </c>
      <c r="N3769">
        <v>84865</v>
      </c>
      <c r="O3769" t="s">
        <v>3787</v>
      </c>
      <c r="P3769" s="9">
        <v>301420</v>
      </c>
      <c r="Q3769" s="9">
        <v>51896</v>
      </c>
      <c r="R3769" s="9">
        <v>353316</v>
      </c>
      <c r="S3769" s="9">
        <v>-87037</v>
      </c>
      <c r="T3769" s="10">
        <v>144398</v>
      </c>
      <c r="U3769" s="10">
        <v>3178</v>
      </c>
    </row>
    <row r="3770" spans="1:21" x14ac:dyDescent="0.35">
      <c r="A3770" t="s">
        <v>15</v>
      </c>
      <c r="B3770" t="s">
        <v>16</v>
      </c>
      <c r="C3770" t="s">
        <v>21</v>
      </c>
      <c r="D3770">
        <v>159567</v>
      </c>
      <c r="E3770">
        <v>22165</v>
      </c>
      <c r="F3770">
        <v>35577</v>
      </c>
      <c r="G3770">
        <v>-156544</v>
      </c>
      <c r="H3770">
        <v>60765</v>
      </c>
      <c r="I3770">
        <v>56498</v>
      </c>
      <c r="J3770">
        <v>1125</v>
      </c>
      <c r="K3770">
        <v>431719</v>
      </c>
      <c r="L3770">
        <v>76644</v>
      </c>
      <c r="M3770">
        <v>-86108</v>
      </c>
      <c r="N3770">
        <v>48340</v>
      </c>
      <c r="O3770" t="s">
        <v>3788</v>
      </c>
      <c r="P3770" s="9">
        <v>205158</v>
      </c>
      <c r="Q3770" s="9">
        <v>36283</v>
      </c>
      <c r="R3770" s="9">
        <v>241441</v>
      </c>
      <c r="S3770" s="9">
        <v>-82206</v>
      </c>
      <c r="T3770" s="10">
        <v>110091</v>
      </c>
      <c r="U3770" s="10">
        <v>1970</v>
      </c>
    </row>
    <row r="3771" spans="1:21" x14ac:dyDescent="0.35">
      <c r="A3771" t="s">
        <v>15</v>
      </c>
      <c r="B3771" t="s">
        <v>16</v>
      </c>
      <c r="C3771" t="s">
        <v>21</v>
      </c>
      <c r="D3771">
        <v>296916</v>
      </c>
      <c r="E3771">
        <v>55108</v>
      </c>
      <c r="F3771">
        <v>50562</v>
      </c>
      <c r="G3771">
        <v>-247232</v>
      </c>
      <c r="H3771">
        <v>155354</v>
      </c>
      <c r="I3771">
        <v>152981</v>
      </c>
      <c r="J3771">
        <v>4050</v>
      </c>
      <c r="K3771">
        <v>635510</v>
      </c>
      <c r="L3771">
        <v>194522</v>
      </c>
      <c r="M3771">
        <v>-234708</v>
      </c>
      <c r="N3771">
        <v>188409</v>
      </c>
      <c r="O3771" t="s">
        <v>3789</v>
      </c>
      <c r="P3771" s="9">
        <v>258663</v>
      </c>
      <c r="Q3771" s="9">
        <v>23494</v>
      </c>
      <c r="R3771" s="9">
        <v>282157</v>
      </c>
      <c r="S3771" s="9">
        <v>-138046</v>
      </c>
      <c r="T3771" s="10">
        <v>82800</v>
      </c>
      <c r="U3771" s="10">
        <v>1364</v>
      </c>
    </row>
    <row r="3772" spans="1:21" x14ac:dyDescent="0.35">
      <c r="A3772" t="s">
        <v>15</v>
      </c>
      <c r="B3772" t="s">
        <v>16</v>
      </c>
      <c r="C3772" t="s">
        <v>21</v>
      </c>
      <c r="D3772">
        <v>182792</v>
      </c>
      <c r="E3772">
        <v>31753</v>
      </c>
      <c r="F3772">
        <v>26084</v>
      </c>
      <c r="G3772">
        <v>-159611</v>
      </c>
      <c r="H3772">
        <v>81018</v>
      </c>
      <c r="I3772">
        <v>73216</v>
      </c>
      <c r="J3772">
        <v>1362</v>
      </c>
      <c r="K3772">
        <v>372673</v>
      </c>
      <c r="L3772">
        <v>155320</v>
      </c>
      <c r="M3772">
        <v>-81604</v>
      </c>
      <c r="N3772">
        <v>104232</v>
      </c>
      <c r="O3772" t="s">
        <v>3790</v>
      </c>
      <c r="P3772" s="9">
        <v>277464</v>
      </c>
      <c r="Q3772" s="9">
        <v>50793</v>
      </c>
      <c r="R3772" s="9">
        <v>328257</v>
      </c>
      <c r="S3772" s="9">
        <v>-170937</v>
      </c>
      <c r="T3772" s="10">
        <v>101778</v>
      </c>
      <c r="U3772" s="10">
        <v>2637</v>
      </c>
    </row>
    <row r="3773" spans="1:21" x14ac:dyDescent="0.35">
      <c r="A3773" t="s">
        <v>15</v>
      </c>
      <c r="B3773" t="s">
        <v>20</v>
      </c>
      <c r="C3773" t="s">
        <v>17</v>
      </c>
      <c r="D3773">
        <v>207280</v>
      </c>
      <c r="E3773">
        <v>21898</v>
      </c>
      <c r="F3773">
        <v>22616</v>
      </c>
      <c r="G3773">
        <v>-192560</v>
      </c>
      <c r="H3773">
        <v>59234</v>
      </c>
      <c r="I3773">
        <v>60304</v>
      </c>
      <c r="J3773">
        <v>1412</v>
      </c>
      <c r="K3773">
        <v>707369</v>
      </c>
      <c r="L3773">
        <v>277076</v>
      </c>
      <c r="M3773">
        <v>-221363</v>
      </c>
      <c r="N3773">
        <v>139341</v>
      </c>
      <c r="O3773" t="s">
        <v>3791</v>
      </c>
      <c r="P3773" s="9">
        <v>148468</v>
      </c>
      <c r="Q3773" s="9">
        <v>26751</v>
      </c>
      <c r="R3773" s="9">
        <v>175219</v>
      </c>
      <c r="S3773" s="9">
        <v>-66711</v>
      </c>
      <c r="T3773" s="10">
        <v>64076</v>
      </c>
      <c r="U3773" s="10">
        <v>786</v>
      </c>
    </row>
    <row r="3774" spans="1:21" x14ac:dyDescent="0.35">
      <c r="A3774" t="s">
        <v>15</v>
      </c>
      <c r="B3774" t="s">
        <v>16</v>
      </c>
      <c r="C3774" t="s">
        <v>21</v>
      </c>
      <c r="D3774">
        <v>236839</v>
      </c>
      <c r="E3774">
        <v>31202</v>
      </c>
      <c r="F3774">
        <v>51926</v>
      </c>
      <c r="G3774">
        <v>-193562</v>
      </c>
      <c r="H3774">
        <v>126405</v>
      </c>
      <c r="I3774">
        <v>128216</v>
      </c>
      <c r="J3774">
        <v>1792</v>
      </c>
      <c r="K3774">
        <v>659630</v>
      </c>
      <c r="L3774">
        <v>324952</v>
      </c>
      <c r="M3774">
        <v>-88557</v>
      </c>
      <c r="N3774">
        <v>136350</v>
      </c>
      <c r="O3774" t="s">
        <v>3792</v>
      </c>
      <c r="P3774" s="9">
        <v>176670</v>
      </c>
      <c r="Q3774" s="9">
        <v>18325</v>
      </c>
      <c r="R3774" s="9">
        <v>194995</v>
      </c>
      <c r="S3774" s="9">
        <v>-104550</v>
      </c>
      <c r="T3774" s="10">
        <v>66800</v>
      </c>
      <c r="U3774" s="10">
        <v>1074</v>
      </c>
    </row>
    <row r="3775" spans="1:21" x14ac:dyDescent="0.35">
      <c r="A3775" t="s">
        <v>15</v>
      </c>
      <c r="B3775" t="s">
        <v>20</v>
      </c>
      <c r="C3775" t="s">
        <v>21</v>
      </c>
      <c r="D3775">
        <v>217739</v>
      </c>
      <c r="E3775">
        <v>30104</v>
      </c>
      <c r="F3775">
        <v>25498</v>
      </c>
      <c r="G3775">
        <v>-182101</v>
      </c>
      <c r="H3775">
        <v>91240</v>
      </c>
      <c r="I3775">
        <v>95085</v>
      </c>
      <c r="J3775">
        <v>2667</v>
      </c>
      <c r="K3775">
        <v>790849</v>
      </c>
      <c r="L3775">
        <v>279242</v>
      </c>
      <c r="M3775">
        <v>-223686</v>
      </c>
      <c r="N3775">
        <v>186740</v>
      </c>
      <c r="O3775" t="s">
        <v>3793</v>
      </c>
      <c r="P3775" s="9">
        <v>278850</v>
      </c>
      <c r="Q3775" s="9">
        <v>45018</v>
      </c>
      <c r="R3775" s="9">
        <v>323868</v>
      </c>
      <c r="S3775" s="9">
        <v>-94130</v>
      </c>
      <c r="T3775" s="10">
        <v>171579</v>
      </c>
      <c r="U3775" s="10">
        <v>4247</v>
      </c>
    </row>
    <row r="3776" spans="1:21" x14ac:dyDescent="0.35">
      <c r="A3776" t="s">
        <v>15</v>
      </c>
      <c r="B3776" t="s">
        <v>16</v>
      </c>
      <c r="C3776" t="s">
        <v>21</v>
      </c>
      <c r="D3776">
        <v>194540</v>
      </c>
      <c r="E3776">
        <v>19979</v>
      </c>
      <c r="F3776">
        <v>26242</v>
      </c>
      <c r="G3776">
        <v>-187406</v>
      </c>
      <c r="H3776">
        <v>53355</v>
      </c>
      <c r="I3776">
        <v>54125</v>
      </c>
      <c r="J3776">
        <v>1448</v>
      </c>
      <c r="K3776">
        <v>425344</v>
      </c>
      <c r="L3776">
        <v>141061</v>
      </c>
      <c r="M3776">
        <v>-75422</v>
      </c>
      <c r="N3776">
        <v>105733</v>
      </c>
      <c r="O3776" t="s">
        <v>3794</v>
      </c>
      <c r="P3776" s="9">
        <v>262674</v>
      </c>
      <c r="Q3776" s="9">
        <v>17413</v>
      </c>
      <c r="R3776" s="9">
        <v>280087</v>
      </c>
      <c r="S3776" s="9">
        <v>-91984</v>
      </c>
      <c r="T3776" s="10">
        <v>58319</v>
      </c>
      <c r="U3776" s="10">
        <v>895</v>
      </c>
    </row>
    <row r="3777" spans="1:21" x14ac:dyDescent="0.35">
      <c r="A3777" t="s">
        <v>15</v>
      </c>
      <c r="B3777" t="s">
        <v>16</v>
      </c>
      <c r="C3777" t="s">
        <v>17</v>
      </c>
      <c r="D3777">
        <v>165944</v>
      </c>
      <c r="E3777">
        <v>30468</v>
      </c>
      <c r="F3777">
        <v>22556</v>
      </c>
      <c r="G3777">
        <v>-137754</v>
      </c>
      <c r="H3777">
        <v>81214</v>
      </c>
      <c r="I3777">
        <v>80570</v>
      </c>
      <c r="J3777">
        <v>2322</v>
      </c>
      <c r="K3777">
        <v>632694</v>
      </c>
      <c r="L3777">
        <v>89508</v>
      </c>
      <c r="M3777">
        <v>-156686</v>
      </c>
      <c r="N3777">
        <v>70500</v>
      </c>
      <c r="O3777" t="s">
        <v>3795</v>
      </c>
      <c r="P3777" s="9">
        <v>141928</v>
      </c>
      <c r="Q3777" s="9">
        <v>15241</v>
      </c>
      <c r="R3777" s="9">
        <v>157169</v>
      </c>
      <c r="S3777" s="9">
        <v>-93014</v>
      </c>
      <c r="T3777" s="10">
        <v>71071</v>
      </c>
      <c r="U3777" s="10">
        <v>1707</v>
      </c>
    </row>
    <row r="3778" spans="1:21" x14ac:dyDescent="0.35">
      <c r="A3778" t="s">
        <v>15</v>
      </c>
      <c r="B3778" t="s">
        <v>16</v>
      </c>
      <c r="C3778" t="s">
        <v>17</v>
      </c>
      <c r="D3778">
        <v>248545</v>
      </c>
      <c r="E3778">
        <v>14484</v>
      </c>
      <c r="F3778">
        <v>34474</v>
      </c>
      <c r="G3778">
        <v>-243160</v>
      </c>
      <c r="H3778">
        <v>54343</v>
      </c>
      <c r="I3778">
        <v>49715</v>
      </c>
      <c r="J3778">
        <v>1433</v>
      </c>
      <c r="K3778">
        <v>597996</v>
      </c>
      <c r="L3778">
        <v>182667</v>
      </c>
      <c r="M3778">
        <v>-227698</v>
      </c>
      <c r="N3778">
        <v>210699</v>
      </c>
      <c r="O3778" t="s">
        <v>3796</v>
      </c>
      <c r="P3778" s="9">
        <v>197710</v>
      </c>
      <c r="Q3778" s="9">
        <v>21978</v>
      </c>
      <c r="R3778" s="9">
        <v>219688</v>
      </c>
      <c r="S3778" s="9">
        <v>-109414</v>
      </c>
      <c r="T3778" s="10">
        <v>61739</v>
      </c>
      <c r="U3778" s="10">
        <v>705</v>
      </c>
    </row>
    <row r="3779" spans="1:21" x14ac:dyDescent="0.35">
      <c r="A3779" t="s">
        <v>15</v>
      </c>
      <c r="B3779" t="s">
        <v>16</v>
      </c>
      <c r="C3779" t="s">
        <v>21</v>
      </c>
      <c r="D3779">
        <v>214110</v>
      </c>
      <c r="E3779">
        <v>14101</v>
      </c>
      <c r="F3779">
        <v>30634</v>
      </c>
      <c r="G3779">
        <v>-193454</v>
      </c>
      <c r="H3779">
        <v>65391</v>
      </c>
      <c r="I3779">
        <v>59581</v>
      </c>
      <c r="J3779">
        <v>618</v>
      </c>
      <c r="K3779">
        <v>494333</v>
      </c>
      <c r="L3779">
        <v>186336</v>
      </c>
      <c r="M3779">
        <v>-143355</v>
      </c>
      <c r="N3779">
        <v>159786</v>
      </c>
      <c r="O3779" t="s">
        <v>3797</v>
      </c>
      <c r="P3779" s="9">
        <v>268758</v>
      </c>
      <c r="Q3779" s="9">
        <v>28183</v>
      </c>
      <c r="R3779" s="9">
        <v>296941</v>
      </c>
      <c r="S3779" s="9">
        <v>-147625</v>
      </c>
      <c r="T3779" s="10">
        <v>78011</v>
      </c>
      <c r="U3779" s="10">
        <v>2237</v>
      </c>
    </row>
    <row r="3780" spans="1:21" x14ac:dyDescent="0.35">
      <c r="A3780" t="s">
        <v>15</v>
      </c>
      <c r="B3780" t="s">
        <v>16</v>
      </c>
      <c r="C3780" t="s">
        <v>21</v>
      </c>
      <c r="D3780">
        <v>279678</v>
      </c>
      <c r="E3780">
        <v>29169</v>
      </c>
      <c r="F3780">
        <v>36412</v>
      </c>
      <c r="G3780">
        <v>-229630</v>
      </c>
      <c r="H3780">
        <v>115629</v>
      </c>
      <c r="I3780">
        <v>120841</v>
      </c>
      <c r="J3780">
        <v>2980</v>
      </c>
      <c r="K3780">
        <v>881055</v>
      </c>
      <c r="L3780">
        <v>163047</v>
      </c>
      <c r="M3780">
        <v>-128762</v>
      </c>
      <c r="N3780">
        <v>112922</v>
      </c>
      <c r="O3780" t="s">
        <v>3798</v>
      </c>
      <c r="P3780" s="9">
        <v>183109</v>
      </c>
      <c r="Q3780" s="9">
        <v>24001</v>
      </c>
      <c r="R3780" s="9">
        <v>207110</v>
      </c>
      <c r="S3780" s="9">
        <v>-72490</v>
      </c>
      <c r="T3780" s="10">
        <v>90389</v>
      </c>
      <c r="U3780" s="10">
        <v>2107</v>
      </c>
    </row>
    <row r="3781" spans="1:21" x14ac:dyDescent="0.35">
      <c r="A3781" t="s">
        <v>15</v>
      </c>
      <c r="B3781" t="s">
        <v>16</v>
      </c>
      <c r="C3781" t="s">
        <v>17</v>
      </c>
      <c r="D3781">
        <v>271959</v>
      </c>
      <c r="E3781">
        <v>35162</v>
      </c>
      <c r="F3781">
        <v>47493</v>
      </c>
      <c r="G3781">
        <v>-258305</v>
      </c>
      <c r="H3781">
        <v>96309</v>
      </c>
      <c r="I3781">
        <v>98742</v>
      </c>
      <c r="J3781">
        <v>1904</v>
      </c>
      <c r="K3781">
        <v>714719</v>
      </c>
      <c r="L3781">
        <v>220411</v>
      </c>
      <c r="M3781">
        <v>-139696</v>
      </c>
      <c r="N3781">
        <v>126465</v>
      </c>
      <c r="O3781" t="s">
        <v>3799</v>
      </c>
      <c r="P3781" s="9">
        <v>160812</v>
      </c>
      <c r="Q3781" s="9">
        <v>26885</v>
      </c>
      <c r="R3781" s="9">
        <v>187697</v>
      </c>
      <c r="S3781" s="9">
        <v>-41609</v>
      </c>
      <c r="T3781" s="10">
        <v>57615</v>
      </c>
      <c r="U3781" s="10">
        <v>1644</v>
      </c>
    </row>
    <row r="3782" spans="1:21" x14ac:dyDescent="0.35">
      <c r="A3782" t="s">
        <v>15</v>
      </c>
      <c r="B3782" t="s">
        <v>20</v>
      </c>
      <c r="C3782" t="s">
        <v>17</v>
      </c>
      <c r="D3782">
        <v>288343</v>
      </c>
      <c r="E3782">
        <v>51797</v>
      </c>
      <c r="F3782">
        <v>69902</v>
      </c>
      <c r="G3782">
        <v>-249993</v>
      </c>
      <c r="H3782">
        <v>160049</v>
      </c>
      <c r="I3782">
        <v>147819</v>
      </c>
      <c r="J3782">
        <v>2013</v>
      </c>
      <c r="K3782">
        <v>1070443</v>
      </c>
      <c r="L3782">
        <v>199906</v>
      </c>
      <c r="M3782">
        <v>-398064</v>
      </c>
      <c r="N3782">
        <v>196676</v>
      </c>
      <c r="O3782" t="s">
        <v>3800</v>
      </c>
      <c r="P3782" s="9">
        <v>273906</v>
      </c>
      <c r="Q3782" s="9">
        <v>41772</v>
      </c>
      <c r="R3782" s="9">
        <v>315678</v>
      </c>
      <c r="S3782" s="9">
        <v>-76499</v>
      </c>
      <c r="T3782" s="10">
        <v>128153</v>
      </c>
      <c r="U3782" s="10">
        <v>2298</v>
      </c>
    </row>
    <row r="3783" spans="1:21" x14ac:dyDescent="0.35">
      <c r="A3783" t="s">
        <v>15</v>
      </c>
      <c r="B3783" t="s">
        <v>20</v>
      </c>
      <c r="C3783" t="s">
        <v>21</v>
      </c>
      <c r="D3783">
        <v>255096</v>
      </c>
      <c r="E3783">
        <v>45352</v>
      </c>
      <c r="F3783">
        <v>61765</v>
      </c>
      <c r="G3783">
        <v>-231941</v>
      </c>
      <c r="H3783">
        <v>130272</v>
      </c>
      <c r="I3783">
        <v>120098</v>
      </c>
      <c r="J3783">
        <v>2797</v>
      </c>
      <c r="K3783">
        <v>511354</v>
      </c>
      <c r="L3783">
        <v>172936</v>
      </c>
      <c r="M3783">
        <v>-98482</v>
      </c>
      <c r="N3783">
        <v>184825</v>
      </c>
      <c r="O3783" t="s">
        <v>3801</v>
      </c>
      <c r="P3783" s="9">
        <v>188096</v>
      </c>
      <c r="Q3783" s="9">
        <v>19180</v>
      </c>
      <c r="R3783" s="9">
        <v>207276</v>
      </c>
      <c r="S3783" s="9">
        <v>-66098</v>
      </c>
      <c r="T3783" s="10">
        <v>58372</v>
      </c>
      <c r="U3783" s="10">
        <v>722</v>
      </c>
    </row>
    <row r="3784" spans="1:21" x14ac:dyDescent="0.35">
      <c r="A3784" t="s">
        <v>15</v>
      </c>
      <c r="B3784" t="s">
        <v>16</v>
      </c>
      <c r="C3784" t="s">
        <v>21</v>
      </c>
      <c r="D3784">
        <v>208487</v>
      </c>
      <c r="E3784">
        <v>19205</v>
      </c>
      <c r="F3784">
        <v>44728</v>
      </c>
      <c r="G3784">
        <v>-174730</v>
      </c>
      <c r="H3784">
        <v>97690</v>
      </c>
      <c r="I3784">
        <v>95256</v>
      </c>
      <c r="J3784">
        <v>1979</v>
      </c>
      <c r="K3784">
        <v>483513</v>
      </c>
      <c r="L3784">
        <v>144547</v>
      </c>
      <c r="M3784">
        <v>-138482</v>
      </c>
      <c r="N3784">
        <v>116775</v>
      </c>
      <c r="O3784" t="s">
        <v>3802</v>
      </c>
      <c r="P3784" s="9">
        <v>244356</v>
      </c>
      <c r="Q3784" s="9">
        <v>32940</v>
      </c>
      <c r="R3784" s="9">
        <v>277296</v>
      </c>
      <c r="S3784" s="9">
        <v>-113033</v>
      </c>
      <c r="T3784" s="10">
        <v>125594</v>
      </c>
      <c r="U3784" s="10">
        <v>3193</v>
      </c>
    </row>
    <row r="3785" spans="1:21" x14ac:dyDescent="0.35">
      <c r="A3785" t="s">
        <v>15</v>
      </c>
      <c r="B3785" t="s">
        <v>16</v>
      </c>
      <c r="C3785" t="s">
        <v>21</v>
      </c>
      <c r="D3785">
        <v>212431</v>
      </c>
      <c r="E3785">
        <v>18994</v>
      </c>
      <c r="F3785">
        <v>40093</v>
      </c>
      <c r="G3785">
        <v>-187356</v>
      </c>
      <c r="H3785">
        <v>84162</v>
      </c>
      <c r="I3785">
        <v>85397</v>
      </c>
      <c r="J3785">
        <v>1767</v>
      </c>
      <c r="K3785">
        <v>545310</v>
      </c>
      <c r="L3785">
        <v>73058</v>
      </c>
      <c r="M3785">
        <v>-56635</v>
      </c>
      <c r="N3785">
        <v>68700</v>
      </c>
      <c r="O3785" t="s">
        <v>3803</v>
      </c>
      <c r="P3785" s="9">
        <v>207003</v>
      </c>
      <c r="Q3785" s="9">
        <v>26140</v>
      </c>
      <c r="R3785" s="9">
        <v>233143</v>
      </c>
      <c r="S3785" s="9">
        <v>-137874</v>
      </c>
      <c r="T3785" s="10">
        <v>86359</v>
      </c>
      <c r="U3785" s="10">
        <v>1415</v>
      </c>
    </row>
    <row r="3786" spans="1:21" x14ac:dyDescent="0.35">
      <c r="A3786" t="s">
        <v>15</v>
      </c>
      <c r="B3786" t="s">
        <v>20</v>
      </c>
      <c r="C3786" t="s">
        <v>17</v>
      </c>
      <c r="D3786">
        <v>259975</v>
      </c>
      <c r="E3786">
        <v>51595</v>
      </c>
      <c r="F3786">
        <v>59030</v>
      </c>
      <c r="G3786">
        <v>-213774</v>
      </c>
      <c r="H3786">
        <v>156826</v>
      </c>
      <c r="I3786">
        <v>141903</v>
      </c>
      <c r="J3786">
        <v>4233</v>
      </c>
      <c r="K3786">
        <v>851458</v>
      </c>
      <c r="L3786">
        <v>357345</v>
      </c>
      <c r="M3786">
        <v>-166285</v>
      </c>
      <c r="N3786">
        <v>222104</v>
      </c>
      <c r="O3786" t="s">
        <v>3804</v>
      </c>
      <c r="P3786" s="9">
        <v>313091</v>
      </c>
      <c r="Q3786" s="9">
        <v>24052</v>
      </c>
      <c r="R3786" s="9">
        <v>337143</v>
      </c>
      <c r="S3786" s="9">
        <v>-133178</v>
      </c>
      <c r="T3786" s="10">
        <v>89755</v>
      </c>
      <c r="U3786" s="10">
        <v>2692</v>
      </c>
    </row>
    <row r="3787" spans="1:21" x14ac:dyDescent="0.35">
      <c r="A3787" t="s">
        <v>15</v>
      </c>
      <c r="B3787" t="s">
        <v>20</v>
      </c>
      <c r="C3787" t="s">
        <v>17</v>
      </c>
      <c r="D3787">
        <v>251877</v>
      </c>
      <c r="E3787">
        <v>20305</v>
      </c>
      <c r="F3787">
        <v>29744</v>
      </c>
      <c r="G3787">
        <v>-239508</v>
      </c>
      <c r="H3787">
        <v>62418</v>
      </c>
      <c r="I3787">
        <v>65062</v>
      </c>
      <c r="J3787">
        <v>998</v>
      </c>
      <c r="K3787">
        <v>659406</v>
      </c>
      <c r="L3787">
        <v>190172</v>
      </c>
      <c r="M3787">
        <v>-258982</v>
      </c>
      <c r="N3787">
        <v>108408</v>
      </c>
      <c r="O3787" t="s">
        <v>3805</v>
      </c>
      <c r="P3787" s="9">
        <v>248010</v>
      </c>
      <c r="Q3787" s="9">
        <v>18942</v>
      </c>
      <c r="R3787" s="9">
        <v>266952</v>
      </c>
      <c r="S3787" s="9">
        <v>-83892</v>
      </c>
      <c r="T3787" s="10">
        <v>77277</v>
      </c>
      <c r="U3787" s="10">
        <v>1029</v>
      </c>
    </row>
    <row r="3788" spans="1:21" x14ac:dyDescent="0.35">
      <c r="A3788" t="s">
        <v>15</v>
      </c>
      <c r="B3788" t="s">
        <v>16</v>
      </c>
      <c r="C3788" t="s">
        <v>17</v>
      </c>
      <c r="D3788">
        <v>218435</v>
      </c>
      <c r="E3788">
        <v>33732</v>
      </c>
      <c r="F3788">
        <v>29689</v>
      </c>
      <c r="G3788">
        <v>-206862</v>
      </c>
      <c r="H3788">
        <v>74994</v>
      </c>
      <c r="I3788">
        <v>68108</v>
      </c>
      <c r="J3788">
        <v>1445</v>
      </c>
      <c r="K3788">
        <v>559804</v>
      </c>
      <c r="L3788">
        <v>215173</v>
      </c>
      <c r="M3788">
        <v>-212412</v>
      </c>
      <c r="N3788">
        <v>89912</v>
      </c>
      <c r="O3788" t="s">
        <v>3806</v>
      </c>
      <c r="P3788" s="9">
        <v>158217</v>
      </c>
      <c r="Q3788" s="9">
        <v>20908</v>
      </c>
      <c r="R3788" s="9">
        <v>179125</v>
      </c>
      <c r="S3788" s="9">
        <v>-63873</v>
      </c>
      <c r="T3788" s="10">
        <v>54769</v>
      </c>
      <c r="U3788" s="10">
        <v>1116</v>
      </c>
    </row>
    <row r="3789" spans="1:21" x14ac:dyDescent="0.35">
      <c r="A3789" t="s">
        <v>15</v>
      </c>
      <c r="B3789" t="s">
        <v>16</v>
      </c>
      <c r="C3789" t="s">
        <v>21</v>
      </c>
      <c r="D3789">
        <v>268648</v>
      </c>
      <c r="E3789">
        <v>45896</v>
      </c>
      <c r="F3789">
        <v>28299</v>
      </c>
      <c r="G3789">
        <v>-216342</v>
      </c>
      <c r="H3789">
        <v>126501</v>
      </c>
      <c r="I3789">
        <v>122504</v>
      </c>
      <c r="J3789">
        <v>3526</v>
      </c>
      <c r="K3789">
        <v>1034342</v>
      </c>
      <c r="L3789">
        <v>425653</v>
      </c>
      <c r="M3789">
        <v>-200294</v>
      </c>
      <c r="N3789">
        <v>132154</v>
      </c>
      <c r="O3789" t="s">
        <v>3807</v>
      </c>
      <c r="P3789" s="9">
        <v>195848</v>
      </c>
      <c r="Q3789" s="9">
        <v>26477</v>
      </c>
      <c r="R3789" s="9">
        <v>222325</v>
      </c>
      <c r="S3789" s="9">
        <v>-127934</v>
      </c>
      <c r="T3789" s="10">
        <v>61417</v>
      </c>
      <c r="U3789" s="10">
        <v>1180</v>
      </c>
    </row>
    <row r="3790" spans="1:21" x14ac:dyDescent="0.35">
      <c r="A3790" t="s">
        <v>15</v>
      </c>
      <c r="B3790" t="s">
        <v>20</v>
      </c>
      <c r="C3790" t="s">
        <v>21</v>
      </c>
      <c r="D3790">
        <v>164386</v>
      </c>
      <c r="E3790">
        <v>19592</v>
      </c>
      <c r="F3790">
        <v>27442</v>
      </c>
      <c r="G3790">
        <v>-152257</v>
      </c>
      <c r="H3790">
        <v>59163</v>
      </c>
      <c r="I3790">
        <v>59071</v>
      </c>
      <c r="J3790">
        <v>711</v>
      </c>
      <c r="K3790">
        <v>549016</v>
      </c>
      <c r="L3790">
        <v>175577</v>
      </c>
      <c r="M3790">
        <v>-180942</v>
      </c>
      <c r="N3790">
        <v>64899</v>
      </c>
      <c r="O3790" t="s">
        <v>3808</v>
      </c>
      <c r="P3790" s="9">
        <v>153574</v>
      </c>
      <c r="Q3790" s="9">
        <v>26569</v>
      </c>
      <c r="R3790" s="9">
        <v>180143</v>
      </c>
      <c r="S3790" s="9">
        <v>-90462</v>
      </c>
      <c r="T3790" s="10">
        <v>79872</v>
      </c>
      <c r="U3790" s="10">
        <v>864</v>
      </c>
    </row>
    <row r="3791" spans="1:21" x14ac:dyDescent="0.35">
      <c r="A3791" t="s">
        <v>15</v>
      </c>
      <c r="B3791" t="s">
        <v>20</v>
      </c>
      <c r="C3791" t="s">
        <v>21</v>
      </c>
      <c r="D3791">
        <v>230529</v>
      </c>
      <c r="E3791">
        <v>29742</v>
      </c>
      <c r="F3791">
        <v>26688</v>
      </c>
      <c r="G3791">
        <v>-221077</v>
      </c>
      <c r="H3791">
        <v>65882</v>
      </c>
      <c r="I3791">
        <v>67794</v>
      </c>
      <c r="J3791">
        <v>1620</v>
      </c>
      <c r="K3791">
        <v>795289</v>
      </c>
      <c r="L3791">
        <v>264798</v>
      </c>
      <c r="M3791">
        <v>-168181</v>
      </c>
      <c r="N3791">
        <v>102734</v>
      </c>
      <c r="O3791" t="s">
        <v>3809</v>
      </c>
      <c r="P3791" s="9">
        <v>181765</v>
      </c>
      <c r="Q3791" s="9">
        <v>18453</v>
      </c>
      <c r="R3791" s="9">
        <v>200218</v>
      </c>
      <c r="S3791" s="9">
        <v>-73459</v>
      </c>
      <c r="T3791" s="10">
        <v>71098</v>
      </c>
      <c r="U3791" s="10">
        <v>1110</v>
      </c>
    </row>
    <row r="3792" spans="1:21" x14ac:dyDescent="0.35">
      <c r="A3792" t="s">
        <v>15</v>
      </c>
      <c r="B3792" t="s">
        <v>16</v>
      </c>
      <c r="C3792" t="s">
        <v>17</v>
      </c>
      <c r="D3792">
        <v>197751</v>
      </c>
      <c r="E3792">
        <v>26334</v>
      </c>
      <c r="F3792">
        <v>49235</v>
      </c>
      <c r="G3792">
        <v>-193833</v>
      </c>
      <c r="H3792">
        <v>79487</v>
      </c>
      <c r="I3792">
        <v>72963</v>
      </c>
      <c r="J3792">
        <v>1217</v>
      </c>
      <c r="K3792">
        <v>486916</v>
      </c>
      <c r="L3792">
        <v>209487</v>
      </c>
      <c r="M3792">
        <v>-110833</v>
      </c>
      <c r="N3792">
        <v>113391</v>
      </c>
      <c r="O3792" t="s">
        <v>3810</v>
      </c>
      <c r="P3792" s="9">
        <v>233713</v>
      </c>
      <c r="Q3792" s="9">
        <v>45279</v>
      </c>
      <c r="R3792" s="9">
        <v>278992</v>
      </c>
      <c r="S3792" s="9">
        <v>-127591</v>
      </c>
      <c r="T3792" s="10">
        <v>105191</v>
      </c>
      <c r="U3792" s="10">
        <v>1545</v>
      </c>
    </row>
    <row r="3793" spans="1:21" x14ac:dyDescent="0.35">
      <c r="A3793" t="s">
        <v>15</v>
      </c>
      <c r="B3793" t="s">
        <v>20</v>
      </c>
      <c r="C3793" t="s">
        <v>21</v>
      </c>
      <c r="D3793">
        <v>187460</v>
      </c>
      <c r="E3793">
        <v>28980</v>
      </c>
      <c r="F3793">
        <v>31018</v>
      </c>
      <c r="G3793">
        <v>-150828</v>
      </c>
      <c r="H3793">
        <v>96630</v>
      </c>
      <c r="I3793">
        <v>95776</v>
      </c>
      <c r="J3793">
        <v>2742</v>
      </c>
      <c r="K3793">
        <v>422617</v>
      </c>
      <c r="L3793">
        <v>75369</v>
      </c>
      <c r="M3793">
        <v>-43003</v>
      </c>
      <c r="N3793">
        <v>84610</v>
      </c>
      <c r="O3793" t="s">
        <v>3811</v>
      </c>
      <c r="P3793" s="9">
        <v>247422</v>
      </c>
      <c r="Q3793" s="9">
        <v>31071</v>
      </c>
      <c r="R3793" s="9">
        <v>278493</v>
      </c>
      <c r="S3793" s="9">
        <v>-61282</v>
      </c>
      <c r="T3793" s="10">
        <v>120516</v>
      </c>
      <c r="U3793" s="10">
        <v>2667</v>
      </c>
    </row>
    <row r="3794" spans="1:21" x14ac:dyDescent="0.35">
      <c r="A3794" t="s">
        <v>15</v>
      </c>
      <c r="B3794" t="s">
        <v>16</v>
      </c>
      <c r="C3794" t="s">
        <v>21</v>
      </c>
      <c r="D3794">
        <v>153527</v>
      </c>
      <c r="E3794">
        <v>18561</v>
      </c>
      <c r="F3794">
        <v>25346</v>
      </c>
      <c r="G3794">
        <v>-138022</v>
      </c>
      <c r="H3794">
        <v>59412</v>
      </c>
      <c r="I3794">
        <v>60779</v>
      </c>
      <c r="J3794">
        <v>675</v>
      </c>
      <c r="K3794">
        <v>496965</v>
      </c>
      <c r="L3794">
        <v>137647</v>
      </c>
      <c r="M3794">
        <v>-63939</v>
      </c>
      <c r="N3794">
        <v>51017</v>
      </c>
      <c r="O3794" t="s">
        <v>3812</v>
      </c>
      <c r="P3794" s="9">
        <v>222360</v>
      </c>
      <c r="Q3794" s="9">
        <v>24904</v>
      </c>
      <c r="R3794" s="9">
        <v>247264</v>
      </c>
      <c r="S3794" s="9">
        <v>-93396</v>
      </c>
      <c r="T3794" s="10">
        <v>101603</v>
      </c>
      <c r="U3794" s="10">
        <v>2021</v>
      </c>
    </row>
    <row r="3795" spans="1:21" x14ac:dyDescent="0.35">
      <c r="A3795" t="s">
        <v>15</v>
      </c>
      <c r="B3795" t="s">
        <v>20</v>
      </c>
      <c r="C3795" t="s">
        <v>21</v>
      </c>
      <c r="D3795">
        <v>204516</v>
      </c>
      <c r="E3795">
        <v>32938</v>
      </c>
      <c r="F3795">
        <v>21979</v>
      </c>
      <c r="G3795">
        <v>-168174</v>
      </c>
      <c r="H3795">
        <v>91259</v>
      </c>
      <c r="I3795">
        <v>82833</v>
      </c>
      <c r="J3795">
        <v>2482</v>
      </c>
      <c r="K3795">
        <v>420719</v>
      </c>
      <c r="L3795">
        <v>112337</v>
      </c>
      <c r="M3795">
        <v>-48364</v>
      </c>
      <c r="N3795">
        <v>117729</v>
      </c>
      <c r="O3795" t="s">
        <v>3813</v>
      </c>
      <c r="P3795" s="9">
        <v>179968</v>
      </c>
      <c r="Q3795" s="9">
        <v>13519</v>
      </c>
      <c r="R3795" s="9">
        <v>193487</v>
      </c>
      <c r="S3795" s="9">
        <v>-95797</v>
      </c>
      <c r="T3795" s="10">
        <v>45926</v>
      </c>
      <c r="U3795" s="10">
        <v>1166</v>
      </c>
    </row>
    <row r="3796" spans="1:21" x14ac:dyDescent="0.35">
      <c r="A3796" t="s">
        <v>15</v>
      </c>
      <c r="B3796" t="s">
        <v>20</v>
      </c>
      <c r="C3796" t="s">
        <v>21</v>
      </c>
      <c r="D3796">
        <v>207842</v>
      </c>
      <c r="E3796">
        <v>16164</v>
      </c>
      <c r="F3796">
        <v>26377</v>
      </c>
      <c r="G3796">
        <v>-176680</v>
      </c>
      <c r="H3796">
        <v>73703</v>
      </c>
      <c r="I3796">
        <v>67457</v>
      </c>
      <c r="J3796">
        <v>1158</v>
      </c>
      <c r="K3796">
        <v>615638</v>
      </c>
      <c r="L3796">
        <v>62326</v>
      </c>
      <c r="M3796">
        <v>-136514</v>
      </c>
      <c r="N3796">
        <v>95641</v>
      </c>
      <c r="O3796" t="s">
        <v>3814</v>
      </c>
      <c r="P3796" s="9">
        <v>254917</v>
      </c>
      <c r="Q3796" s="9">
        <v>46825</v>
      </c>
      <c r="R3796" s="9">
        <v>301742</v>
      </c>
      <c r="S3796" s="9">
        <v>-166486</v>
      </c>
      <c r="T3796" s="10">
        <v>84050</v>
      </c>
      <c r="U3796" s="10">
        <v>1908</v>
      </c>
    </row>
    <row r="3797" spans="1:21" x14ac:dyDescent="0.35">
      <c r="A3797" t="s">
        <v>15</v>
      </c>
      <c r="B3797" t="s">
        <v>16</v>
      </c>
      <c r="C3797" t="s">
        <v>21</v>
      </c>
      <c r="D3797">
        <v>241150</v>
      </c>
      <c r="E3797">
        <v>43659</v>
      </c>
      <c r="F3797">
        <v>44640</v>
      </c>
      <c r="G3797">
        <v>-210128</v>
      </c>
      <c r="H3797">
        <v>119321</v>
      </c>
      <c r="I3797">
        <v>109706</v>
      </c>
      <c r="J3797">
        <v>1347</v>
      </c>
      <c r="K3797">
        <v>774565</v>
      </c>
      <c r="L3797">
        <v>144211</v>
      </c>
      <c r="M3797">
        <v>-190764</v>
      </c>
      <c r="N3797">
        <v>109642</v>
      </c>
      <c r="O3797" t="s">
        <v>3815</v>
      </c>
      <c r="P3797" s="9">
        <v>284221</v>
      </c>
      <c r="Q3797" s="9">
        <v>49413</v>
      </c>
      <c r="R3797" s="9">
        <v>333634</v>
      </c>
      <c r="S3797" s="9">
        <v>-103522</v>
      </c>
      <c r="T3797" s="10">
        <v>114695</v>
      </c>
      <c r="U3797" s="10">
        <v>2039</v>
      </c>
    </row>
    <row r="3798" spans="1:21" x14ac:dyDescent="0.35">
      <c r="A3798" t="s">
        <v>15</v>
      </c>
      <c r="B3798" t="s">
        <v>20</v>
      </c>
      <c r="C3798" t="s">
        <v>21</v>
      </c>
      <c r="D3798">
        <v>240917</v>
      </c>
      <c r="E3798">
        <v>16996</v>
      </c>
      <c r="F3798">
        <v>50831</v>
      </c>
      <c r="G3798">
        <v>-225054</v>
      </c>
      <c r="H3798">
        <v>83690</v>
      </c>
      <c r="I3798">
        <v>79880</v>
      </c>
      <c r="J3798">
        <v>1670</v>
      </c>
      <c r="K3798">
        <v>755898</v>
      </c>
      <c r="L3798">
        <v>97834</v>
      </c>
      <c r="M3798">
        <v>-229895</v>
      </c>
      <c r="N3798">
        <v>109186</v>
      </c>
      <c r="O3798" t="s">
        <v>3816</v>
      </c>
      <c r="P3798" s="9">
        <v>302053</v>
      </c>
      <c r="Q3798" s="9">
        <v>43084</v>
      </c>
      <c r="R3798" s="9">
        <v>345137</v>
      </c>
      <c r="S3798" s="9">
        <v>-183691</v>
      </c>
      <c r="T3798" s="10">
        <v>135409</v>
      </c>
      <c r="U3798" s="10">
        <v>1578</v>
      </c>
    </row>
    <row r="3799" spans="1:21" x14ac:dyDescent="0.35">
      <c r="A3799" t="s">
        <v>15</v>
      </c>
      <c r="B3799" t="s">
        <v>20</v>
      </c>
      <c r="C3799" t="s">
        <v>21</v>
      </c>
      <c r="D3799">
        <v>251113</v>
      </c>
      <c r="E3799">
        <v>14213</v>
      </c>
      <c r="F3799">
        <v>56659</v>
      </c>
      <c r="G3799">
        <v>-208163</v>
      </c>
      <c r="H3799">
        <v>113822</v>
      </c>
      <c r="I3799">
        <v>118614</v>
      </c>
      <c r="J3799">
        <v>2387</v>
      </c>
      <c r="K3799">
        <v>863950</v>
      </c>
      <c r="L3799">
        <v>298473</v>
      </c>
      <c r="M3799">
        <v>-199309</v>
      </c>
      <c r="N3799">
        <v>90800</v>
      </c>
      <c r="O3799" t="s">
        <v>3817</v>
      </c>
      <c r="P3799" s="9">
        <v>290683</v>
      </c>
      <c r="Q3799" s="9">
        <v>48107</v>
      </c>
      <c r="R3799" s="9">
        <v>338790</v>
      </c>
      <c r="S3799" s="9">
        <v>-163933</v>
      </c>
      <c r="T3799" s="10">
        <v>94725</v>
      </c>
      <c r="U3799" s="10">
        <v>2305</v>
      </c>
    </row>
    <row r="3800" spans="1:21" x14ac:dyDescent="0.35">
      <c r="A3800" t="s">
        <v>15</v>
      </c>
      <c r="B3800" t="s">
        <v>20</v>
      </c>
      <c r="C3800" t="s">
        <v>21</v>
      </c>
      <c r="D3800">
        <v>179052</v>
      </c>
      <c r="E3800">
        <v>19217</v>
      </c>
      <c r="F3800">
        <v>39413</v>
      </c>
      <c r="G3800">
        <v>-163584</v>
      </c>
      <c r="H3800">
        <v>74098</v>
      </c>
      <c r="I3800">
        <v>76139</v>
      </c>
      <c r="J3800">
        <v>2181</v>
      </c>
      <c r="K3800">
        <v>453196</v>
      </c>
      <c r="L3800">
        <v>150172</v>
      </c>
      <c r="M3800">
        <v>-49159</v>
      </c>
      <c r="N3800">
        <v>103992</v>
      </c>
      <c r="O3800" t="s">
        <v>3818</v>
      </c>
      <c r="P3800" s="9">
        <v>180578</v>
      </c>
      <c r="Q3800" s="9">
        <v>29367</v>
      </c>
      <c r="R3800" s="9">
        <v>209945</v>
      </c>
      <c r="S3800" s="9">
        <v>-106531</v>
      </c>
      <c r="T3800" s="10">
        <v>77623</v>
      </c>
      <c r="U3800" s="10">
        <v>1488</v>
      </c>
    </row>
    <row r="3801" spans="1:21" x14ac:dyDescent="0.35">
      <c r="A3801" t="s">
        <v>15</v>
      </c>
      <c r="B3801" t="s">
        <v>16</v>
      </c>
      <c r="C3801" t="s">
        <v>21</v>
      </c>
      <c r="D3801">
        <v>252656</v>
      </c>
      <c r="E3801">
        <v>47493</v>
      </c>
      <c r="F3801">
        <v>43956</v>
      </c>
      <c r="G3801">
        <v>-227380</v>
      </c>
      <c r="H3801">
        <v>116725</v>
      </c>
      <c r="I3801">
        <v>108226</v>
      </c>
      <c r="J3801">
        <v>1227</v>
      </c>
      <c r="K3801">
        <v>887280</v>
      </c>
      <c r="L3801">
        <v>237820</v>
      </c>
      <c r="M3801">
        <v>-241833</v>
      </c>
      <c r="N3801">
        <v>113452</v>
      </c>
      <c r="O3801" t="s">
        <v>3819</v>
      </c>
      <c r="P3801" s="9">
        <v>273468</v>
      </c>
      <c r="Q3801" s="9">
        <v>16291</v>
      </c>
      <c r="R3801" s="9">
        <v>289759</v>
      </c>
      <c r="S3801" s="9">
        <v>-67094</v>
      </c>
      <c r="T3801" s="10">
        <v>76916</v>
      </c>
      <c r="U3801" s="10">
        <v>892</v>
      </c>
    </row>
    <row r="3802" spans="1:21" x14ac:dyDescent="0.35">
      <c r="A3802" t="s">
        <v>15</v>
      </c>
      <c r="B3802" t="s">
        <v>16</v>
      </c>
      <c r="C3802" t="s">
        <v>21</v>
      </c>
      <c r="D3802">
        <v>265099</v>
      </c>
      <c r="E3802">
        <v>27505</v>
      </c>
      <c r="F3802">
        <v>60412</v>
      </c>
      <c r="G3802">
        <v>-214067</v>
      </c>
      <c r="H3802">
        <v>138949</v>
      </c>
      <c r="I3802">
        <v>139005</v>
      </c>
      <c r="J3802">
        <v>2516</v>
      </c>
      <c r="K3802">
        <v>742075</v>
      </c>
      <c r="L3802">
        <v>129859</v>
      </c>
      <c r="M3802">
        <v>-189784</v>
      </c>
      <c r="N3802">
        <v>160876</v>
      </c>
      <c r="O3802" t="s">
        <v>3820</v>
      </c>
      <c r="P3802" s="9">
        <v>250611</v>
      </c>
      <c r="Q3802" s="9">
        <v>23944</v>
      </c>
      <c r="R3802" s="9">
        <v>274555</v>
      </c>
      <c r="S3802" s="9">
        <v>-86010</v>
      </c>
      <c r="T3802" s="10">
        <v>104607</v>
      </c>
      <c r="U3802" s="10">
        <v>2731</v>
      </c>
    </row>
    <row r="3803" spans="1:21" x14ac:dyDescent="0.35">
      <c r="A3803" t="s">
        <v>15</v>
      </c>
      <c r="B3803" t="s">
        <v>20</v>
      </c>
      <c r="C3803" t="s">
        <v>21</v>
      </c>
      <c r="D3803">
        <v>156203</v>
      </c>
      <c r="E3803">
        <v>13143</v>
      </c>
      <c r="F3803">
        <v>28181</v>
      </c>
      <c r="G3803">
        <v>-145116</v>
      </c>
      <c r="H3803">
        <v>52411</v>
      </c>
      <c r="I3803">
        <v>52621</v>
      </c>
      <c r="J3803">
        <v>625</v>
      </c>
      <c r="K3803">
        <v>506976</v>
      </c>
      <c r="L3803">
        <v>93551</v>
      </c>
      <c r="M3803">
        <v>-60103</v>
      </c>
      <c r="N3803">
        <v>103538</v>
      </c>
      <c r="O3803" t="s">
        <v>3821</v>
      </c>
      <c r="P3803" s="9">
        <v>249171</v>
      </c>
      <c r="Q3803" s="9">
        <v>40161</v>
      </c>
      <c r="R3803" s="9">
        <v>289332</v>
      </c>
      <c r="S3803" s="9">
        <v>-113321</v>
      </c>
      <c r="T3803" s="10">
        <v>91298</v>
      </c>
      <c r="U3803" s="10">
        <v>1162</v>
      </c>
    </row>
    <row r="3804" spans="1:21" x14ac:dyDescent="0.35">
      <c r="A3804" t="s">
        <v>15</v>
      </c>
      <c r="B3804" t="s">
        <v>16</v>
      </c>
      <c r="C3804" t="s">
        <v>17</v>
      </c>
      <c r="D3804">
        <v>281692</v>
      </c>
      <c r="E3804">
        <v>35521</v>
      </c>
      <c r="F3804">
        <v>56126</v>
      </c>
      <c r="G3804">
        <v>-272333</v>
      </c>
      <c r="H3804">
        <v>101006</v>
      </c>
      <c r="I3804">
        <v>95633</v>
      </c>
      <c r="J3804">
        <v>1186</v>
      </c>
      <c r="K3804">
        <v>591968</v>
      </c>
      <c r="L3804">
        <v>288264</v>
      </c>
      <c r="M3804">
        <v>-235862</v>
      </c>
      <c r="N3804">
        <v>243077</v>
      </c>
      <c r="O3804" t="s">
        <v>3822</v>
      </c>
      <c r="P3804" s="9">
        <v>202829</v>
      </c>
      <c r="Q3804" s="9">
        <v>13566</v>
      </c>
      <c r="R3804" s="9">
        <v>216395</v>
      </c>
      <c r="S3804" s="9">
        <v>-81016</v>
      </c>
      <c r="T3804" s="10">
        <v>80939</v>
      </c>
      <c r="U3804" s="10">
        <v>1720</v>
      </c>
    </row>
    <row r="3805" spans="1:21" x14ac:dyDescent="0.35">
      <c r="A3805" t="s">
        <v>15</v>
      </c>
      <c r="B3805" t="s">
        <v>20</v>
      </c>
      <c r="C3805" t="s">
        <v>21</v>
      </c>
      <c r="D3805">
        <v>162602</v>
      </c>
      <c r="E3805">
        <v>16598</v>
      </c>
      <c r="F3805">
        <v>20847</v>
      </c>
      <c r="G3805">
        <v>-161170</v>
      </c>
      <c r="H3805">
        <v>38877</v>
      </c>
      <c r="I3805">
        <v>39165</v>
      </c>
      <c r="J3805">
        <v>907</v>
      </c>
      <c r="K3805">
        <v>645390</v>
      </c>
      <c r="L3805">
        <v>316868</v>
      </c>
      <c r="M3805">
        <v>-66652</v>
      </c>
      <c r="N3805">
        <v>60861</v>
      </c>
      <c r="O3805" t="s">
        <v>3823</v>
      </c>
      <c r="P3805" s="9">
        <v>281826</v>
      </c>
      <c r="Q3805" s="9">
        <v>22914</v>
      </c>
      <c r="R3805" s="9">
        <v>304740</v>
      </c>
      <c r="S3805" s="9">
        <v>-62691</v>
      </c>
      <c r="T3805" s="10">
        <v>94008</v>
      </c>
      <c r="U3805" s="10">
        <v>2318</v>
      </c>
    </row>
    <row r="3806" spans="1:21" x14ac:dyDescent="0.35">
      <c r="A3806" t="s">
        <v>15</v>
      </c>
      <c r="B3806" t="s">
        <v>16</v>
      </c>
      <c r="C3806" t="s">
        <v>17</v>
      </c>
      <c r="D3806">
        <v>276552</v>
      </c>
      <c r="E3806">
        <v>52640</v>
      </c>
      <c r="F3806">
        <v>66633</v>
      </c>
      <c r="G3806">
        <v>-256675</v>
      </c>
      <c r="H3806">
        <v>139150</v>
      </c>
      <c r="I3806">
        <v>131676</v>
      </c>
      <c r="J3806">
        <v>3757</v>
      </c>
      <c r="K3806">
        <v>959147</v>
      </c>
      <c r="L3806">
        <v>124002</v>
      </c>
      <c r="M3806">
        <v>-276720</v>
      </c>
      <c r="N3806">
        <v>190636</v>
      </c>
      <c r="O3806" t="s">
        <v>3824</v>
      </c>
      <c r="P3806" s="9">
        <v>251861</v>
      </c>
      <c r="Q3806" s="9">
        <v>20770</v>
      </c>
      <c r="R3806" s="9">
        <v>272631</v>
      </c>
      <c r="S3806" s="9">
        <v>-125267</v>
      </c>
      <c r="T3806" s="10">
        <v>103820</v>
      </c>
      <c r="U3806" s="10">
        <v>1729</v>
      </c>
    </row>
    <row r="3807" spans="1:21" x14ac:dyDescent="0.35">
      <c r="A3807" t="s">
        <v>15</v>
      </c>
      <c r="B3807" t="s">
        <v>16</v>
      </c>
      <c r="C3807" t="s">
        <v>21</v>
      </c>
      <c r="D3807">
        <v>171383</v>
      </c>
      <c r="E3807">
        <v>32742</v>
      </c>
      <c r="F3807">
        <v>17280</v>
      </c>
      <c r="G3807">
        <v>-169961</v>
      </c>
      <c r="H3807">
        <v>51444</v>
      </c>
      <c r="I3807">
        <v>51961</v>
      </c>
      <c r="J3807">
        <v>1424</v>
      </c>
      <c r="K3807">
        <v>531097</v>
      </c>
      <c r="L3807">
        <v>90090</v>
      </c>
      <c r="M3807">
        <v>-57304</v>
      </c>
      <c r="N3807">
        <v>54820</v>
      </c>
      <c r="O3807" t="s">
        <v>3825</v>
      </c>
      <c r="P3807" s="9">
        <v>160722</v>
      </c>
      <c r="Q3807" s="9">
        <v>12655</v>
      </c>
      <c r="R3807" s="9">
        <v>173377</v>
      </c>
      <c r="S3807" s="9">
        <v>-74270</v>
      </c>
      <c r="T3807" s="10">
        <v>52184</v>
      </c>
      <c r="U3807" s="10">
        <v>1367</v>
      </c>
    </row>
    <row r="3808" spans="1:21" x14ac:dyDescent="0.35">
      <c r="A3808" t="s">
        <v>15</v>
      </c>
      <c r="B3808" t="s">
        <v>16</v>
      </c>
      <c r="C3808" t="s">
        <v>21</v>
      </c>
      <c r="D3808">
        <v>202631</v>
      </c>
      <c r="E3808">
        <v>30552</v>
      </c>
      <c r="F3808">
        <v>49518</v>
      </c>
      <c r="G3808">
        <v>-172424</v>
      </c>
      <c r="H3808">
        <v>110277</v>
      </c>
      <c r="I3808">
        <v>115735</v>
      </c>
      <c r="J3808">
        <v>2409</v>
      </c>
      <c r="K3808">
        <v>526100</v>
      </c>
      <c r="L3808">
        <v>80134</v>
      </c>
      <c r="M3808">
        <v>-106479</v>
      </c>
      <c r="N3808">
        <v>138499</v>
      </c>
      <c r="O3808" t="s">
        <v>3826</v>
      </c>
      <c r="P3808" s="9">
        <v>286370</v>
      </c>
      <c r="Q3808" s="9">
        <v>48062</v>
      </c>
      <c r="R3808" s="9">
        <v>334432</v>
      </c>
      <c r="S3808" s="9">
        <v>-118704</v>
      </c>
      <c r="T3808" s="10">
        <v>163486</v>
      </c>
      <c r="U3808" s="10">
        <v>4555</v>
      </c>
    </row>
    <row r="3809" spans="1:21" x14ac:dyDescent="0.35">
      <c r="A3809" t="s">
        <v>15</v>
      </c>
      <c r="B3809" t="s">
        <v>16</v>
      </c>
      <c r="C3809" t="s">
        <v>21</v>
      </c>
      <c r="D3809">
        <v>226672</v>
      </c>
      <c r="E3809">
        <v>21712</v>
      </c>
      <c r="F3809">
        <v>45772</v>
      </c>
      <c r="G3809">
        <v>-219794</v>
      </c>
      <c r="H3809">
        <v>74362</v>
      </c>
      <c r="I3809">
        <v>71520</v>
      </c>
      <c r="J3809">
        <v>1152</v>
      </c>
      <c r="K3809">
        <v>858564</v>
      </c>
      <c r="L3809">
        <v>257958</v>
      </c>
      <c r="M3809">
        <v>-218234</v>
      </c>
      <c r="N3809">
        <v>85558</v>
      </c>
      <c r="O3809" t="s">
        <v>3827</v>
      </c>
      <c r="P3809" s="9">
        <v>220025</v>
      </c>
      <c r="Q3809" s="9">
        <v>33061</v>
      </c>
      <c r="R3809" s="9">
        <v>253086</v>
      </c>
      <c r="S3809" s="9">
        <v>-128174</v>
      </c>
      <c r="T3809" s="10">
        <v>81879</v>
      </c>
      <c r="U3809" s="10">
        <v>1858</v>
      </c>
    </row>
    <row r="3810" spans="1:21" x14ac:dyDescent="0.35">
      <c r="A3810" t="s">
        <v>15</v>
      </c>
      <c r="B3810" t="s">
        <v>16</v>
      </c>
      <c r="C3810" t="s">
        <v>17</v>
      </c>
      <c r="D3810">
        <v>194580</v>
      </c>
      <c r="E3810">
        <v>23568</v>
      </c>
      <c r="F3810">
        <v>19507</v>
      </c>
      <c r="G3810">
        <v>-156474</v>
      </c>
      <c r="H3810">
        <v>81181</v>
      </c>
      <c r="I3810">
        <v>76318</v>
      </c>
      <c r="J3810">
        <v>826</v>
      </c>
      <c r="K3810">
        <v>603309</v>
      </c>
      <c r="L3810">
        <v>213122</v>
      </c>
      <c r="M3810">
        <v>-222422</v>
      </c>
      <c r="N3810">
        <v>152872</v>
      </c>
      <c r="O3810" t="s">
        <v>3828</v>
      </c>
      <c r="P3810" s="9">
        <v>175976</v>
      </c>
      <c r="Q3810" s="9">
        <v>23001</v>
      </c>
      <c r="R3810" s="9">
        <v>198977</v>
      </c>
      <c r="S3810" s="9">
        <v>-45162</v>
      </c>
      <c r="T3810" s="10">
        <v>76337</v>
      </c>
      <c r="U3810" s="10">
        <v>1140</v>
      </c>
    </row>
    <row r="3811" spans="1:21" x14ac:dyDescent="0.35">
      <c r="A3811" t="s">
        <v>15</v>
      </c>
      <c r="B3811" t="s">
        <v>20</v>
      </c>
      <c r="C3811" t="s">
        <v>17</v>
      </c>
      <c r="D3811">
        <v>247098</v>
      </c>
      <c r="E3811">
        <v>46698</v>
      </c>
      <c r="F3811">
        <v>31998</v>
      </c>
      <c r="G3811">
        <v>-215153</v>
      </c>
      <c r="H3811">
        <v>110641</v>
      </c>
      <c r="I3811">
        <v>110691</v>
      </c>
      <c r="J3811">
        <v>1784</v>
      </c>
      <c r="K3811">
        <v>517088</v>
      </c>
      <c r="L3811">
        <v>106237</v>
      </c>
      <c r="M3811">
        <v>-195562</v>
      </c>
      <c r="N3811">
        <v>92843</v>
      </c>
      <c r="O3811" t="s">
        <v>3829</v>
      </c>
      <c r="P3811" s="9">
        <v>214000</v>
      </c>
      <c r="Q3811" s="9">
        <v>34159</v>
      </c>
      <c r="R3811" s="9">
        <v>248159</v>
      </c>
      <c r="S3811" s="9">
        <v>-142257</v>
      </c>
      <c r="T3811" s="10">
        <v>75857</v>
      </c>
      <c r="U3811" s="10">
        <v>1139</v>
      </c>
    </row>
    <row r="3812" spans="1:21" x14ac:dyDescent="0.35">
      <c r="A3812" t="s">
        <v>15</v>
      </c>
      <c r="B3812" t="s">
        <v>16</v>
      </c>
      <c r="C3812" t="s">
        <v>17</v>
      </c>
      <c r="D3812">
        <v>199338</v>
      </c>
      <c r="E3812">
        <v>23542</v>
      </c>
      <c r="F3812">
        <v>43244</v>
      </c>
      <c r="G3812">
        <v>-159654</v>
      </c>
      <c r="H3812">
        <v>106470</v>
      </c>
      <c r="I3812">
        <v>107270</v>
      </c>
      <c r="J3812">
        <v>2153</v>
      </c>
      <c r="K3812">
        <v>548981</v>
      </c>
      <c r="L3812">
        <v>228974</v>
      </c>
      <c r="M3812">
        <v>-75319</v>
      </c>
      <c r="N3812">
        <v>178994</v>
      </c>
      <c r="O3812" t="s">
        <v>3830</v>
      </c>
      <c r="P3812" s="9">
        <v>144125</v>
      </c>
      <c r="Q3812" s="9">
        <v>20063</v>
      </c>
      <c r="R3812" s="9">
        <v>164188</v>
      </c>
      <c r="S3812" s="9">
        <v>-91865</v>
      </c>
      <c r="T3812" s="10">
        <v>56901</v>
      </c>
      <c r="U3812" s="10">
        <v>967</v>
      </c>
    </row>
    <row r="3813" spans="1:21" x14ac:dyDescent="0.35">
      <c r="A3813" t="s">
        <v>15</v>
      </c>
      <c r="B3813" t="s">
        <v>16</v>
      </c>
      <c r="C3813" t="s">
        <v>21</v>
      </c>
      <c r="D3813">
        <v>296758</v>
      </c>
      <c r="E3813">
        <v>24472</v>
      </c>
      <c r="F3813">
        <v>39744</v>
      </c>
      <c r="G3813">
        <v>-292782</v>
      </c>
      <c r="H3813">
        <v>68192</v>
      </c>
      <c r="I3813">
        <v>62880</v>
      </c>
      <c r="J3813">
        <v>865</v>
      </c>
      <c r="K3813">
        <v>1121245</v>
      </c>
      <c r="L3813">
        <v>310396</v>
      </c>
      <c r="M3813">
        <v>-191012</v>
      </c>
      <c r="N3813">
        <v>222459</v>
      </c>
      <c r="O3813" t="s">
        <v>3831</v>
      </c>
      <c r="P3813" s="9">
        <v>244614</v>
      </c>
      <c r="Q3813" s="9">
        <v>40300</v>
      </c>
      <c r="R3813" s="9">
        <v>284914</v>
      </c>
      <c r="S3813" s="9">
        <v>-141660</v>
      </c>
      <c r="T3813" s="10">
        <v>110184</v>
      </c>
      <c r="U3813" s="10">
        <v>2996</v>
      </c>
    </row>
    <row r="3814" spans="1:21" x14ac:dyDescent="0.35">
      <c r="A3814" t="s">
        <v>15</v>
      </c>
      <c r="B3814" t="s">
        <v>16</v>
      </c>
      <c r="C3814" t="s">
        <v>17</v>
      </c>
      <c r="D3814">
        <v>287891</v>
      </c>
      <c r="E3814">
        <v>33335</v>
      </c>
      <c r="F3814">
        <v>39501</v>
      </c>
      <c r="G3814">
        <v>-284634</v>
      </c>
      <c r="H3814">
        <v>76093</v>
      </c>
      <c r="I3814">
        <v>73336</v>
      </c>
      <c r="J3814">
        <v>1881</v>
      </c>
      <c r="K3814">
        <v>1020247</v>
      </c>
      <c r="L3814">
        <v>409627</v>
      </c>
      <c r="M3814">
        <v>-178466</v>
      </c>
      <c r="N3814">
        <v>148998</v>
      </c>
      <c r="O3814" t="s">
        <v>3832</v>
      </c>
      <c r="P3814" s="9">
        <v>200715</v>
      </c>
      <c r="Q3814" s="9">
        <v>25510</v>
      </c>
      <c r="R3814" s="9">
        <v>226225</v>
      </c>
      <c r="S3814" s="9">
        <v>-75180</v>
      </c>
      <c r="T3814" s="10">
        <v>57466</v>
      </c>
      <c r="U3814" s="10">
        <v>1214</v>
      </c>
    </row>
    <row r="3815" spans="1:21" x14ac:dyDescent="0.35">
      <c r="A3815" t="s">
        <v>15</v>
      </c>
      <c r="B3815" t="s">
        <v>20</v>
      </c>
      <c r="C3815" t="s">
        <v>17</v>
      </c>
      <c r="D3815">
        <v>273456</v>
      </c>
      <c r="E3815">
        <v>19285</v>
      </c>
      <c r="F3815">
        <v>53601</v>
      </c>
      <c r="G3815">
        <v>-254563</v>
      </c>
      <c r="H3815">
        <v>91779</v>
      </c>
      <c r="I3815">
        <v>91385</v>
      </c>
      <c r="J3815">
        <v>1854</v>
      </c>
      <c r="K3815">
        <v>656779</v>
      </c>
      <c r="L3815">
        <v>254114</v>
      </c>
      <c r="M3815">
        <v>-226184</v>
      </c>
      <c r="N3815">
        <v>180607</v>
      </c>
      <c r="O3815" t="s">
        <v>3833</v>
      </c>
      <c r="P3815" s="9">
        <v>235948</v>
      </c>
      <c r="Q3815" s="9">
        <v>14968</v>
      </c>
      <c r="R3815" s="9">
        <v>250916</v>
      </c>
      <c r="S3815" s="9">
        <v>-146861</v>
      </c>
      <c r="T3815" s="10">
        <v>75806</v>
      </c>
      <c r="U3815" s="10">
        <v>1144</v>
      </c>
    </row>
    <row r="3816" spans="1:21" x14ac:dyDescent="0.35">
      <c r="A3816" t="s">
        <v>15</v>
      </c>
      <c r="B3816" t="s">
        <v>16</v>
      </c>
      <c r="C3816" t="s">
        <v>21</v>
      </c>
      <c r="D3816">
        <v>179898</v>
      </c>
      <c r="E3816">
        <v>16358</v>
      </c>
      <c r="F3816">
        <v>18625</v>
      </c>
      <c r="G3816">
        <v>-149964</v>
      </c>
      <c r="H3816">
        <v>64917</v>
      </c>
      <c r="I3816">
        <v>64918</v>
      </c>
      <c r="J3816">
        <v>1229</v>
      </c>
      <c r="K3816">
        <v>498812</v>
      </c>
      <c r="L3816">
        <v>124706</v>
      </c>
      <c r="M3816">
        <v>-180443</v>
      </c>
      <c r="N3816">
        <v>82580</v>
      </c>
      <c r="O3816" t="s">
        <v>3834</v>
      </c>
      <c r="P3816" s="9">
        <v>219302</v>
      </c>
      <c r="Q3816" s="9">
        <v>19138</v>
      </c>
      <c r="R3816" s="9">
        <v>238440</v>
      </c>
      <c r="S3816" s="9">
        <v>-117406</v>
      </c>
      <c r="T3816" s="10">
        <v>89546</v>
      </c>
      <c r="U3816" s="10">
        <v>995</v>
      </c>
    </row>
    <row r="3817" spans="1:21" x14ac:dyDescent="0.35">
      <c r="A3817" t="s">
        <v>15</v>
      </c>
      <c r="B3817" t="s">
        <v>16</v>
      </c>
      <c r="C3817" t="s">
        <v>17</v>
      </c>
      <c r="D3817">
        <v>244351</v>
      </c>
      <c r="E3817">
        <v>43672</v>
      </c>
      <c r="F3817">
        <v>56585</v>
      </c>
      <c r="G3817">
        <v>-229281</v>
      </c>
      <c r="H3817">
        <v>115327</v>
      </c>
      <c r="I3817">
        <v>113408</v>
      </c>
      <c r="J3817">
        <v>2687</v>
      </c>
      <c r="K3817">
        <v>814517</v>
      </c>
      <c r="L3817">
        <v>197643</v>
      </c>
      <c r="M3817">
        <v>-273809</v>
      </c>
      <c r="N3817">
        <v>100349</v>
      </c>
      <c r="O3817" t="s">
        <v>3835</v>
      </c>
      <c r="P3817" s="9">
        <v>276929</v>
      </c>
      <c r="Q3817" s="9">
        <v>37844</v>
      </c>
      <c r="R3817" s="9">
        <v>314773</v>
      </c>
      <c r="S3817" s="9">
        <v>-116683</v>
      </c>
      <c r="T3817" s="10">
        <v>73426</v>
      </c>
      <c r="U3817" s="10">
        <v>1018</v>
      </c>
    </row>
    <row r="3818" spans="1:21" x14ac:dyDescent="0.35">
      <c r="A3818" t="s">
        <v>15</v>
      </c>
      <c r="B3818" t="s">
        <v>20</v>
      </c>
      <c r="C3818" t="s">
        <v>21</v>
      </c>
      <c r="D3818">
        <v>222416</v>
      </c>
      <c r="E3818">
        <v>11800</v>
      </c>
      <c r="F3818">
        <v>49678</v>
      </c>
      <c r="G3818">
        <v>-202358</v>
      </c>
      <c r="H3818">
        <v>81536</v>
      </c>
      <c r="I3818">
        <v>78746</v>
      </c>
      <c r="J3818">
        <v>1365</v>
      </c>
      <c r="K3818">
        <v>868901</v>
      </c>
      <c r="L3818">
        <v>368073</v>
      </c>
      <c r="M3818">
        <v>-254413</v>
      </c>
      <c r="N3818">
        <v>153846</v>
      </c>
      <c r="O3818" t="s">
        <v>3836</v>
      </c>
      <c r="P3818" s="9">
        <v>213858</v>
      </c>
      <c r="Q3818" s="9">
        <v>26242</v>
      </c>
      <c r="R3818" s="9">
        <v>240100</v>
      </c>
      <c r="S3818" s="9">
        <v>-129264</v>
      </c>
      <c r="T3818" s="10">
        <v>72385</v>
      </c>
      <c r="U3818" s="10">
        <v>969</v>
      </c>
    </row>
    <row r="3819" spans="1:21" x14ac:dyDescent="0.35">
      <c r="A3819" t="s">
        <v>15</v>
      </c>
      <c r="B3819" t="s">
        <v>16</v>
      </c>
      <c r="C3819" t="s">
        <v>21</v>
      </c>
      <c r="D3819">
        <v>180972</v>
      </c>
      <c r="E3819">
        <v>25509</v>
      </c>
      <c r="F3819">
        <v>43373</v>
      </c>
      <c r="G3819">
        <v>-164956</v>
      </c>
      <c r="H3819">
        <v>84898</v>
      </c>
      <c r="I3819">
        <v>79299</v>
      </c>
      <c r="J3819">
        <v>1281</v>
      </c>
      <c r="K3819">
        <v>383538</v>
      </c>
      <c r="L3819">
        <v>176427</v>
      </c>
      <c r="M3819">
        <v>-127404</v>
      </c>
      <c r="N3819">
        <v>73092</v>
      </c>
      <c r="O3819" t="s">
        <v>3837</v>
      </c>
      <c r="P3819" s="9">
        <v>280182</v>
      </c>
      <c r="Q3819" s="9">
        <v>29949</v>
      </c>
      <c r="R3819" s="9">
        <v>310131</v>
      </c>
      <c r="S3819" s="9">
        <v>-164733</v>
      </c>
      <c r="T3819" s="10">
        <v>97014</v>
      </c>
      <c r="U3819" s="10">
        <v>2728</v>
      </c>
    </row>
    <row r="3820" spans="1:21" x14ac:dyDescent="0.35">
      <c r="A3820" t="s">
        <v>15</v>
      </c>
      <c r="B3820" t="s">
        <v>16</v>
      </c>
      <c r="C3820" t="s">
        <v>17</v>
      </c>
      <c r="D3820">
        <v>185056</v>
      </c>
      <c r="E3820">
        <v>14544</v>
      </c>
      <c r="F3820">
        <v>39492</v>
      </c>
      <c r="G3820">
        <v>-170940</v>
      </c>
      <c r="H3820">
        <v>68152</v>
      </c>
      <c r="I3820">
        <v>64901</v>
      </c>
      <c r="J3820">
        <v>722</v>
      </c>
      <c r="K3820">
        <v>687647</v>
      </c>
      <c r="L3820">
        <v>249194</v>
      </c>
      <c r="M3820">
        <v>-123646</v>
      </c>
      <c r="N3820">
        <v>64237</v>
      </c>
      <c r="O3820" t="s">
        <v>3838</v>
      </c>
      <c r="P3820" s="9">
        <v>167864</v>
      </c>
      <c r="Q3820" s="9">
        <v>28209</v>
      </c>
      <c r="R3820" s="9">
        <v>196073</v>
      </c>
      <c r="S3820" s="9">
        <v>-111709</v>
      </c>
      <c r="T3820" s="10">
        <v>55245</v>
      </c>
      <c r="U3820" s="10">
        <v>1629</v>
      </c>
    </row>
    <row r="3821" spans="1:21" x14ac:dyDescent="0.35">
      <c r="A3821" t="s">
        <v>15</v>
      </c>
      <c r="B3821" t="s">
        <v>16</v>
      </c>
      <c r="C3821" t="s">
        <v>21</v>
      </c>
      <c r="D3821">
        <v>187776</v>
      </c>
      <c r="E3821">
        <v>16846</v>
      </c>
      <c r="F3821">
        <v>41948</v>
      </c>
      <c r="G3821">
        <v>-176424</v>
      </c>
      <c r="H3821">
        <v>70146</v>
      </c>
      <c r="I3821">
        <v>71602</v>
      </c>
      <c r="J3821">
        <v>1158</v>
      </c>
      <c r="K3821">
        <v>628710</v>
      </c>
      <c r="L3821">
        <v>127145</v>
      </c>
      <c r="M3821">
        <v>-114532</v>
      </c>
      <c r="N3821">
        <v>132988</v>
      </c>
      <c r="O3821" t="s">
        <v>3839</v>
      </c>
      <c r="P3821" s="9">
        <v>259534</v>
      </c>
      <c r="Q3821" s="9">
        <v>24752</v>
      </c>
      <c r="R3821" s="9">
        <v>284286</v>
      </c>
      <c r="S3821" s="9">
        <v>-82894</v>
      </c>
      <c r="T3821" s="10">
        <v>117607</v>
      </c>
      <c r="U3821" s="10">
        <v>2855</v>
      </c>
    </row>
    <row r="3822" spans="1:21" x14ac:dyDescent="0.35">
      <c r="A3822" t="s">
        <v>15</v>
      </c>
      <c r="B3822" t="s">
        <v>16</v>
      </c>
      <c r="C3822" t="s">
        <v>21</v>
      </c>
      <c r="D3822">
        <v>226690</v>
      </c>
      <c r="E3822">
        <v>18661</v>
      </c>
      <c r="F3822">
        <v>37304</v>
      </c>
      <c r="G3822">
        <v>-200413</v>
      </c>
      <c r="H3822">
        <v>82242</v>
      </c>
      <c r="I3822">
        <v>84366</v>
      </c>
      <c r="J3822">
        <v>2439</v>
      </c>
      <c r="K3822">
        <v>815016</v>
      </c>
      <c r="L3822">
        <v>358905</v>
      </c>
      <c r="M3822">
        <v>-319612</v>
      </c>
      <c r="N3822">
        <v>184374</v>
      </c>
      <c r="O3822" t="s">
        <v>3840</v>
      </c>
      <c r="P3822" s="9">
        <v>227528</v>
      </c>
      <c r="Q3822" s="9">
        <v>37790</v>
      </c>
      <c r="R3822" s="9">
        <v>265318</v>
      </c>
      <c r="S3822" s="9">
        <v>-86763</v>
      </c>
      <c r="T3822" s="10">
        <v>120570</v>
      </c>
      <c r="U3822" s="10">
        <v>2723</v>
      </c>
    </row>
    <row r="3823" spans="1:21" x14ac:dyDescent="0.35">
      <c r="A3823" t="s">
        <v>15</v>
      </c>
      <c r="B3823" t="s">
        <v>16</v>
      </c>
      <c r="C3823" t="s">
        <v>21</v>
      </c>
      <c r="D3823">
        <v>153033</v>
      </c>
      <c r="E3823">
        <v>11411</v>
      </c>
      <c r="F3823">
        <v>25018</v>
      </c>
      <c r="G3823">
        <v>-138866</v>
      </c>
      <c r="H3823">
        <v>50596</v>
      </c>
      <c r="I3823">
        <v>51372</v>
      </c>
      <c r="J3823">
        <v>889</v>
      </c>
      <c r="K3823">
        <v>604296</v>
      </c>
      <c r="L3823">
        <v>179637</v>
      </c>
      <c r="M3823">
        <v>-74458</v>
      </c>
      <c r="N3823">
        <v>63374</v>
      </c>
      <c r="O3823" t="s">
        <v>3841</v>
      </c>
      <c r="P3823" s="9">
        <v>238474</v>
      </c>
      <c r="Q3823" s="9">
        <v>35752</v>
      </c>
      <c r="R3823" s="9">
        <v>274226</v>
      </c>
      <c r="S3823" s="9">
        <v>-108733</v>
      </c>
      <c r="T3823" s="10">
        <v>95882</v>
      </c>
      <c r="U3823" s="10">
        <v>2870</v>
      </c>
    </row>
    <row r="3824" spans="1:21" x14ac:dyDescent="0.35">
      <c r="A3824" t="s">
        <v>15</v>
      </c>
      <c r="B3824" t="s">
        <v>16</v>
      </c>
      <c r="C3824" t="s">
        <v>21</v>
      </c>
      <c r="D3824">
        <v>276949</v>
      </c>
      <c r="E3824">
        <v>46121</v>
      </c>
      <c r="F3824">
        <v>45216</v>
      </c>
      <c r="G3824">
        <v>-237945</v>
      </c>
      <c r="H3824">
        <v>130341</v>
      </c>
      <c r="I3824">
        <v>117802</v>
      </c>
      <c r="J3824">
        <v>1515</v>
      </c>
      <c r="K3824">
        <v>1032515</v>
      </c>
      <c r="L3824">
        <v>366003</v>
      </c>
      <c r="M3824">
        <v>-398386</v>
      </c>
      <c r="N3824">
        <v>180929</v>
      </c>
      <c r="O3824" t="s">
        <v>3842</v>
      </c>
      <c r="P3824" s="9">
        <v>283409</v>
      </c>
      <c r="Q3824" s="9">
        <v>28560</v>
      </c>
      <c r="R3824" s="9">
        <v>311969</v>
      </c>
      <c r="S3824" s="9">
        <v>-183885</v>
      </c>
      <c r="T3824" s="10">
        <v>108782</v>
      </c>
      <c r="U3824" s="10">
        <v>2993</v>
      </c>
    </row>
    <row r="3825" spans="1:21" x14ac:dyDescent="0.35">
      <c r="A3825" t="s">
        <v>15</v>
      </c>
      <c r="B3825" t="s">
        <v>16</v>
      </c>
      <c r="C3825" t="s">
        <v>17</v>
      </c>
      <c r="D3825">
        <v>193100</v>
      </c>
      <c r="E3825">
        <v>28616</v>
      </c>
      <c r="F3825">
        <v>27342</v>
      </c>
      <c r="G3825">
        <v>-183785</v>
      </c>
      <c r="H3825">
        <v>65273</v>
      </c>
      <c r="I3825">
        <v>60592</v>
      </c>
      <c r="J3825">
        <v>1408</v>
      </c>
      <c r="K3825">
        <v>484989</v>
      </c>
      <c r="L3825">
        <v>120321</v>
      </c>
      <c r="M3825">
        <v>-158699</v>
      </c>
      <c r="N3825">
        <v>160279</v>
      </c>
      <c r="O3825" t="s">
        <v>3843</v>
      </c>
      <c r="P3825" s="9">
        <v>195630</v>
      </c>
      <c r="Q3825" s="9">
        <v>36568</v>
      </c>
      <c r="R3825" s="9">
        <v>232198</v>
      </c>
      <c r="S3825" s="9">
        <v>-99138</v>
      </c>
      <c r="T3825" s="10">
        <v>59068</v>
      </c>
      <c r="U3825" s="10">
        <v>1747</v>
      </c>
    </row>
    <row r="3826" spans="1:21" x14ac:dyDescent="0.35">
      <c r="A3826" t="s">
        <v>15</v>
      </c>
      <c r="B3826" t="s">
        <v>16</v>
      </c>
      <c r="C3826" t="s">
        <v>21</v>
      </c>
      <c r="D3826">
        <v>161818</v>
      </c>
      <c r="E3826">
        <v>30919</v>
      </c>
      <c r="F3826">
        <v>19558</v>
      </c>
      <c r="G3826">
        <v>-143398</v>
      </c>
      <c r="H3826">
        <v>68897</v>
      </c>
      <c r="I3826">
        <v>63506</v>
      </c>
      <c r="J3826">
        <v>1366</v>
      </c>
      <c r="K3826">
        <v>410072</v>
      </c>
      <c r="L3826">
        <v>51796</v>
      </c>
      <c r="M3826">
        <v>-59868</v>
      </c>
      <c r="N3826">
        <v>116924</v>
      </c>
      <c r="O3826" t="s">
        <v>3844</v>
      </c>
      <c r="P3826" s="9">
        <v>194094</v>
      </c>
      <c r="Q3826" s="9">
        <v>18798</v>
      </c>
      <c r="R3826" s="9">
        <v>212892</v>
      </c>
      <c r="S3826" s="9">
        <v>-118040</v>
      </c>
      <c r="T3826" s="10">
        <v>52098</v>
      </c>
      <c r="U3826" s="10">
        <v>1452</v>
      </c>
    </row>
    <row r="3827" spans="1:21" x14ac:dyDescent="0.35">
      <c r="A3827" t="s">
        <v>15</v>
      </c>
      <c r="B3827" t="s">
        <v>16</v>
      </c>
      <c r="C3827" t="s">
        <v>17</v>
      </c>
      <c r="D3827">
        <v>232529</v>
      </c>
      <c r="E3827">
        <v>31739</v>
      </c>
      <c r="F3827">
        <v>48432</v>
      </c>
      <c r="G3827">
        <v>-191242</v>
      </c>
      <c r="H3827">
        <v>121458</v>
      </c>
      <c r="I3827">
        <v>116022</v>
      </c>
      <c r="J3827">
        <v>2016</v>
      </c>
      <c r="K3827">
        <v>657163</v>
      </c>
      <c r="L3827">
        <v>215443</v>
      </c>
      <c r="M3827">
        <v>-220406</v>
      </c>
      <c r="N3827">
        <v>163728</v>
      </c>
      <c r="O3827" t="s">
        <v>3845</v>
      </c>
      <c r="P3827" s="9">
        <v>280885</v>
      </c>
      <c r="Q3827" s="9">
        <v>25478</v>
      </c>
      <c r="R3827" s="9">
        <v>306363</v>
      </c>
      <c r="S3827" s="9">
        <v>-103459</v>
      </c>
      <c r="T3827" s="10">
        <v>64570</v>
      </c>
      <c r="U3827" s="10">
        <v>1318</v>
      </c>
    </row>
    <row r="3828" spans="1:21" x14ac:dyDescent="0.35">
      <c r="A3828" t="s">
        <v>15</v>
      </c>
      <c r="B3828" t="s">
        <v>16</v>
      </c>
      <c r="C3828" t="s">
        <v>17</v>
      </c>
      <c r="D3828">
        <v>255880</v>
      </c>
      <c r="E3828">
        <v>32676</v>
      </c>
      <c r="F3828">
        <v>40292</v>
      </c>
      <c r="G3828">
        <v>-205114</v>
      </c>
      <c r="H3828">
        <v>123734</v>
      </c>
      <c r="I3828">
        <v>122055</v>
      </c>
      <c r="J3828">
        <v>1374</v>
      </c>
      <c r="K3828">
        <v>950052</v>
      </c>
      <c r="L3828">
        <v>368009</v>
      </c>
      <c r="M3828">
        <v>-241590</v>
      </c>
      <c r="N3828">
        <v>200738</v>
      </c>
      <c r="O3828" t="s">
        <v>3846</v>
      </c>
      <c r="P3828" s="9">
        <v>197628</v>
      </c>
      <c r="Q3828" s="9">
        <v>19597</v>
      </c>
      <c r="R3828" s="9">
        <v>217225</v>
      </c>
      <c r="S3828" s="9">
        <v>-83617</v>
      </c>
      <c r="T3828" s="10">
        <v>99652</v>
      </c>
      <c r="U3828" s="10">
        <v>2928</v>
      </c>
    </row>
    <row r="3829" spans="1:21" x14ac:dyDescent="0.35">
      <c r="A3829" t="s">
        <v>15</v>
      </c>
      <c r="B3829" t="s">
        <v>16</v>
      </c>
      <c r="C3829" t="s">
        <v>17</v>
      </c>
      <c r="D3829">
        <v>233927</v>
      </c>
      <c r="E3829">
        <v>37065</v>
      </c>
      <c r="F3829">
        <v>45207</v>
      </c>
      <c r="G3829">
        <v>-215442</v>
      </c>
      <c r="H3829">
        <v>100757</v>
      </c>
      <c r="I3829">
        <v>97303</v>
      </c>
      <c r="J3829">
        <v>2593</v>
      </c>
      <c r="K3829">
        <v>621838</v>
      </c>
      <c r="L3829">
        <v>197610</v>
      </c>
      <c r="M3829">
        <v>-161815</v>
      </c>
      <c r="N3829">
        <v>141641</v>
      </c>
      <c r="O3829" t="s">
        <v>3847</v>
      </c>
      <c r="P3829" s="9">
        <v>155641</v>
      </c>
      <c r="Q3829" s="9">
        <v>12438</v>
      </c>
      <c r="R3829" s="9">
        <v>168079</v>
      </c>
      <c r="S3829" s="9">
        <v>-99354</v>
      </c>
      <c r="T3829" s="10">
        <v>54826</v>
      </c>
      <c r="U3829" s="10">
        <v>1126</v>
      </c>
    </row>
    <row r="3830" spans="1:21" x14ac:dyDescent="0.35">
      <c r="A3830" t="s">
        <v>15</v>
      </c>
      <c r="B3830" t="s">
        <v>16</v>
      </c>
      <c r="C3830" t="s">
        <v>21</v>
      </c>
      <c r="D3830">
        <v>171620</v>
      </c>
      <c r="E3830">
        <v>9151</v>
      </c>
      <c r="F3830">
        <v>30668</v>
      </c>
      <c r="G3830">
        <v>-160673</v>
      </c>
      <c r="H3830">
        <v>50766</v>
      </c>
      <c r="I3830">
        <v>51935</v>
      </c>
      <c r="J3830">
        <v>1000</v>
      </c>
      <c r="K3830">
        <v>455165</v>
      </c>
      <c r="L3830">
        <v>61563</v>
      </c>
      <c r="M3830">
        <v>-151317</v>
      </c>
      <c r="N3830">
        <v>149450</v>
      </c>
      <c r="O3830" t="s">
        <v>3848</v>
      </c>
      <c r="P3830" s="9">
        <v>210609</v>
      </c>
      <c r="Q3830" s="9">
        <v>13624</v>
      </c>
      <c r="R3830" s="9">
        <v>224233</v>
      </c>
      <c r="S3830" s="9">
        <v>-120345</v>
      </c>
      <c r="T3830" s="10">
        <v>100631</v>
      </c>
      <c r="U3830" s="10">
        <v>1942</v>
      </c>
    </row>
    <row r="3831" spans="1:21" x14ac:dyDescent="0.35">
      <c r="A3831" t="s">
        <v>15</v>
      </c>
      <c r="B3831" t="s">
        <v>20</v>
      </c>
      <c r="C3831" t="s">
        <v>17</v>
      </c>
      <c r="D3831">
        <v>298482</v>
      </c>
      <c r="E3831">
        <v>33671</v>
      </c>
      <c r="F3831">
        <v>60971</v>
      </c>
      <c r="G3831">
        <v>-284820</v>
      </c>
      <c r="H3831">
        <v>108304</v>
      </c>
      <c r="I3831">
        <v>100652</v>
      </c>
      <c r="J3831">
        <v>2222</v>
      </c>
      <c r="K3831">
        <v>1177976</v>
      </c>
      <c r="L3831">
        <v>204682</v>
      </c>
      <c r="M3831">
        <v>-119596</v>
      </c>
      <c r="N3831">
        <v>224685</v>
      </c>
      <c r="O3831" t="s">
        <v>3849</v>
      </c>
      <c r="P3831" s="9">
        <v>223230</v>
      </c>
      <c r="Q3831" s="9">
        <v>22595</v>
      </c>
      <c r="R3831" s="9">
        <v>245825</v>
      </c>
      <c r="S3831" s="9">
        <v>-58956</v>
      </c>
      <c r="T3831" s="10">
        <v>86881</v>
      </c>
      <c r="U3831" s="10">
        <v>1303</v>
      </c>
    </row>
    <row r="3832" spans="1:21" x14ac:dyDescent="0.35">
      <c r="A3832" t="s">
        <v>15</v>
      </c>
      <c r="B3832" t="s">
        <v>16</v>
      </c>
      <c r="C3832" t="s">
        <v>21</v>
      </c>
      <c r="D3832">
        <v>244431</v>
      </c>
      <c r="E3832">
        <v>47420</v>
      </c>
      <c r="F3832">
        <v>42060</v>
      </c>
      <c r="G3832">
        <v>-201714</v>
      </c>
      <c r="H3832">
        <v>132197</v>
      </c>
      <c r="I3832">
        <v>119617</v>
      </c>
      <c r="J3832">
        <v>3210</v>
      </c>
      <c r="K3832">
        <v>975638</v>
      </c>
      <c r="L3832">
        <v>261336</v>
      </c>
      <c r="M3832">
        <v>-339141</v>
      </c>
      <c r="N3832">
        <v>170483</v>
      </c>
      <c r="O3832" t="s">
        <v>3850</v>
      </c>
      <c r="P3832" s="9">
        <v>318013</v>
      </c>
      <c r="Q3832" s="9">
        <v>33304</v>
      </c>
      <c r="R3832" s="9">
        <v>351317</v>
      </c>
      <c r="S3832" s="9">
        <v>-192811</v>
      </c>
      <c r="T3832" s="10">
        <v>108576</v>
      </c>
      <c r="U3832" s="10">
        <v>1877</v>
      </c>
    </row>
    <row r="3833" spans="1:21" x14ac:dyDescent="0.35">
      <c r="A3833" t="s">
        <v>15</v>
      </c>
      <c r="B3833" t="s">
        <v>20</v>
      </c>
      <c r="C3833" t="s">
        <v>17</v>
      </c>
      <c r="D3833">
        <v>249952</v>
      </c>
      <c r="E3833">
        <v>22515</v>
      </c>
      <c r="F3833">
        <v>27170</v>
      </c>
      <c r="G3833">
        <v>-237880</v>
      </c>
      <c r="H3833">
        <v>61757</v>
      </c>
      <c r="I3833">
        <v>58503</v>
      </c>
      <c r="J3833">
        <v>1715</v>
      </c>
      <c r="K3833">
        <v>595064</v>
      </c>
      <c r="L3833">
        <v>140684</v>
      </c>
      <c r="M3833">
        <v>-191340</v>
      </c>
      <c r="N3833">
        <v>175029</v>
      </c>
      <c r="O3833" t="s">
        <v>3851</v>
      </c>
      <c r="P3833" s="9">
        <v>201053</v>
      </c>
      <c r="Q3833" s="9">
        <v>18915</v>
      </c>
      <c r="R3833" s="9">
        <v>219968</v>
      </c>
      <c r="S3833" s="9">
        <v>-122959</v>
      </c>
      <c r="T3833" s="10">
        <v>49089</v>
      </c>
      <c r="U3833" s="10">
        <v>722</v>
      </c>
    </row>
    <row r="3834" spans="1:21" x14ac:dyDescent="0.35">
      <c r="A3834" t="s">
        <v>15</v>
      </c>
      <c r="B3834" t="s">
        <v>20</v>
      </c>
      <c r="C3834" t="s">
        <v>21</v>
      </c>
      <c r="D3834">
        <v>217967</v>
      </c>
      <c r="E3834">
        <v>27130</v>
      </c>
      <c r="F3834">
        <v>41564</v>
      </c>
      <c r="G3834">
        <v>-187518</v>
      </c>
      <c r="H3834">
        <v>99143</v>
      </c>
      <c r="I3834">
        <v>97735</v>
      </c>
      <c r="J3834">
        <v>1758</v>
      </c>
      <c r="K3834">
        <v>519172</v>
      </c>
      <c r="L3834">
        <v>57983</v>
      </c>
      <c r="M3834">
        <v>-57934</v>
      </c>
      <c r="N3834">
        <v>159732</v>
      </c>
      <c r="O3834" t="s">
        <v>3852</v>
      </c>
      <c r="P3834" s="9">
        <v>235178</v>
      </c>
      <c r="Q3834" s="9">
        <v>41349</v>
      </c>
      <c r="R3834" s="9">
        <v>276527</v>
      </c>
      <c r="S3834" s="9">
        <v>-162309</v>
      </c>
      <c r="T3834" s="10">
        <v>91520</v>
      </c>
      <c r="U3834" s="10">
        <v>965</v>
      </c>
    </row>
    <row r="3835" spans="1:21" x14ac:dyDescent="0.35">
      <c r="A3835" t="s">
        <v>15</v>
      </c>
      <c r="B3835" t="s">
        <v>20</v>
      </c>
      <c r="C3835" t="s">
        <v>21</v>
      </c>
      <c r="D3835">
        <v>182434</v>
      </c>
      <c r="E3835">
        <v>23947</v>
      </c>
      <c r="F3835">
        <v>37747</v>
      </c>
      <c r="G3835">
        <v>-167806</v>
      </c>
      <c r="H3835">
        <v>76322</v>
      </c>
      <c r="I3835">
        <v>79340</v>
      </c>
      <c r="J3835">
        <v>1391</v>
      </c>
      <c r="K3835">
        <v>442289</v>
      </c>
      <c r="L3835">
        <v>55694</v>
      </c>
      <c r="M3835">
        <v>-145294</v>
      </c>
      <c r="N3835">
        <v>152536</v>
      </c>
      <c r="O3835" t="s">
        <v>3853</v>
      </c>
      <c r="P3835" s="9">
        <v>264095</v>
      </c>
      <c r="Q3835" s="9">
        <v>41590</v>
      </c>
      <c r="R3835" s="9">
        <v>305685</v>
      </c>
      <c r="S3835" s="9">
        <v>-101611</v>
      </c>
      <c r="T3835" s="10">
        <v>113601</v>
      </c>
      <c r="U3835" s="10">
        <v>2667</v>
      </c>
    </row>
    <row r="3836" spans="1:21" x14ac:dyDescent="0.35">
      <c r="A3836" t="s">
        <v>15</v>
      </c>
      <c r="B3836" t="s">
        <v>20</v>
      </c>
      <c r="C3836" t="s">
        <v>21</v>
      </c>
      <c r="D3836">
        <v>240865</v>
      </c>
      <c r="E3836">
        <v>12420</v>
      </c>
      <c r="F3836">
        <v>36580</v>
      </c>
      <c r="G3836">
        <v>-206977</v>
      </c>
      <c r="H3836">
        <v>82888</v>
      </c>
      <c r="I3836">
        <v>75393</v>
      </c>
      <c r="J3836">
        <v>1090</v>
      </c>
      <c r="K3836">
        <v>565056</v>
      </c>
      <c r="L3836">
        <v>119249</v>
      </c>
      <c r="M3836">
        <v>-79044</v>
      </c>
      <c r="N3836">
        <v>199464</v>
      </c>
      <c r="O3836" t="s">
        <v>3854</v>
      </c>
      <c r="P3836" s="9">
        <v>209399</v>
      </c>
      <c r="Q3836" s="9">
        <v>10596</v>
      </c>
      <c r="R3836" s="9">
        <v>219995</v>
      </c>
      <c r="S3836" s="9">
        <v>-97562</v>
      </c>
      <c r="T3836" s="10">
        <v>100885</v>
      </c>
      <c r="U3836" s="10">
        <v>1632</v>
      </c>
    </row>
    <row r="3837" spans="1:21" x14ac:dyDescent="0.35">
      <c r="A3837" t="s">
        <v>15</v>
      </c>
      <c r="B3837" t="s">
        <v>20</v>
      </c>
      <c r="C3837" t="s">
        <v>21</v>
      </c>
      <c r="D3837">
        <v>259081</v>
      </c>
      <c r="E3837">
        <v>51502</v>
      </c>
      <c r="F3837">
        <v>58139</v>
      </c>
      <c r="G3837">
        <v>-227585</v>
      </c>
      <c r="H3837">
        <v>141137</v>
      </c>
      <c r="I3837">
        <v>135836</v>
      </c>
      <c r="J3837">
        <v>1415</v>
      </c>
      <c r="K3837">
        <v>955803</v>
      </c>
      <c r="L3837">
        <v>144414</v>
      </c>
      <c r="M3837">
        <v>-313846</v>
      </c>
      <c r="N3837">
        <v>166169</v>
      </c>
      <c r="O3837" t="s">
        <v>3855</v>
      </c>
      <c r="P3837" s="9">
        <v>158720</v>
      </c>
      <c r="Q3837" s="9">
        <v>24034</v>
      </c>
      <c r="R3837" s="9">
        <v>182754</v>
      </c>
      <c r="S3837" s="9">
        <v>-79586</v>
      </c>
      <c r="T3837" s="10">
        <v>66852</v>
      </c>
      <c r="U3837" s="10">
        <v>875</v>
      </c>
    </row>
    <row r="3838" spans="1:21" x14ac:dyDescent="0.35">
      <c r="A3838" t="s">
        <v>15</v>
      </c>
      <c r="B3838" t="s">
        <v>20</v>
      </c>
      <c r="C3838" t="s">
        <v>17</v>
      </c>
      <c r="D3838">
        <v>208236</v>
      </c>
      <c r="E3838">
        <v>17338</v>
      </c>
      <c r="F3838">
        <v>24572</v>
      </c>
      <c r="G3838">
        <v>-169727</v>
      </c>
      <c r="H3838">
        <v>80419</v>
      </c>
      <c r="I3838">
        <v>79573</v>
      </c>
      <c r="J3838">
        <v>2110</v>
      </c>
      <c r="K3838">
        <v>436039</v>
      </c>
      <c r="L3838">
        <v>131635</v>
      </c>
      <c r="M3838">
        <v>-88614</v>
      </c>
      <c r="N3838">
        <v>130749</v>
      </c>
      <c r="O3838" t="s">
        <v>3856</v>
      </c>
      <c r="P3838" s="9">
        <v>170608</v>
      </c>
      <c r="Q3838" s="9">
        <v>11131</v>
      </c>
      <c r="R3838" s="9">
        <v>181739</v>
      </c>
      <c r="S3838" s="9">
        <v>-57684</v>
      </c>
      <c r="T3838" s="10">
        <v>47781</v>
      </c>
      <c r="U3838" s="10">
        <v>638</v>
      </c>
    </row>
    <row r="3839" spans="1:21" x14ac:dyDescent="0.35">
      <c r="A3839" t="s">
        <v>15</v>
      </c>
      <c r="B3839" t="s">
        <v>16</v>
      </c>
      <c r="C3839" t="s">
        <v>17</v>
      </c>
      <c r="D3839">
        <v>295153</v>
      </c>
      <c r="E3839">
        <v>47865</v>
      </c>
      <c r="F3839">
        <v>30029</v>
      </c>
      <c r="G3839">
        <v>-281386</v>
      </c>
      <c r="H3839">
        <v>91661</v>
      </c>
      <c r="I3839">
        <v>89371</v>
      </c>
      <c r="J3839">
        <v>1295</v>
      </c>
      <c r="K3839">
        <v>943434</v>
      </c>
      <c r="L3839">
        <v>362072</v>
      </c>
      <c r="M3839">
        <v>-349862</v>
      </c>
      <c r="N3839">
        <v>216579</v>
      </c>
      <c r="O3839" t="s">
        <v>3857</v>
      </c>
      <c r="P3839" s="9">
        <v>188405</v>
      </c>
      <c r="Q3839" s="9">
        <v>12314</v>
      </c>
      <c r="R3839" s="9">
        <v>200719</v>
      </c>
      <c r="S3839" s="9">
        <v>-87408</v>
      </c>
      <c r="T3839" s="10">
        <v>65123</v>
      </c>
      <c r="U3839" s="10">
        <v>1691</v>
      </c>
    </row>
    <row r="3840" spans="1:21" x14ac:dyDescent="0.35">
      <c r="A3840" t="s">
        <v>15</v>
      </c>
      <c r="B3840" t="s">
        <v>20</v>
      </c>
      <c r="C3840" t="s">
        <v>21</v>
      </c>
      <c r="D3840">
        <v>299611</v>
      </c>
      <c r="E3840">
        <v>53008</v>
      </c>
      <c r="F3840">
        <v>33813</v>
      </c>
      <c r="G3840">
        <v>-289246</v>
      </c>
      <c r="H3840">
        <v>97186</v>
      </c>
      <c r="I3840">
        <v>99281</v>
      </c>
      <c r="J3840">
        <v>1040</v>
      </c>
      <c r="K3840">
        <v>948919</v>
      </c>
      <c r="L3840">
        <v>458048</v>
      </c>
      <c r="M3840">
        <v>-323810</v>
      </c>
      <c r="N3840">
        <v>209632</v>
      </c>
      <c r="O3840" t="s">
        <v>3858</v>
      </c>
      <c r="P3840" s="9">
        <v>156373</v>
      </c>
      <c r="Q3840" s="9">
        <v>31507</v>
      </c>
      <c r="R3840" s="9">
        <v>187880</v>
      </c>
      <c r="S3840" s="9">
        <v>-91524</v>
      </c>
      <c r="T3840" s="10">
        <v>74658</v>
      </c>
      <c r="U3840" s="10">
        <v>1991</v>
      </c>
    </row>
    <row r="3841" spans="1:21" x14ac:dyDescent="0.35">
      <c r="A3841" t="s">
        <v>15</v>
      </c>
      <c r="B3841" t="s">
        <v>20</v>
      </c>
      <c r="C3841" t="s">
        <v>21</v>
      </c>
      <c r="D3841">
        <v>218091</v>
      </c>
      <c r="E3841">
        <v>31931</v>
      </c>
      <c r="F3841">
        <v>44079</v>
      </c>
      <c r="G3841">
        <v>-199422</v>
      </c>
      <c r="H3841">
        <v>94679</v>
      </c>
      <c r="I3841">
        <v>96509</v>
      </c>
      <c r="J3841">
        <v>1987</v>
      </c>
      <c r="K3841">
        <v>838471</v>
      </c>
      <c r="L3841">
        <v>414730</v>
      </c>
      <c r="M3841">
        <v>-265377</v>
      </c>
      <c r="N3841">
        <v>130756</v>
      </c>
      <c r="O3841" t="s">
        <v>3859</v>
      </c>
      <c r="P3841" s="9">
        <v>268969</v>
      </c>
      <c r="Q3841" s="9">
        <v>17345</v>
      </c>
      <c r="R3841" s="9">
        <v>286314</v>
      </c>
      <c r="S3841" s="9">
        <v>-83203</v>
      </c>
      <c r="T3841" s="10">
        <v>103369</v>
      </c>
      <c r="U3841" s="10">
        <v>1574</v>
      </c>
    </row>
    <row r="3842" spans="1:21" x14ac:dyDescent="0.35">
      <c r="A3842" t="s">
        <v>15</v>
      </c>
      <c r="B3842" t="s">
        <v>20</v>
      </c>
      <c r="C3842" t="s">
        <v>21</v>
      </c>
      <c r="D3842">
        <v>266444</v>
      </c>
      <c r="E3842">
        <v>19419</v>
      </c>
      <c r="F3842">
        <v>60185</v>
      </c>
      <c r="G3842">
        <v>-240362</v>
      </c>
      <c r="H3842">
        <v>105686</v>
      </c>
      <c r="I3842">
        <v>108231</v>
      </c>
      <c r="J3842">
        <v>2285</v>
      </c>
      <c r="K3842">
        <v>575442</v>
      </c>
      <c r="L3842">
        <v>129744</v>
      </c>
      <c r="M3842">
        <v>-170915</v>
      </c>
      <c r="N3842">
        <v>157358</v>
      </c>
      <c r="O3842" t="s">
        <v>3860</v>
      </c>
      <c r="P3842" s="9">
        <v>204697</v>
      </c>
      <c r="Q3842" s="9">
        <v>33385</v>
      </c>
      <c r="R3842" s="9">
        <v>238082</v>
      </c>
      <c r="S3842" s="9">
        <v>-124218</v>
      </c>
      <c r="T3842" s="10">
        <v>87984</v>
      </c>
      <c r="U3842" s="10">
        <v>1530</v>
      </c>
    </row>
    <row r="3843" spans="1:21" x14ac:dyDescent="0.35">
      <c r="A3843" t="s">
        <v>15</v>
      </c>
      <c r="B3843" t="s">
        <v>16</v>
      </c>
      <c r="C3843" t="s">
        <v>21</v>
      </c>
      <c r="D3843">
        <v>218697</v>
      </c>
      <c r="E3843">
        <v>39641</v>
      </c>
      <c r="F3843">
        <v>34068</v>
      </c>
      <c r="G3843">
        <v>-211606</v>
      </c>
      <c r="H3843">
        <v>80800</v>
      </c>
      <c r="I3843">
        <v>75933</v>
      </c>
      <c r="J3843">
        <v>1640</v>
      </c>
      <c r="K3843">
        <v>458663</v>
      </c>
      <c r="L3843">
        <v>173019</v>
      </c>
      <c r="M3843">
        <v>-136084</v>
      </c>
      <c r="N3843">
        <v>92089</v>
      </c>
      <c r="O3843" t="s">
        <v>3861</v>
      </c>
      <c r="P3843" s="9">
        <v>293022</v>
      </c>
      <c r="Q3843" s="9">
        <v>41952</v>
      </c>
      <c r="R3843" s="9">
        <v>334974</v>
      </c>
      <c r="S3843" s="9">
        <v>-167001</v>
      </c>
      <c r="T3843" s="10">
        <v>120654</v>
      </c>
      <c r="U3843" s="10">
        <v>2524</v>
      </c>
    </row>
    <row r="3844" spans="1:21" x14ac:dyDescent="0.35">
      <c r="A3844" t="s">
        <v>15</v>
      </c>
      <c r="B3844" t="s">
        <v>16</v>
      </c>
      <c r="C3844" t="s">
        <v>21</v>
      </c>
      <c r="D3844">
        <v>256135</v>
      </c>
      <c r="E3844">
        <v>49601</v>
      </c>
      <c r="F3844">
        <v>57057</v>
      </c>
      <c r="G3844">
        <v>-222603</v>
      </c>
      <c r="H3844">
        <v>140190</v>
      </c>
      <c r="I3844">
        <v>139227</v>
      </c>
      <c r="J3844">
        <v>1624</v>
      </c>
      <c r="K3844">
        <v>563765</v>
      </c>
      <c r="L3844">
        <v>141183</v>
      </c>
      <c r="M3844">
        <v>-82312</v>
      </c>
      <c r="N3844">
        <v>143358</v>
      </c>
      <c r="O3844" t="s">
        <v>3862</v>
      </c>
      <c r="P3844" s="9">
        <v>218481</v>
      </c>
      <c r="Q3844" s="9">
        <v>12856</v>
      </c>
      <c r="R3844" s="9">
        <v>231337</v>
      </c>
      <c r="S3844" s="9">
        <v>-90653</v>
      </c>
      <c r="T3844" s="10">
        <v>63674</v>
      </c>
      <c r="U3844" s="10">
        <v>1775</v>
      </c>
    </row>
    <row r="3845" spans="1:21" x14ac:dyDescent="0.35">
      <c r="A3845" t="s">
        <v>15</v>
      </c>
      <c r="B3845" t="s">
        <v>20</v>
      </c>
      <c r="C3845" t="s">
        <v>21</v>
      </c>
      <c r="D3845">
        <v>204266</v>
      </c>
      <c r="E3845">
        <v>25509</v>
      </c>
      <c r="F3845">
        <v>47387</v>
      </c>
      <c r="G3845">
        <v>-202336</v>
      </c>
      <c r="H3845">
        <v>74826</v>
      </c>
      <c r="I3845">
        <v>71287</v>
      </c>
      <c r="J3845">
        <v>1269</v>
      </c>
      <c r="K3845">
        <v>635843</v>
      </c>
      <c r="L3845">
        <v>253024</v>
      </c>
      <c r="M3845">
        <v>-218381</v>
      </c>
      <c r="N3845">
        <v>70965</v>
      </c>
      <c r="O3845" t="s">
        <v>3863</v>
      </c>
      <c r="P3845" s="9">
        <v>162505</v>
      </c>
      <c r="Q3845" s="9">
        <v>29962</v>
      </c>
      <c r="R3845" s="9">
        <v>192467</v>
      </c>
      <c r="S3845" s="9">
        <v>-49096</v>
      </c>
      <c r="T3845" s="10">
        <v>94152</v>
      </c>
      <c r="U3845" s="10">
        <v>2586</v>
      </c>
    </row>
    <row r="3846" spans="1:21" x14ac:dyDescent="0.35">
      <c r="A3846" t="s">
        <v>15</v>
      </c>
      <c r="B3846" t="s">
        <v>16</v>
      </c>
      <c r="C3846" t="s">
        <v>21</v>
      </c>
      <c r="D3846">
        <v>190961</v>
      </c>
      <c r="E3846">
        <v>29409</v>
      </c>
      <c r="F3846">
        <v>26040</v>
      </c>
      <c r="G3846">
        <v>-178239</v>
      </c>
      <c r="H3846">
        <v>68171</v>
      </c>
      <c r="I3846">
        <v>65176</v>
      </c>
      <c r="J3846">
        <v>1253</v>
      </c>
      <c r="K3846">
        <v>599780</v>
      </c>
      <c r="L3846">
        <v>155369</v>
      </c>
      <c r="M3846">
        <v>-168421</v>
      </c>
      <c r="N3846">
        <v>125109</v>
      </c>
      <c r="O3846" t="s">
        <v>3864</v>
      </c>
      <c r="P3846" s="9">
        <v>167061</v>
      </c>
      <c r="Q3846" s="9">
        <v>9888</v>
      </c>
      <c r="R3846" s="9">
        <v>176949</v>
      </c>
      <c r="S3846" s="9">
        <v>-75701</v>
      </c>
      <c r="T3846" s="10">
        <v>59945</v>
      </c>
      <c r="U3846" s="10">
        <v>1040</v>
      </c>
    </row>
    <row r="3847" spans="1:21" x14ac:dyDescent="0.35">
      <c r="A3847" t="s">
        <v>15</v>
      </c>
      <c r="B3847" t="s">
        <v>16</v>
      </c>
      <c r="C3847" t="s">
        <v>21</v>
      </c>
      <c r="D3847">
        <v>150264</v>
      </c>
      <c r="E3847">
        <v>13766</v>
      </c>
      <c r="F3847">
        <v>27534</v>
      </c>
      <c r="G3847">
        <v>-136857</v>
      </c>
      <c r="H3847">
        <v>54707</v>
      </c>
      <c r="I3847">
        <v>56338</v>
      </c>
      <c r="J3847">
        <v>1216</v>
      </c>
      <c r="K3847">
        <v>520462</v>
      </c>
      <c r="L3847">
        <v>208813</v>
      </c>
      <c r="M3847">
        <v>-176673</v>
      </c>
      <c r="N3847">
        <v>57389</v>
      </c>
      <c r="O3847" t="s">
        <v>3865</v>
      </c>
      <c r="P3847" s="9">
        <v>266914</v>
      </c>
      <c r="Q3847" s="9">
        <v>25874</v>
      </c>
      <c r="R3847" s="9">
        <v>292788</v>
      </c>
      <c r="S3847" s="9">
        <v>-116607</v>
      </c>
      <c r="T3847" s="10">
        <v>94591</v>
      </c>
      <c r="U3847" s="10">
        <v>2073</v>
      </c>
    </row>
    <row r="3848" spans="1:21" x14ac:dyDescent="0.35">
      <c r="A3848" t="s">
        <v>15</v>
      </c>
      <c r="B3848" t="s">
        <v>20</v>
      </c>
      <c r="C3848" t="s">
        <v>21</v>
      </c>
      <c r="D3848">
        <v>273110</v>
      </c>
      <c r="E3848">
        <v>50466</v>
      </c>
      <c r="F3848">
        <v>60252</v>
      </c>
      <c r="G3848">
        <v>-224279</v>
      </c>
      <c r="H3848">
        <v>159549</v>
      </c>
      <c r="I3848">
        <v>160709</v>
      </c>
      <c r="J3848">
        <v>4481</v>
      </c>
      <c r="K3848">
        <v>827071</v>
      </c>
      <c r="L3848">
        <v>299686</v>
      </c>
      <c r="M3848">
        <v>-157701</v>
      </c>
      <c r="N3848">
        <v>217450</v>
      </c>
      <c r="O3848" t="s">
        <v>3866</v>
      </c>
      <c r="P3848" s="9">
        <v>171734</v>
      </c>
      <c r="Q3848" s="9">
        <v>25198</v>
      </c>
      <c r="R3848" s="9">
        <v>196932</v>
      </c>
      <c r="S3848" s="9">
        <v>-85246</v>
      </c>
      <c r="T3848" s="10">
        <v>77347</v>
      </c>
      <c r="U3848" s="10">
        <v>1328</v>
      </c>
    </row>
    <row r="3849" spans="1:21" x14ac:dyDescent="0.35">
      <c r="A3849" t="s">
        <v>15</v>
      </c>
      <c r="B3849" t="s">
        <v>20</v>
      </c>
      <c r="C3849" t="s">
        <v>17</v>
      </c>
      <c r="D3849">
        <v>257138</v>
      </c>
      <c r="E3849">
        <v>18296</v>
      </c>
      <c r="F3849">
        <v>48714</v>
      </c>
      <c r="G3849">
        <v>-227398</v>
      </c>
      <c r="H3849">
        <v>96750</v>
      </c>
      <c r="I3849">
        <v>90647</v>
      </c>
      <c r="J3849">
        <v>1989</v>
      </c>
      <c r="K3849">
        <v>550691</v>
      </c>
      <c r="L3849">
        <v>240949</v>
      </c>
      <c r="M3849">
        <v>-186666</v>
      </c>
      <c r="N3849">
        <v>191500</v>
      </c>
      <c r="O3849" t="s">
        <v>3867</v>
      </c>
      <c r="P3849" s="9">
        <v>271884</v>
      </c>
      <c r="Q3849" s="9">
        <v>35473</v>
      </c>
      <c r="R3849" s="9">
        <v>307357</v>
      </c>
      <c r="S3849" s="9">
        <v>-142182</v>
      </c>
      <c r="T3849" s="10">
        <v>130999</v>
      </c>
      <c r="U3849" s="10">
        <v>1571</v>
      </c>
    </row>
    <row r="3850" spans="1:21" x14ac:dyDescent="0.35">
      <c r="A3850" t="s">
        <v>15</v>
      </c>
      <c r="B3850" t="s">
        <v>20</v>
      </c>
      <c r="C3850" t="s">
        <v>21</v>
      </c>
      <c r="D3850">
        <v>255172</v>
      </c>
      <c r="E3850">
        <v>20299</v>
      </c>
      <c r="F3850">
        <v>61140</v>
      </c>
      <c r="G3850">
        <v>-242502</v>
      </c>
      <c r="H3850">
        <v>94109</v>
      </c>
      <c r="I3850">
        <v>93426</v>
      </c>
      <c r="J3850">
        <v>2702</v>
      </c>
      <c r="K3850">
        <v>671399</v>
      </c>
      <c r="L3850">
        <v>169092</v>
      </c>
      <c r="M3850">
        <v>-68896</v>
      </c>
      <c r="N3850">
        <v>195512</v>
      </c>
      <c r="O3850" t="s">
        <v>3868</v>
      </c>
      <c r="P3850" s="9">
        <v>159533</v>
      </c>
      <c r="Q3850" s="9">
        <v>9699</v>
      </c>
      <c r="R3850" s="9">
        <v>169232</v>
      </c>
      <c r="S3850" s="9">
        <v>-61359</v>
      </c>
      <c r="T3850" s="10">
        <v>56231</v>
      </c>
      <c r="U3850" s="10">
        <v>1643</v>
      </c>
    </row>
    <row r="3851" spans="1:21" x14ac:dyDescent="0.35">
      <c r="A3851" t="s">
        <v>15</v>
      </c>
      <c r="B3851" t="s">
        <v>16</v>
      </c>
      <c r="C3851" t="s">
        <v>17</v>
      </c>
      <c r="D3851">
        <v>179071</v>
      </c>
      <c r="E3851">
        <v>21644</v>
      </c>
      <c r="F3851">
        <v>25006</v>
      </c>
      <c r="G3851">
        <v>-162927</v>
      </c>
      <c r="H3851">
        <v>62794</v>
      </c>
      <c r="I3851">
        <v>56718</v>
      </c>
      <c r="J3851">
        <v>954</v>
      </c>
      <c r="K3851">
        <v>536388</v>
      </c>
      <c r="L3851">
        <v>199410</v>
      </c>
      <c r="M3851">
        <v>-85373</v>
      </c>
      <c r="N3851">
        <v>104335</v>
      </c>
      <c r="O3851" t="s">
        <v>3869</v>
      </c>
      <c r="P3851" s="9">
        <v>246349</v>
      </c>
      <c r="Q3851" s="9">
        <v>20899</v>
      </c>
      <c r="R3851" s="9">
        <v>267248</v>
      </c>
      <c r="S3851" s="9">
        <v>-100326</v>
      </c>
      <c r="T3851" s="10">
        <v>88475</v>
      </c>
      <c r="U3851" s="10">
        <v>1563</v>
      </c>
    </row>
    <row r="3852" spans="1:21" x14ac:dyDescent="0.35">
      <c r="A3852" t="s">
        <v>15</v>
      </c>
      <c r="B3852" t="s">
        <v>16</v>
      </c>
      <c r="C3852" t="s">
        <v>21</v>
      </c>
      <c r="D3852">
        <v>221971</v>
      </c>
      <c r="E3852">
        <v>37272</v>
      </c>
      <c r="F3852">
        <v>53290</v>
      </c>
      <c r="G3852">
        <v>-197564</v>
      </c>
      <c r="H3852">
        <v>114969</v>
      </c>
      <c r="I3852">
        <v>109929</v>
      </c>
      <c r="J3852">
        <v>2449</v>
      </c>
      <c r="K3852">
        <v>460879</v>
      </c>
      <c r="L3852">
        <v>197953</v>
      </c>
      <c r="M3852">
        <v>-139695</v>
      </c>
      <c r="N3852">
        <v>72680</v>
      </c>
      <c r="O3852" t="s">
        <v>3870</v>
      </c>
      <c r="P3852" s="9">
        <v>256221</v>
      </c>
      <c r="Q3852" s="9">
        <v>50683</v>
      </c>
      <c r="R3852" s="9">
        <v>306904</v>
      </c>
      <c r="S3852" s="9">
        <v>-170164</v>
      </c>
      <c r="T3852" s="10">
        <v>100498</v>
      </c>
      <c r="U3852" s="10">
        <v>2330</v>
      </c>
    </row>
    <row r="3853" spans="1:21" x14ac:dyDescent="0.35">
      <c r="A3853" t="s">
        <v>15</v>
      </c>
      <c r="B3853" t="s">
        <v>16</v>
      </c>
      <c r="C3853" t="s">
        <v>21</v>
      </c>
      <c r="D3853">
        <v>296904</v>
      </c>
      <c r="E3853">
        <v>54377</v>
      </c>
      <c r="F3853">
        <v>33889</v>
      </c>
      <c r="G3853">
        <v>-279912</v>
      </c>
      <c r="H3853">
        <v>105258</v>
      </c>
      <c r="I3853">
        <v>95518</v>
      </c>
      <c r="J3853">
        <v>1694</v>
      </c>
      <c r="K3853">
        <v>602580</v>
      </c>
      <c r="L3853">
        <v>132451</v>
      </c>
      <c r="M3853">
        <v>-194293</v>
      </c>
      <c r="N3853">
        <v>221993</v>
      </c>
      <c r="O3853" t="s">
        <v>3871</v>
      </c>
      <c r="P3853" s="9">
        <v>216997</v>
      </c>
      <c r="Q3853" s="9">
        <v>36797</v>
      </c>
      <c r="R3853" s="9">
        <v>253794</v>
      </c>
      <c r="S3853" s="9">
        <v>-104733</v>
      </c>
      <c r="T3853" s="10">
        <v>102914</v>
      </c>
      <c r="U3853" s="10">
        <v>1141</v>
      </c>
    </row>
    <row r="3854" spans="1:21" x14ac:dyDescent="0.35">
      <c r="A3854" t="s">
        <v>15</v>
      </c>
      <c r="B3854" t="s">
        <v>20</v>
      </c>
      <c r="C3854" t="s">
        <v>21</v>
      </c>
      <c r="D3854">
        <v>260558</v>
      </c>
      <c r="E3854">
        <v>39720</v>
      </c>
      <c r="F3854">
        <v>34897</v>
      </c>
      <c r="G3854">
        <v>-208574</v>
      </c>
      <c r="H3854">
        <v>126601</v>
      </c>
      <c r="I3854">
        <v>126521</v>
      </c>
      <c r="J3854">
        <v>2159</v>
      </c>
      <c r="K3854">
        <v>821129</v>
      </c>
      <c r="L3854">
        <v>390910</v>
      </c>
      <c r="M3854">
        <v>-271621</v>
      </c>
      <c r="N3854">
        <v>226141</v>
      </c>
      <c r="O3854" t="s">
        <v>3872</v>
      </c>
      <c r="P3854" s="9">
        <v>196699</v>
      </c>
      <c r="Q3854" s="9">
        <v>18366</v>
      </c>
      <c r="R3854" s="9">
        <v>215065</v>
      </c>
      <c r="S3854" s="9">
        <v>-114462</v>
      </c>
      <c r="T3854" s="10">
        <v>90993</v>
      </c>
      <c r="U3854" s="10">
        <v>2149</v>
      </c>
    </row>
    <row r="3855" spans="1:21" x14ac:dyDescent="0.35">
      <c r="A3855" t="s">
        <v>15</v>
      </c>
      <c r="B3855" t="s">
        <v>16</v>
      </c>
      <c r="C3855" t="s">
        <v>17</v>
      </c>
      <c r="D3855">
        <v>260131</v>
      </c>
      <c r="E3855">
        <v>17042</v>
      </c>
      <c r="F3855">
        <v>62404</v>
      </c>
      <c r="G3855">
        <v>-225526</v>
      </c>
      <c r="H3855">
        <v>114051</v>
      </c>
      <c r="I3855">
        <v>109937</v>
      </c>
      <c r="J3855">
        <v>2297</v>
      </c>
      <c r="K3855">
        <v>991659</v>
      </c>
      <c r="L3855">
        <v>159421</v>
      </c>
      <c r="M3855">
        <v>-105918</v>
      </c>
      <c r="N3855">
        <v>126024</v>
      </c>
      <c r="O3855" t="s">
        <v>3873</v>
      </c>
      <c r="P3855" s="9">
        <v>288126</v>
      </c>
      <c r="Q3855" s="9">
        <v>21403</v>
      </c>
      <c r="R3855" s="9">
        <v>309529</v>
      </c>
      <c r="S3855" s="9">
        <v>-77439</v>
      </c>
      <c r="T3855" s="10">
        <v>117827</v>
      </c>
      <c r="U3855" s="10">
        <v>2033</v>
      </c>
    </row>
    <row r="3856" spans="1:21" x14ac:dyDescent="0.35">
      <c r="A3856" t="s">
        <v>15</v>
      </c>
      <c r="B3856" t="s">
        <v>16</v>
      </c>
      <c r="C3856" t="s">
        <v>17</v>
      </c>
      <c r="D3856">
        <v>159521</v>
      </c>
      <c r="E3856">
        <v>27309</v>
      </c>
      <c r="F3856">
        <v>23024</v>
      </c>
      <c r="G3856">
        <v>-152748</v>
      </c>
      <c r="H3856">
        <v>57106</v>
      </c>
      <c r="I3856">
        <v>57826</v>
      </c>
      <c r="J3856">
        <v>1070</v>
      </c>
      <c r="K3856">
        <v>505941</v>
      </c>
      <c r="L3856">
        <v>105899</v>
      </c>
      <c r="M3856">
        <v>-198781</v>
      </c>
      <c r="N3856">
        <v>83198</v>
      </c>
      <c r="O3856" t="s">
        <v>3874</v>
      </c>
      <c r="P3856" s="9">
        <v>237802</v>
      </c>
      <c r="Q3856" s="9">
        <v>29803</v>
      </c>
      <c r="R3856" s="9">
        <v>267605</v>
      </c>
      <c r="S3856" s="9">
        <v>-136359</v>
      </c>
      <c r="T3856" s="10">
        <v>98199</v>
      </c>
      <c r="U3856" s="10">
        <v>2229</v>
      </c>
    </row>
    <row r="3857" spans="1:21" x14ac:dyDescent="0.35">
      <c r="A3857" t="s">
        <v>15</v>
      </c>
      <c r="B3857" t="s">
        <v>20</v>
      </c>
      <c r="C3857" t="s">
        <v>17</v>
      </c>
      <c r="D3857">
        <v>211447</v>
      </c>
      <c r="E3857">
        <v>23752</v>
      </c>
      <c r="F3857">
        <v>44181</v>
      </c>
      <c r="G3857">
        <v>-207124</v>
      </c>
      <c r="H3857">
        <v>72256</v>
      </c>
      <c r="I3857">
        <v>69365</v>
      </c>
      <c r="J3857">
        <v>1013</v>
      </c>
      <c r="K3857">
        <v>663698</v>
      </c>
      <c r="L3857">
        <v>206719</v>
      </c>
      <c r="M3857">
        <v>-209336</v>
      </c>
      <c r="N3857">
        <v>147336</v>
      </c>
      <c r="O3857" t="s">
        <v>3875</v>
      </c>
      <c r="P3857" s="9">
        <v>236770</v>
      </c>
      <c r="Q3857" s="9">
        <v>23800</v>
      </c>
      <c r="R3857" s="9">
        <v>260570</v>
      </c>
      <c r="S3857" s="9">
        <v>-71986</v>
      </c>
      <c r="T3857" s="10">
        <v>90922</v>
      </c>
      <c r="U3857" s="10">
        <v>2632</v>
      </c>
    </row>
    <row r="3858" spans="1:21" x14ac:dyDescent="0.35">
      <c r="A3858" t="s">
        <v>15</v>
      </c>
      <c r="B3858" t="s">
        <v>20</v>
      </c>
      <c r="C3858" t="s">
        <v>21</v>
      </c>
      <c r="D3858">
        <v>263251</v>
      </c>
      <c r="E3858">
        <v>47900</v>
      </c>
      <c r="F3858">
        <v>52398</v>
      </c>
      <c r="G3858">
        <v>-259641</v>
      </c>
      <c r="H3858">
        <v>103908</v>
      </c>
      <c r="I3858">
        <v>100313</v>
      </c>
      <c r="J3858">
        <v>1230</v>
      </c>
      <c r="K3858">
        <v>915762</v>
      </c>
      <c r="L3858">
        <v>316492</v>
      </c>
      <c r="M3858">
        <v>-345777</v>
      </c>
      <c r="N3858">
        <v>105034</v>
      </c>
      <c r="O3858" t="s">
        <v>3876</v>
      </c>
      <c r="P3858" s="9">
        <v>251938</v>
      </c>
      <c r="Q3858" s="9">
        <v>51765</v>
      </c>
      <c r="R3858" s="9">
        <v>303703</v>
      </c>
      <c r="S3858" s="9">
        <v>-69204</v>
      </c>
      <c r="T3858" s="10">
        <v>168645</v>
      </c>
      <c r="U3858" s="10">
        <v>3206</v>
      </c>
    </row>
    <row r="3859" spans="1:21" x14ac:dyDescent="0.35">
      <c r="A3859" t="s">
        <v>15</v>
      </c>
      <c r="B3859" t="s">
        <v>16</v>
      </c>
      <c r="C3859" t="s">
        <v>21</v>
      </c>
      <c r="D3859">
        <v>239501</v>
      </c>
      <c r="E3859">
        <v>46310</v>
      </c>
      <c r="F3859">
        <v>29483</v>
      </c>
      <c r="G3859">
        <v>-230196</v>
      </c>
      <c r="H3859">
        <v>85098</v>
      </c>
      <c r="I3859">
        <v>89053</v>
      </c>
      <c r="J3859">
        <v>2094</v>
      </c>
      <c r="K3859">
        <v>678432</v>
      </c>
      <c r="L3859">
        <v>79751</v>
      </c>
      <c r="M3859">
        <v>-167012</v>
      </c>
      <c r="N3859">
        <v>160365</v>
      </c>
      <c r="O3859" t="s">
        <v>3877</v>
      </c>
      <c r="P3859" s="9">
        <v>210447</v>
      </c>
      <c r="Q3859" s="9">
        <v>14496</v>
      </c>
      <c r="R3859" s="9">
        <v>224943</v>
      </c>
      <c r="S3859" s="9">
        <v>-132178</v>
      </c>
      <c r="T3859" s="10">
        <v>96090</v>
      </c>
      <c r="U3859" s="10">
        <v>2800</v>
      </c>
    </row>
    <row r="3860" spans="1:21" x14ac:dyDescent="0.35">
      <c r="A3860" t="s">
        <v>15</v>
      </c>
      <c r="B3860" t="s">
        <v>16</v>
      </c>
      <c r="C3860" t="s">
        <v>17</v>
      </c>
      <c r="D3860">
        <v>203602</v>
      </c>
      <c r="E3860">
        <v>33853</v>
      </c>
      <c r="F3860">
        <v>40025</v>
      </c>
      <c r="G3860">
        <v>-178545</v>
      </c>
      <c r="H3860">
        <v>98935</v>
      </c>
      <c r="I3860">
        <v>97508</v>
      </c>
      <c r="J3860">
        <v>1032</v>
      </c>
      <c r="K3860">
        <v>765853</v>
      </c>
      <c r="L3860">
        <v>252304</v>
      </c>
      <c r="M3860">
        <v>-83461</v>
      </c>
      <c r="N3860">
        <v>105383</v>
      </c>
      <c r="O3860" t="s">
        <v>3878</v>
      </c>
      <c r="P3860" s="9">
        <v>204335</v>
      </c>
      <c r="Q3860" s="9">
        <v>17525</v>
      </c>
      <c r="R3860" s="9">
        <v>221860</v>
      </c>
      <c r="S3860" s="9">
        <v>-62229</v>
      </c>
      <c r="T3860" s="10">
        <v>56970</v>
      </c>
      <c r="U3860" s="10">
        <v>953</v>
      </c>
    </row>
    <row r="3861" spans="1:21" x14ac:dyDescent="0.35">
      <c r="A3861" t="s">
        <v>15</v>
      </c>
      <c r="B3861" t="s">
        <v>20</v>
      </c>
      <c r="C3861" t="s">
        <v>21</v>
      </c>
      <c r="D3861">
        <v>153534</v>
      </c>
      <c r="E3861">
        <v>18445</v>
      </c>
      <c r="F3861">
        <v>27534</v>
      </c>
      <c r="G3861">
        <v>-140895</v>
      </c>
      <c r="H3861">
        <v>58618</v>
      </c>
      <c r="I3861">
        <v>54110</v>
      </c>
      <c r="J3861">
        <v>618</v>
      </c>
      <c r="K3861">
        <v>397672</v>
      </c>
      <c r="L3861">
        <v>73064</v>
      </c>
      <c r="M3861">
        <v>-140859</v>
      </c>
      <c r="N3861">
        <v>66933</v>
      </c>
      <c r="O3861" t="s">
        <v>3879</v>
      </c>
      <c r="P3861" s="9">
        <v>264738</v>
      </c>
      <c r="Q3861" s="9">
        <v>14800</v>
      </c>
      <c r="R3861" s="9">
        <v>279538</v>
      </c>
      <c r="S3861" s="9">
        <v>-119740</v>
      </c>
      <c r="T3861" s="10">
        <v>98761</v>
      </c>
      <c r="U3861" s="10">
        <v>1588</v>
      </c>
    </row>
    <row r="3862" spans="1:21" x14ac:dyDescent="0.35">
      <c r="A3862" t="s">
        <v>15</v>
      </c>
      <c r="B3862" t="s">
        <v>16</v>
      </c>
      <c r="C3862" t="s">
        <v>17</v>
      </c>
      <c r="D3862">
        <v>163868</v>
      </c>
      <c r="E3862">
        <v>27030</v>
      </c>
      <c r="F3862">
        <v>37136</v>
      </c>
      <c r="G3862">
        <v>-159949</v>
      </c>
      <c r="H3862">
        <v>68085</v>
      </c>
      <c r="I3862">
        <v>65675</v>
      </c>
      <c r="J3862">
        <v>1398</v>
      </c>
      <c r="K3862">
        <v>603397</v>
      </c>
      <c r="L3862">
        <v>130658</v>
      </c>
      <c r="M3862">
        <v>-121354</v>
      </c>
      <c r="N3862">
        <v>71699</v>
      </c>
      <c r="O3862" t="s">
        <v>3880</v>
      </c>
      <c r="P3862" s="9">
        <v>161069</v>
      </c>
      <c r="Q3862" s="9">
        <v>25988</v>
      </c>
      <c r="R3862" s="9">
        <v>187057</v>
      </c>
      <c r="S3862" s="9">
        <v>-63771</v>
      </c>
      <c r="T3862" s="10">
        <v>56207</v>
      </c>
      <c r="U3862" s="10">
        <v>1355</v>
      </c>
    </row>
    <row r="3863" spans="1:21" x14ac:dyDescent="0.35">
      <c r="A3863" t="s">
        <v>15</v>
      </c>
      <c r="B3863" t="s">
        <v>16</v>
      </c>
      <c r="C3863" t="s">
        <v>21</v>
      </c>
      <c r="D3863">
        <v>293833</v>
      </c>
      <c r="E3863">
        <v>31691</v>
      </c>
      <c r="F3863">
        <v>57404</v>
      </c>
      <c r="G3863">
        <v>-244603</v>
      </c>
      <c r="H3863">
        <v>138325</v>
      </c>
      <c r="I3863">
        <v>140685</v>
      </c>
      <c r="J3863">
        <v>1672</v>
      </c>
      <c r="K3863">
        <v>1028312</v>
      </c>
      <c r="L3863">
        <v>410086</v>
      </c>
      <c r="M3863">
        <v>-193293</v>
      </c>
      <c r="N3863">
        <v>243729</v>
      </c>
      <c r="O3863" t="s">
        <v>3881</v>
      </c>
      <c r="P3863" s="9">
        <v>242107</v>
      </c>
      <c r="Q3863" s="9">
        <v>23162</v>
      </c>
      <c r="R3863" s="9">
        <v>265269</v>
      </c>
      <c r="S3863" s="9">
        <v>-121499</v>
      </c>
      <c r="T3863" s="10">
        <v>79832</v>
      </c>
      <c r="U3863" s="10">
        <v>965</v>
      </c>
    </row>
    <row r="3864" spans="1:21" x14ac:dyDescent="0.35">
      <c r="A3864" t="s">
        <v>15</v>
      </c>
      <c r="B3864" t="s">
        <v>20</v>
      </c>
      <c r="C3864" t="s">
        <v>21</v>
      </c>
      <c r="D3864">
        <v>261740</v>
      </c>
      <c r="E3864">
        <v>14238</v>
      </c>
      <c r="F3864">
        <v>29925</v>
      </c>
      <c r="G3864">
        <v>-253894</v>
      </c>
      <c r="H3864">
        <v>52009</v>
      </c>
      <c r="I3864">
        <v>49313</v>
      </c>
      <c r="J3864">
        <v>701</v>
      </c>
      <c r="K3864">
        <v>570088</v>
      </c>
      <c r="L3864">
        <v>276434</v>
      </c>
      <c r="M3864">
        <v>-209228</v>
      </c>
      <c r="N3864">
        <v>183413</v>
      </c>
      <c r="O3864" t="s">
        <v>3882</v>
      </c>
      <c r="P3864" s="9">
        <v>308275</v>
      </c>
      <c r="Q3864" s="9">
        <v>50750</v>
      </c>
      <c r="R3864" s="9">
        <v>359025</v>
      </c>
      <c r="S3864" s="9">
        <v>-171319</v>
      </c>
      <c r="T3864" s="10">
        <v>160583</v>
      </c>
      <c r="U3864" s="10">
        <v>3464</v>
      </c>
    </row>
    <row r="3865" spans="1:21" x14ac:dyDescent="0.35">
      <c r="A3865" t="s">
        <v>15</v>
      </c>
      <c r="B3865" t="s">
        <v>16</v>
      </c>
      <c r="C3865" t="s">
        <v>21</v>
      </c>
      <c r="D3865">
        <v>158573</v>
      </c>
      <c r="E3865">
        <v>20819</v>
      </c>
      <c r="F3865">
        <v>17509</v>
      </c>
      <c r="G3865">
        <v>-145800</v>
      </c>
      <c r="H3865">
        <v>51101</v>
      </c>
      <c r="I3865">
        <v>50241</v>
      </c>
      <c r="J3865">
        <v>1399</v>
      </c>
      <c r="K3865">
        <v>469567</v>
      </c>
      <c r="L3865">
        <v>53253</v>
      </c>
      <c r="M3865">
        <v>-82792</v>
      </c>
      <c r="N3865">
        <v>60701</v>
      </c>
      <c r="O3865" t="s">
        <v>3883</v>
      </c>
      <c r="P3865" s="9">
        <v>174919</v>
      </c>
      <c r="Q3865" s="9">
        <v>33218</v>
      </c>
      <c r="R3865" s="9">
        <v>208137</v>
      </c>
      <c r="S3865" s="9">
        <v>-95146</v>
      </c>
      <c r="T3865" s="10">
        <v>73843</v>
      </c>
      <c r="U3865" s="10">
        <v>1313</v>
      </c>
    </row>
    <row r="3866" spans="1:21" x14ac:dyDescent="0.35">
      <c r="A3866" t="s">
        <v>15</v>
      </c>
      <c r="B3866" t="s">
        <v>20</v>
      </c>
      <c r="C3866" t="s">
        <v>21</v>
      </c>
      <c r="D3866">
        <v>267266</v>
      </c>
      <c r="E3866">
        <v>37372</v>
      </c>
      <c r="F3866">
        <v>42009</v>
      </c>
      <c r="G3866">
        <v>-257797</v>
      </c>
      <c r="H3866">
        <v>88850</v>
      </c>
      <c r="I3866">
        <v>81227</v>
      </c>
      <c r="J3866">
        <v>1772</v>
      </c>
      <c r="K3866">
        <v>770934</v>
      </c>
      <c r="L3866">
        <v>135581</v>
      </c>
      <c r="M3866">
        <v>-283124</v>
      </c>
      <c r="N3866">
        <v>88471</v>
      </c>
      <c r="O3866" t="s">
        <v>3884</v>
      </c>
      <c r="P3866" s="9">
        <v>203450</v>
      </c>
      <c r="Q3866" s="9">
        <v>47473</v>
      </c>
      <c r="R3866" s="9">
        <v>250923</v>
      </c>
      <c r="S3866" s="9">
        <v>-130460</v>
      </c>
      <c r="T3866" s="10">
        <v>92772</v>
      </c>
      <c r="U3866" s="10">
        <v>1590</v>
      </c>
    </row>
    <row r="3867" spans="1:21" x14ac:dyDescent="0.35">
      <c r="A3867" t="s">
        <v>15</v>
      </c>
      <c r="B3867" t="s">
        <v>16</v>
      </c>
      <c r="C3867" t="s">
        <v>21</v>
      </c>
      <c r="D3867">
        <v>172286</v>
      </c>
      <c r="E3867">
        <v>25858</v>
      </c>
      <c r="F3867">
        <v>18468</v>
      </c>
      <c r="G3867">
        <v>-157685</v>
      </c>
      <c r="H3867">
        <v>58927</v>
      </c>
      <c r="I3867">
        <v>57950</v>
      </c>
      <c r="J3867">
        <v>1000</v>
      </c>
      <c r="K3867">
        <v>429773</v>
      </c>
      <c r="L3867">
        <v>197716</v>
      </c>
      <c r="M3867">
        <v>-146473</v>
      </c>
      <c r="N3867">
        <v>95775</v>
      </c>
      <c r="O3867" t="s">
        <v>3885</v>
      </c>
      <c r="P3867" s="9">
        <v>201528</v>
      </c>
      <c r="Q3867" s="9">
        <v>29266</v>
      </c>
      <c r="R3867" s="9">
        <v>230794</v>
      </c>
      <c r="S3867" s="9">
        <v>-61771</v>
      </c>
      <c r="T3867" s="10">
        <v>89631</v>
      </c>
      <c r="U3867" s="10">
        <v>2032</v>
      </c>
    </row>
    <row r="3868" spans="1:21" x14ac:dyDescent="0.35">
      <c r="A3868" t="s">
        <v>15</v>
      </c>
      <c r="B3868" t="s">
        <v>16</v>
      </c>
      <c r="C3868" t="s">
        <v>21</v>
      </c>
      <c r="D3868">
        <v>159768</v>
      </c>
      <c r="E3868">
        <v>12286</v>
      </c>
      <c r="F3868">
        <v>28783</v>
      </c>
      <c r="G3868">
        <v>-147902</v>
      </c>
      <c r="H3868">
        <v>52935</v>
      </c>
      <c r="I3868">
        <v>52623</v>
      </c>
      <c r="J3868">
        <v>738</v>
      </c>
      <c r="K3868">
        <v>368197</v>
      </c>
      <c r="L3868">
        <v>118133</v>
      </c>
      <c r="M3868">
        <v>-85407</v>
      </c>
      <c r="N3868">
        <v>57676</v>
      </c>
      <c r="O3868" t="s">
        <v>3886</v>
      </c>
      <c r="P3868" s="9">
        <v>188530</v>
      </c>
      <c r="Q3868" s="9">
        <v>15220</v>
      </c>
      <c r="R3868" s="9">
        <v>203750</v>
      </c>
      <c r="S3868" s="9">
        <v>-97743</v>
      </c>
      <c r="T3868" s="10">
        <v>54453</v>
      </c>
      <c r="U3868" s="10">
        <v>1259</v>
      </c>
    </row>
    <row r="3869" spans="1:21" x14ac:dyDescent="0.35">
      <c r="A3869" t="s">
        <v>15</v>
      </c>
      <c r="B3869" t="s">
        <v>16</v>
      </c>
      <c r="C3869" t="s">
        <v>21</v>
      </c>
      <c r="D3869">
        <v>267773</v>
      </c>
      <c r="E3869">
        <v>19103</v>
      </c>
      <c r="F3869">
        <v>42941</v>
      </c>
      <c r="G3869">
        <v>-267154</v>
      </c>
      <c r="H3869">
        <v>62663</v>
      </c>
      <c r="I3869">
        <v>63043</v>
      </c>
      <c r="J3869">
        <v>692</v>
      </c>
      <c r="K3869">
        <v>917638</v>
      </c>
      <c r="L3869">
        <v>366282</v>
      </c>
      <c r="M3869">
        <v>-130517</v>
      </c>
      <c r="N3869">
        <v>92466</v>
      </c>
      <c r="O3869" t="s">
        <v>3887</v>
      </c>
      <c r="P3869" s="9">
        <v>194985</v>
      </c>
      <c r="Q3869" s="9">
        <v>10013</v>
      </c>
      <c r="R3869" s="9">
        <v>204998</v>
      </c>
      <c r="S3869" s="9">
        <v>-99882</v>
      </c>
      <c r="T3869" s="10">
        <v>46753</v>
      </c>
      <c r="U3869" s="10">
        <v>1150</v>
      </c>
    </row>
    <row r="3870" spans="1:21" x14ac:dyDescent="0.35">
      <c r="A3870" t="s">
        <v>15</v>
      </c>
      <c r="B3870" t="s">
        <v>20</v>
      </c>
      <c r="C3870" t="s">
        <v>21</v>
      </c>
      <c r="D3870">
        <v>235458</v>
      </c>
      <c r="E3870">
        <v>44415</v>
      </c>
      <c r="F3870">
        <v>23926</v>
      </c>
      <c r="G3870">
        <v>-214627</v>
      </c>
      <c r="H3870">
        <v>89172</v>
      </c>
      <c r="I3870">
        <v>90254</v>
      </c>
      <c r="J3870">
        <v>1880</v>
      </c>
      <c r="K3870">
        <v>688727</v>
      </c>
      <c r="L3870">
        <v>243312</v>
      </c>
      <c r="M3870">
        <v>-98396</v>
      </c>
      <c r="N3870">
        <v>135668</v>
      </c>
      <c r="O3870" t="s">
        <v>3888</v>
      </c>
      <c r="P3870" s="9">
        <v>282295</v>
      </c>
      <c r="Q3870" s="9">
        <v>41959</v>
      </c>
      <c r="R3870" s="9">
        <v>324254</v>
      </c>
      <c r="S3870" s="9">
        <v>-164935</v>
      </c>
      <c r="T3870" s="10">
        <v>137169</v>
      </c>
      <c r="U3870" s="10">
        <v>3068</v>
      </c>
    </row>
    <row r="3871" spans="1:21" x14ac:dyDescent="0.35">
      <c r="A3871" t="s">
        <v>15</v>
      </c>
      <c r="B3871" t="s">
        <v>16</v>
      </c>
      <c r="C3871" t="s">
        <v>17</v>
      </c>
      <c r="D3871">
        <v>195594</v>
      </c>
      <c r="E3871">
        <v>35478</v>
      </c>
      <c r="F3871">
        <v>47931</v>
      </c>
      <c r="G3871">
        <v>-180800</v>
      </c>
      <c r="H3871">
        <v>98203</v>
      </c>
      <c r="I3871">
        <v>91400</v>
      </c>
      <c r="J3871">
        <v>1201</v>
      </c>
      <c r="K3871">
        <v>494940</v>
      </c>
      <c r="L3871">
        <v>137682</v>
      </c>
      <c r="M3871">
        <v>-71943</v>
      </c>
      <c r="N3871">
        <v>75346</v>
      </c>
      <c r="O3871" t="s">
        <v>3889</v>
      </c>
      <c r="P3871" s="9">
        <v>183019</v>
      </c>
      <c r="Q3871" s="9">
        <v>16907</v>
      </c>
      <c r="R3871" s="9">
        <v>199926</v>
      </c>
      <c r="S3871" s="9">
        <v>-48026</v>
      </c>
      <c r="T3871" s="10">
        <v>85971</v>
      </c>
      <c r="U3871" s="10">
        <v>2236</v>
      </c>
    </row>
    <row r="3872" spans="1:21" x14ac:dyDescent="0.35">
      <c r="A3872" t="s">
        <v>15</v>
      </c>
      <c r="B3872" t="s">
        <v>20</v>
      </c>
      <c r="C3872" t="s">
        <v>21</v>
      </c>
      <c r="D3872">
        <v>270870</v>
      </c>
      <c r="E3872">
        <v>49531</v>
      </c>
      <c r="F3872">
        <v>48323</v>
      </c>
      <c r="G3872">
        <v>-222505</v>
      </c>
      <c r="H3872">
        <v>146219</v>
      </c>
      <c r="I3872">
        <v>144867</v>
      </c>
      <c r="J3872">
        <v>2257</v>
      </c>
      <c r="K3872">
        <v>1023590</v>
      </c>
      <c r="L3872">
        <v>328515</v>
      </c>
      <c r="M3872">
        <v>-106093</v>
      </c>
      <c r="N3872">
        <v>177183</v>
      </c>
      <c r="O3872" t="s">
        <v>3890</v>
      </c>
      <c r="P3872" s="9">
        <v>199607</v>
      </c>
      <c r="Q3872" s="9">
        <v>30265</v>
      </c>
      <c r="R3872" s="9">
        <v>229872</v>
      </c>
      <c r="S3872" s="9">
        <v>-98053</v>
      </c>
      <c r="T3872" s="10">
        <v>105396</v>
      </c>
      <c r="U3872" s="10">
        <v>3030</v>
      </c>
    </row>
    <row r="3873" spans="1:21" x14ac:dyDescent="0.35">
      <c r="A3873" t="s">
        <v>15</v>
      </c>
      <c r="B3873" t="s">
        <v>20</v>
      </c>
      <c r="C3873" t="s">
        <v>21</v>
      </c>
      <c r="D3873">
        <v>167067</v>
      </c>
      <c r="E3873">
        <v>26190</v>
      </c>
      <c r="F3873">
        <v>39252</v>
      </c>
      <c r="G3873">
        <v>-160029</v>
      </c>
      <c r="H3873">
        <v>72480</v>
      </c>
      <c r="I3873">
        <v>71501</v>
      </c>
      <c r="J3873">
        <v>1896</v>
      </c>
      <c r="K3873">
        <v>435772</v>
      </c>
      <c r="L3873">
        <v>107584</v>
      </c>
      <c r="M3873">
        <v>-155483</v>
      </c>
      <c r="N3873">
        <v>99220</v>
      </c>
      <c r="O3873" t="s">
        <v>3891</v>
      </c>
      <c r="P3873" s="9">
        <v>226394</v>
      </c>
      <c r="Q3873" s="9">
        <v>25763</v>
      </c>
      <c r="R3873" s="9">
        <v>252157</v>
      </c>
      <c r="S3873" s="9">
        <v>-81400</v>
      </c>
      <c r="T3873" s="10">
        <v>77714</v>
      </c>
      <c r="U3873" s="10">
        <v>981</v>
      </c>
    </row>
    <row r="3874" spans="1:21" x14ac:dyDescent="0.35">
      <c r="A3874" t="s">
        <v>15</v>
      </c>
      <c r="B3874" t="s">
        <v>16</v>
      </c>
      <c r="C3874" t="s">
        <v>21</v>
      </c>
      <c r="D3874">
        <v>189328</v>
      </c>
      <c r="E3874">
        <v>27198</v>
      </c>
      <c r="F3874">
        <v>23387</v>
      </c>
      <c r="G3874">
        <v>-155829</v>
      </c>
      <c r="H3874">
        <v>84084</v>
      </c>
      <c r="I3874">
        <v>83853</v>
      </c>
      <c r="J3874">
        <v>1815</v>
      </c>
      <c r="K3874">
        <v>601412</v>
      </c>
      <c r="L3874">
        <v>98683</v>
      </c>
      <c r="M3874">
        <v>-77340</v>
      </c>
      <c r="N3874">
        <v>77456</v>
      </c>
      <c r="O3874" t="s">
        <v>3892</v>
      </c>
      <c r="P3874" s="9">
        <v>301738</v>
      </c>
      <c r="Q3874" s="9">
        <v>43779</v>
      </c>
      <c r="R3874" s="9">
        <v>345517</v>
      </c>
      <c r="S3874" s="9">
        <v>-141392</v>
      </c>
      <c r="T3874" s="10">
        <v>127466</v>
      </c>
      <c r="U3874" s="10">
        <v>1389</v>
      </c>
    </row>
    <row r="3875" spans="1:21" x14ac:dyDescent="0.35">
      <c r="A3875" t="s">
        <v>15</v>
      </c>
      <c r="B3875" t="s">
        <v>16</v>
      </c>
      <c r="C3875" t="s">
        <v>21</v>
      </c>
      <c r="D3875">
        <v>217051</v>
      </c>
      <c r="E3875">
        <v>19918</v>
      </c>
      <c r="F3875">
        <v>25433</v>
      </c>
      <c r="G3875">
        <v>-195539</v>
      </c>
      <c r="H3875">
        <v>66863</v>
      </c>
      <c r="I3875">
        <v>67807</v>
      </c>
      <c r="J3875">
        <v>1187</v>
      </c>
      <c r="K3875">
        <v>790344</v>
      </c>
      <c r="L3875">
        <v>315257</v>
      </c>
      <c r="M3875">
        <v>-187655</v>
      </c>
      <c r="N3875">
        <v>178464</v>
      </c>
      <c r="O3875" t="s">
        <v>3893</v>
      </c>
      <c r="P3875" s="9">
        <v>217328</v>
      </c>
      <c r="Q3875" s="9">
        <v>37986</v>
      </c>
      <c r="R3875" s="9">
        <v>255314</v>
      </c>
      <c r="S3875" s="9">
        <v>-108680</v>
      </c>
      <c r="T3875" s="10">
        <v>103260</v>
      </c>
      <c r="U3875" s="10">
        <v>2220</v>
      </c>
    </row>
    <row r="3876" spans="1:21" x14ac:dyDescent="0.35">
      <c r="A3876" t="s">
        <v>15</v>
      </c>
      <c r="B3876" t="s">
        <v>16</v>
      </c>
      <c r="C3876" t="s">
        <v>21</v>
      </c>
      <c r="D3876">
        <v>224273</v>
      </c>
      <c r="E3876">
        <v>43542</v>
      </c>
      <c r="F3876">
        <v>44832</v>
      </c>
      <c r="G3876">
        <v>-217690</v>
      </c>
      <c r="H3876">
        <v>94957</v>
      </c>
      <c r="I3876">
        <v>97785</v>
      </c>
      <c r="J3876">
        <v>1701</v>
      </c>
      <c r="K3876">
        <v>834652</v>
      </c>
      <c r="L3876">
        <v>359421</v>
      </c>
      <c r="M3876">
        <v>-137471</v>
      </c>
      <c r="N3876">
        <v>81337</v>
      </c>
      <c r="O3876" t="s">
        <v>3894</v>
      </c>
      <c r="P3876" s="9">
        <v>225997</v>
      </c>
      <c r="Q3876" s="9">
        <v>24813</v>
      </c>
      <c r="R3876" s="9">
        <v>250810</v>
      </c>
      <c r="S3876" s="9">
        <v>-80478</v>
      </c>
      <c r="T3876" s="10">
        <v>108036</v>
      </c>
      <c r="U3876" s="10">
        <v>2044</v>
      </c>
    </row>
    <row r="3877" spans="1:21" x14ac:dyDescent="0.35">
      <c r="A3877" t="s">
        <v>15</v>
      </c>
      <c r="B3877" t="s">
        <v>16</v>
      </c>
      <c r="C3877" t="s">
        <v>21</v>
      </c>
      <c r="D3877">
        <v>287606</v>
      </c>
      <c r="E3877">
        <v>39341</v>
      </c>
      <c r="F3877">
        <v>57226</v>
      </c>
      <c r="G3877">
        <v>-278603</v>
      </c>
      <c r="H3877">
        <v>105570</v>
      </c>
      <c r="I3877">
        <v>96488</v>
      </c>
      <c r="J3877">
        <v>1614</v>
      </c>
      <c r="K3877">
        <v>837770</v>
      </c>
      <c r="L3877">
        <v>332181</v>
      </c>
      <c r="M3877">
        <v>-141435</v>
      </c>
      <c r="N3877">
        <v>218843</v>
      </c>
      <c r="O3877" t="s">
        <v>3895</v>
      </c>
      <c r="P3877" s="9">
        <v>299848</v>
      </c>
      <c r="Q3877" s="9">
        <v>49899</v>
      </c>
      <c r="R3877" s="9">
        <v>349747</v>
      </c>
      <c r="S3877" s="9">
        <v>-102050</v>
      </c>
      <c r="T3877" s="10">
        <v>112576</v>
      </c>
      <c r="U3877" s="10">
        <v>2883</v>
      </c>
    </row>
    <row r="3878" spans="1:21" x14ac:dyDescent="0.35">
      <c r="A3878" t="s">
        <v>15</v>
      </c>
      <c r="B3878" t="s">
        <v>16</v>
      </c>
      <c r="C3878" t="s">
        <v>21</v>
      </c>
      <c r="D3878">
        <v>249406</v>
      </c>
      <c r="E3878">
        <v>35961</v>
      </c>
      <c r="F3878">
        <v>50814</v>
      </c>
      <c r="G3878">
        <v>-229689</v>
      </c>
      <c r="H3878">
        <v>106492</v>
      </c>
      <c r="I3878">
        <v>110285</v>
      </c>
      <c r="J3878">
        <v>2618</v>
      </c>
      <c r="K3878">
        <v>640099</v>
      </c>
      <c r="L3878">
        <v>180278</v>
      </c>
      <c r="M3878">
        <v>-195065</v>
      </c>
      <c r="N3878">
        <v>144913</v>
      </c>
      <c r="O3878" t="s">
        <v>3896</v>
      </c>
      <c r="P3878" s="9">
        <v>273706</v>
      </c>
      <c r="Q3878" s="9">
        <v>33019</v>
      </c>
      <c r="R3878" s="9">
        <v>306725</v>
      </c>
      <c r="S3878" s="9">
        <v>-97782</v>
      </c>
      <c r="T3878" s="10">
        <v>111507</v>
      </c>
      <c r="U3878" s="10">
        <v>2303</v>
      </c>
    </row>
    <row r="3879" spans="1:21" x14ac:dyDescent="0.35">
      <c r="A3879" t="s">
        <v>15</v>
      </c>
      <c r="B3879" t="s">
        <v>16</v>
      </c>
      <c r="C3879" t="s">
        <v>21</v>
      </c>
      <c r="D3879">
        <v>260546</v>
      </c>
      <c r="E3879">
        <v>47491</v>
      </c>
      <c r="F3879">
        <v>40145</v>
      </c>
      <c r="G3879">
        <v>-250882</v>
      </c>
      <c r="H3879">
        <v>97300</v>
      </c>
      <c r="I3879">
        <v>99976</v>
      </c>
      <c r="J3879">
        <v>1664</v>
      </c>
      <c r="K3879">
        <v>563136</v>
      </c>
      <c r="L3879">
        <v>167945</v>
      </c>
      <c r="M3879">
        <v>-71465</v>
      </c>
      <c r="N3879">
        <v>97449</v>
      </c>
      <c r="O3879" t="s">
        <v>3897</v>
      </c>
      <c r="P3879" s="9">
        <v>167338</v>
      </c>
      <c r="Q3879" s="9">
        <v>31025</v>
      </c>
      <c r="R3879" s="9">
        <v>198363</v>
      </c>
      <c r="S3879" s="9">
        <v>-108602</v>
      </c>
      <c r="T3879" s="10">
        <v>71054</v>
      </c>
      <c r="U3879" s="10">
        <v>1841</v>
      </c>
    </row>
    <row r="3880" spans="1:21" x14ac:dyDescent="0.35">
      <c r="A3880" t="s">
        <v>15</v>
      </c>
      <c r="B3880" t="s">
        <v>20</v>
      </c>
      <c r="C3880" t="s">
        <v>21</v>
      </c>
      <c r="D3880">
        <v>299080</v>
      </c>
      <c r="E3880">
        <v>48286</v>
      </c>
      <c r="F3880">
        <v>30788</v>
      </c>
      <c r="G3880">
        <v>-249334</v>
      </c>
      <c r="H3880">
        <v>128820</v>
      </c>
      <c r="I3880">
        <v>129035</v>
      </c>
      <c r="J3880">
        <v>3549</v>
      </c>
      <c r="K3880">
        <v>987089</v>
      </c>
      <c r="L3880">
        <v>449834</v>
      </c>
      <c r="M3880">
        <v>-345694</v>
      </c>
      <c r="N3880">
        <v>257881</v>
      </c>
      <c r="O3880" t="s">
        <v>3898</v>
      </c>
      <c r="P3880" s="9">
        <v>247579</v>
      </c>
      <c r="Q3880" s="9">
        <v>14316</v>
      </c>
      <c r="R3880" s="9">
        <v>261895</v>
      </c>
      <c r="S3880" s="9">
        <v>-154862</v>
      </c>
      <c r="T3880" s="10">
        <v>95504</v>
      </c>
      <c r="U3880" s="10">
        <v>2720</v>
      </c>
    </row>
    <row r="3881" spans="1:21" x14ac:dyDescent="0.35">
      <c r="A3881" t="s">
        <v>15</v>
      </c>
      <c r="B3881" t="s">
        <v>20</v>
      </c>
      <c r="C3881" t="s">
        <v>21</v>
      </c>
      <c r="D3881">
        <v>277223</v>
      </c>
      <c r="E3881">
        <v>50386</v>
      </c>
      <c r="F3881">
        <v>34503</v>
      </c>
      <c r="G3881">
        <v>-272403</v>
      </c>
      <c r="H3881">
        <v>89709</v>
      </c>
      <c r="I3881">
        <v>86781</v>
      </c>
      <c r="J3881">
        <v>1496</v>
      </c>
      <c r="K3881">
        <v>775031</v>
      </c>
      <c r="L3881">
        <v>177278</v>
      </c>
      <c r="M3881">
        <v>-295044</v>
      </c>
      <c r="N3881">
        <v>160014</v>
      </c>
      <c r="O3881" t="s">
        <v>3899</v>
      </c>
      <c r="P3881" s="9">
        <v>259700</v>
      </c>
      <c r="Q3881" s="9">
        <v>27387</v>
      </c>
      <c r="R3881" s="9">
        <v>287087</v>
      </c>
      <c r="S3881" s="9">
        <v>-163180</v>
      </c>
      <c r="T3881" s="10">
        <v>108804</v>
      </c>
      <c r="U3881" s="10">
        <v>1129</v>
      </c>
    </row>
    <row r="3882" spans="1:21" x14ac:dyDescent="0.35">
      <c r="A3882" t="s">
        <v>15</v>
      </c>
      <c r="B3882" t="s">
        <v>20</v>
      </c>
      <c r="C3882" t="s">
        <v>21</v>
      </c>
      <c r="D3882">
        <v>225931</v>
      </c>
      <c r="E3882">
        <v>39201</v>
      </c>
      <c r="F3882">
        <v>29086</v>
      </c>
      <c r="G3882">
        <v>-221155</v>
      </c>
      <c r="H3882">
        <v>73063</v>
      </c>
      <c r="I3882">
        <v>66466</v>
      </c>
      <c r="J3882">
        <v>963</v>
      </c>
      <c r="K3882">
        <v>782264</v>
      </c>
      <c r="L3882">
        <v>347791</v>
      </c>
      <c r="M3882">
        <v>-267893</v>
      </c>
      <c r="N3882">
        <v>93357</v>
      </c>
      <c r="O3882" t="s">
        <v>3900</v>
      </c>
      <c r="P3882" s="9">
        <v>231039</v>
      </c>
      <c r="Q3882" s="9">
        <v>12956</v>
      </c>
      <c r="R3882" s="9">
        <v>243995</v>
      </c>
      <c r="S3882" s="9">
        <v>-58494</v>
      </c>
      <c r="T3882" s="10">
        <v>74163</v>
      </c>
      <c r="U3882" s="10">
        <v>1533</v>
      </c>
    </row>
    <row r="3883" spans="1:21" x14ac:dyDescent="0.35">
      <c r="A3883" t="s">
        <v>15</v>
      </c>
      <c r="B3883" t="s">
        <v>20</v>
      </c>
      <c r="C3883" t="s">
        <v>21</v>
      </c>
      <c r="D3883">
        <v>290084</v>
      </c>
      <c r="E3883">
        <v>52954</v>
      </c>
      <c r="F3883">
        <v>58194</v>
      </c>
      <c r="G3883">
        <v>-279928</v>
      </c>
      <c r="H3883">
        <v>121304</v>
      </c>
      <c r="I3883">
        <v>114017</v>
      </c>
      <c r="J3883">
        <v>1647</v>
      </c>
      <c r="K3883">
        <v>816386</v>
      </c>
      <c r="L3883">
        <v>245174</v>
      </c>
      <c r="M3883">
        <v>-215729</v>
      </c>
      <c r="N3883">
        <v>102335</v>
      </c>
      <c r="O3883" t="s">
        <v>3901</v>
      </c>
      <c r="P3883" s="9">
        <v>273944</v>
      </c>
      <c r="Q3883" s="9">
        <v>24037</v>
      </c>
      <c r="R3883" s="9">
        <v>297981</v>
      </c>
      <c r="S3883" s="9">
        <v>-80504</v>
      </c>
      <c r="T3883" s="10">
        <v>115382</v>
      </c>
      <c r="U3883" s="10">
        <v>1561</v>
      </c>
    </row>
    <row r="3884" spans="1:21" x14ac:dyDescent="0.35">
      <c r="A3884" t="s">
        <v>15</v>
      </c>
      <c r="B3884" t="s">
        <v>16</v>
      </c>
      <c r="C3884" t="s">
        <v>21</v>
      </c>
      <c r="D3884">
        <v>223965</v>
      </c>
      <c r="E3884">
        <v>13205</v>
      </c>
      <c r="F3884">
        <v>48846</v>
      </c>
      <c r="G3884">
        <v>-193075</v>
      </c>
      <c r="H3884">
        <v>92941</v>
      </c>
      <c r="I3884">
        <v>87928</v>
      </c>
      <c r="J3884">
        <v>1071</v>
      </c>
      <c r="K3884">
        <v>877533</v>
      </c>
      <c r="L3884">
        <v>350226</v>
      </c>
      <c r="M3884">
        <v>-337123</v>
      </c>
      <c r="N3884">
        <v>95881</v>
      </c>
      <c r="O3884" t="s">
        <v>3902</v>
      </c>
      <c r="P3884" s="9">
        <v>292333</v>
      </c>
      <c r="Q3884" s="9">
        <v>42786</v>
      </c>
      <c r="R3884" s="9">
        <v>335119</v>
      </c>
      <c r="S3884" s="9">
        <v>-167304</v>
      </c>
      <c r="T3884" s="10">
        <v>92152</v>
      </c>
      <c r="U3884" s="10">
        <v>1702</v>
      </c>
    </row>
    <row r="3885" spans="1:21" x14ac:dyDescent="0.35">
      <c r="A3885" t="s">
        <v>15</v>
      </c>
      <c r="B3885" t="s">
        <v>16</v>
      </c>
      <c r="C3885" t="s">
        <v>21</v>
      </c>
      <c r="D3885">
        <v>179910</v>
      </c>
      <c r="E3885">
        <v>21372</v>
      </c>
      <c r="F3885">
        <v>40255</v>
      </c>
      <c r="G3885">
        <v>-148080</v>
      </c>
      <c r="H3885">
        <v>93457</v>
      </c>
      <c r="I3885">
        <v>88488</v>
      </c>
      <c r="J3885">
        <v>1110</v>
      </c>
      <c r="K3885">
        <v>540660</v>
      </c>
      <c r="L3885">
        <v>210766</v>
      </c>
      <c r="M3885">
        <v>-210803</v>
      </c>
      <c r="N3885">
        <v>75594</v>
      </c>
      <c r="O3885" t="s">
        <v>3903</v>
      </c>
      <c r="P3885" s="9">
        <v>174105</v>
      </c>
      <c r="Q3885" s="9">
        <v>23835</v>
      </c>
      <c r="R3885" s="9">
        <v>197940</v>
      </c>
      <c r="S3885" s="9">
        <v>-89173</v>
      </c>
      <c r="T3885" s="10">
        <v>61936</v>
      </c>
      <c r="U3885" s="10">
        <v>1682</v>
      </c>
    </row>
    <row r="3886" spans="1:21" x14ac:dyDescent="0.35">
      <c r="A3886" t="s">
        <v>15</v>
      </c>
      <c r="B3886" t="s">
        <v>16</v>
      </c>
      <c r="C3886" t="s">
        <v>17</v>
      </c>
      <c r="D3886">
        <v>271399</v>
      </c>
      <c r="E3886">
        <v>22805</v>
      </c>
      <c r="F3886">
        <v>54444</v>
      </c>
      <c r="G3886">
        <v>-242808</v>
      </c>
      <c r="H3886">
        <v>105840</v>
      </c>
      <c r="I3886">
        <v>102485</v>
      </c>
      <c r="J3886">
        <v>3031</v>
      </c>
      <c r="K3886">
        <v>608386</v>
      </c>
      <c r="L3886">
        <v>110222</v>
      </c>
      <c r="M3886">
        <v>-90560</v>
      </c>
      <c r="N3886">
        <v>170349</v>
      </c>
      <c r="O3886" t="s">
        <v>3904</v>
      </c>
      <c r="P3886" s="9">
        <v>204219</v>
      </c>
      <c r="Q3886" s="9">
        <v>41916</v>
      </c>
      <c r="R3886" s="9">
        <v>246135</v>
      </c>
      <c r="S3886" s="9">
        <v>-103946</v>
      </c>
      <c r="T3886" s="10">
        <v>116376</v>
      </c>
      <c r="U3886" s="10">
        <v>2481</v>
      </c>
    </row>
    <row r="3887" spans="1:21" x14ac:dyDescent="0.35">
      <c r="A3887" t="s">
        <v>15</v>
      </c>
      <c r="B3887" t="s">
        <v>16</v>
      </c>
      <c r="C3887" t="s">
        <v>17</v>
      </c>
      <c r="D3887">
        <v>217603</v>
      </c>
      <c r="E3887">
        <v>11812</v>
      </c>
      <c r="F3887">
        <v>39338</v>
      </c>
      <c r="G3887">
        <v>-182695</v>
      </c>
      <c r="H3887">
        <v>86058</v>
      </c>
      <c r="I3887">
        <v>86307</v>
      </c>
      <c r="J3887">
        <v>1915</v>
      </c>
      <c r="K3887">
        <v>670179</v>
      </c>
      <c r="L3887">
        <v>215229</v>
      </c>
      <c r="M3887">
        <v>-194587</v>
      </c>
      <c r="N3887">
        <v>131190</v>
      </c>
      <c r="O3887" t="s">
        <v>3905</v>
      </c>
      <c r="P3887" s="9">
        <v>250730</v>
      </c>
      <c r="Q3887" s="9">
        <v>36682</v>
      </c>
      <c r="R3887" s="9">
        <v>287412</v>
      </c>
      <c r="S3887" s="9">
        <v>-156919</v>
      </c>
      <c r="T3887" s="10">
        <v>109055</v>
      </c>
      <c r="U3887" s="10">
        <v>1155</v>
      </c>
    </row>
    <row r="3888" spans="1:21" x14ac:dyDescent="0.35">
      <c r="A3888" t="s">
        <v>15</v>
      </c>
      <c r="B3888" t="s">
        <v>20</v>
      </c>
      <c r="C3888" t="s">
        <v>21</v>
      </c>
      <c r="D3888">
        <v>265316</v>
      </c>
      <c r="E3888">
        <v>37391</v>
      </c>
      <c r="F3888">
        <v>36875</v>
      </c>
      <c r="G3888">
        <v>-235664</v>
      </c>
      <c r="H3888">
        <v>103918</v>
      </c>
      <c r="I3888">
        <v>103634</v>
      </c>
      <c r="J3888">
        <v>1551</v>
      </c>
      <c r="K3888">
        <v>864883</v>
      </c>
      <c r="L3888">
        <v>332625</v>
      </c>
      <c r="M3888">
        <v>-339624</v>
      </c>
      <c r="N3888">
        <v>195762</v>
      </c>
      <c r="O3888" t="s">
        <v>3906</v>
      </c>
      <c r="P3888" s="9">
        <v>230061</v>
      </c>
      <c r="Q3888" s="9">
        <v>33792</v>
      </c>
      <c r="R3888" s="9">
        <v>263853</v>
      </c>
      <c r="S3888" s="9">
        <v>-116769</v>
      </c>
      <c r="T3888" s="10">
        <v>102913</v>
      </c>
      <c r="U3888" s="10">
        <v>1916</v>
      </c>
    </row>
    <row r="3889" spans="1:21" x14ac:dyDescent="0.35">
      <c r="A3889" t="s">
        <v>15</v>
      </c>
      <c r="B3889" t="s">
        <v>16</v>
      </c>
      <c r="C3889" t="s">
        <v>17</v>
      </c>
      <c r="D3889">
        <v>239054</v>
      </c>
      <c r="E3889">
        <v>32853</v>
      </c>
      <c r="F3889">
        <v>53800</v>
      </c>
      <c r="G3889">
        <v>-232246</v>
      </c>
      <c r="H3889">
        <v>93461</v>
      </c>
      <c r="I3889">
        <v>88119</v>
      </c>
      <c r="J3889">
        <v>952</v>
      </c>
      <c r="K3889">
        <v>740222</v>
      </c>
      <c r="L3889">
        <v>177659</v>
      </c>
      <c r="M3889">
        <v>-194887</v>
      </c>
      <c r="N3889">
        <v>144777</v>
      </c>
      <c r="O3889" t="s">
        <v>3907</v>
      </c>
      <c r="P3889" s="9">
        <v>289584</v>
      </c>
      <c r="Q3889" s="9">
        <v>36107</v>
      </c>
      <c r="R3889" s="9">
        <v>325691</v>
      </c>
      <c r="S3889" s="9">
        <v>-92053</v>
      </c>
      <c r="T3889" s="10">
        <v>81300</v>
      </c>
      <c r="U3889" s="10">
        <v>1025</v>
      </c>
    </row>
    <row r="3890" spans="1:21" x14ac:dyDescent="0.35">
      <c r="A3890" t="s">
        <v>15</v>
      </c>
      <c r="B3890" t="s">
        <v>16</v>
      </c>
      <c r="C3890" t="s">
        <v>17</v>
      </c>
      <c r="D3890">
        <v>266951</v>
      </c>
      <c r="E3890">
        <v>47247</v>
      </c>
      <c r="F3890">
        <v>60734</v>
      </c>
      <c r="G3890">
        <v>-258216</v>
      </c>
      <c r="H3890">
        <v>116716</v>
      </c>
      <c r="I3890">
        <v>118557</v>
      </c>
      <c r="J3890">
        <v>1523</v>
      </c>
      <c r="K3890">
        <v>600901</v>
      </c>
      <c r="L3890">
        <v>184908</v>
      </c>
      <c r="M3890">
        <v>-229433</v>
      </c>
      <c r="N3890">
        <v>132891</v>
      </c>
      <c r="O3890" t="s">
        <v>3908</v>
      </c>
      <c r="P3890" s="9">
        <v>187906</v>
      </c>
      <c r="Q3890" s="9">
        <v>28558</v>
      </c>
      <c r="R3890" s="9">
        <v>216464</v>
      </c>
      <c r="S3890" s="9">
        <v>-69274</v>
      </c>
      <c r="T3890" s="10">
        <v>72703</v>
      </c>
      <c r="U3890" s="10">
        <v>1877</v>
      </c>
    </row>
    <row r="3891" spans="1:21" x14ac:dyDescent="0.35">
      <c r="A3891" t="s">
        <v>15</v>
      </c>
      <c r="B3891" t="s">
        <v>16</v>
      </c>
      <c r="C3891" t="s">
        <v>17</v>
      </c>
      <c r="D3891">
        <v>154007</v>
      </c>
      <c r="E3891">
        <v>29028</v>
      </c>
      <c r="F3891">
        <v>31497</v>
      </c>
      <c r="G3891">
        <v>-127675</v>
      </c>
      <c r="H3891">
        <v>86857</v>
      </c>
      <c r="I3891">
        <v>85326</v>
      </c>
      <c r="J3891">
        <v>2274</v>
      </c>
      <c r="K3891">
        <v>361863</v>
      </c>
      <c r="L3891">
        <v>48544</v>
      </c>
      <c r="M3891">
        <v>-120007</v>
      </c>
      <c r="N3891">
        <v>110191</v>
      </c>
      <c r="O3891" t="s">
        <v>3909</v>
      </c>
      <c r="P3891" s="9">
        <v>276466</v>
      </c>
      <c r="Q3891" s="9">
        <v>27004</v>
      </c>
      <c r="R3891" s="9">
        <v>303470</v>
      </c>
      <c r="S3891" s="9">
        <v>-122211</v>
      </c>
      <c r="T3891" s="10">
        <v>82891</v>
      </c>
      <c r="U3891" s="10">
        <v>1752</v>
      </c>
    </row>
    <row r="3892" spans="1:21" x14ac:dyDescent="0.35">
      <c r="A3892" t="s">
        <v>15</v>
      </c>
      <c r="B3892" t="s">
        <v>16</v>
      </c>
      <c r="C3892" t="s">
        <v>21</v>
      </c>
      <c r="D3892">
        <v>154202</v>
      </c>
      <c r="E3892">
        <v>21470</v>
      </c>
      <c r="F3892">
        <v>28773</v>
      </c>
      <c r="G3892">
        <v>-135998</v>
      </c>
      <c r="H3892">
        <v>68447</v>
      </c>
      <c r="I3892">
        <v>67242</v>
      </c>
      <c r="J3892">
        <v>1345</v>
      </c>
      <c r="K3892">
        <v>547421</v>
      </c>
      <c r="L3892">
        <v>91771</v>
      </c>
      <c r="M3892">
        <v>-98648</v>
      </c>
      <c r="N3892">
        <v>54554</v>
      </c>
      <c r="O3892" t="s">
        <v>3910</v>
      </c>
      <c r="P3892" s="9">
        <v>171400</v>
      </c>
      <c r="Q3892" s="9">
        <v>31303</v>
      </c>
      <c r="R3892" s="9">
        <v>202703</v>
      </c>
      <c r="S3892" s="9">
        <v>-51829</v>
      </c>
      <c r="T3892" s="10">
        <v>83846</v>
      </c>
      <c r="U3892" s="10">
        <v>1850</v>
      </c>
    </row>
    <row r="3893" spans="1:21" x14ac:dyDescent="0.35">
      <c r="A3893" t="s">
        <v>15</v>
      </c>
      <c r="B3893" t="s">
        <v>20</v>
      </c>
      <c r="C3893" t="s">
        <v>21</v>
      </c>
      <c r="D3893">
        <v>232268</v>
      </c>
      <c r="E3893">
        <v>11911</v>
      </c>
      <c r="F3893">
        <v>54762</v>
      </c>
      <c r="G3893">
        <v>-203207</v>
      </c>
      <c r="H3893">
        <v>95734</v>
      </c>
      <c r="I3893">
        <v>97035</v>
      </c>
      <c r="J3893">
        <v>2108</v>
      </c>
      <c r="K3893">
        <v>793128</v>
      </c>
      <c r="L3893">
        <v>173298</v>
      </c>
      <c r="M3893">
        <v>-95294</v>
      </c>
      <c r="N3893">
        <v>120602</v>
      </c>
      <c r="O3893" t="s">
        <v>3911</v>
      </c>
      <c r="P3893" s="9">
        <v>209614</v>
      </c>
      <c r="Q3893" s="9">
        <v>19845</v>
      </c>
      <c r="R3893" s="9">
        <v>229459</v>
      </c>
      <c r="S3893" s="9">
        <v>-97201</v>
      </c>
      <c r="T3893" s="10">
        <v>46790</v>
      </c>
      <c r="U3893" s="10">
        <v>521</v>
      </c>
    </row>
    <row r="3894" spans="1:21" x14ac:dyDescent="0.35">
      <c r="A3894" t="s">
        <v>15</v>
      </c>
      <c r="B3894" t="s">
        <v>20</v>
      </c>
      <c r="C3894" t="s">
        <v>21</v>
      </c>
      <c r="D3894">
        <v>270425</v>
      </c>
      <c r="E3894">
        <v>14991</v>
      </c>
      <c r="F3894">
        <v>56887</v>
      </c>
      <c r="G3894">
        <v>-254488</v>
      </c>
      <c r="H3894">
        <v>87815</v>
      </c>
      <c r="I3894">
        <v>84830</v>
      </c>
      <c r="J3894">
        <v>1199</v>
      </c>
      <c r="K3894">
        <v>589672</v>
      </c>
      <c r="L3894">
        <v>269534</v>
      </c>
      <c r="M3894">
        <v>-116372</v>
      </c>
      <c r="N3894">
        <v>139443</v>
      </c>
      <c r="O3894" t="s">
        <v>3912</v>
      </c>
      <c r="P3894" s="9">
        <v>220786</v>
      </c>
      <c r="Q3894" s="9">
        <v>39044</v>
      </c>
      <c r="R3894" s="9">
        <v>259830</v>
      </c>
      <c r="S3894" s="9">
        <v>-146679</v>
      </c>
      <c r="T3894" s="10">
        <v>103108</v>
      </c>
      <c r="U3894" s="10">
        <v>2255</v>
      </c>
    </row>
    <row r="3895" spans="1:21" x14ac:dyDescent="0.35">
      <c r="A3895" t="s">
        <v>15</v>
      </c>
      <c r="B3895" t="s">
        <v>20</v>
      </c>
      <c r="C3895" t="s">
        <v>17</v>
      </c>
      <c r="D3895">
        <v>150772</v>
      </c>
      <c r="E3895">
        <v>20707</v>
      </c>
      <c r="F3895">
        <v>26314</v>
      </c>
      <c r="G3895">
        <v>-124852</v>
      </c>
      <c r="H3895">
        <v>72941</v>
      </c>
      <c r="I3895">
        <v>71527</v>
      </c>
      <c r="J3895">
        <v>1991</v>
      </c>
      <c r="K3895">
        <v>488776</v>
      </c>
      <c r="L3895">
        <v>97429</v>
      </c>
      <c r="M3895">
        <v>-115537</v>
      </c>
      <c r="N3895">
        <v>49119</v>
      </c>
      <c r="O3895" t="s">
        <v>3913</v>
      </c>
      <c r="P3895" s="9">
        <v>269267</v>
      </c>
      <c r="Q3895" s="9">
        <v>35424</v>
      </c>
      <c r="R3895" s="9">
        <v>304691</v>
      </c>
      <c r="S3895" s="9">
        <v>-127862</v>
      </c>
      <c r="T3895" s="10">
        <v>95403</v>
      </c>
      <c r="U3895" s="10">
        <v>1573</v>
      </c>
    </row>
    <row r="3896" spans="1:21" x14ac:dyDescent="0.35">
      <c r="A3896" t="s">
        <v>15</v>
      </c>
      <c r="B3896" t="s">
        <v>20</v>
      </c>
      <c r="C3896" t="s">
        <v>21</v>
      </c>
      <c r="D3896">
        <v>150513</v>
      </c>
      <c r="E3896">
        <v>15976</v>
      </c>
      <c r="F3896">
        <v>30952</v>
      </c>
      <c r="G3896">
        <v>-125231</v>
      </c>
      <c r="H3896">
        <v>72210</v>
      </c>
      <c r="I3896">
        <v>70532</v>
      </c>
      <c r="J3896">
        <v>1110</v>
      </c>
      <c r="K3896">
        <v>455058</v>
      </c>
      <c r="L3896">
        <v>162762</v>
      </c>
      <c r="M3896">
        <v>-144320</v>
      </c>
      <c r="N3896">
        <v>86499</v>
      </c>
      <c r="O3896" t="s">
        <v>3914</v>
      </c>
      <c r="P3896" s="9">
        <v>231778</v>
      </c>
      <c r="Q3896" s="9">
        <v>11520</v>
      </c>
      <c r="R3896" s="9">
        <v>243298</v>
      </c>
      <c r="S3896" s="9">
        <v>-108067</v>
      </c>
      <c r="T3896" s="10">
        <v>38466</v>
      </c>
      <c r="U3896" s="10">
        <v>1128</v>
      </c>
    </row>
    <row r="3897" spans="1:21" x14ac:dyDescent="0.35">
      <c r="A3897" t="s">
        <v>15</v>
      </c>
      <c r="B3897" t="s">
        <v>16</v>
      </c>
      <c r="C3897" t="s">
        <v>21</v>
      </c>
      <c r="D3897">
        <v>229537</v>
      </c>
      <c r="E3897">
        <v>21962</v>
      </c>
      <c r="F3897">
        <v>37991</v>
      </c>
      <c r="G3897">
        <v>-184419</v>
      </c>
      <c r="H3897">
        <v>105071</v>
      </c>
      <c r="I3897">
        <v>100361</v>
      </c>
      <c r="J3897">
        <v>2604</v>
      </c>
      <c r="K3897">
        <v>911504</v>
      </c>
      <c r="L3897">
        <v>369165</v>
      </c>
      <c r="M3897">
        <v>-353787</v>
      </c>
      <c r="N3897">
        <v>138218</v>
      </c>
      <c r="O3897" t="s">
        <v>3915</v>
      </c>
      <c r="P3897" s="9">
        <v>189043</v>
      </c>
      <c r="Q3897" s="9">
        <v>29144</v>
      </c>
      <c r="R3897" s="9">
        <v>218187</v>
      </c>
      <c r="S3897" s="9">
        <v>-81821</v>
      </c>
      <c r="T3897" s="10">
        <v>68381</v>
      </c>
      <c r="U3897" s="10">
        <v>992</v>
      </c>
    </row>
    <row r="3898" spans="1:21" x14ac:dyDescent="0.35">
      <c r="A3898" t="s">
        <v>15</v>
      </c>
      <c r="B3898" t="s">
        <v>16</v>
      </c>
      <c r="C3898" t="s">
        <v>21</v>
      </c>
      <c r="D3898">
        <v>215636</v>
      </c>
      <c r="E3898">
        <v>12946</v>
      </c>
      <c r="F3898">
        <v>47010</v>
      </c>
      <c r="G3898">
        <v>-198248</v>
      </c>
      <c r="H3898">
        <v>77344</v>
      </c>
      <c r="I3898">
        <v>81074</v>
      </c>
      <c r="J3898">
        <v>1048</v>
      </c>
      <c r="K3898">
        <v>795511</v>
      </c>
      <c r="L3898">
        <v>244546</v>
      </c>
      <c r="M3898">
        <v>-229940</v>
      </c>
      <c r="N3898">
        <v>192077</v>
      </c>
      <c r="O3898" t="s">
        <v>3916</v>
      </c>
      <c r="P3898" s="9">
        <v>183312</v>
      </c>
      <c r="Q3898" s="9">
        <v>17754</v>
      </c>
      <c r="R3898" s="9">
        <v>201066</v>
      </c>
      <c r="S3898" s="9">
        <v>-115661</v>
      </c>
      <c r="T3898" s="10">
        <v>45975</v>
      </c>
      <c r="U3898" s="10">
        <v>492</v>
      </c>
    </row>
    <row r="3899" spans="1:21" x14ac:dyDescent="0.35">
      <c r="A3899" t="s">
        <v>15</v>
      </c>
      <c r="B3899" t="s">
        <v>20</v>
      </c>
      <c r="C3899" t="s">
        <v>17</v>
      </c>
      <c r="D3899">
        <v>183597</v>
      </c>
      <c r="E3899">
        <v>36618</v>
      </c>
      <c r="F3899">
        <v>41367</v>
      </c>
      <c r="G3899">
        <v>-154606</v>
      </c>
      <c r="H3899">
        <v>106976</v>
      </c>
      <c r="I3899">
        <v>106211</v>
      </c>
      <c r="J3899">
        <v>2292</v>
      </c>
      <c r="K3899">
        <v>541194</v>
      </c>
      <c r="L3899">
        <v>204873</v>
      </c>
      <c r="M3899">
        <v>-114063</v>
      </c>
      <c r="N3899">
        <v>133873</v>
      </c>
      <c r="O3899" t="s">
        <v>3917</v>
      </c>
      <c r="P3899" s="9">
        <v>173294</v>
      </c>
      <c r="Q3899" s="9">
        <v>35008</v>
      </c>
      <c r="R3899" s="9">
        <v>208302</v>
      </c>
      <c r="S3899" s="9">
        <v>-79336</v>
      </c>
      <c r="T3899" s="10">
        <v>91247</v>
      </c>
      <c r="U3899" s="10">
        <v>2651</v>
      </c>
    </row>
    <row r="3900" spans="1:21" x14ac:dyDescent="0.35">
      <c r="A3900" t="s">
        <v>15</v>
      </c>
      <c r="B3900" t="s">
        <v>20</v>
      </c>
      <c r="C3900" t="s">
        <v>21</v>
      </c>
      <c r="D3900">
        <v>264587</v>
      </c>
      <c r="E3900">
        <v>41409</v>
      </c>
      <c r="F3900">
        <v>28497</v>
      </c>
      <c r="G3900">
        <v>-242275</v>
      </c>
      <c r="H3900">
        <v>92218</v>
      </c>
      <c r="I3900">
        <v>96132</v>
      </c>
      <c r="J3900">
        <v>2010</v>
      </c>
      <c r="K3900">
        <v>858776</v>
      </c>
      <c r="L3900">
        <v>170260</v>
      </c>
      <c r="M3900">
        <v>-270519</v>
      </c>
      <c r="N3900">
        <v>209892</v>
      </c>
      <c r="O3900" t="s">
        <v>3918</v>
      </c>
      <c r="P3900" s="9">
        <v>290035</v>
      </c>
      <c r="Q3900" s="9">
        <v>30478</v>
      </c>
      <c r="R3900" s="9">
        <v>320513</v>
      </c>
      <c r="S3900" s="9">
        <v>-67640</v>
      </c>
      <c r="T3900" s="10">
        <v>123667</v>
      </c>
      <c r="U3900" s="10">
        <v>2817</v>
      </c>
    </row>
    <row r="3901" spans="1:21" x14ac:dyDescent="0.35">
      <c r="A3901" t="s">
        <v>15</v>
      </c>
      <c r="B3901" t="s">
        <v>16</v>
      </c>
      <c r="C3901" t="s">
        <v>21</v>
      </c>
      <c r="D3901">
        <v>164721</v>
      </c>
      <c r="E3901">
        <v>14225</v>
      </c>
      <c r="F3901">
        <v>29007</v>
      </c>
      <c r="G3901">
        <v>-138905</v>
      </c>
      <c r="H3901">
        <v>69048</v>
      </c>
      <c r="I3901">
        <v>64735</v>
      </c>
      <c r="J3901">
        <v>1240</v>
      </c>
      <c r="K3901">
        <v>377330</v>
      </c>
      <c r="L3901">
        <v>69704</v>
      </c>
      <c r="M3901">
        <v>-133148</v>
      </c>
      <c r="N3901">
        <v>108883</v>
      </c>
      <c r="O3901" t="s">
        <v>3919</v>
      </c>
      <c r="P3901" s="9">
        <v>198994</v>
      </c>
      <c r="Q3901" s="9">
        <v>26330</v>
      </c>
      <c r="R3901" s="9">
        <v>225324</v>
      </c>
      <c r="S3901" s="9">
        <v>-63375</v>
      </c>
      <c r="T3901" s="10">
        <v>90143</v>
      </c>
      <c r="U3901" s="10">
        <v>1553</v>
      </c>
    </row>
    <row r="3902" spans="1:21" x14ac:dyDescent="0.35">
      <c r="A3902" t="s">
        <v>15</v>
      </c>
      <c r="B3902" t="s">
        <v>16</v>
      </c>
      <c r="C3902" t="s">
        <v>21</v>
      </c>
      <c r="D3902">
        <v>190407</v>
      </c>
      <c r="E3902">
        <v>10534</v>
      </c>
      <c r="F3902">
        <v>27585</v>
      </c>
      <c r="G3902">
        <v>-179103</v>
      </c>
      <c r="H3902">
        <v>49423</v>
      </c>
      <c r="I3902">
        <v>47143</v>
      </c>
      <c r="J3902">
        <v>716</v>
      </c>
      <c r="K3902">
        <v>470661</v>
      </c>
      <c r="L3902">
        <v>132418</v>
      </c>
      <c r="M3902">
        <v>-118465</v>
      </c>
      <c r="N3902">
        <v>121255</v>
      </c>
      <c r="O3902" t="s">
        <v>3920</v>
      </c>
      <c r="P3902" s="9">
        <v>269275</v>
      </c>
      <c r="Q3902" s="9">
        <v>47896</v>
      </c>
      <c r="R3902" s="9">
        <v>317171</v>
      </c>
      <c r="S3902" s="9">
        <v>-166505</v>
      </c>
      <c r="T3902" s="10">
        <v>85414</v>
      </c>
      <c r="U3902" s="10">
        <v>2312</v>
      </c>
    </row>
    <row r="3903" spans="1:21" x14ac:dyDescent="0.35">
      <c r="A3903" t="s">
        <v>15</v>
      </c>
      <c r="B3903" t="s">
        <v>20</v>
      </c>
      <c r="C3903" t="s">
        <v>17</v>
      </c>
      <c r="D3903">
        <v>247028</v>
      </c>
      <c r="E3903">
        <v>40900</v>
      </c>
      <c r="F3903">
        <v>48133</v>
      </c>
      <c r="G3903">
        <v>-244146</v>
      </c>
      <c r="H3903">
        <v>91915</v>
      </c>
      <c r="I3903">
        <v>87935</v>
      </c>
      <c r="J3903">
        <v>2634</v>
      </c>
      <c r="K3903">
        <v>776330</v>
      </c>
      <c r="L3903">
        <v>245459</v>
      </c>
      <c r="M3903">
        <v>-246564</v>
      </c>
      <c r="N3903">
        <v>80980</v>
      </c>
      <c r="O3903" t="s">
        <v>3921</v>
      </c>
      <c r="P3903" s="9">
        <v>194660</v>
      </c>
      <c r="Q3903" s="9">
        <v>19885</v>
      </c>
      <c r="R3903" s="9">
        <v>214545</v>
      </c>
      <c r="S3903" s="9">
        <v>-123870</v>
      </c>
      <c r="T3903" s="10">
        <v>81650</v>
      </c>
      <c r="U3903" s="10">
        <v>1038</v>
      </c>
    </row>
    <row r="3904" spans="1:21" x14ac:dyDescent="0.35">
      <c r="A3904" t="s">
        <v>15</v>
      </c>
      <c r="B3904" t="s">
        <v>20</v>
      </c>
      <c r="C3904" t="s">
        <v>17</v>
      </c>
      <c r="D3904">
        <v>289573</v>
      </c>
      <c r="E3904">
        <v>47221</v>
      </c>
      <c r="F3904">
        <v>56866</v>
      </c>
      <c r="G3904">
        <v>-283840</v>
      </c>
      <c r="H3904">
        <v>109820</v>
      </c>
      <c r="I3904">
        <v>106734</v>
      </c>
      <c r="J3904">
        <v>3030</v>
      </c>
      <c r="K3904">
        <v>1056592</v>
      </c>
      <c r="L3904">
        <v>461351</v>
      </c>
      <c r="M3904">
        <v>-329816</v>
      </c>
      <c r="N3904">
        <v>110693</v>
      </c>
      <c r="O3904" t="s">
        <v>3922</v>
      </c>
      <c r="P3904" s="9">
        <v>199885</v>
      </c>
      <c r="Q3904" s="9">
        <v>17344</v>
      </c>
      <c r="R3904" s="9">
        <v>217229</v>
      </c>
      <c r="S3904" s="9">
        <v>-50795</v>
      </c>
      <c r="T3904" s="10">
        <v>75839</v>
      </c>
      <c r="U3904" s="10">
        <v>1471</v>
      </c>
    </row>
    <row r="3905" spans="1:21" x14ac:dyDescent="0.35">
      <c r="A3905" t="s">
        <v>15</v>
      </c>
      <c r="B3905" t="s">
        <v>16</v>
      </c>
      <c r="C3905" t="s">
        <v>21</v>
      </c>
      <c r="D3905">
        <v>217411</v>
      </c>
      <c r="E3905">
        <v>38617</v>
      </c>
      <c r="F3905">
        <v>44990</v>
      </c>
      <c r="G3905">
        <v>-207493</v>
      </c>
      <c r="H3905">
        <v>93525</v>
      </c>
      <c r="I3905">
        <v>92405</v>
      </c>
      <c r="J3905">
        <v>2732</v>
      </c>
      <c r="K3905">
        <v>762145</v>
      </c>
      <c r="L3905">
        <v>335580</v>
      </c>
      <c r="M3905">
        <v>-274497</v>
      </c>
      <c r="N3905">
        <v>124440</v>
      </c>
      <c r="O3905" t="s">
        <v>3923</v>
      </c>
      <c r="P3905" s="9">
        <v>229646</v>
      </c>
      <c r="Q3905" s="9">
        <v>29699</v>
      </c>
      <c r="R3905" s="9">
        <v>259345</v>
      </c>
      <c r="S3905" s="9">
        <v>-89412</v>
      </c>
      <c r="T3905" s="10">
        <v>114826</v>
      </c>
      <c r="U3905" s="10">
        <v>3310</v>
      </c>
    </row>
    <row r="3906" spans="1:21" x14ac:dyDescent="0.35">
      <c r="A3906" t="s">
        <v>15</v>
      </c>
      <c r="B3906" t="s">
        <v>16</v>
      </c>
      <c r="C3906" t="s">
        <v>21</v>
      </c>
      <c r="D3906">
        <v>249160</v>
      </c>
      <c r="E3906">
        <v>42918</v>
      </c>
      <c r="F3906">
        <v>54374</v>
      </c>
      <c r="G3906">
        <v>-243863</v>
      </c>
      <c r="H3906">
        <v>102589</v>
      </c>
      <c r="I3906">
        <v>100073</v>
      </c>
      <c r="J3906">
        <v>2177</v>
      </c>
      <c r="K3906">
        <v>953960</v>
      </c>
      <c r="L3906">
        <v>183557</v>
      </c>
      <c r="M3906">
        <v>-98032</v>
      </c>
      <c r="N3906">
        <v>121811</v>
      </c>
      <c r="O3906" t="s">
        <v>3924</v>
      </c>
      <c r="P3906" s="9">
        <v>153736</v>
      </c>
      <c r="Q3906" s="9">
        <v>23788</v>
      </c>
      <c r="R3906" s="9">
        <v>177524</v>
      </c>
      <c r="S3906" s="9">
        <v>-63371</v>
      </c>
      <c r="T3906" s="10">
        <v>51733</v>
      </c>
      <c r="U3906" s="10">
        <v>722</v>
      </c>
    </row>
    <row r="3907" spans="1:21" x14ac:dyDescent="0.35">
      <c r="A3907" t="s">
        <v>15</v>
      </c>
      <c r="B3907" t="s">
        <v>20</v>
      </c>
      <c r="C3907" t="s">
        <v>21</v>
      </c>
      <c r="D3907">
        <v>246843</v>
      </c>
      <c r="E3907">
        <v>27008</v>
      </c>
      <c r="F3907">
        <v>30338</v>
      </c>
      <c r="G3907">
        <v>-244937</v>
      </c>
      <c r="H3907">
        <v>59252</v>
      </c>
      <c r="I3907">
        <v>58790</v>
      </c>
      <c r="J3907">
        <v>948</v>
      </c>
      <c r="K3907">
        <v>928230</v>
      </c>
      <c r="L3907">
        <v>452808</v>
      </c>
      <c r="M3907">
        <v>-98338</v>
      </c>
      <c r="N3907">
        <v>182205</v>
      </c>
      <c r="O3907" t="s">
        <v>3925</v>
      </c>
      <c r="P3907" s="9">
        <v>270066</v>
      </c>
      <c r="Q3907" s="9">
        <v>25859</v>
      </c>
      <c r="R3907" s="9">
        <v>295925</v>
      </c>
      <c r="S3907" s="9">
        <v>-174663</v>
      </c>
      <c r="T3907" s="10">
        <v>95766</v>
      </c>
      <c r="U3907" s="10">
        <v>1126</v>
      </c>
    </row>
    <row r="3908" spans="1:21" x14ac:dyDescent="0.35">
      <c r="A3908" t="s">
        <v>15</v>
      </c>
      <c r="B3908" t="s">
        <v>20</v>
      </c>
      <c r="C3908" t="s">
        <v>21</v>
      </c>
      <c r="D3908">
        <v>235471</v>
      </c>
      <c r="E3908">
        <v>45724</v>
      </c>
      <c r="F3908">
        <v>36800</v>
      </c>
      <c r="G3908">
        <v>-201185</v>
      </c>
      <c r="H3908">
        <v>116810</v>
      </c>
      <c r="I3908">
        <v>114496</v>
      </c>
      <c r="J3908">
        <v>2135</v>
      </c>
      <c r="K3908">
        <v>593313</v>
      </c>
      <c r="L3908">
        <v>235846</v>
      </c>
      <c r="M3908">
        <v>-119344</v>
      </c>
      <c r="N3908">
        <v>157949</v>
      </c>
      <c r="O3908" t="s">
        <v>3926</v>
      </c>
      <c r="P3908" s="9">
        <v>202768</v>
      </c>
      <c r="Q3908" s="9">
        <v>20742</v>
      </c>
      <c r="R3908" s="9">
        <v>223510</v>
      </c>
      <c r="S3908" s="9">
        <v>-111785</v>
      </c>
      <c r="T3908" s="10">
        <v>79812</v>
      </c>
      <c r="U3908" s="10">
        <v>1201</v>
      </c>
    </row>
    <row r="3909" spans="1:21" x14ac:dyDescent="0.35">
      <c r="A3909" t="s">
        <v>15</v>
      </c>
      <c r="B3909" t="s">
        <v>20</v>
      </c>
      <c r="C3909" t="s">
        <v>21</v>
      </c>
      <c r="D3909">
        <v>183186</v>
      </c>
      <c r="E3909">
        <v>22866</v>
      </c>
      <c r="F3909">
        <v>35310</v>
      </c>
      <c r="G3909">
        <v>-149977</v>
      </c>
      <c r="H3909">
        <v>91385</v>
      </c>
      <c r="I3909">
        <v>87520</v>
      </c>
      <c r="J3909">
        <v>1459</v>
      </c>
      <c r="K3909">
        <v>569686</v>
      </c>
      <c r="L3909">
        <v>248327</v>
      </c>
      <c r="M3909">
        <v>-95228</v>
      </c>
      <c r="N3909">
        <v>64922</v>
      </c>
      <c r="O3909" t="s">
        <v>3927</v>
      </c>
      <c r="P3909" s="9">
        <v>273490</v>
      </c>
      <c r="Q3909" s="9">
        <v>33595</v>
      </c>
      <c r="R3909" s="9">
        <v>307085</v>
      </c>
      <c r="S3909" s="9">
        <v>-69902</v>
      </c>
      <c r="T3909" s="10">
        <v>120015</v>
      </c>
      <c r="U3909" s="10">
        <v>1862</v>
      </c>
    </row>
    <row r="3910" spans="1:21" x14ac:dyDescent="0.35">
      <c r="A3910" t="s">
        <v>15</v>
      </c>
      <c r="B3910" t="s">
        <v>16</v>
      </c>
      <c r="C3910" t="s">
        <v>17</v>
      </c>
      <c r="D3910">
        <v>248115</v>
      </c>
      <c r="E3910">
        <v>48756</v>
      </c>
      <c r="F3910">
        <v>52905</v>
      </c>
      <c r="G3910">
        <v>-239730</v>
      </c>
      <c r="H3910">
        <v>110046</v>
      </c>
      <c r="I3910">
        <v>112204</v>
      </c>
      <c r="J3910">
        <v>3082</v>
      </c>
      <c r="K3910">
        <v>828774</v>
      </c>
      <c r="L3910">
        <v>397064</v>
      </c>
      <c r="M3910">
        <v>-165304</v>
      </c>
      <c r="N3910">
        <v>167718</v>
      </c>
      <c r="O3910" t="s">
        <v>3928</v>
      </c>
      <c r="P3910" s="9">
        <v>261764</v>
      </c>
      <c r="Q3910" s="9">
        <v>38551</v>
      </c>
      <c r="R3910" s="9">
        <v>300315</v>
      </c>
      <c r="S3910" s="9">
        <v>-60700</v>
      </c>
      <c r="T3910" s="10">
        <v>105111</v>
      </c>
      <c r="U3910" s="10">
        <v>2570</v>
      </c>
    </row>
    <row r="3911" spans="1:21" x14ac:dyDescent="0.35">
      <c r="A3911" t="s">
        <v>15</v>
      </c>
      <c r="B3911" t="s">
        <v>20</v>
      </c>
      <c r="C3911" t="s">
        <v>21</v>
      </c>
      <c r="D3911">
        <v>263243</v>
      </c>
      <c r="E3911">
        <v>18800</v>
      </c>
      <c r="F3911">
        <v>58407</v>
      </c>
      <c r="G3911">
        <v>-222638</v>
      </c>
      <c r="H3911">
        <v>117812</v>
      </c>
      <c r="I3911">
        <v>113116</v>
      </c>
      <c r="J3911">
        <v>1937</v>
      </c>
      <c r="K3911">
        <v>952200</v>
      </c>
      <c r="L3911">
        <v>472495</v>
      </c>
      <c r="M3911">
        <v>-248330</v>
      </c>
      <c r="N3911">
        <v>181410</v>
      </c>
      <c r="O3911" t="s">
        <v>3929</v>
      </c>
      <c r="P3911" s="9">
        <v>269103</v>
      </c>
      <c r="Q3911" s="9">
        <v>14758</v>
      </c>
      <c r="R3911" s="9">
        <v>283861</v>
      </c>
      <c r="S3911" s="9">
        <v>-142813</v>
      </c>
      <c r="T3911" s="10">
        <v>83050</v>
      </c>
      <c r="U3911" s="10">
        <v>1860</v>
      </c>
    </row>
    <row r="3912" spans="1:21" x14ac:dyDescent="0.35">
      <c r="A3912" t="s">
        <v>15</v>
      </c>
      <c r="B3912" t="s">
        <v>16</v>
      </c>
      <c r="C3912" t="s">
        <v>21</v>
      </c>
      <c r="D3912">
        <v>195421</v>
      </c>
      <c r="E3912">
        <v>22546</v>
      </c>
      <c r="F3912">
        <v>48277</v>
      </c>
      <c r="G3912">
        <v>-180698</v>
      </c>
      <c r="H3912">
        <v>85546</v>
      </c>
      <c r="I3912">
        <v>84491</v>
      </c>
      <c r="J3912">
        <v>1509</v>
      </c>
      <c r="K3912">
        <v>408966</v>
      </c>
      <c r="L3912">
        <v>153922</v>
      </c>
      <c r="M3912">
        <v>-127216</v>
      </c>
      <c r="N3912">
        <v>126110</v>
      </c>
      <c r="O3912" t="s">
        <v>3930</v>
      </c>
      <c r="P3912" s="9">
        <v>201740</v>
      </c>
      <c r="Q3912" s="9">
        <v>19229</v>
      </c>
      <c r="R3912" s="9">
        <v>220969</v>
      </c>
      <c r="S3912" s="9">
        <v>-108147</v>
      </c>
      <c r="T3912" s="10">
        <v>83980</v>
      </c>
      <c r="U3912" s="10">
        <v>1345</v>
      </c>
    </row>
    <row r="3913" spans="1:21" x14ac:dyDescent="0.35">
      <c r="A3913" t="s">
        <v>15</v>
      </c>
      <c r="B3913" t="s">
        <v>16</v>
      </c>
      <c r="C3913" t="s">
        <v>21</v>
      </c>
      <c r="D3913">
        <v>299328</v>
      </c>
      <c r="E3913">
        <v>37913</v>
      </c>
      <c r="F3913">
        <v>43001</v>
      </c>
      <c r="G3913">
        <v>-271552</v>
      </c>
      <c r="H3913">
        <v>108690</v>
      </c>
      <c r="I3913">
        <v>107094</v>
      </c>
      <c r="J3913">
        <v>2807</v>
      </c>
      <c r="K3913">
        <v>635808</v>
      </c>
      <c r="L3913">
        <v>201442</v>
      </c>
      <c r="M3913">
        <v>-194496</v>
      </c>
      <c r="N3913">
        <v>110543</v>
      </c>
      <c r="O3913" t="s">
        <v>3931</v>
      </c>
      <c r="P3913" s="9">
        <v>250337</v>
      </c>
      <c r="Q3913" s="9">
        <v>45402</v>
      </c>
      <c r="R3913" s="9">
        <v>295739</v>
      </c>
      <c r="S3913" s="9">
        <v>-81313</v>
      </c>
      <c r="T3913" s="10">
        <v>96155</v>
      </c>
      <c r="U3913" s="10">
        <v>1328</v>
      </c>
    </row>
    <row r="3914" spans="1:21" x14ac:dyDescent="0.35">
      <c r="A3914" t="s">
        <v>15</v>
      </c>
      <c r="B3914" t="s">
        <v>20</v>
      </c>
      <c r="C3914" t="s">
        <v>21</v>
      </c>
      <c r="D3914">
        <v>202899</v>
      </c>
      <c r="E3914">
        <v>13840</v>
      </c>
      <c r="F3914">
        <v>46319</v>
      </c>
      <c r="G3914">
        <v>-184114</v>
      </c>
      <c r="H3914">
        <v>78944</v>
      </c>
      <c r="I3914">
        <v>81815</v>
      </c>
      <c r="J3914">
        <v>2378</v>
      </c>
      <c r="K3914">
        <v>629399</v>
      </c>
      <c r="L3914">
        <v>304059</v>
      </c>
      <c r="M3914">
        <v>-128390</v>
      </c>
      <c r="N3914">
        <v>77027</v>
      </c>
      <c r="O3914" t="s">
        <v>3932</v>
      </c>
      <c r="P3914" s="9">
        <v>168773</v>
      </c>
      <c r="Q3914" s="9">
        <v>17035</v>
      </c>
      <c r="R3914" s="9">
        <v>185808</v>
      </c>
      <c r="S3914" s="9">
        <v>-65968</v>
      </c>
      <c r="T3914" s="10">
        <v>51888</v>
      </c>
      <c r="U3914" s="10">
        <v>876</v>
      </c>
    </row>
    <row r="3915" spans="1:21" x14ac:dyDescent="0.35">
      <c r="A3915" t="s">
        <v>15</v>
      </c>
      <c r="B3915" t="s">
        <v>20</v>
      </c>
      <c r="C3915" t="s">
        <v>21</v>
      </c>
      <c r="D3915">
        <v>268501</v>
      </c>
      <c r="E3915">
        <v>44818</v>
      </c>
      <c r="F3915">
        <v>46354</v>
      </c>
      <c r="G3915">
        <v>-219057</v>
      </c>
      <c r="H3915">
        <v>140616</v>
      </c>
      <c r="I3915">
        <v>134444</v>
      </c>
      <c r="J3915">
        <v>3067</v>
      </c>
      <c r="K3915">
        <v>729507</v>
      </c>
      <c r="L3915">
        <v>113281</v>
      </c>
      <c r="M3915">
        <v>-100548</v>
      </c>
      <c r="N3915">
        <v>87146</v>
      </c>
      <c r="O3915" t="s">
        <v>3933</v>
      </c>
      <c r="P3915" s="9">
        <v>266822</v>
      </c>
      <c r="Q3915" s="9">
        <v>26232</v>
      </c>
      <c r="R3915" s="9">
        <v>293054</v>
      </c>
      <c r="S3915" s="9">
        <v>-97661</v>
      </c>
      <c r="T3915" s="10">
        <v>76058</v>
      </c>
      <c r="U3915" s="10">
        <v>861</v>
      </c>
    </row>
    <row r="3916" spans="1:21" x14ac:dyDescent="0.35">
      <c r="A3916" t="s">
        <v>15</v>
      </c>
      <c r="B3916" t="s">
        <v>16</v>
      </c>
      <c r="C3916" t="s">
        <v>21</v>
      </c>
      <c r="D3916">
        <v>237252</v>
      </c>
      <c r="E3916">
        <v>46869</v>
      </c>
      <c r="F3916">
        <v>44050</v>
      </c>
      <c r="G3916">
        <v>-198650</v>
      </c>
      <c r="H3916">
        <v>129521</v>
      </c>
      <c r="I3916">
        <v>124211</v>
      </c>
      <c r="J3916">
        <v>1952</v>
      </c>
      <c r="K3916">
        <v>674461</v>
      </c>
      <c r="L3916">
        <v>256944</v>
      </c>
      <c r="M3916">
        <v>-82169</v>
      </c>
      <c r="N3916">
        <v>186998</v>
      </c>
      <c r="O3916" t="s">
        <v>3934</v>
      </c>
      <c r="P3916" s="9">
        <v>265642</v>
      </c>
      <c r="Q3916" s="9">
        <v>57484</v>
      </c>
      <c r="R3916" s="9">
        <v>323126</v>
      </c>
      <c r="S3916" s="9">
        <v>-161338</v>
      </c>
      <c r="T3916" s="10">
        <v>149510</v>
      </c>
      <c r="U3916" s="10">
        <v>4381</v>
      </c>
    </row>
    <row r="3917" spans="1:21" x14ac:dyDescent="0.35">
      <c r="A3917" t="s">
        <v>15</v>
      </c>
      <c r="B3917" t="s">
        <v>16</v>
      </c>
      <c r="C3917" t="s">
        <v>21</v>
      </c>
      <c r="D3917">
        <v>199383</v>
      </c>
      <c r="E3917">
        <v>12541</v>
      </c>
      <c r="F3917">
        <v>34173</v>
      </c>
      <c r="G3917">
        <v>-162352</v>
      </c>
      <c r="H3917">
        <v>83745</v>
      </c>
      <c r="I3917">
        <v>82384</v>
      </c>
      <c r="J3917">
        <v>1634</v>
      </c>
      <c r="K3917">
        <v>487239</v>
      </c>
      <c r="L3917">
        <v>173184</v>
      </c>
      <c r="M3917">
        <v>-93898</v>
      </c>
      <c r="N3917">
        <v>161572</v>
      </c>
      <c r="O3917" t="s">
        <v>3935</v>
      </c>
      <c r="P3917" s="9">
        <v>224129</v>
      </c>
      <c r="Q3917" s="9">
        <v>19058</v>
      </c>
      <c r="R3917" s="9">
        <v>243187</v>
      </c>
      <c r="S3917" s="9">
        <v>-58435</v>
      </c>
      <c r="T3917" s="10">
        <v>102343</v>
      </c>
      <c r="U3917" s="10">
        <v>2443</v>
      </c>
    </row>
    <row r="3918" spans="1:21" x14ac:dyDescent="0.35">
      <c r="A3918" t="s">
        <v>15</v>
      </c>
      <c r="B3918" t="s">
        <v>16</v>
      </c>
      <c r="C3918" t="s">
        <v>21</v>
      </c>
      <c r="D3918">
        <v>225029</v>
      </c>
      <c r="E3918">
        <v>14823</v>
      </c>
      <c r="F3918">
        <v>39718</v>
      </c>
      <c r="G3918">
        <v>-222038</v>
      </c>
      <c r="H3918">
        <v>57532</v>
      </c>
      <c r="I3918">
        <v>58117</v>
      </c>
      <c r="J3918">
        <v>1030</v>
      </c>
      <c r="K3918">
        <v>707479</v>
      </c>
      <c r="L3918">
        <v>327788</v>
      </c>
      <c r="M3918">
        <v>-229458</v>
      </c>
      <c r="N3918">
        <v>94869</v>
      </c>
      <c r="O3918" t="s">
        <v>3936</v>
      </c>
      <c r="P3918" s="9">
        <v>198192</v>
      </c>
      <c r="Q3918" s="9">
        <v>23141</v>
      </c>
      <c r="R3918" s="9">
        <v>221333</v>
      </c>
      <c r="S3918" s="9">
        <v>-64591</v>
      </c>
      <c r="T3918" s="10">
        <v>69458</v>
      </c>
      <c r="U3918" s="10">
        <v>1734</v>
      </c>
    </row>
    <row r="3919" spans="1:21" x14ac:dyDescent="0.35">
      <c r="A3919" t="s">
        <v>15</v>
      </c>
      <c r="B3919" t="s">
        <v>16</v>
      </c>
      <c r="C3919" t="s">
        <v>21</v>
      </c>
      <c r="D3919">
        <v>208242</v>
      </c>
      <c r="E3919">
        <v>28331</v>
      </c>
      <c r="F3919">
        <v>33363</v>
      </c>
      <c r="G3919">
        <v>-197821</v>
      </c>
      <c r="H3919">
        <v>72115</v>
      </c>
      <c r="I3919">
        <v>72560</v>
      </c>
      <c r="J3919">
        <v>971</v>
      </c>
      <c r="K3919">
        <v>579760</v>
      </c>
      <c r="L3919">
        <v>288715</v>
      </c>
      <c r="M3919">
        <v>-188937</v>
      </c>
      <c r="N3919">
        <v>182922</v>
      </c>
      <c r="O3919" t="s">
        <v>3937</v>
      </c>
      <c r="P3919" s="9">
        <v>211333</v>
      </c>
      <c r="Q3919" s="9">
        <v>13867</v>
      </c>
      <c r="R3919" s="9">
        <v>225200</v>
      </c>
      <c r="S3919" s="9">
        <v>-117779</v>
      </c>
      <c r="T3919" s="10">
        <v>61008</v>
      </c>
      <c r="U3919" s="10">
        <v>1568</v>
      </c>
    </row>
    <row r="3920" spans="1:21" x14ac:dyDescent="0.35">
      <c r="A3920" t="s">
        <v>15</v>
      </c>
      <c r="B3920" t="s">
        <v>20</v>
      </c>
      <c r="C3920" t="s">
        <v>21</v>
      </c>
      <c r="D3920">
        <v>241636</v>
      </c>
      <c r="E3920">
        <v>19449</v>
      </c>
      <c r="F3920">
        <v>29233</v>
      </c>
      <c r="G3920">
        <v>-232782</v>
      </c>
      <c r="H3920">
        <v>57536</v>
      </c>
      <c r="I3920">
        <v>52257</v>
      </c>
      <c r="J3920">
        <v>627</v>
      </c>
      <c r="K3920">
        <v>722718</v>
      </c>
      <c r="L3920">
        <v>222660</v>
      </c>
      <c r="M3920">
        <v>-132598</v>
      </c>
      <c r="N3920">
        <v>182713</v>
      </c>
      <c r="O3920" t="s">
        <v>3938</v>
      </c>
      <c r="P3920" s="9">
        <v>253606</v>
      </c>
      <c r="Q3920" s="9">
        <v>35907</v>
      </c>
      <c r="R3920" s="9">
        <v>289513</v>
      </c>
      <c r="S3920" s="9">
        <v>-62042</v>
      </c>
      <c r="T3920" s="10">
        <v>68073</v>
      </c>
      <c r="U3920" s="10">
        <v>894</v>
      </c>
    </row>
    <row r="3921" spans="1:21" x14ac:dyDescent="0.35">
      <c r="A3921" t="s">
        <v>15</v>
      </c>
      <c r="B3921" t="s">
        <v>20</v>
      </c>
      <c r="C3921" t="s">
        <v>21</v>
      </c>
      <c r="D3921">
        <v>213416</v>
      </c>
      <c r="E3921">
        <v>11860</v>
      </c>
      <c r="F3921">
        <v>24079</v>
      </c>
      <c r="G3921">
        <v>-185699</v>
      </c>
      <c r="H3921">
        <v>63656</v>
      </c>
      <c r="I3921">
        <v>61095</v>
      </c>
      <c r="J3921">
        <v>1349</v>
      </c>
      <c r="K3921">
        <v>812620</v>
      </c>
      <c r="L3921">
        <v>157612</v>
      </c>
      <c r="M3921">
        <v>-277816</v>
      </c>
      <c r="N3921">
        <v>166713</v>
      </c>
      <c r="O3921" t="s">
        <v>3939</v>
      </c>
      <c r="P3921" s="9">
        <v>157978</v>
      </c>
      <c r="Q3921" s="9">
        <v>16440</v>
      </c>
      <c r="R3921" s="9">
        <v>174418</v>
      </c>
      <c r="S3921" s="9">
        <v>-64624</v>
      </c>
      <c r="T3921" s="10">
        <v>56259</v>
      </c>
      <c r="U3921" s="10">
        <v>1061</v>
      </c>
    </row>
    <row r="3922" spans="1:21" x14ac:dyDescent="0.35">
      <c r="A3922" t="s">
        <v>15</v>
      </c>
      <c r="B3922" t="s">
        <v>20</v>
      </c>
      <c r="C3922" t="s">
        <v>21</v>
      </c>
      <c r="D3922">
        <v>298857</v>
      </c>
      <c r="E3922">
        <v>32556</v>
      </c>
      <c r="F3922">
        <v>63618</v>
      </c>
      <c r="G3922">
        <v>-260595</v>
      </c>
      <c r="H3922">
        <v>134436</v>
      </c>
      <c r="I3922">
        <v>131146</v>
      </c>
      <c r="J3922">
        <v>1681</v>
      </c>
      <c r="K3922">
        <v>607972</v>
      </c>
      <c r="L3922">
        <v>265431</v>
      </c>
      <c r="M3922">
        <v>-156975</v>
      </c>
      <c r="N3922">
        <v>120404</v>
      </c>
      <c r="O3922" t="s">
        <v>3940</v>
      </c>
      <c r="P3922" s="9">
        <v>182673</v>
      </c>
      <c r="Q3922" s="9">
        <v>11298</v>
      </c>
      <c r="R3922" s="9">
        <v>193971</v>
      </c>
      <c r="S3922" s="9">
        <v>-104453</v>
      </c>
      <c r="T3922" s="10">
        <v>54483</v>
      </c>
      <c r="U3922" s="10">
        <v>1263</v>
      </c>
    </row>
    <row r="3923" spans="1:21" x14ac:dyDescent="0.35">
      <c r="A3923" t="s">
        <v>15</v>
      </c>
      <c r="B3923" t="s">
        <v>16</v>
      </c>
      <c r="C3923" t="s">
        <v>21</v>
      </c>
      <c r="D3923">
        <v>221986</v>
      </c>
      <c r="E3923">
        <v>31393</v>
      </c>
      <c r="F3923">
        <v>33401</v>
      </c>
      <c r="G3923">
        <v>-183385</v>
      </c>
      <c r="H3923">
        <v>103395</v>
      </c>
      <c r="I3923">
        <v>95769</v>
      </c>
      <c r="J3923">
        <v>1532</v>
      </c>
      <c r="K3923">
        <v>464869</v>
      </c>
      <c r="L3923">
        <v>104276</v>
      </c>
      <c r="M3923">
        <v>-118829</v>
      </c>
      <c r="N3923">
        <v>197059</v>
      </c>
      <c r="O3923" t="s">
        <v>3941</v>
      </c>
      <c r="P3923" s="9">
        <v>259692</v>
      </c>
      <c r="Q3923" s="9">
        <v>48819</v>
      </c>
      <c r="R3923" s="9">
        <v>308511</v>
      </c>
      <c r="S3923" s="9">
        <v>-141025</v>
      </c>
      <c r="T3923" s="10">
        <v>95187</v>
      </c>
      <c r="U3923" s="10">
        <v>1065</v>
      </c>
    </row>
    <row r="3924" spans="1:21" x14ac:dyDescent="0.35">
      <c r="A3924" t="s">
        <v>15</v>
      </c>
      <c r="B3924" t="s">
        <v>16</v>
      </c>
      <c r="C3924" t="s">
        <v>21</v>
      </c>
      <c r="D3924">
        <v>298389</v>
      </c>
      <c r="E3924">
        <v>32565</v>
      </c>
      <c r="F3924">
        <v>64790</v>
      </c>
      <c r="G3924">
        <v>-274326</v>
      </c>
      <c r="H3924">
        <v>121418</v>
      </c>
      <c r="I3924">
        <v>119338</v>
      </c>
      <c r="J3924">
        <v>1683</v>
      </c>
      <c r="K3924">
        <v>698869</v>
      </c>
      <c r="L3924">
        <v>268484</v>
      </c>
      <c r="M3924">
        <v>-95324</v>
      </c>
      <c r="N3924">
        <v>148335</v>
      </c>
      <c r="O3924" t="s">
        <v>3942</v>
      </c>
      <c r="P3924" s="9">
        <v>310627</v>
      </c>
      <c r="Q3924" s="9">
        <v>29976</v>
      </c>
      <c r="R3924" s="9">
        <v>340603</v>
      </c>
      <c r="S3924" s="9">
        <v>-175597</v>
      </c>
      <c r="T3924" s="10">
        <v>97957</v>
      </c>
      <c r="U3924" s="10">
        <v>2313</v>
      </c>
    </row>
    <row r="3925" spans="1:21" x14ac:dyDescent="0.35">
      <c r="A3925" t="s">
        <v>15</v>
      </c>
      <c r="B3925" t="s">
        <v>16</v>
      </c>
      <c r="C3925" t="s">
        <v>21</v>
      </c>
      <c r="D3925">
        <v>277197</v>
      </c>
      <c r="E3925">
        <v>41008</v>
      </c>
      <c r="F3925">
        <v>62846</v>
      </c>
      <c r="G3925">
        <v>-223382</v>
      </c>
      <c r="H3925">
        <v>157669</v>
      </c>
      <c r="I3925">
        <v>155716</v>
      </c>
      <c r="J3925">
        <v>2452</v>
      </c>
      <c r="K3925">
        <v>1052545</v>
      </c>
      <c r="L3925">
        <v>113972</v>
      </c>
      <c r="M3925">
        <v>-254061</v>
      </c>
      <c r="N3925">
        <v>85912</v>
      </c>
      <c r="O3925" t="s">
        <v>3943</v>
      </c>
      <c r="P3925" s="9">
        <v>219678</v>
      </c>
      <c r="Q3925" s="9">
        <v>22528</v>
      </c>
      <c r="R3925" s="9">
        <v>242206</v>
      </c>
      <c r="S3925" s="9">
        <v>-56749</v>
      </c>
      <c r="T3925" s="10">
        <v>102497</v>
      </c>
      <c r="U3925" s="10">
        <v>1975</v>
      </c>
    </row>
    <row r="3926" spans="1:21" x14ac:dyDescent="0.35">
      <c r="A3926" t="s">
        <v>15</v>
      </c>
      <c r="B3926" t="s">
        <v>20</v>
      </c>
      <c r="C3926" t="s">
        <v>17</v>
      </c>
      <c r="D3926">
        <v>221430</v>
      </c>
      <c r="E3926">
        <v>20664</v>
      </c>
      <c r="F3926">
        <v>38472</v>
      </c>
      <c r="G3926">
        <v>-178644</v>
      </c>
      <c r="H3926">
        <v>101922</v>
      </c>
      <c r="I3926">
        <v>102947</v>
      </c>
      <c r="J3926">
        <v>2273</v>
      </c>
      <c r="K3926">
        <v>452428</v>
      </c>
      <c r="L3926">
        <v>209521</v>
      </c>
      <c r="M3926">
        <v>-110961</v>
      </c>
      <c r="N3926">
        <v>175266</v>
      </c>
      <c r="O3926" t="s">
        <v>3944</v>
      </c>
      <c r="P3926" s="9">
        <v>265310</v>
      </c>
      <c r="Q3926" s="9">
        <v>37260</v>
      </c>
      <c r="R3926" s="9">
        <v>302570</v>
      </c>
      <c r="S3926" s="9">
        <v>-110050</v>
      </c>
      <c r="T3926" s="10">
        <v>119021</v>
      </c>
      <c r="U3926" s="10">
        <v>2316</v>
      </c>
    </row>
    <row r="3927" spans="1:21" x14ac:dyDescent="0.35">
      <c r="A3927" t="s">
        <v>15</v>
      </c>
      <c r="B3927" t="s">
        <v>16</v>
      </c>
      <c r="C3927" t="s">
        <v>17</v>
      </c>
      <c r="D3927">
        <v>237540</v>
      </c>
      <c r="E3927">
        <v>15937</v>
      </c>
      <c r="F3927">
        <v>53977</v>
      </c>
      <c r="G3927">
        <v>-227151</v>
      </c>
      <c r="H3927">
        <v>80303</v>
      </c>
      <c r="I3927">
        <v>73264</v>
      </c>
      <c r="J3927">
        <v>1249</v>
      </c>
      <c r="K3927">
        <v>672457</v>
      </c>
      <c r="L3927">
        <v>245554</v>
      </c>
      <c r="M3927">
        <v>-180286</v>
      </c>
      <c r="N3927">
        <v>171946</v>
      </c>
      <c r="O3927" t="s">
        <v>3945</v>
      </c>
      <c r="P3927" s="9">
        <v>285135</v>
      </c>
      <c r="Q3927" s="9">
        <v>49834</v>
      </c>
      <c r="R3927" s="9">
        <v>334969</v>
      </c>
      <c r="S3927" s="9">
        <v>-88173</v>
      </c>
      <c r="T3927" s="10">
        <v>113567</v>
      </c>
      <c r="U3927" s="10">
        <v>1557</v>
      </c>
    </row>
    <row r="3928" spans="1:21" x14ac:dyDescent="0.35">
      <c r="A3928" t="s">
        <v>15</v>
      </c>
      <c r="B3928" t="s">
        <v>20</v>
      </c>
      <c r="C3928" t="s">
        <v>21</v>
      </c>
      <c r="D3928">
        <v>279558</v>
      </c>
      <c r="E3928">
        <v>55228</v>
      </c>
      <c r="F3928">
        <v>37358</v>
      </c>
      <c r="G3928">
        <v>-234600</v>
      </c>
      <c r="H3928">
        <v>137544</v>
      </c>
      <c r="I3928">
        <v>144117</v>
      </c>
      <c r="J3928">
        <v>2517</v>
      </c>
      <c r="K3928">
        <v>636631</v>
      </c>
      <c r="L3928">
        <v>239606</v>
      </c>
      <c r="M3928">
        <v>-175151</v>
      </c>
      <c r="N3928">
        <v>128551</v>
      </c>
      <c r="O3928" t="s">
        <v>3946</v>
      </c>
      <c r="P3928" s="9">
        <v>205372</v>
      </c>
      <c r="Q3928" s="9">
        <v>16157</v>
      </c>
      <c r="R3928" s="9">
        <v>221529</v>
      </c>
      <c r="S3928" s="9">
        <v>-63412</v>
      </c>
      <c r="T3928" s="10">
        <v>76482</v>
      </c>
      <c r="U3928" s="10">
        <v>915</v>
      </c>
    </row>
    <row r="3929" spans="1:21" x14ac:dyDescent="0.35">
      <c r="A3929" t="s">
        <v>15</v>
      </c>
      <c r="B3929" t="s">
        <v>16</v>
      </c>
      <c r="C3929" t="s">
        <v>17</v>
      </c>
      <c r="D3929">
        <v>270249</v>
      </c>
      <c r="E3929">
        <v>21134</v>
      </c>
      <c r="F3929">
        <v>55420</v>
      </c>
      <c r="G3929">
        <v>-228846</v>
      </c>
      <c r="H3929">
        <v>117957</v>
      </c>
      <c r="I3929">
        <v>122114</v>
      </c>
      <c r="J3929">
        <v>2620</v>
      </c>
      <c r="K3929">
        <v>979610</v>
      </c>
      <c r="L3929">
        <v>302042</v>
      </c>
      <c r="M3929">
        <v>-306752</v>
      </c>
      <c r="N3929">
        <v>208914</v>
      </c>
      <c r="O3929" t="s">
        <v>3947</v>
      </c>
      <c r="P3929" s="9">
        <v>219382</v>
      </c>
      <c r="Q3929" s="9">
        <v>39260</v>
      </c>
      <c r="R3929" s="9">
        <v>258642</v>
      </c>
      <c r="S3929" s="9">
        <v>-134547</v>
      </c>
      <c r="T3929" s="10">
        <v>102888</v>
      </c>
      <c r="U3929" s="10">
        <v>2483</v>
      </c>
    </row>
    <row r="3930" spans="1:21" x14ac:dyDescent="0.35">
      <c r="A3930" t="s">
        <v>15</v>
      </c>
      <c r="B3930" t="s">
        <v>16</v>
      </c>
      <c r="C3930" t="s">
        <v>17</v>
      </c>
      <c r="D3930">
        <v>280551</v>
      </c>
      <c r="E3930">
        <v>14916</v>
      </c>
      <c r="F3930">
        <v>55872</v>
      </c>
      <c r="G3930">
        <v>-233163</v>
      </c>
      <c r="H3930">
        <v>118176</v>
      </c>
      <c r="I3930">
        <v>115935</v>
      </c>
      <c r="J3930">
        <v>3238</v>
      </c>
      <c r="K3930">
        <v>952833</v>
      </c>
      <c r="L3930">
        <v>423001</v>
      </c>
      <c r="M3930">
        <v>-364470</v>
      </c>
      <c r="N3930">
        <v>106896</v>
      </c>
      <c r="O3930" t="s">
        <v>3948</v>
      </c>
      <c r="P3930" s="9">
        <v>183291</v>
      </c>
      <c r="Q3930" s="9">
        <v>12673</v>
      </c>
      <c r="R3930" s="9">
        <v>195964</v>
      </c>
      <c r="S3930" s="9">
        <v>-91027</v>
      </c>
      <c r="T3930" s="10">
        <v>72000</v>
      </c>
      <c r="U3930" s="10">
        <v>1920</v>
      </c>
    </row>
    <row r="3931" spans="1:21" x14ac:dyDescent="0.35">
      <c r="A3931" t="s">
        <v>15</v>
      </c>
      <c r="B3931" t="s">
        <v>16</v>
      </c>
      <c r="C3931" t="s">
        <v>21</v>
      </c>
      <c r="D3931">
        <v>262367</v>
      </c>
      <c r="E3931">
        <v>48922</v>
      </c>
      <c r="F3931">
        <v>49259</v>
      </c>
      <c r="G3931">
        <v>-248341</v>
      </c>
      <c r="H3931">
        <v>112207</v>
      </c>
      <c r="I3931">
        <v>102052</v>
      </c>
      <c r="J3931">
        <v>2656</v>
      </c>
      <c r="K3931">
        <v>833400</v>
      </c>
      <c r="L3931">
        <v>416155</v>
      </c>
      <c r="M3931">
        <v>-158588</v>
      </c>
      <c r="N3931">
        <v>124438</v>
      </c>
      <c r="O3931" t="s">
        <v>3949</v>
      </c>
      <c r="P3931" s="9">
        <v>245438</v>
      </c>
      <c r="Q3931" s="9">
        <v>25531</v>
      </c>
      <c r="R3931" s="9">
        <v>270969</v>
      </c>
      <c r="S3931" s="9">
        <v>-100161</v>
      </c>
      <c r="T3931" s="10">
        <v>110868</v>
      </c>
      <c r="U3931" s="10">
        <v>2721</v>
      </c>
    </row>
    <row r="3932" spans="1:21" x14ac:dyDescent="0.35">
      <c r="A3932" t="s">
        <v>15</v>
      </c>
      <c r="B3932" t="s">
        <v>20</v>
      </c>
      <c r="C3932" t="s">
        <v>21</v>
      </c>
      <c r="D3932">
        <v>165406</v>
      </c>
      <c r="E3932">
        <v>22017</v>
      </c>
      <c r="F3932">
        <v>38822</v>
      </c>
      <c r="G3932">
        <v>-138535</v>
      </c>
      <c r="H3932">
        <v>87710</v>
      </c>
      <c r="I3932">
        <v>82641</v>
      </c>
      <c r="J3932">
        <v>828</v>
      </c>
      <c r="K3932">
        <v>414704</v>
      </c>
      <c r="L3932">
        <v>165373</v>
      </c>
      <c r="M3932">
        <v>-124198</v>
      </c>
      <c r="N3932">
        <v>94761</v>
      </c>
      <c r="O3932" t="s">
        <v>3950</v>
      </c>
      <c r="P3932" s="9">
        <v>155083</v>
      </c>
      <c r="Q3932" s="9">
        <v>20060</v>
      </c>
      <c r="R3932" s="9">
        <v>175143</v>
      </c>
      <c r="S3932" s="9">
        <v>-56290</v>
      </c>
      <c r="T3932" s="10">
        <v>64620</v>
      </c>
      <c r="U3932" s="10">
        <v>787</v>
      </c>
    </row>
    <row r="3933" spans="1:21" x14ac:dyDescent="0.35">
      <c r="A3933" t="s">
        <v>15</v>
      </c>
      <c r="B3933" t="s">
        <v>16</v>
      </c>
      <c r="C3933" t="s">
        <v>21</v>
      </c>
      <c r="D3933">
        <v>279859</v>
      </c>
      <c r="E3933">
        <v>24978</v>
      </c>
      <c r="F3933">
        <v>57317</v>
      </c>
      <c r="G3933">
        <v>-269801</v>
      </c>
      <c r="H3933">
        <v>92353</v>
      </c>
      <c r="I3933">
        <v>94197</v>
      </c>
      <c r="J3933">
        <v>1766</v>
      </c>
      <c r="K3933">
        <v>625452</v>
      </c>
      <c r="L3933">
        <v>106288</v>
      </c>
      <c r="M3933">
        <v>-71083</v>
      </c>
      <c r="N3933">
        <v>233047</v>
      </c>
      <c r="O3933" t="s">
        <v>3951</v>
      </c>
      <c r="P3933" s="9">
        <v>161874</v>
      </c>
      <c r="Q3933" s="9">
        <v>20726</v>
      </c>
      <c r="R3933" s="9">
        <v>182600</v>
      </c>
      <c r="S3933" s="9">
        <v>-49173</v>
      </c>
      <c r="T3933" s="10">
        <v>54789</v>
      </c>
      <c r="U3933" s="10">
        <v>1080</v>
      </c>
    </row>
    <row r="3934" spans="1:21" x14ac:dyDescent="0.35">
      <c r="A3934" t="s">
        <v>15</v>
      </c>
      <c r="B3934" t="s">
        <v>20</v>
      </c>
      <c r="C3934" t="s">
        <v>17</v>
      </c>
      <c r="D3934">
        <v>153665</v>
      </c>
      <c r="E3934">
        <v>20481</v>
      </c>
      <c r="F3934">
        <v>33457</v>
      </c>
      <c r="G3934">
        <v>-125554</v>
      </c>
      <c r="H3934">
        <v>82049</v>
      </c>
      <c r="I3934">
        <v>82476</v>
      </c>
      <c r="J3934">
        <v>2062</v>
      </c>
      <c r="K3934">
        <v>459276</v>
      </c>
      <c r="L3934">
        <v>176383</v>
      </c>
      <c r="M3934">
        <v>-163361</v>
      </c>
      <c r="N3934">
        <v>119627</v>
      </c>
      <c r="O3934" t="s">
        <v>3952</v>
      </c>
      <c r="P3934" s="9">
        <v>207623</v>
      </c>
      <c r="Q3934" s="9">
        <v>11769</v>
      </c>
      <c r="R3934" s="9">
        <v>219392</v>
      </c>
      <c r="S3934" s="9">
        <v>-120743</v>
      </c>
      <c r="T3934" s="10">
        <v>84360</v>
      </c>
      <c r="U3934" s="10">
        <v>1242</v>
      </c>
    </row>
    <row r="3935" spans="1:21" x14ac:dyDescent="0.35">
      <c r="A3935" t="s">
        <v>15</v>
      </c>
      <c r="B3935" t="s">
        <v>20</v>
      </c>
      <c r="C3935" t="s">
        <v>21</v>
      </c>
      <c r="D3935">
        <v>215726</v>
      </c>
      <c r="E3935">
        <v>33365</v>
      </c>
      <c r="F3935">
        <v>25771</v>
      </c>
      <c r="G3935">
        <v>-177681</v>
      </c>
      <c r="H3935">
        <v>97181</v>
      </c>
      <c r="I3935">
        <v>89116</v>
      </c>
      <c r="J3935">
        <v>1682</v>
      </c>
      <c r="K3935">
        <v>462042</v>
      </c>
      <c r="L3935">
        <v>169066</v>
      </c>
      <c r="M3935">
        <v>-97876</v>
      </c>
      <c r="N3935">
        <v>147499</v>
      </c>
      <c r="O3935" t="s">
        <v>3953</v>
      </c>
      <c r="P3935" s="9">
        <v>278110</v>
      </c>
      <c r="Q3935" s="9">
        <v>14898</v>
      </c>
      <c r="R3935" s="9">
        <v>293008</v>
      </c>
      <c r="S3935" s="9">
        <v>-107547</v>
      </c>
      <c r="T3935" s="10">
        <v>101345</v>
      </c>
      <c r="U3935" s="10">
        <v>1204</v>
      </c>
    </row>
    <row r="3936" spans="1:21" x14ac:dyDescent="0.35">
      <c r="A3936" t="s">
        <v>15</v>
      </c>
      <c r="B3936" t="s">
        <v>20</v>
      </c>
      <c r="C3936" t="s">
        <v>21</v>
      </c>
      <c r="D3936">
        <v>250569</v>
      </c>
      <c r="E3936">
        <v>26008</v>
      </c>
      <c r="F3936">
        <v>55617</v>
      </c>
      <c r="G3936">
        <v>-209566</v>
      </c>
      <c r="H3936">
        <v>122628</v>
      </c>
      <c r="I3936">
        <v>123381</v>
      </c>
      <c r="J3936">
        <v>2423</v>
      </c>
      <c r="K3936">
        <v>621463</v>
      </c>
      <c r="L3936">
        <v>216682</v>
      </c>
      <c r="M3936">
        <v>-112980</v>
      </c>
      <c r="N3936">
        <v>221316</v>
      </c>
      <c r="O3936" t="s">
        <v>3954</v>
      </c>
      <c r="P3936" s="9">
        <v>224075</v>
      </c>
      <c r="Q3936" s="9">
        <v>24717</v>
      </c>
      <c r="R3936" s="9">
        <v>248792</v>
      </c>
      <c r="S3936" s="9">
        <v>-128291</v>
      </c>
      <c r="T3936" s="10">
        <v>93434</v>
      </c>
      <c r="U3936" s="10">
        <v>2331</v>
      </c>
    </row>
    <row r="3937" spans="1:21" x14ac:dyDescent="0.35">
      <c r="A3937" t="s">
        <v>15</v>
      </c>
      <c r="B3937" t="s">
        <v>20</v>
      </c>
      <c r="C3937" t="s">
        <v>17</v>
      </c>
      <c r="D3937">
        <v>283919</v>
      </c>
      <c r="E3937">
        <v>42095</v>
      </c>
      <c r="F3937">
        <v>38474</v>
      </c>
      <c r="G3937">
        <v>-245110</v>
      </c>
      <c r="H3937">
        <v>119378</v>
      </c>
      <c r="I3937">
        <v>111207</v>
      </c>
      <c r="J3937">
        <v>2492</v>
      </c>
      <c r="K3937">
        <v>1015409</v>
      </c>
      <c r="L3937">
        <v>133844</v>
      </c>
      <c r="M3937">
        <v>-113751</v>
      </c>
      <c r="N3937">
        <v>232802</v>
      </c>
      <c r="O3937" t="s">
        <v>3955</v>
      </c>
      <c r="P3937" s="9">
        <v>220705</v>
      </c>
      <c r="Q3937" s="9">
        <v>15673</v>
      </c>
      <c r="R3937" s="9">
        <v>236378</v>
      </c>
      <c r="S3937" s="9">
        <v>-83139</v>
      </c>
      <c r="T3937" s="10">
        <v>79280</v>
      </c>
      <c r="U3937" s="10">
        <v>1233</v>
      </c>
    </row>
    <row r="3938" spans="1:21" x14ac:dyDescent="0.35">
      <c r="A3938" t="s">
        <v>15</v>
      </c>
      <c r="B3938" t="s">
        <v>20</v>
      </c>
      <c r="C3938" t="s">
        <v>21</v>
      </c>
      <c r="D3938">
        <v>175857</v>
      </c>
      <c r="E3938">
        <v>26416</v>
      </c>
      <c r="F3938">
        <v>36106</v>
      </c>
      <c r="G3938">
        <v>-153187</v>
      </c>
      <c r="H3938">
        <v>85192</v>
      </c>
      <c r="I3938">
        <v>78364</v>
      </c>
      <c r="J3938">
        <v>2007</v>
      </c>
      <c r="K3938">
        <v>502881</v>
      </c>
      <c r="L3938">
        <v>150464</v>
      </c>
      <c r="M3938">
        <v>-121456</v>
      </c>
      <c r="N3938">
        <v>132088</v>
      </c>
      <c r="O3938" t="s">
        <v>3956</v>
      </c>
      <c r="P3938" s="9">
        <v>197278</v>
      </c>
      <c r="Q3938" s="9">
        <v>30526</v>
      </c>
      <c r="R3938" s="9">
        <v>227804</v>
      </c>
      <c r="S3938" s="9">
        <v>-127319</v>
      </c>
      <c r="T3938" s="10">
        <v>87951</v>
      </c>
      <c r="U3938" s="10">
        <v>954</v>
      </c>
    </row>
    <row r="3939" spans="1:21" x14ac:dyDescent="0.35">
      <c r="A3939" t="s">
        <v>15</v>
      </c>
      <c r="B3939" t="s">
        <v>16</v>
      </c>
      <c r="C3939" t="s">
        <v>21</v>
      </c>
      <c r="D3939">
        <v>284618</v>
      </c>
      <c r="E3939">
        <v>35412</v>
      </c>
      <c r="F3939">
        <v>54867</v>
      </c>
      <c r="G3939">
        <v>-248128</v>
      </c>
      <c r="H3939">
        <v>126769</v>
      </c>
      <c r="I3939">
        <v>121121</v>
      </c>
      <c r="J3939">
        <v>2286</v>
      </c>
      <c r="K3939">
        <v>652567</v>
      </c>
      <c r="L3939">
        <v>88172</v>
      </c>
      <c r="M3939">
        <v>-260777</v>
      </c>
      <c r="N3939">
        <v>246003</v>
      </c>
      <c r="O3939" t="s">
        <v>3957</v>
      </c>
      <c r="P3939" s="9">
        <v>176331</v>
      </c>
      <c r="Q3939" s="9">
        <v>26711</v>
      </c>
      <c r="R3939" s="9">
        <v>203042</v>
      </c>
      <c r="S3939" s="9">
        <v>-82608</v>
      </c>
      <c r="T3939" s="10">
        <v>74592</v>
      </c>
      <c r="U3939" s="10">
        <v>1615</v>
      </c>
    </row>
    <row r="3940" spans="1:21" x14ac:dyDescent="0.35">
      <c r="A3940" t="s">
        <v>15</v>
      </c>
      <c r="B3940" t="s">
        <v>16</v>
      </c>
      <c r="C3940" t="s">
        <v>21</v>
      </c>
      <c r="D3940">
        <v>291711</v>
      </c>
      <c r="E3940">
        <v>44158</v>
      </c>
      <c r="F3940">
        <v>60342</v>
      </c>
      <c r="G3940">
        <v>-279501</v>
      </c>
      <c r="H3940">
        <v>116710</v>
      </c>
      <c r="I3940">
        <v>113318</v>
      </c>
      <c r="J3940">
        <v>1619</v>
      </c>
      <c r="K3940">
        <v>819894</v>
      </c>
      <c r="L3940">
        <v>371204</v>
      </c>
      <c r="M3940">
        <v>-190072</v>
      </c>
      <c r="N3940">
        <v>148012</v>
      </c>
      <c r="O3940" t="s">
        <v>3958</v>
      </c>
      <c r="P3940" s="9">
        <v>159908</v>
      </c>
      <c r="Q3940" s="9">
        <v>23802</v>
      </c>
      <c r="R3940" s="9">
        <v>183710</v>
      </c>
      <c r="S3940" s="9">
        <v>-102076</v>
      </c>
      <c r="T3940" s="10">
        <v>82127</v>
      </c>
      <c r="U3940" s="10">
        <v>1879</v>
      </c>
    </row>
    <row r="3941" spans="1:21" x14ac:dyDescent="0.35">
      <c r="A3941" t="s">
        <v>15</v>
      </c>
      <c r="B3941" t="s">
        <v>16</v>
      </c>
      <c r="C3941" t="s">
        <v>21</v>
      </c>
      <c r="D3941">
        <v>270477</v>
      </c>
      <c r="E3941">
        <v>21825</v>
      </c>
      <c r="F3941">
        <v>55210</v>
      </c>
      <c r="G3941">
        <v>-221294</v>
      </c>
      <c r="H3941">
        <v>126218</v>
      </c>
      <c r="I3941">
        <v>121228</v>
      </c>
      <c r="J3941">
        <v>2259</v>
      </c>
      <c r="K3941">
        <v>546501</v>
      </c>
      <c r="L3941">
        <v>75366</v>
      </c>
      <c r="M3941">
        <v>-107788</v>
      </c>
      <c r="N3941">
        <v>122523</v>
      </c>
      <c r="O3941" t="s">
        <v>3959</v>
      </c>
      <c r="P3941" s="9">
        <v>163363</v>
      </c>
      <c r="Q3941" s="9">
        <v>16870</v>
      </c>
      <c r="R3941" s="9">
        <v>180233</v>
      </c>
      <c r="S3941" s="9">
        <v>-56957</v>
      </c>
      <c r="T3941" s="10">
        <v>71913</v>
      </c>
      <c r="U3941" s="10">
        <v>842</v>
      </c>
    </row>
    <row r="3942" spans="1:21" x14ac:dyDescent="0.35">
      <c r="A3942" t="s">
        <v>15</v>
      </c>
      <c r="B3942" t="s">
        <v>16</v>
      </c>
      <c r="C3942" t="s">
        <v>21</v>
      </c>
      <c r="D3942">
        <v>283120</v>
      </c>
      <c r="E3942">
        <v>42815</v>
      </c>
      <c r="F3942">
        <v>54634</v>
      </c>
      <c r="G3942">
        <v>-229818</v>
      </c>
      <c r="H3942">
        <v>150751</v>
      </c>
      <c r="I3942">
        <v>151499</v>
      </c>
      <c r="J3942">
        <v>3727</v>
      </c>
      <c r="K3942">
        <v>645481</v>
      </c>
      <c r="L3942">
        <v>113847</v>
      </c>
      <c r="M3942">
        <v>-124419</v>
      </c>
      <c r="N3942">
        <v>154932</v>
      </c>
      <c r="O3942" t="s">
        <v>3960</v>
      </c>
      <c r="P3942" s="9">
        <v>194633</v>
      </c>
      <c r="Q3942" s="9">
        <v>25074</v>
      </c>
      <c r="R3942" s="9">
        <v>219707</v>
      </c>
      <c r="S3942" s="9">
        <v>-55836</v>
      </c>
      <c r="T3942" s="10">
        <v>99401</v>
      </c>
      <c r="U3942" s="10">
        <v>2268</v>
      </c>
    </row>
    <row r="3943" spans="1:21" x14ac:dyDescent="0.35">
      <c r="A3943" t="s">
        <v>15</v>
      </c>
      <c r="B3943" t="s">
        <v>20</v>
      </c>
      <c r="C3943" t="s">
        <v>21</v>
      </c>
      <c r="D3943">
        <v>244654</v>
      </c>
      <c r="E3943">
        <v>37102</v>
      </c>
      <c r="F3943">
        <v>48195</v>
      </c>
      <c r="G3943">
        <v>-230653</v>
      </c>
      <c r="H3943">
        <v>99298</v>
      </c>
      <c r="I3943">
        <v>96322</v>
      </c>
      <c r="J3943">
        <v>1087</v>
      </c>
      <c r="K3943">
        <v>908425</v>
      </c>
      <c r="L3943">
        <v>102254</v>
      </c>
      <c r="M3943">
        <v>-162481</v>
      </c>
      <c r="N3943">
        <v>210000</v>
      </c>
      <c r="O3943" t="s">
        <v>3961</v>
      </c>
      <c r="P3943" s="9">
        <v>227664</v>
      </c>
      <c r="Q3943" s="9">
        <v>26023</v>
      </c>
      <c r="R3943" s="9">
        <v>253687</v>
      </c>
      <c r="S3943" s="9">
        <v>-90361</v>
      </c>
      <c r="T3943" s="10">
        <v>123455</v>
      </c>
      <c r="U3943" s="10">
        <v>2085</v>
      </c>
    </row>
    <row r="3944" spans="1:21" x14ac:dyDescent="0.35">
      <c r="A3944" t="s">
        <v>15</v>
      </c>
      <c r="B3944" t="s">
        <v>20</v>
      </c>
      <c r="C3944" t="s">
        <v>21</v>
      </c>
      <c r="D3944">
        <v>248690</v>
      </c>
      <c r="E3944">
        <v>38044</v>
      </c>
      <c r="F3944">
        <v>26133</v>
      </c>
      <c r="G3944">
        <v>-232747</v>
      </c>
      <c r="H3944">
        <v>80120</v>
      </c>
      <c r="I3944">
        <v>82550</v>
      </c>
      <c r="J3944">
        <v>1669</v>
      </c>
      <c r="K3944">
        <v>946630</v>
      </c>
      <c r="L3944">
        <v>252276</v>
      </c>
      <c r="M3944">
        <v>-259564</v>
      </c>
      <c r="N3944">
        <v>154749</v>
      </c>
      <c r="O3944" t="s">
        <v>3962</v>
      </c>
      <c r="P3944" s="9">
        <v>305279</v>
      </c>
      <c r="Q3944" s="9">
        <v>48387</v>
      </c>
      <c r="R3944" s="9">
        <v>353666</v>
      </c>
      <c r="S3944" s="9">
        <v>-211874</v>
      </c>
      <c r="T3944" s="10">
        <v>93925</v>
      </c>
      <c r="U3944" s="10">
        <v>1589</v>
      </c>
    </row>
    <row r="3945" spans="1:21" x14ac:dyDescent="0.35">
      <c r="A3945" t="s">
        <v>15</v>
      </c>
      <c r="B3945" t="s">
        <v>16</v>
      </c>
      <c r="C3945" t="s">
        <v>21</v>
      </c>
      <c r="D3945">
        <v>161786</v>
      </c>
      <c r="E3945">
        <v>27174</v>
      </c>
      <c r="F3945">
        <v>17131</v>
      </c>
      <c r="G3945">
        <v>-159958</v>
      </c>
      <c r="H3945">
        <v>46133</v>
      </c>
      <c r="I3945">
        <v>44252</v>
      </c>
      <c r="J3945">
        <v>837</v>
      </c>
      <c r="K3945">
        <v>365552</v>
      </c>
      <c r="L3945">
        <v>37178</v>
      </c>
      <c r="M3945">
        <v>-84656</v>
      </c>
      <c r="N3945">
        <v>132866</v>
      </c>
      <c r="O3945" t="s">
        <v>3963</v>
      </c>
      <c r="P3945" s="9">
        <v>203637</v>
      </c>
      <c r="Q3945" s="9">
        <v>13053</v>
      </c>
      <c r="R3945" s="9">
        <v>216690</v>
      </c>
      <c r="S3945" s="9">
        <v>-98875</v>
      </c>
      <c r="T3945" s="10">
        <v>49546</v>
      </c>
      <c r="U3945" s="10">
        <v>1208</v>
      </c>
    </row>
    <row r="3946" spans="1:21" x14ac:dyDescent="0.35">
      <c r="A3946" t="s">
        <v>15</v>
      </c>
      <c r="B3946" t="s">
        <v>20</v>
      </c>
      <c r="C3946" t="s">
        <v>17</v>
      </c>
      <c r="D3946">
        <v>265589</v>
      </c>
      <c r="E3946">
        <v>45043</v>
      </c>
      <c r="F3946">
        <v>31349</v>
      </c>
      <c r="G3946">
        <v>-219819</v>
      </c>
      <c r="H3946">
        <v>122162</v>
      </c>
      <c r="I3946">
        <v>110161</v>
      </c>
      <c r="J3946">
        <v>1768</v>
      </c>
      <c r="K3946">
        <v>1034891</v>
      </c>
      <c r="L3946">
        <v>414316</v>
      </c>
      <c r="M3946">
        <v>-270535</v>
      </c>
      <c r="N3946">
        <v>138209</v>
      </c>
      <c r="O3946" t="s">
        <v>3964</v>
      </c>
      <c r="P3946" s="9">
        <v>283690</v>
      </c>
      <c r="Q3946" s="9">
        <v>47072</v>
      </c>
      <c r="R3946" s="9">
        <v>330762</v>
      </c>
      <c r="S3946" s="9">
        <v>-173187</v>
      </c>
      <c r="T3946" s="10">
        <v>92390</v>
      </c>
      <c r="U3946" s="10">
        <v>2313</v>
      </c>
    </row>
    <row r="3947" spans="1:21" x14ac:dyDescent="0.35">
      <c r="A3947" t="s">
        <v>15</v>
      </c>
      <c r="B3947" t="s">
        <v>16</v>
      </c>
      <c r="C3947" t="s">
        <v>21</v>
      </c>
      <c r="D3947">
        <v>260771</v>
      </c>
      <c r="E3947">
        <v>50421</v>
      </c>
      <c r="F3947">
        <v>61064</v>
      </c>
      <c r="G3947">
        <v>-214937</v>
      </c>
      <c r="H3947">
        <v>157319</v>
      </c>
      <c r="I3947">
        <v>146218</v>
      </c>
      <c r="J3947">
        <v>3844</v>
      </c>
      <c r="K3947">
        <v>794195</v>
      </c>
      <c r="L3947">
        <v>349750</v>
      </c>
      <c r="M3947">
        <v>-151059</v>
      </c>
      <c r="N3947">
        <v>131448</v>
      </c>
      <c r="O3947" t="s">
        <v>3965</v>
      </c>
      <c r="P3947" s="9">
        <v>269135</v>
      </c>
      <c r="Q3947" s="9">
        <v>34140</v>
      </c>
      <c r="R3947" s="9">
        <v>303275</v>
      </c>
      <c r="S3947" s="9">
        <v>-159570</v>
      </c>
      <c r="T3947" s="10">
        <v>93333</v>
      </c>
      <c r="U3947" s="10">
        <v>1320</v>
      </c>
    </row>
    <row r="3948" spans="1:21" x14ac:dyDescent="0.35">
      <c r="A3948" t="s">
        <v>15</v>
      </c>
      <c r="B3948" t="s">
        <v>16</v>
      </c>
      <c r="C3948" t="s">
        <v>21</v>
      </c>
      <c r="D3948">
        <v>265315</v>
      </c>
      <c r="E3948">
        <v>23532</v>
      </c>
      <c r="F3948">
        <v>65098</v>
      </c>
      <c r="G3948">
        <v>-213898</v>
      </c>
      <c r="H3948">
        <v>140047</v>
      </c>
      <c r="I3948">
        <v>145480</v>
      </c>
      <c r="J3948">
        <v>2139</v>
      </c>
      <c r="K3948">
        <v>1010085</v>
      </c>
      <c r="L3948">
        <v>219601</v>
      </c>
      <c r="M3948">
        <v>-305823</v>
      </c>
      <c r="N3948">
        <v>234186</v>
      </c>
      <c r="O3948" t="s">
        <v>3966</v>
      </c>
      <c r="P3948" s="9">
        <v>161189</v>
      </c>
      <c r="Q3948" s="9">
        <v>21696</v>
      </c>
      <c r="R3948" s="9">
        <v>182885</v>
      </c>
      <c r="S3948" s="9">
        <v>-53519</v>
      </c>
      <c r="T3948" s="10">
        <v>76080</v>
      </c>
      <c r="U3948" s="10">
        <v>1814</v>
      </c>
    </row>
    <row r="3949" spans="1:21" x14ac:dyDescent="0.35">
      <c r="A3949" t="s">
        <v>15</v>
      </c>
      <c r="B3949" t="s">
        <v>16</v>
      </c>
      <c r="C3949" t="s">
        <v>21</v>
      </c>
      <c r="D3949">
        <v>247328</v>
      </c>
      <c r="E3949">
        <v>17705</v>
      </c>
      <c r="F3949">
        <v>27532</v>
      </c>
      <c r="G3949">
        <v>-198152</v>
      </c>
      <c r="H3949">
        <v>94413</v>
      </c>
      <c r="I3949">
        <v>94306</v>
      </c>
      <c r="J3949">
        <v>2583</v>
      </c>
      <c r="K3949">
        <v>613094</v>
      </c>
      <c r="L3949">
        <v>78228</v>
      </c>
      <c r="M3949">
        <v>-94638</v>
      </c>
      <c r="N3949">
        <v>217792</v>
      </c>
      <c r="O3949" t="s">
        <v>3967</v>
      </c>
      <c r="P3949" s="9">
        <v>182857</v>
      </c>
      <c r="Q3949" s="9">
        <v>18884</v>
      </c>
      <c r="R3949" s="9">
        <v>201741</v>
      </c>
      <c r="S3949" s="9">
        <v>-53192</v>
      </c>
      <c r="T3949" s="10">
        <v>84020</v>
      </c>
      <c r="U3949" s="10">
        <v>1698</v>
      </c>
    </row>
    <row r="3950" spans="1:21" x14ac:dyDescent="0.35">
      <c r="A3950" t="s">
        <v>15</v>
      </c>
      <c r="B3950" t="s">
        <v>16</v>
      </c>
      <c r="C3950" t="s">
        <v>17</v>
      </c>
      <c r="D3950">
        <v>235659</v>
      </c>
      <c r="E3950">
        <v>15724</v>
      </c>
      <c r="F3950">
        <v>54669</v>
      </c>
      <c r="G3950">
        <v>-215255</v>
      </c>
      <c r="H3950">
        <v>90797</v>
      </c>
      <c r="I3950">
        <v>88119</v>
      </c>
      <c r="J3950">
        <v>2323</v>
      </c>
      <c r="K3950">
        <v>925778</v>
      </c>
      <c r="L3950">
        <v>232562</v>
      </c>
      <c r="M3950">
        <v>-177563</v>
      </c>
      <c r="N3950">
        <v>88331</v>
      </c>
      <c r="O3950" t="s">
        <v>3968</v>
      </c>
      <c r="P3950" s="9">
        <v>167985</v>
      </c>
      <c r="Q3950" s="9">
        <v>18696</v>
      </c>
      <c r="R3950" s="9">
        <v>186681</v>
      </c>
      <c r="S3950" s="9">
        <v>-64860</v>
      </c>
      <c r="T3950" s="10">
        <v>49240</v>
      </c>
      <c r="U3950" s="10">
        <v>632</v>
      </c>
    </row>
    <row r="3951" spans="1:21" x14ac:dyDescent="0.35">
      <c r="A3951" t="s">
        <v>15</v>
      </c>
      <c r="B3951" t="s">
        <v>20</v>
      </c>
      <c r="C3951" t="s">
        <v>21</v>
      </c>
      <c r="D3951">
        <v>290526</v>
      </c>
      <c r="E3951">
        <v>24545</v>
      </c>
      <c r="F3951">
        <v>43882</v>
      </c>
      <c r="G3951">
        <v>-233373</v>
      </c>
      <c r="H3951">
        <v>125580</v>
      </c>
      <c r="I3951">
        <v>129921</v>
      </c>
      <c r="J3951">
        <v>2902</v>
      </c>
      <c r="K3951">
        <v>782779</v>
      </c>
      <c r="L3951">
        <v>338478</v>
      </c>
      <c r="M3951">
        <v>-226419</v>
      </c>
      <c r="N3951">
        <v>108108</v>
      </c>
      <c r="O3951" t="s">
        <v>3969</v>
      </c>
      <c r="P3951" s="9">
        <v>158792</v>
      </c>
      <c r="Q3951" s="9">
        <v>23921</v>
      </c>
      <c r="R3951" s="9">
        <v>182713</v>
      </c>
      <c r="S3951" s="9">
        <v>-106312</v>
      </c>
      <c r="T3951" s="10">
        <v>85578</v>
      </c>
      <c r="U3951" s="10">
        <v>1676</v>
      </c>
    </row>
    <row r="3952" spans="1:21" x14ac:dyDescent="0.35">
      <c r="A3952" t="s">
        <v>15</v>
      </c>
      <c r="B3952" t="s">
        <v>16</v>
      </c>
      <c r="C3952" t="s">
        <v>17</v>
      </c>
      <c r="D3952">
        <v>188691</v>
      </c>
      <c r="E3952">
        <v>35358</v>
      </c>
      <c r="F3952">
        <v>21111</v>
      </c>
      <c r="G3952">
        <v>-165077</v>
      </c>
      <c r="H3952">
        <v>80083</v>
      </c>
      <c r="I3952">
        <v>72413</v>
      </c>
      <c r="J3952">
        <v>1705</v>
      </c>
      <c r="K3952">
        <v>443801</v>
      </c>
      <c r="L3952">
        <v>150697</v>
      </c>
      <c r="M3952">
        <v>-102306</v>
      </c>
      <c r="N3952">
        <v>115945</v>
      </c>
      <c r="O3952" t="s">
        <v>3970</v>
      </c>
      <c r="P3952" s="9">
        <v>275806</v>
      </c>
      <c r="Q3952" s="9">
        <v>20228</v>
      </c>
      <c r="R3952" s="9">
        <v>296034</v>
      </c>
      <c r="S3952" s="9">
        <v>-143238</v>
      </c>
      <c r="T3952" s="10">
        <v>80943</v>
      </c>
      <c r="U3952" s="10">
        <v>1548</v>
      </c>
    </row>
    <row r="3953" spans="1:21" x14ac:dyDescent="0.35">
      <c r="A3953" t="s">
        <v>15</v>
      </c>
      <c r="B3953" t="s">
        <v>16</v>
      </c>
      <c r="C3953" t="s">
        <v>21</v>
      </c>
      <c r="D3953">
        <v>198493</v>
      </c>
      <c r="E3953">
        <v>16950</v>
      </c>
      <c r="F3953">
        <v>32237</v>
      </c>
      <c r="G3953">
        <v>-183218</v>
      </c>
      <c r="H3953">
        <v>64462</v>
      </c>
      <c r="I3953">
        <v>58289</v>
      </c>
      <c r="J3953">
        <v>649</v>
      </c>
      <c r="K3953">
        <v>685182</v>
      </c>
      <c r="L3953">
        <v>134662</v>
      </c>
      <c r="M3953">
        <v>-268645</v>
      </c>
      <c r="N3953">
        <v>67331</v>
      </c>
      <c r="O3953" t="s">
        <v>3971</v>
      </c>
      <c r="P3953" s="9">
        <v>224643</v>
      </c>
      <c r="Q3953" s="9">
        <v>19759</v>
      </c>
      <c r="R3953" s="9">
        <v>244402</v>
      </c>
      <c r="S3953" s="9">
        <v>-96405</v>
      </c>
      <c r="T3953" s="10">
        <v>51184</v>
      </c>
      <c r="U3953" s="10">
        <v>1223</v>
      </c>
    </row>
    <row r="3954" spans="1:21" x14ac:dyDescent="0.35">
      <c r="A3954" t="s">
        <v>15</v>
      </c>
      <c r="B3954" t="s">
        <v>16</v>
      </c>
      <c r="C3954" t="s">
        <v>21</v>
      </c>
      <c r="D3954">
        <v>256647</v>
      </c>
      <c r="E3954">
        <v>18817</v>
      </c>
      <c r="F3954">
        <v>37142</v>
      </c>
      <c r="G3954">
        <v>-205766</v>
      </c>
      <c r="H3954">
        <v>106840</v>
      </c>
      <c r="I3954">
        <v>108093</v>
      </c>
      <c r="J3954">
        <v>1797</v>
      </c>
      <c r="K3954">
        <v>786615</v>
      </c>
      <c r="L3954">
        <v>380371</v>
      </c>
      <c r="M3954">
        <v>-277298</v>
      </c>
      <c r="N3954">
        <v>137474</v>
      </c>
      <c r="O3954" t="s">
        <v>3972</v>
      </c>
      <c r="P3954" s="9">
        <v>257218</v>
      </c>
      <c r="Q3954" s="9">
        <v>17799</v>
      </c>
      <c r="R3954" s="9">
        <v>275017</v>
      </c>
      <c r="S3954" s="9">
        <v>-144990</v>
      </c>
      <c r="T3954" s="10">
        <v>112125</v>
      </c>
      <c r="U3954" s="10">
        <v>2871</v>
      </c>
    </row>
    <row r="3955" spans="1:21" x14ac:dyDescent="0.35">
      <c r="A3955" t="s">
        <v>15</v>
      </c>
      <c r="B3955" t="s">
        <v>20</v>
      </c>
      <c r="C3955" t="s">
        <v>21</v>
      </c>
      <c r="D3955">
        <v>185264</v>
      </c>
      <c r="E3955">
        <v>23040</v>
      </c>
      <c r="F3955">
        <v>21408</v>
      </c>
      <c r="G3955">
        <v>-176181</v>
      </c>
      <c r="H3955">
        <v>53531</v>
      </c>
      <c r="I3955">
        <v>55399</v>
      </c>
      <c r="J3955">
        <v>1205</v>
      </c>
      <c r="K3955">
        <v>705704</v>
      </c>
      <c r="L3955">
        <v>203720</v>
      </c>
      <c r="M3955">
        <v>-168700</v>
      </c>
      <c r="N3955">
        <v>139215</v>
      </c>
      <c r="O3955" t="s">
        <v>3973</v>
      </c>
      <c r="P3955" s="9">
        <v>207171</v>
      </c>
      <c r="Q3955" s="9">
        <v>31935</v>
      </c>
      <c r="R3955" s="9">
        <v>239106</v>
      </c>
      <c r="S3955" s="9">
        <v>-114147</v>
      </c>
      <c r="T3955" s="10">
        <v>75290</v>
      </c>
      <c r="U3955" s="10">
        <v>2159</v>
      </c>
    </row>
    <row r="3956" spans="1:21" x14ac:dyDescent="0.35">
      <c r="A3956" t="s">
        <v>15</v>
      </c>
      <c r="B3956" t="s">
        <v>20</v>
      </c>
      <c r="C3956" t="s">
        <v>21</v>
      </c>
      <c r="D3956">
        <v>299268</v>
      </c>
      <c r="E3956">
        <v>34347</v>
      </c>
      <c r="F3956">
        <v>50043</v>
      </c>
      <c r="G3956">
        <v>-294810</v>
      </c>
      <c r="H3956">
        <v>88848</v>
      </c>
      <c r="I3956">
        <v>89728</v>
      </c>
      <c r="J3956">
        <v>1966</v>
      </c>
      <c r="K3956">
        <v>729810</v>
      </c>
      <c r="L3956">
        <v>132308</v>
      </c>
      <c r="M3956">
        <v>-228603</v>
      </c>
      <c r="N3956">
        <v>168164</v>
      </c>
      <c r="O3956" t="s">
        <v>3974</v>
      </c>
      <c r="P3956" s="9">
        <v>201173</v>
      </c>
      <c r="Q3956" s="9">
        <v>35246</v>
      </c>
      <c r="R3956" s="9">
        <v>236419</v>
      </c>
      <c r="S3956" s="9">
        <v>-58666</v>
      </c>
      <c r="T3956" s="10">
        <v>90911</v>
      </c>
      <c r="U3956" s="10">
        <v>1159</v>
      </c>
    </row>
    <row r="3957" spans="1:21" x14ac:dyDescent="0.35">
      <c r="A3957" t="s">
        <v>15</v>
      </c>
      <c r="B3957" t="s">
        <v>16</v>
      </c>
      <c r="C3957" t="s">
        <v>17</v>
      </c>
      <c r="D3957">
        <v>226689</v>
      </c>
      <c r="E3957">
        <v>12657</v>
      </c>
      <c r="F3957">
        <v>49818</v>
      </c>
      <c r="G3957">
        <v>-194141</v>
      </c>
      <c r="H3957">
        <v>95023</v>
      </c>
      <c r="I3957">
        <v>98386</v>
      </c>
      <c r="J3957">
        <v>2654</v>
      </c>
      <c r="K3957">
        <v>502247</v>
      </c>
      <c r="L3957">
        <v>134095</v>
      </c>
      <c r="M3957">
        <v>-187698</v>
      </c>
      <c r="N3957">
        <v>157158</v>
      </c>
      <c r="O3957" t="s">
        <v>3975</v>
      </c>
      <c r="P3957" s="9">
        <v>165153</v>
      </c>
      <c r="Q3957" s="9">
        <v>11917</v>
      </c>
      <c r="R3957" s="9">
        <v>177070</v>
      </c>
      <c r="S3957" s="9">
        <v>-101732</v>
      </c>
      <c r="T3957" s="10">
        <v>52497</v>
      </c>
      <c r="U3957" s="10">
        <v>1461</v>
      </c>
    </row>
    <row r="3958" spans="1:21" x14ac:dyDescent="0.35">
      <c r="A3958" t="s">
        <v>15</v>
      </c>
      <c r="B3958" t="s">
        <v>16</v>
      </c>
      <c r="C3958" t="s">
        <v>21</v>
      </c>
      <c r="D3958">
        <v>185083</v>
      </c>
      <c r="E3958">
        <v>21511</v>
      </c>
      <c r="F3958">
        <v>19234</v>
      </c>
      <c r="G3958">
        <v>-153000</v>
      </c>
      <c r="H3958">
        <v>72828</v>
      </c>
      <c r="I3958">
        <v>68584</v>
      </c>
      <c r="J3958">
        <v>1509</v>
      </c>
      <c r="K3958">
        <v>696047</v>
      </c>
      <c r="L3958">
        <v>336583</v>
      </c>
      <c r="M3958">
        <v>-123230</v>
      </c>
      <c r="N3958">
        <v>97036</v>
      </c>
      <c r="O3958" t="s">
        <v>3976</v>
      </c>
      <c r="P3958" s="9">
        <v>220231</v>
      </c>
      <c r="Q3958" s="9">
        <v>39597</v>
      </c>
      <c r="R3958" s="9">
        <v>259828</v>
      </c>
      <c r="S3958" s="9">
        <v>-101477</v>
      </c>
      <c r="T3958" s="10">
        <v>91104</v>
      </c>
      <c r="U3958" s="10">
        <v>1186</v>
      </c>
    </row>
    <row r="3959" spans="1:21" x14ac:dyDescent="0.35">
      <c r="A3959" t="s">
        <v>15</v>
      </c>
      <c r="B3959" t="s">
        <v>20</v>
      </c>
      <c r="C3959" t="s">
        <v>21</v>
      </c>
      <c r="D3959">
        <v>171397</v>
      </c>
      <c r="E3959">
        <v>16318</v>
      </c>
      <c r="F3959">
        <v>24453</v>
      </c>
      <c r="G3959">
        <v>-139592</v>
      </c>
      <c r="H3959">
        <v>72576</v>
      </c>
      <c r="I3959">
        <v>65788</v>
      </c>
      <c r="J3959">
        <v>1475</v>
      </c>
      <c r="K3959">
        <v>472792</v>
      </c>
      <c r="L3959">
        <v>120813</v>
      </c>
      <c r="M3959">
        <v>-157333</v>
      </c>
      <c r="N3959">
        <v>120217</v>
      </c>
      <c r="O3959" t="s">
        <v>3977</v>
      </c>
      <c r="P3959" s="9">
        <v>201505</v>
      </c>
      <c r="Q3959" s="9">
        <v>36089</v>
      </c>
      <c r="R3959" s="9">
        <v>237594</v>
      </c>
      <c r="S3959" s="9">
        <v>-139230</v>
      </c>
      <c r="T3959" s="10">
        <v>81859</v>
      </c>
      <c r="U3959" s="10">
        <v>869</v>
      </c>
    </row>
    <row r="3960" spans="1:21" x14ac:dyDescent="0.35">
      <c r="A3960" t="s">
        <v>15</v>
      </c>
      <c r="B3960" t="s">
        <v>20</v>
      </c>
      <c r="C3960" t="s">
        <v>21</v>
      </c>
      <c r="D3960">
        <v>240900</v>
      </c>
      <c r="E3960">
        <v>37129</v>
      </c>
      <c r="F3960">
        <v>37178</v>
      </c>
      <c r="G3960">
        <v>-221852</v>
      </c>
      <c r="H3960">
        <v>93355</v>
      </c>
      <c r="I3960">
        <v>93911</v>
      </c>
      <c r="J3960">
        <v>1889</v>
      </c>
      <c r="K3960">
        <v>919830</v>
      </c>
      <c r="L3960">
        <v>248423</v>
      </c>
      <c r="M3960">
        <v>-242111</v>
      </c>
      <c r="N3960">
        <v>159624</v>
      </c>
      <c r="O3960" t="s">
        <v>3978</v>
      </c>
      <c r="P3960" s="9">
        <v>195413</v>
      </c>
      <c r="Q3960" s="9">
        <v>34030</v>
      </c>
      <c r="R3960" s="9">
        <v>229443</v>
      </c>
      <c r="S3960" s="9">
        <v>-102800</v>
      </c>
      <c r="T3960" s="10">
        <v>81639</v>
      </c>
      <c r="U3960" s="10">
        <v>1394</v>
      </c>
    </row>
    <row r="3961" spans="1:21" x14ac:dyDescent="0.35">
      <c r="A3961" t="s">
        <v>15</v>
      </c>
      <c r="B3961" t="s">
        <v>20</v>
      </c>
      <c r="C3961" t="s">
        <v>21</v>
      </c>
      <c r="D3961">
        <v>165878</v>
      </c>
      <c r="E3961">
        <v>16664</v>
      </c>
      <c r="F3961">
        <v>27149</v>
      </c>
      <c r="G3961">
        <v>-165823</v>
      </c>
      <c r="H3961">
        <v>43868</v>
      </c>
      <c r="I3961">
        <v>41505</v>
      </c>
      <c r="J3961">
        <v>924</v>
      </c>
      <c r="K3961">
        <v>601172</v>
      </c>
      <c r="L3961">
        <v>111765</v>
      </c>
      <c r="M3961">
        <v>-137729</v>
      </c>
      <c r="N3961">
        <v>73680</v>
      </c>
      <c r="O3961" t="s">
        <v>3979</v>
      </c>
      <c r="P3961" s="9">
        <v>233919</v>
      </c>
      <c r="Q3961" s="9">
        <v>46171</v>
      </c>
      <c r="R3961" s="9">
        <v>280090</v>
      </c>
      <c r="S3961" s="9">
        <v>-89697</v>
      </c>
      <c r="T3961" s="10">
        <v>94231</v>
      </c>
      <c r="U3961" s="10">
        <v>2189</v>
      </c>
    </row>
    <row r="3962" spans="1:21" x14ac:dyDescent="0.35">
      <c r="A3962" t="s">
        <v>15</v>
      </c>
      <c r="B3962" t="s">
        <v>20</v>
      </c>
      <c r="C3962" t="s">
        <v>21</v>
      </c>
      <c r="D3962">
        <v>226703</v>
      </c>
      <c r="E3962">
        <v>34656</v>
      </c>
      <c r="F3962">
        <v>41074</v>
      </c>
      <c r="G3962">
        <v>-223151</v>
      </c>
      <c r="H3962">
        <v>79282</v>
      </c>
      <c r="I3962">
        <v>76760</v>
      </c>
      <c r="J3962">
        <v>1865</v>
      </c>
      <c r="K3962">
        <v>538272</v>
      </c>
      <c r="L3962">
        <v>262059</v>
      </c>
      <c r="M3962">
        <v>-194885</v>
      </c>
      <c r="N3962">
        <v>121718</v>
      </c>
      <c r="O3962" t="s">
        <v>3980</v>
      </c>
      <c r="P3962" s="9">
        <v>268653</v>
      </c>
      <c r="Q3962" s="9">
        <v>49584</v>
      </c>
      <c r="R3962" s="9">
        <v>318237</v>
      </c>
      <c r="S3962" s="9">
        <v>-117376</v>
      </c>
      <c r="T3962" s="10">
        <v>134198</v>
      </c>
      <c r="U3962" s="10">
        <v>4001</v>
      </c>
    </row>
    <row r="3963" spans="1:21" x14ac:dyDescent="0.35">
      <c r="A3963" t="s">
        <v>15</v>
      </c>
      <c r="B3963" t="s">
        <v>20</v>
      </c>
      <c r="C3963" t="s">
        <v>17</v>
      </c>
      <c r="D3963">
        <v>290975</v>
      </c>
      <c r="E3963">
        <v>24584</v>
      </c>
      <c r="F3963">
        <v>49070</v>
      </c>
      <c r="G3963">
        <v>-256885</v>
      </c>
      <c r="H3963">
        <v>107744</v>
      </c>
      <c r="I3963">
        <v>110141</v>
      </c>
      <c r="J3963">
        <v>2760</v>
      </c>
      <c r="K3963">
        <v>609996</v>
      </c>
      <c r="L3963">
        <v>96401</v>
      </c>
      <c r="M3963">
        <v>-155134</v>
      </c>
      <c r="N3963">
        <v>260585</v>
      </c>
      <c r="O3963" t="s">
        <v>3981</v>
      </c>
      <c r="P3963" s="9">
        <v>269056</v>
      </c>
      <c r="Q3963" s="9">
        <v>44588</v>
      </c>
      <c r="R3963" s="9">
        <v>313644</v>
      </c>
      <c r="S3963" s="9">
        <v>-185742</v>
      </c>
      <c r="T3963" s="10">
        <v>94326</v>
      </c>
      <c r="U3963" s="10">
        <v>2826</v>
      </c>
    </row>
    <row r="3964" spans="1:21" x14ac:dyDescent="0.35">
      <c r="A3964" t="s">
        <v>15</v>
      </c>
      <c r="B3964" t="s">
        <v>16</v>
      </c>
      <c r="C3964" t="s">
        <v>21</v>
      </c>
      <c r="D3964">
        <v>280042</v>
      </c>
      <c r="E3964">
        <v>39915</v>
      </c>
      <c r="F3964">
        <v>68342</v>
      </c>
      <c r="G3964">
        <v>-229540</v>
      </c>
      <c r="H3964">
        <v>158759</v>
      </c>
      <c r="I3964">
        <v>145083</v>
      </c>
      <c r="J3964">
        <v>3135</v>
      </c>
      <c r="K3964">
        <v>987235</v>
      </c>
      <c r="L3964">
        <v>203728</v>
      </c>
      <c r="M3964">
        <v>-156970</v>
      </c>
      <c r="N3964">
        <v>104188</v>
      </c>
      <c r="O3964" t="s">
        <v>3982</v>
      </c>
      <c r="P3964" s="9">
        <v>216000</v>
      </c>
      <c r="Q3964" s="9">
        <v>37516</v>
      </c>
      <c r="R3964" s="9">
        <v>253516</v>
      </c>
      <c r="S3964" s="9">
        <v>-126882</v>
      </c>
      <c r="T3964" s="10">
        <v>87048</v>
      </c>
      <c r="U3964" s="10">
        <v>1128</v>
      </c>
    </row>
    <row r="3965" spans="1:21" x14ac:dyDescent="0.35">
      <c r="A3965" t="s">
        <v>15</v>
      </c>
      <c r="B3965" t="s">
        <v>20</v>
      </c>
      <c r="C3965" t="s">
        <v>21</v>
      </c>
      <c r="D3965">
        <v>243940</v>
      </c>
      <c r="E3965">
        <v>40153</v>
      </c>
      <c r="F3965">
        <v>39946</v>
      </c>
      <c r="G3965">
        <v>-195171</v>
      </c>
      <c r="H3965">
        <v>128868</v>
      </c>
      <c r="I3965">
        <v>117785</v>
      </c>
      <c r="J3965">
        <v>1184</v>
      </c>
      <c r="K3965">
        <v>841550</v>
      </c>
      <c r="L3965">
        <v>289087</v>
      </c>
      <c r="M3965">
        <v>-218579</v>
      </c>
      <c r="N3965">
        <v>109348</v>
      </c>
      <c r="O3965" t="s">
        <v>3983</v>
      </c>
      <c r="P3965" s="9">
        <v>213940</v>
      </c>
      <c r="Q3965" s="9">
        <v>26686</v>
      </c>
      <c r="R3965" s="9">
        <v>240626</v>
      </c>
      <c r="S3965" s="9">
        <v>-71560</v>
      </c>
      <c r="T3965" s="10">
        <v>84878</v>
      </c>
      <c r="U3965" s="10">
        <v>909</v>
      </c>
    </row>
    <row r="3966" spans="1:21" x14ac:dyDescent="0.35">
      <c r="A3966" t="s">
        <v>15</v>
      </c>
      <c r="B3966" t="s">
        <v>16</v>
      </c>
      <c r="C3966" t="s">
        <v>21</v>
      </c>
      <c r="D3966">
        <v>239837</v>
      </c>
      <c r="E3966">
        <v>31738</v>
      </c>
      <c r="F3966">
        <v>59660</v>
      </c>
      <c r="G3966">
        <v>-205580</v>
      </c>
      <c r="H3966">
        <v>125655</v>
      </c>
      <c r="I3966">
        <v>115564</v>
      </c>
      <c r="J3966">
        <v>1415</v>
      </c>
      <c r="K3966">
        <v>644166</v>
      </c>
      <c r="L3966">
        <v>81371</v>
      </c>
      <c r="M3966">
        <v>-162151</v>
      </c>
      <c r="N3966">
        <v>82224</v>
      </c>
      <c r="O3966" t="s">
        <v>3984</v>
      </c>
      <c r="P3966" s="9">
        <v>228095</v>
      </c>
      <c r="Q3966" s="9">
        <v>22018</v>
      </c>
      <c r="R3966" s="9">
        <v>250113</v>
      </c>
      <c r="S3966" s="9">
        <v>-81932</v>
      </c>
      <c r="T3966" s="10">
        <v>115711</v>
      </c>
      <c r="U3966" s="10">
        <v>1230</v>
      </c>
    </row>
    <row r="3967" spans="1:21" x14ac:dyDescent="0.35">
      <c r="A3967" t="s">
        <v>15</v>
      </c>
      <c r="B3967" t="s">
        <v>16</v>
      </c>
      <c r="C3967" t="s">
        <v>21</v>
      </c>
      <c r="D3967">
        <v>206585</v>
      </c>
      <c r="E3967">
        <v>26401</v>
      </c>
      <c r="F3967">
        <v>20689</v>
      </c>
      <c r="G3967">
        <v>-169215</v>
      </c>
      <c r="H3967">
        <v>84460</v>
      </c>
      <c r="I3967">
        <v>82309</v>
      </c>
      <c r="J3967">
        <v>2215</v>
      </c>
      <c r="K3967">
        <v>528909</v>
      </c>
      <c r="L3967">
        <v>101255</v>
      </c>
      <c r="M3967">
        <v>-93967</v>
      </c>
      <c r="N3967">
        <v>69899</v>
      </c>
      <c r="O3967" t="s">
        <v>3985</v>
      </c>
      <c r="P3967" s="9">
        <v>152454</v>
      </c>
      <c r="Q3967" s="9">
        <v>8332</v>
      </c>
      <c r="R3967" s="9">
        <v>160786</v>
      </c>
      <c r="S3967" s="9">
        <v>-91510</v>
      </c>
      <c r="T3967" s="10">
        <v>58709</v>
      </c>
      <c r="U3967" s="10">
        <v>1121</v>
      </c>
    </row>
    <row r="3968" spans="1:21" x14ac:dyDescent="0.35">
      <c r="A3968" t="s">
        <v>15</v>
      </c>
      <c r="B3968" t="s">
        <v>16</v>
      </c>
      <c r="C3968" t="s">
        <v>21</v>
      </c>
      <c r="D3968">
        <v>248048</v>
      </c>
      <c r="E3968">
        <v>23354</v>
      </c>
      <c r="F3968">
        <v>31588</v>
      </c>
      <c r="G3968">
        <v>-207078</v>
      </c>
      <c r="H3968">
        <v>95912</v>
      </c>
      <c r="I3968">
        <v>87523</v>
      </c>
      <c r="J3968">
        <v>1155</v>
      </c>
      <c r="K3968">
        <v>687281</v>
      </c>
      <c r="L3968">
        <v>257134</v>
      </c>
      <c r="M3968">
        <v>-274074</v>
      </c>
      <c r="N3968">
        <v>199692</v>
      </c>
      <c r="O3968" t="s">
        <v>3986</v>
      </c>
      <c r="P3968" s="9">
        <v>199802</v>
      </c>
      <c r="Q3968" s="9">
        <v>23396</v>
      </c>
      <c r="R3968" s="9">
        <v>223198</v>
      </c>
      <c r="S3968" s="9">
        <v>-65021</v>
      </c>
      <c r="T3968" s="10">
        <v>85972</v>
      </c>
      <c r="U3968" s="10">
        <v>931</v>
      </c>
    </row>
    <row r="3969" spans="1:21" x14ac:dyDescent="0.35">
      <c r="A3969" t="s">
        <v>15</v>
      </c>
      <c r="B3969" t="s">
        <v>20</v>
      </c>
      <c r="C3969" t="s">
        <v>21</v>
      </c>
      <c r="D3969">
        <v>158640</v>
      </c>
      <c r="E3969">
        <v>19706</v>
      </c>
      <c r="F3969">
        <v>38694</v>
      </c>
      <c r="G3969">
        <v>-131123</v>
      </c>
      <c r="H3969">
        <v>85917</v>
      </c>
      <c r="I3969">
        <v>87575</v>
      </c>
      <c r="J3969">
        <v>1874</v>
      </c>
      <c r="K3969">
        <v>545650</v>
      </c>
      <c r="L3969">
        <v>206983</v>
      </c>
      <c r="M3969">
        <v>-212016</v>
      </c>
      <c r="N3969">
        <v>108972</v>
      </c>
      <c r="O3969" t="s">
        <v>3987</v>
      </c>
      <c r="P3969" s="9">
        <v>294711</v>
      </c>
      <c r="Q3969" s="9">
        <v>36176</v>
      </c>
      <c r="R3969" s="9">
        <v>330887</v>
      </c>
      <c r="S3969" s="9">
        <v>-198480</v>
      </c>
      <c r="T3969" s="10">
        <v>153105</v>
      </c>
      <c r="U3969" s="10">
        <v>3664</v>
      </c>
    </row>
    <row r="3970" spans="1:21" x14ac:dyDescent="0.35">
      <c r="A3970" t="s">
        <v>15</v>
      </c>
      <c r="B3970" t="s">
        <v>16</v>
      </c>
      <c r="C3970" t="s">
        <v>21</v>
      </c>
      <c r="D3970">
        <v>274211</v>
      </c>
      <c r="E3970">
        <v>41690</v>
      </c>
      <c r="F3970">
        <v>33875</v>
      </c>
      <c r="G3970">
        <v>-265621</v>
      </c>
      <c r="H3970">
        <v>84155</v>
      </c>
      <c r="I3970">
        <v>80984</v>
      </c>
      <c r="J3970">
        <v>1034</v>
      </c>
      <c r="K3970">
        <v>775805</v>
      </c>
      <c r="L3970">
        <v>364977</v>
      </c>
      <c r="M3970">
        <v>-155748</v>
      </c>
      <c r="N3970">
        <v>109997</v>
      </c>
      <c r="O3970" t="s">
        <v>3988</v>
      </c>
      <c r="P3970" s="9">
        <v>285666</v>
      </c>
      <c r="Q3970" s="9">
        <v>14312</v>
      </c>
      <c r="R3970" s="9">
        <v>299978</v>
      </c>
      <c r="S3970" s="9">
        <v>-90090</v>
      </c>
      <c r="T3970" s="10">
        <v>111100</v>
      </c>
      <c r="U3970" s="10">
        <v>1670</v>
      </c>
    </row>
    <row r="3971" spans="1:21" x14ac:dyDescent="0.35">
      <c r="A3971" t="s">
        <v>15</v>
      </c>
      <c r="B3971" t="s">
        <v>16</v>
      </c>
      <c r="C3971" t="s">
        <v>21</v>
      </c>
      <c r="D3971">
        <v>262544</v>
      </c>
      <c r="E3971">
        <v>16760</v>
      </c>
      <c r="F3971">
        <v>43778</v>
      </c>
      <c r="G3971">
        <v>-247144</v>
      </c>
      <c r="H3971">
        <v>75938</v>
      </c>
      <c r="I3971">
        <v>76673</v>
      </c>
      <c r="J3971">
        <v>1380</v>
      </c>
      <c r="K3971">
        <v>629924</v>
      </c>
      <c r="L3971">
        <v>184071</v>
      </c>
      <c r="M3971">
        <v>-67682</v>
      </c>
      <c r="N3971">
        <v>161025</v>
      </c>
      <c r="O3971" t="s">
        <v>3989</v>
      </c>
      <c r="P3971" s="9">
        <v>222676</v>
      </c>
      <c r="Q3971" s="9">
        <v>44159</v>
      </c>
      <c r="R3971" s="9">
        <v>266835</v>
      </c>
      <c r="S3971" s="9">
        <v>-126358</v>
      </c>
      <c r="T3971" s="10">
        <v>98095</v>
      </c>
      <c r="U3971" s="10">
        <v>2110</v>
      </c>
    </row>
    <row r="3972" spans="1:21" x14ac:dyDescent="0.35">
      <c r="A3972" t="s">
        <v>15</v>
      </c>
      <c r="B3972" t="s">
        <v>20</v>
      </c>
      <c r="C3972" t="s">
        <v>17</v>
      </c>
      <c r="D3972">
        <v>150544</v>
      </c>
      <c r="E3972">
        <v>23436</v>
      </c>
      <c r="F3972">
        <v>26259</v>
      </c>
      <c r="G3972">
        <v>-129637</v>
      </c>
      <c r="H3972">
        <v>70602</v>
      </c>
      <c r="I3972">
        <v>65916</v>
      </c>
      <c r="J3972">
        <v>1249</v>
      </c>
      <c r="K3972">
        <v>331114</v>
      </c>
      <c r="L3972">
        <v>41510</v>
      </c>
      <c r="M3972">
        <v>-51742</v>
      </c>
      <c r="N3972">
        <v>118797</v>
      </c>
      <c r="O3972" t="s">
        <v>3990</v>
      </c>
      <c r="P3972" s="9">
        <v>155797</v>
      </c>
      <c r="Q3972" s="9">
        <v>12856</v>
      </c>
      <c r="R3972" s="9">
        <v>168653</v>
      </c>
      <c r="S3972" s="9">
        <v>-45717</v>
      </c>
      <c r="T3972" s="10">
        <v>41093</v>
      </c>
      <c r="U3972" s="10">
        <v>576</v>
      </c>
    </row>
    <row r="3973" spans="1:21" x14ac:dyDescent="0.35">
      <c r="A3973" t="s">
        <v>15</v>
      </c>
      <c r="B3973" t="s">
        <v>16</v>
      </c>
      <c r="C3973" t="s">
        <v>21</v>
      </c>
      <c r="D3973">
        <v>192059</v>
      </c>
      <c r="E3973">
        <v>32263</v>
      </c>
      <c r="F3973">
        <v>26521</v>
      </c>
      <c r="G3973">
        <v>-168568</v>
      </c>
      <c r="H3973">
        <v>82275</v>
      </c>
      <c r="I3973">
        <v>79915</v>
      </c>
      <c r="J3973">
        <v>1390</v>
      </c>
      <c r="K3973">
        <v>481698</v>
      </c>
      <c r="L3973">
        <v>64522</v>
      </c>
      <c r="M3973">
        <v>-55766</v>
      </c>
      <c r="N3973">
        <v>159401</v>
      </c>
      <c r="O3973" t="s">
        <v>3991</v>
      </c>
      <c r="P3973" s="9">
        <v>318260</v>
      </c>
      <c r="Q3973" s="9">
        <v>35994</v>
      </c>
      <c r="R3973" s="9">
        <v>354254</v>
      </c>
      <c r="S3973" s="9">
        <v>-132111</v>
      </c>
      <c r="T3973" s="10">
        <v>79943</v>
      </c>
      <c r="U3973" s="10">
        <v>1204</v>
      </c>
    </row>
    <row r="3974" spans="1:21" x14ac:dyDescent="0.35">
      <c r="A3974" t="s">
        <v>15</v>
      </c>
      <c r="B3974" t="s">
        <v>16</v>
      </c>
      <c r="C3974" t="s">
        <v>17</v>
      </c>
      <c r="D3974">
        <v>180232</v>
      </c>
      <c r="E3974">
        <v>11441</v>
      </c>
      <c r="F3974">
        <v>35401</v>
      </c>
      <c r="G3974">
        <v>-158418</v>
      </c>
      <c r="H3974">
        <v>68656</v>
      </c>
      <c r="I3974">
        <v>66486</v>
      </c>
      <c r="J3974">
        <v>1104</v>
      </c>
      <c r="K3974">
        <v>657865</v>
      </c>
      <c r="L3974">
        <v>236908</v>
      </c>
      <c r="M3974">
        <v>-181325</v>
      </c>
      <c r="N3974">
        <v>159638</v>
      </c>
      <c r="O3974" t="s">
        <v>3992</v>
      </c>
      <c r="P3974" s="9">
        <v>206552</v>
      </c>
      <c r="Q3974" s="9">
        <v>18462</v>
      </c>
      <c r="R3974" s="9">
        <v>225014</v>
      </c>
      <c r="S3974" s="9">
        <v>-48742</v>
      </c>
      <c r="T3974" s="10">
        <v>43441</v>
      </c>
      <c r="U3974" s="10">
        <v>735</v>
      </c>
    </row>
    <row r="3975" spans="1:21" x14ac:dyDescent="0.35">
      <c r="A3975" t="s">
        <v>15</v>
      </c>
      <c r="B3975" t="s">
        <v>16</v>
      </c>
      <c r="C3975" t="s">
        <v>21</v>
      </c>
      <c r="D3975">
        <v>220043</v>
      </c>
      <c r="E3975">
        <v>35098</v>
      </c>
      <c r="F3975">
        <v>31815</v>
      </c>
      <c r="G3975">
        <v>-184900</v>
      </c>
      <c r="H3975">
        <v>102056</v>
      </c>
      <c r="I3975">
        <v>95052</v>
      </c>
      <c r="J3975">
        <v>2617</v>
      </c>
      <c r="K3975">
        <v>452054</v>
      </c>
      <c r="L3975">
        <v>215397</v>
      </c>
      <c r="M3975">
        <v>-134564</v>
      </c>
      <c r="N3975">
        <v>117944</v>
      </c>
      <c r="O3975" t="s">
        <v>3993</v>
      </c>
      <c r="P3975" s="9">
        <v>190967</v>
      </c>
      <c r="Q3975" s="9">
        <v>21404</v>
      </c>
      <c r="R3975" s="9">
        <v>212371</v>
      </c>
      <c r="S3975" s="9">
        <v>-92564</v>
      </c>
      <c r="T3975" s="10">
        <v>73431</v>
      </c>
      <c r="U3975" s="10">
        <v>1770</v>
      </c>
    </row>
    <row r="3976" spans="1:21" x14ac:dyDescent="0.35">
      <c r="A3976" t="s">
        <v>15</v>
      </c>
      <c r="B3976" t="s">
        <v>20</v>
      </c>
      <c r="C3976" t="s">
        <v>17</v>
      </c>
      <c r="D3976">
        <v>153510</v>
      </c>
      <c r="E3976">
        <v>20118</v>
      </c>
      <c r="F3976">
        <v>37979</v>
      </c>
      <c r="G3976">
        <v>-152777</v>
      </c>
      <c r="H3976">
        <v>58830</v>
      </c>
      <c r="I3976">
        <v>53292</v>
      </c>
      <c r="J3976">
        <v>996</v>
      </c>
      <c r="K3976">
        <v>434673</v>
      </c>
      <c r="L3976">
        <v>106818</v>
      </c>
      <c r="M3976">
        <v>-92866</v>
      </c>
      <c r="N3976">
        <v>53759</v>
      </c>
      <c r="O3976" t="s">
        <v>3994</v>
      </c>
      <c r="P3976" s="9">
        <v>310268</v>
      </c>
      <c r="Q3976" s="9">
        <v>25591</v>
      </c>
      <c r="R3976" s="9">
        <v>335859</v>
      </c>
      <c r="S3976" s="9">
        <v>-83256</v>
      </c>
      <c r="T3976" s="10">
        <v>109795</v>
      </c>
      <c r="U3976" s="10">
        <v>2890</v>
      </c>
    </row>
    <row r="3977" spans="1:21" x14ac:dyDescent="0.35">
      <c r="A3977" t="s">
        <v>15</v>
      </c>
      <c r="B3977" t="s">
        <v>16</v>
      </c>
      <c r="C3977" t="s">
        <v>21</v>
      </c>
      <c r="D3977">
        <v>299998</v>
      </c>
      <c r="E3977">
        <v>37921</v>
      </c>
      <c r="F3977">
        <v>73127</v>
      </c>
      <c r="G3977">
        <v>-250199</v>
      </c>
      <c r="H3977">
        <v>160847</v>
      </c>
      <c r="I3977">
        <v>160068</v>
      </c>
      <c r="J3977">
        <v>2090</v>
      </c>
      <c r="K3977">
        <v>1088835</v>
      </c>
      <c r="L3977">
        <v>284329</v>
      </c>
      <c r="M3977">
        <v>-175362</v>
      </c>
      <c r="N3977">
        <v>137006</v>
      </c>
      <c r="O3977" t="s">
        <v>3995</v>
      </c>
      <c r="P3977" s="9">
        <v>234414</v>
      </c>
      <c r="Q3977" s="9">
        <v>15664</v>
      </c>
      <c r="R3977" s="9">
        <v>250078</v>
      </c>
      <c r="S3977" s="9">
        <v>-90423</v>
      </c>
      <c r="T3977" s="10">
        <v>97144</v>
      </c>
      <c r="U3977" s="10">
        <v>1360</v>
      </c>
    </row>
    <row r="3978" spans="1:21" x14ac:dyDescent="0.35">
      <c r="A3978" t="s">
        <v>15</v>
      </c>
      <c r="B3978" t="s">
        <v>16</v>
      </c>
      <c r="C3978" t="s">
        <v>21</v>
      </c>
      <c r="D3978">
        <v>274851</v>
      </c>
      <c r="E3978">
        <v>24304</v>
      </c>
      <c r="F3978">
        <v>46888</v>
      </c>
      <c r="G3978">
        <v>-263179</v>
      </c>
      <c r="H3978">
        <v>82864</v>
      </c>
      <c r="I3978">
        <v>75260</v>
      </c>
      <c r="J3978">
        <v>1413</v>
      </c>
      <c r="K3978">
        <v>889245</v>
      </c>
      <c r="L3978">
        <v>406970</v>
      </c>
      <c r="M3978">
        <v>-245566</v>
      </c>
      <c r="N3978">
        <v>180181</v>
      </c>
      <c r="O3978" t="s">
        <v>3996</v>
      </c>
      <c r="P3978" s="9">
        <v>193938</v>
      </c>
      <c r="Q3978" s="9">
        <v>21538</v>
      </c>
      <c r="R3978" s="9">
        <v>215476</v>
      </c>
      <c r="S3978" s="9">
        <v>-63262</v>
      </c>
      <c r="T3978" s="10">
        <v>72453</v>
      </c>
      <c r="U3978" s="10">
        <v>1551</v>
      </c>
    </row>
    <row r="3979" spans="1:21" x14ac:dyDescent="0.35">
      <c r="A3979" t="s">
        <v>15</v>
      </c>
      <c r="B3979" t="s">
        <v>20</v>
      </c>
      <c r="C3979" t="s">
        <v>21</v>
      </c>
      <c r="D3979">
        <v>183184</v>
      </c>
      <c r="E3979">
        <v>35569</v>
      </c>
      <c r="F3979">
        <v>28218</v>
      </c>
      <c r="G3979">
        <v>-157942</v>
      </c>
      <c r="H3979">
        <v>89029</v>
      </c>
      <c r="I3979">
        <v>92659</v>
      </c>
      <c r="J3979">
        <v>1355</v>
      </c>
      <c r="K3979">
        <v>392281</v>
      </c>
      <c r="L3979">
        <v>179019</v>
      </c>
      <c r="M3979">
        <v>-132511</v>
      </c>
      <c r="N3979">
        <v>127580</v>
      </c>
      <c r="O3979" t="s">
        <v>3997</v>
      </c>
      <c r="P3979" s="9">
        <v>278047</v>
      </c>
      <c r="Q3979" s="9">
        <v>50590</v>
      </c>
      <c r="R3979" s="9">
        <v>328637</v>
      </c>
      <c r="S3979" s="9">
        <v>-184217</v>
      </c>
      <c r="T3979" s="10">
        <v>107706</v>
      </c>
      <c r="U3979" s="10">
        <v>1540</v>
      </c>
    </row>
    <row r="3980" spans="1:21" x14ac:dyDescent="0.35">
      <c r="A3980" t="s">
        <v>15</v>
      </c>
      <c r="B3980" t="s">
        <v>16</v>
      </c>
      <c r="C3980" t="s">
        <v>21</v>
      </c>
      <c r="D3980">
        <v>223363</v>
      </c>
      <c r="E3980">
        <v>36631</v>
      </c>
      <c r="F3980">
        <v>34751</v>
      </c>
      <c r="G3980">
        <v>-214391</v>
      </c>
      <c r="H3980">
        <v>80354</v>
      </c>
      <c r="I3980">
        <v>81405</v>
      </c>
      <c r="J3980">
        <v>2261</v>
      </c>
      <c r="K3980">
        <v>612131</v>
      </c>
      <c r="L3980">
        <v>83476</v>
      </c>
      <c r="M3980">
        <v>-179074</v>
      </c>
      <c r="N3980">
        <v>138330</v>
      </c>
      <c r="O3980" t="s">
        <v>3998</v>
      </c>
      <c r="P3980" s="9">
        <v>218414</v>
      </c>
      <c r="Q3980" s="9">
        <v>23374</v>
      </c>
      <c r="R3980" s="9">
        <v>241788</v>
      </c>
      <c r="S3980" s="9">
        <v>-86371</v>
      </c>
      <c r="T3980" s="10">
        <v>98548</v>
      </c>
      <c r="U3980" s="10">
        <v>1476</v>
      </c>
    </row>
    <row r="3981" spans="1:21" x14ac:dyDescent="0.35">
      <c r="A3981" t="s">
        <v>15</v>
      </c>
      <c r="B3981" t="s">
        <v>20</v>
      </c>
      <c r="C3981" t="s">
        <v>21</v>
      </c>
      <c r="D3981">
        <v>192324</v>
      </c>
      <c r="E3981">
        <v>34549</v>
      </c>
      <c r="F3981">
        <v>26113</v>
      </c>
      <c r="G3981">
        <v>-173765</v>
      </c>
      <c r="H3981">
        <v>79221</v>
      </c>
      <c r="I3981">
        <v>73032</v>
      </c>
      <c r="J3981">
        <v>831</v>
      </c>
      <c r="K3981">
        <v>391139</v>
      </c>
      <c r="L3981">
        <v>154941</v>
      </c>
      <c r="M3981">
        <v>-70721</v>
      </c>
      <c r="N3981">
        <v>100315</v>
      </c>
      <c r="O3981" t="s">
        <v>3999</v>
      </c>
      <c r="P3981" s="9">
        <v>166894</v>
      </c>
      <c r="Q3981" s="9">
        <v>8821</v>
      </c>
      <c r="R3981" s="9">
        <v>175715</v>
      </c>
      <c r="S3981" s="9">
        <v>-86258</v>
      </c>
      <c r="T3981" s="10">
        <v>62160</v>
      </c>
      <c r="U3981" s="10">
        <v>962</v>
      </c>
    </row>
    <row r="3982" spans="1:21" x14ac:dyDescent="0.35">
      <c r="A3982" t="s">
        <v>15</v>
      </c>
      <c r="B3982" t="s">
        <v>16</v>
      </c>
      <c r="C3982" t="s">
        <v>17</v>
      </c>
      <c r="D3982">
        <v>234685</v>
      </c>
      <c r="E3982">
        <v>21490</v>
      </c>
      <c r="F3982">
        <v>58458</v>
      </c>
      <c r="G3982">
        <v>-216551</v>
      </c>
      <c r="H3982">
        <v>98082</v>
      </c>
      <c r="I3982">
        <v>101502</v>
      </c>
      <c r="J3982">
        <v>2560</v>
      </c>
      <c r="K3982">
        <v>790304</v>
      </c>
      <c r="L3982">
        <v>94068</v>
      </c>
      <c r="M3982">
        <v>-249891</v>
      </c>
      <c r="N3982">
        <v>105175</v>
      </c>
      <c r="O3982" t="s">
        <v>4000</v>
      </c>
      <c r="P3982" s="9">
        <v>296824</v>
      </c>
      <c r="Q3982" s="9">
        <v>35740</v>
      </c>
      <c r="R3982" s="9">
        <v>332564</v>
      </c>
      <c r="S3982" s="9">
        <v>-144540</v>
      </c>
      <c r="T3982" s="10">
        <v>122257</v>
      </c>
      <c r="U3982" s="10">
        <v>1902</v>
      </c>
    </row>
    <row r="3983" spans="1:21" x14ac:dyDescent="0.35">
      <c r="A3983" t="s">
        <v>15</v>
      </c>
      <c r="B3983" t="s">
        <v>20</v>
      </c>
      <c r="C3983" t="s">
        <v>21</v>
      </c>
      <c r="D3983">
        <v>291131</v>
      </c>
      <c r="E3983">
        <v>22285</v>
      </c>
      <c r="F3983">
        <v>34597</v>
      </c>
      <c r="G3983">
        <v>-282741</v>
      </c>
      <c r="H3983">
        <v>65272</v>
      </c>
      <c r="I3983">
        <v>66200</v>
      </c>
      <c r="J3983">
        <v>1688</v>
      </c>
      <c r="K3983">
        <v>1118035</v>
      </c>
      <c r="L3983">
        <v>173775</v>
      </c>
      <c r="M3983">
        <v>-374711</v>
      </c>
      <c r="N3983">
        <v>260998</v>
      </c>
      <c r="O3983" t="s">
        <v>4001</v>
      </c>
      <c r="P3983" s="9">
        <v>159151</v>
      </c>
      <c r="Q3983" s="9">
        <v>33471</v>
      </c>
      <c r="R3983" s="9">
        <v>192622</v>
      </c>
      <c r="S3983" s="9">
        <v>-52004</v>
      </c>
      <c r="T3983" s="10">
        <v>68656</v>
      </c>
      <c r="U3983" s="10">
        <v>1387</v>
      </c>
    </row>
    <row r="3984" spans="1:21" x14ac:dyDescent="0.35">
      <c r="A3984" t="s">
        <v>15</v>
      </c>
      <c r="B3984" t="s">
        <v>16</v>
      </c>
      <c r="C3984" t="s">
        <v>21</v>
      </c>
      <c r="D3984">
        <v>164313</v>
      </c>
      <c r="E3984">
        <v>20636</v>
      </c>
      <c r="F3984">
        <v>22645</v>
      </c>
      <c r="G3984">
        <v>-140852</v>
      </c>
      <c r="H3984">
        <v>66742</v>
      </c>
      <c r="I3984">
        <v>65788</v>
      </c>
      <c r="J3984">
        <v>1030</v>
      </c>
      <c r="K3984">
        <v>586535</v>
      </c>
      <c r="L3984">
        <v>85705</v>
      </c>
      <c r="M3984">
        <v>-197295</v>
      </c>
      <c r="N3984">
        <v>104197</v>
      </c>
      <c r="O3984" t="s">
        <v>4002</v>
      </c>
      <c r="P3984" s="9">
        <v>156396</v>
      </c>
      <c r="Q3984" s="9">
        <v>20636</v>
      </c>
      <c r="R3984" s="9">
        <v>177032</v>
      </c>
      <c r="S3984" s="9">
        <v>-103200</v>
      </c>
      <c r="T3984" s="10">
        <v>71698</v>
      </c>
      <c r="U3984" s="10">
        <v>997</v>
      </c>
    </row>
    <row r="3985" spans="1:21" x14ac:dyDescent="0.35">
      <c r="A3985" t="s">
        <v>15</v>
      </c>
      <c r="B3985" t="s">
        <v>16</v>
      </c>
      <c r="C3985" t="s">
        <v>21</v>
      </c>
      <c r="D3985">
        <v>215129</v>
      </c>
      <c r="E3985">
        <v>17587</v>
      </c>
      <c r="F3985">
        <v>29241</v>
      </c>
      <c r="G3985">
        <v>-193670</v>
      </c>
      <c r="H3985">
        <v>68287</v>
      </c>
      <c r="I3985">
        <v>66647</v>
      </c>
      <c r="J3985">
        <v>1407</v>
      </c>
      <c r="K3985">
        <v>582752</v>
      </c>
      <c r="L3985">
        <v>232408</v>
      </c>
      <c r="M3985">
        <v>-212965</v>
      </c>
      <c r="N3985">
        <v>164292</v>
      </c>
      <c r="O3985" t="s">
        <v>4003</v>
      </c>
      <c r="P3985" s="9">
        <v>181129</v>
      </c>
      <c r="Q3985" s="9">
        <v>9190</v>
      </c>
      <c r="R3985" s="9">
        <v>190319</v>
      </c>
      <c r="S3985" s="9">
        <v>-42039</v>
      </c>
      <c r="T3985" s="10">
        <v>61347</v>
      </c>
      <c r="U3985" s="10">
        <v>889</v>
      </c>
    </row>
    <row r="3986" spans="1:21" x14ac:dyDescent="0.35">
      <c r="A3986" t="s">
        <v>15</v>
      </c>
      <c r="B3986" t="s">
        <v>16</v>
      </c>
      <c r="C3986" t="s">
        <v>21</v>
      </c>
      <c r="D3986">
        <v>176359</v>
      </c>
      <c r="E3986">
        <v>14310</v>
      </c>
      <c r="F3986">
        <v>43965</v>
      </c>
      <c r="G3986">
        <v>-144210</v>
      </c>
      <c r="H3986">
        <v>90424</v>
      </c>
      <c r="I3986">
        <v>87906</v>
      </c>
      <c r="J3986">
        <v>1876</v>
      </c>
      <c r="K3986">
        <v>523530</v>
      </c>
      <c r="L3986">
        <v>63452</v>
      </c>
      <c r="M3986">
        <v>-104411</v>
      </c>
      <c r="N3986">
        <v>59252</v>
      </c>
      <c r="O3986" t="s">
        <v>4004</v>
      </c>
      <c r="P3986" s="9">
        <v>160242</v>
      </c>
      <c r="Q3986" s="9">
        <v>25635</v>
      </c>
      <c r="R3986" s="9">
        <v>185877</v>
      </c>
      <c r="S3986" s="9">
        <v>-108375</v>
      </c>
      <c r="T3986" s="10">
        <v>93667</v>
      </c>
      <c r="U3986" s="10">
        <v>1204</v>
      </c>
    </row>
    <row r="3987" spans="1:21" x14ac:dyDescent="0.35">
      <c r="A3987" t="s">
        <v>15</v>
      </c>
      <c r="B3987" t="s">
        <v>20</v>
      </c>
      <c r="C3987" t="s">
        <v>17</v>
      </c>
      <c r="D3987">
        <v>238290</v>
      </c>
      <c r="E3987">
        <v>39319</v>
      </c>
      <c r="F3987">
        <v>44401</v>
      </c>
      <c r="G3987">
        <v>-234865</v>
      </c>
      <c r="H3987">
        <v>87145</v>
      </c>
      <c r="I3987">
        <v>88203</v>
      </c>
      <c r="J3987">
        <v>2356</v>
      </c>
      <c r="K3987">
        <v>587636</v>
      </c>
      <c r="L3987">
        <v>208134</v>
      </c>
      <c r="M3987">
        <v>-59449</v>
      </c>
      <c r="N3987">
        <v>161823</v>
      </c>
      <c r="O3987" t="s">
        <v>4005</v>
      </c>
      <c r="P3987" s="9">
        <v>197817</v>
      </c>
      <c r="Q3987" s="9">
        <v>27842</v>
      </c>
      <c r="R3987" s="9">
        <v>225659</v>
      </c>
      <c r="S3987" s="9">
        <v>-96507</v>
      </c>
      <c r="T3987" s="10">
        <v>92850</v>
      </c>
      <c r="U3987" s="10">
        <v>2109</v>
      </c>
    </row>
    <row r="3988" spans="1:21" x14ac:dyDescent="0.35">
      <c r="A3988" t="s">
        <v>15</v>
      </c>
      <c r="B3988" t="s">
        <v>20</v>
      </c>
      <c r="C3988" t="s">
        <v>17</v>
      </c>
      <c r="D3988">
        <v>203537</v>
      </c>
      <c r="E3988">
        <v>33721</v>
      </c>
      <c r="F3988">
        <v>22525</v>
      </c>
      <c r="G3988">
        <v>-191557</v>
      </c>
      <c r="H3988">
        <v>68226</v>
      </c>
      <c r="I3988">
        <v>62953</v>
      </c>
      <c r="J3988">
        <v>881</v>
      </c>
      <c r="K3988">
        <v>624403</v>
      </c>
      <c r="L3988">
        <v>220000</v>
      </c>
      <c r="M3988">
        <v>-71709</v>
      </c>
      <c r="N3988">
        <v>120792</v>
      </c>
      <c r="O3988" t="s">
        <v>4006</v>
      </c>
      <c r="P3988" s="9">
        <v>178480</v>
      </c>
      <c r="Q3988" s="9">
        <v>10384</v>
      </c>
      <c r="R3988" s="9">
        <v>188864</v>
      </c>
      <c r="S3988" s="9">
        <v>-68109</v>
      </c>
      <c r="T3988" s="10">
        <v>67449</v>
      </c>
      <c r="U3988" s="10">
        <v>1363</v>
      </c>
    </row>
    <row r="3989" spans="1:21" x14ac:dyDescent="0.35">
      <c r="A3989" t="s">
        <v>15</v>
      </c>
      <c r="B3989" t="s">
        <v>16</v>
      </c>
      <c r="C3989" t="s">
        <v>21</v>
      </c>
      <c r="D3989">
        <v>157158</v>
      </c>
      <c r="E3989">
        <v>13781</v>
      </c>
      <c r="F3989">
        <v>35711</v>
      </c>
      <c r="G3989">
        <v>-142751</v>
      </c>
      <c r="H3989">
        <v>63899</v>
      </c>
      <c r="I3989">
        <v>59410</v>
      </c>
      <c r="J3989">
        <v>1667</v>
      </c>
      <c r="K3989">
        <v>590122</v>
      </c>
      <c r="L3989">
        <v>86163</v>
      </c>
      <c r="M3989">
        <v>-133886</v>
      </c>
      <c r="N3989">
        <v>69803</v>
      </c>
      <c r="O3989" t="s">
        <v>4007</v>
      </c>
      <c r="P3989" s="9">
        <v>218029</v>
      </c>
      <c r="Q3989" s="9">
        <v>26444</v>
      </c>
      <c r="R3989" s="9">
        <v>244473</v>
      </c>
      <c r="S3989" s="9">
        <v>-61517</v>
      </c>
      <c r="T3989" s="10">
        <v>76075</v>
      </c>
      <c r="U3989" s="10">
        <v>1243</v>
      </c>
    </row>
    <row r="3990" spans="1:21" x14ac:dyDescent="0.35">
      <c r="A3990" t="s">
        <v>15</v>
      </c>
      <c r="B3990" t="s">
        <v>16</v>
      </c>
      <c r="C3990" t="s">
        <v>21</v>
      </c>
      <c r="D3990">
        <v>182957</v>
      </c>
      <c r="E3990">
        <v>15388</v>
      </c>
      <c r="F3990">
        <v>18507</v>
      </c>
      <c r="G3990">
        <v>-155602</v>
      </c>
      <c r="H3990">
        <v>61250</v>
      </c>
      <c r="I3990">
        <v>63858</v>
      </c>
      <c r="J3990">
        <v>1297</v>
      </c>
      <c r="K3990">
        <v>585585</v>
      </c>
      <c r="L3990">
        <v>198982</v>
      </c>
      <c r="M3990">
        <v>-111711</v>
      </c>
      <c r="N3990">
        <v>76010</v>
      </c>
      <c r="O3990" t="s">
        <v>4008</v>
      </c>
      <c r="P3990" s="9">
        <v>159535</v>
      </c>
      <c r="Q3990" s="9">
        <v>26628</v>
      </c>
      <c r="R3990" s="9">
        <v>186163</v>
      </c>
      <c r="S3990" s="9">
        <v>-45277</v>
      </c>
      <c r="T3990" s="10">
        <v>57759</v>
      </c>
      <c r="U3990" s="10">
        <v>601</v>
      </c>
    </row>
    <row r="3991" spans="1:21" x14ac:dyDescent="0.35">
      <c r="A3991" t="s">
        <v>15</v>
      </c>
      <c r="B3991" t="s">
        <v>16</v>
      </c>
      <c r="C3991" t="s">
        <v>21</v>
      </c>
      <c r="D3991">
        <v>221306</v>
      </c>
      <c r="E3991">
        <v>18751</v>
      </c>
      <c r="F3991">
        <v>45742</v>
      </c>
      <c r="G3991">
        <v>-206144</v>
      </c>
      <c r="H3991">
        <v>79655</v>
      </c>
      <c r="I3991">
        <v>80093</v>
      </c>
      <c r="J3991">
        <v>1013</v>
      </c>
      <c r="K3991">
        <v>838516</v>
      </c>
      <c r="L3991">
        <v>108135</v>
      </c>
      <c r="M3991">
        <v>-241346</v>
      </c>
      <c r="N3991">
        <v>77608</v>
      </c>
      <c r="O3991" t="s">
        <v>4009</v>
      </c>
      <c r="P3991" s="9">
        <v>259111</v>
      </c>
      <c r="Q3991" s="9">
        <v>44083</v>
      </c>
      <c r="R3991" s="9">
        <v>303194</v>
      </c>
      <c r="S3991" s="9">
        <v>-171656</v>
      </c>
      <c r="T3991" s="10">
        <v>90762</v>
      </c>
      <c r="U3991" s="10">
        <v>2190</v>
      </c>
    </row>
    <row r="3992" spans="1:21" x14ac:dyDescent="0.35">
      <c r="A3992" t="s">
        <v>15</v>
      </c>
      <c r="B3992" t="s">
        <v>16</v>
      </c>
      <c r="C3992" t="s">
        <v>17</v>
      </c>
      <c r="D3992">
        <v>289258</v>
      </c>
      <c r="E3992">
        <v>42150</v>
      </c>
      <c r="F3992">
        <v>36350</v>
      </c>
      <c r="G3992">
        <v>-288754</v>
      </c>
      <c r="H3992">
        <v>79004</v>
      </c>
      <c r="I3992">
        <v>80085</v>
      </c>
      <c r="J3992">
        <v>2007</v>
      </c>
      <c r="K3992">
        <v>1003846</v>
      </c>
      <c r="L3992">
        <v>120789</v>
      </c>
      <c r="M3992">
        <v>-395256</v>
      </c>
      <c r="N3992">
        <v>119571</v>
      </c>
      <c r="O3992" t="s">
        <v>4010</v>
      </c>
      <c r="P3992" s="9">
        <v>173428</v>
      </c>
      <c r="Q3992" s="9">
        <v>30521</v>
      </c>
      <c r="R3992" s="9">
        <v>203949</v>
      </c>
      <c r="S3992" s="9">
        <v>-75694</v>
      </c>
      <c r="T3992" s="10">
        <v>81800</v>
      </c>
      <c r="U3992" s="10">
        <v>837</v>
      </c>
    </row>
    <row r="3993" spans="1:21" x14ac:dyDescent="0.35">
      <c r="A3993" t="s">
        <v>15</v>
      </c>
      <c r="B3993" t="s">
        <v>20</v>
      </c>
      <c r="C3993" t="s">
        <v>21</v>
      </c>
      <c r="D3993">
        <v>219942</v>
      </c>
      <c r="E3993">
        <v>27567</v>
      </c>
      <c r="F3993">
        <v>48852</v>
      </c>
      <c r="G3993">
        <v>-206325</v>
      </c>
      <c r="H3993">
        <v>90036</v>
      </c>
      <c r="I3993">
        <v>84685</v>
      </c>
      <c r="J3993">
        <v>1987</v>
      </c>
      <c r="K3993">
        <v>596912</v>
      </c>
      <c r="L3993">
        <v>213348</v>
      </c>
      <c r="M3993">
        <v>-201248</v>
      </c>
      <c r="N3993">
        <v>145731</v>
      </c>
      <c r="O3993" t="s">
        <v>4011</v>
      </c>
      <c r="P3993" s="9">
        <v>201685</v>
      </c>
      <c r="Q3993" s="9">
        <v>18298</v>
      </c>
      <c r="R3993" s="9">
        <v>219983</v>
      </c>
      <c r="S3993" s="9">
        <v>-47993</v>
      </c>
      <c r="T3993" s="10">
        <v>53449</v>
      </c>
      <c r="U3993" s="10">
        <v>1439</v>
      </c>
    </row>
    <row r="3994" spans="1:21" x14ac:dyDescent="0.35">
      <c r="A3994" t="s">
        <v>15</v>
      </c>
      <c r="B3994" t="s">
        <v>16</v>
      </c>
      <c r="C3994" t="s">
        <v>17</v>
      </c>
      <c r="D3994">
        <v>230652</v>
      </c>
      <c r="E3994">
        <v>16013</v>
      </c>
      <c r="F3994">
        <v>55506</v>
      </c>
      <c r="G3994">
        <v>-210066</v>
      </c>
      <c r="H3994">
        <v>92105</v>
      </c>
      <c r="I3994">
        <v>88099</v>
      </c>
      <c r="J3994">
        <v>1545</v>
      </c>
      <c r="K3994">
        <v>698161</v>
      </c>
      <c r="L3994">
        <v>233947</v>
      </c>
      <c r="M3994">
        <v>-215399</v>
      </c>
      <c r="N3994">
        <v>194268</v>
      </c>
      <c r="O3994" t="s">
        <v>4012</v>
      </c>
      <c r="P3994" s="9">
        <v>183887</v>
      </c>
      <c r="Q3994" s="9">
        <v>14933</v>
      </c>
      <c r="R3994" s="9">
        <v>198820</v>
      </c>
      <c r="S3994" s="9">
        <v>-100450</v>
      </c>
      <c r="T3994" s="10">
        <v>72330</v>
      </c>
      <c r="U3994" s="10">
        <v>1531</v>
      </c>
    </row>
    <row r="3995" spans="1:21" x14ac:dyDescent="0.35">
      <c r="A3995" t="s">
        <v>15</v>
      </c>
      <c r="B3995" t="s">
        <v>20</v>
      </c>
      <c r="C3995" t="s">
        <v>17</v>
      </c>
      <c r="D3995">
        <v>211793</v>
      </c>
      <c r="E3995">
        <v>14332</v>
      </c>
      <c r="F3995">
        <v>40023</v>
      </c>
      <c r="G3995">
        <v>-190462</v>
      </c>
      <c r="H3995">
        <v>75686</v>
      </c>
      <c r="I3995">
        <v>79431</v>
      </c>
      <c r="J3995">
        <v>2189</v>
      </c>
      <c r="K3995">
        <v>759775</v>
      </c>
      <c r="L3995">
        <v>264954</v>
      </c>
      <c r="M3995">
        <v>-91878</v>
      </c>
      <c r="N3995">
        <v>91422</v>
      </c>
      <c r="O3995" t="s">
        <v>4013</v>
      </c>
      <c r="P3995" s="9">
        <v>244505</v>
      </c>
      <c r="Q3995" s="9">
        <v>48918</v>
      </c>
      <c r="R3995" s="9">
        <v>293423</v>
      </c>
      <c r="S3995" s="9">
        <v>-172117</v>
      </c>
      <c r="T3995" s="10">
        <v>104020</v>
      </c>
      <c r="U3995" s="10">
        <v>1969</v>
      </c>
    </row>
    <row r="3996" spans="1:21" x14ac:dyDescent="0.35">
      <c r="A3996" t="s">
        <v>15</v>
      </c>
      <c r="B3996" t="s">
        <v>20</v>
      </c>
      <c r="C3996" t="s">
        <v>21</v>
      </c>
      <c r="D3996">
        <v>240074</v>
      </c>
      <c r="E3996">
        <v>29776</v>
      </c>
      <c r="F3996">
        <v>58715</v>
      </c>
      <c r="G3996">
        <v>-220836</v>
      </c>
      <c r="H3996">
        <v>107729</v>
      </c>
      <c r="I3996">
        <v>104612</v>
      </c>
      <c r="J3996">
        <v>2155</v>
      </c>
      <c r="K3996">
        <v>595151</v>
      </c>
      <c r="L3996">
        <v>253461</v>
      </c>
      <c r="M3996">
        <v>-184553</v>
      </c>
      <c r="N3996">
        <v>152788</v>
      </c>
      <c r="O3996" t="s">
        <v>4014</v>
      </c>
      <c r="P3996" s="9">
        <v>161812</v>
      </c>
      <c r="Q3996" s="9">
        <v>11216</v>
      </c>
      <c r="R3996" s="9">
        <v>173028</v>
      </c>
      <c r="S3996" s="9">
        <v>-66166</v>
      </c>
      <c r="T3996" s="10">
        <v>61107</v>
      </c>
      <c r="U3996" s="10">
        <v>1061</v>
      </c>
    </row>
    <row r="3997" spans="1:21" x14ac:dyDescent="0.35">
      <c r="A3997" t="s">
        <v>15</v>
      </c>
      <c r="B3997" t="s">
        <v>16</v>
      </c>
      <c r="C3997" t="s">
        <v>21</v>
      </c>
      <c r="D3997">
        <v>264047</v>
      </c>
      <c r="E3997">
        <v>46195</v>
      </c>
      <c r="F3997">
        <v>28852</v>
      </c>
      <c r="G3997">
        <v>-229336</v>
      </c>
      <c r="H3997">
        <v>109758</v>
      </c>
      <c r="I3997">
        <v>113886</v>
      </c>
      <c r="J3997">
        <v>3059</v>
      </c>
      <c r="K3997">
        <v>844856</v>
      </c>
      <c r="L3997">
        <v>258511</v>
      </c>
      <c r="M3997">
        <v>-239848</v>
      </c>
      <c r="N3997">
        <v>138080</v>
      </c>
      <c r="O3997" t="s">
        <v>4015</v>
      </c>
      <c r="P3997" s="9">
        <v>220095</v>
      </c>
      <c r="Q3997" s="9">
        <v>14380</v>
      </c>
      <c r="R3997" s="9">
        <v>234475</v>
      </c>
      <c r="S3997" s="9">
        <v>-120044</v>
      </c>
      <c r="T3997" s="10">
        <v>78268</v>
      </c>
      <c r="U3997" s="10">
        <v>1861</v>
      </c>
    </row>
    <row r="3998" spans="1:21" x14ac:dyDescent="0.35">
      <c r="A3998" t="s">
        <v>15</v>
      </c>
      <c r="B3998" t="s">
        <v>20</v>
      </c>
      <c r="C3998" t="s">
        <v>21</v>
      </c>
      <c r="D3998">
        <v>288178</v>
      </c>
      <c r="E3998">
        <v>16406</v>
      </c>
      <c r="F3998">
        <v>32443</v>
      </c>
      <c r="G3998">
        <v>-280015</v>
      </c>
      <c r="H3998">
        <v>57012</v>
      </c>
      <c r="I3998">
        <v>53905</v>
      </c>
      <c r="J3998">
        <v>1447</v>
      </c>
      <c r="K3998">
        <v>951896</v>
      </c>
      <c r="L3998">
        <v>457445</v>
      </c>
      <c r="M3998">
        <v>-120868</v>
      </c>
      <c r="N3998">
        <v>258336</v>
      </c>
      <c r="O3998" t="s">
        <v>4016</v>
      </c>
      <c r="P3998" s="9">
        <v>273632</v>
      </c>
      <c r="Q3998" s="9">
        <v>42521</v>
      </c>
      <c r="R3998" s="9">
        <v>316153</v>
      </c>
      <c r="S3998" s="9">
        <v>-105101</v>
      </c>
      <c r="T3998" s="10">
        <v>89280</v>
      </c>
      <c r="U3998" s="10">
        <v>2050</v>
      </c>
    </row>
    <row r="3999" spans="1:21" x14ac:dyDescent="0.35">
      <c r="A3999" t="s">
        <v>15</v>
      </c>
      <c r="B3999" t="s">
        <v>20</v>
      </c>
      <c r="C3999" t="s">
        <v>21</v>
      </c>
      <c r="D3999">
        <v>156949</v>
      </c>
      <c r="E3999">
        <v>9212</v>
      </c>
      <c r="F3999">
        <v>32696</v>
      </c>
      <c r="G3999">
        <v>-151591</v>
      </c>
      <c r="H3999">
        <v>47266</v>
      </c>
      <c r="I3999">
        <v>44117</v>
      </c>
      <c r="J3999">
        <v>735</v>
      </c>
      <c r="K3999">
        <v>448993</v>
      </c>
      <c r="L3999">
        <v>94027</v>
      </c>
      <c r="M3999">
        <v>-51554</v>
      </c>
      <c r="N3999">
        <v>76005</v>
      </c>
      <c r="O3999" t="s">
        <v>4017</v>
      </c>
      <c r="P3999" s="9">
        <v>313742</v>
      </c>
      <c r="Q3999" s="9">
        <v>37641</v>
      </c>
      <c r="R3999" s="9">
        <v>351383</v>
      </c>
      <c r="S3999" s="9">
        <v>-138359</v>
      </c>
      <c r="T3999" s="10">
        <v>93205</v>
      </c>
      <c r="U3999" s="10">
        <v>1751</v>
      </c>
    </row>
    <row r="4000" spans="1:21" x14ac:dyDescent="0.35">
      <c r="A4000" t="s">
        <v>15</v>
      </c>
      <c r="B4000" t="s">
        <v>16</v>
      </c>
      <c r="C4000" t="s">
        <v>17</v>
      </c>
      <c r="D4000">
        <v>222147</v>
      </c>
      <c r="E4000">
        <v>39216</v>
      </c>
      <c r="F4000">
        <v>22512</v>
      </c>
      <c r="G4000">
        <v>-204873</v>
      </c>
      <c r="H4000">
        <v>79002</v>
      </c>
      <c r="I4000">
        <v>82325</v>
      </c>
      <c r="J4000">
        <v>1841</v>
      </c>
      <c r="K4000">
        <v>538104</v>
      </c>
      <c r="L4000">
        <v>249471</v>
      </c>
      <c r="M4000">
        <v>-185120</v>
      </c>
      <c r="N4000">
        <v>186789</v>
      </c>
      <c r="O4000" t="s">
        <v>4018</v>
      </c>
      <c r="P4000" s="9">
        <v>143128</v>
      </c>
      <c r="Q4000" s="9">
        <v>21633</v>
      </c>
      <c r="R4000" s="9">
        <v>164761</v>
      </c>
      <c r="S4000" s="9">
        <v>-76048</v>
      </c>
      <c r="T4000" s="10">
        <v>51841</v>
      </c>
      <c r="U4000" s="10">
        <v>1162</v>
      </c>
    </row>
    <row r="4001" spans="1:21" x14ac:dyDescent="0.35">
      <c r="A4001" t="s">
        <v>15</v>
      </c>
      <c r="B4001" t="s">
        <v>16</v>
      </c>
      <c r="C4001" t="s">
        <v>21</v>
      </c>
      <c r="D4001">
        <v>180987</v>
      </c>
      <c r="E4001">
        <v>11200</v>
      </c>
      <c r="F4001">
        <v>18364</v>
      </c>
      <c r="G4001">
        <v>-173549</v>
      </c>
      <c r="H4001">
        <v>37002</v>
      </c>
      <c r="I4001">
        <v>35324</v>
      </c>
      <c r="J4001">
        <v>1051</v>
      </c>
      <c r="K4001">
        <v>521888</v>
      </c>
      <c r="L4001">
        <v>113499</v>
      </c>
      <c r="M4001">
        <v>-166973</v>
      </c>
      <c r="N4001">
        <v>133245</v>
      </c>
      <c r="O4001" t="s">
        <v>4019</v>
      </c>
      <c r="P4001" s="9">
        <v>276984</v>
      </c>
      <c r="Q4001" s="9">
        <v>20964</v>
      </c>
      <c r="R4001" s="9">
        <v>297948</v>
      </c>
      <c r="S4001" s="9">
        <v>-68119</v>
      </c>
      <c r="T4001" s="10">
        <v>79697</v>
      </c>
      <c r="U4001" s="10">
        <v>1095</v>
      </c>
    </row>
    <row r="4002" spans="1:21" x14ac:dyDescent="0.35">
      <c r="A4002" t="s">
        <v>15</v>
      </c>
      <c r="B4002" t="s">
        <v>20</v>
      </c>
      <c r="C4002" t="s">
        <v>21</v>
      </c>
      <c r="D4002">
        <v>293323</v>
      </c>
      <c r="E4002">
        <v>21290</v>
      </c>
      <c r="F4002">
        <v>54593</v>
      </c>
      <c r="G4002">
        <v>-252602</v>
      </c>
      <c r="H4002">
        <v>116604</v>
      </c>
      <c r="I4002">
        <v>110810</v>
      </c>
      <c r="J4002">
        <v>1299</v>
      </c>
      <c r="K4002">
        <v>725941</v>
      </c>
      <c r="L4002">
        <v>231457</v>
      </c>
      <c r="M4002">
        <v>-267122</v>
      </c>
      <c r="N4002">
        <v>172824</v>
      </c>
      <c r="O4002" t="s">
        <v>4020</v>
      </c>
      <c r="P4002" s="9">
        <v>227119</v>
      </c>
      <c r="Q4002" s="9">
        <v>40152</v>
      </c>
      <c r="R4002" s="9">
        <v>267271</v>
      </c>
      <c r="S4002" s="9">
        <v>-56580</v>
      </c>
      <c r="T4002" s="10">
        <v>106238</v>
      </c>
      <c r="U4002" s="10">
        <v>1158</v>
      </c>
    </row>
    <row r="4003" spans="1:21" x14ac:dyDescent="0.35">
      <c r="A4003" t="s">
        <v>15</v>
      </c>
      <c r="B4003" t="s">
        <v>20</v>
      </c>
      <c r="C4003" t="s">
        <v>21</v>
      </c>
      <c r="D4003">
        <v>252451</v>
      </c>
      <c r="E4003">
        <v>37615</v>
      </c>
      <c r="F4003">
        <v>56005</v>
      </c>
      <c r="G4003">
        <v>-244868</v>
      </c>
      <c r="H4003">
        <v>101203</v>
      </c>
      <c r="I4003">
        <v>97659</v>
      </c>
      <c r="J4003">
        <v>2241</v>
      </c>
      <c r="K4003">
        <v>814047</v>
      </c>
      <c r="L4003">
        <v>292496</v>
      </c>
      <c r="M4003">
        <v>-216850</v>
      </c>
      <c r="N4003">
        <v>206008</v>
      </c>
      <c r="O4003" t="s">
        <v>4021</v>
      </c>
      <c r="P4003" s="9">
        <v>187698</v>
      </c>
      <c r="Q4003" s="9">
        <v>15647</v>
      </c>
      <c r="R4003" s="9">
        <v>203345</v>
      </c>
      <c r="S4003" s="9">
        <v>-92045</v>
      </c>
      <c r="T4003" s="10">
        <v>79549</v>
      </c>
      <c r="U4003" s="10">
        <v>830</v>
      </c>
    </row>
    <row r="4004" spans="1:21" x14ac:dyDescent="0.35">
      <c r="A4004" t="s">
        <v>15</v>
      </c>
      <c r="B4004" t="s">
        <v>16</v>
      </c>
      <c r="C4004" t="s">
        <v>17</v>
      </c>
      <c r="D4004">
        <v>208826</v>
      </c>
      <c r="E4004">
        <v>22244</v>
      </c>
      <c r="F4004">
        <v>38850</v>
      </c>
      <c r="G4004">
        <v>-191988</v>
      </c>
      <c r="H4004">
        <v>77932</v>
      </c>
      <c r="I4004">
        <v>81810</v>
      </c>
      <c r="J4004">
        <v>1403</v>
      </c>
      <c r="K4004">
        <v>669801</v>
      </c>
      <c r="L4004">
        <v>141061</v>
      </c>
      <c r="M4004">
        <v>-230394</v>
      </c>
      <c r="N4004">
        <v>82508</v>
      </c>
      <c r="O4004" t="s">
        <v>4022</v>
      </c>
      <c r="P4004" s="9">
        <v>183857</v>
      </c>
      <c r="Q4004" s="9">
        <v>18590</v>
      </c>
      <c r="R4004" s="9">
        <v>202447</v>
      </c>
      <c r="S4004" s="9">
        <v>-44351</v>
      </c>
      <c r="T4004" s="10">
        <v>81966</v>
      </c>
      <c r="U4004" s="10">
        <v>1292</v>
      </c>
    </row>
    <row r="4005" spans="1:21" x14ac:dyDescent="0.35">
      <c r="A4005" t="s">
        <v>15</v>
      </c>
      <c r="B4005" t="s">
        <v>16</v>
      </c>
      <c r="C4005" t="s">
        <v>21</v>
      </c>
      <c r="D4005">
        <v>238366</v>
      </c>
      <c r="E4005">
        <v>43939</v>
      </c>
      <c r="F4005">
        <v>37606</v>
      </c>
      <c r="G4005">
        <v>-217401</v>
      </c>
      <c r="H4005">
        <v>102510</v>
      </c>
      <c r="I4005">
        <v>104399</v>
      </c>
      <c r="J4005">
        <v>2955</v>
      </c>
      <c r="K4005">
        <v>491586</v>
      </c>
      <c r="L4005">
        <v>191445</v>
      </c>
      <c r="M4005">
        <v>-124548</v>
      </c>
      <c r="N4005">
        <v>93771</v>
      </c>
      <c r="O4005" t="s">
        <v>4023</v>
      </c>
      <c r="P4005" s="9">
        <v>270484</v>
      </c>
      <c r="Q4005" s="9">
        <v>20720</v>
      </c>
      <c r="R4005" s="9">
        <v>291204</v>
      </c>
      <c r="S4005" s="9">
        <v>-170416</v>
      </c>
      <c r="T4005" s="10">
        <v>89467</v>
      </c>
      <c r="U4005" s="10">
        <v>1449</v>
      </c>
    </row>
    <row r="4006" spans="1:21" x14ac:dyDescent="0.35">
      <c r="A4006" t="s">
        <v>15</v>
      </c>
      <c r="B4006" t="s">
        <v>20</v>
      </c>
      <c r="C4006" t="s">
        <v>21</v>
      </c>
      <c r="D4006">
        <v>264394</v>
      </c>
      <c r="E4006">
        <v>28064</v>
      </c>
      <c r="F4006">
        <v>58431</v>
      </c>
      <c r="G4006">
        <v>-250384</v>
      </c>
      <c r="H4006">
        <v>100505</v>
      </c>
      <c r="I4006">
        <v>93503</v>
      </c>
      <c r="J4006">
        <v>2715</v>
      </c>
      <c r="K4006">
        <v>1045010</v>
      </c>
      <c r="L4006">
        <v>428241</v>
      </c>
      <c r="M4006">
        <v>-259134</v>
      </c>
      <c r="N4006">
        <v>149311</v>
      </c>
      <c r="O4006" t="s">
        <v>4024</v>
      </c>
      <c r="P4006" s="9">
        <v>308776</v>
      </c>
      <c r="Q4006" s="9">
        <v>49510</v>
      </c>
      <c r="R4006" s="9">
        <v>358286</v>
      </c>
      <c r="S4006" s="9">
        <v>-107788</v>
      </c>
      <c r="T4006" s="10">
        <v>118905</v>
      </c>
      <c r="U4006" s="10">
        <v>3381</v>
      </c>
    </row>
    <row r="4007" spans="1:21" x14ac:dyDescent="0.35">
      <c r="A4007" t="s">
        <v>15</v>
      </c>
      <c r="B4007" t="s">
        <v>16</v>
      </c>
      <c r="C4007" t="s">
        <v>21</v>
      </c>
      <c r="D4007">
        <v>235302</v>
      </c>
      <c r="E4007">
        <v>25113</v>
      </c>
      <c r="F4007">
        <v>43024</v>
      </c>
      <c r="G4007">
        <v>-190987</v>
      </c>
      <c r="H4007">
        <v>112452</v>
      </c>
      <c r="I4007">
        <v>114817</v>
      </c>
      <c r="J4007">
        <v>1289</v>
      </c>
      <c r="K4007">
        <v>696195</v>
      </c>
      <c r="L4007">
        <v>136827</v>
      </c>
      <c r="M4007">
        <v>-218053</v>
      </c>
      <c r="N4007">
        <v>165743</v>
      </c>
      <c r="O4007" t="s">
        <v>4025</v>
      </c>
      <c r="P4007" s="9">
        <v>234561</v>
      </c>
      <c r="Q4007" s="9">
        <v>13846</v>
      </c>
      <c r="R4007" s="9">
        <v>248407</v>
      </c>
      <c r="S4007" s="9">
        <v>-53288</v>
      </c>
      <c r="T4007" s="10">
        <v>64215</v>
      </c>
      <c r="U4007" s="10">
        <v>1035</v>
      </c>
    </row>
    <row r="4008" spans="1:21" x14ac:dyDescent="0.35">
      <c r="A4008" t="s">
        <v>15</v>
      </c>
      <c r="B4008" t="s">
        <v>20</v>
      </c>
      <c r="C4008" t="s">
        <v>21</v>
      </c>
      <c r="D4008">
        <v>164485</v>
      </c>
      <c r="E4008">
        <v>31170</v>
      </c>
      <c r="F4008">
        <v>35708</v>
      </c>
      <c r="G4008">
        <v>-143238</v>
      </c>
      <c r="H4008">
        <v>88125</v>
      </c>
      <c r="I4008">
        <v>83623</v>
      </c>
      <c r="J4008">
        <v>2257</v>
      </c>
      <c r="K4008">
        <v>347808</v>
      </c>
      <c r="L4008">
        <v>150922</v>
      </c>
      <c r="M4008">
        <v>-72861</v>
      </c>
      <c r="N4008">
        <v>115573</v>
      </c>
      <c r="O4008" t="s">
        <v>4026</v>
      </c>
      <c r="P4008" s="9">
        <v>252717</v>
      </c>
      <c r="Q4008" s="9">
        <v>39294</v>
      </c>
      <c r="R4008" s="9">
        <v>292011</v>
      </c>
      <c r="S4008" s="9">
        <v>-141535</v>
      </c>
      <c r="T4008" s="10">
        <v>82547</v>
      </c>
      <c r="U4008" s="10">
        <v>942</v>
      </c>
    </row>
    <row r="4009" spans="1:21" x14ac:dyDescent="0.35">
      <c r="A4009" t="s">
        <v>15</v>
      </c>
      <c r="B4009" t="s">
        <v>16</v>
      </c>
      <c r="C4009" t="s">
        <v>21</v>
      </c>
      <c r="D4009">
        <v>154925</v>
      </c>
      <c r="E4009">
        <v>19747</v>
      </c>
      <c r="F4009">
        <v>33946</v>
      </c>
      <c r="G4009">
        <v>-134351</v>
      </c>
      <c r="H4009">
        <v>74267</v>
      </c>
      <c r="I4009">
        <v>72424</v>
      </c>
      <c r="J4009">
        <v>1849</v>
      </c>
      <c r="K4009">
        <v>478881</v>
      </c>
      <c r="L4009">
        <v>59850</v>
      </c>
      <c r="M4009">
        <v>-133203</v>
      </c>
      <c r="N4009">
        <v>97598</v>
      </c>
      <c r="O4009" t="s">
        <v>4027</v>
      </c>
      <c r="P4009" s="9">
        <v>213592</v>
      </c>
      <c r="Q4009" s="9">
        <v>16523</v>
      </c>
      <c r="R4009" s="9">
        <v>230115</v>
      </c>
      <c r="S4009" s="9">
        <v>-106922</v>
      </c>
      <c r="T4009" s="10">
        <v>66712</v>
      </c>
      <c r="U4009" s="10">
        <v>1543</v>
      </c>
    </row>
    <row r="4010" spans="1:21" x14ac:dyDescent="0.35">
      <c r="A4010" t="s">
        <v>15</v>
      </c>
      <c r="B4010" t="s">
        <v>20</v>
      </c>
      <c r="C4010" t="s">
        <v>21</v>
      </c>
      <c r="D4010">
        <v>178234</v>
      </c>
      <c r="E4010">
        <v>17394</v>
      </c>
      <c r="F4010">
        <v>38992</v>
      </c>
      <c r="G4010">
        <v>-158304</v>
      </c>
      <c r="H4010">
        <v>76316</v>
      </c>
      <c r="I4010">
        <v>72166</v>
      </c>
      <c r="J4010">
        <v>1859</v>
      </c>
      <c r="K4010">
        <v>399691</v>
      </c>
      <c r="L4010">
        <v>186084</v>
      </c>
      <c r="M4010">
        <v>-118320</v>
      </c>
      <c r="N4010">
        <v>75443</v>
      </c>
      <c r="O4010" t="s">
        <v>4028</v>
      </c>
      <c r="P4010" s="9">
        <v>308523</v>
      </c>
      <c r="Q4010" s="9">
        <v>33645</v>
      </c>
      <c r="R4010" s="9">
        <v>342168</v>
      </c>
      <c r="S4010" s="9">
        <v>-109091</v>
      </c>
      <c r="T4010" s="10">
        <v>72794</v>
      </c>
      <c r="U4010" s="10">
        <v>982</v>
      </c>
    </row>
    <row r="4011" spans="1:21" x14ac:dyDescent="0.35">
      <c r="A4011" t="s">
        <v>15</v>
      </c>
      <c r="B4011" t="s">
        <v>16</v>
      </c>
      <c r="C4011" t="s">
        <v>21</v>
      </c>
      <c r="D4011">
        <v>252039</v>
      </c>
      <c r="E4011">
        <v>40673</v>
      </c>
      <c r="F4011">
        <v>40028</v>
      </c>
      <c r="G4011">
        <v>-240545</v>
      </c>
      <c r="H4011">
        <v>92195</v>
      </c>
      <c r="I4011">
        <v>89354</v>
      </c>
      <c r="J4011">
        <v>2041</v>
      </c>
      <c r="K4011">
        <v>888928</v>
      </c>
      <c r="L4011">
        <v>333226</v>
      </c>
      <c r="M4011">
        <v>-133966</v>
      </c>
      <c r="N4011">
        <v>82197</v>
      </c>
      <c r="O4011" t="s">
        <v>4029</v>
      </c>
      <c r="P4011" s="9">
        <v>164308</v>
      </c>
      <c r="Q4011" s="9">
        <v>24041</v>
      </c>
      <c r="R4011" s="9">
        <v>188349</v>
      </c>
      <c r="S4011" s="9">
        <v>-69666</v>
      </c>
      <c r="T4011" s="10">
        <v>84014</v>
      </c>
      <c r="U4011" s="10">
        <v>1253</v>
      </c>
    </row>
    <row r="4012" spans="1:21" x14ac:dyDescent="0.35">
      <c r="A4012" t="s">
        <v>15</v>
      </c>
      <c r="B4012" t="s">
        <v>16</v>
      </c>
      <c r="C4012" t="s">
        <v>17</v>
      </c>
      <c r="D4012">
        <v>223048</v>
      </c>
      <c r="E4012">
        <v>21753</v>
      </c>
      <c r="F4012">
        <v>48966</v>
      </c>
      <c r="G4012">
        <v>-207605</v>
      </c>
      <c r="H4012">
        <v>86162</v>
      </c>
      <c r="I4012">
        <v>79117</v>
      </c>
      <c r="J4012">
        <v>1738</v>
      </c>
      <c r="K4012">
        <v>800317</v>
      </c>
      <c r="L4012">
        <v>273500</v>
      </c>
      <c r="M4012">
        <v>-92188</v>
      </c>
      <c r="N4012">
        <v>167076</v>
      </c>
      <c r="O4012" t="s">
        <v>4030</v>
      </c>
      <c r="P4012" s="9">
        <v>160532</v>
      </c>
      <c r="Q4012" s="9">
        <v>16744</v>
      </c>
      <c r="R4012" s="9">
        <v>177276</v>
      </c>
      <c r="S4012" s="9">
        <v>-88251</v>
      </c>
      <c r="T4012" s="10">
        <v>63591</v>
      </c>
      <c r="U4012" s="10">
        <v>1173</v>
      </c>
    </row>
    <row r="4013" spans="1:21" x14ac:dyDescent="0.35">
      <c r="A4013" t="s">
        <v>15</v>
      </c>
      <c r="B4013" t="s">
        <v>16</v>
      </c>
      <c r="C4013" t="s">
        <v>21</v>
      </c>
      <c r="D4013">
        <v>168607</v>
      </c>
      <c r="E4013">
        <v>16043</v>
      </c>
      <c r="F4013">
        <v>37613</v>
      </c>
      <c r="G4013">
        <v>-155458</v>
      </c>
      <c r="H4013">
        <v>66805</v>
      </c>
      <c r="I4013">
        <v>63970</v>
      </c>
      <c r="J4013">
        <v>688</v>
      </c>
      <c r="K4013">
        <v>359989</v>
      </c>
      <c r="L4013">
        <v>171382</v>
      </c>
      <c r="M4013">
        <v>-132421</v>
      </c>
      <c r="N4013">
        <v>92613</v>
      </c>
      <c r="O4013" t="s">
        <v>4031</v>
      </c>
      <c r="P4013" s="9">
        <v>171965</v>
      </c>
      <c r="Q4013" s="9">
        <v>26444</v>
      </c>
      <c r="R4013" s="9">
        <v>198409</v>
      </c>
      <c r="S4013" s="9">
        <v>-108349</v>
      </c>
      <c r="T4013" s="10">
        <v>69416</v>
      </c>
      <c r="U4013" s="10">
        <v>1031</v>
      </c>
    </row>
    <row r="4014" spans="1:21" x14ac:dyDescent="0.35">
      <c r="A4014" t="s">
        <v>15</v>
      </c>
      <c r="B4014" t="s">
        <v>20</v>
      </c>
      <c r="C4014" t="s">
        <v>21</v>
      </c>
      <c r="D4014">
        <v>167045</v>
      </c>
      <c r="E4014">
        <v>17859</v>
      </c>
      <c r="F4014">
        <v>35086</v>
      </c>
      <c r="G4014">
        <v>-164108</v>
      </c>
      <c r="H4014">
        <v>55882</v>
      </c>
      <c r="I4014">
        <v>58338</v>
      </c>
      <c r="J4014">
        <v>689</v>
      </c>
      <c r="K4014">
        <v>363210</v>
      </c>
      <c r="L4014">
        <v>94006</v>
      </c>
      <c r="M4014">
        <v>-134573</v>
      </c>
      <c r="N4014">
        <v>110540</v>
      </c>
      <c r="O4014" t="s">
        <v>4032</v>
      </c>
      <c r="P4014" s="9">
        <v>247209</v>
      </c>
      <c r="Q4014" s="9">
        <v>28343</v>
      </c>
      <c r="R4014" s="9">
        <v>275552</v>
      </c>
      <c r="S4014" s="9">
        <v>-136659</v>
      </c>
      <c r="T4014" s="10">
        <v>133068</v>
      </c>
      <c r="U4014" s="10">
        <v>2112</v>
      </c>
    </row>
    <row r="4015" spans="1:21" x14ac:dyDescent="0.35">
      <c r="A4015" t="s">
        <v>15</v>
      </c>
      <c r="B4015" t="s">
        <v>20</v>
      </c>
      <c r="C4015" t="s">
        <v>21</v>
      </c>
      <c r="D4015">
        <v>292306</v>
      </c>
      <c r="E4015">
        <v>30468</v>
      </c>
      <c r="F4015">
        <v>71219</v>
      </c>
      <c r="G4015">
        <v>-242254</v>
      </c>
      <c r="H4015">
        <v>151739</v>
      </c>
      <c r="I4015">
        <v>139976</v>
      </c>
      <c r="J4015">
        <v>3045</v>
      </c>
      <c r="K4015">
        <v>763062</v>
      </c>
      <c r="L4015">
        <v>183853</v>
      </c>
      <c r="M4015">
        <v>-230022</v>
      </c>
      <c r="N4015">
        <v>199046</v>
      </c>
      <c r="O4015" t="s">
        <v>4033</v>
      </c>
      <c r="P4015" s="9">
        <v>207547</v>
      </c>
      <c r="Q4015" s="9">
        <v>34775</v>
      </c>
      <c r="R4015" s="9">
        <v>242322</v>
      </c>
      <c r="S4015" s="9">
        <v>-128470</v>
      </c>
      <c r="T4015" s="10">
        <v>83034</v>
      </c>
      <c r="U4015" s="10">
        <v>1983</v>
      </c>
    </row>
    <row r="4016" spans="1:21" x14ac:dyDescent="0.35">
      <c r="A4016" t="s">
        <v>15</v>
      </c>
      <c r="B4016" t="s">
        <v>20</v>
      </c>
      <c r="C4016" t="s">
        <v>21</v>
      </c>
      <c r="D4016">
        <v>159277</v>
      </c>
      <c r="E4016">
        <v>9304</v>
      </c>
      <c r="F4016">
        <v>23555</v>
      </c>
      <c r="G4016">
        <v>-155849</v>
      </c>
      <c r="H4016">
        <v>36287</v>
      </c>
      <c r="I4016">
        <v>37028</v>
      </c>
      <c r="J4016">
        <v>733</v>
      </c>
      <c r="K4016">
        <v>374023</v>
      </c>
      <c r="L4016">
        <v>131447</v>
      </c>
      <c r="M4016">
        <v>-91270</v>
      </c>
      <c r="N4016">
        <v>130425</v>
      </c>
      <c r="O4016" t="s">
        <v>4034</v>
      </c>
      <c r="P4016" s="9">
        <v>256646</v>
      </c>
      <c r="Q4016" s="9">
        <v>50910</v>
      </c>
      <c r="R4016" s="9">
        <v>307556</v>
      </c>
      <c r="S4016" s="9">
        <v>-118172</v>
      </c>
      <c r="T4016" s="10">
        <v>109440</v>
      </c>
      <c r="U4016" s="10">
        <v>1949</v>
      </c>
    </row>
    <row r="4017" spans="1:21" x14ac:dyDescent="0.35">
      <c r="A4017" t="s">
        <v>15</v>
      </c>
      <c r="B4017" t="s">
        <v>16</v>
      </c>
      <c r="C4017" t="s">
        <v>21</v>
      </c>
      <c r="D4017">
        <v>193552</v>
      </c>
      <c r="E4017">
        <v>18004</v>
      </c>
      <c r="F4017">
        <v>40717</v>
      </c>
      <c r="G4017">
        <v>-156097</v>
      </c>
      <c r="H4017">
        <v>96176</v>
      </c>
      <c r="I4017">
        <v>97287</v>
      </c>
      <c r="J4017">
        <v>1360</v>
      </c>
      <c r="K4017">
        <v>582636</v>
      </c>
      <c r="L4017">
        <v>206142</v>
      </c>
      <c r="M4017">
        <v>-172450</v>
      </c>
      <c r="N4017">
        <v>65209</v>
      </c>
      <c r="O4017" t="s">
        <v>4035</v>
      </c>
      <c r="P4017" s="9">
        <v>183307</v>
      </c>
      <c r="Q4017" s="9">
        <v>17596</v>
      </c>
      <c r="R4017" s="9">
        <v>200903</v>
      </c>
      <c r="S4017" s="9">
        <v>-91255</v>
      </c>
      <c r="T4017" s="10">
        <v>39585</v>
      </c>
      <c r="U4017" s="10">
        <v>678</v>
      </c>
    </row>
    <row r="4018" spans="1:21" x14ac:dyDescent="0.35">
      <c r="A4018" t="s">
        <v>15</v>
      </c>
      <c r="B4018" t="s">
        <v>20</v>
      </c>
      <c r="C4018" t="s">
        <v>21</v>
      </c>
      <c r="D4018">
        <v>297518</v>
      </c>
      <c r="E4018">
        <v>24009</v>
      </c>
      <c r="F4018">
        <v>32860</v>
      </c>
      <c r="G4018">
        <v>-270176</v>
      </c>
      <c r="H4018">
        <v>84211</v>
      </c>
      <c r="I4018">
        <v>85073</v>
      </c>
      <c r="J4018">
        <v>2117</v>
      </c>
      <c r="K4018">
        <v>634705</v>
      </c>
      <c r="L4018">
        <v>294807</v>
      </c>
      <c r="M4018">
        <v>-151199</v>
      </c>
      <c r="N4018">
        <v>132936</v>
      </c>
      <c r="O4018" t="s">
        <v>4036</v>
      </c>
      <c r="P4018" s="9">
        <v>271310</v>
      </c>
      <c r="Q4018" s="9">
        <v>29221</v>
      </c>
      <c r="R4018" s="9">
        <v>300531</v>
      </c>
      <c r="S4018" s="9">
        <v>-137207</v>
      </c>
      <c r="T4018" s="10">
        <v>77600</v>
      </c>
      <c r="U4018" s="10">
        <v>797</v>
      </c>
    </row>
    <row r="4019" spans="1:21" x14ac:dyDescent="0.35">
      <c r="A4019" t="s">
        <v>15</v>
      </c>
      <c r="B4019" t="s">
        <v>16</v>
      </c>
      <c r="C4019" t="s">
        <v>21</v>
      </c>
      <c r="D4019">
        <v>185724</v>
      </c>
      <c r="E4019">
        <v>10190</v>
      </c>
      <c r="F4019">
        <v>40572</v>
      </c>
      <c r="G4019">
        <v>-172615</v>
      </c>
      <c r="H4019">
        <v>63871</v>
      </c>
      <c r="I4019">
        <v>58641</v>
      </c>
      <c r="J4019">
        <v>1438</v>
      </c>
      <c r="K4019">
        <v>702852</v>
      </c>
      <c r="L4019">
        <v>315407</v>
      </c>
      <c r="M4019">
        <v>-149868</v>
      </c>
      <c r="N4019">
        <v>148766</v>
      </c>
      <c r="O4019" t="s">
        <v>4037</v>
      </c>
      <c r="P4019" s="9">
        <v>230371</v>
      </c>
      <c r="Q4019" s="9">
        <v>43120</v>
      </c>
      <c r="R4019" s="9">
        <v>273491</v>
      </c>
      <c r="S4019" s="9">
        <v>-65432</v>
      </c>
      <c r="T4019" s="10">
        <v>91486</v>
      </c>
      <c r="U4019" s="10">
        <v>2353</v>
      </c>
    </row>
    <row r="4020" spans="1:21" x14ac:dyDescent="0.35">
      <c r="A4020" t="s">
        <v>15</v>
      </c>
      <c r="B4020" t="s">
        <v>16</v>
      </c>
      <c r="C4020" t="s">
        <v>17</v>
      </c>
      <c r="D4020">
        <v>177258</v>
      </c>
      <c r="E4020">
        <v>23682</v>
      </c>
      <c r="F4020">
        <v>29334</v>
      </c>
      <c r="G4020">
        <v>-146422</v>
      </c>
      <c r="H4020">
        <v>83852</v>
      </c>
      <c r="I4020">
        <v>84162</v>
      </c>
      <c r="J4020">
        <v>1119</v>
      </c>
      <c r="K4020">
        <v>396221</v>
      </c>
      <c r="L4020">
        <v>98192</v>
      </c>
      <c r="M4020">
        <v>-150371</v>
      </c>
      <c r="N4020">
        <v>88649</v>
      </c>
      <c r="O4020" t="s">
        <v>4038</v>
      </c>
      <c r="P4020" s="9">
        <v>191762</v>
      </c>
      <c r="Q4020" s="9">
        <v>37306</v>
      </c>
      <c r="R4020" s="9">
        <v>229068</v>
      </c>
      <c r="S4020" s="9">
        <v>-84218</v>
      </c>
      <c r="T4020" s="10">
        <v>72297</v>
      </c>
      <c r="U4020" s="10">
        <v>1115</v>
      </c>
    </row>
    <row r="4021" spans="1:21" x14ac:dyDescent="0.35">
      <c r="A4021" t="s">
        <v>15</v>
      </c>
      <c r="B4021" t="s">
        <v>20</v>
      </c>
      <c r="C4021" t="s">
        <v>17</v>
      </c>
      <c r="D4021">
        <v>154237</v>
      </c>
      <c r="E4021">
        <v>19110</v>
      </c>
      <c r="F4021">
        <v>34242</v>
      </c>
      <c r="G4021">
        <v>-146554</v>
      </c>
      <c r="H4021">
        <v>61035</v>
      </c>
      <c r="I4021">
        <v>56289</v>
      </c>
      <c r="J4021">
        <v>1238</v>
      </c>
      <c r="K4021">
        <v>569753</v>
      </c>
      <c r="L4021">
        <v>67185</v>
      </c>
      <c r="M4021">
        <v>-163122</v>
      </c>
      <c r="N4021">
        <v>101861</v>
      </c>
      <c r="O4021" t="s">
        <v>4039</v>
      </c>
      <c r="P4021" s="9">
        <v>265548</v>
      </c>
      <c r="Q4021" s="9">
        <v>19246</v>
      </c>
      <c r="R4021" s="9">
        <v>284794</v>
      </c>
      <c r="S4021" s="9">
        <v>-155984</v>
      </c>
      <c r="T4021" s="10">
        <v>146433</v>
      </c>
      <c r="U4021" s="10">
        <v>3972</v>
      </c>
    </row>
    <row r="4022" spans="1:21" x14ac:dyDescent="0.35">
      <c r="A4022" t="s">
        <v>15</v>
      </c>
      <c r="B4022" t="s">
        <v>16</v>
      </c>
      <c r="C4022" t="s">
        <v>21</v>
      </c>
      <c r="D4022">
        <v>182158</v>
      </c>
      <c r="E4022">
        <v>12553</v>
      </c>
      <c r="F4022">
        <v>43266</v>
      </c>
      <c r="G4022">
        <v>-163329</v>
      </c>
      <c r="H4022">
        <v>74648</v>
      </c>
      <c r="I4022">
        <v>74294</v>
      </c>
      <c r="J4022">
        <v>2095</v>
      </c>
      <c r="K4022">
        <v>670320</v>
      </c>
      <c r="L4022">
        <v>201703</v>
      </c>
      <c r="M4022">
        <v>-85718</v>
      </c>
      <c r="N4022">
        <v>134238</v>
      </c>
      <c r="O4022" t="s">
        <v>4040</v>
      </c>
      <c r="P4022" s="9">
        <v>262957</v>
      </c>
      <c r="Q4022" s="9">
        <v>13853</v>
      </c>
      <c r="R4022" s="9">
        <v>276810</v>
      </c>
      <c r="S4022" s="9">
        <v>-62500</v>
      </c>
      <c r="T4022" s="10">
        <v>76530</v>
      </c>
      <c r="U4022" s="10">
        <v>1282</v>
      </c>
    </row>
    <row r="4023" spans="1:21" x14ac:dyDescent="0.35">
      <c r="A4023" t="s">
        <v>15</v>
      </c>
      <c r="B4023" t="s">
        <v>16</v>
      </c>
      <c r="C4023" t="s">
        <v>17</v>
      </c>
      <c r="D4023">
        <v>214745</v>
      </c>
      <c r="E4023">
        <v>41471</v>
      </c>
      <c r="F4023">
        <v>46217</v>
      </c>
      <c r="G4023">
        <v>-185380</v>
      </c>
      <c r="H4023">
        <v>117053</v>
      </c>
      <c r="I4023">
        <v>120884</v>
      </c>
      <c r="J4023">
        <v>2900</v>
      </c>
      <c r="K4023">
        <v>851921</v>
      </c>
      <c r="L4023">
        <v>336947</v>
      </c>
      <c r="M4023">
        <v>-219903</v>
      </c>
      <c r="N4023">
        <v>182409</v>
      </c>
      <c r="O4023" t="s">
        <v>4041</v>
      </c>
      <c r="P4023" s="9">
        <v>155502</v>
      </c>
      <c r="Q4023" s="9">
        <v>8741</v>
      </c>
      <c r="R4023" s="9">
        <v>164243</v>
      </c>
      <c r="S4023" s="9">
        <v>-36769</v>
      </c>
      <c r="T4023" s="10">
        <v>44280</v>
      </c>
      <c r="U4023" s="10">
        <v>824</v>
      </c>
    </row>
    <row r="4024" spans="1:21" x14ac:dyDescent="0.35">
      <c r="A4024" t="s">
        <v>15</v>
      </c>
      <c r="B4024" t="s">
        <v>20</v>
      </c>
      <c r="C4024" t="s">
        <v>21</v>
      </c>
      <c r="D4024">
        <v>215989</v>
      </c>
      <c r="E4024">
        <v>15992</v>
      </c>
      <c r="F4024">
        <v>36425</v>
      </c>
      <c r="G4024">
        <v>-180634</v>
      </c>
      <c r="H4024">
        <v>87772</v>
      </c>
      <c r="I4024">
        <v>86080</v>
      </c>
      <c r="J4024">
        <v>1643</v>
      </c>
      <c r="K4024">
        <v>681626</v>
      </c>
      <c r="L4024">
        <v>75176</v>
      </c>
      <c r="M4024">
        <v>-92921</v>
      </c>
      <c r="N4024">
        <v>133046</v>
      </c>
      <c r="O4024" t="s">
        <v>4042</v>
      </c>
      <c r="P4024" s="9">
        <v>295792</v>
      </c>
      <c r="Q4024" s="9">
        <v>22298</v>
      </c>
      <c r="R4024" s="9">
        <v>318090</v>
      </c>
      <c r="S4024" s="9">
        <v>-128492</v>
      </c>
      <c r="T4024" s="10">
        <v>68371</v>
      </c>
      <c r="U4024" s="10">
        <v>1903</v>
      </c>
    </row>
    <row r="4025" spans="1:21" x14ac:dyDescent="0.35">
      <c r="A4025" t="s">
        <v>15</v>
      </c>
      <c r="B4025" t="s">
        <v>16</v>
      </c>
      <c r="C4025" t="s">
        <v>21</v>
      </c>
      <c r="D4025">
        <v>265967</v>
      </c>
      <c r="E4025">
        <v>43382</v>
      </c>
      <c r="F4025">
        <v>41557</v>
      </c>
      <c r="G4025">
        <v>-216784</v>
      </c>
      <c r="H4025">
        <v>134122</v>
      </c>
      <c r="I4025">
        <v>130541</v>
      </c>
      <c r="J4025">
        <v>3365</v>
      </c>
      <c r="K4025">
        <v>1051270</v>
      </c>
      <c r="L4025">
        <v>130224</v>
      </c>
      <c r="M4025">
        <v>-352066</v>
      </c>
      <c r="N4025">
        <v>232022</v>
      </c>
      <c r="O4025" t="s">
        <v>4043</v>
      </c>
      <c r="P4025" s="9">
        <v>254850</v>
      </c>
      <c r="Q4025" s="9">
        <v>25414</v>
      </c>
      <c r="R4025" s="9">
        <v>280264</v>
      </c>
      <c r="S4025" s="9">
        <v>-108018</v>
      </c>
      <c r="T4025" s="10">
        <v>55071</v>
      </c>
      <c r="U4025" s="10">
        <v>815</v>
      </c>
    </row>
    <row r="4026" spans="1:21" x14ac:dyDescent="0.35">
      <c r="A4026" t="s">
        <v>15</v>
      </c>
      <c r="B4026" t="s">
        <v>20</v>
      </c>
      <c r="C4026" t="s">
        <v>21</v>
      </c>
      <c r="D4026">
        <v>192136</v>
      </c>
      <c r="E4026">
        <v>13453</v>
      </c>
      <c r="F4026">
        <v>29206</v>
      </c>
      <c r="G4026">
        <v>-175244</v>
      </c>
      <c r="H4026">
        <v>59551</v>
      </c>
      <c r="I4026">
        <v>59781</v>
      </c>
      <c r="J4026">
        <v>1417</v>
      </c>
      <c r="K4026">
        <v>635918</v>
      </c>
      <c r="L4026">
        <v>248319</v>
      </c>
      <c r="M4026">
        <v>-242190</v>
      </c>
      <c r="N4026">
        <v>76892</v>
      </c>
      <c r="O4026" t="s">
        <v>4044</v>
      </c>
      <c r="P4026" s="9">
        <v>291894</v>
      </c>
      <c r="Q4026" s="9">
        <v>55978</v>
      </c>
      <c r="R4026" s="9">
        <v>347872</v>
      </c>
      <c r="S4026" s="9">
        <v>-127468</v>
      </c>
      <c r="T4026" s="10">
        <v>170698</v>
      </c>
      <c r="U4026" s="10">
        <v>1754</v>
      </c>
    </row>
    <row r="4027" spans="1:21" x14ac:dyDescent="0.35">
      <c r="A4027" t="s">
        <v>15</v>
      </c>
      <c r="B4027" t="s">
        <v>16</v>
      </c>
      <c r="C4027" t="s">
        <v>21</v>
      </c>
      <c r="D4027">
        <v>167978</v>
      </c>
      <c r="E4027">
        <v>10530</v>
      </c>
      <c r="F4027">
        <v>22098</v>
      </c>
      <c r="G4027">
        <v>-136755</v>
      </c>
      <c r="H4027">
        <v>63851</v>
      </c>
      <c r="I4027">
        <v>59835</v>
      </c>
      <c r="J4027">
        <v>1635</v>
      </c>
      <c r="K4027">
        <v>460084</v>
      </c>
      <c r="L4027">
        <v>203556</v>
      </c>
      <c r="M4027">
        <v>-149855</v>
      </c>
      <c r="N4027">
        <v>126990</v>
      </c>
      <c r="O4027" t="s">
        <v>4045</v>
      </c>
      <c r="P4027" s="9">
        <v>273236</v>
      </c>
      <c r="Q4027" s="9">
        <v>31808</v>
      </c>
      <c r="R4027" s="9">
        <v>305044</v>
      </c>
      <c r="S4027" s="9">
        <v>-112793</v>
      </c>
      <c r="T4027" s="10">
        <v>104486</v>
      </c>
      <c r="U4027" s="10">
        <v>1745</v>
      </c>
    </row>
    <row r="4028" spans="1:21" x14ac:dyDescent="0.35">
      <c r="A4028" t="s">
        <v>15</v>
      </c>
      <c r="B4028" t="s">
        <v>16</v>
      </c>
      <c r="C4028" t="s">
        <v>21</v>
      </c>
      <c r="D4028">
        <v>232720</v>
      </c>
      <c r="E4028">
        <v>42567</v>
      </c>
      <c r="F4028">
        <v>24894</v>
      </c>
      <c r="G4028">
        <v>-198589</v>
      </c>
      <c r="H4028">
        <v>101592</v>
      </c>
      <c r="I4028">
        <v>104530</v>
      </c>
      <c r="J4028">
        <v>2774</v>
      </c>
      <c r="K4028">
        <v>713478</v>
      </c>
      <c r="L4028">
        <v>300079</v>
      </c>
      <c r="M4028">
        <v>-111662</v>
      </c>
      <c r="N4028">
        <v>74997</v>
      </c>
      <c r="O4028" t="s">
        <v>4046</v>
      </c>
      <c r="P4028" s="9">
        <v>210977</v>
      </c>
      <c r="Q4028" s="9">
        <v>42891</v>
      </c>
      <c r="R4028" s="9">
        <v>253868</v>
      </c>
      <c r="S4028" s="9">
        <v>-70016</v>
      </c>
      <c r="T4028" s="10">
        <v>112970</v>
      </c>
      <c r="U4028" s="10">
        <v>1514</v>
      </c>
    </row>
    <row r="4029" spans="1:21" x14ac:dyDescent="0.35">
      <c r="A4029" t="s">
        <v>15</v>
      </c>
      <c r="B4029" t="s">
        <v>16</v>
      </c>
      <c r="C4029" t="s">
        <v>21</v>
      </c>
      <c r="D4029">
        <v>261496</v>
      </c>
      <c r="E4029">
        <v>22597</v>
      </c>
      <c r="F4029">
        <v>27058</v>
      </c>
      <c r="G4029">
        <v>-236250</v>
      </c>
      <c r="H4029">
        <v>74901</v>
      </c>
      <c r="I4029">
        <v>77167</v>
      </c>
      <c r="J4029">
        <v>1339</v>
      </c>
      <c r="K4029">
        <v>646987</v>
      </c>
      <c r="L4029">
        <v>68743</v>
      </c>
      <c r="M4029">
        <v>-103159</v>
      </c>
      <c r="N4029">
        <v>167125</v>
      </c>
      <c r="O4029" t="s">
        <v>4047</v>
      </c>
      <c r="P4029" s="9">
        <v>193290</v>
      </c>
      <c r="Q4029" s="9">
        <v>17590</v>
      </c>
      <c r="R4029" s="9">
        <v>210880</v>
      </c>
      <c r="S4029" s="9">
        <v>-80918</v>
      </c>
      <c r="T4029" s="10">
        <v>73693</v>
      </c>
      <c r="U4029" s="10">
        <v>1919</v>
      </c>
    </row>
    <row r="4030" spans="1:21" x14ac:dyDescent="0.35">
      <c r="A4030" t="s">
        <v>15</v>
      </c>
      <c r="B4030" t="s">
        <v>20</v>
      </c>
      <c r="C4030" t="s">
        <v>21</v>
      </c>
      <c r="D4030">
        <v>188418</v>
      </c>
      <c r="E4030">
        <v>14668</v>
      </c>
      <c r="F4030">
        <v>43362</v>
      </c>
      <c r="G4030">
        <v>-177149</v>
      </c>
      <c r="H4030">
        <v>69299</v>
      </c>
      <c r="I4030">
        <v>64444</v>
      </c>
      <c r="J4030">
        <v>1837</v>
      </c>
      <c r="K4030">
        <v>431356</v>
      </c>
      <c r="L4030">
        <v>100873</v>
      </c>
      <c r="M4030">
        <v>-48868</v>
      </c>
      <c r="N4030">
        <v>141582</v>
      </c>
      <c r="O4030" t="s">
        <v>4048</v>
      </c>
      <c r="P4030" s="9">
        <v>278813</v>
      </c>
      <c r="Q4030" s="9">
        <v>32746</v>
      </c>
      <c r="R4030" s="9">
        <v>311559</v>
      </c>
      <c r="S4030" s="9">
        <v>-66571</v>
      </c>
      <c r="T4030" s="10">
        <v>106384</v>
      </c>
      <c r="U4030" s="10">
        <v>2086</v>
      </c>
    </row>
    <row r="4031" spans="1:21" x14ac:dyDescent="0.35">
      <c r="A4031" t="s">
        <v>15</v>
      </c>
      <c r="B4031" t="s">
        <v>20</v>
      </c>
      <c r="C4031" t="s">
        <v>21</v>
      </c>
      <c r="D4031">
        <v>280529</v>
      </c>
      <c r="E4031">
        <v>26209</v>
      </c>
      <c r="F4031">
        <v>62540</v>
      </c>
      <c r="G4031">
        <v>-264280</v>
      </c>
      <c r="H4031">
        <v>104998</v>
      </c>
      <c r="I4031">
        <v>103383</v>
      </c>
      <c r="J4031">
        <v>1406</v>
      </c>
      <c r="K4031">
        <v>897797</v>
      </c>
      <c r="L4031">
        <v>409605</v>
      </c>
      <c r="M4031">
        <v>-237960</v>
      </c>
      <c r="N4031">
        <v>249795</v>
      </c>
      <c r="O4031" t="s">
        <v>4049</v>
      </c>
      <c r="P4031" s="9">
        <v>293137</v>
      </c>
      <c r="Q4031" s="9">
        <v>47817</v>
      </c>
      <c r="R4031" s="9">
        <v>340954</v>
      </c>
      <c r="S4031" s="9">
        <v>-91790</v>
      </c>
      <c r="T4031" s="10">
        <v>102007</v>
      </c>
      <c r="U4031" s="10">
        <v>2402</v>
      </c>
    </row>
    <row r="4032" spans="1:21" x14ac:dyDescent="0.35">
      <c r="A4032" t="s">
        <v>15</v>
      </c>
      <c r="B4032" t="s">
        <v>16</v>
      </c>
      <c r="C4032" t="s">
        <v>21</v>
      </c>
      <c r="D4032">
        <v>182859</v>
      </c>
      <c r="E4032">
        <v>29512</v>
      </c>
      <c r="F4032">
        <v>42423</v>
      </c>
      <c r="G4032">
        <v>-154779</v>
      </c>
      <c r="H4032">
        <v>100015</v>
      </c>
      <c r="I4032">
        <v>98365</v>
      </c>
      <c r="J4032">
        <v>2366</v>
      </c>
      <c r="K4032">
        <v>567955</v>
      </c>
      <c r="L4032">
        <v>279594</v>
      </c>
      <c r="M4032">
        <v>-210113</v>
      </c>
      <c r="N4032">
        <v>122646</v>
      </c>
      <c r="O4032" t="s">
        <v>4050</v>
      </c>
      <c r="P4032" s="9">
        <v>261507</v>
      </c>
      <c r="Q4032" s="9">
        <v>14420</v>
      </c>
      <c r="R4032" s="9">
        <v>275927</v>
      </c>
      <c r="S4032" s="9">
        <v>-81804</v>
      </c>
      <c r="T4032" s="10">
        <v>73496</v>
      </c>
      <c r="U4032" s="10">
        <v>1325</v>
      </c>
    </row>
    <row r="4033" spans="1:21" x14ac:dyDescent="0.35">
      <c r="A4033" t="s">
        <v>15</v>
      </c>
      <c r="B4033" t="s">
        <v>16</v>
      </c>
      <c r="C4033" t="s">
        <v>21</v>
      </c>
      <c r="D4033">
        <v>238417</v>
      </c>
      <c r="E4033">
        <v>47124</v>
      </c>
      <c r="F4033">
        <v>53764</v>
      </c>
      <c r="G4033">
        <v>-231163</v>
      </c>
      <c r="H4033">
        <v>108142</v>
      </c>
      <c r="I4033">
        <v>113404</v>
      </c>
      <c r="J4033">
        <v>2516</v>
      </c>
      <c r="K4033">
        <v>787293</v>
      </c>
      <c r="L4033">
        <v>109796</v>
      </c>
      <c r="M4033">
        <v>-195236</v>
      </c>
      <c r="N4033">
        <v>75208</v>
      </c>
      <c r="O4033" t="s">
        <v>4051</v>
      </c>
      <c r="P4033" s="9">
        <v>193163</v>
      </c>
      <c r="Q4033" s="9">
        <v>12807</v>
      </c>
      <c r="R4033" s="9">
        <v>205970</v>
      </c>
      <c r="S4033" s="9">
        <v>-104891</v>
      </c>
      <c r="T4033" s="10">
        <v>49831</v>
      </c>
      <c r="U4033" s="10">
        <v>1282</v>
      </c>
    </row>
    <row r="4034" spans="1:21" x14ac:dyDescent="0.35">
      <c r="A4034" t="s">
        <v>15</v>
      </c>
      <c r="B4034" t="s">
        <v>20</v>
      </c>
      <c r="C4034" t="s">
        <v>17</v>
      </c>
      <c r="D4034">
        <v>220895</v>
      </c>
      <c r="E4034">
        <v>25253</v>
      </c>
      <c r="F4034">
        <v>43867</v>
      </c>
      <c r="G4034">
        <v>-177094</v>
      </c>
      <c r="H4034">
        <v>112921</v>
      </c>
      <c r="I4034">
        <v>113245</v>
      </c>
      <c r="J4034">
        <v>3147</v>
      </c>
      <c r="K4034">
        <v>792273</v>
      </c>
      <c r="L4034">
        <v>101789</v>
      </c>
      <c r="M4034">
        <v>-119914</v>
      </c>
      <c r="N4034">
        <v>84865</v>
      </c>
      <c r="O4034" t="s">
        <v>4052</v>
      </c>
      <c r="P4034" s="9">
        <v>196060</v>
      </c>
      <c r="Q4034" s="9">
        <v>20968</v>
      </c>
      <c r="R4034" s="9">
        <v>217028</v>
      </c>
      <c r="S4034" s="9">
        <v>-85927</v>
      </c>
      <c r="T4034" s="10">
        <v>70506</v>
      </c>
      <c r="U4034" s="10">
        <v>1237</v>
      </c>
    </row>
    <row r="4035" spans="1:21" x14ac:dyDescent="0.35">
      <c r="A4035" t="s">
        <v>15</v>
      </c>
      <c r="B4035" t="s">
        <v>16</v>
      </c>
      <c r="C4035" t="s">
        <v>21</v>
      </c>
      <c r="D4035">
        <v>217599</v>
      </c>
      <c r="E4035">
        <v>35263</v>
      </c>
      <c r="F4035">
        <v>45800</v>
      </c>
      <c r="G4035">
        <v>-214276</v>
      </c>
      <c r="H4035">
        <v>84386</v>
      </c>
      <c r="I4035">
        <v>79399</v>
      </c>
      <c r="J4035">
        <v>2056</v>
      </c>
      <c r="K4035">
        <v>698631</v>
      </c>
      <c r="L4035">
        <v>172985</v>
      </c>
      <c r="M4035">
        <v>-130770</v>
      </c>
      <c r="N4035">
        <v>160852</v>
      </c>
      <c r="O4035" t="s">
        <v>4053</v>
      </c>
      <c r="P4035" s="9">
        <v>219180</v>
      </c>
      <c r="Q4035" s="9">
        <v>48370</v>
      </c>
      <c r="R4035" s="9">
        <v>267550</v>
      </c>
      <c r="S4035" s="9">
        <v>-75785</v>
      </c>
      <c r="T4035" s="10">
        <v>110355</v>
      </c>
      <c r="U4035" s="10">
        <v>2674</v>
      </c>
    </row>
    <row r="4036" spans="1:21" x14ac:dyDescent="0.35">
      <c r="A4036" t="s">
        <v>15</v>
      </c>
      <c r="B4036" t="s">
        <v>20</v>
      </c>
      <c r="C4036" t="s">
        <v>21</v>
      </c>
      <c r="D4036">
        <v>228399</v>
      </c>
      <c r="E4036">
        <v>24214</v>
      </c>
      <c r="F4036">
        <v>38849</v>
      </c>
      <c r="G4036">
        <v>-192552</v>
      </c>
      <c r="H4036">
        <v>98910</v>
      </c>
      <c r="I4036">
        <v>96224</v>
      </c>
      <c r="J4036">
        <v>2341</v>
      </c>
      <c r="K4036">
        <v>788900</v>
      </c>
      <c r="L4036">
        <v>278615</v>
      </c>
      <c r="M4036">
        <v>-264202</v>
      </c>
      <c r="N4036">
        <v>91912</v>
      </c>
      <c r="O4036" t="s">
        <v>4054</v>
      </c>
      <c r="P4036" s="9">
        <v>238366</v>
      </c>
      <c r="Q4036" s="9">
        <v>29644</v>
      </c>
      <c r="R4036" s="9">
        <v>268010</v>
      </c>
      <c r="S4036" s="9">
        <v>-126246</v>
      </c>
      <c r="T4036" s="10">
        <v>102044</v>
      </c>
      <c r="U4036" s="10">
        <v>1594</v>
      </c>
    </row>
    <row r="4037" spans="1:21" x14ac:dyDescent="0.35">
      <c r="A4037" t="s">
        <v>15</v>
      </c>
      <c r="B4037" t="s">
        <v>16</v>
      </c>
      <c r="C4037" t="s">
        <v>21</v>
      </c>
      <c r="D4037">
        <v>282226</v>
      </c>
      <c r="E4037">
        <v>54134</v>
      </c>
      <c r="F4037">
        <v>56006</v>
      </c>
      <c r="G4037">
        <v>-231861</v>
      </c>
      <c r="H4037">
        <v>160505</v>
      </c>
      <c r="I4037">
        <v>159622</v>
      </c>
      <c r="J4037">
        <v>3240</v>
      </c>
      <c r="K4037">
        <v>836348</v>
      </c>
      <c r="L4037">
        <v>121589</v>
      </c>
      <c r="M4037">
        <v>-235255</v>
      </c>
      <c r="N4037">
        <v>139090</v>
      </c>
      <c r="O4037" t="s">
        <v>4055</v>
      </c>
      <c r="P4037" s="9">
        <v>239969</v>
      </c>
      <c r="Q4037" s="9">
        <v>33035</v>
      </c>
      <c r="R4037" s="9">
        <v>273004</v>
      </c>
      <c r="S4037" s="9">
        <v>-150994</v>
      </c>
      <c r="T4037" s="10">
        <v>94411</v>
      </c>
      <c r="U4037" s="10">
        <v>1226</v>
      </c>
    </row>
    <row r="4038" spans="1:21" x14ac:dyDescent="0.35">
      <c r="A4038" t="s">
        <v>15</v>
      </c>
      <c r="B4038" t="s">
        <v>16</v>
      </c>
      <c r="C4038" t="s">
        <v>21</v>
      </c>
      <c r="D4038">
        <v>183873</v>
      </c>
      <c r="E4038">
        <v>30732</v>
      </c>
      <c r="F4038">
        <v>20840</v>
      </c>
      <c r="G4038">
        <v>-178840</v>
      </c>
      <c r="H4038">
        <v>56605</v>
      </c>
      <c r="I4038">
        <v>53382</v>
      </c>
      <c r="J4038">
        <v>773</v>
      </c>
      <c r="K4038">
        <v>731534</v>
      </c>
      <c r="L4038">
        <v>132471</v>
      </c>
      <c r="M4038">
        <v>-224357</v>
      </c>
      <c r="N4038">
        <v>143809</v>
      </c>
      <c r="O4038" t="s">
        <v>4056</v>
      </c>
      <c r="P4038" s="9">
        <v>158986</v>
      </c>
      <c r="Q4038" s="9">
        <v>9120</v>
      </c>
      <c r="R4038" s="9">
        <v>168106</v>
      </c>
      <c r="S4038" s="9">
        <v>-38277</v>
      </c>
      <c r="T4038" s="10">
        <v>35481</v>
      </c>
      <c r="U4038" s="10">
        <v>915</v>
      </c>
    </row>
    <row r="4039" spans="1:21" x14ac:dyDescent="0.35">
      <c r="A4039" t="s">
        <v>15</v>
      </c>
      <c r="B4039" t="s">
        <v>16</v>
      </c>
      <c r="C4039" t="s">
        <v>21</v>
      </c>
      <c r="D4039">
        <v>247366</v>
      </c>
      <c r="E4039">
        <v>42925</v>
      </c>
      <c r="F4039">
        <v>52613</v>
      </c>
      <c r="G4039">
        <v>-199624</v>
      </c>
      <c r="H4039">
        <v>143280</v>
      </c>
      <c r="I4039">
        <v>148247</v>
      </c>
      <c r="J4039">
        <v>2455</v>
      </c>
      <c r="K4039">
        <v>849612</v>
      </c>
      <c r="L4039">
        <v>262467</v>
      </c>
      <c r="M4039">
        <v>-188104</v>
      </c>
      <c r="N4039">
        <v>172704</v>
      </c>
      <c r="O4039" t="s">
        <v>4057</v>
      </c>
      <c r="P4039" s="9">
        <v>161797</v>
      </c>
      <c r="Q4039" s="9">
        <v>23553</v>
      </c>
      <c r="R4039" s="9">
        <v>185350</v>
      </c>
      <c r="S4039" s="9">
        <v>-39497</v>
      </c>
      <c r="T4039" s="10">
        <v>71489</v>
      </c>
      <c r="U4039" s="10">
        <v>1880</v>
      </c>
    </row>
    <row r="4040" spans="1:21" x14ac:dyDescent="0.35">
      <c r="A4040" t="s">
        <v>15</v>
      </c>
      <c r="B4040" t="s">
        <v>20</v>
      </c>
      <c r="C4040" t="s">
        <v>21</v>
      </c>
      <c r="D4040">
        <v>194249</v>
      </c>
      <c r="E4040">
        <v>18740</v>
      </c>
      <c r="F4040">
        <v>47421</v>
      </c>
      <c r="G4040">
        <v>-162902</v>
      </c>
      <c r="H4040">
        <v>97508</v>
      </c>
      <c r="I4040">
        <v>100009</v>
      </c>
      <c r="J4040">
        <v>2012</v>
      </c>
      <c r="K4040">
        <v>678679</v>
      </c>
      <c r="L4040">
        <v>167585</v>
      </c>
      <c r="M4040">
        <v>-217641</v>
      </c>
      <c r="N4040">
        <v>68015</v>
      </c>
      <c r="O4040" t="s">
        <v>4058</v>
      </c>
      <c r="P4040" s="9">
        <v>255756</v>
      </c>
      <c r="Q4040" s="9">
        <v>30411</v>
      </c>
      <c r="R4040" s="9">
        <v>286167</v>
      </c>
      <c r="S4040" s="9">
        <v>-117682</v>
      </c>
      <c r="T4040" s="10">
        <v>117293</v>
      </c>
      <c r="U4040" s="10">
        <v>1798</v>
      </c>
    </row>
    <row r="4041" spans="1:21" x14ac:dyDescent="0.35">
      <c r="A4041" t="s">
        <v>15</v>
      </c>
      <c r="B4041" t="s">
        <v>20</v>
      </c>
      <c r="C4041" t="s">
        <v>21</v>
      </c>
      <c r="D4041">
        <v>215862</v>
      </c>
      <c r="E4041">
        <v>27401</v>
      </c>
      <c r="F4041">
        <v>50448</v>
      </c>
      <c r="G4041">
        <v>-198625</v>
      </c>
      <c r="H4041">
        <v>95086</v>
      </c>
      <c r="I4041">
        <v>88971</v>
      </c>
      <c r="J4041">
        <v>1262</v>
      </c>
      <c r="K4041">
        <v>833178</v>
      </c>
      <c r="L4041">
        <v>118008</v>
      </c>
      <c r="M4041">
        <v>-162303</v>
      </c>
      <c r="N4041">
        <v>189471</v>
      </c>
      <c r="O4041" t="s">
        <v>4059</v>
      </c>
      <c r="P4041" s="9">
        <v>197524</v>
      </c>
      <c r="Q4041" s="9">
        <v>32781</v>
      </c>
      <c r="R4041" s="9">
        <v>230305</v>
      </c>
      <c r="S4041" s="9">
        <v>-132410</v>
      </c>
      <c r="T4041" s="10">
        <v>88532</v>
      </c>
      <c r="U4041" s="10">
        <v>1830</v>
      </c>
    </row>
    <row r="4042" spans="1:21" x14ac:dyDescent="0.35">
      <c r="A4042" t="s">
        <v>15</v>
      </c>
      <c r="B4042" t="s">
        <v>16</v>
      </c>
      <c r="C4042" t="s">
        <v>21</v>
      </c>
      <c r="D4042">
        <v>166511</v>
      </c>
      <c r="E4042">
        <v>15734</v>
      </c>
      <c r="F4042">
        <v>17452</v>
      </c>
      <c r="G4042">
        <v>-164013</v>
      </c>
      <c r="H4042">
        <v>35684</v>
      </c>
      <c r="I4042">
        <v>34527</v>
      </c>
      <c r="J4042">
        <v>438</v>
      </c>
      <c r="K4042">
        <v>344247</v>
      </c>
      <c r="L4042">
        <v>150315</v>
      </c>
      <c r="M4042">
        <v>-47653</v>
      </c>
      <c r="N4042">
        <v>102507</v>
      </c>
      <c r="O4042" t="s">
        <v>4060</v>
      </c>
      <c r="P4042" s="9">
        <v>165051</v>
      </c>
      <c r="Q4042" s="9">
        <v>28781</v>
      </c>
      <c r="R4042" s="9">
        <v>193832</v>
      </c>
      <c r="S4042" s="9">
        <v>-111177</v>
      </c>
      <c r="T4042" s="10">
        <v>62080</v>
      </c>
      <c r="U4042" s="10">
        <v>817</v>
      </c>
    </row>
    <row r="4043" spans="1:21" x14ac:dyDescent="0.35">
      <c r="A4043" t="s">
        <v>15</v>
      </c>
      <c r="B4043" t="s">
        <v>16</v>
      </c>
      <c r="C4043" t="s">
        <v>21</v>
      </c>
      <c r="D4043">
        <v>296225</v>
      </c>
      <c r="E4043">
        <v>47215</v>
      </c>
      <c r="F4043">
        <v>60896</v>
      </c>
      <c r="G4043">
        <v>-272042</v>
      </c>
      <c r="H4043">
        <v>132294</v>
      </c>
      <c r="I4043">
        <v>136047</v>
      </c>
      <c r="J4043">
        <v>1934</v>
      </c>
      <c r="K4043">
        <v>698485</v>
      </c>
      <c r="L4043">
        <v>214070</v>
      </c>
      <c r="M4043">
        <v>-128552</v>
      </c>
      <c r="N4043">
        <v>183014</v>
      </c>
      <c r="O4043" t="s">
        <v>4061</v>
      </c>
      <c r="P4043" s="9">
        <v>265189</v>
      </c>
      <c r="Q4043" s="9">
        <v>23282</v>
      </c>
      <c r="R4043" s="9">
        <v>288471</v>
      </c>
      <c r="S4043" s="9">
        <v>-172237</v>
      </c>
      <c r="T4043" s="10">
        <v>123820</v>
      </c>
      <c r="U4043" s="10">
        <v>1635</v>
      </c>
    </row>
    <row r="4044" spans="1:21" x14ac:dyDescent="0.35">
      <c r="A4044" t="s">
        <v>15</v>
      </c>
      <c r="B4044" t="s">
        <v>20</v>
      </c>
      <c r="C4044" t="s">
        <v>21</v>
      </c>
      <c r="D4044">
        <v>223736</v>
      </c>
      <c r="E4044">
        <v>13266</v>
      </c>
      <c r="F4044">
        <v>51755</v>
      </c>
      <c r="G4044">
        <v>-215668</v>
      </c>
      <c r="H4044">
        <v>73089</v>
      </c>
      <c r="I4044">
        <v>68966</v>
      </c>
      <c r="J4044">
        <v>1451</v>
      </c>
      <c r="K4044">
        <v>506392</v>
      </c>
      <c r="L4044">
        <v>91409</v>
      </c>
      <c r="M4044">
        <v>-200818</v>
      </c>
      <c r="N4044">
        <v>140416</v>
      </c>
      <c r="O4044" t="s">
        <v>4062</v>
      </c>
      <c r="P4044" s="9">
        <v>285633</v>
      </c>
      <c r="Q4044" s="9">
        <v>29664</v>
      </c>
      <c r="R4044" s="9">
        <v>315297</v>
      </c>
      <c r="S4044" s="9">
        <v>-178858</v>
      </c>
      <c r="T4044" s="10">
        <v>92781</v>
      </c>
      <c r="U4044" s="10">
        <v>1973</v>
      </c>
    </row>
    <row r="4045" spans="1:21" x14ac:dyDescent="0.35">
      <c r="A4045" t="s">
        <v>15</v>
      </c>
      <c r="B4045" t="s">
        <v>16</v>
      </c>
      <c r="C4045" t="s">
        <v>21</v>
      </c>
      <c r="D4045">
        <v>175210</v>
      </c>
      <c r="E4045">
        <v>9294</v>
      </c>
      <c r="F4045">
        <v>36059</v>
      </c>
      <c r="G4045">
        <v>-154403</v>
      </c>
      <c r="H4045">
        <v>66160</v>
      </c>
      <c r="I4045">
        <v>59843</v>
      </c>
      <c r="J4045">
        <v>1728</v>
      </c>
      <c r="K4045">
        <v>415299</v>
      </c>
      <c r="L4045">
        <v>185943</v>
      </c>
      <c r="M4045">
        <v>-165827</v>
      </c>
      <c r="N4045">
        <v>69887</v>
      </c>
      <c r="O4045" t="s">
        <v>4063</v>
      </c>
      <c r="P4045" s="9">
        <v>246162</v>
      </c>
      <c r="Q4045" s="9">
        <v>15898</v>
      </c>
      <c r="R4045" s="9">
        <v>262060</v>
      </c>
      <c r="S4045" s="9">
        <v>-134556</v>
      </c>
      <c r="T4045" s="10">
        <v>78463</v>
      </c>
      <c r="U4045" s="10">
        <v>1488</v>
      </c>
    </row>
    <row r="4046" spans="1:21" x14ac:dyDescent="0.35">
      <c r="A4046" t="s">
        <v>15</v>
      </c>
      <c r="B4046" t="s">
        <v>20</v>
      </c>
      <c r="C4046" t="s">
        <v>17</v>
      </c>
      <c r="D4046">
        <v>166833</v>
      </c>
      <c r="E4046">
        <v>30740</v>
      </c>
      <c r="F4046">
        <v>20907</v>
      </c>
      <c r="G4046">
        <v>-158726</v>
      </c>
      <c r="H4046">
        <v>59754</v>
      </c>
      <c r="I4046">
        <v>57831</v>
      </c>
      <c r="J4046">
        <v>1582</v>
      </c>
      <c r="K4046">
        <v>449079</v>
      </c>
      <c r="L4046">
        <v>134006</v>
      </c>
      <c r="M4046">
        <v>-160988</v>
      </c>
      <c r="N4046">
        <v>142894</v>
      </c>
      <c r="O4046" t="s">
        <v>4064</v>
      </c>
      <c r="P4046" s="9">
        <v>224105</v>
      </c>
      <c r="Q4046" s="9">
        <v>42735</v>
      </c>
      <c r="R4046" s="9">
        <v>266840</v>
      </c>
      <c r="S4046" s="9">
        <v>-89146</v>
      </c>
      <c r="T4046" s="10">
        <v>114214</v>
      </c>
      <c r="U4046" s="10">
        <v>2180</v>
      </c>
    </row>
    <row r="4047" spans="1:21" x14ac:dyDescent="0.35">
      <c r="A4047" t="s">
        <v>15</v>
      </c>
      <c r="B4047" t="s">
        <v>16</v>
      </c>
      <c r="C4047" t="s">
        <v>21</v>
      </c>
      <c r="D4047">
        <v>156587</v>
      </c>
      <c r="E4047">
        <v>14597</v>
      </c>
      <c r="F4047">
        <v>38063</v>
      </c>
      <c r="G4047">
        <v>-134043</v>
      </c>
      <c r="H4047">
        <v>75204</v>
      </c>
      <c r="I4047">
        <v>72239</v>
      </c>
      <c r="J4047">
        <v>2018</v>
      </c>
      <c r="K4047">
        <v>365111</v>
      </c>
      <c r="L4047">
        <v>99856</v>
      </c>
      <c r="M4047">
        <v>-142106</v>
      </c>
      <c r="N4047">
        <v>111744</v>
      </c>
      <c r="O4047" t="s">
        <v>4065</v>
      </c>
      <c r="P4047" s="9">
        <v>215964</v>
      </c>
      <c r="Q4047" s="9">
        <v>22799</v>
      </c>
      <c r="R4047" s="9">
        <v>238763</v>
      </c>
      <c r="S4047" s="9">
        <v>-54322</v>
      </c>
      <c r="T4047" s="10">
        <v>99637</v>
      </c>
      <c r="U4047" s="10">
        <v>2043</v>
      </c>
    </row>
    <row r="4048" spans="1:21" x14ac:dyDescent="0.35">
      <c r="A4048" t="s">
        <v>15</v>
      </c>
      <c r="B4048" t="s">
        <v>20</v>
      </c>
      <c r="C4048" t="s">
        <v>17</v>
      </c>
      <c r="D4048">
        <v>171588</v>
      </c>
      <c r="E4048">
        <v>13520</v>
      </c>
      <c r="F4048">
        <v>24854</v>
      </c>
      <c r="G4048">
        <v>-150777</v>
      </c>
      <c r="H4048">
        <v>59185</v>
      </c>
      <c r="I4048">
        <v>58970</v>
      </c>
      <c r="J4048">
        <v>1534</v>
      </c>
      <c r="K4048">
        <v>369487</v>
      </c>
      <c r="L4048">
        <v>136552</v>
      </c>
      <c r="M4048">
        <v>-117336</v>
      </c>
      <c r="N4048">
        <v>75858</v>
      </c>
      <c r="O4048" t="s">
        <v>4066</v>
      </c>
      <c r="P4048" s="9">
        <v>189126</v>
      </c>
      <c r="Q4048" s="9">
        <v>41101</v>
      </c>
      <c r="R4048" s="9">
        <v>230227</v>
      </c>
      <c r="S4048" s="9">
        <v>-119707</v>
      </c>
      <c r="T4048" s="10">
        <v>87215</v>
      </c>
      <c r="U4048" s="10">
        <v>1220</v>
      </c>
    </row>
    <row r="4049" spans="1:21" x14ac:dyDescent="0.35">
      <c r="A4049" t="s">
        <v>15</v>
      </c>
      <c r="B4049" t="s">
        <v>16</v>
      </c>
      <c r="C4049" t="s">
        <v>21</v>
      </c>
      <c r="D4049">
        <v>236496</v>
      </c>
      <c r="E4049">
        <v>22043</v>
      </c>
      <c r="F4049">
        <v>33127</v>
      </c>
      <c r="G4049">
        <v>-195180</v>
      </c>
      <c r="H4049">
        <v>96486</v>
      </c>
      <c r="I4049">
        <v>94328</v>
      </c>
      <c r="J4049">
        <v>1341</v>
      </c>
      <c r="K4049">
        <v>780258</v>
      </c>
      <c r="L4049">
        <v>124193</v>
      </c>
      <c r="M4049">
        <v>-232060</v>
      </c>
      <c r="N4049">
        <v>197265</v>
      </c>
      <c r="O4049" t="s">
        <v>4067</v>
      </c>
      <c r="P4049" s="9">
        <v>162056</v>
      </c>
      <c r="Q4049" s="9">
        <v>15875</v>
      </c>
      <c r="R4049" s="9">
        <v>177931</v>
      </c>
      <c r="S4049" s="9">
        <v>-67583</v>
      </c>
      <c r="T4049" s="10">
        <v>55639</v>
      </c>
      <c r="U4049" s="10">
        <v>1118</v>
      </c>
    </row>
    <row r="4050" spans="1:21" x14ac:dyDescent="0.35">
      <c r="A4050" t="s">
        <v>15</v>
      </c>
      <c r="B4050" t="s">
        <v>16</v>
      </c>
      <c r="C4050" t="s">
        <v>17</v>
      </c>
      <c r="D4050">
        <v>266130</v>
      </c>
      <c r="E4050">
        <v>14521</v>
      </c>
      <c r="F4050">
        <v>31897</v>
      </c>
      <c r="G4050">
        <v>-265150</v>
      </c>
      <c r="H4050">
        <v>47398</v>
      </c>
      <c r="I4050">
        <v>48748</v>
      </c>
      <c r="J4050">
        <v>763</v>
      </c>
      <c r="K4050">
        <v>595352</v>
      </c>
      <c r="L4050">
        <v>123250</v>
      </c>
      <c r="M4050">
        <v>-88012</v>
      </c>
      <c r="N4050">
        <v>150710</v>
      </c>
      <c r="O4050" t="s">
        <v>4068</v>
      </c>
      <c r="P4050" s="9">
        <v>292028</v>
      </c>
      <c r="Q4050" s="9">
        <v>50742</v>
      </c>
      <c r="R4050" s="9">
        <v>342770</v>
      </c>
      <c r="S4050" s="9">
        <v>-157694</v>
      </c>
      <c r="T4050" s="10">
        <v>117673</v>
      </c>
      <c r="U4050" s="10">
        <v>3138</v>
      </c>
    </row>
    <row r="4051" spans="1:21" x14ac:dyDescent="0.35">
      <c r="A4051" t="s">
        <v>15</v>
      </c>
      <c r="B4051" t="s">
        <v>16</v>
      </c>
      <c r="C4051" t="s">
        <v>21</v>
      </c>
      <c r="D4051">
        <v>208046</v>
      </c>
      <c r="E4051">
        <v>15291</v>
      </c>
      <c r="F4051">
        <v>29666</v>
      </c>
      <c r="G4051">
        <v>-184211</v>
      </c>
      <c r="H4051">
        <v>68792</v>
      </c>
      <c r="I4051">
        <v>66806</v>
      </c>
      <c r="J4051">
        <v>1325</v>
      </c>
      <c r="K4051">
        <v>710571</v>
      </c>
      <c r="L4051">
        <v>309945</v>
      </c>
      <c r="M4051">
        <v>-126421</v>
      </c>
      <c r="N4051">
        <v>99982</v>
      </c>
      <c r="O4051" t="s">
        <v>4069</v>
      </c>
      <c r="P4051" s="9">
        <v>207507</v>
      </c>
      <c r="Q4051" s="9">
        <v>28103</v>
      </c>
      <c r="R4051" s="9">
        <v>235610</v>
      </c>
      <c r="S4051" s="9">
        <v>-101607</v>
      </c>
      <c r="T4051" s="10">
        <v>90575</v>
      </c>
      <c r="U4051" s="10">
        <v>1311</v>
      </c>
    </row>
    <row r="4052" spans="1:21" x14ac:dyDescent="0.35">
      <c r="A4052" t="s">
        <v>15</v>
      </c>
      <c r="B4052" t="s">
        <v>20</v>
      </c>
      <c r="C4052" t="s">
        <v>17</v>
      </c>
      <c r="D4052">
        <v>221081</v>
      </c>
      <c r="E4052">
        <v>32546</v>
      </c>
      <c r="F4052">
        <v>39127</v>
      </c>
      <c r="G4052">
        <v>-205131</v>
      </c>
      <c r="H4052">
        <v>87623</v>
      </c>
      <c r="I4052">
        <v>91667</v>
      </c>
      <c r="J4052">
        <v>2048</v>
      </c>
      <c r="K4052">
        <v>607000</v>
      </c>
      <c r="L4052">
        <v>129084</v>
      </c>
      <c r="M4052">
        <v>-225153</v>
      </c>
      <c r="N4052">
        <v>86281</v>
      </c>
      <c r="O4052" t="s">
        <v>4070</v>
      </c>
      <c r="P4052" s="9">
        <v>190207</v>
      </c>
      <c r="Q4052" s="9">
        <v>22648</v>
      </c>
      <c r="R4052" s="9">
        <v>212855</v>
      </c>
      <c r="S4052" s="9">
        <v>-104241</v>
      </c>
      <c r="T4052" s="10">
        <v>86912</v>
      </c>
      <c r="U4052" s="10">
        <v>985</v>
      </c>
    </row>
    <row r="4053" spans="1:21" x14ac:dyDescent="0.35">
      <c r="A4053" t="s">
        <v>15</v>
      </c>
      <c r="B4053" t="s">
        <v>16</v>
      </c>
      <c r="C4053" t="s">
        <v>21</v>
      </c>
      <c r="D4053">
        <v>240690</v>
      </c>
      <c r="E4053">
        <v>32150</v>
      </c>
      <c r="F4053">
        <v>29823</v>
      </c>
      <c r="G4053">
        <v>-237082</v>
      </c>
      <c r="H4053">
        <v>65581</v>
      </c>
      <c r="I4053">
        <v>61784</v>
      </c>
      <c r="J4053">
        <v>1445</v>
      </c>
      <c r="K4053">
        <v>615335</v>
      </c>
      <c r="L4053">
        <v>214593</v>
      </c>
      <c r="M4053">
        <v>-228098</v>
      </c>
      <c r="N4053">
        <v>88958</v>
      </c>
      <c r="O4053" t="s">
        <v>4071</v>
      </c>
      <c r="P4053" s="9">
        <v>203370</v>
      </c>
      <c r="Q4053" s="9">
        <v>27057</v>
      </c>
      <c r="R4053" s="9">
        <v>230427</v>
      </c>
      <c r="S4053" s="9">
        <v>-105711</v>
      </c>
      <c r="T4053" s="10">
        <v>101431</v>
      </c>
      <c r="U4053" s="10">
        <v>2989</v>
      </c>
    </row>
    <row r="4054" spans="1:21" x14ac:dyDescent="0.35">
      <c r="A4054" t="s">
        <v>15</v>
      </c>
      <c r="B4054" t="s">
        <v>16</v>
      </c>
      <c r="C4054" t="s">
        <v>17</v>
      </c>
      <c r="D4054">
        <v>223622</v>
      </c>
      <c r="E4054">
        <v>34816</v>
      </c>
      <c r="F4054">
        <v>31272</v>
      </c>
      <c r="G4054">
        <v>-184538</v>
      </c>
      <c r="H4054">
        <v>105172</v>
      </c>
      <c r="I4054">
        <v>109931</v>
      </c>
      <c r="J4054">
        <v>2152</v>
      </c>
      <c r="K4054">
        <v>631033</v>
      </c>
      <c r="L4054">
        <v>186913</v>
      </c>
      <c r="M4054">
        <v>-69052</v>
      </c>
      <c r="N4054">
        <v>92596</v>
      </c>
      <c r="O4054" t="s">
        <v>4072</v>
      </c>
      <c r="P4054" s="9">
        <v>226712</v>
      </c>
      <c r="Q4054" s="9">
        <v>37888</v>
      </c>
      <c r="R4054" s="9">
        <v>264600</v>
      </c>
      <c r="S4054" s="9">
        <v>-135085</v>
      </c>
      <c r="T4054" s="10">
        <v>73100</v>
      </c>
      <c r="U4054" s="10">
        <v>1683</v>
      </c>
    </row>
    <row r="4055" spans="1:21" x14ac:dyDescent="0.35">
      <c r="A4055" t="s">
        <v>15</v>
      </c>
      <c r="B4055" t="s">
        <v>20</v>
      </c>
      <c r="C4055" t="s">
        <v>21</v>
      </c>
      <c r="D4055">
        <v>236785</v>
      </c>
      <c r="E4055">
        <v>35547</v>
      </c>
      <c r="F4055">
        <v>52762</v>
      </c>
      <c r="G4055">
        <v>-222700</v>
      </c>
      <c r="H4055">
        <v>102394</v>
      </c>
      <c r="I4055">
        <v>95883</v>
      </c>
      <c r="J4055">
        <v>2535</v>
      </c>
      <c r="K4055">
        <v>560081</v>
      </c>
      <c r="L4055">
        <v>261254</v>
      </c>
      <c r="M4055">
        <v>-161293</v>
      </c>
      <c r="N4055">
        <v>186494</v>
      </c>
      <c r="O4055" t="s">
        <v>4073</v>
      </c>
      <c r="P4055" s="9">
        <v>160394</v>
      </c>
      <c r="Q4055" s="9">
        <v>24788</v>
      </c>
      <c r="R4055" s="9">
        <v>185182</v>
      </c>
      <c r="S4055" s="9">
        <v>-96771</v>
      </c>
      <c r="T4055" s="10">
        <v>70232</v>
      </c>
      <c r="U4055" s="10">
        <v>1576</v>
      </c>
    </row>
    <row r="4056" spans="1:21" x14ac:dyDescent="0.35">
      <c r="A4056" t="s">
        <v>15</v>
      </c>
      <c r="B4056" t="s">
        <v>16</v>
      </c>
      <c r="C4056" t="s">
        <v>21</v>
      </c>
      <c r="D4056">
        <v>216250</v>
      </c>
      <c r="E4056">
        <v>32867</v>
      </c>
      <c r="F4056">
        <v>41302</v>
      </c>
      <c r="G4056">
        <v>-203819</v>
      </c>
      <c r="H4056">
        <v>86600</v>
      </c>
      <c r="I4056">
        <v>82593</v>
      </c>
      <c r="J4056">
        <v>1906</v>
      </c>
      <c r="K4056">
        <v>625170</v>
      </c>
      <c r="L4056">
        <v>304296</v>
      </c>
      <c r="M4056">
        <v>-173828</v>
      </c>
      <c r="N4056">
        <v>192192</v>
      </c>
      <c r="O4056" t="s">
        <v>4074</v>
      </c>
      <c r="P4056" s="9">
        <v>227641</v>
      </c>
      <c r="Q4056" s="9">
        <v>18529</v>
      </c>
      <c r="R4056" s="9">
        <v>246170</v>
      </c>
      <c r="S4056" s="9">
        <v>-128617</v>
      </c>
      <c r="T4056" s="10">
        <v>73422</v>
      </c>
      <c r="U4056" s="10">
        <v>969</v>
      </c>
    </row>
    <row r="4057" spans="1:21" x14ac:dyDescent="0.35">
      <c r="A4057" t="s">
        <v>15</v>
      </c>
      <c r="B4057" t="s">
        <v>16</v>
      </c>
      <c r="C4057" t="s">
        <v>21</v>
      </c>
      <c r="D4057">
        <v>277381</v>
      </c>
      <c r="E4057">
        <v>18132</v>
      </c>
      <c r="F4057">
        <v>58344</v>
      </c>
      <c r="G4057">
        <v>-222014</v>
      </c>
      <c r="H4057">
        <v>131843</v>
      </c>
      <c r="I4057">
        <v>120901</v>
      </c>
      <c r="J4057">
        <v>2983</v>
      </c>
      <c r="K4057">
        <v>586573</v>
      </c>
      <c r="L4057">
        <v>277082</v>
      </c>
      <c r="M4057">
        <v>-70486</v>
      </c>
      <c r="N4057">
        <v>219828</v>
      </c>
      <c r="O4057" t="s">
        <v>4075</v>
      </c>
      <c r="P4057" s="9">
        <v>160415</v>
      </c>
      <c r="Q4057" s="9">
        <v>23756</v>
      </c>
      <c r="R4057" s="9">
        <v>184171</v>
      </c>
      <c r="S4057" s="9">
        <v>-99103</v>
      </c>
      <c r="T4057" s="10">
        <v>55990</v>
      </c>
      <c r="U4057" s="10">
        <v>1468</v>
      </c>
    </row>
    <row r="4058" spans="1:21" x14ac:dyDescent="0.35">
      <c r="A4058" t="s">
        <v>15</v>
      </c>
      <c r="B4058" t="s">
        <v>16</v>
      </c>
      <c r="C4058" t="s">
        <v>17</v>
      </c>
      <c r="D4058">
        <v>201778</v>
      </c>
      <c r="E4058">
        <v>39859</v>
      </c>
      <c r="F4058">
        <v>28685</v>
      </c>
      <c r="G4058">
        <v>-195915</v>
      </c>
      <c r="H4058">
        <v>74407</v>
      </c>
      <c r="I4058">
        <v>68787</v>
      </c>
      <c r="J4058">
        <v>1870</v>
      </c>
      <c r="K4058">
        <v>627836</v>
      </c>
      <c r="L4058">
        <v>124118</v>
      </c>
      <c r="M4058">
        <v>-243123</v>
      </c>
      <c r="N4058">
        <v>89703</v>
      </c>
      <c r="O4058" t="s">
        <v>4076</v>
      </c>
      <c r="P4058" s="9">
        <v>289514</v>
      </c>
      <c r="Q4058" s="9">
        <v>46257</v>
      </c>
      <c r="R4058" s="9">
        <v>335771</v>
      </c>
      <c r="S4058" s="9">
        <v>-151294</v>
      </c>
      <c r="T4058" s="10">
        <v>127200</v>
      </c>
      <c r="U4058" s="10">
        <v>2540</v>
      </c>
    </row>
    <row r="4059" spans="1:21" x14ac:dyDescent="0.35">
      <c r="A4059" t="s">
        <v>15</v>
      </c>
      <c r="B4059" t="s">
        <v>20</v>
      </c>
      <c r="C4059" t="s">
        <v>21</v>
      </c>
      <c r="D4059">
        <v>224322</v>
      </c>
      <c r="E4059">
        <v>24713</v>
      </c>
      <c r="F4059">
        <v>23882</v>
      </c>
      <c r="G4059">
        <v>-217400</v>
      </c>
      <c r="H4059">
        <v>55517</v>
      </c>
      <c r="I4059">
        <v>50533</v>
      </c>
      <c r="J4059">
        <v>1464</v>
      </c>
      <c r="K4059">
        <v>684232</v>
      </c>
      <c r="L4059">
        <v>87293</v>
      </c>
      <c r="M4059">
        <v>-258031</v>
      </c>
      <c r="N4059">
        <v>127656</v>
      </c>
      <c r="O4059" t="s">
        <v>4077</v>
      </c>
      <c r="P4059" s="9">
        <v>184679</v>
      </c>
      <c r="Q4059" s="9">
        <v>21268</v>
      </c>
      <c r="R4059" s="9">
        <v>205947</v>
      </c>
      <c r="S4059" s="9">
        <v>-63377</v>
      </c>
      <c r="T4059" s="10">
        <v>48460</v>
      </c>
      <c r="U4059" s="10">
        <v>1110</v>
      </c>
    </row>
    <row r="4060" spans="1:21" x14ac:dyDescent="0.35">
      <c r="A4060" t="s">
        <v>15</v>
      </c>
      <c r="B4060" t="s">
        <v>20</v>
      </c>
      <c r="C4060" t="s">
        <v>17</v>
      </c>
      <c r="D4060">
        <v>247677</v>
      </c>
      <c r="E4060">
        <v>48181</v>
      </c>
      <c r="F4060">
        <v>33081</v>
      </c>
      <c r="G4060">
        <v>-243085</v>
      </c>
      <c r="H4060">
        <v>85854</v>
      </c>
      <c r="I4060">
        <v>88380</v>
      </c>
      <c r="J4060">
        <v>1635</v>
      </c>
      <c r="K4060">
        <v>797532</v>
      </c>
      <c r="L4060">
        <v>371517</v>
      </c>
      <c r="M4060">
        <v>-265342</v>
      </c>
      <c r="N4060">
        <v>207830</v>
      </c>
      <c r="O4060" t="s">
        <v>4078</v>
      </c>
      <c r="P4060" s="9">
        <v>245070</v>
      </c>
      <c r="Q4060" s="9">
        <v>35745</v>
      </c>
      <c r="R4060" s="9">
        <v>280815</v>
      </c>
      <c r="S4060" s="9">
        <v>-143013</v>
      </c>
      <c r="T4060" s="10">
        <v>104048</v>
      </c>
      <c r="U4060" s="10">
        <v>2026</v>
      </c>
    </row>
    <row r="4061" spans="1:21" x14ac:dyDescent="0.35">
      <c r="A4061" t="s">
        <v>15</v>
      </c>
      <c r="B4061" t="s">
        <v>20</v>
      </c>
      <c r="C4061" t="s">
        <v>21</v>
      </c>
      <c r="D4061">
        <v>227894</v>
      </c>
      <c r="E4061">
        <v>21575</v>
      </c>
      <c r="F4061">
        <v>32254</v>
      </c>
      <c r="G4061">
        <v>-221278</v>
      </c>
      <c r="H4061">
        <v>60445</v>
      </c>
      <c r="I4061">
        <v>56866</v>
      </c>
      <c r="J4061">
        <v>718</v>
      </c>
      <c r="K4061">
        <v>665839</v>
      </c>
      <c r="L4061">
        <v>82810</v>
      </c>
      <c r="M4061">
        <v>-211063</v>
      </c>
      <c r="N4061">
        <v>105845</v>
      </c>
      <c r="O4061" t="s">
        <v>4079</v>
      </c>
      <c r="P4061" s="9">
        <v>239619</v>
      </c>
      <c r="Q4061" s="9">
        <v>12713</v>
      </c>
      <c r="R4061" s="9">
        <v>252332</v>
      </c>
      <c r="S4061" s="9">
        <v>-58565</v>
      </c>
      <c r="T4061" s="10">
        <v>79257</v>
      </c>
      <c r="U4061" s="10">
        <v>1152</v>
      </c>
    </row>
    <row r="4062" spans="1:21" x14ac:dyDescent="0.35">
      <c r="A4062" t="s">
        <v>15</v>
      </c>
      <c r="B4062" t="s">
        <v>16</v>
      </c>
      <c r="C4062" t="s">
        <v>17</v>
      </c>
      <c r="D4062">
        <v>162960</v>
      </c>
      <c r="E4062">
        <v>31440</v>
      </c>
      <c r="F4062">
        <v>37598</v>
      </c>
      <c r="G4062">
        <v>-135193</v>
      </c>
      <c r="H4062">
        <v>96805</v>
      </c>
      <c r="I4062">
        <v>97425</v>
      </c>
      <c r="J4062">
        <v>2889</v>
      </c>
      <c r="K4062">
        <v>442300</v>
      </c>
      <c r="L4062">
        <v>72227</v>
      </c>
      <c r="M4062">
        <v>-168334</v>
      </c>
      <c r="N4062">
        <v>112076</v>
      </c>
      <c r="O4062" t="s">
        <v>4080</v>
      </c>
      <c r="P4062" s="9">
        <v>139883</v>
      </c>
      <c r="Q4062" s="9">
        <v>8959</v>
      </c>
      <c r="R4062" s="9">
        <v>148842</v>
      </c>
      <c r="S4062" s="9">
        <v>-32820</v>
      </c>
      <c r="T4062" s="10">
        <v>54118</v>
      </c>
      <c r="U4062" s="10">
        <v>1076</v>
      </c>
    </row>
    <row r="4063" spans="1:21" x14ac:dyDescent="0.35">
      <c r="A4063" t="s">
        <v>15</v>
      </c>
      <c r="B4063" t="s">
        <v>16</v>
      </c>
      <c r="C4063" t="s">
        <v>21</v>
      </c>
      <c r="D4063">
        <v>225412</v>
      </c>
      <c r="E4063">
        <v>13242</v>
      </c>
      <c r="F4063">
        <v>47715</v>
      </c>
      <c r="G4063">
        <v>-180891</v>
      </c>
      <c r="H4063">
        <v>105478</v>
      </c>
      <c r="I4063">
        <v>100440</v>
      </c>
      <c r="J4063">
        <v>1563</v>
      </c>
      <c r="K4063">
        <v>587232</v>
      </c>
      <c r="L4063">
        <v>279813</v>
      </c>
      <c r="M4063">
        <v>-205063</v>
      </c>
      <c r="N4063">
        <v>104836</v>
      </c>
      <c r="O4063" t="s">
        <v>4081</v>
      </c>
      <c r="P4063" s="9">
        <v>187875</v>
      </c>
      <c r="Q4063" s="9">
        <v>18124</v>
      </c>
      <c r="R4063" s="9">
        <v>205999</v>
      </c>
      <c r="S4063" s="9">
        <v>-120519</v>
      </c>
      <c r="T4063" s="10">
        <v>41433</v>
      </c>
      <c r="U4063" s="10">
        <v>709</v>
      </c>
    </row>
    <row r="4064" spans="1:21" x14ac:dyDescent="0.35">
      <c r="A4064" t="s">
        <v>15</v>
      </c>
      <c r="B4064" t="s">
        <v>16</v>
      </c>
      <c r="C4064" t="s">
        <v>21</v>
      </c>
      <c r="D4064">
        <v>283337</v>
      </c>
      <c r="E4064">
        <v>29972</v>
      </c>
      <c r="F4064">
        <v>64878</v>
      </c>
      <c r="G4064">
        <v>-257184</v>
      </c>
      <c r="H4064">
        <v>121003</v>
      </c>
      <c r="I4064">
        <v>126317</v>
      </c>
      <c r="J4064">
        <v>2630</v>
      </c>
      <c r="K4064">
        <v>770617</v>
      </c>
      <c r="L4064">
        <v>239676</v>
      </c>
      <c r="M4064">
        <v>-184676</v>
      </c>
      <c r="N4064">
        <v>201980</v>
      </c>
      <c r="O4064" t="s">
        <v>4082</v>
      </c>
      <c r="P4064" s="9">
        <v>208887</v>
      </c>
      <c r="Q4064" s="9">
        <v>19930</v>
      </c>
      <c r="R4064" s="9">
        <v>228817</v>
      </c>
      <c r="S4064" s="9">
        <v>-81986</v>
      </c>
      <c r="T4064" s="10">
        <v>78016</v>
      </c>
      <c r="U4064" s="10">
        <v>2100</v>
      </c>
    </row>
    <row r="4065" spans="1:21" x14ac:dyDescent="0.35">
      <c r="A4065" t="s">
        <v>15</v>
      </c>
      <c r="B4065" t="s">
        <v>16</v>
      </c>
      <c r="C4065" t="s">
        <v>21</v>
      </c>
      <c r="D4065">
        <v>194163</v>
      </c>
      <c r="E4065">
        <v>11569</v>
      </c>
      <c r="F4065">
        <v>46012</v>
      </c>
      <c r="G4065">
        <v>-179010</v>
      </c>
      <c r="H4065">
        <v>72734</v>
      </c>
      <c r="I4065">
        <v>68990</v>
      </c>
      <c r="J4065">
        <v>827</v>
      </c>
      <c r="K4065">
        <v>620113</v>
      </c>
      <c r="L4065">
        <v>289895</v>
      </c>
      <c r="M4065">
        <v>-134683</v>
      </c>
      <c r="N4065">
        <v>106022</v>
      </c>
      <c r="O4065" t="s">
        <v>4083</v>
      </c>
      <c r="P4065" s="9">
        <v>268295</v>
      </c>
      <c r="Q4065" s="9">
        <v>14947</v>
      </c>
      <c r="R4065" s="9">
        <v>283242</v>
      </c>
      <c r="S4065" s="9">
        <v>-139534</v>
      </c>
      <c r="T4065" s="10">
        <v>63195</v>
      </c>
      <c r="U4065" s="10">
        <v>877</v>
      </c>
    </row>
    <row r="4066" spans="1:21" x14ac:dyDescent="0.35">
      <c r="A4066" t="s">
        <v>15</v>
      </c>
      <c r="B4066" t="s">
        <v>20</v>
      </c>
      <c r="C4066" t="s">
        <v>21</v>
      </c>
      <c r="D4066">
        <v>299207</v>
      </c>
      <c r="E4066">
        <v>45108</v>
      </c>
      <c r="F4066">
        <v>58232</v>
      </c>
      <c r="G4066">
        <v>-277510</v>
      </c>
      <c r="H4066">
        <v>125037</v>
      </c>
      <c r="I4066">
        <v>123991</v>
      </c>
      <c r="J4066">
        <v>1467</v>
      </c>
      <c r="K4066">
        <v>1181540</v>
      </c>
      <c r="L4066">
        <v>565689</v>
      </c>
      <c r="M4066">
        <v>-331609</v>
      </c>
      <c r="N4066">
        <v>251336</v>
      </c>
      <c r="O4066" t="s">
        <v>4084</v>
      </c>
      <c r="P4066" s="9">
        <v>193763</v>
      </c>
      <c r="Q4066" s="9">
        <v>31979</v>
      </c>
      <c r="R4066" s="9">
        <v>225742</v>
      </c>
      <c r="S4066" s="9">
        <v>-98933</v>
      </c>
      <c r="T4066" s="10">
        <v>97720</v>
      </c>
      <c r="U4066" s="10">
        <v>2228</v>
      </c>
    </row>
    <row r="4067" spans="1:21" x14ac:dyDescent="0.35">
      <c r="A4067" t="s">
        <v>15</v>
      </c>
      <c r="B4067" t="s">
        <v>20</v>
      </c>
      <c r="C4067" t="s">
        <v>21</v>
      </c>
      <c r="D4067">
        <v>297629</v>
      </c>
      <c r="E4067">
        <v>55639</v>
      </c>
      <c r="F4067">
        <v>68616</v>
      </c>
      <c r="G4067">
        <v>-263871</v>
      </c>
      <c r="H4067">
        <v>158013</v>
      </c>
      <c r="I4067">
        <v>153587</v>
      </c>
      <c r="J4067">
        <v>2437</v>
      </c>
      <c r="K4067">
        <v>753781</v>
      </c>
      <c r="L4067">
        <v>134160</v>
      </c>
      <c r="M4067">
        <v>-272415</v>
      </c>
      <c r="N4067">
        <v>146649</v>
      </c>
      <c r="O4067" t="s">
        <v>4085</v>
      </c>
      <c r="P4067" s="9">
        <v>215655</v>
      </c>
      <c r="Q4067" s="9">
        <v>38343</v>
      </c>
      <c r="R4067" s="9">
        <v>253998</v>
      </c>
      <c r="S4067" s="9">
        <v>-124323</v>
      </c>
      <c r="T4067" s="10">
        <v>129697</v>
      </c>
      <c r="U4067" s="10">
        <v>1350</v>
      </c>
    </row>
    <row r="4068" spans="1:21" x14ac:dyDescent="0.35">
      <c r="A4068" t="s">
        <v>15</v>
      </c>
      <c r="B4068" t="s">
        <v>16</v>
      </c>
      <c r="C4068" t="s">
        <v>17</v>
      </c>
      <c r="D4068">
        <v>248729</v>
      </c>
      <c r="E4068">
        <v>27353</v>
      </c>
      <c r="F4068">
        <v>43407</v>
      </c>
      <c r="G4068">
        <v>-213288</v>
      </c>
      <c r="H4068">
        <v>106201</v>
      </c>
      <c r="I4068">
        <v>109630</v>
      </c>
      <c r="J4068">
        <v>2226</v>
      </c>
      <c r="K4068">
        <v>516100</v>
      </c>
      <c r="L4068">
        <v>231176</v>
      </c>
      <c r="M4068">
        <v>-119773</v>
      </c>
      <c r="N4068">
        <v>145965</v>
      </c>
      <c r="O4068" t="s">
        <v>4086</v>
      </c>
      <c r="P4068" s="9">
        <v>180114</v>
      </c>
      <c r="Q4068" s="9">
        <v>28561</v>
      </c>
      <c r="R4068" s="9">
        <v>208675</v>
      </c>
      <c r="S4068" s="9">
        <v>-118012</v>
      </c>
      <c r="T4068" s="10">
        <v>80113</v>
      </c>
      <c r="U4068" s="10">
        <v>982</v>
      </c>
    </row>
    <row r="4069" spans="1:21" x14ac:dyDescent="0.35">
      <c r="A4069" t="s">
        <v>15</v>
      </c>
      <c r="B4069" t="s">
        <v>20</v>
      </c>
      <c r="C4069" t="s">
        <v>17</v>
      </c>
      <c r="D4069">
        <v>202819</v>
      </c>
      <c r="E4069">
        <v>21854</v>
      </c>
      <c r="F4069">
        <v>22615</v>
      </c>
      <c r="G4069">
        <v>-176601</v>
      </c>
      <c r="H4069">
        <v>70687</v>
      </c>
      <c r="I4069">
        <v>70159</v>
      </c>
      <c r="J4069">
        <v>1019</v>
      </c>
      <c r="K4069">
        <v>696317</v>
      </c>
      <c r="L4069">
        <v>183068</v>
      </c>
      <c r="M4069">
        <v>-203716</v>
      </c>
      <c r="N4069">
        <v>148569</v>
      </c>
      <c r="O4069" t="s">
        <v>4087</v>
      </c>
      <c r="P4069" s="9">
        <v>180333</v>
      </c>
      <c r="Q4069" s="9">
        <v>10898</v>
      </c>
      <c r="R4069" s="9">
        <v>191231</v>
      </c>
      <c r="S4069" s="9">
        <v>-40791</v>
      </c>
      <c r="T4069" s="10">
        <v>61322</v>
      </c>
      <c r="U4069" s="10">
        <v>1175</v>
      </c>
    </row>
    <row r="4070" spans="1:21" x14ac:dyDescent="0.35">
      <c r="A4070" t="s">
        <v>15</v>
      </c>
      <c r="B4070" t="s">
        <v>16</v>
      </c>
      <c r="C4070" t="s">
        <v>21</v>
      </c>
      <c r="D4070">
        <v>278801</v>
      </c>
      <c r="E4070">
        <v>15041</v>
      </c>
      <c r="F4070">
        <v>35865</v>
      </c>
      <c r="G4070">
        <v>-260525</v>
      </c>
      <c r="H4070">
        <v>69182</v>
      </c>
      <c r="I4070">
        <v>64022</v>
      </c>
      <c r="J4070">
        <v>1611</v>
      </c>
      <c r="K4070">
        <v>845934</v>
      </c>
      <c r="L4070">
        <v>342848</v>
      </c>
      <c r="M4070">
        <v>-147231</v>
      </c>
      <c r="N4070">
        <v>154214</v>
      </c>
      <c r="O4070" t="s">
        <v>4088</v>
      </c>
      <c r="P4070" s="9">
        <v>293567</v>
      </c>
      <c r="Q4070" s="9">
        <v>52124</v>
      </c>
      <c r="R4070" s="9">
        <v>345691</v>
      </c>
      <c r="S4070" s="9">
        <v>-143925</v>
      </c>
      <c r="T4070" s="10">
        <v>123436</v>
      </c>
      <c r="U4070" s="10">
        <v>2800</v>
      </c>
    </row>
    <row r="4071" spans="1:21" x14ac:dyDescent="0.35">
      <c r="A4071" t="s">
        <v>15</v>
      </c>
      <c r="B4071" t="s">
        <v>20</v>
      </c>
      <c r="C4071" t="s">
        <v>17</v>
      </c>
      <c r="D4071">
        <v>271264</v>
      </c>
      <c r="E4071">
        <v>22062</v>
      </c>
      <c r="F4071">
        <v>47242</v>
      </c>
      <c r="G4071">
        <v>-254470</v>
      </c>
      <c r="H4071">
        <v>86098</v>
      </c>
      <c r="I4071">
        <v>83209</v>
      </c>
      <c r="J4071">
        <v>1210</v>
      </c>
      <c r="K4071">
        <v>1082469</v>
      </c>
      <c r="L4071">
        <v>302664</v>
      </c>
      <c r="M4071">
        <v>-193019</v>
      </c>
      <c r="N4071">
        <v>209168</v>
      </c>
      <c r="O4071" t="s">
        <v>4089</v>
      </c>
      <c r="P4071" s="9">
        <v>169535</v>
      </c>
      <c r="Q4071" s="9">
        <v>31681</v>
      </c>
      <c r="R4071" s="9">
        <v>201216</v>
      </c>
      <c r="S4071" s="9">
        <v>-81682</v>
      </c>
      <c r="T4071" s="10">
        <v>56138</v>
      </c>
      <c r="U4071" s="10">
        <v>729</v>
      </c>
    </row>
    <row r="4072" spans="1:21" x14ac:dyDescent="0.35">
      <c r="A4072" t="s">
        <v>15</v>
      </c>
      <c r="B4072" t="s">
        <v>20</v>
      </c>
      <c r="C4072" t="s">
        <v>21</v>
      </c>
      <c r="D4072">
        <v>218633</v>
      </c>
      <c r="E4072">
        <v>27637</v>
      </c>
      <c r="F4072">
        <v>53099</v>
      </c>
      <c r="G4072">
        <v>-202346</v>
      </c>
      <c r="H4072">
        <v>97023</v>
      </c>
      <c r="I4072">
        <v>90983</v>
      </c>
      <c r="J4072">
        <v>1193</v>
      </c>
      <c r="K4072">
        <v>520830</v>
      </c>
      <c r="L4072">
        <v>186416</v>
      </c>
      <c r="M4072">
        <v>-179974</v>
      </c>
      <c r="N4072">
        <v>123297</v>
      </c>
      <c r="O4072" t="s">
        <v>4090</v>
      </c>
      <c r="P4072" s="9">
        <v>160601</v>
      </c>
      <c r="Q4072" s="9">
        <v>25266</v>
      </c>
      <c r="R4072" s="9">
        <v>185867</v>
      </c>
      <c r="S4072" s="9">
        <v>-105208</v>
      </c>
      <c r="T4072" s="10">
        <v>83432</v>
      </c>
      <c r="U4072" s="10">
        <v>2106</v>
      </c>
    </row>
    <row r="4073" spans="1:21" x14ac:dyDescent="0.35">
      <c r="A4073" t="s">
        <v>15</v>
      </c>
      <c r="B4073" t="s">
        <v>16</v>
      </c>
      <c r="C4073" t="s">
        <v>21</v>
      </c>
      <c r="D4073">
        <v>268922</v>
      </c>
      <c r="E4073">
        <v>49833</v>
      </c>
      <c r="F4073">
        <v>65420</v>
      </c>
      <c r="G4073">
        <v>-251979</v>
      </c>
      <c r="H4073">
        <v>132196</v>
      </c>
      <c r="I4073">
        <v>127228</v>
      </c>
      <c r="J4073">
        <v>2864</v>
      </c>
      <c r="K4073">
        <v>782881</v>
      </c>
      <c r="L4073">
        <v>285070</v>
      </c>
      <c r="M4073">
        <v>-225152</v>
      </c>
      <c r="N4073">
        <v>222562</v>
      </c>
      <c r="O4073" t="s">
        <v>4091</v>
      </c>
      <c r="P4073" s="9">
        <v>166125</v>
      </c>
      <c r="Q4073" s="9">
        <v>26725</v>
      </c>
      <c r="R4073" s="9">
        <v>192850</v>
      </c>
      <c r="S4073" s="9">
        <v>-80042</v>
      </c>
      <c r="T4073" s="10">
        <v>78892</v>
      </c>
      <c r="U4073" s="10">
        <v>815</v>
      </c>
    </row>
    <row r="4074" spans="1:21" x14ac:dyDescent="0.35">
      <c r="A4074" t="s">
        <v>15</v>
      </c>
      <c r="B4074" t="s">
        <v>16</v>
      </c>
      <c r="C4074" t="s">
        <v>21</v>
      </c>
      <c r="D4074">
        <v>162358</v>
      </c>
      <c r="E4074">
        <v>25569</v>
      </c>
      <c r="F4074">
        <v>17214</v>
      </c>
      <c r="G4074">
        <v>-162051</v>
      </c>
      <c r="H4074">
        <v>43090</v>
      </c>
      <c r="I4074">
        <v>40427</v>
      </c>
      <c r="J4074">
        <v>1069</v>
      </c>
      <c r="K4074">
        <v>630476</v>
      </c>
      <c r="L4074">
        <v>253966</v>
      </c>
      <c r="M4074">
        <v>-214832</v>
      </c>
      <c r="N4074">
        <v>71501</v>
      </c>
      <c r="O4074" t="s">
        <v>4092</v>
      </c>
      <c r="P4074" s="9">
        <v>277373</v>
      </c>
      <c r="Q4074" s="9">
        <v>31451</v>
      </c>
      <c r="R4074" s="9">
        <v>308824</v>
      </c>
      <c r="S4074" s="9">
        <v>-123574</v>
      </c>
      <c r="T4074" s="10">
        <v>102241</v>
      </c>
      <c r="U4074" s="10">
        <v>1139</v>
      </c>
    </row>
    <row r="4075" spans="1:21" x14ac:dyDescent="0.35">
      <c r="A4075" t="s">
        <v>15</v>
      </c>
      <c r="B4075" t="s">
        <v>20</v>
      </c>
      <c r="C4075" t="s">
        <v>21</v>
      </c>
      <c r="D4075">
        <v>297714</v>
      </c>
      <c r="E4075">
        <v>19692</v>
      </c>
      <c r="F4075">
        <v>45641</v>
      </c>
      <c r="G4075">
        <v>-248879</v>
      </c>
      <c r="H4075">
        <v>114168</v>
      </c>
      <c r="I4075">
        <v>113800</v>
      </c>
      <c r="J4075">
        <v>3282</v>
      </c>
      <c r="K4075">
        <v>935218</v>
      </c>
      <c r="L4075">
        <v>190191</v>
      </c>
      <c r="M4075">
        <v>-104890</v>
      </c>
      <c r="N4075">
        <v>203805</v>
      </c>
      <c r="O4075" t="s">
        <v>4093</v>
      </c>
      <c r="P4075" s="9">
        <v>313295</v>
      </c>
      <c r="Q4075" s="9">
        <v>30236</v>
      </c>
      <c r="R4075" s="9">
        <v>343531</v>
      </c>
      <c r="S4075" s="9">
        <v>-202118</v>
      </c>
      <c r="T4075" s="10">
        <v>167531</v>
      </c>
      <c r="U4075" s="10">
        <v>4771</v>
      </c>
    </row>
    <row r="4076" spans="1:21" x14ac:dyDescent="0.35">
      <c r="A4076" t="s">
        <v>15</v>
      </c>
      <c r="B4076" t="s">
        <v>16</v>
      </c>
      <c r="C4076" t="s">
        <v>21</v>
      </c>
      <c r="D4076">
        <v>157137</v>
      </c>
      <c r="E4076">
        <v>9003</v>
      </c>
      <c r="F4076">
        <v>22514</v>
      </c>
      <c r="G4076">
        <v>-152045</v>
      </c>
      <c r="H4076">
        <v>36609</v>
      </c>
      <c r="I4076">
        <v>37648</v>
      </c>
      <c r="J4076">
        <v>654</v>
      </c>
      <c r="K4076">
        <v>338917</v>
      </c>
      <c r="L4076">
        <v>168266</v>
      </c>
      <c r="M4076">
        <v>-99709</v>
      </c>
      <c r="N4076">
        <v>51837</v>
      </c>
      <c r="O4076" t="s">
        <v>4094</v>
      </c>
      <c r="P4076" s="9">
        <v>241371</v>
      </c>
      <c r="Q4076" s="9">
        <v>26463</v>
      </c>
      <c r="R4076" s="9">
        <v>267834</v>
      </c>
      <c r="S4076" s="9">
        <v>-122542</v>
      </c>
      <c r="T4076" s="10">
        <v>137675</v>
      </c>
      <c r="U4076" s="10">
        <v>1401</v>
      </c>
    </row>
    <row r="4077" spans="1:21" x14ac:dyDescent="0.35">
      <c r="A4077" t="s">
        <v>15</v>
      </c>
      <c r="B4077" t="s">
        <v>16</v>
      </c>
      <c r="C4077" t="s">
        <v>17</v>
      </c>
      <c r="D4077">
        <v>196383</v>
      </c>
      <c r="E4077">
        <v>22984</v>
      </c>
      <c r="F4077">
        <v>45884</v>
      </c>
      <c r="G4077">
        <v>-180977</v>
      </c>
      <c r="H4077">
        <v>84274</v>
      </c>
      <c r="I4077">
        <v>84518</v>
      </c>
      <c r="J4077">
        <v>1964</v>
      </c>
      <c r="K4077">
        <v>503609</v>
      </c>
      <c r="L4077">
        <v>213027</v>
      </c>
      <c r="M4077">
        <v>-94156</v>
      </c>
      <c r="N4077">
        <v>81568</v>
      </c>
      <c r="O4077" t="s">
        <v>4095</v>
      </c>
      <c r="P4077" s="9">
        <v>168965</v>
      </c>
      <c r="Q4077" s="9">
        <v>33875</v>
      </c>
      <c r="R4077" s="9">
        <v>202840</v>
      </c>
      <c r="S4077" s="9">
        <v>-111463</v>
      </c>
      <c r="T4077" s="10">
        <v>78071</v>
      </c>
      <c r="U4077" s="10">
        <v>1237</v>
      </c>
    </row>
    <row r="4078" spans="1:21" x14ac:dyDescent="0.35">
      <c r="A4078" t="s">
        <v>15</v>
      </c>
      <c r="B4078" t="s">
        <v>16</v>
      </c>
      <c r="C4078" t="s">
        <v>17</v>
      </c>
      <c r="D4078">
        <v>271049</v>
      </c>
      <c r="E4078">
        <v>16566</v>
      </c>
      <c r="F4078">
        <v>44449</v>
      </c>
      <c r="G4078">
        <v>-244904</v>
      </c>
      <c r="H4078">
        <v>87160</v>
      </c>
      <c r="I4078">
        <v>78757</v>
      </c>
      <c r="J4078">
        <v>1123</v>
      </c>
      <c r="K4078">
        <v>778775</v>
      </c>
      <c r="L4078">
        <v>139993</v>
      </c>
      <c r="M4078">
        <v>-266406</v>
      </c>
      <c r="N4078">
        <v>241768</v>
      </c>
      <c r="O4078" t="s">
        <v>4096</v>
      </c>
      <c r="P4078" s="9">
        <v>157761</v>
      </c>
      <c r="Q4078" s="9">
        <v>16768</v>
      </c>
      <c r="R4078" s="9">
        <v>174529</v>
      </c>
      <c r="S4078" s="9">
        <v>-61182</v>
      </c>
      <c r="T4078" s="10">
        <v>61955</v>
      </c>
      <c r="U4078" s="10">
        <v>975</v>
      </c>
    </row>
    <row r="4079" spans="1:21" x14ac:dyDescent="0.35">
      <c r="A4079" t="s">
        <v>15</v>
      </c>
      <c r="B4079" t="s">
        <v>20</v>
      </c>
      <c r="C4079" t="s">
        <v>21</v>
      </c>
      <c r="D4079">
        <v>280232</v>
      </c>
      <c r="E4079">
        <v>18015</v>
      </c>
      <c r="F4079">
        <v>58952</v>
      </c>
      <c r="G4079">
        <v>-258906</v>
      </c>
      <c r="H4079">
        <v>98293</v>
      </c>
      <c r="I4079">
        <v>94021</v>
      </c>
      <c r="J4079">
        <v>2773</v>
      </c>
      <c r="K4079">
        <v>849002</v>
      </c>
      <c r="L4079">
        <v>296034</v>
      </c>
      <c r="M4079">
        <v>-254559</v>
      </c>
      <c r="N4079">
        <v>135279</v>
      </c>
      <c r="O4079" t="s">
        <v>4097</v>
      </c>
      <c r="P4079" s="9">
        <v>207198</v>
      </c>
      <c r="Q4079" s="9">
        <v>30858</v>
      </c>
      <c r="R4079" s="9">
        <v>238056</v>
      </c>
      <c r="S4079" s="9">
        <v>-99693</v>
      </c>
      <c r="T4079" s="10">
        <v>62698</v>
      </c>
      <c r="U4079" s="10">
        <v>1705</v>
      </c>
    </row>
    <row r="4080" spans="1:21" x14ac:dyDescent="0.35">
      <c r="A4080" t="s">
        <v>15</v>
      </c>
      <c r="B4080" t="s">
        <v>20</v>
      </c>
      <c r="C4080" t="s">
        <v>21</v>
      </c>
      <c r="D4080">
        <v>274842</v>
      </c>
      <c r="E4080">
        <v>16862</v>
      </c>
      <c r="F4080">
        <v>67576</v>
      </c>
      <c r="G4080">
        <v>-251559</v>
      </c>
      <c r="H4080">
        <v>107721</v>
      </c>
      <c r="I4080">
        <v>100058</v>
      </c>
      <c r="J4080">
        <v>2024</v>
      </c>
      <c r="K4080">
        <v>1096078</v>
      </c>
      <c r="L4080">
        <v>214258</v>
      </c>
      <c r="M4080">
        <v>-181739</v>
      </c>
      <c r="N4080">
        <v>108165</v>
      </c>
      <c r="O4080" t="s">
        <v>4098</v>
      </c>
      <c r="P4080" s="9">
        <v>303009</v>
      </c>
      <c r="Q4080" s="9">
        <v>15383</v>
      </c>
      <c r="R4080" s="9">
        <v>318392</v>
      </c>
      <c r="S4080" s="9">
        <v>-158515</v>
      </c>
      <c r="T4080" s="10">
        <v>98313</v>
      </c>
      <c r="U4080" s="10">
        <v>2720</v>
      </c>
    </row>
    <row r="4081" spans="1:21" x14ac:dyDescent="0.35">
      <c r="A4081" t="s">
        <v>15</v>
      </c>
      <c r="B4081" t="s">
        <v>16</v>
      </c>
      <c r="C4081" t="s">
        <v>21</v>
      </c>
      <c r="D4081">
        <v>235821</v>
      </c>
      <c r="E4081">
        <v>17677</v>
      </c>
      <c r="F4081">
        <v>24053</v>
      </c>
      <c r="G4081">
        <v>-228835</v>
      </c>
      <c r="H4081">
        <v>48716</v>
      </c>
      <c r="I4081">
        <v>47665</v>
      </c>
      <c r="J4081">
        <v>977</v>
      </c>
      <c r="K4081">
        <v>930167</v>
      </c>
      <c r="L4081">
        <v>267920</v>
      </c>
      <c r="M4081">
        <v>-331679</v>
      </c>
      <c r="N4081">
        <v>100651</v>
      </c>
      <c r="O4081" t="s">
        <v>4099</v>
      </c>
      <c r="P4081" s="9">
        <v>211064</v>
      </c>
      <c r="Q4081" s="9">
        <v>21136</v>
      </c>
      <c r="R4081" s="9">
        <v>232200</v>
      </c>
      <c r="S4081" s="9">
        <v>-133405</v>
      </c>
      <c r="T4081" s="10">
        <v>72932</v>
      </c>
      <c r="U4081" s="10">
        <v>993</v>
      </c>
    </row>
    <row r="4082" spans="1:21" x14ac:dyDescent="0.35">
      <c r="A4082" t="s">
        <v>15</v>
      </c>
      <c r="B4082" t="s">
        <v>20</v>
      </c>
      <c r="C4082" t="s">
        <v>21</v>
      </c>
      <c r="D4082">
        <v>275693</v>
      </c>
      <c r="E4082">
        <v>16462</v>
      </c>
      <c r="F4082">
        <v>28693</v>
      </c>
      <c r="G4082">
        <v>-259013</v>
      </c>
      <c r="H4082">
        <v>61835</v>
      </c>
      <c r="I4082">
        <v>59997</v>
      </c>
      <c r="J4082">
        <v>1356</v>
      </c>
      <c r="K4082">
        <v>708329</v>
      </c>
      <c r="L4082">
        <v>102474</v>
      </c>
      <c r="M4082">
        <v>-88800</v>
      </c>
      <c r="N4082">
        <v>245289</v>
      </c>
      <c r="O4082" t="s">
        <v>4100</v>
      </c>
      <c r="P4082" s="9">
        <v>166609</v>
      </c>
      <c r="Q4082" s="9">
        <v>33064</v>
      </c>
      <c r="R4082" s="9">
        <v>199673</v>
      </c>
      <c r="S4082" s="9">
        <v>-90307</v>
      </c>
      <c r="T4082" s="10">
        <v>76022</v>
      </c>
      <c r="U4082" s="10">
        <v>1795</v>
      </c>
    </row>
    <row r="4083" spans="1:21" x14ac:dyDescent="0.35">
      <c r="A4083" t="s">
        <v>15</v>
      </c>
      <c r="B4083" t="s">
        <v>20</v>
      </c>
      <c r="C4083" t="s">
        <v>21</v>
      </c>
      <c r="D4083">
        <v>281400</v>
      </c>
      <c r="E4083">
        <v>14373</v>
      </c>
      <c r="F4083">
        <v>31292</v>
      </c>
      <c r="G4083">
        <v>-243778</v>
      </c>
      <c r="H4083">
        <v>83287</v>
      </c>
      <c r="I4083">
        <v>79867</v>
      </c>
      <c r="J4083">
        <v>2039</v>
      </c>
      <c r="K4083">
        <v>983850</v>
      </c>
      <c r="L4083">
        <v>370843</v>
      </c>
      <c r="M4083">
        <v>-271830</v>
      </c>
      <c r="N4083">
        <v>246847</v>
      </c>
      <c r="O4083" t="s">
        <v>4101</v>
      </c>
      <c r="P4083" s="9">
        <v>161280</v>
      </c>
      <c r="Q4083" s="9">
        <v>23291</v>
      </c>
      <c r="R4083" s="9">
        <v>184571</v>
      </c>
      <c r="S4083" s="9">
        <v>-66904</v>
      </c>
      <c r="T4083" s="10">
        <v>93520</v>
      </c>
      <c r="U4083" s="10">
        <v>2437</v>
      </c>
    </row>
    <row r="4084" spans="1:21" x14ac:dyDescent="0.35">
      <c r="A4084" t="s">
        <v>15</v>
      </c>
      <c r="B4084" t="s">
        <v>16</v>
      </c>
      <c r="C4084" t="s">
        <v>21</v>
      </c>
      <c r="D4084">
        <v>200628</v>
      </c>
      <c r="E4084">
        <v>19007</v>
      </c>
      <c r="F4084">
        <v>26837</v>
      </c>
      <c r="G4084">
        <v>-170435</v>
      </c>
      <c r="H4084">
        <v>76037</v>
      </c>
      <c r="I4084">
        <v>77369</v>
      </c>
      <c r="J4084">
        <v>1027</v>
      </c>
      <c r="K4084">
        <v>753559</v>
      </c>
      <c r="L4084">
        <v>345177</v>
      </c>
      <c r="M4084">
        <v>-268904</v>
      </c>
      <c r="N4084">
        <v>97848</v>
      </c>
      <c r="O4084" t="s">
        <v>4102</v>
      </c>
      <c r="P4084" s="9">
        <v>278861</v>
      </c>
      <c r="Q4084" s="9">
        <v>42007</v>
      </c>
      <c r="R4084" s="9">
        <v>320868</v>
      </c>
      <c r="S4084" s="9">
        <v>-155918</v>
      </c>
      <c r="T4084" s="10">
        <v>151885</v>
      </c>
      <c r="U4084" s="10">
        <v>3015</v>
      </c>
    </row>
    <row r="4085" spans="1:21" x14ac:dyDescent="0.35">
      <c r="A4085" t="s">
        <v>15</v>
      </c>
      <c r="B4085" t="s">
        <v>16</v>
      </c>
      <c r="C4085" t="s">
        <v>21</v>
      </c>
      <c r="D4085">
        <v>236194</v>
      </c>
      <c r="E4085">
        <v>43214</v>
      </c>
      <c r="F4085">
        <v>50377</v>
      </c>
      <c r="G4085">
        <v>-226089</v>
      </c>
      <c r="H4085">
        <v>103696</v>
      </c>
      <c r="I4085">
        <v>95867</v>
      </c>
      <c r="J4085">
        <v>1507</v>
      </c>
      <c r="K4085">
        <v>709987</v>
      </c>
      <c r="L4085">
        <v>268305</v>
      </c>
      <c r="M4085">
        <v>-132623</v>
      </c>
      <c r="N4085">
        <v>102923</v>
      </c>
      <c r="O4085" t="s">
        <v>4103</v>
      </c>
      <c r="P4085" s="9">
        <v>260245</v>
      </c>
      <c r="Q4085" s="9">
        <v>15792</v>
      </c>
      <c r="R4085" s="9">
        <v>276037</v>
      </c>
      <c r="S4085" s="9">
        <v>-151816</v>
      </c>
      <c r="T4085" s="10">
        <v>101771</v>
      </c>
      <c r="U4085" s="10">
        <v>1096</v>
      </c>
    </row>
    <row r="4086" spans="1:21" x14ac:dyDescent="0.35">
      <c r="A4086" t="s">
        <v>15</v>
      </c>
      <c r="B4086" t="s">
        <v>20</v>
      </c>
      <c r="C4086" t="s">
        <v>21</v>
      </c>
      <c r="D4086">
        <v>253107</v>
      </c>
      <c r="E4086">
        <v>26777</v>
      </c>
      <c r="F4086">
        <v>60318</v>
      </c>
      <c r="G4086">
        <v>-204440</v>
      </c>
      <c r="H4086">
        <v>135762</v>
      </c>
      <c r="I4086">
        <v>128400</v>
      </c>
      <c r="J4086">
        <v>3805</v>
      </c>
      <c r="K4086">
        <v>715197</v>
      </c>
      <c r="L4086">
        <v>149836</v>
      </c>
      <c r="M4086">
        <v>-153545</v>
      </c>
      <c r="N4086">
        <v>127096</v>
      </c>
      <c r="O4086" t="s">
        <v>4104</v>
      </c>
      <c r="P4086" s="9">
        <v>211280</v>
      </c>
      <c r="Q4086" s="9">
        <v>18251</v>
      </c>
      <c r="R4086" s="9">
        <v>229531</v>
      </c>
      <c r="S4086" s="9">
        <v>-85670</v>
      </c>
      <c r="T4086" s="10">
        <v>88597</v>
      </c>
      <c r="U4086" s="10">
        <v>2586</v>
      </c>
    </row>
    <row r="4087" spans="1:21" x14ac:dyDescent="0.35">
      <c r="A4087" t="s">
        <v>15</v>
      </c>
      <c r="B4087" t="s">
        <v>20</v>
      </c>
      <c r="C4087" t="s">
        <v>17</v>
      </c>
      <c r="D4087">
        <v>263888</v>
      </c>
      <c r="E4087">
        <v>27150</v>
      </c>
      <c r="F4087">
        <v>35000</v>
      </c>
      <c r="G4087">
        <v>-227504</v>
      </c>
      <c r="H4087">
        <v>98534</v>
      </c>
      <c r="I4087">
        <v>92755</v>
      </c>
      <c r="J4087">
        <v>1958</v>
      </c>
      <c r="K4087">
        <v>595604</v>
      </c>
      <c r="L4087">
        <v>267602</v>
      </c>
      <c r="M4087">
        <v>-171268</v>
      </c>
      <c r="N4087">
        <v>222197</v>
      </c>
      <c r="O4087" t="s">
        <v>4105</v>
      </c>
      <c r="P4087" s="9">
        <v>270892</v>
      </c>
      <c r="Q4087" s="9">
        <v>15983</v>
      </c>
      <c r="R4087" s="9">
        <v>286875</v>
      </c>
      <c r="S4087" s="9">
        <v>-139539</v>
      </c>
      <c r="T4087" s="10">
        <v>129706</v>
      </c>
      <c r="U4087" s="10">
        <v>3427</v>
      </c>
    </row>
    <row r="4088" spans="1:21" x14ac:dyDescent="0.35">
      <c r="A4088" t="s">
        <v>15</v>
      </c>
      <c r="B4088" t="s">
        <v>20</v>
      </c>
      <c r="C4088" t="s">
        <v>21</v>
      </c>
      <c r="D4088">
        <v>173962</v>
      </c>
      <c r="E4088">
        <v>11619</v>
      </c>
      <c r="F4088">
        <v>36550</v>
      </c>
      <c r="G4088">
        <v>-141184</v>
      </c>
      <c r="H4088">
        <v>80947</v>
      </c>
      <c r="I4088">
        <v>83195</v>
      </c>
      <c r="J4088">
        <v>1125</v>
      </c>
      <c r="K4088">
        <v>670307</v>
      </c>
      <c r="L4088">
        <v>235894</v>
      </c>
      <c r="M4088">
        <v>-125324</v>
      </c>
      <c r="N4088">
        <v>105828</v>
      </c>
      <c r="O4088" t="s">
        <v>4106</v>
      </c>
      <c r="P4088" s="9">
        <v>168660</v>
      </c>
      <c r="Q4088" s="9">
        <v>23230</v>
      </c>
      <c r="R4088" s="9">
        <v>191890</v>
      </c>
      <c r="S4088" s="9">
        <v>-111001</v>
      </c>
      <c r="T4088" s="10">
        <v>59805</v>
      </c>
      <c r="U4088" s="10">
        <v>1526</v>
      </c>
    </row>
    <row r="4089" spans="1:21" x14ac:dyDescent="0.35">
      <c r="A4089" t="s">
        <v>15</v>
      </c>
      <c r="B4089" t="s">
        <v>16</v>
      </c>
      <c r="C4089" t="s">
        <v>21</v>
      </c>
      <c r="D4089">
        <v>231702</v>
      </c>
      <c r="E4089">
        <v>44556</v>
      </c>
      <c r="F4089">
        <v>45645</v>
      </c>
      <c r="G4089">
        <v>-197034</v>
      </c>
      <c r="H4089">
        <v>124869</v>
      </c>
      <c r="I4089">
        <v>128567</v>
      </c>
      <c r="J4089">
        <v>2939</v>
      </c>
      <c r="K4089">
        <v>497034</v>
      </c>
      <c r="L4089">
        <v>197331</v>
      </c>
      <c r="M4089">
        <v>-50885</v>
      </c>
      <c r="N4089">
        <v>76048</v>
      </c>
      <c r="O4089" t="s">
        <v>4107</v>
      </c>
      <c r="P4089" s="9">
        <v>160555</v>
      </c>
      <c r="Q4089" s="9">
        <v>16010</v>
      </c>
      <c r="R4089" s="9">
        <v>176565</v>
      </c>
      <c r="S4089" s="9">
        <v>-92677</v>
      </c>
      <c r="T4089" s="10">
        <v>70351</v>
      </c>
      <c r="U4089" s="10">
        <v>1453</v>
      </c>
    </row>
    <row r="4090" spans="1:21" x14ac:dyDescent="0.35">
      <c r="A4090" t="s">
        <v>15</v>
      </c>
      <c r="B4090" t="s">
        <v>20</v>
      </c>
      <c r="C4090" t="s">
        <v>21</v>
      </c>
      <c r="D4090">
        <v>156013</v>
      </c>
      <c r="E4090">
        <v>26332</v>
      </c>
      <c r="F4090">
        <v>19938</v>
      </c>
      <c r="G4090">
        <v>-150791</v>
      </c>
      <c r="H4090">
        <v>51492</v>
      </c>
      <c r="I4090">
        <v>50205</v>
      </c>
      <c r="J4090">
        <v>795</v>
      </c>
      <c r="K4090">
        <v>556265</v>
      </c>
      <c r="L4090">
        <v>78485</v>
      </c>
      <c r="M4090">
        <v>-218845</v>
      </c>
      <c r="N4090">
        <v>89670</v>
      </c>
      <c r="O4090" t="s">
        <v>4108</v>
      </c>
      <c r="P4090" s="9">
        <v>156178</v>
      </c>
      <c r="Q4090" s="9">
        <v>15493</v>
      </c>
      <c r="R4090" s="9">
        <v>171671</v>
      </c>
      <c r="S4090" s="9">
        <v>-102015</v>
      </c>
      <c r="T4090" s="10">
        <v>65161</v>
      </c>
      <c r="U4090" s="10">
        <v>924</v>
      </c>
    </row>
    <row r="4091" spans="1:21" x14ac:dyDescent="0.35">
      <c r="A4091" t="s">
        <v>15</v>
      </c>
      <c r="B4091" t="s">
        <v>20</v>
      </c>
      <c r="C4091" t="s">
        <v>21</v>
      </c>
      <c r="D4091">
        <v>252878</v>
      </c>
      <c r="E4091">
        <v>21776</v>
      </c>
      <c r="F4091">
        <v>48337</v>
      </c>
      <c r="G4091">
        <v>-213105</v>
      </c>
      <c r="H4091">
        <v>109886</v>
      </c>
      <c r="I4091">
        <v>103253</v>
      </c>
      <c r="J4091">
        <v>2602</v>
      </c>
      <c r="K4091">
        <v>652978</v>
      </c>
      <c r="L4091">
        <v>127991</v>
      </c>
      <c r="M4091">
        <v>-213159</v>
      </c>
      <c r="N4091">
        <v>142591</v>
      </c>
      <c r="O4091" t="s">
        <v>4109</v>
      </c>
      <c r="P4091" s="9">
        <v>221952</v>
      </c>
      <c r="Q4091" s="9">
        <v>11880</v>
      </c>
      <c r="R4091" s="9">
        <v>233832</v>
      </c>
      <c r="S4091" s="9">
        <v>-61124</v>
      </c>
      <c r="T4091" s="10">
        <v>43889</v>
      </c>
      <c r="U4091" s="10">
        <v>1059</v>
      </c>
    </row>
    <row r="4092" spans="1:21" x14ac:dyDescent="0.35">
      <c r="A4092" t="s">
        <v>15</v>
      </c>
      <c r="B4092" t="s">
        <v>16</v>
      </c>
      <c r="C4092" t="s">
        <v>21</v>
      </c>
      <c r="D4092">
        <v>285519</v>
      </c>
      <c r="E4092">
        <v>54428</v>
      </c>
      <c r="F4092">
        <v>30604</v>
      </c>
      <c r="G4092">
        <v>-270095</v>
      </c>
      <c r="H4092">
        <v>100456</v>
      </c>
      <c r="I4092">
        <v>99940</v>
      </c>
      <c r="J4092">
        <v>1529</v>
      </c>
      <c r="K4092">
        <v>762512</v>
      </c>
      <c r="L4092">
        <v>235979</v>
      </c>
      <c r="M4092">
        <v>-258539</v>
      </c>
      <c r="N4092">
        <v>159129</v>
      </c>
      <c r="O4092" t="s">
        <v>4110</v>
      </c>
      <c r="P4092" s="9">
        <v>310091</v>
      </c>
      <c r="Q4092" s="9">
        <v>50380</v>
      </c>
      <c r="R4092" s="9">
        <v>360471</v>
      </c>
      <c r="S4092" s="9">
        <v>-213574</v>
      </c>
      <c r="T4092" s="10">
        <v>85063</v>
      </c>
      <c r="U4092" s="10">
        <v>1410</v>
      </c>
    </row>
    <row r="4093" spans="1:21" x14ac:dyDescent="0.35">
      <c r="A4093" t="s">
        <v>15</v>
      </c>
      <c r="B4093" t="s">
        <v>20</v>
      </c>
      <c r="C4093" t="s">
        <v>17</v>
      </c>
      <c r="D4093">
        <v>281192</v>
      </c>
      <c r="E4093">
        <v>18649</v>
      </c>
      <c r="F4093">
        <v>37412</v>
      </c>
      <c r="G4093">
        <v>-262639</v>
      </c>
      <c r="H4093">
        <v>74614</v>
      </c>
      <c r="I4093">
        <v>71835</v>
      </c>
      <c r="J4093">
        <v>1754</v>
      </c>
      <c r="K4093">
        <v>1013328</v>
      </c>
      <c r="L4093">
        <v>415579</v>
      </c>
      <c r="M4093">
        <v>-147827</v>
      </c>
      <c r="N4093">
        <v>218286</v>
      </c>
      <c r="O4093" t="s">
        <v>4111</v>
      </c>
      <c r="P4093" s="9">
        <v>186476</v>
      </c>
      <c r="Q4093" s="9">
        <v>21819</v>
      </c>
      <c r="R4093" s="9">
        <v>208295</v>
      </c>
      <c r="S4093" s="9">
        <v>-82978</v>
      </c>
      <c r="T4093" s="10">
        <v>54291</v>
      </c>
      <c r="U4093" s="10">
        <v>1227</v>
      </c>
    </row>
    <row r="4094" spans="1:21" x14ac:dyDescent="0.35">
      <c r="A4094" t="s">
        <v>15</v>
      </c>
      <c r="B4094" t="s">
        <v>20</v>
      </c>
      <c r="C4094" t="s">
        <v>17</v>
      </c>
      <c r="D4094">
        <v>170686</v>
      </c>
      <c r="E4094">
        <v>22819</v>
      </c>
      <c r="F4094">
        <v>39525</v>
      </c>
      <c r="G4094">
        <v>-164179</v>
      </c>
      <c r="H4094">
        <v>68851</v>
      </c>
      <c r="I4094">
        <v>62963</v>
      </c>
      <c r="J4094">
        <v>654</v>
      </c>
      <c r="K4094">
        <v>487523</v>
      </c>
      <c r="L4094">
        <v>67807</v>
      </c>
      <c r="M4094">
        <v>-56996</v>
      </c>
      <c r="N4094">
        <v>63615</v>
      </c>
      <c r="O4094" t="s">
        <v>4112</v>
      </c>
      <c r="P4094" s="9">
        <v>279207</v>
      </c>
      <c r="Q4094" s="9">
        <v>31347</v>
      </c>
      <c r="R4094" s="9">
        <v>310554</v>
      </c>
      <c r="S4094" s="9">
        <v>-137480</v>
      </c>
      <c r="T4094" s="10">
        <v>85514</v>
      </c>
      <c r="U4094" s="10">
        <v>1564</v>
      </c>
    </row>
    <row r="4095" spans="1:21" x14ac:dyDescent="0.35">
      <c r="A4095" t="s">
        <v>15</v>
      </c>
      <c r="B4095" t="s">
        <v>16</v>
      </c>
      <c r="C4095" t="s">
        <v>21</v>
      </c>
      <c r="D4095">
        <v>171853</v>
      </c>
      <c r="E4095">
        <v>19135</v>
      </c>
      <c r="F4095">
        <v>24608</v>
      </c>
      <c r="G4095">
        <v>-165514</v>
      </c>
      <c r="H4095">
        <v>50082</v>
      </c>
      <c r="I4095">
        <v>49662</v>
      </c>
      <c r="J4095">
        <v>1113</v>
      </c>
      <c r="K4095">
        <v>672675</v>
      </c>
      <c r="L4095">
        <v>264254</v>
      </c>
      <c r="M4095">
        <v>-201941</v>
      </c>
      <c r="N4095">
        <v>101427</v>
      </c>
      <c r="O4095" t="s">
        <v>4113</v>
      </c>
      <c r="P4095" s="9">
        <v>232916</v>
      </c>
      <c r="Q4095" s="9">
        <v>28938</v>
      </c>
      <c r="R4095" s="9">
        <v>261854</v>
      </c>
      <c r="S4095" s="9">
        <v>-92380</v>
      </c>
      <c r="T4095" s="10">
        <v>56149</v>
      </c>
      <c r="U4095" s="10">
        <v>1191</v>
      </c>
    </row>
    <row r="4096" spans="1:21" x14ac:dyDescent="0.35">
      <c r="A4096" t="s">
        <v>15</v>
      </c>
      <c r="B4096" t="s">
        <v>20</v>
      </c>
      <c r="C4096" t="s">
        <v>21</v>
      </c>
      <c r="D4096">
        <v>234475</v>
      </c>
      <c r="E4096">
        <v>38542</v>
      </c>
      <c r="F4096">
        <v>46094</v>
      </c>
      <c r="G4096">
        <v>-191310</v>
      </c>
      <c r="H4096">
        <v>127801</v>
      </c>
      <c r="I4096">
        <v>131493</v>
      </c>
      <c r="J4096">
        <v>3157</v>
      </c>
      <c r="K4096">
        <v>833866</v>
      </c>
      <c r="L4096">
        <v>301313</v>
      </c>
      <c r="M4096">
        <v>-154879</v>
      </c>
      <c r="N4096">
        <v>128222</v>
      </c>
      <c r="O4096" t="s">
        <v>4114</v>
      </c>
      <c r="P4096" s="9">
        <v>229431</v>
      </c>
      <c r="Q4096" s="9">
        <v>36438</v>
      </c>
      <c r="R4096" s="9">
        <v>265869</v>
      </c>
      <c r="S4096" s="9">
        <v>-64164</v>
      </c>
      <c r="T4096" s="10">
        <v>138224</v>
      </c>
      <c r="U4096" s="10">
        <v>2886</v>
      </c>
    </row>
    <row r="4097" spans="1:21" x14ac:dyDescent="0.35">
      <c r="A4097" t="s">
        <v>15</v>
      </c>
      <c r="B4097" t="s">
        <v>20</v>
      </c>
      <c r="C4097" t="s">
        <v>21</v>
      </c>
      <c r="D4097">
        <v>268557</v>
      </c>
      <c r="E4097">
        <v>17028</v>
      </c>
      <c r="F4097">
        <v>60696</v>
      </c>
      <c r="G4097">
        <v>-232377</v>
      </c>
      <c r="H4097">
        <v>113904</v>
      </c>
      <c r="I4097">
        <v>118388</v>
      </c>
      <c r="J4097">
        <v>1523</v>
      </c>
      <c r="K4097">
        <v>587658</v>
      </c>
      <c r="L4097">
        <v>187356</v>
      </c>
      <c r="M4097">
        <v>-218454</v>
      </c>
      <c r="N4097">
        <v>172449</v>
      </c>
      <c r="O4097" t="s">
        <v>4115</v>
      </c>
      <c r="P4097" s="9">
        <v>280327</v>
      </c>
      <c r="Q4097" s="9">
        <v>32911</v>
      </c>
      <c r="R4097" s="9">
        <v>313238</v>
      </c>
      <c r="S4097" s="9">
        <v>-127242</v>
      </c>
      <c r="T4097" s="10">
        <v>117893</v>
      </c>
      <c r="U4097" s="10">
        <v>2106</v>
      </c>
    </row>
    <row r="4098" spans="1:21" x14ac:dyDescent="0.35">
      <c r="A4098" t="s">
        <v>15</v>
      </c>
      <c r="B4098" t="s">
        <v>16</v>
      </c>
      <c r="C4098" t="s">
        <v>17</v>
      </c>
      <c r="D4098">
        <v>232093</v>
      </c>
      <c r="E4098">
        <v>22042</v>
      </c>
      <c r="F4098">
        <v>29115</v>
      </c>
      <c r="G4098">
        <v>-224128</v>
      </c>
      <c r="H4098">
        <v>59122</v>
      </c>
      <c r="I4098">
        <v>57210</v>
      </c>
      <c r="J4098">
        <v>1150</v>
      </c>
      <c r="K4098">
        <v>820293</v>
      </c>
      <c r="L4098">
        <v>154099</v>
      </c>
      <c r="M4098">
        <v>-187639</v>
      </c>
      <c r="N4098">
        <v>173179</v>
      </c>
      <c r="O4098" t="s">
        <v>4116</v>
      </c>
      <c r="P4098" s="9">
        <v>250465</v>
      </c>
      <c r="Q4098" s="9">
        <v>23648</v>
      </c>
      <c r="R4098" s="9">
        <v>274113</v>
      </c>
      <c r="S4098" s="9">
        <v>-87538</v>
      </c>
      <c r="T4098" s="10">
        <v>58296</v>
      </c>
      <c r="U4098" s="10">
        <v>1016</v>
      </c>
    </row>
    <row r="4099" spans="1:21" x14ac:dyDescent="0.35">
      <c r="A4099" t="s">
        <v>15</v>
      </c>
      <c r="B4099" t="s">
        <v>16</v>
      </c>
      <c r="C4099" t="s">
        <v>21</v>
      </c>
      <c r="D4099">
        <v>284225</v>
      </c>
      <c r="E4099">
        <v>53936</v>
      </c>
      <c r="F4099">
        <v>44522</v>
      </c>
      <c r="G4099">
        <v>-278572</v>
      </c>
      <c r="H4099">
        <v>104111</v>
      </c>
      <c r="I4099">
        <v>105704</v>
      </c>
      <c r="J4099">
        <v>2698</v>
      </c>
      <c r="K4099">
        <v>689216</v>
      </c>
      <c r="L4099">
        <v>222782</v>
      </c>
      <c r="M4099">
        <v>-230770</v>
      </c>
      <c r="N4099">
        <v>156377</v>
      </c>
      <c r="O4099" t="s">
        <v>4117</v>
      </c>
      <c r="P4099" s="9">
        <v>150255</v>
      </c>
      <c r="Q4099" s="9">
        <v>32696</v>
      </c>
      <c r="R4099" s="9">
        <v>182951</v>
      </c>
      <c r="S4099" s="9">
        <v>-62950</v>
      </c>
      <c r="T4099" s="10">
        <v>61347</v>
      </c>
      <c r="U4099" s="10">
        <v>680</v>
      </c>
    </row>
    <row r="4100" spans="1:21" x14ac:dyDescent="0.35">
      <c r="A4100" t="s">
        <v>15</v>
      </c>
      <c r="B4100" t="s">
        <v>20</v>
      </c>
      <c r="C4100" t="s">
        <v>21</v>
      </c>
      <c r="D4100">
        <v>282442</v>
      </c>
      <c r="E4100">
        <v>49539</v>
      </c>
      <c r="F4100">
        <v>36160</v>
      </c>
      <c r="G4100">
        <v>-260983</v>
      </c>
      <c r="H4100">
        <v>107158</v>
      </c>
      <c r="I4100">
        <v>99976</v>
      </c>
      <c r="J4100">
        <v>1258</v>
      </c>
      <c r="K4100">
        <v>745753</v>
      </c>
      <c r="L4100">
        <v>367836</v>
      </c>
      <c r="M4100">
        <v>-199793</v>
      </c>
      <c r="N4100">
        <v>151770</v>
      </c>
      <c r="O4100" t="s">
        <v>4118</v>
      </c>
      <c r="P4100" s="9">
        <v>288819</v>
      </c>
      <c r="Q4100" s="9">
        <v>47702</v>
      </c>
      <c r="R4100" s="9">
        <v>336521</v>
      </c>
      <c r="S4100" s="9">
        <v>-78966</v>
      </c>
      <c r="T4100" s="10">
        <v>137077</v>
      </c>
      <c r="U4100" s="10">
        <v>1789</v>
      </c>
    </row>
    <row r="4101" spans="1:21" x14ac:dyDescent="0.35">
      <c r="A4101" t="s">
        <v>15</v>
      </c>
      <c r="B4101" t="s">
        <v>16</v>
      </c>
      <c r="C4101" t="s">
        <v>17</v>
      </c>
      <c r="D4101">
        <v>184496</v>
      </c>
      <c r="E4101">
        <v>34947</v>
      </c>
      <c r="F4101">
        <v>43386</v>
      </c>
      <c r="G4101">
        <v>-165813</v>
      </c>
      <c r="H4101">
        <v>97016</v>
      </c>
      <c r="I4101">
        <v>97706</v>
      </c>
      <c r="J4101">
        <v>1331</v>
      </c>
      <c r="K4101">
        <v>634059</v>
      </c>
      <c r="L4101">
        <v>172831</v>
      </c>
      <c r="M4101">
        <v>-103906</v>
      </c>
      <c r="N4101">
        <v>94753</v>
      </c>
      <c r="O4101" t="s">
        <v>4119</v>
      </c>
      <c r="P4101" s="9">
        <v>223151</v>
      </c>
      <c r="Q4101" s="9">
        <v>10789</v>
      </c>
      <c r="R4101" s="9">
        <v>233940</v>
      </c>
      <c r="S4101" s="9">
        <v>-77904</v>
      </c>
      <c r="T4101" s="10">
        <v>79777</v>
      </c>
      <c r="U4101" s="10">
        <v>2019</v>
      </c>
    </row>
    <row r="4102" spans="1:21" x14ac:dyDescent="0.35">
      <c r="A4102" t="s">
        <v>15</v>
      </c>
      <c r="B4102" t="s">
        <v>16</v>
      </c>
      <c r="C4102" t="s">
        <v>21</v>
      </c>
      <c r="D4102">
        <v>254919</v>
      </c>
      <c r="E4102">
        <v>19406</v>
      </c>
      <c r="F4102">
        <v>26784</v>
      </c>
      <c r="G4102">
        <v>-229720</v>
      </c>
      <c r="H4102">
        <v>71389</v>
      </c>
      <c r="I4102">
        <v>73146</v>
      </c>
      <c r="J4102">
        <v>1526</v>
      </c>
      <c r="K4102">
        <v>915245</v>
      </c>
      <c r="L4102">
        <v>453346</v>
      </c>
      <c r="M4102">
        <v>-172344</v>
      </c>
      <c r="N4102">
        <v>216627</v>
      </c>
      <c r="O4102" t="s">
        <v>4120</v>
      </c>
      <c r="P4102" s="9">
        <v>230670</v>
      </c>
      <c r="Q4102" s="9">
        <v>36318</v>
      </c>
      <c r="R4102" s="9">
        <v>266988</v>
      </c>
      <c r="S4102" s="9">
        <v>-140269</v>
      </c>
      <c r="T4102" s="10">
        <v>112994</v>
      </c>
      <c r="U4102" s="10">
        <v>1528</v>
      </c>
    </row>
    <row r="4103" spans="1:21" x14ac:dyDescent="0.35">
      <c r="A4103" t="s">
        <v>15</v>
      </c>
      <c r="B4103" t="s">
        <v>16</v>
      </c>
      <c r="C4103" t="s">
        <v>21</v>
      </c>
      <c r="D4103">
        <v>213209</v>
      </c>
      <c r="E4103">
        <v>18746</v>
      </c>
      <c r="F4103">
        <v>37702</v>
      </c>
      <c r="G4103">
        <v>-211666</v>
      </c>
      <c r="H4103">
        <v>57991</v>
      </c>
      <c r="I4103">
        <v>60183</v>
      </c>
      <c r="J4103">
        <v>1346</v>
      </c>
      <c r="K4103">
        <v>434688</v>
      </c>
      <c r="L4103">
        <v>159085</v>
      </c>
      <c r="M4103">
        <v>-133389</v>
      </c>
      <c r="N4103">
        <v>136751</v>
      </c>
      <c r="O4103" t="s">
        <v>4121</v>
      </c>
      <c r="P4103" s="9">
        <v>293716</v>
      </c>
      <c r="Q4103" s="9">
        <v>19664</v>
      </c>
      <c r="R4103" s="9">
        <v>313380</v>
      </c>
      <c r="S4103" s="9">
        <v>-103635</v>
      </c>
      <c r="T4103" s="10">
        <v>123405</v>
      </c>
      <c r="U4103" s="10">
        <v>2735</v>
      </c>
    </row>
    <row r="4104" spans="1:21" x14ac:dyDescent="0.35">
      <c r="A4104" t="s">
        <v>15</v>
      </c>
      <c r="B4104" t="s">
        <v>16</v>
      </c>
      <c r="C4104" t="s">
        <v>21</v>
      </c>
      <c r="D4104">
        <v>172748</v>
      </c>
      <c r="E4104">
        <v>24963</v>
      </c>
      <c r="F4104">
        <v>31050</v>
      </c>
      <c r="G4104">
        <v>-145396</v>
      </c>
      <c r="H4104">
        <v>83365</v>
      </c>
      <c r="I4104">
        <v>75147</v>
      </c>
      <c r="J4104">
        <v>1905</v>
      </c>
      <c r="K4104">
        <v>521450</v>
      </c>
      <c r="L4104">
        <v>106332</v>
      </c>
      <c r="M4104">
        <v>-66113</v>
      </c>
      <c r="N4104">
        <v>153259</v>
      </c>
      <c r="O4104" t="s">
        <v>4122</v>
      </c>
      <c r="P4104" s="9">
        <v>208523</v>
      </c>
      <c r="Q4104" s="9">
        <v>37139</v>
      </c>
      <c r="R4104" s="9">
        <v>245662</v>
      </c>
      <c r="S4104" s="9">
        <v>-83807</v>
      </c>
      <c r="T4104" s="10">
        <v>91335</v>
      </c>
      <c r="U4104" s="10">
        <v>953</v>
      </c>
    </row>
    <row r="4105" spans="1:21" x14ac:dyDescent="0.35">
      <c r="A4105" t="s">
        <v>15</v>
      </c>
      <c r="B4105" t="s">
        <v>16</v>
      </c>
      <c r="C4105" t="s">
        <v>21</v>
      </c>
      <c r="D4105">
        <v>273866</v>
      </c>
      <c r="E4105">
        <v>45351</v>
      </c>
      <c r="F4105">
        <v>66433</v>
      </c>
      <c r="G4105">
        <v>-230412</v>
      </c>
      <c r="H4105">
        <v>155238</v>
      </c>
      <c r="I4105">
        <v>155200</v>
      </c>
      <c r="J4105">
        <v>2958</v>
      </c>
      <c r="K4105">
        <v>587209</v>
      </c>
      <c r="L4105">
        <v>97964</v>
      </c>
      <c r="M4105">
        <v>-180945</v>
      </c>
      <c r="N4105">
        <v>180323</v>
      </c>
      <c r="O4105" t="s">
        <v>4123</v>
      </c>
      <c r="P4105" s="9">
        <v>249791</v>
      </c>
      <c r="Q4105" s="9">
        <v>46169</v>
      </c>
      <c r="R4105" s="9">
        <v>295960</v>
      </c>
      <c r="S4105" s="9">
        <v>-133499</v>
      </c>
      <c r="T4105" s="10">
        <v>151500</v>
      </c>
      <c r="U4105" s="10">
        <v>2983</v>
      </c>
    </row>
    <row r="4106" spans="1:21" x14ac:dyDescent="0.35">
      <c r="A4106" t="s">
        <v>15</v>
      </c>
      <c r="B4106" t="s">
        <v>20</v>
      </c>
      <c r="C4106" t="s">
        <v>17</v>
      </c>
      <c r="D4106">
        <v>201321</v>
      </c>
      <c r="E4106">
        <v>23895</v>
      </c>
      <c r="F4106">
        <v>44240</v>
      </c>
      <c r="G4106">
        <v>-192924</v>
      </c>
      <c r="H4106">
        <v>76532</v>
      </c>
      <c r="I4106">
        <v>80100</v>
      </c>
      <c r="J4106">
        <v>1740</v>
      </c>
      <c r="K4106">
        <v>456061</v>
      </c>
      <c r="L4106">
        <v>62179</v>
      </c>
      <c r="M4106">
        <v>-178793</v>
      </c>
      <c r="N4106">
        <v>172933</v>
      </c>
      <c r="O4106" t="s">
        <v>4124</v>
      </c>
      <c r="P4106" s="9">
        <v>171339</v>
      </c>
      <c r="Q4106" s="9">
        <v>18824</v>
      </c>
      <c r="R4106" s="9">
        <v>190163</v>
      </c>
      <c r="S4106" s="9">
        <v>-70513</v>
      </c>
      <c r="T4106" s="10">
        <v>69381</v>
      </c>
      <c r="U4106" s="10">
        <v>1845</v>
      </c>
    </row>
    <row r="4107" spans="1:21" x14ac:dyDescent="0.35">
      <c r="A4107" t="s">
        <v>15</v>
      </c>
      <c r="B4107" t="s">
        <v>16</v>
      </c>
      <c r="C4107" t="s">
        <v>21</v>
      </c>
      <c r="D4107">
        <v>179090</v>
      </c>
      <c r="E4107">
        <v>30270</v>
      </c>
      <c r="F4107">
        <v>22899</v>
      </c>
      <c r="G4107">
        <v>-168915</v>
      </c>
      <c r="H4107">
        <v>63344</v>
      </c>
      <c r="I4107">
        <v>59628</v>
      </c>
      <c r="J4107">
        <v>1491</v>
      </c>
      <c r="K4107">
        <v>401391</v>
      </c>
      <c r="L4107">
        <v>177278</v>
      </c>
      <c r="M4107">
        <v>-121419</v>
      </c>
      <c r="N4107">
        <v>95384</v>
      </c>
      <c r="O4107" t="s">
        <v>4125</v>
      </c>
      <c r="P4107" s="9">
        <v>230005</v>
      </c>
      <c r="Q4107" s="9">
        <v>39992</v>
      </c>
      <c r="R4107" s="9">
        <v>269997</v>
      </c>
      <c r="S4107" s="9">
        <v>-75733</v>
      </c>
      <c r="T4107" s="10">
        <v>113334</v>
      </c>
      <c r="U4107" s="10">
        <v>2862</v>
      </c>
    </row>
    <row r="4108" spans="1:21" x14ac:dyDescent="0.35">
      <c r="A4108" t="s">
        <v>15</v>
      </c>
      <c r="B4108" t="s">
        <v>16</v>
      </c>
      <c r="C4108" t="s">
        <v>17</v>
      </c>
      <c r="D4108">
        <v>248248</v>
      </c>
      <c r="E4108">
        <v>19973</v>
      </c>
      <c r="F4108">
        <v>45600</v>
      </c>
      <c r="G4108">
        <v>-226311</v>
      </c>
      <c r="H4108">
        <v>87510</v>
      </c>
      <c r="I4108">
        <v>82652</v>
      </c>
      <c r="J4108">
        <v>1742</v>
      </c>
      <c r="K4108">
        <v>988824</v>
      </c>
      <c r="L4108">
        <v>389937</v>
      </c>
      <c r="M4108">
        <v>-166553</v>
      </c>
      <c r="N4108">
        <v>78119</v>
      </c>
      <c r="O4108" t="s">
        <v>4126</v>
      </c>
      <c r="P4108" s="9">
        <v>191519</v>
      </c>
      <c r="Q4108" s="9">
        <v>13517</v>
      </c>
      <c r="R4108" s="9">
        <v>205036</v>
      </c>
      <c r="S4108" s="9">
        <v>-72553</v>
      </c>
      <c r="T4108" s="10">
        <v>78219</v>
      </c>
      <c r="U4108" s="10">
        <v>1705</v>
      </c>
    </row>
    <row r="4109" spans="1:21" x14ac:dyDescent="0.35">
      <c r="A4109" t="s">
        <v>15</v>
      </c>
      <c r="B4109" t="s">
        <v>16</v>
      </c>
      <c r="C4109" t="s">
        <v>17</v>
      </c>
      <c r="D4109">
        <v>267134</v>
      </c>
      <c r="E4109">
        <v>44658</v>
      </c>
      <c r="F4109">
        <v>47069</v>
      </c>
      <c r="G4109">
        <v>-260129</v>
      </c>
      <c r="H4109">
        <v>98732</v>
      </c>
      <c r="I4109">
        <v>98031</v>
      </c>
      <c r="J4109">
        <v>2567</v>
      </c>
      <c r="K4109">
        <v>1027136</v>
      </c>
      <c r="L4109">
        <v>433573</v>
      </c>
      <c r="M4109">
        <v>-398621</v>
      </c>
      <c r="N4109">
        <v>229171</v>
      </c>
      <c r="O4109" t="s">
        <v>4127</v>
      </c>
      <c r="P4109" s="9">
        <v>227395</v>
      </c>
      <c r="Q4109" s="9">
        <v>41614</v>
      </c>
      <c r="R4109" s="9">
        <v>269009</v>
      </c>
      <c r="S4109" s="9">
        <v>-94564</v>
      </c>
      <c r="T4109" s="10">
        <v>110610</v>
      </c>
      <c r="U4109" s="10">
        <v>1716</v>
      </c>
    </row>
    <row r="4110" spans="1:21" x14ac:dyDescent="0.35">
      <c r="A4110" t="s">
        <v>15</v>
      </c>
      <c r="B4110" t="s">
        <v>16</v>
      </c>
      <c r="C4110" t="s">
        <v>21</v>
      </c>
      <c r="D4110">
        <v>244798</v>
      </c>
      <c r="E4110">
        <v>27545</v>
      </c>
      <c r="F4110">
        <v>59093</v>
      </c>
      <c r="G4110">
        <v>-225720</v>
      </c>
      <c r="H4110">
        <v>105716</v>
      </c>
      <c r="I4110">
        <v>99859</v>
      </c>
      <c r="J4110">
        <v>1050</v>
      </c>
      <c r="K4110">
        <v>937124</v>
      </c>
      <c r="L4110">
        <v>302981</v>
      </c>
      <c r="M4110">
        <v>-110236</v>
      </c>
      <c r="N4110">
        <v>95695</v>
      </c>
      <c r="O4110" t="s">
        <v>4128</v>
      </c>
      <c r="P4110" s="9">
        <v>182580</v>
      </c>
      <c r="Q4110" s="9">
        <v>36764</v>
      </c>
      <c r="R4110" s="9">
        <v>219344</v>
      </c>
      <c r="S4110" s="9">
        <v>-68275</v>
      </c>
      <c r="T4110" s="10">
        <v>79217</v>
      </c>
      <c r="U4110" s="10">
        <v>1718</v>
      </c>
    </row>
    <row r="4111" spans="1:21" x14ac:dyDescent="0.35">
      <c r="A4111" t="s">
        <v>15</v>
      </c>
      <c r="B4111" t="s">
        <v>16</v>
      </c>
      <c r="C4111" t="s">
        <v>17</v>
      </c>
      <c r="D4111">
        <v>216039</v>
      </c>
      <c r="E4111">
        <v>40564</v>
      </c>
      <c r="F4111">
        <v>30579</v>
      </c>
      <c r="G4111">
        <v>-186073</v>
      </c>
      <c r="H4111">
        <v>101109</v>
      </c>
      <c r="I4111">
        <v>97071</v>
      </c>
      <c r="J4111">
        <v>1020</v>
      </c>
      <c r="K4111">
        <v>577715</v>
      </c>
      <c r="L4111">
        <v>199371</v>
      </c>
      <c r="M4111">
        <v>-216044</v>
      </c>
      <c r="N4111">
        <v>183661</v>
      </c>
      <c r="O4111" t="s">
        <v>4129</v>
      </c>
      <c r="P4111" s="9">
        <v>195215</v>
      </c>
      <c r="Q4111" s="9">
        <v>42688</v>
      </c>
      <c r="R4111" s="9">
        <v>237903</v>
      </c>
      <c r="S4111" s="9">
        <v>-101577</v>
      </c>
      <c r="T4111" s="10">
        <v>97042</v>
      </c>
      <c r="U4111" s="10">
        <v>1391</v>
      </c>
    </row>
    <row r="4112" spans="1:21" x14ac:dyDescent="0.35">
      <c r="A4112" t="s">
        <v>15</v>
      </c>
      <c r="B4112" t="s">
        <v>20</v>
      </c>
      <c r="C4112" t="s">
        <v>21</v>
      </c>
      <c r="D4112">
        <v>275546</v>
      </c>
      <c r="E4112">
        <v>22735</v>
      </c>
      <c r="F4112">
        <v>68003</v>
      </c>
      <c r="G4112">
        <v>-258602</v>
      </c>
      <c r="H4112">
        <v>107682</v>
      </c>
      <c r="I4112">
        <v>108222</v>
      </c>
      <c r="J4112">
        <v>2828</v>
      </c>
      <c r="K4112">
        <v>982046</v>
      </c>
      <c r="L4112">
        <v>204459</v>
      </c>
      <c r="M4112">
        <v>-279476</v>
      </c>
      <c r="N4112">
        <v>162408</v>
      </c>
      <c r="O4112" t="s">
        <v>4130</v>
      </c>
      <c r="P4112" s="9">
        <v>202094</v>
      </c>
      <c r="Q4112" s="9">
        <v>21198</v>
      </c>
      <c r="R4112" s="9">
        <v>223292</v>
      </c>
      <c r="S4112" s="9">
        <v>-129795</v>
      </c>
      <c r="T4112" s="10">
        <v>90119</v>
      </c>
      <c r="U4112" s="10">
        <v>1004</v>
      </c>
    </row>
    <row r="4113" spans="1:21" x14ac:dyDescent="0.35">
      <c r="A4113" t="s">
        <v>15</v>
      </c>
      <c r="B4113" t="s">
        <v>20</v>
      </c>
      <c r="C4113" t="s">
        <v>21</v>
      </c>
      <c r="D4113">
        <v>273221</v>
      </c>
      <c r="E4113">
        <v>53028</v>
      </c>
      <c r="F4113">
        <v>45350</v>
      </c>
      <c r="G4113">
        <v>-270735</v>
      </c>
      <c r="H4113">
        <v>100864</v>
      </c>
      <c r="I4113">
        <v>97638</v>
      </c>
      <c r="J4113">
        <v>2664</v>
      </c>
      <c r="K4113">
        <v>600875</v>
      </c>
      <c r="L4113">
        <v>94247</v>
      </c>
      <c r="M4113">
        <v>-95524</v>
      </c>
      <c r="N4113">
        <v>206814</v>
      </c>
      <c r="O4113" t="s">
        <v>4131</v>
      </c>
      <c r="P4113" s="9">
        <v>208396</v>
      </c>
      <c r="Q4113" s="9">
        <v>24434</v>
      </c>
      <c r="R4113" s="9">
        <v>232830</v>
      </c>
      <c r="S4113" s="9">
        <v>-65250</v>
      </c>
      <c r="T4113" s="10">
        <v>88074</v>
      </c>
      <c r="U4113" s="10">
        <v>2313</v>
      </c>
    </row>
    <row r="4114" spans="1:21" x14ac:dyDescent="0.35">
      <c r="A4114" t="s">
        <v>15</v>
      </c>
      <c r="B4114" t="s">
        <v>20</v>
      </c>
      <c r="C4114" t="s">
        <v>21</v>
      </c>
      <c r="D4114">
        <v>282806</v>
      </c>
      <c r="E4114">
        <v>30504</v>
      </c>
      <c r="F4114">
        <v>28666</v>
      </c>
      <c r="G4114">
        <v>-235858</v>
      </c>
      <c r="H4114">
        <v>106118</v>
      </c>
      <c r="I4114">
        <v>98912</v>
      </c>
      <c r="J4114">
        <v>1911</v>
      </c>
      <c r="K4114">
        <v>791763</v>
      </c>
      <c r="L4114">
        <v>193342</v>
      </c>
      <c r="M4114">
        <v>-274865</v>
      </c>
      <c r="N4114">
        <v>236710</v>
      </c>
      <c r="O4114" t="s">
        <v>4132</v>
      </c>
      <c r="P4114" s="9">
        <v>225898</v>
      </c>
      <c r="Q4114" s="9">
        <v>15768</v>
      </c>
      <c r="R4114" s="9">
        <v>241666</v>
      </c>
      <c r="S4114" s="9">
        <v>-60231</v>
      </c>
      <c r="T4114" s="10">
        <v>46245</v>
      </c>
      <c r="U4114" s="10">
        <v>593</v>
      </c>
    </row>
    <row r="4115" spans="1:21" x14ac:dyDescent="0.35">
      <c r="A4115" t="s">
        <v>15</v>
      </c>
      <c r="B4115" t="s">
        <v>20</v>
      </c>
      <c r="C4115" t="s">
        <v>17</v>
      </c>
      <c r="D4115">
        <v>205352</v>
      </c>
      <c r="E4115">
        <v>26569</v>
      </c>
      <c r="F4115">
        <v>22647</v>
      </c>
      <c r="G4115">
        <v>-165473</v>
      </c>
      <c r="H4115">
        <v>89095</v>
      </c>
      <c r="I4115">
        <v>86054</v>
      </c>
      <c r="J4115">
        <v>1639</v>
      </c>
      <c r="K4115">
        <v>755637</v>
      </c>
      <c r="L4115">
        <v>283776</v>
      </c>
      <c r="M4115">
        <v>-268365</v>
      </c>
      <c r="N4115">
        <v>153948</v>
      </c>
      <c r="O4115" t="s">
        <v>4133</v>
      </c>
      <c r="P4115" s="9">
        <v>291888</v>
      </c>
      <c r="Q4115" s="9">
        <v>49916</v>
      </c>
      <c r="R4115" s="9">
        <v>341804</v>
      </c>
      <c r="S4115" s="9">
        <v>-163262</v>
      </c>
      <c r="T4115" s="10">
        <v>116219</v>
      </c>
      <c r="U4115" s="10">
        <v>2832</v>
      </c>
    </row>
    <row r="4116" spans="1:21" x14ac:dyDescent="0.35">
      <c r="A4116" t="s">
        <v>15</v>
      </c>
      <c r="B4116" t="s">
        <v>16</v>
      </c>
      <c r="C4116" t="s">
        <v>17</v>
      </c>
      <c r="D4116">
        <v>254727</v>
      </c>
      <c r="E4116">
        <v>29018</v>
      </c>
      <c r="F4116">
        <v>51711</v>
      </c>
      <c r="G4116">
        <v>-222209</v>
      </c>
      <c r="H4116">
        <v>113247</v>
      </c>
      <c r="I4116">
        <v>110370</v>
      </c>
      <c r="J4116">
        <v>2813</v>
      </c>
      <c r="K4116">
        <v>712296</v>
      </c>
      <c r="L4116">
        <v>158916</v>
      </c>
      <c r="M4116">
        <v>-161005</v>
      </c>
      <c r="N4116">
        <v>171392</v>
      </c>
      <c r="O4116" t="s">
        <v>4134</v>
      </c>
      <c r="P4116" s="9">
        <v>156589</v>
      </c>
      <c r="Q4116" s="9">
        <v>19957</v>
      </c>
      <c r="R4116" s="9">
        <v>176546</v>
      </c>
      <c r="S4116" s="9">
        <v>-81786</v>
      </c>
      <c r="T4116" s="10">
        <v>60162</v>
      </c>
      <c r="U4116" s="10">
        <v>1377</v>
      </c>
    </row>
    <row r="4117" spans="1:21" x14ac:dyDescent="0.35">
      <c r="A4117" t="s">
        <v>15</v>
      </c>
      <c r="B4117" t="s">
        <v>16</v>
      </c>
      <c r="C4117" t="s">
        <v>17</v>
      </c>
      <c r="D4117">
        <v>258657</v>
      </c>
      <c r="E4117">
        <v>42368</v>
      </c>
      <c r="F4117">
        <v>50587</v>
      </c>
      <c r="G4117">
        <v>-226479</v>
      </c>
      <c r="H4117">
        <v>125133</v>
      </c>
      <c r="I4117">
        <v>120747</v>
      </c>
      <c r="J4117">
        <v>1567</v>
      </c>
      <c r="K4117">
        <v>830421</v>
      </c>
      <c r="L4117">
        <v>273346</v>
      </c>
      <c r="M4117">
        <v>-123457</v>
      </c>
      <c r="N4117">
        <v>114483</v>
      </c>
      <c r="O4117" t="s">
        <v>4135</v>
      </c>
      <c r="P4117" s="9">
        <v>295884</v>
      </c>
      <c r="Q4117" s="9">
        <v>27646</v>
      </c>
      <c r="R4117" s="9">
        <v>323530</v>
      </c>
      <c r="S4117" s="9">
        <v>-90945</v>
      </c>
      <c r="T4117" s="10">
        <v>114104</v>
      </c>
      <c r="U4117" s="10">
        <v>3250</v>
      </c>
    </row>
    <row r="4118" spans="1:21" x14ac:dyDescent="0.35">
      <c r="A4118" t="s">
        <v>15</v>
      </c>
      <c r="B4118" t="s">
        <v>20</v>
      </c>
      <c r="C4118" t="s">
        <v>17</v>
      </c>
      <c r="D4118">
        <v>275468</v>
      </c>
      <c r="E4118">
        <v>41710</v>
      </c>
      <c r="F4118">
        <v>45943</v>
      </c>
      <c r="G4118">
        <v>-272828</v>
      </c>
      <c r="H4118">
        <v>90293</v>
      </c>
      <c r="I4118">
        <v>91416</v>
      </c>
      <c r="J4118">
        <v>2465</v>
      </c>
      <c r="K4118">
        <v>1047540</v>
      </c>
      <c r="L4118">
        <v>404435</v>
      </c>
      <c r="M4118">
        <v>-249993</v>
      </c>
      <c r="N4118">
        <v>211223</v>
      </c>
      <c r="O4118" t="s">
        <v>4136</v>
      </c>
      <c r="P4118" s="9">
        <v>184039</v>
      </c>
      <c r="Q4118" s="9">
        <v>20935</v>
      </c>
      <c r="R4118" s="9">
        <v>204974</v>
      </c>
      <c r="S4118" s="9">
        <v>-95415</v>
      </c>
      <c r="T4118" s="10">
        <v>86512</v>
      </c>
      <c r="U4118" s="10">
        <v>2527</v>
      </c>
    </row>
    <row r="4119" spans="1:21" x14ac:dyDescent="0.35">
      <c r="A4119" t="s">
        <v>15</v>
      </c>
      <c r="B4119" t="s">
        <v>20</v>
      </c>
      <c r="C4119" t="s">
        <v>21</v>
      </c>
      <c r="D4119">
        <v>194207</v>
      </c>
      <c r="E4119">
        <v>34396</v>
      </c>
      <c r="F4119">
        <v>36309</v>
      </c>
      <c r="G4119">
        <v>-164070</v>
      </c>
      <c r="H4119">
        <v>100842</v>
      </c>
      <c r="I4119">
        <v>105280</v>
      </c>
      <c r="J4119">
        <v>1831</v>
      </c>
      <c r="K4119">
        <v>666687</v>
      </c>
      <c r="L4119">
        <v>288213</v>
      </c>
      <c r="M4119">
        <v>-199705</v>
      </c>
      <c r="N4119">
        <v>82982</v>
      </c>
      <c r="O4119" t="s">
        <v>4137</v>
      </c>
      <c r="P4119" s="9">
        <v>223868</v>
      </c>
      <c r="Q4119" s="9">
        <v>25625</v>
      </c>
      <c r="R4119" s="9">
        <v>249493</v>
      </c>
      <c r="S4119" s="9">
        <v>-79778</v>
      </c>
      <c r="T4119" s="10">
        <v>88633</v>
      </c>
      <c r="U4119" s="10">
        <v>2534</v>
      </c>
    </row>
    <row r="4120" spans="1:21" x14ac:dyDescent="0.35">
      <c r="A4120" t="s">
        <v>15</v>
      </c>
      <c r="B4120" t="s">
        <v>20</v>
      </c>
      <c r="C4120" t="s">
        <v>21</v>
      </c>
      <c r="D4120">
        <v>241190</v>
      </c>
      <c r="E4120">
        <v>30661</v>
      </c>
      <c r="F4120">
        <v>49783</v>
      </c>
      <c r="G4120">
        <v>-210578</v>
      </c>
      <c r="H4120">
        <v>111056</v>
      </c>
      <c r="I4120">
        <v>110662</v>
      </c>
      <c r="J4120">
        <v>1558</v>
      </c>
      <c r="K4120">
        <v>874317</v>
      </c>
      <c r="L4120">
        <v>91999</v>
      </c>
      <c r="M4120">
        <v>-308451</v>
      </c>
      <c r="N4120">
        <v>158953</v>
      </c>
      <c r="O4120" t="s">
        <v>4138</v>
      </c>
      <c r="P4120" s="9">
        <v>240917</v>
      </c>
      <c r="Q4120" s="9">
        <v>37450</v>
      </c>
      <c r="R4120" s="9">
        <v>278367</v>
      </c>
      <c r="S4120" s="9">
        <v>-143906</v>
      </c>
      <c r="T4120" s="10">
        <v>75098</v>
      </c>
      <c r="U4120" s="10">
        <v>1999</v>
      </c>
    </row>
    <row r="4121" spans="1:21" x14ac:dyDescent="0.35">
      <c r="A4121" t="s">
        <v>15</v>
      </c>
      <c r="B4121" t="s">
        <v>16</v>
      </c>
      <c r="C4121" t="s">
        <v>17</v>
      </c>
      <c r="D4121">
        <v>201724</v>
      </c>
      <c r="E4121">
        <v>37474</v>
      </c>
      <c r="F4121">
        <v>29101</v>
      </c>
      <c r="G4121">
        <v>-168347</v>
      </c>
      <c r="H4121">
        <v>99952</v>
      </c>
      <c r="I4121">
        <v>96923</v>
      </c>
      <c r="J4121">
        <v>972</v>
      </c>
      <c r="K4121">
        <v>715536</v>
      </c>
      <c r="L4121">
        <v>112810</v>
      </c>
      <c r="M4121">
        <v>-126394</v>
      </c>
      <c r="N4121">
        <v>153367</v>
      </c>
      <c r="O4121" t="s">
        <v>4139</v>
      </c>
      <c r="P4121" s="9">
        <v>299319</v>
      </c>
      <c r="Q4121" s="9">
        <v>57088</v>
      </c>
      <c r="R4121" s="9">
        <v>356407</v>
      </c>
      <c r="S4121" s="9">
        <v>-171756</v>
      </c>
      <c r="T4121" s="10">
        <v>132607</v>
      </c>
      <c r="U4121" s="10">
        <v>1708</v>
      </c>
    </row>
    <row r="4122" spans="1:21" x14ac:dyDescent="0.35">
      <c r="A4122" t="s">
        <v>15</v>
      </c>
      <c r="B4122" t="s">
        <v>20</v>
      </c>
      <c r="C4122" t="s">
        <v>21</v>
      </c>
      <c r="D4122">
        <v>168502</v>
      </c>
      <c r="E4122">
        <v>23508</v>
      </c>
      <c r="F4122">
        <v>37557</v>
      </c>
      <c r="G4122">
        <v>-148342</v>
      </c>
      <c r="H4122">
        <v>81225</v>
      </c>
      <c r="I4122">
        <v>80960</v>
      </c>
      <c r="J4122">
        <v>1690</v>
      </c>
      <c r="K4122">
        <v>388347</v>
      </c>
      <c r="L4122">
        <v>119410</v>
      </c>
      <c r="M4122">
        <v>-77879</v>
      </c>
      <c r="N4122">
        <v>121131</v>
      </c>
      <c r="O4122" t="s">
        <v>4140</v>
      </c>
      <c r="P4122" s="9">
        <v>213160</v>
      </c>
      <c r="Q4122" s="9">
        <v>31243</v>
      </c>
      <c r="R4122" s="9">
        <v>244403</v>
      </c>
      <c r="S4122" s="9">
        <v>-92332</v>
      </c>
      <c r="T4122" s="10">
        <v>66581</v>
      </c>
      <c r="U4122" s="10">
        <v>1339</v>
      </c>
    </row>
    <row r="4123" spans="1:21" x14ac:dyDescent="0.35">
      <c r="A4123" t="s">
        <v>15</v>
      </c>
      <c r="B4123" t="s">
        <v>16</v>
      </c>
      <c r="C4123" t="s">
        <v>21</v>
      </c>
      <c r="D4123">
        <v>289270</v>
      </c>
      <c r="E4123">
        <v>15107</v>
      </c>
      <c r="F4123">
        <v>46619</v>
      </c>
      <c r="G4123">
        <v>-252040</v>
      </c>
      <c r="H4123">
        <v>98956</v>
      </c>
      <c r="I4123">
        <v>93287</v>
      </c>
      <c r="J4123">
        <v>2090</v>
      </c>
      <c r="K4123">
        <v>872562</v>
      </c>
      <c r="L4123">
        <v>264577</v>
      </c>
      <c r="M4123">
        <v>-318989</v>
      </c>
      <c r="N4123">
        <v>229777</v>
      </c>
      <c r="O4123" t="s">
        <v>4141</v>
      </c>
      <c r="P4123" s="9">
        <v>184020</v>
      </c>
      <c r="Q4123" s="9">
        <v>25428</v>
      </c>
      <c r="R4123" s="9">
        <v>209448</v>
      </c>
      <c r="S4123" s="9">
        <v>-125023</v>
      </c>
      <c r="T4123" s="10">
        <v>77948</v>
      </c>
      <c r="U4123" s="10">
        <v>1564</v>
      </c>
    </row>
    <row r="4124" spans="1:21" x14ac:dyDescent="0.35">
      <c r="A4124" t="s">
        <v>15</v>
      </c>
      <c r="B4124" t="s">
        <v>16</v>
      </c>
      <c r="C4124" t="s">
        <v>17</v>
      </c>
      <c r="D4124">
        <v>159166</v>
      </c>
      <c r="E4124">
        <v>17336</v>
      </c>
      <c r="F4124">
        <v>21938</v>
      </c>
      <c r="G4124">
        <v>-147630</v>
      </c>
      <c r="H4124">
        <v>50810</v>
      </c>
      <c r="I4124">
        <v>50922</v>
      </c>
      <c r="J4124">
        <v>619</v>
      </c>
      <c r="K4124">
        <v>544435</v>
      </c>
      <c r="L4124">
        <v>64233</v>
      </c>
      <c r="M4124">
        <v>-95295</v>
      </c>
      <c r="N4124">
        <v>135251</v>
      </c>
      <c r="O4124" t="s">
        <v>4142</v>
      </c>
      <c r="P4124" s="9">
        <v>226345</v>
      </c>
      <c r="Q4124" s="9">
        <v>44902</v>
      </c>
      <c r="R4124" s="9">
        <v>271247</v>
      </c>
      <c r="S4124" s="9">
        <v>-99836</v>
      </c>
      <c r="T4124" s="10">
        <v>98410</v>
      </c>
      <c r="U4124" s="10">
        <v>1341</v>
      </c>
    </row>
    <row r="4125" spans="1:21" x14ac:dyDescent="0.35">
      <c r="A4125" t="s">
        <v>15</v>
      </c>
      <c r="B4125" t="s">
        <v>16</v>
      </c>
      <c r="C4125" t="s">
        <v>21</v>
      </c>
      <c r="D4125">
        <v>195581</v>
      </c>
      <c r="E4125">
        <v>35910</v>
      </c>
      <c r="F4125">
        <v>31928</v>
      </c>
      <c r="G4125">
        <v>-190434</v>
      </c>
      <c r="H4125">
        <v>72985</v>
      </c>
      <c r="I4125">
        <v>69238</v>
      </c>
      <c r="J4125">
        <v>1732</v>
      </c>
      <c r="K4125">
        <v>759961</v>
      </c>
      <c r="L4125">
        <v>293084</v>
      </c>
      <c r="M4125">
        <v>-77507</v>
      </c>
      <c r="N4125">
        <v>143510</v>
      </c>
      <c r="O4125" t="s">
        <v>4143</v>
      </c>
      <c r="P4125" s="9">
        <v>160386</v>
      </c>
      <c r="Q4125" s="9">
        <v>23869</v>
      </c>
      <c r="R4125" s="9">
        <v>184255</v>
      </c>
      <c r="S4125" s="9">
        <v>-75113</v>
      </c>
      <c r="T4125" s="10">
        <v>67240</v>
      </c>
      <c r="U4125" s="10">
        <v>893</v>
      </c>
    </row>
    <row r="4126" spans="1:21" x14ac:dyDescent="0.35">
      <c r="A4126" t="s">
        <v>15</v>
      </c>
      <c r="B4126" t="s">
        <v>16</v>
      </c>
      <c r="C4126" t="s">
        <v>21</v>
      </c>
      <c r="D4126">
        <v>219741</v>
      </c>
      <c r="E4126">
        <v>17653</v>
      </c>
      <c r="F4126">
        <v>24952</v>
      </c>
      <c r="G4126">
        <v>-197315</v>
      </c>
      <c r="H4126">
        <v>65031</v>
      </c>
      <c r="I4126">
        <v>63143</v>
      </c>
      <c r="J4126">
        <v>675</v>
      </c>
      <c r="K4126">
        <v>640762</v>
      </c>
      <c r="L4126">
        <v>236936</v>
      </c>
      <c r="M4126">
        <v>-241452</v>
      </c>
      <c r="N4126">
        <v>121697</v>
      </c>
      <c r="O4126" t="s">
        <v>4144</v>
      </c>
      <c r="P4126" s="9">
        <v>189852</v>
      </c>
      <c r="Q4126" s="9">
        <v>21551</v>
      </c>
      <c r="R4126" s="9">
        <v>211403</v>
      </c>
      <c r="S4126" s="9">
        <v>-102521</v>
      </c>
      <c r="T4126" s="10">
        <v>46085</v>
      </c>
      <c r="U4126" s="10">
        <v>661</v>
      </c>
    </row>
    <row r="4127" spans="1:21" x14ac:dyDescent="0.35">
      <c r="A4127" t="s">
        <v>15</v>
      </c>
      <c r="B4127" t="s">
        <v>20</v>
      </c>
      <c r="C4127" t="s">
        <v>21</v>
      </c>
      <c r="D4127">
        <v>251377</v>
      </c>
      <c r="E4127">
        <v>18308</v>
      </c>
      <c r="F4127">
        <v>32487</v>
      </c>
      <c r="G4127">
        <v>-227478</v>
      </c>
      <c r="H4127">
        <v>74694</v>
      </c>
      <c r="I4127">
        <v>68490</v>
      </c>
      <c r="J4127">
        <v>860</v>
      </c>
      <c r="K4127">
        <v>960137</v>
      </c>
      <c r="L4127">
        <v>423534</v>
      </c>
      <c r="M4127">
        <v>-297301</v>
      </c>
      <c r="N4127">
        <v>112333</v>
      </c>
      <c r="O4127" t="s">
        <v>4145</v>
      </c>
      <c r="P4127" s="9">
        <v>181373</v>
      </c>
      <c r="Q4127" s="9">
        <v>16414</v>
      </c>
      <c r="R4127" s="9">
        <v>197787</v>
      </c>
      <c r="S4127" s="9">
        <v>-101422</v>
      </c>
      <c r="T4127" s="10">
        <v>48370</v>
      </c>
      <c r="U4127" s="10">
        <v>1072</v>
      </c>
    </row>
    <row r="4128" spans="1:21" x14ac:dyDescent="0.35">
      <c r="A4128" t="s">
        <v>15</v>
      </c>
      <c r="B4128" t="s">
        <v>20</v>
      </c>
      <c r="C4128" t="s">
        <v>21</v>
      </c>
      <c r="D4128">
        <v>239368</v>
      </c>
      <c r="E4128">
        <v>35162</v>
      </c>
      <c r="F4128">
        <v>44426</v>
      </c>
      <c r="G4128">
        <v>-203427</v>
      </c>
      <c r="H4128">
        <v>115529</v>
      </c>
      <c r="I4128">
        <v>114911</v>
      </c>
      <c r="J4128">
        <v>2539</v>
      </c>
      <c r="K4128">
        <v>682461</v>
      </c>
      <c r="L4128">
        <v>192049</v>
      </c>
      <c r="M4128">
        <v>-212949</v>
      </c>
      <c r="N4128">
        <v>201889</v>
      </c>
      <c r="O4128" t="s">
        <v>4146</v>
      </c>
      <c r="P4128" s="9">
        <v>303814</v>
      </c>
      <c r="Q4128" s="9">
        <v>28788</v>
      </c>
      <c r="R4128" s="9">
        <v>332602</v>
      </c>
      <c r="S4128" s="9">
        <v>-102265</v>
      </c>
      <c r="T4128" s="10">
        <v>53831</v>
      </c>
      <c r="U4128" s="10">
        <v>903</v>
      </c>
    </row>
    <row r="4129" spans="1:21" x14ac:dyDescent="0.35">
      <c r="A4129" t="s">
        <v>15</v>
      </c>
      <c r="B4129" t="s">
        <v>16</v>
      </c>
      <c r="C4129" t="s">
        <v>17</v>
      </c>
      <c r="D4129">
        <v>297999</v>
      </c>
      <c r="E4129">
        <v>37941</v>
      </c>
      <c r="F4129">
        <v>49287</v>
      </c>
      <c r="G4129">
        <v>-256002</v>
      </c>
      <c r="H4129">
        <v>129225</v>
      </c>
      <c r="I4129">
        <v>116508</v>
      </c>
      <c r="J4129">
        <v>3359</v>
      </c>
      <c r="K4129">
        <v>886920</v>
      </c>
      <c r="L4129">
        <v>173754</v>
      </c>
      <c r="M4129">
        <v>-348131</v>
      </c>
      <c r="N4129">
        <v>125330</v>
      </c>
      <c r="O4129" t="s">
        <v>4147</v>
      </c>
      <c r="P4129" s="9">
        <v>245666</v>
      </c>
      <c r="Q4129" s="9">
        <v>29016</v>
      </c>
      <c r="R4129" s="9">
        <v>274682</v>
      </c>
      <c r="S4129" s="9">
        <v>-95850</v>
      </c>
      <c r="T4129" s="10">
        <v>96869</v>
      </c>
      <c r="U4129" s="10">
        <v>1786</v>
      </c>
    </row>
    <row r="4130" spans="1:21" x14ac:dyDescent="0.35">
      <c r="A4130" t="s">
        <v>15</v>
      </c>
      <c r="B4130" t="s">
        <v>20</v>
      </c>
      <c r="C4130" t="s">
        <v>21</v>
      </c>
      <c r="D4130">
        <v>268585</v>
      </c>
      <c r="E4130">
        <v>29398</v>
      </c>
      <c r="F4130">
        <v>27381</v>
      </c>
      <c r="G4130">
        <v>-241448</v>
      </c>
      <c r="H4130">
        <v>83916</v>
      </c>
      <c r="I4130">
        <v>86249</v>
      </c>
      <c r="J4130">
        <v>1596</v>
      </c>
      <c r="K4130">
        <v>963991</v>
      </c>
      <c r="L4130">
        <v>327903</v>
      </c>
      <c r="M4130">
        <v>-299077</v>
      </c>
      <c r="N4130">
        <v>188507</v>
      </c>
      <c r="O4130" t="s">
        <v>4148</v>
      </c>
      <c r="P4130" s="9">
        <v>172603</v>
      </c>
      <c r="Q4130" s="9">
        <v>16417</v>
      </c>
      <c r="R4130" s="9">
        <v>189020</v>
      </c>
      <c r="S4130" s="9">
        <v>-88863</v>
      </c>
      <c r="T4130" s="10">
        <v>46267</v>
      </c>
      <c r="U4130" s="10">
        <v>1027</v>
      </c>
    </row>
    <row r="4131" spans="1:21" x14ac:dyDescent="0.35">
      <c r="A4131" t="s">
        <v>15</v>
      </c>
      <c r="B4131" t="s">
        <v>20</v>
      </c>
      <c r="C4131" t="s">
        <v>21</v>
      </c>
      <c r="D4131">
        <v>192452</v>
      </c>
      <c r="E4131">
        <v>21489</v>
      </c>
      <c r="F4131">
        <v>29090</v>
      </c>
      <c r="G4131">
        <v>-161211</v>
      </c>
      <c r="H4131">
        <v>81820</v>
      </c>
      <c r="I4131">
        <v>85611</v>
      </c>
      <c r="J4131">
        <v>1106</v>
      </c>
      <c r="K4131">
        <v>687416</v>
      </c>
      <c r="L4131">
        <v>328934</v>
      </c>
      <c r="M4131">
        <v>-166888</v>
      </c>
      <c r="N4131">
        <v>63273</v>
      </c>
      <c r="O4131" t="s">
        <v>4149</v>
      </c>
      <c r="P4131" s="9">
        <v>168643</v>
      </c>
      <c r="Q4131" s="9">
        <v>34215</v>
      </c>
      <c r="R4131" s="9">
        <v>202858</v>
      </c>
      <c r="S4131" s="9">
        <v>-57716</v>
      </c>
      <c r="T4131" s="10">
        <v>101720</v>
      </c>
      <c r="U4131" s="10">
        <v>2249</v>
      </c>
    </row>
    <row r="4132" spans="1:21" x14ac:dyDescent="0.35">
      <c r="A4132" t="s">
        <v>15</v>
      </c>
      <c r="B4132" t="s">
        <v>16</v>
      </c>
      <c r="C4132" t="s">
        <v>17</v>
      </c>
      <c r="D4132">
        <v>157937</v>
      </c>
      <c r="E4132">
        <v>30339</v>
      </c>
      <c r="F4132">
        <v>38639</v>
      </c>
      <c r="G4132">
        <v>-140092</v>
      </c>
      <c r="H4132">
        <v>86823</v>
      </c>
      <c r="I4132">
        <v>91025</v>
      </c>
      <c r="J4132">
        <v>2248</v>
      </c>
      <c r="K4132">
        <v>460670</v>
      </c>
      <c r="L4132">
        <v>188959</v>
      </c>
      <c r="M4132">
        <v>-128138</v>
      </c>
      <c r="N4132">
        <v>92921</v>
      </c>
      <c r="O4132" t="s">
        <v>4150</v>
      </c>
      <c r="P4132" s="9">
        <v>208544</v>
      </c>
      <c r="Q4132" s="9">
        <v>32561</v>
      </c>
      <c r="R4132" s="9">
        <v>241105</v>
      </c>
      <c r="S4132" s="9">
        <v>-136868</v>
      </c>
      <c r="T4132" s="10">
        <v>94558</v>
      </c>
      <c r="U4132" s="10">
        <v>1852</v>
      </c>
    </row>
    <row r="4133" spans="1:21" x14ac:dyDescent="0.35">
      <c r="A4133" t="s">
        <v>15</v>
      </c>
      <c r="B4133" t="s">
        <v>16</v>
      </c>
      <c r="C4133" t="s">
        <v>21</v>
      </c>
      <c r="D4133">
        <v>244473</v>
      </c>
      <c r="E4133">
        <v>37711</v>
      </c>
      <c r="F4133">
        <v>30549</v>
      </c>
      <c r="G4133">
        <v>-200647</v>
      </c>
      <c r="H4133">
        <v>112086</v>
      </c>
      <c r="I4133">
        <v>102945</v>
      </c>
      <c r="J4133">
        <v>2861</v>
      </c>
      <c r="K4133">
        <v>682723</v>
      </c>
      <c r="L4133">
        <v>160422</v>
      </c>
      <c r="M4133">
        <v>-207854</v>
      </c>
      <c r="N4133">
        <v>140153</v>
      </c>
      <c r="O4133" t="s">
        <v>4151</v>
      </c>
      <c r="P4133" s="9">
        <v>201751</v>
      </c>
      <c r="Q4133" s="9">
        <v>17651</v>
      </c>
      <c r="R4133" s="9">
        <v>219402</v>
      </c>
      <c r="S4133" s="9">
        <v>-129473</v>
      </c>
      <c r="T4133" s="10">
        <v>83485</v>
      </c>
      <c r="U4133" s="10">
        <v>1405</v>
      </c>
    </row>
    <row r="4134" spans="1:21" x14ac:dyDescent="0.35">
      <c r="A4134" t="s">
        <v>15</v>
      </c>
      <c r="B4134" t="s">
        <v>16</v>
      </c>
      <c r="C4134" t="s">
        <v>17</v>
      </c>
      <c r="D4134">
        <v>198205</v>
      </c>
      <c r="E4134">
        <v>38518</v>
      </c>
      <c r="F4134">
        <v>22986</v>
      </c>
      <c r="G4134">
        <v>-175741</v>
      </c>
      <c r="H4134">
        <v>83968</v>
      </c>
      <c r="I4134">
        <v>86527</v>
      </c>
      <c r="J4134">
        <v>1416</v>
      </c>
      <c r="K4134">
        <v>609696</v>
      </c>
      <c r="L4134">
        <v>119271</v>
      </c>
      <c r="M4134">
        <v>-134571</v>
      </c>
      <c r="N4134">
        <v>130945</v>
      </c>
      <c r="O4134" t="s">
        <v>4152</v>
      </c>
      <c r="P4134" s="9">
        <v>268557</v>
      </c>
      <c r="Q4134" s="9">
        <v>16922</v>
      </c>
      <c r="R4134" s="9">
        <v>285479</v>
      </c>
      <c r="S4134" s="9">
        <v>-113617</v>
      </c>
      <c r="T4134" s="10">
        <v>65994</v>
      </c>
      <c r="U4134" s="10">
        <v>1143</v>
      </c>
    </row>
    <row r="4135" spans="1:21" x14ac:dyDescent="0.35">
      <c r="A4135" t="s">
        <v>15</v>
      </c>
      <c r="B4135" t="s">
        <v>16</v>
      </c>
      <c r="C4135" t="s">
        <v>21</v>
      </c>
      <c r="D4135">
        <v>291898</v>
      </c>
      <c r="E4135">
        <v>25676</v>
      </c>
      <c r="F4135">
        <v>62261</v>
      </c>
      <c r="G4135">
        <v>-241427</v>
      </c>
      <c r="H4135">
        <v>138408</v>
      </c>
      <c r="I4135">
        <v>131721</v>
      </c>
      <c r="J4135">
        <v>2901</v>
      </c>
      <c r="K4135">
        <v>869392</v>
      </c>
      <c r="L4135">
        <v>419963</v>
      </c>
      <c r="M4135">
        <v>-225920</v>
      </c>
      <c r="N4135">
        <v>95024</v>
      </c>
      <c r="O4135" t="s">
        <v>4153</v>
      </c>
      <c r="P4135" s="9">
        <v>313158</v>
      </c>
      <c r="Q4135" s="9">
        <v>18641</v>
      </c>
      <c r="R4135" s="9">
        <v>331799</v>
      </c>
      <c r="S4135" s="9">
        <v>-184332</v>
      </c>
      <c r="T4135" s="10">
        <v>80280</v>
      </c>
      <c r="U4135" s="10">
        <v>2371</v>
      </c>
    </row>
    <row r="4136" spans="1:21" x14ac:dyDescent="0.35">
      <c r="A4136" t="s">
        <v>15</v>
      </c>
      <c r="B4136" t="s">
        <v>20</v>
      </c>
      <c r="C4136" t="s">
        <v>21</v>
      </c>
      <c r="D4136">
        <v>232174</v>
      </c>
      <c r="E4136">
        <v>28493</v>
      </c>
      <c r="F4136">
        <v>56762</v>
      </c>
      <c r="G4136">
        <v>-226053</v>
      </c>
      <c r="H4136">
        <v>91376</v>
      </c>
      <c r="I4136">
        <v>94315</v>
      </c>
      <c r="J4136">
        <v>2385</v>
      </c>
      <c r="K4136">
        <v>695263</v>
      </c>
      <c r="L4136">
        <v>238757</v>
      </c>
      <c r="M4136">
        <v>-271909</v>
      </c>
      <c r="N4136">
        <v>113558</v>
      </c>
      <c r="O4136" t="s">
        <v>4154</v>
      </c>
      <c r="P4136" s="9">
        <v>251133</v>
      </c>
      <c r="Q4136" s="9">
        <v>48352</v>
      </c>
      <c r="R4136" s="9">
        <v>299485</v>
      </c>
      <c r="S4136" s="9">
        <v>-144381</v>
      </c>
      <c r="T4136" s="10">
        <v>157129</v>
      </c>
      <c r="U4136" s="10">
        <v>3517</v>
      </c>
    </row>
    <row r="4137" spans="1:21" x14ac:dyDescent="0.35">
      <c r="A4137" t="s">
        <v>15</v>
      </c>
      <c r="B4137" t="s">
        <v>20</v>
      </c>
      <c r="C4137" t="s">
        <v>21</v>
      </c>
      <c r="D4137">
        <v>238805</v>
      </c>
      <c r="E4137">
        <v>37665</v>
      </c>
      <c r="F4137">
        <v>38043</v>
      </c>
      <c r="G4137">
        <v>-210048</v>
      </c>
      <c r="H4137">
        <v>104465</v>
      </c>
      <c r="I4137">
        <v>107862</v>
      </c>
      <c r="J4137">
        <v>1417</v>
      </c>
      <c r="K4137">
        <v>552242</v>
      </c>
      <c r="L4137">
        <v>176614</v>
      </c>
      <c r="M4137">
        <v>-191507</v>
      </c>
      <c r="N4137">
        <v>120550</v>
      </c>
      <c r="O4137" t="s">
        <v>4155</v>
      </c>
      <c r="P4137" s="9">
        <v>160712</v>
      </c>
      <c r="Q4137" s="9">
        <v>17150</v>
      </c>
      <c r="R4137" s="9">
        <v>177862</v>
      </c>
      <c r="S4137" s="9">
        <v>-55311</v>
      </c>
      <c r="T4137" s="10">
        <v>48540</v>
      </c>
      <c r="U4137" s="10">
        <v>842</v>
      </c>
    </row>
    <row r="4138" spans="1:21" x14ac:dyDescent="0.35">
      <c r="A4138" t="s">
        <v>15</v>
      </c>
      <c r="B4138" t="s">
        <v>16</v>
      </c>
      <c r="C4138" t="s">
        <v>21</v>
      </c>
      <c r="D4138">
        <v>239841</v>
      </c>
      <c r="E4138">
        <v>19465</v>
      </c>
      <c r="F4138">
        <v>48650</v>
      </c>
      <c r="G4138">
        <v>-238862</v>
      </c>
      <c r="H4138">
        <v>69094</v>
      </c>
      <c r="I4138">
        <v>67815</v>
      </c>
      <c r="J4138">
        <v>809</v>
      </c>
      <c r="K4138">
        <v>687208</v>
      </c>
      <c r="L4138">
        <v>224780</v>
      </c>
      <c r="M4138">
        <v>-209604</v>
      </c>
      <c r="N4138">
        <v>95859</v>
      </c>
      <c r="O4138" t="s">
        <v>4156</v>
      </c>
      <c r="P4138" s="9">
        <v>217597</v>
      </c>
      <c r="Q4138" s="9">
        <v>28695</v>
      </c>
      <c r="R4138" s="9">
        <v>246292</v>
      </c>
      <c r="S4138" s="9">
        <v>-62259</v>
      </c>
      <c r="T4138" s="10">
        <v>72996</v>
      </c>
      <c r="U4138" s="10">
        <v>1213</v>
      </c>
    </row>
    <row r="4139" spans="1:21" x14ac:dyDescent="0.35">
      <c r="A4139" t="s">
        <v>15</v>
      </c>
      <c r="B4139" t="s">
        <v>20</v>
      </c>
      <c r="C4139" t="s">
        <v>21</v>
      </c>
      <c r="D4139">
        <v>277622</v>
      </c>
      <c r="E4139">
        <v>30840</v>
      </c>
      <c r="F4139">
        <v>65671</v>
      </c>
      <c r="G4139">
        <v>-276261</v>
      </c>
      <c r="H4139">
        <v>97872</v>
      </c>
      <c r="I4139">
        <v>93506</v>
      </c>
      <c r="J4139">
        <v>1459</v>
      </c>
      <c r="K4139">
        <v>1094518</v>
      </c>
      <c r="L4139">
        <v>486619</v>
      </c>
      <c r="M4139">
        <v>-375765</v>
      </c>
      <c r="N4139">
        <v>167369</v>
      </c>
      <c r="O4139" t="s">
        <v>4157</v>
      </c>
      <c r="P4139" s="9">
        <v>289254</v>
      </c>
      <c r="Q4139" s="9">
        <v>40625</v>
      </c>
      <c r="R4139" s="9">
        <v>329879</v>
      </c>
      <c r="S4139" s="9">
        <v>-187169</v>
      </c>
      <c r="T4139" s="10">
        <v>77791</v>
      </c>
      <c r="U4139" s="10">
        <v>913</v>
      </c>
    </row>
    <row r="4140" spans="1:21" x14ac:dyDescent="0.35">
      <c r="A4140" t="s">
        <v>15</v>
      </c>
      <c r="B4140" t="s">
        <v>20</v>
      </c>
      <c r="C4140" t="s">
        <v>17</v>
      </c>
      <c r="D4140">
        <v>284612</v>
      </c>
      <c r="E4140">
        <v>40437</v>
      </c>
      <c r="F4140">
        <v>49585</v>
      </c>
      <c r="G4140">
        <v>-258967</v>
      </c>
      <c r="H4140">
        <v>115667</v>
      </c>
      <c r="I4140">
        <v>105446</v>
      </c>
      <c r="J4140">
        <v>2990</v>
      </c>
      <c r="K4140">
        <v>778106</v>
      </c>
      <c r="L4140">
        <v>191846</v>
      </c>
      <c r="M4140">
        <v>-113655</v>
      </c>
      <c r="N4140">
        <v>116805</v>
      </c>
      <c r="O4140" t="s">
        <v>4158</v>
      </c>
      <c r="P4140" s="9">
        <v>188433</v>
      </c>
      <c r="Q4140" s="9">
        <v>15556</v>
      </c>
      <c r="R4140" s="9">
        <v>203989</v>
      </c>
      <c r="S4140" s="9">
        <v>-74698</v>
      </c>
      <c r="T4140" s="10">
        <v>83643</v>
      </c>
      <c r="U4140" s="10">
        <v>997</v>
      </c>
    </row>
    <row r="4141" spans="1:21" x14ac:dyDescent="0.35">
      <c r="A4141" t="s">
        <v>15</v>
      </c>
      <c r="B4141" t="s">
        <v>16</v>
      </c>
      <c r="C4141" t="s">
        <v>21</v>
      </c>
      <c r="D4141">
        <v>190013</v>
      </c>
      <c r="E4141">
        <v>29915</v>
      </c>
      <c r="F4141">
        <v>24850</v>
      </c>
      <c r="G4141">
        <v>-185488</v>
      </c>
      <c r="H4141">
        <v>59290</v>
      </c>
      <c r="I4141">
        <v>54006</v>
      </c>
      <c r="J4141">
        <v>1423</v>
      </c>
      <c r="K4141">
        <v>749243</v>
      </c>
      <c r="L4141">
        <v>284987</v>
      </c>
      <c r="M4141">
        <v>-285452</v>
      </c>
      <c r="N4141">
        <v>131531</v>
      </c>
      <c r="O4141" t="s">
        <v>4159</v>
      </c>
      <c r="P4141" s="9">
        <v>178331</v>
      </c>
      <c r="Q4141" s="9">
        <v>36744</v>
      </c>
      <c r="R4141" s="9">
        <v>215075</v>
      </c>
      <c r="S4141" s="9">
        <v>-73781</v>
      </c>
      <c r="T4141" s="10">
        <v>75026</v>
      </c>
      <c r="U4141" s="10">
        <v>1859</v>
      </c>
    </row>
    <row r="4142" spans="1:21" x14ac:dyDescent="0.35">
      <c r="A4142" t="s">
        <v>15</v>
      </c>
      <c r="B4142" t="s">
        <v>20</v>
      </c>
      <c r="C4142" t="s">
        <v>21</v>
      </c>
      <c r="D4142">
        <v>153926</v>
      </c>
      <c r="E4142">
        <v>23622</v>
      </c>
      <c r="F4142">
        <v>36603</v>
      </c>
      <c r="G4142">
        <v>-152511</v>
      </c>
      <c r="H4142">
        <v>61640</v>
      </c>
      <c r="I4142">
        <v>56957</v>
      </c>
      <c r="J4142">
        <v>640</v>
      </c>
      <c r="K4142">
        <v>435442</v>
      </c>
      <c r="L4142">
        <v>202729</v>
      </c>
      <c r="M4142">
        <v>-124409</v>
      </c>
      <c r="N4142">
        <v>99961</v>
      </c>
      <c r="O4142" t="s">
        <v>4160</v>
      </c>
      <c r="P4142" s="9">
        <v>231523</v>
      </c>
      <c r="Q4142" s="9">
        <v>16473</v>
      </c>
      <c r="R4142" s="9">
        <v>247996</v>
      </c>
      <c r="S4142" s="9">
        <v>-50728</v>
      </c>
      <c r="T4142" s="10">
        <v>59783</v>
      </c>
      <c r="U4142" s="10">
        <v>1667</v>
      </c>
    </row>
    <row r="4143" spans="1:21" x14ac:dyDescent="0.35">
      <c r="A4143" t="s">
        <v>15</v>
      </c>
      <c r="B4143" t="s">
        <v>16</v>
      </c>
      <c r="C4143" t="s">
        <v>21</v>
      </c>
      <c r="D4143">
        <v>244909</v>
      </c>
      <c r="E4143">
        <v>22095</v>
      </c>
      <c r="F4143">
        <v>49367</v>
      </c>
      <c r="G4143">
        <v>-235559</v>
      </c>
      <c r="H4143">
        <v>80812</v>
      </c>
      <c r="I4143">
        <v>79573</v>
      </c>
      <c r="J4143">
        <v>1394</v>
      </c>
      <c r="K4143">
        <v>760573</v>
      </c>
      <c r="L4143">
        <v>199192</v>
      </c>
      <c r="M4143">
        <v>-94224</v>
      </c>
      <c r="N4143">
        <v>83593</v>
      </c>
      <c r="O4143" t="s">
        <v>4161</v>
      </c>
      <c r="P4143" s="9">
        <v>240498</v>
      </c>
      <c r="Q4143" s="9">
        <v>14894</v>
      </c>
      <c r="R4143" s="9">
        <v>255392</v>
      </c>
      <c r="S4143" s="9">
        <v>-129552</v>
      </c>
      <c r="T4143" s="10">
        <v>109021</v>
      </c>
      <c r="U4143" s="10">
        <v>1446</v>
      </c>
    </row>
    <row r="4144" spans="1:21" x14ac:dyDescent="0.35">
      <c r="A4144" t="s">
        <v>15</v>
      </c>
      <c r="B4144" t="s">
        <v>16</v>
      </c>
      <c r="C4144" t="s">
        <v>21</v>
      </c>
      <c r="D4144">
        <v>267038</v>
      </c>
      <c r="E4144">
        <v>33612</v>
      </c>
      <c r="F4144">
        <v>53927</v>
      </c>
      <c r="G4144">
        <v>-262660</v>
      </c>
      <c r="H4144">
        <v>91917</v>
      </c>
      <c r="I4144">
        <v>83855</v>
      </c>
      <c r="J4144">
        <v>2458</v>
      </c>
      <c r="K4144">
        <v>593113</v>
      </c>
      <c r="L4144">
        <v>101314</v>
      </c>
      <c r="M4144">
        <v>-105118</v>
      </c>
      <c r="N4144">
        <v>95923</v>
      </c>
      <c r="O4144" t="s">
        <v>4162</v>
      </c>
      <c r="P4144" s="9">
        <v>307155</v>
      </c>
      <c r="Q4144" s="9">
        <v>26421</v>
      </c>
      <c r="R4144" s="9">
        <v>333576</v>
      </c>
      <c r="S4144" s="9">
        <v>-157025</v>
      </c>
      <c r="T4144" s="10">
        <v>107730</v>
      </c>
      <c r="U4144" s="10">
        <v>1769</v>
      </c>
    </row>
    <row r="4145" spans="1:21" x14ac:dyDescent="0.35">
      <c r="A4145" t="s">
        <v>15</v>
      </c>
      <c r="B4145" t="s">
        <v>16</v>
      </c>
      <c r="C4145" t="s">
        <v>21</v>
      </c>
      <c r="D4145">
        <v>182680</v>
      </c>
      <c r="E4145">
        <v>28750</v>
      </c>
      <c r="F4145">
        <v>44094</v>
      </c>
      <c r="G4145">
        <v>-148503</v>
      </c>
      <c r="H4145">
        <v>107021</v>
      </c>
      <c r="I4145">
        <v>103518</v>
      </c>
      <c r="J4145">
        <v>2581</v>
      </c>
      <c r="K4145">
        <v>595099</v>
      </c>
      <c r="L4145">
        <v>215500</v>
      </c>
      <c r="M4145">
        <v>-227731</v>
      </c>
      <c r="N4145">
        <v>164355</v>
      </c>
      <c r="O4145" t="s">
        <v>4163</v>
      </c>
      <c r="P4145" s="9">
        <v>176595</v>
      </c>
      <c r="Q4145" s="9">
        <v>28740</v>
      </c>
      <c r="R4145" s="9">
        <v>205335</v>
      </c>
      <c r="S4145" s="9">
        <v>-105234</v>
      </c>
      <c r="T4145" s="10">
        <v>88380</v>
      </c>
      <c r="U4145" s="10">
        <v>1650</v>
      </c>
    </row>
    <row r="4146" spans="1:21" x14ac:dyDescent="0.35">
      <c r="A4146" t="s">
        <v>15</v>
      </c>
      <c r="B4146" t="s">
        <v>16</v>
      </c>
      <c r="C4146" t="s">
        <v>21</v>
      </c>
      <c r="D4146">
        <v>182108</v>
      </c>
      <c r="E4146">
        <v>16465</v>
      </c>
      <c r="F4146">
        <v>28762</v>
      </c>
      <c r="G4146">
        <v>-164508</v>
      </c>
      <c r="H4146">
        <v>62827</v>
      </c>
      <c r="I4146">
        <v>65503</v>
      </c>
      <c r="J4146">
        <v>1811</v>
      </c>
      <c r="K4146">
        <v>541948</v>
      </c>
      <c r="L4146">
        <v>205839</v>
      </c>
      <c r="M4146">
        <v>-72984</v>
      </c>
      <c r="N4146">
        <v>81754</v>
      </c>
      <c r="O4146" t="s">
        <v>4164</v>
      </c>
      <c r="P4146" s="9">
        <v>235845</v>
      </c>
      <c r="Q4146" s="9">
        <v>36515</v>
      </c>
      <c r="R4146" s="9">
        <v>272360</v>
      </c>
      <c r="S4146" s="9">
        <v>-100052</v>
      </c>
      <c r="T4146" s="10">
        <v>104673</v>
      </c>
      <c r="U4146" s="10">
        <v>1513</v>
      </c>
    </row>
    <row r="4147" spans="1:21" x14ac:dyDescent="0.35">
      <c r="A4147" t="s">
        <v>15</v>
      </c>
      <c r="B4147" t="s">
        <v>16</v>
      </c>
      <c r="C4147" t="s">
        <v>21</v>
      </c>
      <c r="D4147">
        <v>233722</v>
      </c>
      <c r="E4147">
        <v>22122</v>
      </c>
      <c r="F4147">
        <v>51369</v>
      </c>
      <c r="G4147">
        <v>-214345</v>
      </c>
      <c r="H4147">
        <v>92868</v>
      </c>
      <c r="I4147">
        <v>91747</v>
      </c>
      <c r="J4147">
        <v>948</v>
      </c>
      <c r="K4147">
        <v>899956</v>
      </c>
      <c r="L4147">
        <v>297588</v>
      </c>
      <c r="M4147">
        <v>-249797</v>
      </c>
      <c r="N4147">
        <v>132473</v>
      </c>
      <c r="O4147" t="s">
        <v>4165</v>
      </c>
      <c r="P4147" s="9">
        <v>202369</v>
      </c>
      <c r="Q4147" s="9">
        <v>23503</v>
      </c>
      <c r="R4147" s="9">
        <v>225872</v>
      </c>
      <c r="S4147" s="9">
        <v>-103002</v>
      </c>
      <c r="T4147" s="10">
        <v>76173</v>
      </c>
      <c r="U4147" s="10">
        <v>1703</v>
      </c>
    </row>
    <row r="4148" spans="1:21" x14ac:dyDescent="0.35">
      <c r="A4148" t="s">
        <v>15</v>
      </c>
      <c r="B4148" t="s">
        <v>16</v>
      </c>
      <c r="C4148" t="s">
        <v>21</v>
      </c>
      <c r="D4148">
        <v>223279</v>
      </c>
      <c r="E4148">
        <v>32422</v>
      </c>
      <c r="F4148">
        <v>25128</v>
      </c>
      <c r="G4148">
        <v>-190495</v>
      </c>
      <c r="H4148">
        <v>90334</v>
      </c>
      <c r="I4148">
        <v>86107</v>
      </c>
      <c r="J4148">
        <v>2252</v>
      </c>
      <c r="K4148">
        <v>487183</v>
      </c>
      <c r="L4148">
        <v>217508</v>
      </c>
      <c r="M4148">
        <v>-67960</v>
      </c>
      <c r="N4148">
        <v>108487</v>
      </c>
      <c r="O4148" t="s">
        <v>4166</v>
      </c>
      <c r="P4148" s="9">
        <v>184019</v>
      </c>
      <c r="Q4148" s="9">
        <v>18235</v>
      </c>
      <c r="R4148" s="9">
        <v>202254</v>
      </c>
      <c r="S4148" s="9">
        <v>-54296</v>
      </c>
      <c r="T4148" s="10">
        <v>83480</v>
      </c>
      <c r="U4148" s="10">
        <v>2153</v>
      </c>
    </row>
    <row r="4149" spans="1:21" x14ac:dyDescent="0.35">
      <c r="A4149" t="s">
        <v>15</v>
      </c>
      <c r="B4149" t="s">
        <v>16</v>
      </c>
      <c r="C4149" t="s">
        <v>21</v>
      </c>
      <c r="D4149">
        <v>234908</v>
      </c>
      <c r="E4149">
        <v>41506</v>
      </c>
      <c r="F4149">
        <v>43225</v>
      </c>
      <c r="G4149">
        <v>-214445</v>
      </c>
      <c r="H4149">
        <v>105194</v>
      </c>
      <c r="I4149">
        <v>95475</v>
      </c>
      <c r="J4149">
        <v>2513</v>
      </c>
      <c r="K4149">
        <v>718000</v>
      </c>
      <c r="L4149">
        <v>342993</v>
      </c>
      <c r="M4149">
        <v>-257291</v>
      </c>
      <c r="N4149">
        <v>175586</v>
      </c>
      <c r="O4149" t="s">
        <v>4167</v>
      </c>
      <c r="P4149" s="9">
        <v>294232</v>
      </c>
      <c r="Q4149" s="9">
        <v>22940</v>
      </c>
      <c r="R4149" s="9">
        <v>317172</v>
      </c>
      <c r="S4149" s="9">
        <v>-81400</v>
      </c>
      <c r="T4149" s="10">
        <v>137313</v>
      </c>
      <c r="U4149" s="10">
        <v>2418</v>
      </c>
    </row>
    <row r="4150" spans="1:21" x14ac:dyDescent="0.35">
      <c r="A4150" t="s">
        <v>15</v>
      </c>
      <c r="B4150" t="s">
        <v>16</v>
      </c>
      <c r="C4150" t="s">
        <v>21</v>
      </c>
      <c r="D4150">
        <v>271926</v>
      </c>
      <c r="E4150">
        <v>41092</v>
      </c>
      <c r="F4150">
        <v>66381</v>
      </c>
      <c r="G4150">
        <v>-240630</v>
      </c>
      <c r="H4150">
        <v>138769</v>
      </c>
      <c r="I4150">
        <v>127162</v>
      </c>
      <c r="J4150">
        <v>2295</v>
      </c>
      <c r="K4150">
        <v>965574</v>
      </c>
      <c r="L4150">
        <v>129475</v>
      </c>
      <c r="M4150">
        <v>-321756</v>
      </c>
      <c r="N4150">
        <v>106433</v>
      </c>
      <c r="O4150" t="s">
        <v>4168</v>
      </c>
      <c r="P4150" s="9">
        <v>175997</v>
      </c>
      <c r="Q4150" s="9">
        <v>32594</v>
      </c>
      <c r="R4150" s="9">
        <v>208591</v>
      </c>
      <c r="S4150" s="9">
        <v>-68228</v>
      </c>
      <c r="T4150" s="10">
        <v>100425</v>
      </c>
      <c r="U4150" s="10">
        <v>1298</v>
      </c>
    </row>
    <row r="4151" spans="1:21" x14ac:dyDescent="0.35">
      <c r="A4151" t="s">
        <v>15</v>
      </c>
      <c r="B4151" t="s">
        <v>16</v>
      </c>
      <c r="C4151" t="s">
        <v>21</v>
      </c>
      <c r="D4151">
        <v>165934</v>
      </c>
      <c r="E4151">
        <v>26516</v>
      </c>
      <c r="F4151">
        <v>36907</v>
      </c>
      <c r="G4151">
        <v>-165125</v>
      </c>
      <c r="H4151">
        <v>64232</v>
      </c>
      <c r="I4151">
        <v>66457</v>
      </c>
      <c r="J4151">
        <v>1025</v>
      </c>
      <c r="K4151">
        <v>621961</v>
      </c>
      <c r="L4151">
        <v>122416</v>
      </c>
      <c r="M4151">
        <v>-107008</v>
      </c>
      <c r="N4151">
        <v>107903</v>
      </c>
      <c r="O4151" t="s">
        <v>4169</v>
      </c>
      <c r="P4151" s="9">
        <v>166171</v>
      </c>
      <c r="Q4151" s="9">
        <v>16084</v>
      </c>
      <c r="R4151" s="9">
        <v>182255</v>
      </c>
      <c r="S4151" s="9">
        <v>-106749</v>
      </c>
      <c r="T4151" s="10">
        <v>58927</v>
      </c>
      <c r="U4151" s="10">
        <v>1338</v>
      </c>
    </row>
    <row r="4152" spans="1:21" x14ac:dyDescent="0.35">
      <c r="A4152" t="s">
        <v>15</v>
      </c>
      <c r="B4152" t="s">
        <v>20</v>
      </c>
      <c r="C4152" t="s">
        <v>21</v>
      </c>
      <c r="D4152">
        <v>201903</v>
      </c>
      <c r="E4152">
        <v>24755</v>
      </c>
      <c r="F4152">
        <v>33377</v>
      </c>
      <c r="G4152">
        <v>-169496</v>
      </c>
      <c r="H4152">
        <v>90539</v>
      </c>
      <c r="I4152">
        <v>85153</v>
      </c>
      <c r="J4152">
        <v>2260</v>
      </c>
      <c r="K4152">
        <v>632837</v>
      </c>
      <c r="L4152">
        <v>280455</v>
      </c>
      <c r="M4152">
        <v>-176850</v>
      </c>
      <c r="N4152">
        <v>74064</v>
      </c>
      <c r="O4152" t="s">
        <v>4170</v>
      </c>
      <c r="P4152" s="9">
        <v>230264</v>
      </c>
      <c r="Q4152" s="9">
        <v>19361</v>
      </c>
      <c r="R4152" s="9">
        <v>249625</v>
      </c>
      <c r="S4152" s="9">
        <v>-133602</v>
      </c>
      <c r="T4152" s="10">
        <v>95148</v>
      </c>
      <c r="U4152" s="10">
        <v>1695</v>
      </c>
    </row>
    <row r="4153" spans="1:21" x14ac:dyDescent="0.35">
      <c r="A4153" t="s">
        <v>15</v>
      </c>
      <c r="B4153" t="s">
        <v>16</v>
      </c>
      <c r="C4153" t="s">
        <v>21</v>
      </c>
      <c r="D4153">
        <v>239213</v>
      </c>
      <c r="E4153">
        <v>42055</v>
      </c>
      <c r="F4153">
        <v>33537</v>
      </c>
      <c r="G4153">
        <v>-232327</v>
      </c>
      <c r="H4153">
        <v>82478</v>
      </c>
      <c r="I4153">
        <v>77706</v>
      </c>
      <c r="J4153">
        <v>1067</v>
      </c>
      <c r="K4153">
        <v>916898</v>
      </c>
      <c r="L4153">
        <v>356257</v>
      </c>
      <c r="M4153">
        <v>-166873</v>
      </c>
      <c r="N4153">
        <v>99888</v>
      </c>
      <c r="O4153" t="s">
        <v>4171</v>
      </c>
      <c r="P4153" s="9">
        <v>270762</v>
      </c>
      <c r="Q4153" s="9">
        <v>51433</v>
      </c>
      <c r="R4153" s="9">
        <v>322195</v>
      </c>
      <c r="S4153" s="9">
        <v>-146074</v>
      </c>
      <c r="T4153" s="10">
        <v>146945</v>
      </c>
      <c r="U4153" s="10">
        <v>2853</v>
      </c>
    </row>
    <row r="4154" spans="1:21" x14ac:dyDescent="0.35">
      <c r="A4154" t="s">
        <v>15</v>
      </c>
      <c r="B4154" t="s">
        <v>16</v>
      </c>
      <c r="C4154" t="s">
        <v>21</v>
      </c>
      <c r="D4154">
        <v>182733</v>
      </c>
      <c r="E4154">
        <v>15554</v>
      </c>
      <c r="F4154">
        <v>26703</v>
      </c>
      <c r="G4154">
        <v>-179855</v>
      </c>
      <c r="H4154">
        <v>45135</v>
      </c>
      <c r="I4154">
        <v>45477</v>
      </c>
      <c r="J4154">
        <v>900</v>
      </c>
      <c r="K4154">
        <v>673278</v>
      </c>
      <c r="L4154">
        <v>316878</v>
      </c>
      <c r="M4154">
        <v>-194635</v>
      </c>
      <c r="N4154">
        <v>97777</v>
      </c>
      <c r="O4154" t="s">
        <v>4172</v>
      </c>
      <c r="P4154" s="9">
        <v>216252</v>
      </c>
      <c r="Q4154" s="9">
        <v>25615</v>
      </c>
      <c r="R4154" s="9">
        <v>241867</v>
      </c>
      <c r="S4154" s="9">
        <v>-64300</v>
      </c>
      <c r="T4154" s="10">
        <v>95776</v>
      </c>
      <c r="U4154" s="10">
        <v>1268</v>
      </c>
    </row>
    <row r="4155" spans="1:21" x14ac:dyDescent="0.35">
      <c r="A4155" t="s">
        <v>15</v>
      </c>
      <c r="B4155" t="s">
        <v>20</v>
      </c>
      <c r="C4155" t="s">
        <v>21</v>
      </c>
      <c r="D4155">
        <v>247346</v>
      </c>
      <c r="E4155">
        <v>16516</v>
      </c>
      <c r="F4155">
        <v>42449</v>
      </c>
      <c r="G4155">
        <v>-210092</v>
      </c>
      <c r="H4155">
        <v>96219</v>
      </c>
      <c r="I4155">
        <v>90448</v>
      </c>
      <c r="J4155">
        <v>1505</v>
      </c>
      <c r="K4155">
        <v>673103</v>
      </c>
      <c r="L4155">
        <v>120437</v>
      </c>
      <c r="M4155">
        <v>-148362</v>
      </c>
      <c r="N4155">
        <v>147880</v>
      </c>
      <c r="O4155" t="s">
        <v>4173</v>
      </c>
      <c r="P4155" s="9">
        <v>150706</v>
      </c>
      <c r="Q4155" s="9">
        <v>12797</v>
      </c>
      <c r="R4155" s="9">
        <v>163503</v>
      </c>
      <c r="S4155" s="9">
        <v>-54404</v>
      </c>
      <c r="T4155" s="10">
        <v>59104</v>
      </c>
      <c r="U4155" s="10">
        <v>1496</v>
      </c>
    </row>
    <row r="4156" spans="1:21" x14ac:dyDescent="0.35">
      <c r="A4156" t="s">
        <v>15</v>
      </c>
      <c r="B4156" t="s">
        <v>20</v>
      </c>
      <c r="C4156" t="s">
        <v>21</v>
      </c>
      <c r="D4156">
        <v>269428</v>
      </c>
      <c r="E4156">
        <v>42503</v>
      </c>
      <c r="F4156">
        <v>40946</v>
      </c>
      <c r="G4156">
        <v>-245928</v>
      </c>
      <c r="H4156">
        <v>106949</v>
      </c>
      <c r="I4156">
        <v>111370</v>
      </c>
      <c r="J4156">
        <v>2725</v>
      </c>
      <c r="K4156">
        <v>748411</v>
      </c>
      <c r="L4156">
        <v>214418</v>
      </c>
      <c r="M4156">
        <v>-92959</v>
      </c>
      <c r="N4156">
        <v>90308</v>
      </c>
      <c r="O4156" t="s">
        <v>4174</v>
      </c>
      <c r="P4156" s="9">
        <v>160904</v>
      </c>
      <c r="Q4156" s="9">
        <v>25183</v>
      </c>
      <c r="R4156" s="9">
        <v>186087</v>
      </c>
      <c r="S4156" s="9">
        <v>-52841</v>
      </c>
      <c r="T4156" s="10">
        <v>74286</v>
      </c>
      <c r="U4156" s="10">
        <v>1886</v>
      </c>
    </row>
    <row r="4157" spans="1:21" x14ac:dyDescent="0.35">
      <c r="A4157" t="s">
        <v>15</v>
      </c>
      <c r="B4157" t="s">
        <v>16</v>
      </c>
      <c r="C4157" t="s">
        <v>21</v>
      </c>
      <c r="D4157">
        <v>284357</v>
      </c>
      <c r="E4157">
        <v>40915</v>
      </c>
      <c r="F4157">
        <v>37899</v>
      </c>
      <c r="G4157">
        <v>-247007</v>
      </c>
      <c r="H4157">
        <v>116164</v>
      </c>
      <c r="I4157">
        <v>114082</v>
      </c>
      <c r="J4157">
        <v>2434</v>
      </c>
      <c r="K4157">
        <v>1057837</v>
      </c>
      <c r="L4157">
        <v>121859</v>
      </c>
      <c r="M4157">
        <v>-133846</v>
      </c>
      <c r="N4157">
        <v>235109</v>
      </c>
      <c r="O4157" t="s">
        <v>4175</v>
      </c>
      <c r="P4157" s="9">
        <v>239250</v>
      </c>
      <c r="Q4157" s="9">
        <v>19921</v>
      </c>
      <c r="R4157" s="9">
        <v>259171</v>
      </c>
      <c r="S4157" s="9">
        <v>-103945</v>
      </c>
      <c r="T4157" s="10">
        <v>51622</v>
      </c>
      <c r="U4157" s="10">
        <v>521</v>
      </c>
    </row>
    <row r="4158" spans="1:21" x14ac:dyDescent="0.35">
      <c r="A4158" t="s">
        <v>15</v>
      </c>
      <c r="B4158" t="s">
        <v>20</v>
      </c>
      <c r="C4158" t="s">
        <v>21</v>
      </c>
      <c r="D4158">
        <v>283386</v>
      </c>
      <c r="E4158">
        <v>18118</v>
      </c>
      <c r="F4158">
        <v>62562</v>
      </c>
      <c r="G4158">
        <v>-236059</v>
      </c>
      <c r="H4158">
        <v>128007</v>
      </c>
      <c r="I4158">
        <v>115937</v>
      </c>
      <c r="J4158">
        <v>2474</v>
      </c>
      <c r="K4158">
        <v>1110841</v>
      </c>
      <c r="L4158">
        <v>247241</v>
      </c>
      <c r="M4158">
        <v>-173857</v>
      </c>
      <c r="N4158">
        <v>149633</v>
      </c>
      <c r="O4158" t="s">
        <v>4176</v>
      </c>
      <c r="P4158" s="9">
        <v>189322</v>
      </c>
      <c r="Q4158" s="9">
        <v>23374</v>
      </c>
      <c r="R4158" s="9">
        <v>212696</v>
      </c>
      <c r="S4158" s="9">
        <v>-61229</v>
      </c>
      <c r="T4158" s="10">
        <v>68372</v>
      </c>
      <c r="U4158" s="10">
        <v>769</v>
      </c>
    </row>
    <row r="4159" spans="1:21" x14ac:dyDescent="0.35">
      <c r="A4159" t="s">
        <v>15</v>
      </c>
      <c r="B4159" t="s">
        <v>20</v>
      </c>
      <c r="C4159" t="s">
        <v>21</v>
      </c>
      <c r="D4159">
        <v>260233</v>
      </c>
      <c r="E4159">
        <v>42700</v>
      </c>
      <c r="F4159">
        <v>64001</v>
      </c>
      <c r="G4159">
        <v>-248105</v>
      </c>
      <c r="H4159">
        <v>118829</v>
      </c>
      <c r="I4159">
        <v>123325</v>
      </c>
      <c r="J4159">
        <v>3534</v>
      </c>
      <c r="K4159">
        <v>570799</v>
      </c>
      <c r="L4159">
        <v>176754</v>
      </c>
      <c r="M4159">
        <v>-82301</v>
      </c>
      <c r="N4159">
        <v>140989</v>
      </c>
      <c r="O4159" t="s">
        <v>4177</v>
      </c>
      <c r="P4159" s="9">
        <v>139797</v>
      </c>
      <c r="Q4159" s="9">
        <v>21311</v>
      </c>
      <c r="R4159" s="9">
        <v>161108</v>
      </c>
      <c r="S4159" s="9">
        <v>-62340</v>
      </c>
      <c r="T4159" s="10">
        <v>52635</v>
      </c>
      <c r="U4159" s="10">
        <v>1084</v>
      </c>
    </row>
    <row r="4160" spans="1:21" x14ac:dyDescent="0.35">
      <c r="A4160" t="s">
        <v>15</v>
      </c>
      <c r="B4160" t="s">
        <v>20</v>
      </c>
      <c r="C4160" t="s">
        <v>17</v>
      </c>
      <c r="D4160">
        <v>228054</v>
      </c>
      <c r="E4160">
        <v>40423</v>
      </c>
      <c r="F4160">
        <v>51856</v>
      </c>
      <c r="G4160">
        <v>-226900</v>
      </c>
      <c r="H4160">
        <v>93433</v>
      </c>
      <c r="I4160">
        <v>92424</v>
      </c>
      <c r="J4160">
        <v>1540</v>
      </c>
      <c r="K4160">
        <v>497301</v>
      </c>
      <c r="L4160">
        <v>142593</v>
      </c>
      <c r="M4160">
        <v>-195406</v>
      </c>
      <c r="N4160">
        <v>78183</v>
      </c>
      <c r="O4160" t="s">
        <v>4178</v>
      </c>
      <c r="P4160" s="9">
        <v>201822</v>
      </c>
      <c r="Q4160" s="9">
        <v>35701</v>
      </c>
      <c r="R4160" s="9">
        <v>237523</v>
      </c>
      <c r="S4160" s="9">
        <v>-87033</v>
      </c>
      <c r="T4160" s="10">
        <v>103001</v>
      </c>
      <c r="U4160" s="10">
        <v>2377</v>
      </c>
    </row>
    <row r="4161" spans="1:21" x14ac:dyDescent="0.35">
      <c r="A4161" t="s">
        <v>15</v>
      </c>
      <c r="B4161" t="s">
        <v>16</v>
      </c>
      <c r="C4161" t="s">
        <v>21</v>
      </c>
      <c r="D4161">
        <v>271940</v>
      </c>
      <c r="E4161">
        <v>32853</v>
      </c>
      <c r="F4161">
        <v>34367</v>
      </c>
      <c r="G4161">
        <v>-233829</v>
      </c>
      <c r="H4161">
        <v>105331</v>
      </c>
      <c r="I4161">
        <v>108378</v>
      </c>
      <c r="J4161">
        <v>1533</v>
      </c>
      <c r="K4161">
        <v>982867</v>
      </c>
      <c r="L4161">
        <v>385338</v>
      </c>
      <c r="M4161">
        <v>-139383</v>
      </c>
      <c r="N4161">
        <v>117041</v>
      </c>
      <c r="O4161" t="s">
        <v>4179</v>
      </c>
      <c r="P4161" s="9">
        <v>201117</v>
      </c>
      <c r="Q4161" s="9">
        <v>30035</v>
      </c>
      <c r="R4161" s="9">
        <v>231152</v>
      </c>
      <c r="S4161" s="9">
        <v>-67770</v>
      </c>
      <c r="T4161" s="10">
        <v>86383</v>
      </c>
      <c r="U4161" s="10">
        <v>1550</v>
      </c>
    </row>
    <row r="4162" spans="1:21" x14ac:dyDescent="0.35">
      <c r="A4162" t="s">
        <v>15</v>
      </c>
      <c r="B4162" t="s">
        <v>20</v>
      </c>
      <c r="C4162" t="s">
        <v>17</v>
      </c>
      <c r="D4162">
        <v>177460</v>
      </c>
      <c r="E4162">
        <v>9981</v>
      </c>
      <c r="F4162">
        <v>27369</v>
      </c>
      <c r="G4162">
        <v>-170566</v>
      </c>
      <c r="H4162">
        <v>44244</v>
      </c>
      <c r="I4162">
        <v>45425</v>
      </c>
      <c r="J4162">
        <v>631</v>
      </c>
      <c r="K4162">
        <v>410107</v>
      </c>
      <c r="L4162">
        <v>199427</v>
      </c>
      <c r="M4162">
        <v>-127498</v>
      </c>
      <c r="N4162">
        <v>83137</v>
      </c>
      <c r="O4162" t="s">
        <v>4180</v>
      </c>
      <c r="P4162" s="9">
        <v>182448</v>
      </c>
      <c r="Q4162" s="9">
        <v>30791</v>
      </c>
      <c r="R4162" s="9">
        <v>213239</v>
      </c>
      <c r="S4162" s="9">
        <v>-47945</v>
      </c>
      <c r="T4162" s="10">
        <v>55581</v>
      </c>
      <c r="U4162" s="10">
        <v>1079</v>
      </c>
    </row>
    <row r="4163" spans="1:21" x14ac:dyDescent="0.35">
      <c r="A4163" t="s">
        <v>15</v>
      </c>
      <c r="B4163" t="s">
        <v>20</v>
      </c>
      <c r="C4163" t="s">
        <v>17</v>
      </c>
      <c r="D4163">
        <v>235494</v>
      </c>
      <c r="E4163">
        <v>15084</v>
      </c>
      <c r="F4163">
        <v>37077</v>
      </c>
      <c r="G4163">
        <v>-223891</v>
      </c>
      <c r="H4163">
        <v>63764</v>
      </c>
      <c r="I4163">
        <v>60444</v>
      </c>
      <c r="J4163">
        <v>877</v>
      </c>
      <c r="K4163">
        <v>478117</v>
      </c>
      <c r="L4163">
        <v>52238</v>
      </c>
      <c r="M4163">
        <v>-75027</v>
      </c>
      <c r="N4163">
        <v>151747</v>
      </c>
      <c r="O4163" t="s">
        <v>4181</v>
      </c>
      <c r="P4163" s="9">
        <v>222478</v>
      </c>
      <c r="Q4163" s="9">
        <v>35999</v>
      </c>
      <c r="R4163" s="9">
        <v>258477</v>
      </c>
      <c r="S4163" s="9">
        <v>-128201</v>
      </c>
      <c r="T4163" s="10">
        <v>69049</v>
      </c>
      <c r="U4163" s="10">
        <v>746</v>
      </c>
    </row>
    <row r="4164" spans="1:21" x14ac:dyDescent="0.35">
      <c r="A4164" t="s">
        <v>15</v>
      </c>
      <c r="B4164" t="s">
        <v>20</v>
      </c>
      <c r="C4164" t="s">
        <v>17</v>
      </c>
      <c r="D4164">
        <v>265764</v>
      </c>
      <c r="E4164">
        <v>47901</v>
      </c>
      <c r="F4164">
        <v>52062</v>
      </c>
      <c r="G4164">
        <v>-222699</v>
      </c>
      <c r="H4164">
        <v>143028</v>
      </c>
      <c r="I4164">
        <v>134859</v>
      </c>
      <c r="J4164">
        <v>2546</v>
      </c>
      <c r="K4164">
        <v>590023</v>
      </c>
      <c r="L4164">
        <v>135444</v>
      </c>
      <c r="M4164">
        <v>-82742</v>
      </c>
      <c r="N4164">
        <v>230900</v>
      </c>
      <c r="O4164" t="s">
        <v>4182</v>
      </c>
      <c r="P4164" s="9">
        <v>225359</v>
      </c>
      <c r="Q4164" s="9">
        <v>28651</v>
      </c>
      <c r="R4164" s="9">
        <v>254010</v>
      </c>
      <c r="S4164" s="9">
        <v>-79892</v>
      </c>
      <c r="T4164" s="10">
        <v>64490</v>
      </c>
      <c r="U4164" s="10">
        <v>1461</v>
      </c>
    </row>
    <row r="4165" spans="1:21" x14ac:dyDescent="0.35">
      <c r="A4165" t="s">
        <v>15</v>
      </c>
      <c r="B4165" t="s">
        <v>20</v>
      </c>
      <c r="C4165" t="s">
        <v>21</v>
      </c>
      <c r="D4165">
        <v>298685</v>
      </c>
      <c r="E4165">
        <v>35697</v>
      </c>
      <c r="F4165">
        <v>59735</v>
      </c>
      <c r="G4165">
        <v>-261907</v>
      </c>
      <c r="H4165">
        <v>132210</v>
      </c>
      <c r="I4165">
        <v>127700</v>
      </c>
      <c r="J4165">
        <v>2784</v>
      </c>
      <c r="K4165">
        <v>927534</v>
      </c>
      <c r="L4165">
        <v>425484</v>
      </c>
      <c r="M4165">
        <v>-167061</v>
      </c>
      <c r="N4165">
        <v>171614</v>
      </c>
      <c r="O4165" t="s">
        <v>4183</v>
      </c>
      <c r="P4165" s="9">
        <v>216398</v>
      </c>
      <c r="Q4165" s="9">
        <v>9885</v>
      </c>
      <c r="R4165" s="9">
        <v>226283</v>
      </c>
      <c r="S4165" s="9">
        <v>-115803</v>
      </c>
      <c r="T4165" s="10">
        <v>78672</v>
      </c>
      <c r="U4165" s="10">
        <v>1397</v>
      </c>
    </row>
    <row r="4166" spans="1:21" x14ac:dyDescent="0.35">
      <c r="A4166" t="s">
        <v>15</v>
      </c>
      <c r="B4166" t="s">
        <v>16</v>
      </c>
      <c r="C4166" t="s">
        <v>17</v>
      </c>
      <c r="D4166">
        <v>207989</v>
      </c>
      <c r="E4166">
        <v>10966</v>
      </c>
      <c r="F4166">
        <v>48007</v>
      </c>
      <c r="G4166">
        <v>-192735</v>
      </c>
      <c r="H4166">
        <v>74227</v>
      </c>
      <c r="I4166">
        <v>72353</v>
      </c>
      <c r="J4166">
        <v>1255</v>
      </c>
      <c r="K4166">
        <v>622229</v>
      </c>
      <c r="L4166">
        <v>206911</v>
      </c>
      <c r="M4166">
        <v>-87878</v>
      </c>
      <c r="N4166">
        <v>144750</v>
      </c>
      <c r="O4166" t="s">
        <v>4184</v>
      </c>
      <c r="P4166" s="9">
        <v>273063</v>
      </c>
      <c r="Q4166" s="9">
        <v>40867</v>
      </c>
      <c r="R4166" s="9">
        <v>313930</v>
      </c>
      <c r="S4166" s="9">
        <v>-186036</v>
      </c>
      <c r="T4166" s="10">
        <v>87713</v>
      </c>
      <c r="U4166" s="10">
        <v>2216</v>
      </c>
    </row>
    <row r="4167" spans="1:21" x14ac:dyDescent="0.35">
      <c r="A4167" t="s">
        <v>15</v>
      </c>
      <c r="B4167" t="s">
        <v>16</v>
      </c>
      <c r="C4167" t="s">
        <v>17</v>
      </c>
      <c r="D4167">
        <v>185432</v>
      </c>
      <c r="E4167">
        <v>24394</v>
      </c>
      <c r="F4167">
        <v>22729</v>
      </c>
      <c r="G4167">
        <v>-173103</v>
      </c>
      <c r="H4167">
        <v>59452</v>
      </c>
      <c r="I4167">
        <v>59517</v>
      </c>
      <c r="J4167">
        <v>941</v>
      </c>
      <c r="K4167">
        <v>393745</v>
      </c>
      <c r="L4167">
        <v>128362</v>
      </c>
      <c r="M4167">
        <v>-146755</v>
      </c>
      <c r="N4167">
        <v>118163</v>
      </c>
      <c r="O4167" t="s">
        <v>4185</v>
      </c>
      <c r="P4167" s="9">
        <v>261428</v>
      </c>
      <c r="Q4167" s="9">
        <v>13249</v>
      </c>
      <c r="R4167" s="9">
        <v>274677</v>
      </c>
      <c r="S4167" s="9">
        <v>-116785</v>
      </c>
      <c r="T4167" s="10">
        <v>86311</v>
      </c>
      <c r="U4167" s="10">
        <v>1812</v>
      </c>
    </row>
    <row r="4168" spans="1:21" x14ac:dyDescent="0.35">
      <c r="A4168" t="s">
        <v>15</v>
      </c>
      <c r="B4168" t="s">
        <v>16</v>
      </c>
      <c r="C4168" t="s">
        <v>17</v>
      </c>
      <c r="D4168">
        <v>220781</v>
      </c>
      <c r="E4168">
        <v>28289</v>
      </c>
      <c r="F4168">
        <v>42036</v>
      </c>
      <c r="G4168">
        <v>-200619</v>
      </c>
      <c r="H4168">
        <v>90487</v>
      </c>
      <c r="I4168">
        <v>88614</v>
      </c>
      <c r="J4168">
        <v>2176</v>
      </c>
      <c r="K4168">
        <v>445130</v>
      </c>
      <c r="L4168">
        <v>186103</v>
      </c>
      <c r="M4168">
        <v>-136913</v>
      </c>
      <c r="N4168">
        <v>73910</v>
      </c>
      <c r="O4168" t="s">
        <v>4186</v>
      </c>
      <c r="P4168" s="9">
        <v>306538</v>
      </c>
      <c r="Q4168" s="9">
        <v>50855</v>
      </c>
      <c r="R4168" s="9">
        <v>357393</v>
      </c>
      <c r="S4168" s="9">
        <v>-155918</v>
      </c>
      <c r="T4168" s="10">
        <v>106790</v>
      </c>
      <c r="U4168" s="10">
        <v>2383</v>
      </c>
    </row>
    <row r="4169" spans="1:21" x14ac:dyDescent="0.35">
      <c r="A4169" t="s">
        <v>15</v>
      </c>
      <c r="B4169" t="s">
        <v>16</v>
      </c>
      <c r="C4169" t="s">
        <v>21</v>
      </c>
      <c r="D4169">
        <v>240743</v>
      </c>
      <c r="E4169">
        <v>19240</v>
      </c>
      <c r="F4169">
        <v>47343</v>
      </c>
      <c r="G4169">
        <v>-222948</v>
      </c>
      <c r="H4169">
        <v>84378</v>
      </c>
      <c r="I4169">
        <v>83755</v>
      </c>
      <c r="J4169">
        <v>1480</v>
      </c>
      <c r="K4169">
        <v>502694</v>
      </c>
      <c r="L4169">
        <v>116119</v>
      </c>
      <c r="M4169">
        <v>-116245</v>
      </c>
      <c r="N4169">
        <v>168823</v>
      </c>
      <c r="O4169" t="s">
        <v>4187</v>
      </c>
      <c r="P4169" s="9">
        <v>209369</v>
      </c>
      <c r="Q4169" s="9">
        <v>21200</v>
      </c>
      <c r="R4169" s="9">
        <v>230569</v>
      </c>
      <c r="S4169" s="9">
        <v>-59190</v>
      </c>
      <c r="T4169" s="10">
        <v>58256</v>
      </c>
      <c r="U4169" s="10">
        <v>728</v>
      </c>
    </row>
    <row r="4170" spans="1:21" x14ac:dyDescent="0.35">
      <c r="A4170" t="s">
        <v>15</v>
      </c>
      <c r="B4170" t="s">
        <v>16</v>
      </c>
      <c r="C4170" t="s">
        <v>17</v>
      </c>
      <c r="D4170">
        <v>296298</v>
      </c>
      <c r="E4170">
        <v>59187</v>
      </c>
      <c r="F4170">
        <v>59882</v>
      </c>
      <c r="G4170">
        <v>-249054</v>
      </c>
      <c r="H4170">
        <v>166313</v>
      </c>
      <c r="I4170">
        <v>170805</v>
      </c>
      <c r="J4170">
        <v>5121</v>
      </c>
      <c r="K4170">
        <v>947456</v>
      </c>
      <c r="L4170">
        <v>464148</v>
      </c>
      <c r="M4170">
        <v>-179965</v>
      </c>
      <c r="N4170">
        <v>96955</v>
      </c>
      <c r="O4170" t="s">
        <v>4188</v>
      </c>
      <c r="P4170" s="9">
        <v>145639</v>
      </c>
      <c r="Q4170" s="9">
        <v>25099</v>
      </c>
      <c r="R4170" s="9">
        <v>170738</v>
      </c>
      <c r="S4170" s="9">
        <v>-57604</v>
      </c>
      <c r="T4170" s="10">
        <v>57869</v>
      </c>
      <c r="U4170" s="10">
        <v>926</v>
      </c>
    </row>
    <row r="4171" spans="1:21" x14ac:dyDescent="0.35">
      <c r="A4171" t="s">
        <v>15</v>
      </c>
      <c r="B4171" t="s">
        <v>20</v>
      </c>
      <c r="C4171" t="s">
        <v>21</v>
      </c>
      <c r="D4171">
        <v>226988</v>
      </c>
      <c r="E4171">
        <v>23370</v>
      </c>
      <c r="F4171">
        <v>50091</v>
      </c>
      <c r="G4171">
        <v>-202954</v>
      </c>
      <c r="H4171">
        <v>97495</v>
      </c>
      <c r="I4171">
        <v>99729</v>
      </c>
      <c r="J4171">
        <v>2751</v>
      </c>
      <c r="K4171">
        <v>663668</v>
      </c>
      <c r="L4171">
        <v>135649</v>
      </c>
      <c r="M4171">
        <v>-82597</v>
      </c>
      <c r="N4171">
        <v>102540</v>
      </c>
      <c r="O4171" t="s">
        <v>4189</v>
      </c>
      <c r="P4171" s="9">
        <v>190922</v>
      </c>
      <c r="Q4171" s="9">
        <v>27546</v>
      </c>
      <c r="R4171" s="9">
        <v>218468</v>
      </c>
      <c r="S4171" s="9">
        <v>-93046</v>
      </c>
      <c r="T4171" s="10">
        <v>73459</v>
      </c>
      <c r="U4171" s="10">
        <v>2159</v>
      </c>
    </row>
    <row r="4172" spans="1:21" x14ac:dyDescent="0.35">
      <c r="A4172" t="s">
        <v>15</v>
      </c>
      <c r="B4172" t="s">
        <v>16</v>
      </c>
      <c r="C4172" t="s">
        <v>21</v>
      </c>
      <c r="D4172">
        <v>178604</v>
      </c>
      <c r="E4172">
        <v>33608</v>
      </c>
      <c r="F4172">
        <v>38429</v>
      </c>
      <c r="G4172">
        <v>-172046</v>
      </c>
      <c r="H4172">
        <v>78595</v>
      </c>
      <c r="I4172">
        <v>71746</v>
      </c>
      <c r="J4172">
        <v>1889</v>
      </c>
      <c r="K4172">
        <v>573395</v>
      </c>
      <c r="L4172">
        <v>209026</v>
      </c>
      <c r="M4172">
        <v>-117513</v>
      </c>
      <c r="N4172">
        <v>93886</v>
      </c>
      <c r="O4172" t="s">
        <v>4190</v>
      </c>
      <c r="P4172" s="9">
        <v>268883</v>
      </c>
      <c r="Q4172" s="9">
        <v>48913</v>
      </c>
      <c r="R4172" s="9">
        <v>317796</v>
      </c>
      <c r="S4172" s="9">
        <v>-186065</v>
      </c>
      <c r="T4172" s="10">
        <v>131620</v>
      </c>
      <c r="U4172" s="10">
        <v>3587</v>
      </c>
    </row>
    <row r="4173" spans="1:21" x14ac:dyDescent="0.35">
      <c r="A4173" t="s">
        <v>15</v>
      </c>
      <c r="B4173" t="s">
        <v>16</v>
      </c>
      <c r="C4173" t="s">
        <v>21</v>
      </c>
      <c r="D4173">
        <v>222199</v>
      </c>
      <c r="E4173">
        <v>16033</v>
      </c>
      <c r="F4173">
        <v>34204</v>
      </c>
      <c r="G4173">
        <v>-179017</v>
      </c>
      <c r="H4173">
        <v>93419</v>
      </c>
      <c r="I4173">
        <v>84330</v>
      </c>
      <c r="J4173">
        <v>1569</v>
      </c>
      <c r="K4173">
        <v>728387</v>
      </c>
      <c r="L4173">
        <v>155223</v>
      </c>
      <c r="M4173">
        <v>-138429</v>
      </c>
      <c r="N4173">
        <v>141867</v>
      </c>
      <c r="O4173" t="s">
        <v>4191</v>
      </c>
      <c r="P4173" s="9">
        <v>279482</v>
      </c>
      <c r="Q4173" s="9">
        <v>30593</v>
      </c>
      <c r="R4173" s="9">
        <v>310075</v>
      </c>
      <c r="S4173" s="9">
        <v>-71604</v>
      </c>
      <c r="T4173" s="10">
        <v>125459</v>
      </c>
      <c r="U4173" s="10">
        <v>1359</v>
      </c>
    </row>
    <row r="4174" spans="1:21" x14ac:dyDescent="0.35">
      <c r="A4174" t="s">
        <v>15</v>
      </c>
      <c r="B4174" t="s">
        <v>20</v>
      </c>
      <c r="C4174" t="s">
        <v>21</v>
      </c>
      <c r="D4174">
        <v>289594</v>
      </c>
      <c r="E4174">
        <v>43816</v>
      </c>
      <c r="F4174">
        <v>41670</v>
      </c>
      <c r="G4174">
        <v>-285039</v>
      </c>
      <c r="H4174">
        <v>90041</v>
      </c>
      <c r="I4174">
        <v>81263</v>
      </c>
      <c r="J4174">
        <v>1417</v>
      </c>
      <c r="K4174">
        <v>810089</v>
      </c>
      <c r="L4174">
        <v>310790</v>
      </c>
      <c r="M4174">
        <v>-130947</v>
      </c>
      <c r="N4174">
        <v>138602</v>
      </c>
      <c r="O4174" t="s">
        <v>4192</v>
      </c>
      <c r="P4174" s="9">
        <v>312400</v>
      </c>
      <c r="Q4174" s="9">
        <v>51815</v>
      </c>
      <c r="R4174" s="9">
        <v>364215</v>
      </c>
      <c r="S4174" s="9">
        <v>-217170</v>
      </c>
      <c r="T4174" s="10">
        <v>140448</v>
      </c>
      <c r="U4174" s="10">
        <v>2797</v>
      </c>
    </row>
    <row r="4175" spans="1:21" x14ac:dyDescent="0.35">
      <c r="A4175" t="s">
        <v>15</v>
      </c>
      <c r="B4175" t="s">
        <v>16</v>
      </c>
      <c r="C4175" t="s">
        <v>17</v>
      </c>
      <c r="D4175">
        <v>227916</v>
      </c>
      <c r="E4175">
        <v>25764</v>
      </c>
      <c r="F4175">
        <v>36192</v>
      </c>
      <c r="G4175">
        <v>-222246</v>
      </c>
      <c r="H4175">
        <v>67626</v>
      </c>
      <c r="I4175">
        <v>63410</v>
      </c>
      <c r="J4175">
        <v>1593</v>
      </c>
      <c r="K4175">
        <v>827287</v>
      </c>
      <c r="L4175">
        <v>352889</v>
      </c>
      <c r="M4175">
        <v>-330251</v>
      </c>
      <c r="N4175">
        <v>128359</v>
      </c>
      <c r="O4175" t="s">
        <v>4193</v>
      </c>
      <c r="P4175" s="9">
        <v>255678</v>
      </c>
      <c r="Q4175" s="9">
        <v>26385</v>
      </c>
      <c r="R4175" s="9">
        <v>282063</v>
      </c>
      <c r="S4175" s="9">
        <v>-62765</v>
      </c>
      <c r="T4175" s="10">
        <v>80716</v>
      </c>
      <c r="U4175" s="10">
        <v>2155</v>
      </c>
    </row>
    <row r="4176" spans="1:21" x14ac:dyDescent="0.35">
      <c r="A4176" t="s">
        <v>15</v>
      </c>
      <c r="B4176" t="s">
        <v>16</v>
      </c>
      <c r="C4176" t="s">
        <v>17</v>
      </c>
      <c r="D4176">
        <v>177630</v>
      </c>
      <c r="E4176">
        <v>10835</v>
      </c>
      <c r="F4176">
        <v>36715</v>
      </c>
      <c r="G4176">
        <v>-149101</v>
      </c>
      <c r="H4176">
        <v>76079</v>
      </c>
      <c r="I4176">
        <v>70280</v>
      </c>
      <c r="J4176">
        <v>1250</v>
      </c>
      <c r="K4176">
        <v>545248</v>
      </c>
      <c r="L4176">
        <v>70184</v>
      </c>
      <c r="M4176">
        <v>-174653</v>
      </c>
      <c r="N4176">
        <v>54140</v>
      </c>
      <c r="O4176" t="s">
        <v>4194</v>
      </c>
      <c r="P4176" s="9">
        <v>305164</v>
      </c>
      <c r="Q4176" s="9">
        <v>17494</v>
      </c>
      <c r="R4176" s="9">
        <v>322658</v>
      </c>
      <c r="S4176" s="9">
        <v>-126167</v>
      </c>
      <c r="T4176" s="10">
        <v>104715</v>
      </c>
      <c r="U4176" s="10">
        <v>1255</v>
      </c>
    </row>
    <row r="4177" spans="1:21" x14ac:dyDescent="0.35">
      <c r="A4177" t="s">
        <v>15</v>
      </c>
      <c r="B4177" t="s">
        <v>16</v>
      </c>
      <c r="C4177" t="s">
        <v>21</v>
      </c>
      <c r="D4177">
        <v>277771</v>
      </c>
      <c r="E4177">
        <v>28420</v>
      </c>
      <c r="F4177">
        <v>52618</v>
      </c>
      <c r="G4177">
        <v>-234341</v>
      </c>
      <c r="H4177">
        <v>124468</v>
      </c>
      <c r="I4177">
        <v>126888</v>
      </c>
      <c r="J4177">
        <v>2922</v>
      </c>
      <c r="K4177">
        <v>1011732</v>
      </c>
      <c r="L4177">
        <v>193087</v>
      </c>
      <c r="M4177">
        <v>-399261</v>
      </c>
      <c r="N4177">
        <v>217078</v>
      </c>
      <c r="O4177" t="s">
        <v>4195</v>
      </c>
      <c r="P4177" s="9">
        <v>163291</v>
      </c>
      <c r="Q4177" s="9">
        <v>28432</v>
      </c>
      <c r="R4177" s="9">
        <v>191723</v>
      </c>
      <c r="S4177" s="9">
        <v>-91134</v>
      </c>
      <c r="T4177" s="10">
        <v>81977</v>
      </c>
      <c r="U4177" s="10">
        <v>1135</v>
      </c>
    </row>
    <row r="4178" spans="1:21" x14ac:dyDescent="0.35">
      <c r="A4178" t="s">
        <v>15</v>
      </c>
      <c r="B4178" t="s">
        <v>16</v>
      </c>
      <c r="C4178" t="s">
        <v>21</v>
      </c>
      <c r="D4178">
        <v>175661</v>
      </c>
      <c r="E4178">
        <v>9963</v>
      </c>
      <c r="F4178">
        <v>22412</v>
      </c>
      <c r="G4178">
        <v>-156196</v>
      </c>
      <c r="H4178">
        <v>51840</v>
      </c>
      <c r="I4178">
        <v>53133</v>
      </c>
      <c r="J4178">
        <v>1474</v>
      </c>
      <c r="K4178">
        <v>619791</v>
      </c>
      <c r="L4178">
        <v>94817</v>
      </c>
      <c r="M4178">
        <v>-115809</v>
      </c>
      <c r="N4178">
        <v>92578</v>
      </c>
      <c r="O4178" t="s">
        <v>4196</v>
      </c>
      <c r="P4178" s="9">
        <v>195294</v>
      </c>
      <c r="Q4178" s="9">
        <v>22150</v>
      </c>
      <c r="R4178" s="9">
        <v>217444</v>
      </c>
      <c r="S4178" s="9">
        <v>-124083</v>
      </c>
      <c r="T4178" s="10">
        <v>59192</v>
      </c>
      <c r="U4178" s="10">
        <v>1386</v>
      </c>
    </row>
    <row r="4179" spans="1:21" x14ac:dyDescent="0.35">
      <c r="A4179" t="s">
        <v>15</v>
      </c>
      <c r="B4179" t="s">
        <v>20</v>
      </c>
      <c r="C4179" t="s">
        <v>21</v>
      </c>
      <c r="D4179">
        <v>265487</v>
      </c>
      <c r="E4179">
        <v>52771</v>
      </c>
      <c r="F4179">
        <v>39748</v>
      </c>
      <c r="G4179">
        <v>-251515</v>
      </c>
      <c r="H4179">
        <v>106491</v>
      </c>
      <c r="I4179">
        <v>96182</v>
      </c>
      <c r="J4179">
        <v>1353</v>
      </c>
      <c r="K4179">
        <v>711220</v>
      </c>
      <c r="L4179">
        <v>123893</v>
      </c>
      <c r="M4179">
        <v>-107733</v>
      </c>
      <c r="N4179">
        <v>140552</v>
      </c>
      <c r="O4179" t="s">
        <v>4197</v>
      </c>
      <c r="P4179" s="9">
        <v>181874</v>
      </c>
      <c r="Q4179" s="9">
        <v>15337</v>
      </c>
      <c r="R4179" s="9">
        <v>197211</v>
      </c>
      <c r="S4179" s="9">
        <v>-59808</v>
      </c>
      <c r="T4179" s="10">
        <v>58974</v>
      </c>
      <c r="U4179" s="10">
        <v>1516</v>
      </c>
    </row>
    <row r="4180" spans="1:21" x14ac:dyDescent="0.35">
      <c r="A4180" t="s">
        <v>15</v>
      </c>
      <c r="B4180" t="s">
        <v>20</v>
      </c>
      <c r="C4180" t="s">
        <v>21</v>
      </c>
      <c r="D4180">
        <v>241485</v>
      </c>
      <c r="E4180">
        <v>36325</v>
      </c>
      <c r="F4180">
        <v>55239</v>
      </c>
      <c r="G4180">
        <v>-233605</v>
      </c>
      <c r="H4180">
        <v>99444</v>
      </c>
      <c r="I4180">
        <v>90885</v>
      </c>
      <c r="J4180">
        <v>916</v>
      </c>
      <c r="K4180">
        <v>712846</v>
      </c>
      <c r="L4180">
        <v>173999</v>
      </c>
      <c r="M4180">
        <v>-247426</v>
      </c>
      <c r="N4180">
        <v>158280</v>
      </c>
      <c r="O4180" t="s">
        <v>4198</v>
      </c>
      <c r="P4180" s="9">
        <v>224363</v>
      </c>
      <c r="Q4180" s="9">
        <v>34861</v>
      </c>
      <c r="R4180" s="9">
        <v>259224</v>
      </c>
      <c r="S4180" s="9">
        <v>-135698</v>
      </c>
      <c r="T4180" s="10">
        <v>103539</v>
      </c>
      <c r="U4180" s="10">
        <v>3102</v>
      </c>
    </row>
    <row r="4181" spans="1:21" x14ac:dyDescent="0.35">
      <c r="A4181" t="s">
        <v>15</v>
      </c>
      <c r="B4181" t="s">
        <v>20</v>
      </c>
      <c r="C4181" t="s">
        <v>17</v>
      </c>
      <c r="D4181">
        <v>171584</v>
      </c>
      <c r="E4181">
        <v>14670</v>
      </c>
      <c r="F4181">
        <v>24466</v>
      </c>
      <c r="G4181">
        <v>-141098</v>
      </c>
      <c r="H4181">
        <v>69622</v>
      </c>
      <c r="I4181">
        <v>66671</v>
      </c>
      <c r="J4181">
        <v>1378</v>
      </c>
      <c r="K4181">
        <v>548397</v>
      </c>
      <c r="L4181">
        <v>95348</v>
      </c>
      <c r="M4181">
        <v>-183855</v>
      </c>
      <c r="N4181">
        <v>98400</v>
      </c>
      <c r="O4181" t="s">
        <v>4199</v>
      </c>
      <c r="P4181" s="9">
        <v>194387</v>
      </c>
      <c r="Q4181" s="9">
        <v>40284</v>
      </c>
      <c r="R4181" s="9">
        <v>234671</v>
      </c>
      <c r="S4181" s="9">
        <v>-67963</v>
      </c>
      <c r="T4181" s="10">
        <v>85637</v>
      </c>
      <c r="U4181" s="10">
        <v>1595</v>
      </c>
    </row>
    <row r="4182" spans="1:21" x14ac:dyDescent="0.35">
      <c r="A4182" t="s">
        <v>15</v>
      </c>
      <c r="B4182" t="s">
        <v>16</v>
      </c>
      <c r="C4182" t="s">
        <v>17</v>
      </c>
      <c r="D4182">
        <v>174583</v>
      </c>
      <c r="E4182">
        <v>29220</v>
      </c>
      <c r="F4182">
        <v>20231</v>
      </c>
      <c r="G4182">
        <v>-146571</v>
      </c>
      <c r="H4182">
        <v>77463</v>
      </c>
      <c r="I4182">
        <v>74401</v>
      </c>
      <c r="J4182">
        <v>934</v>
      </c>
      <c r="K4182">
        <v>666460</v>
      </c>
      <c r="L4182">
        <v>219185</v>
      </c>
      <c r="M4182">
        <v>-227459</v>
      </c>
      <c r="N4182">
        <v>64285</v>
      </c>
      <c r="O4182" t="s">
        <v>4200</v>
      </c>
      <c r="P4182" s="9">
        <v>255694</v>
      </c>
      <c r="Q4182" s="9">
        <v>35305</v>
      </c>
      <c r="R4182" s="9">
        <v>290999</v>
      </c>
      <c r="S4182" s="9">
        <v>-132216</v>
      </c>
      <c r="T4182" s="10">
        <v>137246</v>
      </c>
      <c r="U4182" s="10">
        <v>1857</v>
      </c>
    </row>
    <row r="4183" spans="1:21" x14ac:dyDescent="0.35">
      <c r="A4183" t="s">
        <v>15</v>
      </c>
      <c r="B4183" t="s">
        <v>16</v>
      </c>
      <c r="C4183" t="s">
        <v>17</v>
      </c>
      <c r="D4183">
        <v>273653</v>
      </c>
      <c r="E4183">
        <v>20083</v>
      </c>
      <c r="F4183">
        <v>39665</v>
      </c>
      <c r="G4183">
        <v>-273027</v>
      </c>
      <c r="H4183">
        <v>60374</v>
      </c>
      <c r="I4183">
        <v>55635</v>
      </c>
      <c r="J4183">
        <v>1427</v>
      </c>
      <c r="K4183">
        <v>918776</v>
      </c>
      <c r="L4183">
        <v>454361</v>
      </c>
      <c r="M4183">
        <v>-334866</v>
      </c>
      <c r="N4183">
        <v>140187</v>
      </c>
      <c r="O4183" t="s">
        <v>4201</v>
      </c>
      <c r="P4183" s="9">
        <v>225961</v>
      </c>
      <c r="Q4183" s="9">
        <v>37888</v>
      </c>
      <c r="R4183" s="9">
        <v>263849</v>
      </c>
      <c r="S4183" s="9">
        <v>-114445</v>
      </c>
      <c r="T4183" s="10">
        <v>77731</v>
      </c>
      <c r="U4183" s="10">
        <v>2025</v>
      </c>
    </row>
    <row r="4184" spans="1:21" x14ac:dyDescent="0.35">
      <c r="A4184" t="s">
        <v>15</v>
      </c>
      <c r="B4184" t="s">
        <v>20</v>
      </c>
      <c r="C4184" t="s">
        <v>21</v>
      </c>
      <c r="D4184">
        <v>187184</v>
      </c>
      <c r="E4184">
        <v>14659</v>
      </c>
      <c r="F4184">
        <v>22623</v>
      </c>
      <c r="G4184">
        <v>-184517</v>
      </c>
      <c r="H4184">
        <v>39949</v>
      </c>
      <c r="I4184">
        <v>40212</v>
      </c>
      <c r="J4184">
        <v>1035</v>
      </c>
      <c r="K4184">
        <v>505010</v>
      </c>
      <c r="L4184">
        <v>58923</v>
      </c>
      <c r="M4184">
        <v>-148295</v>
      </c>
      <c r="N4184">
        <v>149398</v>
      </c>
      <c r="O4184" t="s">
        <v>4202</v>
      </c>
      <c r="P4184" s="9">
        <v>242588</v>
      </c>
      <c r="Q4184" s="9">
        <v>32762</v>
      </c>
      <c r="R4184" s="9">
        <v>275350</v>
      </c>
      <c r="S4184" s="9">
        <v>-107946</v>
      </c>
      <c r="T4184" s="10">
        <v>76259</v>
      </c>
      <c r="U4184" s="10">
        <v>1394</v>
      </c>
    </row>
    <row r="4185" spans="1:21" x14ac:dyDescent="0.35">
      <c r="A4185" t="s">
        <v>15</v>
      </c>
      <c r="B4185" t="s">
        <v>16</v>
      </c>
      <c r="C4185" t="s">
        <v>21</v>
      </c>
      <c r="D4185">
        <v>222712</v>
      </c>
      <c r="E4185">
        <v>30655</v>
      </c>
      <c r="F4185">
        <v>25310</v>
      </c>
      <c r="G4185">
        <v>-185631</v>
      </c>
      <c r="H4185">
        <v>93046</v>
      </c>
      <c r="I4185">
        <v>88907</v>
      </c>
      <c r="J4185">
        <v>2589</v>
      </c>
      <c r="K4185">
        <v>540493</v>
      </c>
      <c r="L4185">
        <v>221520</v>
      </c>
      <c r="M4185">
        <v>-202287</v>
      </c>
      <c r="N4185">
        <v>126297</v>
      </c>
      <c r="O4185" t="s">
        <v>4203</v>
      </c>
      <c r="P4185" s="9">
        <v>199126</v>
      </c>
      <c r="Q4185" s="9">
        <v>26684</v>
      </c>
      <c r="R4185" s="9">
        <v>225810</v>
      </c>
      <c r="S4185" s="9">
        <v>-100782</v>
      </c>
      <c r="T4185" s="10">
        <v>109360</v>
      </c>
      <c r="U4185" s="10">
        <v>1252</v>
      </c>
    </row>
    <row r="4186" spans="1:21" x14ac:dyDescent="0.35">
      <c r="A4186" t="s">
        <v>15</v>
      </c>
      <c r="B4186" t="s">
        <v>16</v>
      </c>
      <c r="C4186" t="s">
        <v>21</v>
      </c>
      <c r="D4186">
        <v>249556</v>
      </c>
      <c r="E4186">
        <v>24282</v>
      </c>
      <c r="F4186">
        <v>34153</v>
      </c>
      <c r="G4186">
        <v>-230776</v>
      </c>
      <c r="H4186">
        <v>77215</v>
      </c>
      <c r="I4186">
        <v>70266</v>
      </c>
      <c r="J4186">
        <v>1717</v>
      </c>
      <c r="K4186">
        <v>845002</v>
      </c>
      <c r="L4186">
        <v>200149</v>
      </c>
      <c r="M4186">
        <v>-229347</v>
      </c>
      <c r="N4186">
        <v>151599</v>
      </c>
      <c r="O4186" t="s">
        <v>4204</v>
      </c>
      <c r="P4186" s="9">
        <v>212935</v>
      </c>
      <c r="Q4186" s="9">
        <v>18690</v>
      </c>
      <c r="R4186" s="9">
        <v>231625</v>
      </c>
      <c r="S4186" s="9">
        <v>-47765</v>
      </c>
      <c r="T4186" s="10">
        <v>82073</v>
      </c>
      <c r="U4186" s="10">
        <v>2066</v>
      </c>
    </row>
    <row r="4187" spans="1:21" x14ac:dyDescent="0.35">
      <c r="A4187" t="s">
        <v>15</v>
      </c>
      <c r="B4187" t="s">
        <v>16</v>
      </c>
      <c r="C4187" t="s">
        <v>17</v>
      </c>
      <c r="D4187">
        <v>239898</v>
      </c>
      <c r="E4187">
        <v>22386</v>
      </c>
      <c r="F4187">
        <v>34709</v>
      </c>
      <c r="G4187">
        <v>-193615</v>
      </c>
      <c r="H4187">
        <v>103378</v>
      </c>
      <c r="I4187">
        <v>103817</v>
      </c>
      <c r="J4187">
        <v>1642</v>
      </c>
      <c r="K4187">
        <v>602003</v>
      </c>
      <c r="L4187">
        <v>259349</v>
      </c>
      <c r="M4187">
        <v>-205301</v>
      </c>
      <c r="N4187">
        <v>214784</v>
      </c>
      <c r="O4187" t="s">
        <v>4205</v>
      </c>
      <c r="P4187" s="9">
        <v>234185</v>
      </c>
      <c r="Q4187" s="9">
        <v>24392</v>
      </c>
      <c r="R4187" s="9">
        <v>258577</v>
      </c>
      <c r="S4187" s="9">
        <v>-85511</v>
      </c>
      <c r="T4187" s="10">
        <v>117215</v>
      </c>
      <c r="U4187" s="10">
        <v>2426</v>
      </c>
    </row>
    <row r="4188" spans="1:21" x14ac:dyDescent="0.35">
      <c r="A4188" t="s">
        <v>15</v>
      </c>
      <c r="B4188" t="s">
        <v>20</v>
      </c>
      <c r="C4188" t="s">
        <v>17</v>
      </c>
      <c r="D4188">
        <v>187740</v>
      </c>
      <c r="E4188">
        <v>29129</v>
      </c>
      <c r="F4188">
        <v>42248</v>
      </c>
      <c r="G4188">
        <v>-162228</v>
      </c>
      <c r="H4188">
        <v>96889</v>
      </c>
      <c r="I4188">
        <v>100507</v>
      </c>
      <c r="J4188">
        <v>1761</v>
      </c>
      <c r="K4188">
        <v>702641</v>
      </c>
      <c r="L4188">
        <v>201179</v>
      </c>
      <c r="M4188">
        <v>-150595</v>
      </c>
      <c r="N4188">
        <v>65712</v>
      </c>
      <c r="O4188" t="s">
        <v>4206</v>
      </c>
      <c r="P4188" s="9">
        <v>187423</v>
      </c>
      <c r="Q4188" s="9">
        <v>23608</v>
      </c>
      <c r="R4188" s="9">
        <v>211031</v>
      </c>
      <c r="S4188" s="9">
        <v>-46290</v>
      </c>
      <c r="T4188" s="10">
        <v>71844</v>
      </c>
      <c r="U4188" s="10">
        <v>1178</v>
      </c>
    </row>
    <row r="4189" spans="1:21" x14ac:dyDescent="0.35">
      <c r="A4189" t="s">
        <v>15</v>
      </c>
      <c r="B4189" t="s">
        <v>20</v>
      </c>
      <c r="C4189" t="s">
        <v>17</v>
      </c>
      <c r="D4189">
        <v>283832</v>
      </c>
      <c r="E4189">
        <v>43840</v>
      </c>
      <c r="F4189">
        <v>70347</v>
      </c>
      <c r="G4189">
        <v>-269162</v>
      </c>
      <c r="H4189">
        <v>128857</v>
      </c>
      <c r="I4189">
        <v>131171</v>
      </c>
      <c r="J4189">
        <v>3495</v>
      </c>
      <c r="K4189">
        <v>999034</v>
      </c>
      <c r="L4189">
        <v>343803</v>
      </c>
      <c r="M4189">
        <v>-170568</v>
      </c>
      <c r="N4189">
        <v>191664</v>
      </c>
      <c r="O4189" t="s">
        <v>4207</v>
      </c>
      <c r="P4189" s="9">
        <v>257184</v>
      </c>
      <c r="Q4189" s="9">
        <v>34016</v>
      </c>
      <c r="R4189" s="9">
        <v>291200</v>
      </c>
      <c r="S4189" s="9">
        <v>-84347</v>
      </c>
      <c r="T4189" s="10">
        <v>129676</v>
      </c>
      <c r="U4189" s="10">
        <v>2902</v>
      </c>
    </row>
    <row r="4190" spans="1:21" x14ac:dyDescent="0.35">
      <c r="A4190" t="s">
        <v>15</v>
      </c>
      <c r="B4190" t="s">
        <v>20</v>
      </c>
      <c r="C4190" t="s">
        <v>17</v>
      </c>
      <c r="D4190">
        <v>208976</v>
      </c>
      <c r="E4190">
        <v>32704</v>
      </c>
      <c r="F4190">
        <v>32550</v>
      </c>
      <c r="G4190">
        <v>-175492</v>
      </c>
      <c r="H4190">
        <v>98738</v>
      </c>
      <c r="I4190">
        <v>93548</v>
      </c>
      <c r="J4190">
        <v>2404</v>
      </c>
      <c r="K4190">
        <v>472254</v>
      </c>
      <c r="L4190">
        <v>126938</v>
      </c>
      <c r="M4190">
        <v>-108983</v>
      </c>
      <c r="N4190">
        <v>152991</v>
      </c>
      <c r="O4190" t="s">
        <v>4208</v>
      </c>
      <c r="P4190" s="9">
        <v>188429</v>
      </c>
      <c r="Q4190" s="9">
        <v>22986</v>
      </c>
      <c r="R4190" s="9">
        <v>211415</v>
      </c>
      <c r="S4190" s="9">
        <v>-65637</v>
      </c>
      <c r="T4190" s="10">
        <v>77185</v>
      </c>
      <c r="U4190" s="10">
        <v>1043</v>
      </c>
    </row>
    <row r="4191" spans="1:21" x14ac:dyDescent="0.35">
      <c r="A4191" t="s">
        <v>15</v>
      </c>
      <c r="B4191" t="s">
        <v>16</v>
      </c>
      <c r="C4191" t="s">
        <v>21</v>
      </c>
      <c r="D4191">
        <v>150043</v>
      </c>
      <c r="E4191">
        <v>18957</v>
      </c>
      <c r="F4191">
        <v>25830</v>
      </c>
      <c r="G4191">
        <v>-149255</v>
      </c>
      <c r="H4191">
        <v>45575</v>
      </c>
      <c r="I4191">
        <v>46920</v>
      </c>
      <c r="J4191">
        <v>1328</v>
      </c>
      <c r="K4191">
        <v>506983</v>
      </c>
      <c r="L4191">
        <v>162282</v>
      </c>
      <c r="M4191">
        <v>-105432</v>
      </c>
      <c r="N4191">
        <v>133582</v>
      </c>
      <c r="O4191" t="s">
        <v>4209</v>
      </c>
      <c r="P4191" s="9">
        <v>162529</v>
      </c>
      <c r="Q4191" s="9">
        <v>11375</v>
      </c>
      <c r="R4191" s="9">
        <v>173904</v>
      </c>
      <c r="S4191" s="9">
        <v>-74334</v>
      </c>
      <c r="T4191" s="10">
        <v>47930</v>
      </c>
      <c r="U4191" s="10">
        <v>911</v>
      </c>
    </row>
    <row r="4192" spans="1:21" x14ac:dyDescent="0.35">
      <c r="A4192" t="s">
        <v>15</v>
      </c>
      <c r="B4192" t="s">
        <v>20</v>
      </c>
      <c r="C4192" t="s">
        <v>21</v>
      </c>
      <c r="D4192">
        <v>176257</v>
      </c>
      <c r="E4192">
        <v>29580</v>
      </c>
      <c r="F4192">
        <v>34765</v>
      </c>
      <c r="G4192">
        <v>-155498</v>
      </c>
      <c r="H4192">
        <v>85104</v>
      </c>
      <c r="I4192">
        <v>77611</v>
      </c>
      <c r="J4192">
        <v>1443</v>
      </c>
      <c r="K4192">
        <v>514151</v>
      </c>
      <c r="L4192">
        <v>98550</v>
      </c>
      <c r="M4192">
        <v>-204085</v>
      </c>
      <c r="N4192">
        <v>132293</v>
      </c>
      <c r="O4192" t="s">
        <v>4210</v>
      </c>
      <c r="P4192" s="9">
        <v>199163</v>
      </c>
      <c r="Q4192" s="9">
        <v>13056</v>
      </c>
      <c r="R4192" s="9">
        <v>212219</v>
      </c>
      <c r="S4192" s="9">
        <v>-79023</v>
      </c>
      <c r="T4192" s="10">
        <v>91460</v>
      </c>
      <c r="U4192" s="10">
        <v>2491</v>
      </c>
    </row>
    <row r="4193" spans="1:21" x14ac:dyDescent="0.35">
      <c r="A4193" t="s">
        <v>15</v>
      </c>
      <c r="B4193" t="s">
        <v>16</v>
      </c>
      <c r="C4193" t="s">
        <v>17</v>
      </c>
      <c r="D4193">
        <v>270385</v>
      </c>
      <c r="E4193">
        <v>35661</v>
      </c>
      <c r="F4193">
        <v>29301</v>
      </c>
      <c r="G4193">
        <v>-233201</v>
      </c>
      <c r="H4193">
        <v>102146</v>
      </c>
      <c r="I4193">
        <v>99291</v>
      </c>
      <c r="J4193">
        <v>2115</v>
      </c>
      <c r="K4193">
        <v>896524</v>
      </c>
      <c r="L4193">
        <v>118558</v>
      </c>
      <c r="M4193">
        <v>-254296</v>
      </c>
      <c r="N4193">
        <v>93717</v>
      </c>
      <c r="O4193" t="s">
        <v>4211</v>
      </c>
      <c r="P4193" s="9">
        <v>286451</v>
      </c>
      <c r="Q4193" s="9">
        <v>42458</v>
      </c>
      <c r="R4193" s="9">
        <v>328909</v>
      </c>
      <c r="S4193" s="9">
        <v>-68928</v>
      </c>
      <c r="T4193" s="10">
        <v>143353</v>
      </c>
      <c r="U4193" s="10">
        <v>3854</v>
      </c>
    </row>
    <row r="4194" spans="1:21" x14ac:dyDescent="0.35">
      <c r="A4194" t="s">
        <v>15</v>
      </c>
      <c r="B4194" t="s">
        <v>20</v>
      </c>
      <c r="C4194" t="s">
        <v>21</v>
      </c>
      <c r="D4194">
        <v>290941</v>
      </c>
      <c r="E4194">
        <v>46125</v>
      </c>
      <c r="F4194">
        <v>49997</v>
      </c>
      <c r="G4194">
        <v>-276689</v>
      </c>
      <c r="H4194">
        <v>110374</v>
      </c>
      <c r="I4194">
        <v>105901</v>
      </c>
      <c r="J4194">
        <v>2361</v>
      </c>
      <c r="K4194">
        <v>775294</v>
      </c>
      <c r="L4194">
        <v>110074</v>
      </c>
      <c r="M4194">
        <v>-269132</v>
      </c>
      <c r="N4194">
        <v>105146</v>
      </c>
      <c r="O4194" t="s">
        <v>4212</v>
      </c>
      <c r="P4194" s="9">
        <v>254849</v>
      </c>
      <c r="Q4194" s="9">
        <v>13910</v>
      </c>
      <c r="R4194" s="9">
        <v>268759</v>
      </c>
      <c r="S4194" s="9">
        <v>-76683</v>
      </c>
      <c r="T4194" s="10">
        <v>81156</v>
      </c>
      <c r="U4194" s="10">
        <v>1652</v>
      </c>
    </row>
    <row r="4195" spans="1:21" x14ac:dyDescent="0.35">
      <c r="A4195" t="s">
        <v>15</v>
      </c>
      <c r="B4195" t="s">
        <v>16</v>
      </c>
      <c r="C4195" t="s">
        <v>21</v>
      </c>
      <c r="D4195">
        <v>201541</v>
      </c>
      <c r="E4195">
        <v>39997</v>
      </c>
      <c r="F4195">
        <v>46138</v>
      </c>
      <c r="G4195">
        <v>-174623</v>
      </c>
      <c r="H4195">
        <v>113053</v>
      </c>
      <c r="I4195">
        <v>102646</v>
      </c>
      <c r="J4195">
        <v>2566</v>
      </c>
      <c r="K4195">
        <v>481654</v>
      </c>
      <c r="L4195">
        <v>157058</v>
      </c>
      <c r="M4195">
        <v>-129475</v>
      </c>
      <c r="N4195">
        <v>176315</v>
      </c>
      <c r="O4195" t="s">
        <v>4213</v>
      </c>
      <c r="P4195" s="9">
        <v>287350</v>
      </c>
      <c r="Q4195" s="9">
        <v>39239</v>
      </c>
      <c r="R4195" s="9">
        <v>326589</v>
      </c>
      <c r="S4195" s="9">
        <v>-185471</v>
      </c>
      <c r="T4195" s="10">
        <v>117945</v>
      </c>
      <c r="U4195" s="10">
        <v>1360</v>
      </c>
    </row>
    <row r="4196" spans="1:21" x14ac:dyDescent="0.35">
      <c r="A4196" t="s">
        <v>15</v>
      </c>
      <c r="B4196" t="s">
        <v>16</v>
      </c>
      <c r="C4196" t="s">
        <v>21</v>
      </c>
      <c r="D4196">
        <v>239408</v>
      </c>
      <c r="E4196">
        <v>16863</v>
      </c>
      <c r="F4196">
        <v>28605</v>
      </c>
      <c r="G4196">
        <v>-212373</v>
      </c>
      <c r="H4196">
        <v>72503</v>
      </c>
      <c r="I4196">
        <v>69228</v>
      </c>
      <c r="J4196">
        <v>1155</v>
      </c>
      <c r="K4196">
        <v>744702</v>
      </c>
      <c r="L4196">
        <v>202050</v>
      </c>
      <c r="M4196">
        <v>-270937</v>
      </c>
      <c r="N4196">
        <v>152861</v>
      </c>
      <c r="O4196" t="s">
        <v>4214</v>
      </c>
      <c r="P4196" s="9">
        <v>303144</v>
      </c>
      <c r="Q4196" s="9">
        <v>28058</v>
      </c>
      <c r="R4196" s="9">
        <v>331202</v>
      </c>
      <c r="S4196" s="9">
        <v>-143803</v>
      </c>
      <c r="T4196" s="10">
        <v>128972</v>
      </c>
      <c r="U4196" s="10">
        <v>3299</v>
      </c>
    </row>
    <row r="4197" spans="1:21" x14ac:dyDescent="0.35">
      <c r="A4197" t="s">
        <v>15</v>
      </c>
      <c r="B4197" t="s">
        <v>20</v>
      </c>
      <c r="C4197" t="s">
        <v>17</v>
      </c>
      <c r="D4197">
        <v>194482</v>
      </c>
      <c r="E4197">
        <v>19896</v>
      </c>
      <c r="F4197">
        <v>22877</v>
      </c>
      <c r="G4197">
        <v>-163842</v>
      </c>
      <c r="H4197">
        <v>73413</v>
      </c>
      <c r="I4197">
        <v>69682</v>
      </c>
      <c r="J4197">
        <v>1546</v>
      </c>
      <c r="K4197">
        <v>404670</v>
      </c>
      <c r="L4197">
        <v>104343</v>
      </c>
      <c r="M4197">
        <v>-144657</v>
      </c>
      <c r="N4197">
        <v>135703</v>
      </c>
      <c r="O4197" t="s">
        <v>4215</v>
      </c>
      <c r="P4197" s="9">
        <v>158295</v>
      </c>
      <c r="Q4197" s="9">
        <v>17593</v>
      </c>
      <c r="R4197" s="9">
        <v>175888</v>
      </c>
      <c r="S4197" s="9">
        <v>-103717</v>
      </c>
      <c r="T4197" s="10">
        <v>74179</v>
      </c>
      <c r="U4197" s="10">
        <v>925</v>
      </c>
    </row>
    <row r="4198" spans="1:21" x14ac:dyDescent="0.35">
      <c r="A4198" t="s">
        <v>15</v>
      </c>
      <c r="B4198" t="s">
        <v>20</v>
      </c>
      <c r="C4198" t="s">
        <v>21</v>
      </c>
      <c r="D4198">
        <v>204106</v>
      </c>
      <c r="E4198">
        <v>20889</v>
      </c>
      <c r="F4198">
        <v>40515</v>
      </c>
      <c r="G4198">
        <v>-202647</v>
      </c>
      <c r="H4198">
        <v>62863</v>
      </c>
      <c r="I4198">
        <v>58355</v>
      </c>
      <c r="J4198">
        <v>652</v>
      </c>
      <c r="K4198">
        <v>443290</v>
      </c>
      <c r="L4198">
        <v>218794</v>
      </c>
      <c r="M4198">
        <v>-94516</v>
      </c>
      <c r="N4198">
        <v>84869</v>
      </c>
      <c r="O4198" t="s">
        <v>4216</v>
      </c>
      <c r="P4198" s="9">
        <v>143096</v>
      </c>
      <c r="Q4198" s="9">
        <v>18087</v>
      </c>
      <c r="R4198" s="9">
        <v>161183</v>
      </c>
      <c r="S4198" s="9">
        <v>-76976</v>
      </c>
      <c r="T4198" s="10">
        <v>59375</v>
      </c>
      <c r="U4198" s="10">
        <v>1114</v>
      </c>
    </row>
    <row r="4199" spans="1:21" x14ac:dyDescent="0.35">
      <c r="A4199" t="s">
        <v>15</v>
      </c>
      <c r="B4199" t="s">
        <v>16</v>
      </c>
      <c r="C4199" t="s">
        <v>17</v>
      </c>
      <c r="D4199">
        <v>174147</v>
      </c>
      <c r="E4199">
        <v>25254</v>
      </c>
      <c r="F4199">
        <v>33523</v>
      </c>
      <c r="G4199">
        <v>-162674</v>
      </c>
      <c r="H4199">
        <v>70250</v>
      </c>
      <c r="I4199">
        <v>65619</v>
      </c>
      <c r="J4199">
        <v>1692</v>
      </c>
      <c r="K4199">
        <v>693713</v>
      </c>
      <c r="L4199">
        <v>305218</v>
      </c>
      <c r="M4199">
        <v>-216020</v>
      </c>
      <c r="N4199">
        <v>139612</v>
      </c>
      <c r="O4199" t="s">
        <v>4217</v>
      </c>
      <c r="P4199" s="9">
        <v>146561</v>
      </c>
      <c r="Q4199" s="9">
        <v>27645</v>
      </c>
      <c r="R4199" s="9">
        <v>174206</v>
      </c>
      <c r="S4199" s="9">
        <v>-67716</v>
      </c>
      <c r="T4199" s="10">
        <v>40885</v>
      </c>
      <c r="U4199" s="10">
        <v>1037</v>
      </c>
    </row>
    <row r="4200" spans="1:21" x14ac:dyDescent="0.35">
      <c r="A4200" t="s">
        <v>15</v>
      </c>
      <c r="B4200" t="s">
        <v>16</v>
      </c>
      <c r="C4200" t="s">
        <v>21</v>
      </c>
      <c r="D4200">
        <v>177881</v>
      </c>
      <c r="E4200">
        <v>16745</v>
      </c>
      <c r="F4200">
        <v>33938</v>
      </c>
      <c r="G4200">
        <v>-151638</v>
      </c>
      <c r="H4200">
        <v>76926</v>
      </c>
      <c r="I4200">
        <v>76857</v>
      </c>
      <c r="J4200">
        <v>2142</v>
      </c>
      <c r="K4200">
        <v>624217</v>
      </c>
      <c r="L4200">
        <v>306723</v>
      </c>
      <c r="M4200">
        <v>-163742</v>
      </c>
      <c r="N4200">
        <v>63158</v>
      </c>
      <c r="O4200" t="s">
        <v>4218</v>
      </c>
      <c r="P4200" s="9">
        <v>187360</v>
      </c>
      <c r="Q4200" s="9">
        <v>23252</v>
      </c>
      <c r="R4200" s="9">
        <v>210612</v>
      </c>
      <c r="S4200" s="9">
        <v>-111281</v>
      </c>
      <c r="T4200" s="10">
        <v>59639</v>
      </c>
      <c r="U4200" s="10">
        <v>1345</v>
      </c>
    </row>
    <row r="4201" spans="1:21" x14ac:dyDescent="0.35">
      <c r="A4201" t="s">
        <v>15</v>
      </c>
      <c r="B4201" t="s">
        <v>20</v>
      </c>
      <c r="C4201" t="s">
        <v>21</v>
      </c>
      <c r="D4201">
        <v>244988</v>
      </c>
      <c r="E4201">
        <v>44225</v>
      </c>
      <c r="F4201">
        <v>49544</v>
      </c>
      <c r="G4201">
        <v>-231227</v>
      </c>
      <c r="H4201">
        <v>107530</v>
      </c>
      <c r="I4201">
        <v>100606</v>
      </c>
      <c r="J4201">
        <v>1608</v>
      </c>
      <c r="K4201">
        <v>905551</v>
      </c>
      <c r="L4201">
        <v>135252</v>
      </c>
      <c r="M4201">
        <v>-175141</v>
      </c>
      <c r="N4201">
        <v>113388</v>
      </c>
      <c r="O4201" t="s">
        <v>4219</v>
      </c>
      <c r="P4201" s="9">
        <v>232117</v>
      </c>
      <c r="Q4201" s="9">
        <v>43738</v>
      </c>
      <c r="R4201" s="9">
        <v>275855</v>
      </c>
      <c r="S4201" s="9">
        <v>-137311</v>
      </c>
      <c r="T4201" s="10">
        <v>103391</v>
      </c>
      <c r="U4201" s="10">
        <v>3012</v>
      </c>
    </row>
    <row r="4202" spans="1:21" x14ac:dyDescent="0.35">
      <c r="A4202" t="s">
        <v>15</v>
      </c>
      <c r="B4202" t="s">
        <v>20</v>
      </c>
      <c r="C4202" t="s">
        <v>21</v>
      </c>
      <c r="D4202">
        <v>190661</v>
      </c>
      <c r="E4202">
        <v>15114</v>
      </c>
      <c r="F4202">
        <v>20594</v>
      </c>
      <c r="G4202">
        <v>-157058</v>
      </c>
      <c r="H4202">
        <v>69311</v>
      </c>
      <c r="I4202">
        <v>66684</v>
      </c>
      <c r="J4202">
        <v>771</v>
      </c>
      <c r="K4202">
        <v>632969</v>
      </c>
      <c r="L4202">
        <v>221795</v>
      </c>
      <c r="M4202">
        <v>-231982</v>
      </c>
      <c r="N4202">
        <v>57935</v>
      </c>
      <c r="O4202" t="s">
        <v>4220</v>
      </c>
      <c r="P4202" s="9">
        <v>270827</v>
      </c>
      <c r="Q4202" s="9">
        <v>46707</v>
      </c>
      <c r="R4202" s="9">
        <v>317534</v>
      </c>
      <c r="S4202" s="9">
        <v>-166493</v>
      </c>
      <c r="T4202" s="10">
        <v>139916</v>
      </c>
      <c r="U4202" s="10">
        <v>2803</v>
      </c>
    </row>
    <row r="4203" spans="1:21" x14ac:dyDescent="0.35">
      <c r="A4203" t="s">
        <v>15</v>
      </c>
      <c r="B4203" t="s">
        <v>20</v>
      </c>
      <c r="C4203" t="s">
        <v>21</v>
      </c>
      <c r="D4203">
        <v>291226</v>
      </c>
      <c r="E4203">
        <v>16108</v>
      </c>
      <c r="F4203">
        <v>68635</v>
      </c>
      <c r="G4203">
        <v>-250608</v>
      </c>
      <c r="H4203">
        <v>125361</v>
      </c>
      <c r="I4203">
        <v>125819</v>
      </c>
      <c r="J4203">
        <v>2821</v>
      </c>
      <c r="K4203">
        <v>596799</v>
      </c>
      <c r="L4203">
        <v>272209</v>
      </c>
      <c r="M4203">
        <v>-82520</v>
      </c>
      <c r="N4203">
        <v>131760</v>
      </c>
      <c r="O4203" t="s">
        <v>4221</v>
      </c>
      <c r="P4203" s="9">
        <v>224840</v>
      </c>
      <c r="Q4203" s="9">
        <v>41366</v>
      </c>
      <c r="R4203" s="9">
        <v>266206</v>
      </c>
      <c r="S4203" s="9">
        <v>-157118</v>
      </c>
      <c r="T4203" s="10">
        <v>112500</v>
      </c>
      <c r="U4203" s="10">
        <v>3155</v>
      </c>
    </row>
    <row r="4204" spans="1:21" x14ac:dyDescent="0.35">
      <c r="A4204" t="s">
        <v>15</v>
      </c>
      <c r="B4204" t="s">
        <v>20</v>
      </c>
      <c r="C4204" t="s">
        <v>21</v>
      </c>
      <c r="D4204">
        <v>285437</v>
      </c>
      <c r="E4204">
        <v>33218</v>
      </c>
      <c r="F4204">
        <v>63203</v>
      </c>
      <c r="G4204">
        <v>-262947</v>
      </c>
      <c r="H4204">
        <v>118911</v>
      </c>
      <c r="I4204">
        <v>112364</v>
      </c>
      <c r="J4204">
        <v>3173</v>
      </c>
      <c r="K4204">
        <v>900208</v>
      </c>
      <c r="L4204">
        <v>350638</v>
      </c>
      <c r="M4204">
        <v>-185183</v>
      </c>
      <c r="N4204">
        <v>102473</v>
      </c>
      <c r="O4204" t="s">
        <v>4222</v>
      </c>
      <c r="P4204" s="9">
        <v>280232</v>
      </c>
      <c r="Q4204" s="9">
        <v>56463</v>
      </c>
      <c r="R4204" s="9">
        <v>336695</v>
      </c>
      <c r="S4204" s="9">
        <v>-99643</v>
      </c>
      <c r="T4204" s="10">
        <v>99043</v>
      </c>
      <c r="U4204" s="10">
        <v>2545</v>
      </c>
    </row>
    <row r="4205" spans="1:21" x14ac:dyDescent="0.35">
      <c r="A4205" t="s">
        <v>15</v>
      </c>
      <c r="B4205" t="s">
        <v>16</v>
      </c>
      <c r="C4205" t="s">
        <v>21</v>
      </c>
      <c r="D4205">
        <v>247663</v>
      </c>
      <c r="E4205">
        <v>21702</v>
      </c>
      <c r="F4205">
        <v>41518</v>
      </c>
      <c r="G4205">
        <v>-241011</v>
      </c>
      <c r="H4205">
        <v>69872</v>
      </c>
      <c r="I4205">
        <v>66037</v>
      </c>
      <c r="J4205">
        <v>1324</v>
      </c>
      <c r="K4205">
        <v>712892</v>
      </c>
      <c r="L4205">
        <v>184770</v>
      </c>
      <c r="M4205">
        <v>-141902</v>
      </c>
      <c r="N4205">
        <v>89505</v>
      </c>
      <c r="O4205" t="s">
        <v>4223</v>
      </c>
      <c r="P4205" s="9">
        <v>232257</v>
      </c>
      <c r="Q4205" s="9">
        <v>31258</v>
      </c>
      <c r="R4205" s="9">
        <v>263515</v>
      </c>
      <c r="S4205" s="9">
        <v>-96305</v>
      </c>
      <c r="T4205" s="10">
        <v>75728</v>
      </c>
      <c r="U4205" s="10">
        <v>1931</v>
      </c>
    </row>
    <row r="4206" spans="1:21" x14ac:dyDescent="0.35">
      <c r="A4206" t="s">
        <v>15</v>
      </c>
      <c r="B4206" t="s">
        <v>16</v>
      </c>
      <c r="C4206" t="s">
        <v>17</v>
      </c>
      <c r="D4206">
        <v>249450</v>
      </c>
      <c r="E4206">
        <v>13577</v>
      </c>
      <c r="F4206">
        <v>31025</v>
      </c>
      <c r="G4206">
        <v>-243176</v>
      </c>
      <c r="H4206">
        <v>50876</v>
      </c>
      <c r="I4206">
        <v>48622</v>
      </c>
      <c r="J4206">
        <v>1434</v>
      </c>
      <c r="K4206">
        <v>871034</v>
      </c>
      <c r="L4206">
        <v>128463</v>
      </c>
      <c r="M4206">
        <v>-127417</v>
      </c>
      <c r="N4206">
        <v>215078</v>
      </c>
      <c r="O4206" t="s">
        <v>4224</v>
      </c>
      <c r="P4206" s="9">
        <v>181985</v>
      </c>
      <c r="Q4206" s="9">
        <v>17150</v>
      </c>
      <c r="R4206" s="9">
        <v>199135</v>
      </c>
      <c r="S4206" s="9">
        <v>-66192</v>
      </c>
      <c r="T4206" s="10">
        <v>57095</v>
      </c>
      <c r="U4206" s="10">
        <v>953</v>
      </c>
    </row>
    <row r="4207" spans="1:21" x14ac:dyDescent="0.35">
      <c r="A4207" t="s">
        <v>15</v>
      </c>
      <c r="B4207" t="s">
        <v>16</v>
      </c>
      <c r="C4207" t="s">
        <v>17</v>
      </c>
      <c r="D4207">
        <v>297074</v>
      </c>
      <c r="E4207">
        <v>28295</v>
      </c>
      <c r="F4207">
        <v>57096</v>
      </c>
      <c r="G4207">
        <v>-240287</v>
      </c>
      <c r="H4207">
        <v>142178</v>
      </c>
      <c r="I4207">
        <v>142511</v>
      </c>
      <c r="J4207">
        <v>2410</v>
      </c>
      <c r="K4207">
        <v>1155459</v>
      </c>
      <c r="L4207">
        <v>551625</v>
      </c>
      <c r="M4207">
        <v>-264670</v>
      </c>
      <c r="N4207">
        <v>219675</v>
      </c>
      <c r="O4207" t="s">
        <v>4225</v>
      </c>
      <c r="P4207" s="9">
        <v>267479</v>
      </c>
      <c r="Q4207" s="9">
        <v>21651</v>
      </c>
      <c r="R4207" s="9">
        <v>289130</v>
      </c>
      <c r="S4207" s="9">
        <v>-165016</v>
      </c>
      <c r="T4207" s="10">
        <v>59284</v>
      </c>
      <c r="U4207" s="10">
        <v>650</v>
      </c>
    </row>
    <row r="4208" spans="1:21" x14ac:dyDescent="0.35">
      <c r="A4208" t="s">
        <v>15</v>
      </c>
      <c r="B4208" t="s">
        <v>20</v>
      </c>
      <c r="C4208" t="s">
        <v>21</v>
      </c>
      <c r="D4208">
        <v>154052</v>
      </c>
      <c r="E4208">
        <v>25308</v>
      </c>
      <c r="F4208">
        <v>20519</v>
      </c>
      <c r="G4208">
        <v>-147837</v>
      </c>
      <c r="H4208">
        <v>52042</v>
      </c>
      <c r="I4208">
        <v>49695</v>
      </c>
      <c r="J4208">
        <v>945</v>
      </c>
      <c r="K4208">
        <v>452940</v>
      </c>
      <c r="L4208">
        <v>206864</v>
      </c>
      <c r="M4208">
        <v>-120569</v>
      </c>
      <c r="N4208">
        <v>93654</v>
      </c>
      <c r="O4208" t="s">
        <v>4226</v>
      </c>
      <c r="P4208" s="9">
        <v>209276</v>
      </c>
      <c r="Q4208" s="9">
        <v>18158</v>
      </c>
      <c r="R4208" s="9">
        <v>227434</v>
      </c>
      <c r="S4208" s="9">
        <v>-80869</v>
      </c>
      <c r="T4208" s="10">
        <v>56028</v>
      </c>
      <c r="U4208" s="10">
        <v>679</v>
      </c>
    </row>
    <row r="4209" spans="1:21" x14ac:dyDescent="0.35">
      <c r="A4209" t="s">
        <v>15</v>
      </c>
      <c r="B4209" t="s">
        <v>20</v>
      </c>
      <c r="C4209" t="s">
        <v>17</v>
      </c>
      <c r="D4209">
        <v>186807</v>
      </c>
      <c r="E4209">
        <v>21672</v>
      </c>
      <c r="F4209">
        <v>22609</v>
      </c>
      <c r="G4209">
        <v>-158562</v>
      </c>
      <c r="H4209">
        <v>72526</v>
      </c>
      <c r="I4209">
        <v>68405</v>
      </c>
      <c r="J4209">
        <v>1509</v>
      </c>
      <c r="K4209">
        <v>458343</v>
      </c>
      <c r="L4209">
        <v>199419</v>
      </c>
      <c r="M4209">
        <v>-179950</v>
      </c>
      <c r="N4209">
        <v>149307</v>
      </c>
      <c r="O4209" t="s">
        <v>4227</v>
      </c>
      <c r="P4209" s="9">
        <v>284611</v>
      </c>
      <c r="Q4209" s="9">
        <v>45442</v>
      </c>
      <c r="R4209" s="9">
        <v>330053</v>
      </c>
      <c r="S4209" s="9">
        <v>-196694</v>
      </c>
      <c r="T4209" s="10">
        <v>140715</v>
      </c>
      <c r="U4209" s="10">
        <v>3485</v>
      </c>
    </row>
    <row r="4210" spans="1:21" x14ac:dyDescent="0.35">
      <c r="A4210" t="s">
        <v>15</v>
      </c>
      <c r="B4210" t="s">
        <v>16</v>
      </c>
      <c r="C4210" t="s">
        <v>21</v>
      </c>
      <c r="D4210">
        <v>244155</v>
      </c>
      <c r="E4210">
        <v>45593</v>
      </c>
      <c r="F4210">
        <v>59266</v>
      </c>
      <c r="G4210">
        <v>-202131</v>
      </c>
      <c r="H4210">
        <v>146883</v>
      </c>
      <c r="I4210">
        <v>136795</v>
      </c>
      <c r="J4210">
        <v>2516</v>
      </c>
      <c r="K4210">
        <v>840882</v>
      </c>
      <c r="L4210">
        <v>268652</v>
      </c>
      <c r="M4210">
        <v>-291710</v>
      </c>
      <c r="N4210">
        <v>194561</v>
      </c>
      <c r="O4210" t="s">
        <v>4228</v>
      </c>
      <c r="P4210" s="9">
        <v>303798</v>
      </c>
      <c r="Q4210" s="9">
        <v>20058</v>
      </c>
      <c r="R4210" s="9">
        <v>323856</v>
      </c>
      <c r="S4210" s="9">
        <v>-182993</v>
      </c>
      <c r="T4210" s="10">
        <v>65923</v>
      </c>
      <c r="U4210" s="10">
        <v>1921</v>
      </c>
    </row>
    <row r="4211" spans="1:21" x14ac:dyDescent="0.35">
      <c r="A4211" t="s">
        <v>15</v>
      </c>
      <c r="B4211" t="s">
        <v>16</v>
      </c>
      <c r="C4211" t="s">
        <v>21</v>
      </c>
      <c r="D4211">
        <v>214322</v>
      </c>
      <c r="E4211">
        <v>18663</v>
      </c>
      <c r="F4211">
        <v>22029</v>
      </c>
      <c r="G4211">
        <v>-212991</v>
      </c>
      <c r="H4211">
        <v>42023</v>
      </c>
      <c r="I4211">
        <v>41806</v>
      </c>
      <c r="J4211">
        <v>1181</v>
      </c>
      <c r="K4211">
        <v>719068</v>
      </c>
      <c r="L4211">
        <v>346222</v>
      </c>
      <c r="M4211">
        <v>-256482</v>
      </c>
      <c r="N4211">
        <v>126427</v>
      </c>
      <c r="O4211" t="s">
        <v>4229</v>
      </c>
      <c r="P4211" s="9">
        <v>294577</v>
      </c>
      <c r="Q4211" s="9">
        <v>49503</v>
      </c>
      <c r="R4211" s="9">
        <v>344080</v>
      </c>
      <c r="S4211" s="9">
        <v>-117832</v>
      </c>
      <c r="T4211" s="10">
        <v>150603</v>
      </c>
      <c r="U4211" s="10">
        <v>1784</v>
      </c>
    </row>
    <row r="4212" spans="1:21" x14ac:dyDescent="0.35">
      <c r="A4212" t="s">
        <v>15</v>
      </c>
      <c r="B4212" t="s">
        <v>20</v>
      </c>
      <c r="C4212" t="s">
        <v>21</v>
      </c>
      <c r="D4212">
        <v>159937</v>
      </c>
      <c r="E4212">
        <v>15715</v>
      </c>
      <c r="F4212">
        <v>25918</v>
      </c>
      <c r="G4212">
        <v>-158365</v>
      </c>
      <c r="H4212">
        <v>43205</v>
      </c>
      <c r="I4212">
        <v>42198</v>
      </c>
      <c r="J4212">
        <v>1247</v>
      </c>
      <c r="K4212">
        <v>504150</v>
      </c>
      <c r="L4212">
        <v>186114</v>
      </c>
      <c r="M4212">
        <v>-166930</v>
      </c>
      <c r="N4212">
        <v>95056</v>
      </c>
      <c r="O4212" t="s">
        <v>4230</v>
      </c>
      <c r="P4212" s="9">
        <v>196128</v>
      </c>
      <c r="Q4212" s="9">
        <v>13551</v>
      </c>
      <c r="R4212" s="9">
        <v>209679</v>
      </c>
      <c r="S4212" s="9">
        <v>-115757</v>
      </c>
      <c r="T4212" s="10">
        <v>75819</v>
      </c>
      <c r="U4212" s="10">
        <v>1482</v>
      </c>
    </row>
    <row r="4213" spans="1:21" x14ac:dyDescent="0.35">
      <c r="A4213" t="s">
        <v>15</v>
      </c>
      <c r="B4213" t="s">
        <v>16</v>
      </c>
      <c r="C4213" t="s">
        <v>21</v>
      </c>
      <c r="D4213">
        <v>159253</v>
      </c>
      <c r="E4213">
        <v>27101</v>
      </c>
      <c r="F4213">
        <v>26149</v>
      </c>
      <c r="G4213">
        <v>-137156</v>
      </c>
      <c r="H4213">
        <v>75347</v>
      </c>
      <c r="I4213">
        <v>78233</v>
      </c>
      <c r="J4213">
        <v>2190</v>
      </c>
      <c r="K4213">
        <v>581869</v>
      </c>
      <c r="L4213">
        <v>230140</v>
      </c>
      <c r="M4213">
        <v>-118612</v>
      </c>
      <c r="N4213">
        <v>89386</v>
      </c>
      <c r="O4213" t="s">
        <v>4231</v>
      </c>
      <c r="P4213" s="9">
        <v>290674</v>
      </c>
      <c r="Q4213" s="9">
        <v>24432</v>
      </c>
      <c r="R4213" s="9">
        <v>315106</v>
      </c>
      <c r="S4213" s="9">
        <v>-173543</v>
      </c>
      <c r="T4213" s="10">
        <v>138966</v>
      </c>
      <c r="U4213" s="10">
        <v>1522</v>
      </c>
    </row>
    <row r="4214" spans="1:21" x14ac:dyDescent="0.35">
      <c r="A4214" t="s">
        <v>15</v>
      </c>
      <c r="B4214" t="s">
        <v>20</v>
      </c>
      <c r="C4214" t="s">
        <v>21</v>
      </c>
      <c r="D4214">
        <v>247511</v>
      </c>
      <c r="E4214">
        <v>31214</v>
      </c>
      <c r="F4214">
        <v>27969</v>
      </c>
      <c r="G4214">
        <v>-218298</v>
      </c>
      <c r="H4214">
        <v>88396</v>
      </c>
      <c r="I4214">
        <v>91965</v>
      </c>
      <c r="J4214">
        <v>1546</v>
      </c>
      <c r="K4214">
        <v>543610</v>
      </c>
      <c r="L4214">
        <v>253359</v>
      </c>
      <c r="M4214">
        <v>-172416</v>
      </c>
      <c r="N4214">
        <v>174580</v>
      </c>
      <c r="O4214" t="s">
        <v>4232</v>
      </c>
      <c r="P4214" s="9">
        <v>203217</v>
      </c>
      <c r="Q4214" s="9">
        <v>18927</v>
      </c>
      <c r="R4214" s="9">
        <v>222144</v>
      </c>
      <c r="S4214" s="9">
        <v>-65590</v>
      </c>
      <c r="T4214" s="10">
        <v>64767</v>
      </c>
      <c r="U4214" s="10">
        <v>1602</v>
      </c>
    </row>
    <row r="4215" spans="1:21" x14ac:dyDescent="0.35">
      <c r="A4215" t="s">
        <v>15</v>
      </c>
      <c r="B4215" t="s">
        <v>16</v>
      </c>
      <c r="C4215" t="s">
        <v>17</v>
      </c>
      <c r="D4215">
        <v>285932</v>
      </c>
      <c r="E4215">
        <v>52836</v>
      </c>
      <c r="F4215">
        <v>39648</v>
      </c>
      <c r="G4215">
        <v>-234503</v>
      </c>
      <c r="H4215">
        <v>143913</v>
      </c>
      <c r="I4215">
        <v>145491</v>
      </c>
      <c r="J4215">
        <v>3674</v>
      </c>
      <c r="K4215">
        <v>1099008</v>
      </c>
      <c r="L4215">
        <v>521805</v>
      </c>
      <c r="M4215">
        <v>-315120</v>
      </c>
      <c r="N4215">
        <v>201640</v>
      </c>
      <c r="O4215" t="s">
        <v>4233</v>
      </c>
      <c r="P4215" s="9">
        <v>250304</v>
      </c>
      <c r="Q4215" s="9">
        <v>47042</v>
      </c>
      <c r="R4215" s="9">
        <v>297346</v>
      </c>
      <c r="S4215" s="9">
        <v>-145044</v>
      </c>
      <c r="T4215" s="10">
        <v>103287</v>
      </c>
      <c r="U4215" s="10">
        <v>1975</v>
      </c>
    </row>
    <row r="4216" spans="1:21" x14ac:dyDescent="0.35">
      <c r="A4216" t="s">
        <v>15</v>
      </c>
      <c r="B4216" t="s">
        <v>20</v>
      </c>
      <c r="C4216" t="s">
        <v>21</v>
      </c>
      <c r="D4216">
        <v>189828</v>
      </c>
      <c r="E4216">
        <v>35235</v>
      </c>
      <c r="F4216">
        <v>29235</v>
      </c>
      <c r="G4216">
        <v>-166615</v>
      </c>
      <c r="H4216">
        <v>87683</v>
      </c>
      <c r="I4216">
        <v>90823</v>
      </c>
      <c r="J4216">
        <v>2252</v>
      </c>
      <c r="K4216">
        <v>438781</v>
      </c>
      <c r="L4216">
        <v>194030</v>
      </c>
      <c r="M4216">
        <v>-164742</v>
      </c>
      <c r="N4216">
        <v>106871</v>
      </c>
      <c r="O4216" t="s">
        <v>4234</v>
      </c>
      <c r="P4216" s="9">
        <v>166027</v>
      </c>
      <c r="Q4216" s="9">
        <v>26782</v>
      </c>
      <c r="R4216" s="9">
        <v>192809</v>
      </c>
      <c r="S4216" s="9">
        <v>-114263</v>
      </c>
      <c r="T4216" s="10">
        <v>95921</v>
      </c>
      <c r="U4216" s="10">
        <v>1561</v>
      </c>
    </row>
    <row r="4217" spans="1:21" x14ac:dyDescent="0.35">
      <c r="A4217" t="s">
        <v>15</v>
      </c>
      <c r="B4217" t="s">
        <v>16</v>
      </c>
      <c r="C4217" t="s">
        <v>21</v>
      </c>
      <c r="D4217">
        <v>185366</v>
      </c>
      <c r="E4217">
        <v>11513</v>
      </c>
      <c r="F4217">
        <v>30065</v>
      </c>
      <c r="G4217">
        <v>-174157</v>
      </c>
      <c r="H4217">
        <v>52787</v>
      </c>
      <c r="I4217">
        <v>54094</v>
      </c>
      <c r="J4217">
        <v>1237</v>
      </c>
      <c r="K4217">
        <v>571755</v>
      </c>
      <c r="L4217">
        <v>134214</v>
      </c>
      <c r="M4217">
        <v>-224386</v>
      </c>
      <c r="N4217">
        <v>86093</v>
      </c>
      <c r="O4217" t="s">
        <v>4235</v>
      </c>
      <c r="P4217" s="9">
        <v>181732</v>
      </c>
      <c r="Q4217" s="9">
        <v>26806</v>
      </c>
      <c r="R4217" s="9">
        <v>208538</v>
      </c>
      <c r="S4217" s="9">
        <v>-76012</v>
      </c>
      <c r="T4217" s="10">
        <v>101914</v>
      </c>
      <c r="U4217" s="10">
        <v>1156</v>
      </c>
    </row>
    <row r="4218" spans="1:21" x14ac:dyDescent="0.35">
      <c r="A4218" t="s">
        <v>15</v>
      </c>
      <c r="B4218" t="s">
        <v>16</v>
      </c>
      <c r="C4218" t="s">
        <v>21</v>
      </c>
      <c r="D4218">
        <v>298385</v>
      </c>
      <c r="E4218">
        <v>50152</v>
      </c>
      <c r="F4218">
        <v>71919</v>
      </c>
      <c r="G4218">
        <v>-257146</v>
      </c>
      <c r="H4218">
        <v>163310</v>
      </c>
      <c r="I4218">
        <v>155612</v>
      </c>
      <c r="J4218">
        <v>4212</v>
      </c>
      <c r="K4218">
        <v>627578</v>
      </c>
      <c r="L4218">
        <v>82761</v>
      </c>
      <c r="M4218">
        <v>-93136</v>
      </c>
      <c r="N4218">
        <v>202165</v>
      </c>
      <c r="O4218" t="s">
        <v>4236</v>
      </c>
      <c r="P4218" s="9">
        <v>262801</v>
      </c>
      <c r="Q4218" s="9">
        <v>25360</v>
      </c>
      <c r="R4218" s="9">
        <v>288161</v>
      </c>
      <c r="S4218" s="9">
        <v>-113615</v>
      </c>
      <c r="T4218" s="10">
        <v>52090</v>
      </c>
      <c r="U4218" s="10">
        <v>1365</v>
      </c>
    </row>
    <row r="4219" spans="1:21" x14ac:dyDescent="0.35">
      <c r="A4219" t="s">
        <v>15</v>
      </c>
      <c r="B4219" t="s">
        <v>16</v>
      </c>
      <c r="C4219" t="s">
        <v>17</v>
      </c>
      <c r="D4219">
        <v>254402</v>
      </c>
      <c r="E4219">
        <v>43572</v>
      </c>
      <c r="F4219">
        <v>55028</v>
      </c>
      <c r="G4219">
        <v>-242309</v>
      </c>
      <c r="H4219">
        <v>110693</v>
      </c>
      <c r="I4219">
        <v>103319</v>
      </c>
      <c r="J4219">
        <v>2504</v>
      </c>
      <c r="K4219">
        <v>1010739</v>
      </c>
      <c r="L4219">
        <v>332789</v>
      </c>
      <c r="M4219">
        <v>-332515</v>
      </c>
      <c r="N4219">
        <v>183569</v>
      </c>
      <c r="O4219" t="s">
        <v>4237</v>
      </c>
      <c r="P4219" s="9">
        <v>284023</v>
      </c>
      <c r="Q4219" s="9">
        <v>42800</v>
      </c>
      <c r="R4219" s="9">
        <v>326823</v>
      </c>
      <c r="S4219" s="9">
        <v>-99446</v>
      </c>
      <c r="T4219" s="10">
        <v>159061</v>
      </c>
      <c r="U4219" s="10">
        <v>4505</v>
      </c>
    </row>
    <row r="4220" spans="1:21" x14ac:dyDescent="0.35">
      <c r="A4220" t="s">
        <v>15</v>
      </c>
      <c r="B4220" t="s">
        <v>16</v>
      </c>
      <c r="C4220" t="s">
        <v>21</v>
      </c>
      <c r="D4220">
        <v>237769</v>
      </c>
      <c r="E4220">
        <v>40859</v>
      </c>
      <c r="F4220">
        <v>27594</v>
      </c>
      <c r="G4220">
        <v>-208607</v>
      </c>
      <c r="H4220">
        <v>97615</v>
      </c>
      <c r="I4220">
        <v>89307</v>
      </c>
      <c r="J4220">
        <v>1701</v>
      </c>
      <c r="K4220">
        <v>537682</v>
      </c>
      <c r="L4220">
        <v>102664</v>
      </c>
      <c r="M4220">
        <v>-123866</v>
      </c>
      <c r="N4220">
        <v>131220</v>
      </c>
      <c r="O4220" t="s">
        <v>4238</v>
      </c>
      <c r="P4220" s="9">
        <v>267103</v>
      </c>
      <c r="Q4220" s="9">
        <v>14439</v>
      </c>
      <c r="R4220" s="9">
        <v>281542</v>
      </c>
      <c r="S4220" s="9">
        <v>-94092</v>
      </c>
      <c r="T4220" s="10">
        <v>92615</v>
      </c>
      <c r="U4220" s="10">
        <v>1581</v>
      </c>
    </row>
    <row r="4221" spans="1:21" x14ac:dyDescent="0.35">
      <c r="A4221" t="s">
        <v>15</v>
      </c>
      <c r="B4221" t="s">
        <v>16</v>
      </c>
      <c r="C4221" t="s">
        <v>17</v>
      </c>
      <c r="D4221">
        <v>221862</v>
      </c>
      <c r="E4221">
        <v>17066</v>
      </c>
      <c r="F4221">
        <v>46284</v>
      </c>
      <c r="G4221">
        <v>-211742</v>
      </c>
      <c r="H4221">
        <v>73470</v>
      </c>
      <c r="I4221">
        <v>74080</v>
      </c>
      <c r="J4221">
        <v>960</v>
      </c>
      <c r="K4221">
        <v>502408</v>
      </c>
      <c r="L4221">
        <v>238918</v>
      </c>
      <c r="M4221">
        <v>-55362</v>
      </c>
      <c r="N4221">
        <v>89148</v>
      </c>
      <c r="O4221" t="s">
        <v>4239</v>
      </c>
      <c r="P4221" s="9">
        <v>163947</v>
      </c>
      <c r="Q4221" s="9">
        <v>18097</v>
      </c>
      <c r="R4221" s="9">
        <v>182044</v>
      </c>
      <c r="S4221" s="9">
        <v>-74084</v>
      </c>
      <c r="T4221" s="10">
        <v>64325</v>
      </c>
      <c r="U4221" s="10">
        <v>736</v>
      </c>
    </row>
    <row r="4222" spans="1:21" x14ac:dyDescent="0.35">
      <c r="A4222" t="s">
        <v>15</v>
      </c>
      <c r="B4222" t="s">
        <v>20</v>
      </c>
      <c r="C4222" t="s">
        <v>21</v>
      </c>
      <c r="D4222">
        <v>255684</v>
      </c>
      <c r="E4222">
        <v>41669</v>
      </c>
      <c r="F4222">
        <v>29926</v>
      </c>
      <c r="G4222">
        <v>-223617</v>
      </c>
      <c r="H4222">
        <v>103662</v>
      </c>
      <c r="I4222">
        <v>103841</v>
      </c>
      <c r="J4222">
        <v>1763</v>
      </c>
      <c r="K4222">
        <v>815417</v>
      </c>
      <c r="L4222">
        <v>306620</v>
      </c>
      <c r="M4222">
        <v>-130823</v>
      </c>
      <c r="N4222">
        <v>143235</v>
      </c>
      <c r="O4222" t="s">
        <v>4240</v>
      </c>
      <c r="P4222" s="9">
        <v>195826</v>
      </c>
      <c r="Q4222" s="9">
        <v>18322</v>
      </c>
      <c r="R4222" s="9">
        <v>214148</v>
      </c>
      <c r="S4222" s="9">
        <v>-44393</v>
      </c>
      <c r="T4222" s="10">
        <v>83770</v>
      </c>
      <c r="U4222" s="10">
        <v>1145</v>
      </c>
    </row>
    <row r="4223" spans="1:21" x14ac:dyDescent="0.35">
      <c r="A4223" t="s">
        <v>15</v>
      </c>
      <c r="B4223" t="s">
        <v>16</v>
      </c>
      <c r="C4223" t="s">
        <v>17</v>
      </c>
      <c r="D4223">
        <v>187941</v>
      </c>
      <c r="E4223">
        <v>27702</v>
      </c>
      <c r="F4223">
        <v>42645</v>
      </c>
      <c r="G4223">
        <v>-168762</v>
      </c>
      <c r="H4223">
        <v>89526</v>
      </c>
      <c r="I4223">
        <v>85883</v>
      </c>
      <c r="J4223">
        <v>2328</v>
      </c>
      <c r="K4223">
        <v>541777</v>
      </c>
      <c r="L4223">
        <v>140459</v>
      </c>
      <c r="M4223">
        <v>-61484</v>
      </c>
      <c r="N4223">
        <v>108672</v>
      </c>
      <c r="O4223" t="s">
        <v>4241</v>
      </c>
      <c r="P4223" s="9">
        <v>200490</v>
      </c>
      <c r="Q4223" s="9">
        <v>35324</v>
      </c>
      <c r="R4223" s="9">
        <v>235814</v>
      </c>
      <c r="S4223" s="9">
        <v>-73532</v>
      </c>
      <c r="T4223" s="10">
        <v>86299</v>
      </c>
      <c r="U4223" s="10">
        <v>2035</v>
      </c>
    </row>
    <row r="4224" spans="1:21" x14ac:dyDescent="0.35">
      <c r="A4224" t="s">
        <v>15</v>
      </c>
      <c r="B4224" t="s">
        <v>20</v>
      </c>
      <c r="C4224" t="s">
        <v>17</v>
      </c>
      <c r="D4224">
        <v>270435</v>
      </c>
      <c r="E4224">
        <v>39293</v>
      </c>
      <c r="F4224">
        <v>31776</v>
      </c>
      <c r="G4224">
        <v>-221235</v>
      </c>
      <c r="H4224">
        <v>120269</v>
      </c>
      <c r="I4224">
        <v>117599</v>
      </c>
      <c r="J4224">
        <v>3258</v>
      </c>
      <c r="K4224">
        <v>804761</v>
      </c>
      <c r="L4224">
        <v>112294</v>
      </c>
      <c r="M4224">
        <v>-226022</v>
      </c>
      <c r="N4224">
        <v>98301</v>
      </c>
      <c r="O4224" t="s">
        <v>4242</v>
      </c>
      <c r="P4224" s="9">
        <v>223147</v>
      </c>
      <c r="Q4224" s="9">
        <v>34862</v>
      </c>
      <c r="R4224" s="9">
        <v>258009</v>
      </c>
      <c r="S4224" s="9">
        <v>-82043</v>
      </c>
      <c r="T4224" s="10">
        <v>86560</v>
      </c>
      <c r="U4224" s="10">
        <v>1196</v>
      </c>
    </row>
    <row r="4225" spans="1:21" x14ac:dyDescent="0.35">
      <c r="A4225" t="s">
        <v>15</v>
      </c>
      <c r="B4225" t="s">
        <v>16</v>
      </c>
      <c r="C4225" t="s">
        <v>21</v>
      </c>
      <c r="D4225">
        <v>166204</v>
      </c>
      <c r="E4225">
        <v>27886</v>
      </c>
      <c r="F4225">
        <v>38949</v>
      </c>
      <c r="G4225">
        <v>-146778</v>
      </c>
      <c r="H4225">
        <v>86261</v>
      </c>
      <c r="I4225">
        <v>85396</v>
      </c>
      <c r="J4225">
        <v>2551</v>
      </c>
      <c r="K4225">
        <v>543722</v>
      </c>
      <c r="L4225">
        <v>242577</v>
      </c>
      <c r="M4225">
        <v>-116601</v>
      </c>
      <c r="N4225">
        <v>54126</v>
      </c>
      <c r="O4225" t="s">
        <v>4243</v>
      </c>
      <c r="P4225" s="9">
        <v>239313</v>
      </c>
      <c r="Q4225" s="9">
        <v>38760</v>
      </c>
      <c r="R4225" s="9">
        <v>278073</v>
      </c>
      <c r="S4225" s="9">
        <v>-81494</v>
      </c>
      <c r="T4225" s="10">
        <v>110929</v>
      </c>
      <c r="U4225" s="10">
        <v>1902</v>
      </c>
    </row>
    <row r="4226" spans="1:21" x14ac:dyDescent="0.35">
      <c r="A4226" t="s">
        <v>15</v>
      </c>
      <c r="B4226" t="s">
        <v>16</v>
      </c>
      <c r="C4226" t="s">
        <v>17</v>
      </c>
      <c r="D4226">
        <v>230533</v>
      </c>
      <c r="E4226">
        <v>14514</v>
      </c>
      <c r="F4226">
        <v>46719</v>
      </c>
      <c r="G4226">
        <v>-226643</v>
      </c>
      <c r="H4226">
        <v>65123</v>
      </c>
      <c r="I4226">
        <v>61768</v>
      </c>
      <c r="J4226">
        <v>719</v>
      </c>
      <c r="K4226">
        <v>728196</v>
      </c>
      <c r="L4226">
        <v>171598</v>
      </c>
      <c r="M4226">
        <v>-252701</v>
      </c>
      <c r="N4226">
        <v>78810</v>
      </c>
      <c r="O4226" t="s">
        <v>4244</v>
      </c>
      <c r="P4226" s="9">
        <v>156966</v>
      </c>
      <c r="Q4226" s="9">
        <v>11034</v>
      </c>
      <c r="R4226" s="9">
        <v>168000</v>
      </c>
      <c r="S4226" s="9">
        <v>-84019</v>
      </c>
      <c r="T4226" s="10">
        <v>33714</v>
      </c>
      <c r="U4226" s="10">
        <v>534</v>
      </c>
    </row>
    <row r="4227" spans="1:21" x14ac:dyDescent="0.35">
      <c r="A4227" t="s">
        <v>15</v>
      </c>
      <c r="B4227" t="s">
        <v>16</v>
      </c>
      <c r="C4227" t="s">
        <v>21</v>
      </c>
      <c r="D4227">
        <v>159611</v>
      </c>
      <c r="E4227">
        <v>31029</v>
      </c>
      <c r="F4227">
        <v>19314</v>
      </c>
      <c r="G4227">
        <v>-138831</v>
      </c>
      <c r="H4227">
        <v>71123</v>
      </c>
      <c r="I4227">
        <v>72530</v>
      </c>
      <c r="J4227">
        <v>1710</v>
      </c>
      <c r="K4227">
        <v>584949</v>
      </c>
      <c r="L4227">
        <v>193670</v>
      </c>
      <c r="M4227">
        <v>-131036</v>
      </c>
      <c r="N4227">
        <v>134346</v>
      </c>
      <c r="O4227" t="s">
        <v>4245</v>
      </c>
      <c r="P4227" s="9">
        <v>265137</v>
      </c>
      <c r="Q4227" s="9">
        <v>35262</v>
      </c>
      <c r="R4227" s="9">
        <v>300399</v>
      </c>
      <c r="S4227" s="9">
        <v>-62988</v>
      </c>
      <c r="T4227" s="10">
        <v>113673</v>
      </c>
      <c r="U4227" s="10">
        <v>2732</v>
      </c>
    </row>
    <row r="4228" spans="1:21" x14ac:dyDescent="0.35">
      <c r="A4228" t="s">
        <v>15</v>
      </c>
      <c r="B4228" t="s">
        <v>16</v>
      </c>
      <c r="C4228" t="s">
        <v>21</v>
      </c>
      <c r="D4228">
        <v>176765</v>
      </c>
      <c r="E4228">
        <v>9146</v>
      </c>
      <c r="F4228">
        <v>32137</v>
      </c>
      <c r="G4228">
        <v>-157090</v>
      </c>
      <c r="H4228">
        <v>60958</v>
      </c>
      <c r="I4228">
        <v>59548</v>
      </c>
      <c r="J4228">
        <v>1769</v>
      </c>
      <c r="K4228">
        <v>390014</v>
      </c>
      <c r="L4228">
        <v>159001</v>
      </c>
      <c r="M4228">
        <v>-135161</v>
      </c>
      <c r="N4228">
        <v>74835</v>
      </c>
      <c r="O4228" t="s">
        <v>4246</v>
      </c>
      <c r="P4228" s="9">
        <v>209882</v>
      </c>
      <c r="Q4228" s="9">
        <v>20835</v>
      </c>
      <c r="R4228" s="9">
        <v>230717</v>
      </c>
      <c r="S4228" s="9">
        <v>-47598</v>
      </c>
      <c r="T4228" s="10">
        <v>88486</v>
      </c>
      <c r="U4228" s="10">
        <v>1134</v>
      </c>
    </row>
    <row r="4229" spans="1:21" x14ac:dyDescent="0.35">
      <c r="A4229" t="s">
        <v>15</v>
      </c>
      <c r="B4229" t="s">
        <v>20</v>
      </c>
      <c r="C4229" t="s">
        <v>21</v>
      </c>
      <c r="D4229">
        <v>279427</v>
      </c>
      <c r="E4229">
        <v>41020</v>
      </c>
      <c r="F4229">
        <v>62276</v>
      </c>
      <c r="G4229">
        <v>-232099</v>
      </c>
      <c r="H4229">
        <v>150624</v>
      </c>
      <c r="I4229">
        <v>144477</v>
      </c>
      <c r="J4229">
        <v>2245</v>
      </c>
      <c r="K4229">
        <v>850104</v>
      </c>
      <c r="L4229">
        <v>322233</v>
      </c>
      <c r="M4229">
        <v>-125817</v>
      </c>
      <c r="N4229">
        <v>90604</v>
      </c>
      <c r="O4229" t="s">
        <v>4247</v>
      </c>
      <c r="P4229" s="9">
        <v>229416</v>
      </c>
      <c r="Q4229" s="9">
        <v>27581</v>
      </c>
      <c r="R4229" s="9">
        <v>256997</v>
      </c>
      <c r="S4229" s="9">
        <v>-152446</v>
      </c>
      <c r="T4229" s="10">
        <v>87623</v>
      </c>
      <c r="U4229" s="10">
        <v>1270</v>
      </c>
    </row>
    <row r="4230" spans="1:21" x14ac:dyDescent="0.35">
      <c r="A4230" t="s">
        <v>15</v>
      </c>
      <c r="B4230" t="s">
        <v>20</v>
      </c>
      <c r="C4230" t="s">
        <v>17</v>
      </c>
      <c r="D4230">
        <v>246692</v>
      </c>
      <c r="E4230">
        <v>25019</v>
      </c>
      <c r="F4230">
        <v>47050</v>
      </c>
      <c r="G4230">
        <v>-224244</v>
      </c>
      <c r="H4230">
        <v>94517</v>
      </c>
      <c r="I4230">
        <v>90305</v>
      </c>
      <c r="J4230">
        <v>2204</v>
      </c>
      <c r="K4230">
        <v>891615</v>
      </c>
      <c r="L4230">
        <v>407502</v>
      </c>
      <c r="M4230">
        <v>-154529</v>
      </c>
      <c r="N4230">
        <v>159073</v>
      </c>
      <c r="O4230" t="s">
        <v>4248</v>
      </c>
      <c r="P4230" s="9">
        <v>230592</v>
      </c>
      <c r="Q4230" s="9">
        <v>24688</v>
      </c>
      <c r="R4230" s="9">
        <v>255280</v>
      </c>
      <c r="S4230" s="9">
        <v>-82106</v>
      </c>
      <c r="T4230" s="10">
        <v>83275</v>
      </c>
      <c r="U4230" s="10">
        <v>2417</v>
      </c>
    </row>
    <row r="4231" spans="1:21" x14ac:dyDescent="0.35">
      <c r="A4231" t="s">
        <v>15</v>
      </c>
      <c r="B4231" t="s">
        <v>16</v>
      </c>
      <c r="C4231" t="s">
        <v>17</v>
      </c>
      <c r="D4231">
        <v>233644</v>
      </c>
      <c r="E4231">
        <v>14080</v>
      </c>
      <c r="F4231">
        <v>39533</v>
      </c>
      <c r="G4231">
        <v>-223125</v>
      </c>
      <c r="H4231">
        <v>64132</v>
      </c>
      <c r="I4231">
        <v>63071</v>
      </c>
      <c r="J4231">
        <v>1405</v>
      </c>
      <c r="K4231">
        <v>847887</v>
      </c>
      <c r="L4231">
        <v>251736</v>
      </c>
      <c r="M4231">
        <v>-178051</v>
      </c>
      <c r="N4231">
        <v>134508</v>
      </c>
      <c r="O4231" t="s">
        <v>4249</v>
      </c>
      <c r="P4231" s="9">
        <v>221331</v>
      </c>
      <c r="Q4231" s="9">
        <v>41065</v>
      </c>
      <c r="R4231" s="9">
        <v>262396</v>
      </c>
      <c r="S4231" s="9">
        <v>-111270</v>
      </c>
      <c r="T4231" s="10">
        <v>88261</v>
      </c>
      <c r="U4231" s="10">
        <v>2526</v>
      </c>
    </row>
    <row r="4232" spans="1:21" x14ac:dyDescent="0.35">
      <c r="A4232" t="s">
        <v>15</v>
      </c>
      <c r="B4232" t="s">
        <v>16</v>
      </c>
      <c r="C4232" t="s">
        <v>21</v>
      </c>
      <c r="D4232">
        <v>277171</v>
      </c>
      <c r="E4232">
        <v>17377</v>
      </c>
      <c r="F4232">
        <v>45669</v>
      </c>
      <c r="G4232">
        <v>-259163</v>
      </c>
      <c r="H4232">
        <v>81054</v>
      </c>
      <c r="I4232">
        <v>77716</v>
      </c>
      <c r="J4232">
        <v>779</v>
      </c>
      <c r="K4232">
        <v>877912</v>
      </c>
      <c r="L4232">
        <v>417473</v>
      </c>
      <c r="M4232">
        <v>-265590</v>
      </c>
      <c r="N4232">
        <v>214318</v>
      </c>
      <c r="O4232" t="s">
        <v>4250</v>
      </c>
      <c r="P4232" s="9">
        <v>208019</v>
      </c>
      <c r="Q4232" s="9">
        <v>12564</v>
      </c>
      <c r="R4232" s="9">
        <v>220583</v>
      </c>
      <c r="S4232" s="9">
        <v>-118063</v>
      </c>
      <c r="T4232" s="10">
        <v>89615</v>
      </c>
      <c r="U4232" s="10">
        <v>2614</v>
      </c>
    </row>
    <row r="4233" spans="1:21" x14ac:dyDescent="0.35">
      <c r="A4233" t="s">
        <v>15</v>
      </c>
      <c r="B4233" t="s">
        <v>20</v>
      </c>
      <c r="C4233" t="s">
        <v>21</v>
      </c>
      <c r="D4233">
        <v>273793</v>
      </c>
      <c r="E4233">
        <v>34004</v>
      </c>
      <c r="F4233">
        <v>62505</v>
      </c>
      <c r="G4233">
        <v>-263247</v>
      </c>
      <c r="H4233">
        <v>107055</v>
      </c>
      <c r="I4233">
        <v>105044</v>
      </c>
      <c r="J4233">
        <v>1445</v>
      </c>
      <c r="K4233">
        <v>689838</v>
      </c>
      <c r="L4233">
        <v>128816</v>
      </c>
      <c r="M4233">
        <v>-210106</v>
      </c>
      <c r="N4233">
        <v>98968</v>
      </c>
      <c r="O4233" t="s">
        <v>4251</v>
      </c>
      <c r="P4233" s="9">
        <v>154713</v>
      </c>
      <c r="Q4233" s="9">
        <v>19170</v>
      </c>
      <c r="R4233" s="9">
        <v>173883</v>
      </c>
      <c r="S4233" s="9">
        <v>-62709</v>
      </c>
      <c r="T4233" s="10">
        <v>82155</v>
      </c>
      <c r="U4233" s="10">
        <v>2108</v>
      </c>
    </row>
    <row r="4234" spans="1:21" x14ac:dyDescent="0.35">
      <c r="A4234" t="s">
        <v>15</v>
      </c>
      <c r="B4234" t="s">
        <v>16</v>
      </c>
      <c r="C4234" t="s">
        <v>21</v>
      </c>
      <c r="D4234">
        <v>188881</v>
      </c>
      <c r="E4234">
        <v>10423</v>
      </c>
      <c r="F4234">
        <v>38379</v>
      </c>
      <c r="G4234">
        <v>-156444</v>
      </c>
      <c r="H4234">
        <v>81239</v>
      </c>
      <c r="I4234">
        <v>84415</v>
      </c>
      <c r="J4234">
        <v>1934</v>
      </c>
      <c r="K4234">
        <v>609629</v>
      </c>
      <c r="L4234">
        <v>68239</v>
      </c>
      <c r="M4234">
        <v>-214656</v>
      </c>
      <c r="N4234">
        <v>164096</v>
      </c>
      <c r="O4234" t="s">
        <v>4252</v>
      </c>
      <c r="P4234" s="9">
        <v>207933</v>
      </c>
      <c r="Q4234" s="9">
        <v>15239</v>
      </c>
      <c r="R4234" s="9">
        <v>223172</v>
      </c>
      <c r="S4234" s="9">
        <v>-51680</v>
      </c>
      <c r="T4234" s="10">
        <v>93259</v>
      </c>
      <c r="U4234" s="10">
        <v>1248</v>
      </c>
    </row>
    <row r="4235" spans="1:21" x14ac:dyDescent="0.35">
      <c r="A4235" t="s">
        <v>15</v>
      </c>
      <c r="B4235" t="s">
        <v>20</v>
      </c>
      <c r="C4235" t="s">
        <v>17</v>
      </c>
      <c r="D4235">
        <v>183531</v>
      </c>
      <c r="E4235">
        <v>32975</v>
      </c>
      <c r="F4235">
        <v>27619</v>
      </c>
      <c r="G4235">
        <v>-170973</v>
      </c>
      <c r="H4235">
        <v>73152</v>
      </c>
      <c r="I4235">
        <v>76408</v>
      </c>
      <c r="J4235">
        <v>1797</v>
      </c>
      <c r="K4235">
        <v>369032</v>
      </c>
      <c r="L4235">
        <v>93524</v>
      </c>
      <c r="M4235">
        <v>-127756</v>
      </c>
      <c r="N4235">
        <v>85924</v>
      </c>
      <c r="O4235" t="s">
        <v>4253</v>
      </c>
      <c r="P4235" s="9">
        <v>170487</v>
      </c>
      <c r="Q4235" s="9">
        <v>17323</v>
      </c>
      <c r="R4235" s="9">
        <v>187810</v>
      </c>
      <c r="S4235" s="9">
        <v>-82944</v>
      </c>
      <c r="T4235" s="10">
        <v>51201</v>
      </c>
      <c r="U4235" s="10">
        <v>1309</v>
      </c>
    </row>
    <row r="4236" spans="1:21" x14ac:dyDescent="0.35">
      <c r="A4236" t="s">
        <v>15</v>
      </c>
      <c r="B4236" t="s">
        <v>20</v>
      </c>
      <c r="C4236" t="s">
        <v>17</v>
      </c>
      <c r="D4236">
        <v>191297</v>
      </c>
      <c r="E4236">
        <v>21898</v>
      </c>
      <c r="F4236">
        <v>37334</v>
      </c>
      <c r="G4236">
        <v>-172278</v>
      </c>
      <c r="H4236">
        <v>78251</v>
      </c>
      <c r="I4236">
        <v>72225</v>
      </c>
      <c r="J4236">
        <v>1116</v>
      </c>
      <c r="K4236">
        <v>630795</v>
      </c>
      <c r="L4236">
        <v>217468</v>
      </c>
      <c r="M4236">
        <v>-221643</v>
      </c>
      <c r="N4236">
        <v>61746</v>
      </c>
      <c r="O4236" t="s">
        <v>4254</v>
      </c>
      <c r="P4236" s="9">
        <v>190379</v>
      </c>
      <c r="Q4236" s="9">
        <v>23326</v>
      </c>
      <c r="R4236" s="9">
        <v>213705</v>
      </c>
      <c r="S4236" s="9">
        <v>-54733</v>
      </c>
      <c r="T4236" s="10">
        <v>51829</v>
      </c>
      <c r="U4236" s="10">
        <v>1209</v>
      </c>
    </row>
    <row r="4237" spans="1:21" x14ac:dyDescent="0.35">
      <c r="A4237" t="s">
        <v>15</v>
      </c>
      <c r="B4237" t="s">
        <v>16</v>
      </c>
      <c r="C4237" t="s">
        <v>21</v>
      </c>
      <c r="D4237">
        <v>269651</v>
      </c>
      <c r="E4237">
        <v>50220</v>
      </c>
      <c r="F4237">
        <v>60639</v>
      </c>
      <c r="G4237">
        <v>-248956</v>
      </c>
      <c r="H4237">
        <v>131554</v>
      </c>
      <c r="I4237">
        <v>127357</v>
      </c>
      <c r="J4237">
        <v>2096</v>
      </c>
      <c r="K4237">
        <v>978050</v>
      </c>
      <c r="L4237">
        <v>409787</v>
      </c>
      <c r="M4237">
        <v>-384342</v>
      </c>
      <c r="N4237">
        <v>82827</v>
      </c>
      <c r="O4237" t="s">
        <v>4255</v>
      </c>
      <c r="P4237" s="9">
        <v>161451</v>
      </c>
      <c r="Q4237" s="9">
        <v>11789</v>
      </c>
      <c r="R4237" s="9">
        <v>173240</v>
      </c>
      <c r="S4237" s="9">
        <v>-98753</v>
      </c>
      <c r="T4237" s="10">
        <v>34967</v>
      </c>
      <c r="U4237" s="10">
        <v>941</v>
      </c>
    </row>
    <row r="4238" spans="1:21" x14ac:dyDescent="0.35">
      <c r="A4238" t="s">
        <v>15</v>
      </c>
      <c r="B4238" t="s">
        <v>16</v>
      </c>
      <c r="C4238" t="s">
        <v>21</v>
      </c>
      <c r="D4238">
        <v>227033</v>
      </c>
      <c r="E4238">
        <v>24282</v>
      </c>
      <c r="F4238">
        <v>41778</v>
      </c>
      <c r="G4238">
        <v>-201305</v>
      </c>
      <c r="H4238">
        <v>91788</v>
      </c>
      <c r="I4238">
        <v>94407</v>
      </c>
      <c r="J4238">
        <v>948</v>
      </c>
      <c r="K4238">
        <v>581696</v>
      </c>
      <c r="L4238">
        <v>190291</v>
      </c>
      <c r="M4238">
        <v>-229656</v>
      </c>
      <c r="N4238">
        <v>139584</v>
      </c>
      <c r="O4238" t="s">
        <v>4256</v>
      </c>
      <c r="P4238" s="9">
        <v>168649</v>
      </c>
      <c r="Q4238" s="9">
        <v>30722</v>
      </c>
      <c r="R4238" s="9">
        <v>199371</v>
      </c>
      <c r="S4238" s="9">
        <v>-45286</v>
      </c>
      <c r="T4238" s="10">
        <v>68885</v>
      </c>
      <c r="U4238" s="10">
        <v>1629</v>
      </c>
    </row>
    <row r="4239" spans="1:21" x14ac:dyDescent="0.35">
      <c r="A4239" t="s">
        <v>15</v>
      </c>
      <c r="B4239" t="s">
        <v>16</v>
      </c>
      <c r="C4239" t="s">
        <v>21</v>
      </c>
      <c r="D4239">
        <v>276493</v>
      </c>
      <c r="E4239">
        <v>14918</v>
      </c>
      <c r="F4239">
        <v>48688</v>
      </c>
      <c r="G4239">
        <v>-276482</v>
      </c>
      <c r="H4239">
        <v>63617</v>
      </c>
      <c r="I4239">
        <v>66173</v>
      </c>
      <c r="J4239">
        <v>1665</v>
      </c>
      <c r="K4239">
        <v>751355</v>
      </c>
      <c r="L4239">
        <v>227266</v>
      </c>
      <c r="M4239">
        <v>-228599</v>
      </c>
      <c r="N4239">
        <v>93639</v>
      </c>
      <c r="O4239" t="s">
        <v>4257</v>
      </c>
      <c r="P4239" s="9">
        <v>277270</v>
      </c>
      <c r="Q4239" s="9">
        <v>49339</v>
      </c>
      <c r="R4239" s="9">
        <v>326609</v>
      </c>
      <c r="S4239" s="9">
        <v>-99537</v>
      </c>
      <c r="T4239" s="10">
        <v>114476</v>
      </c>
      <c r="U4239" s="10">
        <v>2923</v>
      </c>
    </row>
    <row r="4240" spans="1:21" x14ac:dyDescent="0.35">
      <c r="A4240" t="s">
        <v>15</v>
      </c>
      <c r="B4240" t="s">
        <v>16</v>
      </c>
      <c r="C4240" t="s">
        <v>21</v>
      </c>
      <c r="D4240">
        <v>297899</v>
      </c>
      <c r="E4240">
        <v>20416</v>
      </c>
      <c r="F4240">
        <v>69898</v>
      </c>
      <c r="G4240">
        <v>-272950</v>
      </c>
      <c r="H4240">
        <v>115263</v>
      </c>
      <c r="I4240">
        <v>109783</v>
      </c>
      <c r="J4240">
        <v>2772</v>
      </c>
      <c r="K4240">
        <v>624748</v>
      </c>
      <c r="L4240">
        <v>139335</v>
      </c>
      <c r="M4240">
        <v>-153165</v>
      </c>
      <c r="N4240">
        <v>263806</v>
      </c>
      <c r="O4240" t="s">
        <v>4258</v>
      </c>
      <c r="P4240" s="9">
        <v>154505</v>
      </c>
      <c r="Q4240" s="9">
        <v>22530</v>
      </c>
      <c r="R4240" s="9">
        <v>177035</v>
      </c>
      <c r="S4240" s="9">
        <v>-36778</v>
      </c>
      <c r="T4240" s="10">
        <v>71378</v>
      </c>
      <c r="U4240" s="10">
        <v>1865</v>
      </c>
    </row>
    <row r="4241" spans="1:21" x14ac:dyDescent="0.35">
      <c r="A4241" t="s">
        <v>15</v>
      </c>
      <c r="B4241" t="s">
        <v>16</v>
      </c>
      <c r="C4241" t="s">
        <v>17</v>
      </c>
      <c r="D4241">
        <v>173587</v>
      </c>
      <c r="E4241">
        <v>28056</v>
      </c>
      <c r="F4241">
        <v>28766</v>
      </c>
      <c r="G4241">
        <v>-164225</v>
      </c>
      <c r="H4241">
        <v>66184</v>
      </c>
      <c r="I4241">
        <v>68335</v>
      </c>
      <c r="J4241">
        <v>725</v>
      </c>
      <c r="K4241">
        <v>401335</v>
      </c>
      <c r="L4241">
        <v>195933</v>
      </c>
      <c r="M4241">
        <v>-107350</v>
      </c>
      <c r="N4241">
        <v>126073</v>
      </c>
      <c r="O4241" t="s">
        <v>4259</v>
      </c>
      <c r="P4241" s="9">
        <v>214332</v>
      </c>
      <c r="Q4241" s="9">
        <v>33555</v>
      </c>
      <c r="R4241" s="9">
        <v>247887</v>
      </c>
      <c r="S4241" s="9">
        <v>-89748</v>
      </c>
      <c r="T4241" s="10">
        <v>91189</v>
      </c>
      <c r="U4241" s="10">
        <v>1967</v>
      </c>
    </row>
    <row r="4242" spans="1:21" x14ac:dyDescent="0.35">
      <c r="A4242" t="s">
        <v>15</v>
      </c>
      <c r="B4242" t="s">
        <v>20</v>
      </c>
      <c r="C4242" t="s">
        <v>21</v>
      </c>
      <c r="D4242">
        <v>212890</v>
      </c>
      <c r="E4242">
        <v>37859</v>
      </c>
      <c r="F4242">
        <v>43592</v>
      </c>
      <c r="G4242">
        <v>-191447</v>
      </c>
      <c r="H4242">
        <v>102894</v>
      </c>
      <c r="I4242">
        <v>94275</v>
      </c>
      <c r="J4242">
        <v>1802</v>
      </c>
      <c r="K4242">
        <v>482099</v>
      </c>
      <c r="L4242">
        <v>177459</v>
      </c>
      <c r="M4242">
        <v>-176895</v>
      </c>
      <c r="N4242">
        <v>140953</v>
      </c>
      <c r="O4242" t="s">
        <v>4260</v>
      </c>
      <c r="P4242" s="9">
        <v>251826</v>
      </c>
      <c r="Q4242" s="9">
        <v>31597</v>
      </c>
      <c r="R4242" s="9">
        <v>283423</v>
      </c>
      <c r="S4242" s="9">
        <v>-89148</v>
      </c>
      <c r="T4242" s="10">
        <v>101910</v>
      </c>
      <c r="U4242" s="10">
        <v>1557</v>
      </c>
    </row>
    <row r="4243" spans="1:21" x14ac:dyDescent="0.35">
      <c r="A4243" t="s">
        <v>15</v>
      </c>
      <c r="B4243" t="s">
        <v>20</v>
      </c>
      <c r="C4243" t="s">
        <v>21</v>
      </c>
      <c r="D4243">
        <v>219223</v>
      </c>
      <c r="E4243">
        <v>33887</v>
      </c>
      <c r="F4243">
        <v>43946</v>
      </c>
      <c r="G4243">
        <v>-178471</v>
      </c>
      <c r="H4243">
        <v>118585</v>
      </c>
      <c r="I4243">
        <v>119227</v>
      </c>
      <c r="J4243">
        <v>1523</v>
      </c>
      <c r="K4243">
        <v>738613</v>
      </c>
      <c r="L4243">
        <v>77487</v>
      </c>
      <c r="M4243">
        <v>-81813</v>
      </c>
      <c r="N4243">
        <v>100048</v>
      </c>
      <c r="O4243" t="s">
        <v>4261</v>
      </c>
      <c r="P4243" s="9">
        <v>286008</v>
      </c>
      <c r="Q4243" s="9">
        <v>45432</v>
      </c>
      <c r="R4243" s="9">
        <v>331440</v>
      </c>
      <c r="S4243" s="9">
        <v>-142798</v>
      </c>
      <c r="T4243" s="10">
        <v>127802</v>
      </c>
      <c r="U4243" s="10">
        <v>2493</v>
      </c>
    </row>
    <row r="4244" spans="1:21" x14ac:dyDescent="0.35">
      <c r="A4244" t="s">
        <v>15</v>
      </c>
      <c r="B4244" t="s">
        <v>16</v>
      </c>
      <c r="C4244" t="s">
        <v>21</v>
      </c>
      <c r="D4244">
        <v>201470</v>
      </c>
      <c r="E4244">
        <v>11765</v>
      </c>
      <c r="F4244">
        <v>43092</v>
      </c>
      <c r="G4244">
        <v>-164530</v>
      </c>
      <c r="H4244">
        <v>91797</v>
      </c>
      <c r="I4244">
        <v>94544</v>
      </c>
      <c r="J4244">
        <v>2522</v>
      </c>
      <c r="K4244">
        <v>422227</v>
      </c>
      <c r="L4244">
        <v>100099</v>
      </c>
      <c r="M4244">
        <v>-134504</v>
      </c>
      <c r="N4244">
        <v>179807</v>
      </c>
      <c r="O4244" t="s">
        <v>4262</v>
      </c>
      <c r="P4244" s="9">
        <v>197764</v>
      </c>
      <c r="Q4244" s="9">
        <v>32987</v>
      </c>
      <c r="R4244" s="9">
        <v>230751</v>
      </c>
      <c r="S4244" s="9">
        <v>-94744</v>
      </c>
      <c r="T4244" s="10">
        <v>90452</v>
      </c>
      <c r="U4244" s="10">
        <v>1537</v>
      </c>
    </row>
    <row r="4245" spans="1:21" x14ac:dyDescent="0.35">
      <c r="A4245" t="s">
        <v>15</v>
      </c>
      <c r="B4245" t="s">
        <v>20</v>
      </c>
      <c r="C4245" t="s">
        <v>17</v>
      </c>
      <c r="D4245">
        <v>245526</v>
      </c>
      <c r="E4245">
        <v>36483</v>
      </c>
      <c r="F4245">
        <v>41125</v>
      </c>
      <c r="G4245">
        <v>-221509</v>
      </c>
      <c r="H4245">
        <v>101625</v>
      </c>
      <c r="I4245">
        <v>103092</v>
      </c>
      <c r="J4245">
        <v>1488</v>
      </c>
      <c r="K4245">
        <v>578695</v>
      </c>
      <c r="L4245">
        <v>87123</v>
      </c>
      <c r="M4245">
        <v>-85045</v>
      </c>
      <c r="N4245">
        <v>189499</v>
      </c>
      <c r="O4245" t="s">
        <v>4263</v>
      </c>
      <c r="P4245" s="9">
        <v>207022</v>
      </c>
      <c r="Q4245" s="9">
        <v>46752</v>
      </c>
      <c r="R4245" s="9">
        <v>253774</v>
      </c>
      <c r="S4245" s="9">
        <v>-74448</v>
      </c>
      <c r="T4245" s="10">
        <v>72946</v>
      </c>
      <c r="U4245" s="10">
        <v>1197</v>
      </c>
    </row>
    <row r="4246" spans="1:21" x14ac:dyDescent="0.35">
      <c r="A4246" t="s">
        <v>15</v>
      </c>
      <c r="B4246" t="s">
        <v>20</v>
      </c>
      <c r="C4246" t="s">
        <v>21</v>
      </c>
      <c r="D4246">
        <v>191980</v>
      </c>
      <c r="E4246">
        <v>37497</v>
      </c>
      <c r="F4246">
        <v>22322</v>
      </c>
      <c r="G4246">
        <v>-158994</v>
      </c>
      <c r="H4246">
        <v>92805</v>
      </c>
      <c r="I4246">
        <v>88188</v>
      </c>
      <c r="J4246">
        <v>2008</v>
      </c>
      <c r="K4246">
        <v>724359</v>
      </c>
      <c r="L4246">
        <v>281390</v>
      </c>
      <c r="M4246">
        <v>-178251</v>
      </c>
      <c r="N4246">
        <v>72409</v>
      </c>
      <c r="O4246" t="s">
        <v>4264</v>
      </c>
      <c r="P4246" s="9">
        <v>302903</v>
      </c>
      <c r="Q4246" s="9">
        <v>30789</v>
      </c>
      <c r="R4246" s="9">
        <v>333692</v>
      </c>
      <c r="S4246" s="9">
        <v>-141448</v>
      </c>
      <c r="T4246" s="10">
        <v>104628</v>
      </c>
      <c r="U4246" s="10">
        <v>3052</v>
      </c>
    </row>
    <row r="4247" spans="1:21" x14ac:dyDescent="0.35">
      <c r="A4247" t="s">
        <v>15</v>
      </c>
      <c r="B4247" t="s">
        <v>16</v>
      </c>
      <c r="C4247" t="s">
        <v>21</v>
      </c>
      <c r="D4247">
        <v>209939</v>
      </c>
      <c r="E4247">
        <v>32820</v>
      </c>
      <c r="F4247">
        <v>29932</v>
      </c>
      <c r="G4247">
        <v>-180189</v>
      </c>
      <c r="H4247">
        <v>92502</v>
      </c>
      <c r="I4247">
        <v>88225</v>
      </c>
      <c r="J4247">
        <v>1508</v>
      </c>
      <c r="K4247">
        <v>455787</v>
      </c>
      <c r="L4247">
        <v>194852</v>
      </c>
      <c r="M4247">
        <v>-46622</v>
      </c>
      <c r="N4247">
        <v>90928</v>
      </c>
      <c r="O4247" t="s">
        <v>4265</v>
      </c>
      <c r="P4247" s="9">
        <v>164692</v>
      </c>
      <c r="Q4247" s="9">
        <v>27250</v>
      </c>
      <c r="R4247" s="9">
        <v>191942</v>
      </c>
      <c r="S4247" s="9">
        <v>-50979</v>
      </c>
      <c r="T4247" s="10">
        <v>60212</v>
      </c>
      <c r="U4247" s="10">
        <v>1150</v>
      </c>
    </row>
    <row r="4248" spans="1:21" x14ac:dyDescent="0.35">
      <c r="A4248" t="s">
        <v>15</v>
      </c>
      <c r="B4248" t="s">
        <v>20</v>
      </c>
      <c r="C4248" t="s">
        <v>21</v>
      </c>
      <c r="D4248">
        <v>249521</v>
      </c>
      <c r="E4248">
        <v>31579</v>
      </c>
      <c r="F4248">
        <v>61004</v>
      </c>
      <c r="G4248">
        <v>-228925</v>
      </c>
      <c r="H4248">
        <v>113179</v>
      </c>
      <c r="I4248">
        <v>116279</v>
      </c>
      <c r="J4248">
        <v>2615</v>
      </c>
      <c r="K4248">
        <v>965672</v>
      </c>
      <c r="L4248">
        <v>126775</v>
      </c>
      <c r="M4248">
        <v>-239435</v>
      </c>
      <c r="N4248">
        <v>222944</v>
      </c>
      <c r="O4248" t="s">
        <v>4266</v>
      </c>
      <c r="P4248" s="9">
        <v>164828</v>
      </c>
      <c r="Q4248" s="9">
        <v>22859</v>
      </c>
      <c r="R4248" s="9">
        <v>187687</v>
      </c>
      <c r="S4248" s="9">
        <v>-48778</v>
      </c>
      <c r="T4248" s="10">
        <v>62368</v>
      </c>
      <c r="U4248" s="10">
        <v>1217</v>
      </c>
    </row>
    <row r="4249" spans="1:21" x14ac:dyDescent="0.35">
      <c r="A4249" t="s">
        <v>15</v>
      </c>
      <c r="B4249" t="s">
        <v>20</v>
      </c>
      <c r="C4249" t="s">
        <v>17</v>
      </c>
      <c r="D4249">
        <v>277258</v>
      </c>
      <c r="E4249">
        <v>24968</v>
      </c>
      <c r="F4249">
        <v>42263</v>
      </c>
      <c r="G4249">
        <v>-226886</v>
      </c>
      <c r="H4249">
        <v>117603</v>
      </c>
      <c r="I4249">
        <v>108558</v>
      </c>
      <c r="J4249">
        <v>2086</v>
      </c>
      <c r="K4249">
        <v>762137</v>
      </c>
      <c r="L4249">
        <v>334284</v>
      </c>
      <c r="M4249">
        <v>-261489</v>
      </c>
      <c r="N4249">
        <v>236301</v>
      </c>
      <c r="O4249" t="s">
        <v>4267</v>
      </c>
      <c r="P4249" s="9">
        <v>256654</v>
      </c>
      <c r="Q4249" s="9">
        <v>22501</v>
      </c>
      <c r="R4249" s="9">
        <v>279155</v>
      </c>
      <c r="S4249" s="9">
        <v>-136388</v>
      </c>
      <c r="T4249" s="10">
        <v>86152</v>
      </c>
      <c r="U4249" s="10">
        <v>1883</v>
      </c>
    </row>
    <row r="4250" spans="1:21" x14ac:dyDescent="0.35">
      <c r="A4250" t="s">
        <v>15</v>
      </c>
      <c r="B4250" t="s">
        <v>16</v>
      </c>
      <c r="C4250" t="s">
        <v>17</v>
      </c>
      <c r="D4250">
        <v>194769</v>
      </c>
      <c r="E4250">
        <v>26867</v>
      </c>
      <c r="F4250">
        <v>20753</v>
      </c>
      <c r="G4250">
        <v>-171107</v>
      </c>
      <c r="H4250">
        <v>71282</v>
      </c>
      <c r="I4250">
        <v>69030</v>
      </c>
      <c r="J4250">
        <v>1359</v>
      </c>
      <c r="K4250">
        <v>555964</v>
      </c>
      <c r="L4250">
        <v>266649</v>
      </c>
      <c r="M4250">
        <v>-185243</v>
      </c>
      <c r="N4250">
        <v>61201</v>
      </c>
      <c r="O4250" t="s">
        <v>4268</v>
      </c>
      <c r="P4250" s="9">
        <v>268049</v>
      </c>
      <c r="Q4250" s="9">
        <v>33550</v>
      </c>
      <c r="R4250" s="9">
        <v>301599</v>
      </c>
      <c r="S4250" s="9">
        <v>-84709</v>
      </c>
      <c r="T4250" s="10">
        <v>129482</v>
      </c>
      <c r="U4250" s="10">
        <v>2712</v>
      </c>
    </row>
    <row r="4251" spans="1:21" x14ac:dyDescent="0.35">
      <c r="A4251" t="s">
        <v>15</v>
      </c>
      <c r="B4251" t="s">
        <v>20</v>
      </c>
      <c r="C4251" t="s">
        <v>17</v>
      </c>
      <c r="D4251">
        <v>181450</v>
      </c>
      <c r="E4251">
        <v>30447</v>
      </c>
      <c r="F4251">
        <v>32645</v>
      </c>
      <c r="G4251">
        <v>-170446</v>
      </c>
      <c r="H4251">
        <v>74096</v>
      </c>
      <c r="I4251">
        <v>74512</v>
      </c>
      <c r="J4251">
        <v>1503</v>
      </c>
      <c r="K4251">
        <v>444956</v>
      </c>
      <c r="L4251">
        <v>145204</v>
      </c>
      <c r="M4251">
        <v>-57722</v>
      </c>
      <c r="N4251">
        <v>112983</v>
      </c>
      <c r="O4251" t="s">
        <v>4269</v>
      </c>
      <c r="P4251" s="9">
        <v>158023</v>
      </c>
      <c r="Q4251" s="9">
        <v>12687</v>
      </c>
      <c r="R4251" s="9">
        <v>170710</v>
      </c>
      <c r="S4251" s="9">
        <v>-82934</v>
      </c>
      <c r="T4251" s="10">
        <v>54708</v>
      </c>
      <c r="U4251" s="10">
        <v>1414</v>
      </c>
    </row>
    <row r="4252" spans="1:21" x14ac:dyDescent="0.35">
      <c r="A4252" t="s">
        <v>15</v>
      </c>
      <c r="B4252" t="s">
        <v>16</v>
      </c>
      <c r="C4252" t="s">
        <v>21</v>
      </c>
      <c r="D4252">
        <v>150828</v>
      </c>
      <c r="E4252">
        <v>25773</v>
      </c>
      <c r="F4252">
        <v>19180</v>
      </c>
      <c r="G4252">
        <v>-120907</v>
      </c>
      <c r="H4252">
        <v>74874</v>
      </c>
      <c r="I4252">
        <v>68689</v>
      </c>
      <c r="J4252">
        <v>875</v>
      </c>
      <c r="K4252">
        <v>303626</v>
      </c>
      <c r="L4252">
        <v>131020</v>
      </c>
      <c r="M4252">
        <v>-79533</v>
      </c>
      <c r="N4252">
        <v>66794</v>
      </c>
      <c r="O4252" t="s">
        <v>4270</v>
      </c>
      <c r="P4252" s="9">
        <v>263643</v>
      </c>
      <c r="Q4252" s="9">
        <v>18353</v>
      </c>
      <c r="R4252" s="9">
        <v>281996</v>
      </c>
      <c r="S4252" s="9">
        <v>-80124</v>
      </c>
      <c r="T4252" s="10">
        <v>89765</v>
      </c>
      <c r="U4252" s="10">
        <v>1104</v>
      </c>
    </row>
    <row r="4253" spans="1:21" x14ac:dyDescent="0.35">
      <c r="A4253" t="s">
        <v>15</v>
      </c>
      <c r="B4253" t="s">
        <v>16</v>
      </c>
      <c r="C4253" t="s">
        <v>17</v>
      </c>
      <c r="D4253">
        <v>225052</v>
      </c>
      <c r="E4253">
        <v>24695</v>
      </c>
      <c r="F4253">
        <v>42230</v>
      </c>
      <c r="G4253">
        <v>-204172</v>
      </c>
      <c r="H4253">
        <v>87805</v>
      </c>
      <c r="I4253">
        <v>89185</v>
      </c>
      <c r="J4253">
        <v>1624</v>
      </c>
      <c r="K4253">
        <v>798244</v>
      </c>
      <c r="L4253">
        <v>167501</v>
      </c>
      <c r="M4253">
        <v>-299982</v>
      </c>
      <c r="N4253">
        <v>167902</v>
      </c>
      <c r="O4253" t="s">
        <v>4271</v>
      </c>
      <c r="P4253" s="9">
        <v>177514</v>
      </c>
      <c r="Q4253" s="9">
        <v>15685</v>
      </c>
      <c r="R4253" s="9">
        <v>193199</v>
      </c>
      <c r="S4253" s="9">
        <v>-113008</v>
      </c>
      <c r="T4253" s="10">
        <v>56172</v>
      </c>
      <c r="U4253" s="10">
        <v>1478</v>
      </c>
    </row>
    <row r="4254" spans="1:21" x14ac:dyDescent="0.35">
      <c r="A4254" t="s">
        <v>15</v>
      </c>
      <c r="B4254" t="s">
        <v>20</v>
      </c>
      <c r="C4254" t="s">
        <v>21</v>
      </c>
      <c r="D4254">
        <v>270187</v>
      </c>
      <c r="E4254">
        <v>35676</v>
      </c>
      <c r="F4254">
        <v>30000</v>
      </c>
      <c r="G4254">
        <v>-225251</v>
      </c>
      <c r="H4254">
        <v>110612</v>
      </c>
      <c r="I4254">
        <v>109474</v>
      </c>
      <c r="J4254">
        <v>2578</v>
      </c>
      <c r="K4254">
        <v>743089</v>
      </c>
      <c r="L4254">
        <v>231341</v>
      </c>
      <c r="M4254">
        <v>-284940</v>
      </c>
      <c r="N4254">
        <v>200090</v>
      </c>
      <c r="O4254" t="s">
        <v>4272</v>
      </c>
      <c r="P4254" s="9">
        <v>156640</v>
      </c>
      <c r="Q4254" s="9">
        <v>10423</v>
      </c>
      <c r="R4254" s="9">
        <v>167063</v>
      </c>
      <c r="S4254" s="9">
        <v>-70682</v>
      </c>
      <c r="T4254" s="10">
        <v>60233</v>
      </c>
      <c r="U4254" s="10">
        <v>704</v>
      </c>
    </row>
    <row r="4255" spans="1:21" x14ac:dyDescent="0.35">
      <c r="A4255" t="s">
        <v>15</v>
      </c>
      <c r="B4255" t="s">
        <v>20</v>
      </c>
      <c r="C4255" t="s">
        <v>17</v>
      </c>
      <c r="D4255">
        <v>279083</v>
      </c>
      <c r="E4255">
        <v>40410</v>
      </c>
      <c r="F4255">
        <v>44116</v>
      </c>
      <c r="G4255">
        <v>-233882</v>
      </c>
      <c r="H4255">
        <v>129727</v>
      </c>
      <c r="I4255">
        <v>125859</v>
      </c>
      <c r="J4255">
        <v>3757</v>
      </c>
      <c r="K4255">
        <v>942908</v>
      </c>
      <c r="L4255">
        <v>343078</v>
      </c>
      <c r="M4255">
        <v>-269518</v>
      </c>
      <c r="N4255">
        <v>168683</v>
      </c>
      <c r="O4255" t="s">
        <v>4273</v>
      </c>
      <c r="P4255" s="9">
        <v>198238</v>
      </c>
      <c r="Q4255" s="9">
        <v>15638</v>
      </c>
      <c r="R4255" s="9">
        <v>213876</v>
      </c>
      <c r="S4255" s="9">
        <v>-47233</v>
      </c>
      <c r="T4255" s="10">
        <v>98244</v>
      </c>
      <c r="U4255" s="10">
        <v>2803</v>
      </c>
    </row>
    <row r="4256" spans="1:21" x14ac:dyDescent="0.35">
      <c r="A4256" t="s">
        <v>15</v>
      </c>
      <c r="B4256" t="s">
        <v>16</v>
      </c>
      <c r="C4256" t="s">
        <v>17</v>
      </c>
      <c r="D4256">
        <v>249393</v>
      </c>
      <c r="E4256">
        <v>49680</v>
      </c>
      <c r="F4256">
        <v>41515</v>
      </c>
      <c r="G4256">
        <v>-220775</v>
      </c>
      <c r="H4256">
        <v>119813</v>
      </c>
      <c r="I4256">
        <v>122383</v>
      </c>
      <c r="J4256">
        <v>1758</v>
      </c>
      <c r="K4256">
        <v>732317</v>
      </c>
      <c r="L4256">
        <v>310636</v>
      </c>
      <c r="M4256">
        <v>-210259</v>
      </c>
      <c r="N4256">
        <v>201669</v>
      </c>
      <c r="O4256" t="s">
        <v>4274</v>
      </c>
      <c r="P4256" s="9">
        <v>263413</v>
      </c>
      <c r="Q4256" s="9">
        <v>37347</v>
      </c>
      <c r="R4256" s="9">
        <v>300760</v>
      </c>
      <c r="S4256" s="9">
        <v>-123210</v>
      </c>
      <c r="T4256" s="10">
        <v>90972</v>
      </c>
      <c r="U4256" s="10">
        <v>2694</v>
      </c>
    </row>
    <row r="4257" spans="1:21" x14ac:dyDescent="0.35">
      <c r="A4257" t="s">
        <v>15</v>
      </c>
      <c r="B4257" t="s">
        <v>16</v>
      </c>
      <c r="C4257" t="s">
        <v>21</v>
      </c>
      <c r="D4257">
        <v>291153</v>
      </c>
      <c r="E4257">
        <v>44378</v>
      </c>
      <c r="F4257">
        <v>49019</v>
      </c>
      <c r="G4257">
        <v>-271263</v>
      </c>
      <c r="H4257">
        <v>113287</v>
      </c>
      <c r="I4257">
        <v>113319</v>
      </c>
      <c r="J4257">
        <v>1796</v>
      </c>
      <c r="K4257">
        <v>951837</v>
      </c>
      <c r="L4257">
        <v>167739</v>
      </c>
      <c r="M4257">
        <v>-363454</v>
      </c>
      <c r="N4257">
        <v>128302</v>
      </c>
      <c r="O4257" t="s">
        <v>4275</v>
      </c>
      <c r="P4257" s="9">
        <v>161268</v>
      </c>
      <c r="Q4257" s="9">
        <v>15870</v>
      </c>
      <c r="R4257" s="9">
        <v>177138</v>
      </c>
      <c r="S4257" s="9">
        <v>-59461</v>
      </c>
      <c r="T4257" s="10">
        <v>39258</v>
      </c>
      <c r="U4257" s="10">
        <v>862</v>
      </c>
    </row>
    <row r="4258" spans="1:21" x14ac:dyDescent="0.35">
      <c r="A4258" t="s">
        <v>15</v>
      </c>
      <c r="B4258" t="s">
        <v>16</v>
      </c>
      <c r="C4258" t="s">
        <v>21</v>
      </c>
      <c r="D4258">
        <v>267020</v>
      </c>
      <c r="E4258">
        <v>47867</v>
      </c>
      <c r="F4258">
        <v>53178</v>
      </c>
      <c r="G4258">
        <v>-241606</v>
      </c>
      <c r="H4258">
        <v>126459</v>
      </c>
      <c r="I4258">
        <v>123367</v>
      </c>
      <c r="J4258">
        <v>1492</v>
      </c>
      <c r="K4258">
        <v>683190</v>
      </c>
      <c r="L4258">
        <v>117571</v>
      </c>
      <c r="M4258">
        <v>-214367</v>
      </c>
      <c r="N4258">
        <v>142016</v>
      </c>
      <c r="O4258" t="s">
        <v>4276</v>
      </c>
      <c r="P4258" s="9">
        <v>148161</v>
      </c>
      <c r="Q4258" s="9">
        <v>24960</v>
      </c>
      <c r="R4258" s="9">
        <v>173121</v>
      </c>
      <c r="S4258" s="9">
        <v>-57335</v>
      </c>
      <c r="T4258" s="10">
        <v>63993</v>
      </c>
      <c r="U4258" s="10">
        <v>707</v>
      </c>
    </row>
    <row r="4259" spans="1:21" x14ac:dyDescent="0.35">
      <c r="A4259" t="s">
        <v>15</v>
      </c>
      <c r="B4259" t="s">
        <v>16</v>
      </c>
      <c r="C4259" t="s">
        <v>21</v>
      </c>
      <c r="D4259">
        <v>212751</v>
      </c>
      <c r="E4259">
        <v>18228</v>
      </c>
      <c r="F4259">
        <v>36284</v>
      </c>
      <c r="G4259">
        <v>-210278</v>
      </c>
      <c r="H4259">
        <v>56985</v>
      </c>
      <c r="I4259">
        <v>58348</v>
      </c>
      <c r="J4259">
        <v>1610</v>
      </c>
      <c r="K4259">
        <v>460753</v>
      </c>
      <c r="L4259">
        <v>124457</v>
      </c>
      <c r="M4259">
        <v>-120468</v>
      </c>
      <c r="N4259">
        <v>152868</v>
      </c>
      <c r="O4259" t="s">
        <v>4277</v>
      </c>
      <c r="P4259" s="9">
        <v>182901</v>
      </c>
      <c r="Q4259" s="9">
        <v>17140</v>
      </c>
      <c r="R4259" s="9">
        <v>200041</v>
      </c>
      <c r="S4259" s="9">
        <v>-59529</v>
      </c>
      <c r="T4259" s="10">
        <v>52375</v>
      </c>
      <c r="U4259" s="10">
        <v>1375</v>
      </c>
    </row>
    <row r="4260" spans="1:21" x14ac:dyDescent="0.35">
      <c r="A4260" t="s">
        <v>15</v>
      </c>
      <c r="B4260" t="s">
        <v>16</v>
      </c>
      <c r="C4260" t="s">
        <v>21</v>
      </c>
      <c r="D4260">
        <v>202318</v>
      </c>
      <c r="E4260">
        <v>33078</v>
      </c>
      <c r="F4260">
        <v>49056</v>
      </c>
      <c r="G4260">
        <v>-184548</v>
      </c>
      <c r="H4260">
        <v>99904</v>
      </c>
      <c r="I4260">
        <v>91289</v>
      </c>
      <c r="J4260">
        <v>1148</v>
      </c>
      <c r="K4260">
        <v>564741</v>
      </c>
      <c r="L4260">
        <v>211062</v>
      </c>
      <c r="M4260">
        <v>-203541</v>
      </c>
      <c r="N4260">
        <v>137639</v>
      </c>
      <c r="O4260" t="s">
        <v>4278</v>
      </c>
      <c r="P4260" s="9">
        <v>229003</v>
      </c>
      <c r="Q4260" s="9">
        <v>30435</v>
      </c>
      <c r="R4260" s="9">
        <v>259438</v>
      </c>
      <c r="S4260" s="9">
        <v>-104225</v>
      </c>
      <c r="T4260" s="10">
        <v>70218</v>
      </c>
      <c r="U4260" s="10">
        <v>1416</v>
      </c>
    </row>
    <row r="4261" spans="1:21" x14ac:dyDescent="0.35">
      <c r="A4261" t="s">
        <v>15</v>
      </c>
      <c r="B4261" t="s">
        <v>16</v>
      </c>
      <c r="C4261" t="s">
        <v>21</v>
      </c>
      <c r="D4261">
        <v>236750</v>
      </c>
      <c r="E4261">
        <v>12833</v>
      </c>
      <c r="F4261">
        <v>31411</v>
      </c>
      <c r="G4261">
        <v>-192942</v>
      </c>
      <c r="H4261">
        <v>88052</v>
      </c>
      <c r="I4261">
        <v>89602</v>
      </c>
      <c r="J4261">
        <v>1612</v>
      </c>
      <c r="K4261">
        <v>554862</v>
      </c>
      <c r="L4261">
        <v>133751</v>
      </c>
      <c r="M4261">
        <v>-68720</v>
      </c>
      <c r="N4261">
        <v>143023</v>
      </c>
      <c r="O4261" t="s">
        <v>4279</v>
      </c>
      <c r="P4261" s="9">
        <v>191136</v>
      </c>
      <c r="Q4261" s="9">
        <v>23328</v>
      </c>
      <c r="R4261" s="9">
        <v>214464</v>
      </c>
      <c r="S4261" s="9">
        <v>-94293</v>
      </c>
      <c r="T4261" s="10">
        <v>65290</v>
      </c>
      <c r="U4261" s="10">
        <v>1864</v>
      </c>
    </row>
    <row r="4262" spans="1:21" x14ac:dyDescent="0.35">
      <c r="A4262" t="s">
        <v>15</v>
      </c>
      <c r="B4262" t="s">
        <v>20</v>
      </c>
      <c r="C4262" t="s">
        <v>21</v>
      </c>
      <c r="D4262">
        <v>246779</v>
      </c>
      <c r="E4262">
        <v>19358</v>
      </c>
      <c r="F4262">
        <v>34051</v>
      </c>
      <c r="G4262">
        <v>-219575</v>
      </c>
      <c r="H4262">
        <v>80613</v>
      </c>
      <c r="I4262">
        <v>77409</v>
      </c>
      <c r="J4262">
        <v>2068</v>
      </c>
      <c r="K4262">
        <v>577035</v>
      </c>
      <c r="L4262">
        <v>81018</v>
      </c>
      <c r="M4262">
        <v>-188352</v>
      </c>
      <c r="N4262">
        <v>151330</v>
      </c>
      <c r="O4262" t="s">
        <v>4280</v>
      </c>
      <c r="P4262" s="9">
        <v>257919</v>
      </c>
      <c r="Q4262" s="9">
        <v>23469</v>
      </c>
      <c r="R4262" s="9">
        <v>281388</v>
      </c>
      <c r="S4262" s="9">
        <v>-84422</v>
      </c>
      <c r="T4262" s="10">
        <v>75189</v>
      </c>
      <c r="U4262" s="10">
        <v>1236</v>
      </c>
    </row>
    <row r="4263" spans="1:21" x14ac:dyDescent="0.35">
      <c r="A4263" t="s">
        <v>15</v>
      </c>
      <c r="B4263" t="s">
        <v>16</v>
      </c>
      <c r="C4263" t="s">
        <v>17</v>
      </c>
      <c r="D4263">
        <v>196973</v>
      </c>
      <c r="E4263">
        <v>30233</v>
      </c>
      <c r="F4263">
        <v>31402</v>
      </c>
      <c r="G4263">
        <v>-165457</v>
      </c>
      <c r="H4263">
        <v>93151</v>
      </c>
      <c r="I4263">
        <v>89411</v>
      </c>
      <c r="J4263">
        <v>2263</v>
      </c>
      <c r="K4263">
        <v>583825</v>
      </c>
      <c r="L4263">
        <v>102538</v>
      </c>
      <c r="M4263">
        <v>-101259</v>
      </c>
      <c r="N4263">
        <v>109430</v>
      </c>
      <c r="O4263" t="s">
        <v>4281</v>
      </c>
      <c r="P4263" s="9">
        <v>231999</v>
      </c>
      <c r="Q4263" s="9">
        <v>13635</v>
      </c>
      <c r="R4263" s="9">
        <v>245634</v>
      </c>
      <c r="S4263" s="9">
        <v>-56458</v>
      </c>
      <c r="T4263" s="10">
        <v>101564</v>
      </c>
      <c r="U4263" s="10">
        <v>1179</v>
      </c>
    </row>
    <row r="4264" spans="1:21" x14ac:dyDescent="0.35">
      <c r="A4264" t="s">
        <v>15</v>
      </c>
      <c r="B4264" t="s">
        <v>16</v>
      </c>
      <c r="C4264" t="s">
        <v>21</v>
      </c>
      <c r="D4264">
        <v>241104</v>
      </c>
      <c r="E4264">
        <v>44148</v>
      </c>
      <c r="F4264">
        <v>47155</v>
      </c>
      <c r="G4264">
        <v>-228387</v>
      </c>
      <c r="H4264">
        <v>104020</v>
      </c>
      <c r="I4264">
        <v>95773</v>
      </c>
      <c r="J4264">
        <v>2491</v>
      </c>
      <c r="K4264">
        <v>707808</v>
      </c>
      <c r="L4264">
        <v>251597</v>
      </c>
      <c r="M4264">
        <v>-263478</v>
      </c>
      <c r="N4264">
        <v>139246</v>
      </c>
      <c r="O4264" t="s">
        <v>4282</v>
      </c>
      <c r="P4264" s="9">
        <v>263356</v>
      </c>
      <c r="Q4264" s="9">
        <v>49208</v>
      </c>
      <c r="R4264" s="9">
        <v>312564</v>
      </c>
      <c r="S4264" s="9">
        <v>-115472</v>
      </c>
      <c r="T4264" s="10">
        <v>100534</v>
      </c>
      <c r="U4264" s="10">
        <v>1161</v>
      </c>
    </row>
    <row r="4265" spans="1:21" x14ac:dyDescent="0.35">
      <c r="A4265" t="s">
        <v>15</v>
      </c>
      <c r="B4265" t="s">
        <v>20</v>
      </c>
      <c r="C4265" t="s">
        <v>21</v>
      </c>
      <c r="D4265">
        <v>171654</v>
      </c>
      <c r="E4265">
        <v>22679</v>
      </c>
      <c r="F4265">
        <v>17200</v>
      </c>
      <c r="G4265">
        <v>-140378</v>
      </c>
      <c r="H4265">
        <v>71155</v>
      </c>
      <c r="I4265">
        <v>74320</v>
      </c>
      <c r="J4265">
        <v>1949</v>
      </c>
      <c r="K4265">
        <v>448257</v>
      </c>
      <c r="L4265">
        <v>207005</v>
      </c>
      <c r="M4265">
        <v>-73075</v>
      </c>
      <c r="N4265">
        <v>61518</v>
      </c>
      <c r="O4265" t="s">
        <v>4283</v>
      </c>
      <c r="P4265" s="9">
        <v>150061</v>
      </c>
      <c r="Q4265" s="9">
        <v>16321</v>
      </c>
      <c r="R4265" s="9">
        <v>166382</v>
      </c>
      <c r="S4265" s="9">
        <v>-70246</v>
      </c>
      <c r="T4265" s="10">
        <v>40731</v>
      </c>
      <c r="U4265" s="10">
        <v>647</v>
      </c>
    </row>
    <row r="4266" spans="1:21" x14ac:dyDescent="0.35">
      <c r="A4266" t="s">
        <v>15</v>
      </c>
      <c r="B4266" t="s">
        <v>20</v>
      </c>
      <c r="C4266" t="s">
        <v>17</v>
      </c>
      <c r="D4266">
        <v>254325</v>
      </c>
      <c r="E4266">
        <v>14621</v>
      </c>
      <c r="F4266">
        <v>29221</v>
      </c>
      <c r="G4266">
        <v>-226047</v>
      </c>
      <c r="H4266">
        <v>72120</v>
      </c>
      <c r="I4266">
        <v>69953</v>
      </c>
      <c r="J4266">
        <v>1925</v>
      </c>
      <c r="K4266">
        <v>564073</v>
      </c>
      <c r="L4266">
        <v>108046</v>
      </c>
      <c r="M4266">
        <v>-92682</v>
      </c>
      <c r="N4266">
        <v>178100</v>
      </c>
      <c r="O4266" t="s">
        <v>4284</v>
      </c>
      <c r="P4266" s="9">
        <v>256183</v>
      </c>
      <c r="Q4266" s="9">
        <v>46963</v>
      </c>
      <c r="R4266" s="9">
        <v>303146</v>
      </c>
      <c r="S4266" s="9">
        <v>-145985</v>
      </c>
      <c r="T4266" s="10">
        <v>91717</v>
      </c>
      <c r="U4266" s="10">
        <v>1618</v>
      </c>
    </row>
    <row r="4267" spans="1:21" x14ac:dyDescent="0.35">
      <c r="A4267" t="s">
        <v>15</v>
      </c>
      <c r="B4267" t="s">
        <v>16</v>
      </c>
      <c r="C4267" t="s">
        <v>21</v>
      </c>
      <c r="D4267">
        <v>222711</v>
      </c>
      <c r="E4267">
        <v>20159</v>
      </c>
      <c r="F4267">
        <v>35499</v>
      </c>
      <c r="G4267">
        <v>-220585</v>
      </c>
      <c r="H4267">
        <v>57784</v>
      </c>
      <c r="I4267">
        <v>59292</v>
      </c>
      <c r="J4267">
        <v>1024</v>
      </c>
      <c r="K4267">
        <v>725396</v>
      </c>
      <c r="L4267">
        <v>144203</v>
      </c>
      <c r="M4267">
        <v>-129622</v>
      </c>
      <c r="N4267">
        <v>76869</v>
      </c>
      <c r="O4267" t="s">
        <v>4285</v>
      </c>
      <c r="P4267" s="9">
        <v>158968</v>
      </c>
      <c r="Q4267" s="9">
        <v>9252</v>
      </c>
      <c r="R4267" s="9">
        <v>168220</v>
      </c>
      <c r="S4267" s="9">
        <v>-87990</v>
      </c>
      <c r="T4267" s="10">
        <v>52390</v>
      </c>
      <c r="U4267" s="10">
        <v>749</v>
      </c>
    </row>
    <row r="4268" spans="1:21" x14ac:dyDescent="0.35">
      <c r="A4268" t="s">
        <v>15</v>
      </c>
      <c r="B4268" t="s">
        <v>16</v>
      </c>
      <c r="C4268" t="s">
        <v>21</v>
      </c>
      <c r="D4268">
        <v>270141</v>
      </c>
      <c r="E4268">
        <v>33072</v>
      </c>
      <c r="F4268">
        <v>28134</v>
      </c>
      <c r="G4268">
        <v>-222202</v>
      </c>
      <c r="H4268">
        <v>109145</v>
      </c>
      <c r="I4268">
        <v>113655</v>
      </c>
      <c r="J4268">
        <v>2396</v>
      </c>
      <c r="K4268">
        <v>855924</v>
      </c>
      <c r="L4268">
        <v>353662</v>
      </c>
      <c r="M4268">
        <v>-144847</v>
      </c>
      <c r="N4268">
        <v>180564</v>
      </c>
      <c r="O4268" t="s">
        <v>4286</v>
      </c>
      <c r="P4268" s="9">
        <v>222673</v>
      </c>
      <c r="Q4268" s="9">
        <v>23463</v>
      </c>
      <c r="R4268" s="9">
        <v>246136</v>
      </c>
      <c r="S4268" s="9">
        <v>-143648</v>
      </c>
      <c r="T4268" s="10">
        <v>93577</v>
      </c>
      <c r="U4268" s="10">
        <v>2271</v>
      </c>
    </row>
    <row r="4269" spans="1:21" x14ac:dyDescent="0.35">
      <c r="A4269" t="s">
        <v>15</v>
      </c>
      <c r="B4269" t="s">
        <v>16</v>
      </c>
      <c r="C4269" t="s">
        <v>21</v>
      </c>
      <c r="D4269">
        <v>284929</v>
      </c>
      <c r="E4269">
        <v>51244</v>
      </c>
      <c r="F4269">
        <v>56407</v>
      </c>
      <c r="G4269">
        <v>-259318</v>
      </c>
      <c r="H4269">
        <v>133262</v>
      </c>
      <c r="I4269">
        <v>126988</v>
      </c>
      <c r="J4269">
        <v>2543</v>
      </c>
      <c r="K4269">
        <v>1007634</v>
      </c>
      <c r="L4269">
        <v>439769</v>
      </c>
      <c r="M4269">
        <v>-190900</v>
      </c>
      <c r="N4269">
        <v>99336</v>
      </c>
      <c r="O4269" t="s">
        <v>4287</v>
      </c>
      <c r="P4269" s="9">
        <v>289901</v>
      </c>
      <c r="Q4269" s="9">
        <v>32678</v>
      </c>
      <c r="R4269" s="9">
        <v>322579</v>
      </c>
      <c r="S4269" s="9">
        <v>-97783</v>
      </c>
      <c r="T4269" s="10">
        <v>107027</v>
      </c>
      <c r="U4269" s="10">
        <v>1551</v>
      </c>
    </row>
    <row r="4270" spans="1:21" x14ac:dyDescent="0.35">
      <c r="A4270" t="s">
        <v>15</v>
      </c>
      <c r="B4270" t="s">
        <v>16</v>
      </c>
      <c r="C4270" t="s">
        <v>21</v>
      </c>
      <c r="D4270">
        <v>242303</v>
      </c>
      <c r="E4270">
        <v>34871</v>
      </c>
      <c r="F4270">
        <v>32536</v>
      </c>
      <c r="G4270">
        <v>-222667</v>
      </c>
      <c r="H4270">
        <v>87043</v>
      </c>
      <c r="I4270">
        <v>88924</v>
      </c>
      <c r="J4270">
        <v>1971</v>
      </c>
      <c r="K4270">
        <v>783850</v>
      </c>
      <c r="L4270">
        <v>221355</v>
      </c>
      <c r="M4270">
        <v>-288299</v>
      </c>
      <c r="N4270">
        <v>200743</v>
      </c>
      <c r="O4270" t="s">
        <v>4288</v>
      </c>
      <c r="P4270" s="9">
        <v>194420</v>
      </c>
      <c r="Q4270" s="9">
        <v>10230</v>
      </c>
      <c r="R4270" s="9">
        <v>204650</v>
      </c>
      <c r="S4270" s="9">
        <v>-82166</v>
      </c>
      <c r="T4270" s="10">
        <v>85229</v>
      </c>
      <c r="U4270" s="10">
        <v>1844</v>
      </c>
    </row>
    <row r="4271" spans="1:21" x14ac:dyDescent="0.35">
      <c r="A4271" t="s">
        <v>15</v>
      </c>
      <c r="B4271" t="s">
        <v>16</v>
      </c>
      <c r="C4271" t="s">
        <v>21</v>
      </c>
      <c r="D4271">
        <v>201906</v>
      </c>
      <c r="E4271">
        <v>17614</v>
      </c>
      <c r="F4271">
        <v>22971</v>
      </c>
      <c r="G4271">
        <v>-172908</v>
      </c>
      <c r="H4271">
        <v>69583</v>
      </c>
      <c r="I4271">
        <v>65240</v>
      </c>
      <c r="J4271">
        <v>1281</v>
      </c>
      <c r="K4271">
        <v>587332</v>
      </c>
      <c r="L4271">
        <v>241581</v>
      </c>
      <c r="M4271">
        <v>-168346</v>
      </c>
      <c r="N4271">
        <v>138977</v>
      </c>
      <c r="O4271" t="s">
        <v>4289</v>
      </c>
      <c r="P4271" s="9">
        <v>185203</v>
      </c>
      <c r="Q4271" s="9">
        <v>28024</v>
      </c>
      <c r="R4271" s="9">
        <v>213227</v>
      </c>
      <c r="S4271" s="9">
        <v>-127629</v>
      </c>
      <c r="T4271" s="10">
        <v>88051</v>
      </c>
      <c r="U4271" s="10">
        <v>1726</v>
      </c>
    </row>
    <row r="4272" spans="1:21" x14ac:dyDescent="0.35">
      <c r="A4272" t="s">
        <v>15</v>
      </c>
      <c r="B4272" t="s">
        <v>16</v>
      </c>
      <c r="C4272" t="s">
        <v>17</v>
      </c>
      <c r="D4272">
        <v>284152</v>
      </c>
      <c r="E4272">
        <v>15157</v>
      </c>
      <c r="F4272">
        <v>30417</v>
      </c>
      <c r="G4272">
        <v>-251591</v>
      </c>
      <c r="H4272">
        <v>78135</v>
      </c>
      <c r="I4272">
        <v>80817</v>
      </c>
      <c r="J4272">
        <v>1612</v>
      </c>
      <c r="K4272">
        <v>800892</v>
      </c>
      <c r="L4272">
        <v>354919</v>
      </c>
      <c r="M4272">
        <v>-297553</v>
      </c>
      <c r="N4272">
        <v>199009</v>
      </c>
      <c r="O4272" t="s">
        <v>4290</v>
      </c>
      <c r="P4272" s="9">
        <v>155646</v>
      </c>
      <c r="Q4272" s="9">
        <v>20538</v>
      </c>
      <c r="R4272" s="9">
        <v>176184</v>
      </c>
      <c r="S4272" s="9">
        <v>-36500</v>
      </c>
      <c r="T4272" s="10">
        <v>55088</v>
      </c>
      <c r="U4272" s="10">
        <v>1638</v>
      </c>
    </row>
    <row r="4273" spans="1:21" x14ac:dyDescent="0.35">
      <c r="A4273" t="s">
        <v>15</v>
      </c>
      <c r="B4273" t="s">
        <v>20</v>
      </c>
      <c r="C4273" t="s">
        <v>21</v>
      </c>
      <c r="D4273">
        <v>247062</v>
      </c>
      <c r="E4273">
        <v>34789</v>
      </c>
      <c r="F4273">
        <v>31115</v>
      </c>
      <c r="G4273">
        <v>-237328</v>
      </c>
      <c r="H4273">
        <v>75638</v>
      </c>
      <c r="I4273">
        <v>72796</v>
      </c>
      <c r="J4273">
        <v>1060</v>
      </c>
      <c r="K4273">
        <v>801183</v>
      </c>
      <c r="L4273">
        <v>138456</v>
      </c>
      <c r="M4273">
        <v>-207475</v>
      </c>
      <c r="N4273">
        <v>201141</v>
      </c>
      <c r="O4273" t="s">
        <v>4291</v>
      </c>
      <c r="P4273" s="9">
        <v>229472</v>
      </c>
      <c r="Q4273" s="9">
        <v>34063</v>
      </c>
      <c r="R4273" s="9">
        <v>263535</v>
      </c>
      <c r="S4273" s="9">
        <v>-153990</v>
      </c>
      <c r="T4273" s="10">
        <v>66682</v>
      </c>
      <c r="U4273" s="10">
        <v>1982</v>
      </c>
    </row>
    <row r="4274" spans="1:21" x14ac:dyDescent="0.35">
      <c r="A4274" t="s">
        <v>15</v>
      </c>
      <c r="B4274" t="s">
        <v>16</v>
      </c>
      <c r="C4274" t="s">
        <v>21</v>
      </c>
      <c r="D4274">
        <v>226812</v>
      </c>
      <c r="E4274">
        <v>25912</v>
      </c>
      <c r="F4274">
        <v>55302</v>
      </c>
      <c r="G4274">
        <v>-202093</v>
      </c>
      <c r="H4274">
        <v>105933</v>
      </c>
      <c r="I4274">
        <v>99842</v>
      </c>
      <c r="J4274">
        <v>1013</v>
      </c>
      <c r="K4274">
        <v>781775</v>
      </c>
      <c r="L4274">
        <v>296178</v>
      </c>
      <c r="M4274">
        <v>-274637</v>
      </c>
      <c r="N4274">
        <v>198907</v>
      </c>
      <c r="O4274" t="s">
        <v>4292</v>
      </c>
      <c r="P4274" s="9">
        <v>184592</v>
      </c>
      <c r="Q4274" s="9">
        <v>19498</v>
      </c>
      <c r="R4274" s="9">
        <v>204090</v>
      </c>
      <c r="S4274" s="9">
        <v>-106855</v>
      </c>
      <c r="T4274" s="10">
        <v>61960</v>
      </c>
      <c r="U4274" s="10">
        <v>1539</v>
      </c>
    </row>
    <row r="4275" spans="1:21" x14ac:dyDescent="0.35">
      <c r="A4275" t="s">
        <v>15</v>
      </c>
      <c r="B4275" t="s">
        <v>16</v>
      </c>
      <c r="C4275" t="s">
        <v>21</v>
      </c>
      <c r="D4275">
        <v>245847</v>
      </c>
      <c r="E4275">
        <v>46943</v>
      </c>
      <c r="F4275">
        <v>55939</v>
      </c>
      <c r="G4275">
        <v>-210841</v>
      </c>
      <c r="H4275">
        <v>137888</v>
      </c>
      <c r="I4275">
        <v>141037</v>
      </c>
      <c r="J4275">
        <v>3373</v>
      </c>
      <c r="K4275">
        <v>935514</v>
      </c>
      <c r="L4275">
        <v>328800</v>
      </c>
      <c r="M4275">
        <v>-328611</v>
      </c>
      <c r="N4275">
        <v>184038</v>
      </c>
      <c r="O4275" t="s">
        <v>4293</v>
      </c>
      <c r="P4275" s="9">
        <v>270421</v>
      </c>
      <c r="Q4275" s="9">
        <v>35539</v>
      </c>
      <c r="R4275" s="9">
        <v>305960</v>
      </c>
      <c r="S4275" s="9">
        <v>-92669</v>
      </c>
      <c r="T4275" s="10">
        <v>121666</v>
      </c>
      <c r="U4275" s="10">
        <v>2729</v>
      </c>
    </row>
    <row r="4276" spans="1:21" x14ac:dyDescent="0.35">
      <c r="A4276" t="s">
        <v>15</v>
      </c>
      <c r="B4276" t="s">
        <v>20</v>
      </c>
      <c r="C4276" t="s">
        <v>21</v>
      </c>
      <c r="D4276">
        <v>225097</v>
      </c>
      <c r="E4276">
        <v>41281</v>
      </c>
      <c r="F4276">
        <v>42961</v>
      </c>
      <c r="G4276">
        <v>-187780</v>
      </c>
      <c r="H4276">
        <v>121559</v>
      </c>
      <c r="I4276">
        <v>113901</v>
      </c>
      <c r="J4276">
        <v>2610</v>
      </c>
      <c r="K4276">
        <v>723990</v>
      </c>
      <c r="L4276">
        <v>106544</v>
      </c>
      <c r="M4276">
        <v>-206525</v>
      </c>
      <c r="N4276">
        <v>91496</v>
      </c>
      <c r="O4276" t="s">
        <v>4294</v>
      </c>
      <c r="P4276" s="9">
        <v>190645</v>
      </c>
      <c r="Q4276" s="9">
        <v>18308</v>
      </c>
      <c r="R4276" s="9">
        <v>208953</v>
      </c>
      <c r="S4276" s="9">
        <v>-70689</v>
      </c>
      <c r="T4276" s="10">
        <v>53586</v>
      </c>
      <c r="U4276" s="10">
        <v>1359</v>
      </c>
    </row>
    <row r="4277" spans="1:21" x14ac:dyDescent="0.35">
      <c r="A4277" t="s">
        <v>15</v>
      </c>
      <c r="B4277" t="s">
        <v>16</v>
      </c>
      <c r="C4277" t="s">
        <v>17</v>
      </c>
      <c r="D4277">
        <v>170552</v>
      </c>
      <c r="E4277">
        <v>10130</v>
      </c>
      <c r="F4277">
        <v>39975</v>
      </c>
      <c r="G4277">
        <v>-149383</v>
      </c>
      <c r="H4277">
        <v>71274</v>
      </c>
      <c r="I4277">
        <v>73368</v>
      </c>
      <c r="J4277">
        <v>905</v>
      </c>
      <c r="K4277">
        <v>366338</v>
      </c>
      <c r="L4277">
        <v>122062</v>
      </c>
      <c r="M4277">
        <v>-77248</v>
      </c>
      <c r="N4277">
        <v>153074</v>
      </c>
      <c r="O4277" t="s">
        <v>4295</v>
      </c>
      <c r="P4277" s="9">
        <v>234886</v>
      </c>
      <c r="Q4277" s="9">
        <v>30471</v>
      </c>
      <c r="R4277" s="9">
        <v>265357</v>
      </c>
      <c r="S4277" s="9">
        <v>-91089</v>
      </c>
      <c r="T4277" s="10">
        <v>103687</v>
      </c>
      <c r="U4277" s="10">
        <v>2993</v>
      </c>
    </row>
    <row r="4278" spans="1:21" x14ac:dyDescent="0.35">
      <c r="A4278" t="s">
        <v>15</v>
      </c>
      <c r="B4278" t="s">
        <v>20</v>
      </c>
      <c r="C4278" t="s">
        <v>21</v>
      </c>
      <c r="D4278">
        <v>186287</v>
      </c>
      <c r="E4278">
        <v>24268</v>
      </c>
      <c r="F4278">
        <v>25058</v>
      </c>
      <c r="G4278">
        <v>-166051</v>
      </c>
      <c r="H4278">
        <v>69562</v>
      </c>
      <c r="I4278">
        <v>65066</v>
      </c>
      <c r="J4278">
        <v>1064</v>
      </c>
      <c r="K4278">
        <v>416707</v>
      </c>
      <c r="L4278">
        <v>86028</v>
      </c>
      <c r="M4278">
        <v>-162055</v>
      </c>
      <c r="N4278">
        <v>155010</v>
      </c>
      <c r="O4278" t="s">
        <v>4296</v>
      </c>
      <c r="P4278" s="9">
        <v>304222</v>
      </c>
      <c r="Q4278" s="9">
        <v>43011</v>
      </c>
      <c r="R4278" s="9">
        <v>347233</v>
      </c>
      <c r="S4278" s="9">
        <v>-142512</v>
      </c>
      <c r="T4278" s="10">
        <v>120263</v>
      </c>
      <c r="U4278" s="10">
        <v>2912</v>
      </c>
    </row>
    <row r="4279" spans="1:21" x14ac:dyDescent="0.35">
      <c r="A4279" t="s">
        <v>15</v>
      </c>
      <c r="B4279" t="s">
        <v>20</v>
      </c>
      <c r="C4279" t="s">
        <v>17</v>
      </c>
      <c r="D4279">
        <v>263445</v>
      </c>
      <c r="E4279">
        <v>28050</v>
      </c>
      <c r="F4279">
        <v>49522</v>
      </c>
      <c r="G4279">
        <v>-231514</v>
      </c>
      <c r="H4279">
        <v>109503</v>
      </c>
      <c r="I4279">
        <v>99073</v>
      </c>
      <c r="J4279">
        <v>1429</v>
      </c>
      <c r="K4279">
        <v>834956</v>
      </c>
      <c r="L4279">
        <v>206631</v>
      </c>
      <c r="M4279">
        <v>-213079</v>
      </c>
      <c r="N4279">
        <v>205113</v>
      </c>
      <c r="O4279" t="s">
        <v>4297</v>
      </c>
      <c r="P4279" s="9">
        <v>250010</v>
      </c>
      <c r="Q4279" s="9">
        <v>23423</v>
      </c>
      <c r="R4279" s="9">
        <v>273433</v>
      </c>
      <c r="S4279" s="9">
        <v>-94751</v>
      </c>
      <c r="T4279" s="10">
        <v>87501</v>
      </c>
      <c r="U4279" s="10">
        <v>1318</v>
      </c>
    </row>
    <row r="4280" spans="1:21" x14ac:dyDescent="0.35">
      <c r="A4280" t="s">
        <v>15</v>
      </c>
      <c r="B4280" t="s">
        <v>16</v>
      </c>
      <c r="C4280" t="s">
        <v>21</v>
      </c>
      <c r="D4280">
        <v>296226</v>
      </c>
      <c r="E4280">
        <v>45538</v>
      </c>
      <c r="F4280">
        <v>43891</v>
      </c>
      <c r="G4280">
        <v>-296032</v>
      </c>
      <c r="H4280">
        <v>89623</v>
      </c>
      <c r="I4280">
        <v>81323</v>
      </c>
      <c r="J4280">
        <v>2117</v>
      </c>
      <c r="K4280">
        <v>681410</v>
      </c>
      <c r="L4280">
        <v>225207</v>
      </c>
      <c r="M4280">
        <v>-196213</v>
      </c>
      <c r="N4280">
        <v>165620</v>
      </c>
      <c r="O4280" t="s">
        <v>4298</v>
      </c>
      <c r="P4280" s="9">
        <v>283909</v>
      </c>
      <c r="Q4280" s="9">
        <v>42325</v>
      </c>
      <c r="R4280" s="9">
        <v>326234</v>
      </c>
      <c r="S4280" s="9">
        <v>-110837</v>
      </c>
      <c r="T4280" s="10">
        <v>96757</v>
      </c>
      <c r="U4280" s="10">
        <v>2607</v>
      </c>
    </row>
    <row r="4281" spans="1:21" x14ac:dyDescent="0.35">
      <c r="A4281" t="s">
        <v>15</v>
      </c>
      <c r="B4281" t="s">
        <v>16</v>
      </c>
      <c r="C4281" t="s">
        <v>21</v>
      </c>
      <c r="D4281">
        <v>157775</v>
      </c>
      <c r="E4281">
        <v>30384</v>
      </c>
      <c r="F4281">
        <v>36052</v>
      </c>
      <c r="G4281">
        <v>-134170</v>
      </c>
      <c r="H4281">
        <v>90041</v>
      </c>
      <c r="I4281">
        <v>94498</v>
      </c>
      <c r="J4281">
        <v>945</v>
      </c>
      <c r="K4281">
        <v>425031</v>
      </c>
      <c r="L4281">
        <v>92306</v>
      </c>
      <c r="M4281">
        <v>-166687</v>
      </c>
      <c r="N4281">
        <v>85044</v>
      </c>
      <c r="O4281" t="s">
        <v>4299</v>
      </c>
      <c r="P4281" s="9">
        <v>234438</v>
      </c>
      <c r="Q4281" s="9">
        <v>28255</v>
      </c>
      <c r="R4281" s="9">
        <v>262693</v>
      </c>
      <c r="S4281" s="9">
        <v>-135997</v>
      </c>
      <c r="T4281" s="10">
        <v>76587</v>
      </c>
      <c r="U4281" s="10">
        <v>955</v>
      </c>
    </row>
    <row r="4282" spans="1:21" x14ac:dyDescent="0.35">
      <c r="A4282" t="s">
        <v>15</v>
      </c>
      <c r="B4282" t="s">
        <v>16</v>
      </c>
      <c r="C4282" t="s">
        <v>21</v>
      </c>
      <c r="D4282">
        <v>178676</v>
      </c>
      <c r="E4282">
        <v>30726</v>
      </c>
      <c r="F4282">
        <v>40975</v>
      </c>
      <c r="G4282">
        <v>-146906</v>
      </c>
      <c r="H4282">
        <v>103471</v>
      </c>
      <c r="I4282">
        <v>107136</v>
      </c>
      <c r="J4282">
        <v>2953</v>
      </c>
      <c r="K4282">
        <v>454904</v>
      </c>
      <c r="L4282">
        <v>123565</v>
      </c>
      <c r="M4282">
        <v>-137234</v>
      </c>
      <c r="N4282">
        <v>129722</v>
      </c>
      <c r="O4282" t="s">
        <v>4300</v>
      </c>
      <c r="P4282" s="9">
        <v>279942</v>
      </c>
      <c r="Q4282" s="9">
        <v>28398</v>
      </c>
      <c r="R4282" s="9">
        <v>308340</v>
      </c>
      <c r="S4282" s="9">
        <v>-152825</v>
      </c>
      <c r="T4282" s="10">
        <v>128730</v>
      </c>
      <c r="U4282" s="10">
        <v>2916</v>
      </c>
    </row>
    <row r="4283" spans="1:21" x14ac:dyDescent="0.35">
      <c r="A4283" t="s">
        <v>15</v>
      </c>
      <c r="B4283" t="s">
        <v>16</v>
      </c>
      <c r="C4283" t="s">
        <v>21</v>
      </c>
      <c r="D4283">
        <v>236004</v>
      </c>
      <c r="E4283">
        <v>20168</v>
      </c>
      <c r="F4283">
        <v>48498</v>
      </c>
      <c r="G4283">
        <v>-193135</v>
      </c>
      <c r="H4283">
        <v>111535</v>
      </c>
      <c r="I4283">
        <v>115722</v>
      </c>
      <c r="J4283">
        <v>2532</v>
      </c>
      <c r="K4283">
        <v>595965</v>
      </c>
      <c r="L4283">
        <v>158751</v>
      </c>
      <c r="M4283">
        <v>-88983</v>
      </c>
      <c r="N4283">
        <v>207510</v>
      </c>
      <c r="O4283" t="s">
        <v>4301</v>
      </c>
      <c r="P4283" s="9">
        <v>158835</v>
      </c>
      <c r="Q4283" s="9">
        <v>21126</v>
      </c>
      <c r="R4283" s="9">
        <v>179961</v>
      </c>
      <c r="S4283" s="9">
        <v>-80275</v>
      </c>
      <c r="T4283" s="10">
        <v>56572</v>
      </c>
      <c r="U4283" s="10">
        <v>637</v>
      </c>
    </row>
    <row r="4284" spans="1:21" x14ac:dyDescent="0.35">
      <c r="A4284" t="s">
        <v>15</v>
      </c>
      <c r="B4284" t="s">
        <v>20</v>
      </c>
      <c r="C4284" t="s">
        <v>21</v>
      </c>
      <c r="D4284">
        <v>173034</v>
      </c>
      <c r="E4284">
        <v>27244</v>
      </c>
      <c r="F4284">
        <v>23812</v>
      </c>
      <c r="G4284">
        <v>-169780</v>
      </c>
      <c r="H4284">
        <v>54310</v>
      </c>
      <c r="I4284">
        <v>54308</v>
      </c>
      <c r="J4284">
        <v>1128</v>
      </c>
      <c r="K4284">
        <v>606463</v>
      </c>
      <c r="L4284">
        <v>117198</v>
      </c>
      <c r="M4284">
        <v>-69165</v>
      </c>
      <c r="N4284">
        <v>130891</v>
      </c>
      <c r="O4284" t="s">
        <v>4302</v>
      </c>
      <c r="P4284" s="9">
        <v>297795</v>
      </c>
      <c r="Q4284" s="9">
        <v>54897</v>
      </c>
      <c r="R4284" s="9">
        <v>352692</v>
      </c>
      <c r="S4284" s="9">
        <v>-90565</v>
      </c>
      <c r="T4284" s="10">
        <v>132554</v>
      </c>
      <c r="U4284" s="10">
        <v>3288</v>
      </c>
    </row>
    <row r="4285" spans="1:21" x14ac:dyDescent="0.35">
      <c r="A4285" t="s">
        <v>15</v>
      </c>
      <c r="B4285" t="s">
        <v>16</v>
      </c>
      <c r="C4285" t="s">
        <v>21</v>
      </c>
      <c r="D4285">
        <v>229748</v>
      </c>
      <c r="E4285">
        <v>16701</v>
      </c>
      <c r="F4285">
        <v>51857</v>
      </c>
      <c r="G4285">
        <v>-203793</v>
      </c>
      <c r="H4285">
        <v>94513</v>
      </c>
      <c r="I4285">
        <v>96333</v>
      </c>
      <c r="J4285">
        <v>2301</v>
      </c>
      <c r="K4285">
        <v>744726</v>
      </c>
      <c r="L4285">
        <v>334924</v>
      </c>
      <c r="M4285">
        <v>-158592</v>
      </c>
      <c r="N4285">
        <v>137401</v>
      </c>
      <c r="O4285" t="s">
        <v>4303</v>
      </c>
      <c r="P4285" s="9">
        <v>250087</v>
      </c>
      <c r="Q4285" s="9">
        <v>47302</v>
      </c>
      <c r="R4285" s="9">
        <v>297389</v>
      </c>
      <c r="S4285" s="9">
        <v>-143910</v>
      </c>
      <c r="T4285" s="10">
        <v>79049</v>
      </c>
      <c r="U4285" s="10">
        <v>2030</v>
      </c>
    </row>
    <row r="4286" spans="1:21" x14ac:dyDescent="0.35">
      <c r="A4286" t="s">
        <v>15</v>
      </c>
      <c r="B4286" t="s">
        <v>16</v>
      </c>
      <c r="C4286" t="s">
        <v>21</v>
      </c>
      <c r="D4286">
        <v>294757</v>
      </c>
      <c r="E4286">
        <v>24981</v>
      </c>
      <c r="F4286">
        <v>40204</v>
      </c>
      <c r="G4286">
        <v>-238614</v>
      </c>
      <c r="H4286">
        <v>121328</v>
      </c>
      <c r="I4286">
        <v>110988</v>
      </c>
      <c r="J4286">
        <v>1522</v>
      </c>
      <c r="K4286">
        <v>921048</v>
      </c>
      <c r="L4286">
        <v>182092</v>
      </c>
      <c r="M4286">
        <v>-274057</v>
      </c>
      <c r="N4286">
        <v>185199</v>
      </c>
      <c r="O4286" t="s">
        <v>4304</v>
      </c>
      <c r="P4286" s="9">
        <v>221949</v>
      </c>
      <c r="Q4286" s="9">
        <v>37663</v>
      </c>
      <c r="R4286" s="9">
        <v>259612</v>
      </c>
      <c r="S4286" s="9">
        <v>-139310</v>
      </c>
      <c r="T4286" s="10">
        <v>91016</v>
      </c>
      <c r="U4286" s="10">
        <v>1045</v>
      </c>
    </row>
    <row r="4287" spans="1:21" x14ac:dyDescent="0.35">
      <c r="A4287" t="s">
        <v>15</v>
      </c>
      <c r="B4287" t="s">
        <v>20</v>
      </c>
      <c r="C4287" t="s">
        <v>21</v>
      </c>
      <c r="D4287">
        <v>299746</v>
      </c>
      <c r="E4287">
        <v>51861</v>
      </c>
      <c r="F4287">
        <v>62916</v>
      </c>
      <c r="G4287">
        <v>-298793</v>
      </c>
      <c r="H4287">
        <v>115730</v>
      </c>
      <c r="I4287">
        <v>113502</v>
      </c>
      <c r="J4287">
        <v>3291</v>
      </c>
      <c r="K4287">
        <v>635611</v>
      </c>
      <c r="L4287">
        <v>81816</v>
      </c>
      <c r="M4287">
        <v>-197100</v>
      </c>
      <c r="N4287">
        <v>136692</v>
      </c>
      <c r="O4287" t="s">
        <v>4305</v>
      </c>
      <c r="P4287" s="9">
        <v>243382</v>
      </c>
      <c r="Q4287" s="9">
        <v>46937</v>
      </c>
      <c r="R4287" s="9">
        <v>290319</v>
      </c>
      <c r="S4287" s="9">
        <v>-156514</v>
      </c>
      <c r="T4287" s="10">
        <v>145799</v>
      </c>
      <c r="U4287" s="10">
        <v>1780</v>
      </c>
    </row>
    <row r="4288" spans="1:21" x14ac:dyDescent="0.35">
      <c r="A4288" t="s">
        <v>15</v>
      </c>
      <c r="B4288" t="s">
        <v>20</v>
      </c>
      <c r="C4288" t="s">
        <v>17</v>
      </c>
      <c r="D4288">
        <v>249407</v>
      </c>
      <c r="E4288">
        <v>42980</v>
      </c>
      <c r="F4288">
        <v>40472</v>
      </c>
      <c r="G4288">
        <v>-241628</v>
      </c>
      <c r="H4288">
        <v>91231</v>
      </c>
      <c r="I4288">
        <v>82503</v>
      </c>
      <c r="J4288">
        <v>1123</v>
      </c>
      <c r="K4288">
        <v>792675</v>
      </c>
      <c r="L4288">
        <v>233027</v>
      </c>
      <c r="M4288">
        <v>-173151</v>
      </c>
      <c r="N4288">
        <v>151917</v>
      </c>
      <c r="O4288" t="s">
        <v>4306</v>
      </c>
      <c r="P4288" s="9">
        <v>249160</v>
      </c>
      <c r="Q4288" s="9">
        <v>24631</v>
      </c>
      <c r="R4288" s="9">
        <v>273791</v>
      </c>
      <c r="S4288" s="9">
        <v>-115597</v>
      </c>
      <c r="T4288" s="10">
        <v>73596</v>
      </c>
      <c r="U4288" s="10">
        <v>956</v>
      </c>
    </row>
    <row r="4289" spans="1:21" x14ac:dyDescent="0.35">
      <c r="A4289" t="s">
        <v>15</v>
      </c>
      <c r="B4289" t="s">
        <v>20</v>
      </c>
      <c r="C4289" t="s">
        <v>17</v>
      </c>
      <c r="D4289">
        <v>277861</v>
      </c>
      <c r="E4289">
        <v>51064</v>
      </c>
      <c r="F4289">
        <v>65775</v>
      </c>
      <c r="G4289">
        <v>-236143</v>
      </c>
      <c r="H4289">
        <v>158557</v>
      </c>
      <c r="I4289">
        <v>150039</v>
      </c>
      <c r="J4289">
        <v>4146</v>
      </c>
      <c r="K4289">
        <v>747365</v>
      </c>
      <c r="L4289">
        <v>243199</v>
      </c>
      <c r="M4289">
        <v>-235163</v>
      </c>
      <c r="N4289">
        <v>222408</v>
      </c>
      <c r="O4289" t="s">
        <v>4307</v>
      </c>
      <c r="P4289" s="9">
        <v>153786</v>
      </c>
      <c r="Q4289" s="9">
        <v>32008</v>
      </c>
      <c r="R4289" s="9">
        <v>185794</v>
      </c>
      <c r="S4289" s="9">
        <v>-91776</v>
      </c>
      <c r="T4289" s="10">
        <v>61544</v>
      </c>
      <c r="U4289" s="10">
        <v>1586</v>
      </c>
    </row>
    <row r="4290" spans="1:21" x14ac:dyDescent="0.35">
      <c r="A4290" t="s">
        <v>15</v>
      </c>
      <c r="B4290" t="s">
        <v>16</v>
      </c>
      <c r="C4290" t="s">
        <v>21</v>
      </c>
      <c r="D4290">
        <v>209001</v>
      </c>
      <c r="E4290">
        <v>12892</v>
      </c>
      <c r="F4290">
        <v>40971</v>
      </c>
      <c r="G4290">
        <v>-167649</v>
      </c>
      <c r="H4290">
        <v>95215</v>
      </c>
      <c r="I4290">
        <v>90916</v>
      </c>
      <c r="J4290">
        <v>2696</v>
      </c>
      <c r="K4290">
        <v>691011</v>
      </c>
      <c r="L4290">
        <v>172929</v>
      </c>
      <c r="M4290">
        <v>-90438</v>
      </c>
      <c r="N4290">
        <v>183400</v>
      </c>
      <c r="O4290" t="s">
        <v>4308</v>
      </c>
      <c r="P4290" s="9">
        <v>200354</v>
      </c>
      <c r="Q4290" s="9">
        <v>41701</v>
      </c>
      <c r="R4290" s="9">
        <v>242055</v>
      </c>
      <c r="S4290" s="9">
        <v>-83157</v>
      </c>
      <c r="T4290" s="10">
        <v>74738</v>
      </c>
      <c r="U4290" s="10">
        <v>2117</v>
      </c>
    </row>
    <row r="4291" spans="1:21" x14ac:dyDescent="0.35">
      <c r="A4291" t="s">
        <v>15</v>
      </c>
      <c r="B4291" t="s">
        <v>20</v>
      </c>
      <c r="C4291" t="s">
        <v>21</v>
      </c>
      <c r="D4291">
        <v>211846</v>
      </c>
      <c r="E4291">
        <v>13393</v>
      </c>
      <c r="F4291">
        <v>41241</v>
      </c>
      <c r="G4291">
        <v>-177105</v>
      </c>
      <c r="H4291">
        <v>89375</v>
      </c>
      <c r="I4291">
        <v>82035</v>
      </c>
      <c r="J4291">
        <v>972</v>
      </c>
      <c r="K4291">
        <v>749172</v>
      </c>
      <c r="L4291">
        <v>273497</v>
      </c>
      <c r="M4291">
        <v>-226219</v>
      </c>
      <c r="N4291">
        <v>116093</v>
      </c>
      <c r="O4291" t="s">
        <v>4309</v>
      </c>
      <c r="P4291" s="9">
        <v>200425</v>
      </c>
      <c r="Q4291" s="9">
        <v>10540</v>
      </c>
      <c r="R4291" s="9">
        <v>210965</v>
      </c>
      <c r="S4291" s="9">
        <v>-110442</v>
      </c>
      <c r="T4291" s="10">
        <v>35955</v>
      </c>
      <c r="U4291" s="10">
        <v>839</v>
      </c>
    </row>
    <row r="4292" spans="1:21" x14ac:dyDescent="0.35">
      <c r="A4292" t="s">
        <v>15</v>
      </c>
      <c r="B4292" t="s">
        <v>20</v>
      </c>
      <c r="C4292" t="s">
        <v>21</v>
      </c>
      <c r="D4292">
        <v>217409</v>
      </c>
      <c r="E4292">
        <v>40713</v>
      </c>
      <c r="F4292">
        <v>33920</v>
      </c>
      <c r="G4292">
        <v>-215130</v>
      </c>
      <c r="H4292">
        <v>76912</v>
      </c>
      <c r="I4292">
        <v>77775</v>
      </c>
      <c r="J4292">
        <v>1520</v>
      </c>
      <c r="K4292">
        <v>787376</v>
      </c>
      <c r="L4292">
        <v>125634</v>
      </c>
      <c r="M4292">
        <v>-176232</v>
      </c>
      <c r="N4292">
        <v>67107</v>
      </c>
      <c r="O4292" t="s">
        <v>4310</v>
      </c>
      <c r="P4292" s="9">
        <v>280947</v>
      </c>
      <c r="Q4292" s="9">
        <v>20418</v>
      </c>
      <c r="R4292" s="9">
        <v>301365</v>
      </c>
      <c r="S4292" s="9">
        <v>-168451</v>
      </c>
      <c r="T4292" s="10">
        <v>92238</v>
      </c>
      <c r="U4292" s="10">
        <v>2549</v>
      </c>
    </row>
    <row r="4293" spans="1:21" x14ac:dyDescent="0.35">
      <c r="A4293" t="s">
        <v>15</v>
      </c>
      <c r="B4293" t="s">
        <v>20</v>
      </c>
      <c r="C4293" t="s">
        <v>21</v>
      </c>
      <c r="D4293">
        <v>270657</v>
      </c>
      <c r="E4293">
        <v>15666</v>
      </c>
      <c r="F4293">
        <v>63399</v>
      </c>
      <c r="G4293">
        <v>-256969</v>
      </c>
      <c r="H4293">
        <v>92753</v>
      </c>
      <c r="I4293">
        <v>89709</v>
      </c>
      <c r="J4293">
        <v>1485</v>
      </c>
      <c r="K4293">
        <v>992703</v>
      </c>
      <c r="L4293">
        <v>434602</v>
      </c>
      <c r="M4293">
        <v>-136688</v>
      </c>
      <c r="N4293">
        <v>116528</v>
      </c>
      <c r="O4293" t="s">
        <v>4311</v>
      </c>
      <c r="P4293" s="9">
        <v>197993</v>
      </c>
      <c r="Q4293" s="9">
        <v>35407</v>
      </c>
      <c r="R4293" s="9">
        <v>233400</v>
      </c>
      <c r="S4293" s="9">
        <v>-52519</v>
      </c>
      <c r="T4293" s="10">
        <v>89657</v>
      </c>
      <c r="U4293" s="10">
        <v>2422</v>
      </c>
    </row>
    <row r="4294" spans="1:21" x14ac:dyDescent="0.35">
      <c r="A4294" t="s">
        <v>15</v>
      </c>
      <c r="B4294" t="s">
        <v>16</v>
      </c>
      <c r="C4294" t="s">
        <v>21</v>
      </c>
      <c r="D4294">
        <v>228141</v>
      </c>
      <c r="E4294">
        <v>16190</v>
      </c>
      <c r="F4294">
        <v>25849</v>
      </c>
      <c r="G4294">
        <v>-214192</v>
      </c>
      <c r="H4294">
        <v>55988</v>
      </c>
      <c r="I4294">
        <v>55817</v>
      </c>
      <c r="J4294">
        <v>1373</v>
      </c>
      <c r="K4294">
        <v>739777</v>
      </c>
      <c r="L4294">
        <v>321450</v>
      </c>
      <c r="M4294">
        <v>-139194</v>
      </c>
      <c r="N4294">
        <v>205200</v>
      </c>
      <c r="O4294" t="s">
        <v>4312</v>
      </c>
      <c r="P4294" s="9">
        <v>194014</v>
      </c>
      <c r="Q4294" s="9">
        <v>20461</v>
      </c>
      <c r="R4294" s="9">
        <v>214475</v>
      </c>
      <c r="S4294" s="9">
        <v>-42962</v>
      </c>
      <c r="T4294" s="10">
        <v>59227</v>
      </c>
      <c r="U4294" s="10">
        <v>945</v>
      </c>
    </row>
    <row r="4295" spans="1:21" x14ac:dyDescent="0.35">
      <c r="A4295" t="s">
        <v>15</v>
      </c>
      <c r="B4295" t="s">
        <v>20</v>
      </c>
      <c r="C4295" t="s">
        <v>21</v>
      </c>
      <c r="D4295">
        <v>207450</v>
      </c>
      <c r="E4295">
        <v>11728</v>
      </c>
      <c r="F4295">
        <v>32306</v>
      </c>
      <c r="G4295">
        <v>-167213</v>
      </c>
      <c r="H4295">
        <v>84271</v>
      </c>
      <c r="I4295">
        <v>82049</v>
      </c>
      <c r="J4295">
        <v>2120</v>
      </c>
      <c r="K4295">
        <v>582338</v>
      </c>
      <c r="L4295">
        <v>78439</v>
      </c>
      <c r="M4295">
        <v>-221642</v>
      </c>
      <c r="N4295">
        <v>142110</v>
      </c>
      <c r="O4295" t="s">
        <v>4313</v>
      </c>
      <c r="P4295" s="9">
        <v>192447</v>
      </c>
      <c r="Q4295" s="9">
        <v>33460</v>
      </c>
      <c r="R4295" s="9">
        <v>225907</v>
      </c>
      <c r="S4295" s="9">
        <v>-81393</v>
      </c>
      <c r="T4295" s="10">
        <v>84758</v>
      </c>
      <c r="U4295" s="10">
        <v>2316</v>
      </c>
    </row>
    <row r="4296" spans="1:21" x14ac:dyDescent="0.35">
      <c r="A4296" t="s">
        <v>15</v>
      </c>
      <c r="B4296" t="s">
        <v>20</v>
      </c>
      <c r="C4296" t="s">
        <v>21</v>
      </c>
      <c r="D4296">
        <v>269317</v>
      </c>
      <c r="E4296">
        <v>51705</v>
      </c>
      <c r="F4296">
        <v>56426</v>
      </c>
      <c r="G4296">
        <v>-222617</v>
      </c>
      <c r="H4296">
        <v>154831</v>
      </c>
      <c r="I4296">
        <v>144283</v>
      </c>
      <c r="J4296">
        <v>2575</v>
      </c>
      <c r="K4296">
        <v>796113</v>
      </c>
      <c r="L4296">
        <v>193941</v>
      </c>
      <c r="M4296">
        <v>-232194</v>
      </c>
      <c r="N4296">
        <v>175817</v>
      </c>
      <c r="O4296" t="s">
        <v>4314</v>
      </c>
      <c r="P4296" s="9">
        <v>176876</v>
      </c>
      <c r="Q4296" s="9">
        <v>11938</v>
      </c>
      <c r="R4296" s="9">
        <v>188814</v>
      </c>
      <c r="S4296" s="9">
        <v>-77087</v>
      </c>
      <c r="T4296" s="10">
        <v>53954</v>
      </c>
      <c r="U4296" s="10">
        <v>610</v>
      </c>
    </row>
    <row r="4297" spans="1:21" x14ac:dyDescent="0.35">
      <c r="A4297" t="s">
        <v>15</v>
      </c>
      <c r="B4297" t="s">
        <v>16</v>
      </c>
      <c r="C4297" t="s">
        <v>21</v>
      </c>
      <c r="D4297">
        <v>271431</v>
      </c>
      <c r="E4297">
        <v>42561</v>
      </c>
      <c r="F4297">
        <v>50207</v>
      </c>
      <c r="G4297">
        <v>-262633</v>
      </c>
      <c r="H4297">
        <v>101566</v>
      </c>
      <c r="I4297">
        <v>104132</v>
      </c>
      <c r="J4297">
        <v>2471</v>
      </c>
      <c r="K4297">
        <v>630996</v>
      </c>
      <c r="L4297">
        <v>85203</v>
      </c>
      <c r="M4297">
        <v>-235302</v>
      </c>
      <c r="N4297">
        <v>109214</v>
      </c>
      <c r="O4297" t="s">
        <v>4315</v>
      </c>
      <c r="P4297" s="9">
        <v>186319</v>
      </c>
      <c r="Q4297" s="9">
        <v>35017</v>
      </c>
      <c r="R4297" s="9">
        <v>221336</v>
      </c>
      <c r="S4297" s="9">
        <v>-102681</v>
      </c>
      <c r="T4297" s="10">
        <v>83808</v>
      </c>
      <c r="U4297" s="10">
        <v>2102</v>
      </c>
    </row>
    <row r="4298" spans="1:21" x14ac:dyDescent="0.35">
      <c r="A4298" t="s">
        <v>15</v>
      </c>
      <c r="B4298" t="s">
        <v>16</v>
      </c>
      <c r="C4298" t="s">
        <v>21</v>
      </c>
      <c r="D4298">
        <v>295527</v>
      </c>
      <c r="E4298">
        <v>23650</v>
      </c>
      <c r="F4298">
        <v>52962</v>
      </c>
      <c r="G4298">
        <v>-266732</v>
      </c>
      <c r="H4298">
        <v>105407</v>
      </c>
      <c r="I4298">
        <v>100877</v>
      </c>
      <c r="J4298">
        <v>1112</v>
      </c>
      <c r="K4298">
        <v>608260</v>
      </c>
      <c r="L4298">
        <v>264685</v>
      </c>
      <c r="M4298">
        <v>-93099</v>
      </c>
      <c r="N4298">
        <v>162999</v>
      </c>
      <c r="O4298" t="s">
        <v>4316</v>
      </c>
      <c r="P4298" s="9">
        <v>241631</v>
      </c>
      <c r="Q4298" s="9">
        <v>46019</v>
      </c>
      <c r="R4298" s="9">
        <v>287650</v>
      </c>
      <c r="S4298" s="9">
        <v>-98909</v>
      </c>
      <c r="T4298" s="10">
        <v>113229</v>
      </c>
      <c r="U4298" s="10">
        <v>1718</v>
      </c>
    </row>
    <row r="4299" spans="1:21" x14ac:dyDescent="0.35">
      <c r="A4299" t="s">
        <v>15</v>
      </c>
      <c r="B4299" t="s">
        <v>16</v>
      </c>
      <c r="C4299" t="s">
        <v>21</v>
      </c>
      <c r="D4299">
        <v>171991</v>
      </c>
      <c r="E4299">
        <v>19442</v>
      </c>
      <c r="F4299">
        <v>28193</v>
      </c>
      <c r="G4299">
        <v>-141732</v>
      </c>
      <c r="H4299">
        <v>77894</v>
      </c>
      <c r="I4299">
        <v>70404</v>
      </c>
      <c r="J4299">
        <v>2107</v>
      </c>
      <c r="K4299">
        <v>369922</v>
      </c>
      <c r="L4299">
        <v>126988</v>
      </c>
      <c r="M4299">
        <v>-110226</v>
      </c>
      <c r="N4299">
        <v>154527</v>
      </c>
      <c r="O4299" t="s">
        <v>4317</v>
      </c>
      <c r="P4299" s="9">
        <v>241443</v>
      </c>
      <c r="Q4299" s="9">
        <v>15973</v>
      </c>
      <c r="R4299" s="9">
        <v>257416</v>
      </c>
      <c r="S4299" s="9">
        <v>-103973</v>
      </c>
      <c r="T4299" s="10">
        <v>84455</v>
      </c>
      <c r="U4299" s="10">
        <v>2507</v>
      </c>
    </row>
    <row r="4300" spans="1:21" x14ac:dyDescent="0.35">
      <c r="A4300" t="s">
        <v>15</v>
      </c>
      <c r="B4300" t="s">
        <v>16</v>
      </c>
      <c r="C4300" t="s">
        <v>21</v>
      </c>
      <c r="D4300">
        <v>219334</v>
      </c>
      <c r="E4300">
        <v>23400</v>
      </c>
      <c r="F4300">
        <v>46026</v>
      </c>
      <c r="G4300">
        <v>-197413</v>
      </c>
      <c r="H4300">
        <v>91347</v>
      </c>
      <c r="I4300">
        <v>86151</v>
      </c>
      <c r="J4300">
        <v>1053</v>
      </c>
      <c r="K4300">
        <v>561925</v>
      </c>
      <c r="L4300">
        <v>68029</v>
      </c>
      <c r="M4300">
        <v>-100692</v>
      </c>
      <c r="N4300">
        <v>130642</v>
      </c>
      <c r="O4300" t="s">
        <v>4318</v>
      </c>
      <c r="P4300" s="9">
        <v>245881</v>
      </c>
      <c r="Q4300" s="9">
        <v>30089</v>
      </c>
      <c r="R4300" s="9">
        <v>275970</v>
      </c>
      <c r="S4300" s="9">
        <v>-78896</v>
      </c>
      <c r="T4300" s="10">
        <v>111357</v>
      </c>
      <c r="U4300" s="10">
        <v>1887</v>
      </c>
    </row>
    <row r="4301" spans="1:21" x14ac:dyDescent="0.35">
      <c r="A4301" t="s">
        <v>15</v>
      </c>
      <c r="B4301" t="s">
        <v>16</v>
      </c>
      <c r="C4301" t="s">
        <v>17</v>
      </c>
      <c r="D4301">
        <v>215777</v>
      </c>
      <c r="E4301">
        <v>42606</v>
      </c>
      <c r="F4301">
        <v>42785</v>
      </c>
      <c r="G4301">
        <v>-201107</v>
      </c>
      <c r="H4301">
        <v>100061</v>
      </c>
      <c r="I4301">
        <v>96715</v>
      </c>
      <c r="J4301">
        <v>2773</v>
      </c>
      <c r="K4301">
        <v>838353</v>
      </c>
      <c r="L4301">
        <v>240403</v>
      </c>
      <c r="M4301">
        <v>-269610</v>
      </c>
      <c r="N4301">
        <v>166672</v>
      </c>
      <c r="O4301" t="s">
        <v>4319</v>
      </c>
      <c r="P4301" s="9">
        <v>225890</v>
      </c>
      <c r="Q4301" s="9">
        <v>21146</v>
      </c>
      <c r="R4301" s="9">
        <v>247036</v>
      </c>
      <c r="S4301" s="9">
        <v>-59571</v>
      </c>
      <c r="T4301" s="10">
        <v>82703</v>
      </c>
      <c r="U4301" s="10">
        <v>1672</v>
      </c>
    </row>
    <row r="4302" spans="1:21" x14ac:dyDescent="0.35">
      <c r="A4302" t="s">
        <v>15</v>
      </c>
      <c r="B4302" t="s">
        <v>16</v>
      </c>
      <c r="C4302" t="s">
        <v>17</v>
      </c>
      <c r="D4302">
        <v>241803</v>
      </c>
      <c r="E4302">
        <v>13915</v>
      </c>
      <c r="F4302">
        <v>34761</v>
      </c>
      <c r="G4302">
        <v>-224781</v>
      </c>
      <c r="H4302">
        <v>65698</v>
      </c>
      <c r="I4302">
        <v>61837</v>
      </c>
      <c r="J4302">
        <v>1777</v>
      </c>
      <c r="K4302">
        <v>902868</v>
      </c>
      <c r="L4302">
        <v>319575</v>
      </c>
      <c r="M4302">
        <v>-309623</v>
      </c>
      <c r="N4302">
        <v>100919</v>
      </c>
      <c r="O4302" t="s">
        <v>4320</v>
      </c>
      <c r="P4302" s="9">
        <v>210861</v>
      </c>
      <c r="Q4302" s="9">
        <v>15591</v>
      </c>
      <c r="R4302" s="9">
        <v>226452</v>
      </c>
      <c r="S4302" s="9">
        <v>-58828</v>
      </c>
      <c r="T4302" s="10">
        <v>57874</v>
      </c>
      <c r="U4302" s="10">
        <v>1156</v>
      </c>
    </row>
    <row r="4303" spans="1:21" x14ac:dyDescent="0.35">
      <c r="A4303" t="s">
        <v>15</v>
      </c>
      <c r="B4303" t="s">
        <v>20</v>
      </c>
      <c r="C4303" t="s">
        <v>21</v>
      </c>
      <c r="D4303">
        <v>240300</v>
      </c>
      <c r="E4303">
        <v>38725</v>
      </c>
      <c r="F4303">
        <v>50994</v>
      </c>
      <c r="G4303">
        <v>-226507</v>
      </c>
      <c r="H4303">
        <v>103512</v>
      </c>
      <c r="I4303">
        <v>106938</v>
      </c>
      <c r="J4303">
        <v>3094</v>
      </c>
      <c r="K4303">
        <v>716983</v>
      </c>
      <c r="L4303">
        <v>262479</v>
      </c>
      <c r="M4303">
        <v>-143272</v>
      </c>
      <c r="N4303">
        <v>144248</v>
      </c>
      <c r="O4303" t="s">
        <v>4321</v>
      </c>
      <c r="P4303" s="9">
        <v>183557</v>
      </c>
      <c r="Q4303" s="9">
        <v>16818</v>
      </c>
      <c r="R4303" s="9">
        <v>200375</v>
      </c>
      <c r="S4303" s="9">
        <v>-103461</v>
      </c>
      <c r="T4303" s="10">
        <v>67146</v>
      </c>
      <c r="U4303" s="10">
        <v>1590</v>
      </c>
    </row>
    <row r="4304" spans="1:21" x14ac:dyDescent="0.35">
      <c r="A4304" t="s">
        <v>15</v>
      </c>
      <c r="B4304" t="s">
        <v>16</v>
      </c>
      <c r="C4304" t="s">
        <v>17</v>
      </c>
      <c r="D4304">
        <v>150210</v>
      </c>
      <c r="E4304">
        <v>14366</v>
      </c>
      <c r="F4304">
        <v>18439</v>
      </c>
      <c r="G4304">
        <v>-149321</v>
      </c>
      <c r="H4304">
        <v>33694</v>
      </c>
      <c r="I4304">
        <v>33320</v>
      </c>
      <c r="J4304">
        <v>646</v>
      </c>
      <c r="K4304">
        <v>409040</v>
      </c>
      <c r="L4304">
        <v>193523</v>
      </c>
      <c r="M4304">
        <v>-127994</v>
      </c>
      <c r="N4304">
        <v>63875</v>
      </c>
      <c r="O4304" t="s">
        <v>4322</v>
      </c>
      <c r="P4304" s="9">
        <v>314207</v>
      </c>
      <c r="Q4304" s="9">
        <v>17700</v>
      </c>
      <c r="R4304" s="9">
        <v>331907</v>
      </c>
      <c r="S4304" s="9">
        <v>-80025</v>
      </c>
      <c r="T4304" s="10">
        <v>135223</v>
      </c>
      <c r="U4304" s="10">
        <v>2283</v>
      </c>
    </row>
    <row r="4305" spans="1:21" x14ac:dyDescent="0.35">
      <c r="A4305" t="s">
        <v>15</v>
      </c>
      <c r="B4305" t="s">
        <v>20</v>
      </c>
      <c r="C4305" t="s">
        <v>21</v>
      </c>
      <c r="D4305">
        <v>253682</v>
      </c>
      <c r="E4305">
        <v>14565</v>
      </c>
      <c r="F4305">
        <v>51468</v>
      </c>
      <c r="G4305">
        <v>-244928</v>
      </c>
      <c r="H4305">
        <v>74787</v>
      </c>
      <c r="I4305">
        <v>76600</v>
      </c>
      <c r="J4305">
        <v>1879</v>
      </c>
      <c r="K4305">
        <v>966120</v>
      </c>
      <c r="L4305">
        <v>204784</v>
      </c>
      <c r="M4305">
        <v>-156657</v>
      </c>
      <c r="N4305">
        <v>95313</v>
      </c>
      <c r="O4305" t="s">
        <v>4323</v>
      </c>
      <c r="P4305" s="9">
        <v>172498</v>
      </c>
      <c r="Q4305" s="9">
        <v>30439</v>
      </c>
      <c r="R4305" s="9">
        <v>202937</v>
      </c>
      <c r="S4305" s="9">
        <v>-69709</v>
      </c>
      <c r="T4305" s="10">
        <v>55417</v>
      </c>
      <c r="U4305" s="10">
        <v>1335</v>
      </c>
    </row>
    <row r="4306" spans="1:21" x14ac:dyDescent="0.35">
      <c r="A4306" t="s">
        <v>15</v>
      </c>
      <c r="B4306" t="s">
        <v>16</v>
      </c>
      <c r="C4306" t="s">
        <v>21</v>
      </c>
      <c r="D4306">
        <v>165774</v>
      </c>
      <c r="E4306">
        <v>15362</v>
      </c>
      <c r="F4306">
        <v>25231</v>
      </c>
      <c r="G4306">
        <v>-151333</v>
      </c>
      <c r="H4306">
        <v>55034</v>
      </c>
      <c r="I4306">
        <v>52459</v>
      </c>
      <c r="J4306">
        <v>1534</v>
      </c>
      <c r="K4306">
        <v>554425</v>
      </c>
      <c r="L4306">
        <v>253451</v>
      </c>
      <c r="M4306">
        <v>-161127</v>
      </c>
      <c r="N4306">
        <v>103029</v>
      </c>
      <c r="O4306" t="s">
        <v>4324</v>
      </c>
      <c r="P4306" s="9">
        <v>172528</v>
      </c>
      <c r="Q4306" s="9">
        <v>36225</v>
      </c>
      <c r="R4306" s="9">
        <v>208753</v>
      </c>
      <c r="S4306" s="9">
        <v>-47825</v>
      </c>
      <c r="T4306" s="10">
        <v>97495</v>
      </c>
      <c r="U4306" s="10">
        <v>1309</v>
      </c>
    </row>
    <row r="4307" spans="1:21" x14ac:dyDescent="0.35">
      <c r="A4307" t="s">
        <v>15</v>
      </c>
      <c r="B4307" t="s">
        <v>20</v>
      </c>
      <c r="C4307" t="s">
        <v>17</v>
      </c>
      <c r="D4307">
        <v>185551</v>
      </c>
      <c r="E4307">
        <v>31621</v>
      </c>
      <c r="F4307">
        <v>40115</v>
      </c>
      <c r="G4307">
        <v>-153394</v>
      </c>
      <c r="H4307">
        <v>103893</v>
      </c>
      <c r="I4307">
        <v>105914</v>
      </c>
      <c r="J4307">
        <v>3158</v>
      </c>
      <c r="K4307">
        <v>467986</v>
      </c>
      <c r="L4307">
        <v>171590</v>
      </c>
      <c r="M4307">
        <v>-53383</v>
      </c>
      <c r="N4307">
        <v>119969</v>
      </c>
      <c r="O4307" t="s">
        <v>4325</v>
      </c>
      <c r="P4307" s="9">
        <v>222355</v>
      </c>
      <c r="Q4307" s="9">
        <v>22448</v>
      </c>
      <c r="R4307" s="9">
        <v>244803</v>
      </c>
      <c r="S4307" s="9">
        <v>-64820</v>
      </c>
      <c r="T4307" s="10">
        <v>87194</v>
      </c>
      <c r="U4307" s="10">
        <v>1896</v>
      </c>
    </row>
    <row r="4308" spans="1:21" x14ac:dyDescent="0.35">
      <c r="A4308" t="s">
        <v>15</v>
      </c>
      <c r="B4308" t="s">
        <v>20</v>
      </c>
      <c r="C4308" t="s">
        <v>21</v>
      </c>
      <c r="D4308">
        <v>200342</v>
      </c>
      <c r="E4308">
        <v>27298</v>
      </c>
      <c r="F4308">
        <v>34636</v>
      </c>
      <c r="G4308">
        <v>-188701</v>
      </c>
      <c r="H4308">
        <v>73575</v>
      </c>
      <c r="I4308">
        <v>71572</v>
      </c>
      <c r="J4308">
        <v>1839</v>
      </c>
      <c r="K4308">
        <v>660589</v>
      </c>
      <c r="L4308">
        <v>162327</v>
      </c>
      <c r="M4308">
        <v>-262530</v>
      </c>
      <c r="N4308">
        <v>114681</v>
      </c>
      <c r="O4308" t="s">
        <v>4326</v>
      </c>
      <c r="P4308" s="9">
        <v>256834</v>
      </c>
      <c r="Q4308" s="9">
        <v>18944</v>
      </c>
      <c r="R4308" s="9">
        <v>275778</v>
      </c>
      <c r="S4308" s="9">
        <v>-82710</v>
      </c>
      <c r="T4308" s="10">
        <v>120402</v>
      </c>
      <c r="U4308" s="10">
        <v>3560</v>
      </c>
    </row>
    <row r="4309" spans="1:21" x14ac:dyDescent="0.35">
      <c r="A4309" t="s">
        <v>15</v>
      </c>
      <c r="B4309" t="s">
        <v>20</v>
      </c>
      <c r="C4309" t="s">
        <v>17</v>
      </c>
      <c r="D4309">
        <v>286614</v>
      </c>
      <c r="E4309">
        <v>41166</v>
      </c>
      <c r="F4309">
        <v>59396</v>
      </c>
      <c r="G4309">
        <v>-286408</v>
      </c>
      <c r="H4309">
        <v>100768</v>
      </c>
      <c r="I4309">
        <v>93857</v>
      </c>
      <c r="J4309">
        <v>2720</v>
      </c>
      <c r="K4309">
        <v>578360</v>
      </c>
      <c r="L4309">
        <v>268139</v>
      </c>
      <c r="M4309">
        <v>-215877</v>
      </c>
      <c r="N4309">
        <v>94633</v>
      </c>
      <c r="O4309" t="s">
        <v>4327</v>
      </c>
      <c r="P4309" s="9">
        <v>166026</v>
      </c>
      <c r="Q4309" s="9">
        <v>14111</v>
      </c>
      <c r="R4309" s="9">
        <v>180137</v>
      </c>
      <c r="S4309" s="9">
        <v>-93302</v>
      </c>
      <c r="T4309" s="10">
        <v>45229</v>
      </c>
      <c r="U4309" s="10">
        <v>1217</v>
      </c>
    </row>
    <row r="4310" spans="1:21" x14ac:dyDescent="0.35">
      <c r="A4310" t="s">
        <v>15</v>
      </c>
      <c r="B4310" t="s">
        <v>20</v>
      </c>
      <c r="C4310" t="s">
        <v>21</v>
      </c>
      <c r="D4310">
        <v>237921</v>
      </c>
      <c r="E4310">
        <v>17471</v>
      </c>
      <c r="F4310">
        <v>29768</v>
      </c>
      <c r="G4310">
        <v>-235756</v>
      </c>
      <c r="H4310">
        <v>49404</v>
      </c>
      <c r="I4310">
        <v>46900</v>
      </c>
      <c r="J4310">
        <v>638</v>
      </c>
      <c r="K4310">
        <v>744057</v>
      </c>
      <c r="L4310">
        <v>194301</v>
      </c>
      <c r="M4310">
        <v>-239799</v>
      </c>
      <c r="N4310">
        <v>189131</v>
      </c>
      <c r="O4310" t="s">
        <v>4328</v>
      </c>
      <c r="P4310" s="9">
        <v>170772</v>
      </c>
      <c r="Q4310" s="9">
        <v>18928</v>
      </c>
      <c r="R4310" s="9">
        <v>189700</v>
      </c>
      <c r="S4310" s="9">
        <v>-95353</v>
      </c>
      <c r="T4310" s="10">
        <v>56200</v>
      </c>
      <c r="U4310" s="10">
        <v>674</v>
      </c>
    </row>
    <row r="4311" spans="1:21" x14ac:dyDescent="0.35">
      <c r="A4311" t="s">
        <v>15</v>
      </c>
      <c r="B4311" t="s">
        <v>16</v>
      </c>
      <c r="C4311" t="s">
        <v>21</v>
      </c>
      <c r="D4311">
        <v>175283</v>
      </c>
      <c r="E4311">
        <v>34734</v>
      </c>
      <c r="F4311">
        <v>41692</v>
      </c>
      <c r="G4311">
        <v>-152133</v>
      </c>
      <c r="H4311">
        <v>99576</v>
      </c>
      <c r="I4311">
        <v>89658</v>
      </c>
      <c r="J4311">
        <v>2206</v>
      </c>
      <c r="K4311">
        <v>577297</v>
      </c>
      <c r="L4311">
        <v>126026</v>
      </c>
      <c r="M4311">
        <v>-157409</v>
      </c>
      <c r="N4311">
        <v>110683</v>
      </c>
      <c r="O4311" t="s">
        <v>4329</v>
      </c>
      <c r="P4311" s="9">
        <v>186087</v>
      </c>
      <c r="Q4311" s="9">
        <v>23340</v>
      </c>
      <c r="R4311" s="9">
        <v>209427</v>
      </c>
      <c r="S4311" s="9">
        <v>-92366</v>
      </c>
      <c r="T4311" s="10">
        <v>94021</v>
      </c>
      <c r="U4311" s="10">
        <v>2376</v>
      </c>
    </row>
    <row r="4312" spans="1:21" x14ac:dyDescent="0.35">
      <c r="A4312" t="s">
        <v>15</v>
      </c>
      <c r="B4312" t="s">
        <v>16</v>
      </c>
      <c r="C4312" t="s">
        <v>21</v>
      </c>
      <c r="D4312">
        <v>175491</v>
      </c>
      <c r="E4312">
        <v>15080</v>
      </c>
      <c r="F4312">
        <v>29888</v>
      </c>
      <c r="G4312">
        <v>-149934</v>
      </c>
      <c r="H4312">
        <v>70525</v>
      </c>
      <c r="I4312">
        <v>65002</v>
      </c>
      <c r="J4312">
        <v>667</v>
      </c>
      <c r="K4312">
        <v>515979</v>
      </c>
      <c r="L4312">
        <v>65481</v>
      </c>
      <c r="M4312">
        <v>-139194</v>
      </c>
      <c r="N4312">
        <v>117474</v>
      </c>
      <c r="O4312" t="s">
        <v>4330</v>
      </c>
      <c r="P4312" s="9">
        <v>246713</v>
      </c>
      <c r="Q4312" s="9">
        <v>23860</v>
      </c>
      <c r="R4312" s="9">
        <v>270573</v>
      </c>
      <c r="S4312" s="9">
        <v>-156335</v>
      </c>
      <c r="T4312" s="10">
        <v>90169</v>
      </c>
      <c r="U4312" s="10">
        <v>1406</v>
      </c>
    </row>
    <row r="4313" spans="1:21" x14ac:dyDescent="0.35">
      <c r="A4313" t="s">
        <v>15</v>
      </c>
      <c r="B4313" t="s">
        <v>16</v>
      </c>
      <c r="C4313" t="s">
        <v>21</v>
      </c>
      <c r="D4313">
        <v>266035</v>
      </c>
      <c r="E4313">
        <v>21075</v>
      </c>
      <c r="F4313">
        <v>32124</v>
      </c>
      <c r="G4313">
        <v>-215569</v>
      </c>
      <c r="H4313">
        <v>103665</v>
      </c>
      <c r="I4313">
        <v>106372</v>
      </c>
      <c r="J4313">
        <v>2506</v>
      </c>
      <c r="K4313">
        <v>1061966</v>
      </c>
      <c r="L4313">
        <v>442128</v>
      </c>
      <c r="M4313">
        <v>-191812</v>
      </c>
      <c r="N4313">
        <v>185108</v>
      </c>
      <c r="O4313" t="s">
        <v>4331</v>
      </c>
      <c r="P4313" s="9">
        <v>185343</v>
      </c>
      <c r="Q4313" s="9">
        <v>20281</v>
      </c>
      <c r="R4313" s="9">
        <v>205624</v>
      </c>
      <c r="S4313" s="9">
        <v>-51713</v>
      </c>
      <c r="T4313" s="10">
        <v>71330</v>
      </c>
      <c r="U4313" s="10">
        <v>1678</v>
      </c>
    </row>
    <row r="4314" spans="1:21" x14ac:dyDescent="0.35">
      <c r="A4314" t="s">
        <v>15</v>
      </c>
      <c r="B4314" t="s">
        <v>20</v>
      </c>
      <c r="C4314" t="s">
        <v>21</v>
      </c>
      <c r="D4314">
        <v>254861</v>
      </c>
      <c r="E4314">
        <v>33232</v>
      </c>
      <c r="F4314">
        <v>30154</v>
      </c>
      <c r="G4314">
        <v>-208791</v>
      </c>
      <c r="H4314">
        <v>109456</v>
      </c>
      <c r="I4314">
        <v>99077</v>
      </c>
      <c r="J4314">
        <v>1968</v>
      </c>
      <c r="K4314">
        <v>811414</v>
      </c>
      <c r="L4314">
        <v>142157</v>
      </c>
      <c r="M4314">
        <v>-195061</v>
      </c>
      <c r="N4314">
        <v>220390</v>
      </c>
      <c r="O4314" t="s">
        <v>4332</v>
      </c>
      <c r="P4314" s="9">
        <v>282590</v>
      </c>
      <c r="Q4314" s="9">
        <v>39013</v>
      </c>
      <c r="R4314" s="9">
        <v>321603</v>
      </c>
      <c r="S4314" s="9">
        <v>-83405</v>
      </c>
      <c r="T4314" s="10">
        <v>85789</v>
      </c>
      <c r="U4314" s="10">
        <v>1826</v>
      </c>
    </row>
    <row r="4315" spans="1:21" x14ac:dyDescent="0.35">
      <c r="A4315" t="s">
        <v>15</v>
      </c>
      <c r="B4315" t="s">
        <v>20</v>
      </c>
      <c r="C4315" t="s">
        <v>21</v>
      </c>
      <c r="D4315">
        <v>209546</v>
      </c>
      <c r="E4315">
        <v>39778</v>
      </c>
      <c r="F4315">
        <v>43821</v>
      </c>
      <c r="G4315">
        <v>-204338</v>
      </c>
      <c r="H4315">
        <v>88807</v>
      </c>
      <c r="I4315">
        <v>90412</v>
      </c>
      <c r="J4315">
        <v>1101</v>
      </c>
      <c r="K4315">
        <v>692218</v>
      </c>
      <c r="L4315">
        <v>301724</v>
      </c>
      <c r="M4315">
        <v>-262936</v>
      </c>
      <c r="N4315">
        <v>110711</v>
      </c>
      <c r="O4315" t="s">
        <v>4333</v>
      </c>
      <c r="P4315" s="9">
        <v>219485</v>
      </c>
      <c r="Q4315" s="9">
        <v>21091</v>
      </c>
      <c r="R4315" s="9">
        <v>240576</v>
      </c>
      <c r="S4315" s="9">
        <v>-88791</v>
      </c>
      <c r="T4315" s="10">
        <v>76000</v>
      </c>
      <c r="U4315" s="10">
        <v>1232</v>
      </c>
    </row>
    <row r="4316" spans="1:21" x14ac:dyDescent="0.35">
      <c r="A4316" t="s">
        <v>15</v>
      </c>
      <c r="B4316" t="s">
        <v>16</v>
      </c>
      <c r="C4316" t="s">
        <v>17</v>
      </c>
      <c r="D4316">
        <v>213382</v>
      </c>
      <c r="E4316">
        <v>15630</v>
      </c>
      <c r="F4316">
        <v>32384</v>
      </c>
      <c r="G4316">
        <v>-206140</v>
      </c>
      <c r="H4316">
        <v>55256</v>
      </c>
      <c r="I4316">
        <v>51590</v>
      </c>
      <c r="J4316">
        <v>1432</v>
      </c>
      <c r="K4316">
        <v>544769</v>
      </c>
      <c r="L4316">
        <v>227990</v>
      </c>
      <c r="M4316">
        <v>-167567</v>
      </c>
      <c r="N4316">
        <v>142636</v>
      </c>
      <c r="O4316" t="s">
        <v>4334</v>
      </c>
      <c r="P4316" s="9">
        <v>301378</v>
      </c>
      <c r="Q4316" s="9">
        <v>21930</v>
      </c>
      <c r="R4316" s="9">
        <v>323308</v>
      </c>
      <c r="S4316" s="9">
        <v>-171717</v>
      </c>
      <c r="T4316" s="10">
        <v>83306</v>
      </c>
      <c r="U4316" s="10">
        <v>1091</v>
      </c>
    </row>
    <row r="4317" spans="1:21" x14ac:dyDescent="0.35">
      <c r="A4317" t="s">
        <v>15</v>
      </c>
      <c r="B4317" t="s">
        <v>16</v>
      </c>
      <c r="C4317" t="s">
        <v>21</v>
      </c>
      <c r="D4317">
        <v>252511</v>
      </c>
      <c r="E4317">
        <v>38929</v>
      </c>
      <c r="F4317">
        <v>53141</v>
      </c>
      <c r="G4317">
        <v>-237893</v>
      </c>
      <c r="H4317">
        <v>106688</v>
      </c>
      <c r="I4317">
        <v>110922</v>
      </c>
      <c r="J4317">
        <v>1686</v>
      </c>
      <c r="K4317">
        <v>1005401</v>
      </c>
      <c r="L4317">
        <v>425833</v>
      </c>
      <c r="M4317">
        <v>-163046</v>
      </c>
      <c r="N4317">
        <v>148273</v>
      </c>
      <c r="O4317" t="s">
        <v>4335</v>
      </c>
      <c r="P4317" s="9">
        <v>271428</v>
      </c>
      <c r="Q4317" s="9">
        <v>21324</v>
      </c>
      <c r="R4317" s="9">
        <v>292752</v>
      </c>
      <c r="S4317" s="9">
        <v>-62204</v>
      </c>
      <c r="T4317" s="10">
        <v>98271</v>
      </c>
      <c r="U4317" s="10">
        <v>1983</v>
      </c>
    </row>
    <row r="4318" spans="1:21" x14ac:dyDescent="0.35">
      <c r="A4318" t="s">
        <v>15</v>
      </c>
      <c r="B4318" t="s">
        <v>16</v>
      </c>
      <c r="C4318" t="s">
        <v>21</v>
      </c>
      <c r="D4318">
        <v>242490</v>
      </c>
      <c r="E4318">
        <v>44540</v>
      </c>
      <c r="F4318">
        <v>41026</v>
      </c>
      <c r="G4318">
        <v>-199955</v>
      </c>
      <c r="H4318">
        <v>128101</v>
      </c>
      <c r="I4318">
        <v>115793</v>
      </c>
      <c r="J4318">
        <v>1661</v>
      </c>
      <c r="K4318">
        <v>852827</v>
      </c>
      <c r="L4318">
        <v>263760</v>
      </c>
      <c r="M4318">
        <v>-314376</v>
      </c>
      <c r="N4318">
        <v>198762</v>
      </c>
      <c r="O4318" t="s">
        <v>4336</v>
      </c>
      <c r="P4318" s="9">
        <v>250141</v>
      </c>
      <c r="Q4318" s="9">
        <v>51357</v>
      </c>
      <c r="R4318" s="9">
        <v>301498</v>
      </c>
      <c r="S4318" s="9">
        <v>-170057</v>
      </c>
      <c r="T4318" s="10">
        <v>118584</v>
      </c>
      <c r="U4318" s="10">
        <v>1361</v>
      </c>
    </row>
    <row r="4319" spans="1:21" x14ac:dyDescent="0.35">
      <c r="A4319" t="s">
        <v>15</v>
      </c>
      <c r="B4319" t="s">
        <v>20</v>
      </c>
      <c r="C4319" t="s">
        <v>21</v>
      </c>
      <c r="D4319">
        <v>173703</v>
      </c>
      <c r="E4319">
        <v>24334</v>
      </c>
      <c r="F4319">
        <v>18232</v>
      </c>
      <c r="G4319">
        <v>-164737</v>
      </c>
      <c r="H4319">
        <v>51532</v>
      </c>
      <c r="I4319">
        <v>49741</v>
      </c>
      <c r="J4319">
        <v>871</v>
      </c>
      <c r="K4319">
        <v>612867</v>
      </c>
      <c r="L4319">
        <v>228122</v>
      </c>
      <c r="M4319">
        <v>-170324</v>
      </c>
      <c r="N4319">
        <v>86206</v>
      </c>
      <c r="O4319" t="s">
        <v>4337</v>
      </c>
      <c r="P4319" s="9">
        <v>227970</v>
      </c>
      <c r="Q4319" s="9">
        <v>32772</v>
      </c>
      <c r="R4319" s="9">
        <v>260742</v>
      </c>
      <c r="S4319" s="9">
        <v>-74745</v>
      </c>
      <c r="T4319" s="10">
        <v>73164</v>
      </c>
      <c r="U4319" s="10">
        <v>1141</v>
      </c>
    </row>
    <row r="4320" spans="1:21" x14ac:dyDescent="0.35">
      <c r="A4320" t="s">
        <v>15</v>
      </c>
      <c r="B4320" t="s">
        <v>16</v>
      </c>
      <c r="C4320" t="s">
        <v>21</v>
      </c>
      <c r="D4320">
        <v>295370</v>
      </c>
      <c r="E4320">
        <v>44125</v>
      </c>
      <c r="F4320">
        <v>33177</v>
      </c>
      <c r="G4320">
        <v>-266752</v>
      </c>
      <c r="H4320">
        <v>105920</v>
      </c>
      <c r="I4320">
        <v>97836</v>
      </c>
      <c r="J4320">
        <v>2077</v>
      </c>
      <c r="K4320">
        <v>740779</v>
      </c>
      <c r="L4320">
        <v>294720</v>
      </c>
      <c r="M4320">
        <v>-133179</v>
      </c>
      <c r="N4320">
        <v>207529</v>
      </c>
      <c r="O4320" t="s">
        <v>4338</v>
      </c>
      <c r="P4320" s="9">
        <v>229648</v>
      </c>
      <c r="Q4320" s="9">
        <v>31097</v>
      </c>
      <c r="R4320" s="9">
        <v>260745</v>
      </c>
      <c r="S4320" s="9">
        <v>-131159</v>
      </c>
      <c r="T4320" s="10">
        <v>120506</v>
      </c>
      <c r="U4320" s="10">
        <v>1229</v>
      </c>
    </row>
    <row r="4321" spans="1:21" x14ac:dyDescent="0.35">
      <c r="A4321" t="s">
        <v>15</v>
      </c>
      <c r="B4321" t="s">
        <v>16</v>
      </c>
      <c r="C4321" t="s">
        <v>17</v>
      </c>
      <c r="D4321">
        <v>232190</v>
      </c>
      <c r="E4321">
        <v>45353</v>
      </c>
      <c r="F4321">
        <v>32653</v>
      </c>
      <c r="G4321">
        <v>-188904</v>
      </c>
      <c r="H4321">
        <v>121292</v>
      </c>
      <c r="I4321">
        <v>127314</v>
      </c>
      <c r="J4321">
        <v>2756</v>
      </c>
      <c r="K4321">
        <v>784731</v>
      </c>
      <c r="L4321">
        <v>92154</v>
      </c>
      <c r="M4321">
        <v>-102869</v>
      </c>
      <c r="N4321">
        <v>167958</v>
      </c>
      <c r="O4321" t="s">
        <v>4339</v>
      </c>
      <c r="P4321" s="9">
        <v>172476</v>
      </c>
      <c r="Q4321" s="9">
        <v>12007</v>
      </c>
      <c r="R4321" s="9">
        <v>184483</v>
      </c>
      <c r="S4321" s="9">
        <v>-88008</v>
      </c>
      <c r="T4321" s="10">
        <v>47842</v>
      </c>
      <c r="U4321" s="10">
        <v>650</v>
      </c>
    </row>
    <row r="4322" spans="1:21" x14ac:dyDescent="0.35">
      <c r="A4322" t="s">
        <v>15</v>
      </c>
      <c r="B4322" t="s">
        <v>20</v>
      </c>
      <c r="C4322" t="s">
        <v>21</v>
      </c>
      <c r="D4322">
        <v>287179</v>
      </c>
      <c r="E4322">
        <v>28043</v>
      </c>
      <c r="F4322">
        <v>60067</v>
      </c>
      <c r="G4322">
        <v>-231597</v>
      </c>
      <c r="H4322">
        <v>143692</v>
      </c>
      <c r="I4322">
        <v>131415</v>
      </c>
      <c r="J4322">
        <v>2295</v>
      </c>
      <c r="K4322">
        <v>899738</v>
      </c>
      <c r="L4322">
        <v>203451</v>
      </c>
      <c r="M4322">
        <v>-209393</v>
      </c>
      <c r="N4322">
        <v>216482</v>
      </c>
      <c r="O4322" t="s">
        <v>4340</v>
      </c>
      <c r="P4322" s="9">
        <v>185966</v>
      </c>
      <c r="Q4322" s="9">
        <v>17598</v>
      </c>
      <c r="R4322" s="9">
        <v>203564</v>
      </c>
      <c r="S4322" s="9">
        <v>-61401</v>
      </c>
      <c r="T4322" s="10">
        <v>37576</v>
      </c>
      <c r="U4322" s="10">
        <v>1032</v>
      </c>
    </row>
    <row r="4323" spans="1:21" x14ac:dyDescent="0.35">
      <c r="A4323" t="s">
        <v>15</v>
      </c>
      <c r="B4323" t="s">
        <v>16</v>
      </c>
      <c r="C4323" t="s">
        <v>21</v>
      </c>
      <c r="D4323">
        <v>228079</v>
      </c>
      <c r="E4323">
        <v>15301</v>
      </c>
      <c r="F4323">
        <v>50733</v>
      </c>
      <c r="G4323">
        <v>-187031</v>
      </c>
      <c r="H4323">
        <v>107082</v>
      </c>
      <c r="I4323">
        <v>102386</v>
      </c>
      <c r="J4323">
        <v>2334</v>
      </c>
      <c r="K4323">
        <v>832103</v>
      </c>
      <c r="L4323">
        <v>240475</v>
      </c>
      <c r="M4323">
        <v>-192916</v>
      </c>
      <c r="N4323">
        <v>110516</v>
      </c>
      <c r="O4323" t="s">
        <v>4341</v>
      </c>
      <c r="P4323" s="9">
        <v>162085</v>
      </c>
      <c r="Q4323" s="9">
        <v>8385</v>
      </c>
      <c r="R4323" s="9">
        <v>170470</v>
      </c>
      <c r="S4323" s="9">
        <v>-70748</v>
      </c>
      <c r="T4323" s="10">
        <v>49502</v>
      </c>
      <c r="U4323" s="10">
        <v>867</v>
      </c>
    </row>
    <row r="4324" spans="1:21" x14ac:dyDescent="0.35">
      <c r="A4324" t="s">
        <v>15</v>
      </c>
      <c r="B4324" t="s">
        <v>16</v>
      </c>
      <c r="C4324" t="s">
        <v>17</v>
      </c>
      <c r="D4324">
        <v>241039</v>
      </c>
      <c r="E4324">
        <v>32023</v>
      </c>
      <c r="F4324">
        <v>35488</v>
      </c>
      <c r="G4324">
        <v>-239431</v>
      </c>
      <c r="H4324">
        <v>69119</v>
      </c>
      <c r="I4324">
        <v>68551</v>
      </c>
      <c r="J4324">
        <v>1436</v>
      </c>
      <c r="K4324">
        <v>669674</v>
      </c>
      <c r="L4324">
        <v>303543</v>
      </c>
      <c r="M4324">
        <v>-134649</v>
      </c>
      <c r="N4324">
        <v>80133</v>
      </c>
      <c r="O4324" t="s">
        <v>4342</v>
      </c>
      <c r="P4324" s="9">
        <v>209501</v>
      </c>
      <c r="Q4324" s="9">
        <v>46082</v>
      </c>
      <c r="R4324" s="9">
        <v>255583</v>
      </c>
      <c r="S4324" s="9">
        <v>-146304</v>
      </c>
      <c r="T4324" s="10">
        <v>106725</v>
      </c>
      <c r="U4324" s="10">
        <v>1279</v>
      </c>
    </row>
    <row r="4325" spans="1:21" x14ac:dyDescent="0.35">
      <c r="A4325" t="s">
        <v>15</v>
      </c>
      <c r="B4325" t="s">
        <v>20</v>
      </c>
      <c r="C4325" t="s">
        <v>17</v>
      </c>
      <c r="D4325">
        <v>225112</v>
      </c>
      <c r="E4325">
        <v>32487</v>
      </c>
      <c r="F4325">
        <v>52539</v>
      </c>
      <c r="G4325">
        <v>-220272</v>
      </c>
      <c r="H4325">
        <v>89866</v>
      </c>
      <c r="I4325">
        <v>85273</v>
      </c>
      <c r="J4325">
        <v>1724</v>
      </c>
      <c r="K4325">
        <v>816775</v>
      </c>
      <c r="L4325">
        <v>237920</v>
      </c>
      <c r="M4325">
        <v>-198579</v>
      </c>
      <c r="N4325">
        <v>90864</v>
      </c>
      <c r="O4325" t="s">
        <v>4343</v>
      </c>
      <c r="P4325" s="9">
        <v>236454</v>
      </c>
      <c r="Q4325" s="9">
        <v>33140</v>
      </c>
      <c r="R4325" s="9">
        <v>269594</v>
      </c>
      <c r="S4325" s="9">
        <v>-74917</v>
      </c>
      <c r="T4325" s="10">
        <v>145423</v>
      </c>
      <c r="U4325" s="10">
        <v>3639</v>
      </c>
    </row>
    <row r="4326" spans="1:21" x14ac:dyDescent="0.35">
      <c r="A4326" t="s">
        <v>15</v>
      </c>
      <c r="B4326" t="s">
        <v>20</v>
      </c>
      <c r="C4326" t="s">
        <v>21</v>
      </c>
      <c r="D4326">
        <v>228911</v>
      </c>
      <c r="E4326">
        <v>32652</v>
      </c>
      <c r="F4326">
        <v>44351</v>
      </c>
      <c r="G4326">
        <v>-204377</v>
      </c>
      <c r="H4326">
        <v>101537</v>
      </c>
      <c r="I4326">
        <v>95468</v>
      </c>
      <c r="J4326">
        <v>2797</v>
      </c>
      <c r="K4326">
        <v>681505</v>
      </c>
      <c r="L4326">
        <v>207850</v>
      </c>
      <c r="M4326">
        <v>-146590</v>
      </c>
      <c r="N4326">
        <v>107531</v>
      </c>
      <c r="O4326" t="s">
        <v>4344</v>
      </c>
      <c r="P4326" s="9">
        <v>239776</v>
      </c>
      <c r="Q4326" s="9">
        <v>18163</v>
      </c>
      <c r="R4326" s="9">
        <v>257939</v>
      </c>
      <c r="S4326" s="9">
        <v>-145148</v>
      </c>
      <c r="T4326" s="10">
        <v>79901</v>
      </c>
      <c r="U4326" s="10">
        <v>2245</v>
      </c>
    </row>
    <row r="4327" spans="1:21" x14ac:dyDescent="0.35">
      <c r="A4327" t="s">
        <v>15</v>
      </c>
      <c r="B4327" t="s">
        <v>16</v>
      </c>
      <c r="C4327" t="s">
        <v>21</v>
      </c>
      <c r="D4327">
        <v>151683</v>
      </c>
      <c r="E4327">
        <v>27523</v>
      </c>
      <c r="F4327">
        <v>29615</v>
      </c>
      <c r="G4327">
        <v>-133933</v>
      </c>
      <c r="H4327">
        <v>74888</v>
      </c>
      <c r="I4327">
        <v>71538</v>
      </c>
      <c r="J4327">
        <v>1937</v>
      </c>
      <c r="K4327">
        <v>360986</v>
      </c>
      <c r="L4327">
        <v>119872</v>
      </c>
      <c r="M4327">
        <v>-83206</v>
      </c>
      <c r="N4327">
        <v>129107</v>
      </c>
      <c r="O4327" t="s">
        <v>4345</v>
      </c>
      <c r="P4327" s="9">
        <v>256783</v>
      </c>
      <c r="Q4327" s="9">
        <v>32786</v>
      </c>
      <c r="R4327" s="9">
        <v>289569</v>
      </c>
      <c r="S4327" s="9">
        <v>-162907</v>
      </c>
      <c r="T4327" s="10">
        <v>118069</v>
      </c>
      <c r="U4327" s="10">
        <v>3269</v>
      </c>
    </row>
    <row r="4328" spans="1:21" x14ac:dyDescent="0.35">
      <c r="A4328" t="s">
        <v>15</v>
      </c>
      <c r="B4328" t="s">
        <v>16</v>
      </c>
      <c r="C4328" t="s">
        <v>21</v>
      </c>
      <c r="D4328">
        <v>209383</v>
      </c>
      <c r="E4328">
        <v>20181</v>
      </c>
      <c r="F4328">
        <v>43019</v>
      </c>
      <c r="G4328">
        <v>-180010</v>
      </c>
      <c r="H4328">
        <v>92573</v>
      </c>
      <c r="I4328">
        <v>84270</v>
      </c>
      <c r="J4328">
        <v>1078</v>
      </c>
      <c r="K4328">
        <v>822863</v>
      </c>
      <c r="L4328">
        <v>301316</v>
      </c>
      <c r="M4328">
        <v>-237604</v>
      </c>
      <c r="N4328">
        <v>123657</v>
      </c>
      <c r="O4328" t="s">
        <v>4346</v>
      </c>
      <c r="P4328" s="9">
        <v>281631</v>
      </c>
      <c r="Q4328" s="9">
        <v>21077</v>
      </c>
      <c r="R4328" s="9">
        <v>302708</v>
      </c>
      <c r="S4328" s="9">
        <v>-109718</v>
      </c>
      <c r="T4328" s="10">
        <v>93365</v>
      </c>
      <c r="U4328" s="10">
        <v>1256</v>
      </c>
    </row>
    <row r="4329" spans="1:21" x14ac:dyDescent="0.35">
      <c r="A4329" t="s">
        <v>15</v>
      </c>
      <c r="B4329" t="s">
        <v>16</v>
      </c>
      <c r="C4329" t="s">
        <v>21</v>
      </c>
      <c r="D4329">
        <v>208509</v>
      </c>
      <c r="E4329">
        <v>27916</v>
      </c>
      <c r="F4329">
        <v>48947</v>
      </c>
      <c r="G4329">
        <v>-191972</v>
      </c>
      <c r="H4329">
        <v>93400</v>
      </c>
      <c r="I4329">
        <v>95391</v>
      </c>
      <c r="J4329">
        <v>1991</v>
      </c>
      <c r="K4329">
        <v>547236</v>
      </c>
      <c r="L4329">
        <v>263557</v>
      </c>
      <c r="M4329">
        <v>-66152</v>
      </c>
      <c r="N4329">
        <v>98405</v>
      </c>
      <c r="O4329" t="s">
        <v>4347</v>
      </c>
      <c r="P4329" s="9">
        <v>316768</v>
      </c>
      <c r="Q4329" s="9">
        <v>44936</v>
      </c>
      <c r="R4329" s="9">
        <v>361704</v>
      </c>
      <c r="S4329" s="9">
        <v>-152213</v>
      </c>
      <c r="T4329" s="10">
        <v>116264</v>
      </c>
      <c r="U4329" s="10">
        <v>2042</v>
      </c>
    </row>
    <row r="4330" spans="1:21" x14ac:dyDescent="0.35">
      <c r="A4330" t="s">
        <v>15</v>
      </c>
      <c r="B4330" t="s">
        <v>16</v>
      </c>
      <c r="C4330" t="s">
        <v>21</v>
      </c>
      <c r="D4330">
        <v>184197</v>
      </c>
      <c r="E4330">
        <v>32319</v>
      </c>
      <c r="F4330">
        <v>40248</v>
      </c>
      <c r="G4330">
        <v>-173787</v>
      </c>
      <c r="H4330">
        <v>82977</v>
      </c>
      <c r="I4330">
        <v>82891</v>
      </c>
      <c r="J4330">
        <v>1808</v>
      </c>
      <c r="K4330">
        <v>559903</v>
      </c>
      <c r="L4330">
        <v>121734</v>
      </c>
      <c r="M4330">
        <v>-195785</v>
      </c>
      <c r="N4330">
        <v>156822</v>
      </c>
      <c r="O4330" t="s">
        <v>4348</v>
      </c>
      <c r="P4330" s="9">
        <v>197668</v>
      </c>
      <c r="Q4330" s="9">
        <v>25150</v>
      </c>
      <c r="R4330" s="9">
        <v>222818</v>
      </c>
      <c r="S4330" s="9">
        <v>-89312</v>
      </c>
      <c r="T4330" s="10">
        <v>81465</v>
      </c>
      <c r="U4330" s="10">
        <v>1247</v>
      </c>
    </row>
    <row r="4331" spans="1:21" x14ac:dyDescent="0.35">
      <c r="A4331" t="s">
        <v>15</v>
      </c>
      <c r="B4331" t="s">
        <v>16</v>
      </c>
      <c r="C4331" t="s">
        <v>21</v>
      </c>
      <c r="D4331">
        <v>156008</v>
      </c>
      <c r="E4331">
        <v>14010</v>
      </c>
      <c r="F4331">
        <v>38598</v>
      </c>
      <c r="G4331">
        <v>-130676</v>
      </c>
      <c r="H4331">
        <v>77940</v>
      </c>
      <c r="I4331">
        <v>75012</v>
      </c>
      <c r="J4331">
        <v>1522</v>
      </c>
      <c r="K4331">
        <v>581086</v>
      </c>
      <c r="L4331">
        <v>64644</v>
      </c>
      <c r="M4331">
        <v>-213605</v>
      </c>
      <c r="N4331">
        <v>68078</v>
      </c>
      <c r="O4331" t="s">
        <v>4349</v>
      </c>
      <c r="P4331" s="9">
        <v>250046</v>
      </c>
      <c r="Q4331" s="9">
        <v>44219</v>
      </c>
      <c r="R4331" s="9">
        <v>294265</v>
      </c>
      <c r="S4331" s="9">
        <v>-71152</v>
      </c>
      <c r="T4331" s="10">
        <v>95531</v>
      </c>
      <c r="U4331" s="10">
        <v>2393</v>
      </c>
    </row>
    <row r="4332" spans="1:21" x14ac:dyDescent="0.35">
      <c r="A4332" t="s">
        <v>15</v>
      </c>
      <c r="B4332" t="s">
        <v>16</v>
      </c>
      <c r="C4332" t="s">
        <v>21</v>
      </c>
      <c r="D4332">
        <v>180113</v>
      </c>
      <c r="E4332">
        <v>31602</v>
      </c>
      <c r="F4332">
        <v>19100</v>
      </c>
      <c r="G4332">
        <v>-162181</v>
      </c>
      <c r="H4332">
        <v>68634</v>
      </c>
      <c r="I4332">
        <v>65041</v>
      </c>
      <c r="J4332">
        <v>846</v>
      </c>
      <c r="K4332">
        <v>389882</v>
      </c>
      <c r="L4332">
        <v>53858</v>
      </c>
      <c r="M4332">
        <v>-127414</v>
      </c>
      <c r="N4332">
        <v>125078</v>
      </c>
      <c r="O4332" t="s">
        <v>4350</v>
      </c>
      <c r="P4332" s="9">
        <v>152450</v>
      </c>
      <c r="Q4332" s="9">
        <v>28047</v>
      </c>
      <c r="R4332" s="9">
        <v>180497</v>
      </c>
      <c r="S4332" s="9">
        <v>-51557</v>
      </c>
      <c r="T4332" s="10">
        <v>57139</v>
      </c>
      <c r="U4332" s="10">
        <v>967</v>
      </c>
    </row>
    <row r="4333" spans="1:21" x14ac:dyDescent="0.35">
      <c r="A4333" t="s">
        <v>15</v>
      </c>
      <c r="B4333" t="s">
        <v>16</v>
      </c>
      <c r="C4333" t="s">
        <v>21</v>
      </c>
      <c r="D4333">
        <v>170660</v>
      </c>
      <c r="E4333">
        <v>32245</v>
      </c>
      <c r="F4333">
        <v>22688</v>
      </c>
      <c r="G4333">
        <v>-151107</v>
      </c>
      <c r="H4333">
        <v>74486</v>
      </c>
      <c r="I4333">
        <v>68101</v>
      </c>
      <c r="J4333">
        <v>1563</v>
      </c>
      <c r="K4333">
        <v>350076</v>
      </c>
      <c r="L4333">
        <v>102356</v>
      </c>
      <c r="M4333">
        <v>-48600</v>
      </c>
      <c r="N4333">
        <v>101875</v>
      </c>
      <c r="O4333" t="s">
        <v>4351</v>
      </c>
      <c r="P4333" s="9">
        <v>232303</v>
      </c>
      <c r="Q4333" s="9">
        <v>37612</v>
      </c>
      <c r="R4333" s="9">
        <v>269915</v>
      </c>
      <c r="S4333" s="9">
        <v>-82909</v>
      </c>
      <c r="T4333" s="10">
        <v>79794</v>
      </c>
      <c r="U4333" s="10">
        <v>1526</v>
      </c>
    </row>
    <row r="4334" spans="1:21" x14ac:dyDescent="0.35">
      <c r="A4334" t="s">
        <v>15</v>
      </c>
      <c r="B4334" t="s">
        <v>20</v>
      </c>
      <c r="C4334" t="s">
        <v>21</v>
      </c>
      <c r="D4334">
        <v>179340</v>
      </c>
      <c r="E4334">
        <v>21027</v>
      </c>
      <c r="F4334">
        <v>18730</v>
      </c>
      <c r="G4334">
        <v>-155167</v>
      </c>
      <c r="H4334">
        <v>63930</v>
      </c>
      <c r="I4334">
        <v>60823</v>
      </c>
      <c r="J4334">
        <v>1390</v>
      </c>
      <c r="K4334">
        <v>650731</v>
      </c>
      <c r="L4334">
        <v>202744</v>
      </c>
      <c r="M4334">
        <v>-202525</v>
      </c>
      <c r="N4334">
        <v>84872</v>
      </c>
      <c r="O4334" t="s">
        <v>4352</v>
      </c>
      <c r="P4334" s="9">
        <v>192309</v>
      </c>
      <c r="Q4334" s="9">
        <v>12320</v>
      </c>
      <c r="R4334" s="9">
        <v>204629</v>
      </c>
      <c r="S4334" s="9">
        <v>-92820</v>
      </c>
      <c r="T4334" s="10">
        <v>37904</v>
      </c>
      <c r="U4334" s="10">
        <v>879</v>
      </c>
    </row>
    <row r="4335" spans="1:21" x14ac:dyDescent="0.35">
      <c r="A4335" t="s">
        <v>15</v>
      </c>
      <c r="B4335" t="s">
        <v>16</v>
      </c>
      <c r="C4335" t="s">
        <v>21</v>
      </c>
      <c r="D4335">
        <v>236670</v>
      </c>
      <c r="E4335">
        <v>27793</v>
      </c>
      <c r="F4335">
        <v>46680</v>
      </c>
      <c r="G4335">
        <v>-205648</v>
      </c>
      <c r="H4335">
        <v>105495</v>
      </c>
      <c r="I4335">
        <v>108599</v>
      </c>
      <c r="J4335">
        <v>1503</v>
      </c>
      <c r="K4335">
        <v>773741</v>
      </c>
      <c r="L4335">
        <v>190449</v>
      </c>
      <c r="M4335">
        <v>-245681</v>
      </c>
      <c r="N4335">
        <v>142692</v>
      </c>
      <c r="O4335" t="s">
        <v>4353</v>
      </c>
      <c r="P4335" s="9">
        <v>172731</v>
      </c>
      <c r="Q4335" s="9">
        <v>12432</v>
      </c>
      <c r="R4335" s="9">
        <v>185163</v>
      </c>
      <c r="S4335" s="9">
        <v>-58986</v>
      </c>
      <c r="T4335" s="10">
        <v>52164</v>
      </c>
      <c r="U4335" s="10">
        <v>1273</v>
      </c>
    </row>
    <row r="4336" spans="1:21" x14ac:dyDescent="0.35">
      <c r="A4336" t="s">
        <v>15</v>
      </c>
      <c r="B4336" t="s">
        <v>16</v>
      </c>
      <c r="C4336" t="s">
        <v>21</v>
      </c>
      <c r="D4336">
        <v>157877</v>
      </c>
      <c r="E4336">
        <v>24408</v>
      </c>
      <c r="F4336">
        <v>38789</v>
      </c>
      <c r="G4336">
        <v>-156830</v>
      </c>
      <c r="H4336">
        <v>64244</v>
      </c>
      <c r="I4336">
        <v>58830</v>
      </c>
      <c r="J4336">
        <v>1203</v>
      </c>
      <c r="K4336">
        <v>369462</v>
      </c>
      <c r="L4336">
        <v>70767</v>
      </c>
      <c r="M4336">
        <v>-145419</v>
      </c>
      <c r="N4336">
        <v>90939</v>
      </c>
      <c r="O4336" t="s">
        <v>4354</v>
      </c>
      <c r="P4336" s="9">
        <v>252783</v>
      </c>
      <c r="Q4336" s="9">
        <v>26623</v>
      </c>
      <c r="R4336" s="9">
        <v>279406</v>
      </c>
      <c r="S4336" s="9">
        <v>-108133</v>
      </c>
      <c r="T4336" s="10">
        <v>85146</v>
      </c>
      <c r="U4336" s="10">
        <v>882</v>
      </c>
    </row>
    <row r="4337" spans="1:21" x14ac:dyDescent="0.35">
      <c r="A4337" t="s">
        <v>15</v>
      </c>
      <c r="B4337" t="s">
        <v>20</v>
      </c>
      <c r="C4337" t="s">
        <v>21</v>
      </c>
      <c r="D4337">
        <v>218396</v>
      </c>
      <c r="E4337">
        <v>21612</v>
      </c>
      <c r="F4337">
        <v>42083</v>
      </c>
      <c r="G4337">
        <v>-206839</v>
      </c>
      <c r="H4337">
        <v>75252</v>
      </c>
      <c r="I4337">
        <v>70165</v>
      </c>
      <c r="J4337">
        <v>1573</v>
      </c>
      <c r="K4337">
        <v>567411</v>
      </c>
      <c r="L4337">
        <v>188694</v>
      </c>
      <c r="M4337">
        <v>-101509</v>
      </c>
      <c r="N4337">
        <v>168079</v>
      </c>
      <c r="O4337" t="s">
        <v>4355</v>
      </c>
      <c r="P4337" s="9">
        <v>191013</v>
      </c>
      <c r="Q4337" s="9">
        <v>22238</v>
      </c>
      <c r="R4337" s="9">
        <v>213251</v>
      </c>
      <c r="S4337" s="9">
        <v>-113122</v>
      </c>
      <c r="T4337" s="10">
        <v>101718</v>
      </c>
      <c r="U4337" s="10">
        <v>1760</v>
      </c>
    </row>
    <row r="4338" spans="1:21" x14ac:dyDescent="0.35">
      <c r="A4338" t="s">
        <v>15</v>
      </c>
      <c r="B4338" t="s">
        <v>16</v>
      </c>
      <c r="C4338" t="s">
        <v>17</v>
      </c>
      <c r="D4338">
        <v>160560</v>
      </c>
      <c r="E4338">
        <v>28779</v>
      </c>
      <c r="F4338">
        <v>24079</v>
      </c>
      <c r="G4338">
        <v>-135398</v>
      </c>
      <c r="H4338">
        <v>78020</v>
      </c>
      <c r="I4338">
        <v>70716</v>
      </c>
      <c r="J4338">
        <v>1243</v>
      </c>
      <c r="K4338">
        <v>604382</v>
      </c>
      <c r="L4338">
        <v>161717</v>
      </c>
      <c r="M4338">
        <v>-189147</v>
      </c>
      <c r="N4338">
        <v>49362</v>
      </c>
      <c r="O4338" t="s">
        <v>4356</v>
      </c>
      <c r="P4338" s="9">
        <v>166127</v>
      </c>
      <c r="Q4338" s="9">
        <v>29074</v>
      </c>
      <c r="R4338" s="9">
        <v>195201</v>
      </c>
      <c r="S4338" s="9">
        <v>-53118</v>
      </c>
      <c r="T4338" s="10">
        <v>79480</v>
      </c>
      <c r="U4338" s="10">
        <v>1723</v>
      </c>
    </row>
    <row r="4339" spans="1:21" x14ac:dyDescent="0.35">
      <c r="A4339" t="s">
        <v>15</v>
      </c>
      <c r="B4339" t="s">
        <v>16</v>
      </c>
      <c r="C4339" t="s">
        <v>21</v>
      </c>
      <c r="D4339">
        <v>159452</v>
      </c>
      <c r="E4339">
        <v>16348</v>
      </c>
      <c r="F4339">
        <v>35280</v>
      </c>
      <c r="G4339">
        <v>-158669</v>
      </c>
      <c r="H4339">
        <v>52411</v>
      </c>
      <c r="I4339">
        <v>50272</v>
      </c>
      <c r="J4339">
        <v>664</v>
      </c>
      <c r="K4339">
        <v>470605</v>
      </c>
      <c r="L4339">
        <v>173980</v>
      </c>
      <c r="M4339">
        <v>-111782</v>
      </c>
      <c r="N4339">
        <v>75820</v>
      </c>
      <c r="O4339" t="s">
        <v>4357</v>
      </c>
      <c r="P4339" s="9">
        <v>203323</v>
      </c>
      <c r="Q4339" s="9">
        <v>29537</v>
      </c>
      <c r="R4339" s="9">
        <v>232860</v>
      </c>
      <c r="S4339" s="9">
        <v>-64687</v>
      </c>
      <c r="T4339" s="10">
        <v>51132</v>
      </c>
      <c r="U4339" s="10">
        <v>1013</v>
      </c>
    </row>
    <row r="4340" spans="1:21" x14ac:dyDescent="0.35">
      <c r="A4340" t="s">
        <v>15</v>
      </c>
      <c r="B4340" t="s">
        <v>16</v>
      </c>
      <c r="C4340" t="s">
        <v>21</v>
      </c>
      <c r="D4340">
        <v>204018</v>
      </c>
      <c r="E4340">
        <v>29437</v>
      </c>
      <c r="F4340">
        <v>27769</v>
      </c>
      <c r="G4340">
        <v>-178992</v>
      </c>
      <c r="H4340">
        <v>82232</v>
      </c>
      <c r="I4340">
        <v>78545</v>
      </c>
      <c r="J4340">
        <v>945</v>
      </c>
      <c r="K4340">
        <v>544674</v>
      </c>
      <c r="L4340">
        <v>190807</v>
      </c>
      <c r="M4340">
        <v>-70597</v>
      </c>
      <c r="N4340">
        <v>132374</v>
      </c>
      <c r="O4340" t="s">
        <v>4358</v>
      </c>
      <c r="P4340" s="9">
        <v>263313</v>
      </c>
      <c r="Q4340" s="9">
        <v>43634</v>
      </c>
      <c r="R4340" s="9">
        <v>306947</v>
      </c>
      <c r="S4340" s="9">
        <v>-118316</v>
      </c>
      <c r="T4340" s="10">
        <v>134809</v>
      </c>
      <c r="U4340" s="10">
        <v>3318</v>
      </c>
    </row>
    <row r="4341" spans="1:21" x14ac:dyDescent="0.35">
      <c r="A4341" t="s">
        <v>15</v>
      </c>
      <c r="B4341" t="s">
        <v>20</v>
      </c>
      <c r="C4341" t="s">
        <v>21</v>
      </c>
      <c r="D4341">
        <v>252269</v>
      </c>
      <c r="E4341">
        <v>36029</v>
      </c>
      <c r="F4341">
        <v>31912</v>
      </c>
      <c r="G4341">
        <v>-236604</v>
      </c>
      <c r="H4341">
        <v>83606</v>
      </c>
      <c r="I4341">
        <v>78469</v>
      </c>
      <c r="J4341">
        <v>817</v>
      </c>
      <c r="K4341">
        <v>783634</v>
      </c>
      <c r="L4341">
        <v>145101</v>
      </c>
      <c r="M4341">
        <v>-243791</v>
      </c>
      <c r="N4341">
        <v>122137</v>
      </c>
      <c r="O4341" t="s">
        <v>4359</v>
      </c>
      <c r="P4341" s="9">
        <v>245623</v>
      </c>
      <c r="Q4341" s="9">
        <v>31221</v>
      </c>
      <c r="R4341" s="9">
        <v>276844</v>
      </c>
      <c r="S4341" s="9">
        <v>-55626</v>
      </c>
      <c r="T4341" s="10">
        <v>105697</v>
      </c>
      <c r="U4341" s="10">
        <v>1605</v>
      </c>
    </row>
    <row r="4342" spans="1:21" x14ac:dyDescent="0.35">
      <c r="A4342" t="s">
        <v>15</v>
      </c>
      <c r="B4342" t="s">
        <v>20</v>
      </c>
      <c r="C4342" t="s">
        <v>21</v>
      </c>
      <c r="D4342">
        <v>156083</v>
      </c>
      <c r="E4342">
        <v>22735</v>
      </c>
      <c r="F4342">
        <v>28345</v>
      </c>
      <c r="G4342">
        <v>-131862</v>
      </c>
      <c r="H4342">
        <v>75301</v>
      </c>
      <c r="I4342">
        <v>74260</v>
      </c>
      <c r="J4342">
        <v>1075</v>
      </c>
      <c r="K4342">
        <v>362687</v>
      </c>
      <c r="L4342">
        <v>122350</v>
      </c>
      <c r="M4342">
        <v>-101825</v>
      </c>
      <c r="N4342">
        <v>115321</v>
      </c>
      <c r="O4342" t="s">
        <v>4360</v>
      </c>
      <c r="P4342" s="9">
        <v>212356</v>
      </c>
      <c r="Q4342" s="9">
        <v>17559</v>
      </c>
      <c r="R4342" s="9">
        <v>229915</v>
      </c>
      <c r="S4342" s="9">
        <v>-65269</v>
      </c>
      <c r="T4342" s="10">
        <v>62037</v>
      </c>
      <c r="U4342" s="10">
        <v>1375</v>
      </c>
    </row>
    <row r="4343" spans="1:21" x14ac:dyDescent="0.35">
      <c r="A4343" t="s">
        <v>15</v>
      </c>
      <c r="B4343" t="s">
        <v>16</v>
      </c>
      <c r="C4343" t="s">
        <v>17</v>
      </c>
      <c r="D4343">
        <v>159656</v>
      </c>
      <c r="E4343">
        <v>18001</v>
      </c>
      <c r="F4343">
        <v>35619</v>
      </c>
      <c r="G4343">
        <v>-132239</v>
      </c>
      <c r="H4343">
        <v>81037</v>
      </c>
      <c r="I4343">
        <v>82819</v>
      </c>
      <c r="J4343">
        <v>2381</v>
      </c>
      <c r="K4343">
        <v>632994</v>
      </c>
      <c r="L4343">
        <v>156029</v>
      </c>
      <c r="M4343">
        <v>-111356</v>
      </c>
      <c r="N4343">
        <v>95173</v>
      </c>
      <c r="O4343" t="s">
        <v>4361</v>
      </c>
      <c r="P4343" s="9">
        <v>269007</v>
      </c>
      <c r="Q4343" s="9">
        <v>19294</v>
      </c>
      <c r="R4343" s="9">
        <v>288301</v>
      </c>
      <c r="S4343" s="9">
        <v>-75212</v>
      </c>
      <c r="T4343" s="10">
        <v>50538</v>
      </c>
      <c r="U4343" s="10">
        <v>793</v>
      </c>
    </row>
    <row r="4344" spans="1:21" x14ac:dyDescent="0.35">
      <c r="A4344" t="s">
        <v>15</v>
      </c>
      <c r="B4344" t="s">
        <v>16</v>
      </c>
      <c r="C4344" t="s">
        <v>21</v>
      </c>
      <c r="D4344">
        <v>279161</v>
      </c>
      <c r="E4344">
        <v>25743</v>
      </c>
      <c r="F4344">
        <v>40472</v>
      </c>
      <c r="G4344">
        <v>-242815</v>
      </c>
      <c r="H4344">
        <v>102561</v>
      </c>
      <c r="I4344">
        <v>95688</v>
      </c>
      <c r="J4344">
        <v>2283</v>
      </c>
      <c r="K4344">
        <v>615380</v>
      </c>
      <c r="L4344">
        <v>215205</v>
      </c>
      <c r="M4344">
        <v>-135137</v>
      </c>
      <c r="N4344">
        <v>115150</v>
      </c>
      <c r="O4344" t="s">
        <v>4362</v>
      </c>
      <c r="P4344" s="9">
        <v>231377</v>
      </c>
      <c r="Q4344" s="9">
        <v>38658</v>
      </c>
      <c r="R4344" s="9">
        <v>270035</v>
      </c>
      <c r="S4344" s="9">
        <v>-76042</v>
      </c>
      <c r="T4344" s="10">
        <v>114626</v>
      </c>
      <c r="U4344" s="10">
        <v>2807</v>
      </c>
    </row>
    <row r="4345" spans="1:21" x14ac:dyDescent="0.35">
      <c r="A4345" t="s">
        <v>15</v>
      </c>
      <c r="B4345" t="s">
        <v>16</v>
      </c>
      <c r="C4345" t="s">
        <v>17</v>
      </c>
      <c r="D4345">
        <v>162877</v>
      </c>
      <c r="E4345">
        <v>31567</v>
      </c>
      <c r="F4345">
        <v>22685</v>
      </c>
      <c r="G4345">
        <v>-139773</v>
      </c>
      <c r="H4345">
        <v>77356</v>
      </c>
      <c r="I4345">
        <v>78339</v>
      </c>
      <c r="J4345">
        <v>1242</v>
      </c>
      <c r="K4345">
        <v>427172</v>
      </c>
      <c r="L4345">
        <v>208325</v>
      </c>
      <c r="M4345">
        <v>-124371</v>
      </c>
      <c r="N4345">
        <v>106761</v>
      </c>
      <c r="O4345" t="s">
        <v>4363</v>
      </c>
      <c r="P4345" s="9">
        <v>184778</v>
      </c>
      <c r="Q4345" s="9">
        <v>24780</v>
      </c>
      <c r="R4345" s="9">
        <v>209558</v>
      </c>
      <c r="S4345" s="9">
        <v>-69850</v>
      </c>
      <c r="T4345" s="10">
        <v>64975</v>
      </c>
      <c r="U4345" s="10">
        <v>1194</v>
      </c>
    </row>
    <row r="4346" spans="1:21" x14ac:dyDescent="0.35">
      <c r="A4346" t="s">
        <v>15</v>
      </c>
      <c r="B4346" t="s">
        <v>16</v>
      </c>
      <c r="C4346" t="s">
        <v>17</v>
      </c>
      <c r="D4346">
        <v>177432</v>
      </c>
      <c r="E4346">
        <v>11630</v>
      </c>
      <c r="F4346">
        <v>23260</v>
      </c>
      <c r="G4346">
        <v>-142158</v>
      </c>
      <c r="H4346">
        <v>70164</v>
      </c>
      <c r="I4346">
        <v>72486</v>
      </c>
      <c r="J4346">
        <v>1931</v>
      </c>
      <c r="K4346">
        <v>660750</v>
      </c>
      <c r="L4346">
        <v>95921</v>
      </c>
      <c r="M4346">
        <v>-168954</v>
      </c>
      <c r="N4346">
        <v>61228</v>
      </c>
      <c r="O4346" t="s">
        <v>4364</v>
      </c>
      <c r="P4346" s="9">
        <v>234241</v>
      </c>
      <c r="Q4346" s="9">
        <v>48561</v>
      </c>
      <c r="R4346" s="9">
        <v>282802</v>
      </c>
      <c r="S4346" s="9">
        <v>-97094</v>
      </c>
      <c r="T4346" s="10">
        <v>76552</v>
      </c>
      <c r="U4346" s="10">
        <v>2002</v>
      </c>
    </row>
    <row r="4347" spans="1:21" x14ac:dyDescent="0.35">
      <c r="A4347" t="s">
        <v>15</v>
      </c>
      <c r="B4347" t="s">
        <v>16</v>
      </c>
      <c r="C4347" t="s">
        <v>17</v>
      </c>
      <c r="D4347">
        <v>191155</v>
      </c>
      <c r="E4347">
        <v>15835</v>
      </c>
      <c r="F4347">
        <v>43781</v>
      </c>
      <c r="G4347">
        <v>-188218</v>
      </c>
      <c r="H4347">
        <v>62553</v>
      </c>
      <c r="I4347">
        <v>63132</v>
      </c>
      <c r="J4347">
        <v>641</v>
      </c>
      <c r="K4347">
        <v>557453</v>
      </c>
      <c r="L4347">
        <v>102883</v>
      </c>
      <c r="M4347">
        <v>-149687</v>
      </c>
      <c r="N4347">
        <v>149204</v>
      </c>
      <c r="O4347" t="s">
        <v>4365</v>
      </c>
      <c r="P4347" s="9">
        <v>213789</v>
      </c>
      <c r="Q4347" s="9">
        <v>43420</v>
      </c>
      <c r="R4347" s="9">
        <v>257209</v>
      </c>
      <c r="S4347" s="9">
        <v>-82764</v>
      </c>
      <c r="T4347" s="10">
        <v>126912</v>
      </c>
      <c r="U4347" s="10">
        <v>2162</v>
      </c>
    </row>
    <row r="4348" spans="1:21" x14ac:dyDescent="0.35">
      <c r="A4348" t="s">
        <v>15</v>
      </c>
      <c r="B4348" t="s">
        <v>20</v>
      </c>
      <c r="C4348" t="s">
        <v>17</v>
      </c>
      <c r="D4348">
        <v>207284</v>
      </c>
      <c r="E4348">
        <v>40262</v>
      </c>
      <c r="F4348">
        <v>29091</v>
      </c>
      <c r="G4348">
        <v>-188758</v>
      </c>
      <c r="H4348">
        <v>87879</v>
      </c>
      <c r="I4348">
        <v>83880</v>
      </c>
      <c r="J4348">
        <v>1023</v>
      </c>
      <c r="K4348">
        <v>640009</v>
      </c>
      <c r="L4348">
        <v>154668</v>
      </c>
      <c r="M4348">
        <v>-228583</v>
      </c>
      <c r="N4348">
        <v>68129</v>
      </c>
      <c r="O4348" t="s">
        <v>4366</v>
      </c>
      <c r="P4348" s="9">
        <v>237411</v>
      </c>
      <c r="Q4348" s="9">
        <v>35510</v>
      </c>
      <c r="R4348" s="9">
        <v>272921</v>
      </c>
      <c r="S4348" s="9">
        <v>-76835</v>
      </c>
      <c r="T4348" s="10">
        <v>87157</v>
      </c>
      <c r="U4348" s="10">
        <v>1472</v>
      </c>
    </row>
    <row r="4349" spans="1:21" x14ac:dyDescent="0.35">
      <c r="A4349" t="s">
        <v>15</v>
      </c>
      <c r="B4349" t="s">
        <v>16</v>
      </c>
      <c r="C4349" t="s">
        <v>21</v>
      </c>
      <c r="D4349">
        <v>223427</v>
      </c>
      <c r="E4349">
        <v>12336</v>
      </c>
      <c r="F4349">
        <v>44139</v>
      </c>
      <c r="G4349">
        <v>-186133</v>
      </c>
      <c r="H4349">
        <v>93769</v>
      </c>
      <c r="I4349">
        <v>87017</v>
      </c>
      <c r="J4349">
        <v>1667</v>
      </c>
      <c r="K4349">
        <v>747302</v>
      </c>
      <c r="L4349">
        <v>329142</v>
      </c>
      <c r="M4349">
        <v>-271223</v>
      </c>
      <c r="N4349">
        <v>134796</v>
      </c>
      <c r="O4349" t="s">
        <v>4367</v>
      </c>
      <c r="P4349" s="9">
        <v>166660</v>
      </c>
      <c r="Q4349" s="9">
        <v>16519</v>
      </c>
      <c r="R4349" s="9">
        <v>183179</v>
      </c>
      <c r="S4349" s="9">
        <v>-84261</v>
      </c>
      <c r="T4349" s="10">
        <v>34488</v>
      </c>
      <c r="U4349" s="10">
        <v>704</v>
      </c>
    </row>
    <row r="4350" spans="1:21" x14ac:dyDescent="0.35">
      <c r="A4350" t="s">
        <v>15</v>
      </c>
      <c r="B4350" t="s">
        <v>16</v>
      </c>
      <c r="C4350" t="s">
        <v>21</v>
      </c>
      <c r="D4350">
        <v>286113</v>
      </c>
      <c r="E4350">
        <v>19793</v>
      </c>
      <c r="F4350">
        <v>41919</v>
      </c>
      <c r="G4350">
        <v>-229091</v>
      </c>
      <c r="H4350">
        <v>118734</v>
      </c>
      <c r="I4350">
        <v>122782</v>
      </c>
      <c r="J4350">
        <v>2489</v>
      </c>
      <c r="K4350">
        <v>876647</v>
      </c>
      <c r="L4350">
        <v>157032</v>
      </c>
      <c r="M4350">
        <v>-159385</v>
      </c>
      <c r="N4350">
        <v>130022</v>
      </c>
      <c r="O4350" t="s">
        <v>4368</v>
      </c>
      <c r="P4350" s="9">
        <v>154410</v>
      </c>
      <c r="Q4350" s="9">
        <v>23409</v>
      </c>
      <c r="R4350" s="9">
        <v>177819</v>
      </c>
      <c r="S4350" s="9">
        <v>-53517</v>
      </c>
      <c r="T4350" s="10">
        <v>54356</v>
      </c>
      <c r="U4350" s="10">
        <v>634</v>
      </c>
    </row>
    <row r="4351" spans="1:21" x14ac:dyDescent="0.35">
      <c r="A4351" t="s">
        <v>15</v>
      </c>
      <c r="B4351" t="s">
        <v>16</v>
      </c>
      <c r="C4351" t="s">
        <v>21</v>
      </c>
      <c r="D4351">
        <v>194820</v>
      </c>
      <c r="E4351">
        <v>23491</v>
      </c>
      <c r="F4351">
        <v>33817</v>
      </c>
      <c r="G4351">
        <v>-177802</v>
      </c>
      <c r="H4351">
        <v>74326</v>
      </c>
      <c r="I4351">
        <v>70072</v>
      </c>
      <c r="J4351">
        <v>1426</v>
      </c>
      <c r="K4351">
        <v>396055</v>
      </c>
      <c r="L4351">
        <v>73355</v>
      </c>
      <c r="M4351">
        <v>-143649</v>
      </c>
      <c r="N4351">
        <v>67990</v>
      </c>
      <c r="O4351" t="s">
        <v>4369</v>
      </c>
      <c r="P4351" s="9">
        <v>249242</v>
      </c>
      <c r="Q4351" s="9">
        <v>14319</v>
      </c>
      <c r="R4351" s="9">
        <v>263561</v>
      </c>
      <c r="S4351" s="9">
        <v>-104805</v>
      </c>
      <c r="T4351" s="10">
        <v>72574</v>
      </c>
      <c r="U4351" s="10">
        <v>2011</v>
      </c>
    </row>
    <row r="4352" spans="1:21" x14ac:dyDescent="0.35">
      <c r="A4352" t="s">
        <v>15</v>
      </c>
      <c r="B4352" t="s">
        <v>16</v>
      </c>
      <c r="C4352" t="s">
        <v>21</v>
      </c>
      <c r="D4352">
        <v>221963</v>
      </c>
      <c r="E4352">
        <v>31594</v>
      </c>
      <c r="F4352">
        <v>43667</v>
      </c>
      <c r="G4352">
        <v>-196217</v>
      </c>
      <c r="H4352">
        <v>101007</v>
      </c>
      <c r="I4352">
        <v>90998</v>
      </c>
      <c r="J4352">
        <v>2472</v>
      </c>
      <c r="K4352">
        <v>792860</v>
      </c>
      <c r="L4352">
        <v>231054</v>
      </c>
      <c r="M4352">
        <v>-127981</v>
      </c>
      <c r="N4352">
        <v>117630</v>
      </c>
      <c r="O4352" t="s">
        <v>4370</v>
      </c>
      <c r="P4352" s="9">
        <v>304872</v>
      </c>
      <c r="Q4352" s="9">
        <v>21824</v>
      </c>
      <c r="R4352" s="9">
        <v>326696</v>
      </c>
      <c r="S4352" s="9">
        <v>-119903</v>
      </c>
      <c r="T4352" s="10">
        <v>76946</v>
      </c>
      <c r="U4352" s="10">
        <v>1067</v>
      </c>
    </row>
    <row r="4353" spans="1:21" x14ac:dyDescent="0.35">
      <c r="A4353" t="s">
        <v>15</v>
      </c>
      <c r="B4353" t="s">
        <v>20</v>
      </c>
      <c r="C4353" t="s">
        <v>21</v>
      </c>
      <c r="D4353">
        <v>282806</v>
      </c>
      <c r="E4353">
        <v>23256</v>
      </c>
      <c r="F4353">
        <v>43481</v>
      </c>
      <c r="G4353">
        <v>-238908</v>
      </c>
      <c r="H4353">
        <v>110635</v>
      </c>
      <c r="I4353">
        <v>115700</v>
      </c>
      <c r="J4353">
        <v>3120</v>
      </c>
      <c r="K4353">
        <v>845802</v>
      </c>
      <c r="L4353">
        <v>270410</v>
      </c>
      <c r="M4353">
        <v>-318053</v>
      </c>
      <c r="N4353">
        <v>197596</v>
      </c>
      <c r="O4353" t="s">
        <v>4371</v>
      </c>
      <c r="P4353" s="9">
        <v>160667</v>
      </c>
      <c r="Q4353" s="9">
        <v>22230</v>
      </c>
      <c r="R4353" s="9">
        <v>182897</v>
      </c>
      <c r="S4353" s="9">
        <v>-62019</v>
      </c>
      <c r="T4353" s="10">
        <v>76628</v>
      </c>
      <c r="U4353" s="10">
        <v>852</v>
      </c>
    </row>
    <row r="4354" spans="1:21" x14ac:dyDescent="0.35">
      <c r="A4354" t="s">
        <v>15</v>
      </c>
      <c r="B4354" t="s">
        <v>16</v>
      </c>
      <c r="C4354" t="s">
        <v>21</v>
      </c>
      <c r="D4354">
        <v>217832</v>
      </c>
      <c r="E4354">
        <v>34625</v>
      </c>
      <c r="F4354">
        <v>32355</v>
      </c>
      <c r="G4354">
        <v>-177337</v>
      </c>
      <c r="H4354">
        <v>107475</v>
      </c>
      <c r="I4354">
        <v>99947</v>
      </c>
      <c r="J4354">
        <v>2975</v>
      </c>
      <c r="K4354">
        <v>825597</v>
      </c>
      <c r="L4354">
        <v>224258</v>
      </c>
      <c r="M4354">
        <v>-233087</v>
      </c>
      <c r="N4354">
        <v>73943</v>
      </c>
      <c r="O4354" t="s">
        <v>4372</v>
      </c>
      <c r="P4354" s="9">
        <v>239921</v>
      </c>
      <c r="Q4354" s="9">
        <v>17312</v>
      </c>
      <c r="R4354" s="9">
        <v>257233</v>
      </c>
      <c r="S4354" s="9">
        <v>-56212</v>
      </c>
      <c r="T4354" s="10">
        <v>95829</v>
      </c>
      <c r="U4354" s="10">
        <v>2345</v>
      </c>
    </row>
    <row r="4355" spans="1:21" x14ac:dyDescent="0.35">
      <c r="A4355" t="s">
        <v>15</v>
      </c>
      <c r="B4355" t="s">
        <v>16</v>
      </c>
      <c r="C4355" t="s">
        <v>21</v>
      </c>
      <c r="D4355">
        <v>215369</v>
      </c>
      <c r="E4355">
        <v>10875</v>
      </c>
      <c r="F4355">
        <v>30416</v>
      </c>
      <c r="G4355">
        <v>-189301</v>
      </c>
      <c r="H4355">
        <v>67359</v>
      </c>
      <c r="I4355">
        <v>64320</v>
      </c>
      <c r="J4355">
        <v>906</v>
      </c>
      <c r="K4355">
        <v>601641</v>
      </c>
      <c r="L4355">
        <v>274772</v>
      </c>
      <c r="M4355">
        <v>-74457</v>
      </c>
      <c r="N4355">
        <v>168892</v>
      </c>
      <c r="O4355" t="s">
        <v>4373</v>
      </c>
      <c r="P4355" s="9">
        <v>188496</v>
      </c>
      <c r="Q4355" s="9">
        <v>9906</v>
      </c>
      <c r="R4355" s="9">
        <v>198402</v>
      </c>
      <c r="S4355" s="9">
        <v>-83366</v>
      </c>
      <c r="T4355" s="10">
        <v>65948</v>
      </c>
      <c r="U4355" s="10">
        <v>940</v>
      </c>
    </row>
    <row r="4356" spans="1:21" x14ac:dyDescent="0.35">
      <c r="A4356" t="s">
        <v>15</v>
      </c>
      <c r="B4356" t="s">
        <v>16</v>
      </c>
      <c r="C4356" t="s">
        <v>21</v>
      </c>
      <c r="D4356">
        <v>234539</v>
      </c>
      <c r="E4356">
        <v>44180</v>
      </c>
      <c r="F4356">
        <v>38206</v>
      </c>
      <c r="G4356">
        <v>-233695</v>
      </c>
      <c r="H4356">
        <v>83230</v>
      </c>
      <c r="I4356">
        <v>80795</v>
      </c>
      <c r="J4356">
        <v>1490</v>
      </c>
      <c r="K4356">
        <v>804195</v>
      </c>
      <c r="L4356">
        <v>188557</v>
      </c>
      <c r="M4356">
        <v>-186769</v>
      </c>
      <c r="N4356">
        <v>200303</v>
      </c>
      <c r="O4356" t="s">
        <v>4374</v>
      </c>
      <c r="P4356" s="9">
        <v>147661</v>
      </c>
      <c r="Q4356" s="9">
        <v>29149</v>
      </c>
      <c r="R4356" s="9">
        <v>176810</v>
      </c>
      <c r="S4356" s="9">
        <v>-92469</v>
      </c>
      <c r="T4356" s="10">
        <v>52229</v>
      </c>
      <c r="U4356" s="10">
        <v>696</v>
      </c>
    </row>
    <row r="4357" spans="1:21" x14ac:dyDescent="0.35">
      <c r="A4357" t="s">
        <v>15</v>
      </c>
      <c r="B4357" t="s">
        <v>16</v>
      </c>
      <c r="C4357" t="s">
        <v>17</v>
      </c>
      <c r="D4357">
        <v>172408</v>
      </c>
      <c r="E4357">
        <v>9515</v>
      </c>
      <c r="F4357">
        <v>19192</v>
      </c>
      <c r="G4357">
        <v>-156890</v>
      </c>
      <c r="H4357">
        <v>44225</v>
      </c>
      <c r="I4357">
        <v>40375</v>
      </c>
      <c r="J4357">
        <v>969</v>
      </c>
      <c r="K4357">
        <v>454499</v>
      </c>
      <c r="L4357">
        <v>163656</v>
      </c>
      <c r="M4357">
        <v>-90532</v>
      </c>
      <c r="N4357">
        <v>73156</v>
      </c>
      <c r="O4357" t="s">
        <v>4375</v>
      </c>
      <c r="P4357" s="9">
        <v>254971</v>
      </c>
      <c r="Q4357" s="9">
        <v>43186</v>
      </c>
      <c r="R4357" s="9">
        <v>298157</v>
      </c>
      <c r="S4357" s="9">
        <v>-97294</v>
      </c>
      <c r="T4357" s="10">
        <v>106946</v>
      </c>
      <c r="U4357" s="10">
        <v>3032</v>
      </c>
    </row>
    <row r="4358" spans="1:21" x14ac:dyDescent="0.35">
      <c r="A4358" t="s">
        <v>15</v>
      </c>
      <c r="B4358" t="s">
        <v>16</v>
      </c>
      <c r="C4358" t="s">
        <v>17</v>
      </c>
      <c r="D4358">
        <v>285349</v>
      </c>
      <c r="E4358">
        <v>14352</v>
      </c>
      <c r="F4358">
        <v>64461</v>
      </c>
      <c r="G4358">
        <v>-256015</v>
      </c>
      <c r="H4358">
        <v>108147</v>
      </c>
      <c r="I4358">
        <v>111850</v>
      </c>
      <c r="J4358">
        <v>2912</v>
      </c>
      <c r="K4358">
        <v>916171</v>
      </c>
      <c r="L4358">
        <v>168975</v>
      </c>
      <c r="M4358">
        <v>-211573</v>
      </c>
      <c r="N4358">
        <v>184004</v>
      </c>
      <c r="O4358" t="s">
        <v>4376</v>
      </c>
      <c r="P4358" s="9">
        <v>277004</v>
      </c>
      <c r="Q4358" s="9">
        <v>42079</v>
      </c>
      <c r="R4358" s="9">
        <v>319083</v>
      </c>
      <c r="S4358" s="9">
        <v>-152783</v>
      </c>
      <c r="T4358" s="10">
        <v>123815</v>
      </c>
      <c r="U4358" s="10">
        <v>3450</v>
      </c>
    </row>
    <row r="4359" spans="1:21" x14ac:dyDescent="0.35">
      <c r="A4359" t="s">
        <v>15</v>
      </c>
      <c r="B4359" t="s">
        <v>16</v>
      </c>
      <c r="C4359" t="s">
        <v>21</v>
      </c>
      <c r="D4359">
        <v>189812</v>
      </c>
      <c r="E4359">
        <v>20705</v>
      </c>
      <c r="F4359">
        <v>19907</v>
      </c>
      <c r="G4359">
        <v>-183554</v>
      </c>
      <c r="H4359">
        <v>46870</v>
      </c>
      <c r="I4359">
        <v>44267</v>
      </c>
      <c r="J4359">
        <v>878</v>
      </c>
      <c r="K4359">
        <v>631571</v>
      </c>
      <c r="L4359">
        <v>249262</v>
      </c>
      <c r="M4359">
        <v>-203505</v>
      </c>
      <c r="N4359">
        <v>87262</v>
      </c>
      <c r="O4359" t="s">
        <v>4377</v>
      </c>
      <c r="P4359" s="9">
        <v>224610</v>
      </c>
      <c r="Q4359" s="9">
        <v>15703</v>
      </c>
      <c r="R4359" s="9">
        <v>240313</v>
      </c>
      <c r="S4359" s="9">
        <v>-93751</v>
      </c>
      <c r="T4359" s="10">
        <v>78915</v>
      </c>
      <c r="U4359" s="10">
        <v>1517</v>
      </c>
    </row>
    <row r="4360" spans="1:21" x14ac:dyDescent="0.35">
      <c r="A4360" t="s">
        <v>15</v>
      </c>
      <c r="B4360" t="s">
        <v>16</v>
      </c>
      <c r="C4360" t="s">
        <v>21</v>
      </c>
      <c r="D4360">
        <v>192136</v>
      </c>
      <c r="E4360">
        <v>20906</v>
      </c>
      <c r="F4360">
        <v>37259</v>
      </c>
      <c r="G4360">
        <v>-191474</v>
      </c>
      <c r="H4360">
        <v>58827</v>
      </c>
      <c r="I4360">
        <v>54327</v>
      </c>
      <c r="J4360">
        <v>1266</v>
      </c>
      <c r="K4360">
        <v>545327</v>
      </c>
      <c r="L4360">
        <v>219487</v>
      </c>
      <c r="M4360">
        <v>-145398</v>
      </c>
      <c r="N4360">
        <v>161557</v>
      </c>
      <c r="O4360" t="s">
        <v>4378</v>
      </c>
      <c r="P4360" s="9">
        <v>261006</v>
      </c>
      <c r="Q4360" s="9">
        <v>25073</v>
      </c>
      <c r="R4360" s="9">
        <v>286079</v>
      </c>
      <c r="S4360" s="9">
        <v>-108110</v>
      </c>
      <c r="T4360" s="10">
        <v>67691</v>
      </c>
      <c r="U4360" s="10">
        <v>1670</v>
      </c>
    </row>
    <row r="4361" spans="1:21" x14ac:dyDescent="0.35">
      <c r="A4361" t="s">
        <v>15</v>
      </c>
      <c r="B4361" t="s">
        <v>16</v>
      </c>
      <c r="C4361" t="s">
        <v>21</v>
      </c>
      <c r="D4361">
        <v>195187</v>
      </c>
      <c r="E4361">
        <v>23601</v>
      </c>
      <c r="F4361">
        <v>26301</v>
      </c>
      <c r="G4361">
        <v>-158729</v>
      </c>
      <c r="H4361">
        <v>86360</v>
      </c>
      <c r="I4361">
        <v>89792</v>
      </c>
      <c r="J4361">
        <v>1771</v>
      </c>
      <c r="K4361">
        <v>458676</v>
      </c>
      <c r="L4361">
        <v>66951</v>
      </c>
      <c r="M4361">
        <v>-79997</v>
      </c>
      <c r="N4361">
        <v>120529</v>
      </c>
      <c r="O4361" t="s">
        <v>4379</v>
      </c>
      <c r="P4361" s="9">
        <v>201257</v>
      </c>
      <c r="Q4361" s="9">
        <v>28982</v>
      </c>
      <c r="R4361" s="9">
        <v>230239</v>
      </c>
      <c r="S4361" s="9">
        <v>-105409</v>
      </c>
      <c r="T4361" s="10">
        <v>81660</v>
      </c>
      <c r="U4361" s="10">
        <v>2068</v>
      </c>
    </row>
    <row r="4362" spans="1:21" x14ac:dyDescent="0.35">
      <c r="A4362" t="s">
        <v>15</v>
      </c>
      <c r="B4362" t="s">
        <v>20</v>
      </c>
      <c r="C4362" t="s">
        <v>21</v>
      </c>
      <c r="D4362">
        <v>184206</v>
      </c>
      <c r="E4362">
        <v>15610</v>
      </c>
      <c r="F4362">
        <v>37814</v>
      </c>
      <c r="G4362">
        <v>-166515</v>
      </c>
      <c r="H4362">
        <v>71115</v>
      </c>
      <c r="I4362">
        <v>65923</v>
      </c>
      <c r="J4362">
        <v>1276</v>
      </c>
      <c r="K4362">
        <v>542828</v>
      </c>
      <c r="L4362">
        <v>173779</v>
      </c>
      <c r="M4362">
        <v>-131958</v>
      </c>
      <c r="N4362">
        <v>121151</v>
      </c>
      <c r="O4362" t="s">
        <v>4380</v>
      </c>
      <c r="P4362" s="9">
        <v>255500</v>
      </c>
      <c r="Q4362" s="9">
        <v>26515</v>
      </c>
      <c r="R4362" s="9">
        <v>282015</v>
      </c>
      <c r="S4362" s="9">
        <v>-159349</v>
      </c>
      <c r="T4362" s="10">
        <v>80405</v>
      </c>
      <c r="U4362" s="10">
        <v>2079</v>
      </c>
    </row>
    <row r="4363" spans="1:21" x14ac:dyDescent="0.35">
      <c r="A4363" t="s">
        <v>15</v>
      </c>
      <c r="B4363" t="s">
        <v>20</v>
      </c>
      <c r="C4363" t="s">
        <v>17</v>
      </c>
      <c r="D4363">
        <v>169738</v>
      </c>
      <c r="E4363">
        <v>29049</v>
      </c>
      <c r="F4363">
        <v>26968</v>
      </c>
      <c r="G4363">
        <v>-167786</v>
      </c>
      <c r="H4363">
        <v>57969</v>
      </c>
      <c r="I4363">
        <v>56066</v>
      </c>
      <c r="J4363">
        <v>1654</v>
      </c>
      <c r="K4363">
        <v>501207</v>
      </c>
      <c r="L4363">
        <v>188500</v>
      </c>
      <c r="M4363">
        <v>-176890</v>
      </c>
      <c r="N4363">
        <v>95834</v>
      </c>
      <c r="O4363" t="s">
        <v>4381</v>
      </c>
      <c r="P4363" s="9">
        <v>193662</v>
      </c>
      <c r="Q4363" s="9">
        <v>19750</v>
      </c>
      <c r="R4363" s="9">
        <v>213412</v>
      </c>
      <c r="S4363" s="9">
        <v>-68926</v>
      </c>
      <c r="T4363" s="10">
        <v>69212</v>
      </c>
      <c r="U4363" s="10">
        <v>778</v>
      </c>
    </row>
    <row r="4364" spans="1:21" x14ac:dyDescent="0.35">
      <c r="A4364" t="s">
        <v>15</v>
      </c>
      <c r="B4364" t="s">
        <v>16</v>
      </c>
      <c r="C4364" t="s">
        <v>17</v>
      </c>
      <c r="D4364">
        <v>211135</v>
      </c>
      <c r="E4364">
        <v>20392</v>
      </c>
      <c r="F4364">
        <v>42409</v>
      </c>
      <c r="G4364">
        <v>-206541</v>
      </c>
      <c r="H4364">
        <v>67395</v>
      </c>
      <c r="I4364">
        <v>70460</v>
      </c>
      <c r="J4364">
        <v>1054</v>
      </c>
      <c r="K4364">
        <v>709407</v>
      </c>
      <c r="L4364">
        <v>244858</v>
      </c>
      <c r="M4364">
        <v>-221523</v>
      </c>
      <c r="N4364">
        <v>170994</v>
      </c>
      <c r="O4364" t="s">
        <v>4382</v>
      </c>
      <c r="P4364" s="9">
        <v>184056</v>
      </c>
      <c r="Q4364" s="9">
        <v>22812</v>
      </c>
      <c r="R4364" s="9">
        <v>206868</v>
      </c>
      <c r="S4364" s="9">
        <v>-121356</v>
      </c>
      <c r="T4364" s="10">
        <v>93620</v>
      </c>
      <c r="U4364" s="10">
        <v>1681</v>
      </c>
    </row>
    <row r="4365" spans="1:21" x14ac:dyDescent="0.35">
      <c r="A4365" t="s">
        <v>15</v>
      </c>
      <c r="B4365" t="s">
        <v>20</v>
      </c>
      <c r="C4365" t="s">
        <v>21</v>
      </c>
      <c r="D4365">
        <v>289411</v>
      </c>
      <c r="E4365">
        <v>23810</v>
      </c>
      <c r="F4365">
        <v>34390</v>
      </c>
      <c r="G4365">
        <v>-286654</v>
      </c>
      <c r="H4365">
        <v>60957</v>
      </c>
      <c r="I4365">
        <v>57804</v>
      </c>
      <c r="J4365">
        <v>1118</v>
      </c>
      <c r="K4365">
        <v>661404</v>
      </c>
      <c r="L4365">
        <v>266531</v>
      </c>
      <c r="M4365">
        <v>-192258</v>
      </c>
      <c r="N4365">
        <v>214960</v>
      </c>
      <c r="O4365" t="s">
        <v>4383</v>
      </c>
      <c r="P4365" s="9">
        <v>301224</v>
      </c>
      <c r="Q4365" s="9">
        <v>36343</v>
      </c>
      <c r="R4365" s="9">
        <v>337567</v>
      </c>
      <c r="S4365" s="9">
        <v>-185627</v>
      </c>
      <c r="T4365" s="10">
        <v>92004</v>
      </c>
      <c r="U4365" s="10">
        <v>1911</v>
      </c>
    </row>
    <row r="4366" spans="1:21" x14ac:dyDescent="0.35">
      <c r="A4366" t="s">
        <v>15</v>
      </c>
      <c r="B4366" t="s">
        <v>16</v>
      </c>
      <c r="C4366" t="s">
        <v>17</v>
      </c>
      <c r="D4366">
        <v>224122</v>
      </c>
      <c r="E4366">
        <v>18124</v>
      </c>
      <c r="F4366">
        <v>28597</v>
      </c>
      <c r="G4366">
        <v>-184443</v>
      </c>
      <c r="H4366">
        <v>86400</v>
      </c>
      <c r="I4366">
        <v>81532</v>
      </c>
      <c r="J4366">
        <v>1364</v>
      </c>
      <c r="K4366">
        <v>523273</v>
      </c>
      <c r="L4366">
        <v>80407</v>
      </c>
      <c r="M4366">
        <v>-100428</v>
      </c>
      <c r="N4366">
        <v>80700</v>
      </c>
      <c r="O4366" t="s">
        <v>4384</v>
      </c>
      <c r="P4366" s="9">
        <v>220520</v>
      </c>
      <c r="Q4366" s="9">
        <v>14559</v>
      </c>
      <c r="R4366" s="9">
        <v>235079</v>
      </c>
      <c r="S4366" s="9">
        <v>-90175</v>
      </c>
      <c r="T4366" s="10">
        <v>89771</v>
      </c>
      <c r="U4366" s="10">
        <v>2389</v>
      </c>
    </row>
    <row r="4367" spans="1:21" x14ac:dyDescent="0.35">
      <c r="A4367" t="s">
        <v>15</v>
      </c>
      <c r="B4367" t="s">
        <v>16</v>
      </c>
      <c r="C4367" t="s">
        <v>21</v>
      </c>
      <c r="D4367">
        <v>165470</v>
      </c>
      <c r="E4367">
        <v>29132</v>
      </c>
      <c r="F4367">
        <v>39993</v>
      </c>
      <c r="G4367">
        <v>-156755</v>
      </c>
      <c r="H4367">
        <v>77840</v>
      </c>
      <c r="I4367">
        <v>70241</v>
      </c>
      <c r="J4367">
        <v>751</v>
      </c>
      <c r="K4367">
        <v>472503</v>
      </c>
      <c r="L4367">
        <v>146306</v>
      </c>
      <c r="M4367">
        <v>-72806</v>
      </c>
      <c r="N4367">
        <v>52975</v>
      </c>
      <c r="O4367" t="s">
        <v>4385</v>
      </c>
      <c r="P4367" s="9">
        <v>213893</v>
      </c>
      <c r="Q4367" s="9">
        <v>30134</v>
      </c>
      <c r="R4367" s="9">
        <v>244027</v>
      </c>
      <c r="S4367" s="9">
        <v>-134504</v>
      </c>
      <c r="T4367" s="10">
        <v>77245</v>
      </c>
      <c r="U4367" s="10">
        <v>928</v>
      </c>
    </row>
    <row r="4368" spans="1:21" x14ac:dyDescent="0.35">
      <c r="A4368" t="s">
        <v>15</v>
      </c>
      <c r="B4368" t="s">
        <v>16</v>
      </c>
      <c r="C4368" t="s">
        <v>21</v>
      </c>
      <c r="D4368">
        <v>260477</v>
      </c>
      <c r="E4368">
        <v>16747</v>
      </c>
      <c r="F4368">
        <v>26106</v>
      </c>
      <c r="G4368">
        <v>-243514</v>
      </c>
      <c r="H4368">
        <v>59816</v>
      </c>
      <c r="I4368">
        <v>57410</v>
      </c>
      <c r="J4368">
        <v>1443</v>
      </c>
      <c r="K4368">
        <v>732200</v>
      </c>
      <c r="L4368">
        <v>361064</v>
      </c>
      <c r="M4368">
        <v>-90735</v>
      </c>
      <c r="N4368">
        <v>79158</v>
      </c>
      <c r="O4368" t="s">
        <v>4386</v>
      </c>
      <c r="P4368" s="9">
        <v>155847</v>
      </c>
      <c r="Q4368" s="9">
        <v>30351</v>
      </c>
      <c r="R4368" s="9">
        <v>186198</v>
      </c>
      <c r="S4368" s="9">
        <v>-94863</v>
      </c>
      <c r="T4368" s="10">
        <v>78780</v>
      </c>
      <c r="U4368" s="10">
        <v>1214</v>
      </c>
    </row>
    <row r="4369" spans="1:21" x14ac:dyDescent="0.35">
      <c r="A4369" t="s">
        <v>15</v>
      </c>
      <c r="B4369" t="s">
        <v>20</v>
      </c>
      <c r="C4369" t="s">
        <v>17</v>
      </c>
      <c r="D4369">
        <v>159693</v>
      </c>
      <c r="E4369">
        <v>12345</v>
      </c>
      <c r="F4369">
        <v>36858</v>
      </c>
      <c r="G4369">
        <v>-155130</v>
      </c>
      <c r="H4369">
        <v>53766</v>
      </c>
      <c r="I4369">
        <v>56076</v>
      </c>
      <c r="J4369">
        <v>1385</v>
      </c>
      <c r="K4369">
        <v>407089</v>
      </c>
      <c r="L4369">
        <v>111577</v>
      </c>
      <c r="M4369">
        <v>-57634</v>
      </c>
      <c r="N4369">
        <v>140400</v>
      </c>
      <c r="O4369" t="s">
        <v>4387</v>
      </c>
      <c r="P4369" s="9">
        <v>277223</v>
      </c>
      <c r="Q4369" s="9">
        <v>15561</v>
      </c>
      <c r="R4369" s="9">
        <v>292784</v>
      </c>
      <c r="S4369" s="9">
        <v>-161069</v>
      </c>
      <c r="T4369" s="10">
        <v>84972</v>
      </c>
      <c r="U4369" s="10">
        <v>2120</v>
      </c>
    </row>
    <row r="4370" spans="1:21" x14ac:dyDescent="0.35">
      <c r="A4370" t="s">
        <v>15</v>
      </c>
      <c r="B4370" t="s">
        <v>16</v>
      </c>
      <c r="C4370" t="s">
        <v>21</v>
      </c>
      <c r="D4370">
        <v>243414</v>
      </c>
      <c r="E4370">
        <v>38302</v>
      </c>
      <c r="F4370">
        <v>40516</v>
      </c>
      <c r="G4370">
        <v>-202810</v>
      </c>
      <c r="H4370">
        <v>119422</v>
      </c>
      <c r="I4370">
        <v>110603</v>
      </c>
      <c r="J4370">
        <v>2806</v>
      </c>
      <c r="K4370">
        <v>805197</v>
      </c>
      <c r="L4370">
        <v>102012</v>
      </c>
      <c r="M4370">
        <v>-175835</v>
      </c>
      <c r="N4370">
        <v>129037</v>
      </c>
      <c r="O4370" t="s">
        <v>4388</v>
      </c>
      <c r="P4370" s="9">
        <v>299009</v>
      </c>
      <c r="Q4370" s="9">
        <v>44226</v>
      </c>
      <c r="R4370" s="9">
        <v>343235</v>
      </c>
      <c r="S4370" s="9">
        <v>-180678</v>
      </c>
      <c r="T4370" s="10">
        <v>91604</v>
      </c>
      <c r="U4370" s="10">
        <v>1778</v>
      </c>
    </row>
    <row r="4371" spans="1:21" x14ac:dyDescent="0.35">
      <c r="A4371" t="s">
        <v>15</v>
      </c>
      <c r="B4371" t="s">
        <v>16</v>
      </c>
      <c r="C4371" t="s">
        <v>21</v>
      </c>
      <c r="D4371">
        <v>296814</v>
      </c>
      <c r="E4371">
        <v>36027</v>
      </c>
      <c r="F4371">
        <v>59466</v>
      </c>
      <c r="G4371">
        <v>-280058</v>
      </c>
      <c r="H4371">
        <v>112249</v>
      </c>
      <c r="I4371">
        <v>109255</v>
      </c>
      <c r="J4371">
        <v>2599</v>
      </c>
      <c r="K4371">
        <v>987347</v>
      </c>
      <c r="L4371">
        <v>470416</v>
      </c>
      <c r="M4371">
        <v>-275004</v>
      </c>
      <c r="N4371">
        <v>160807</v>
      </c>
      <c r="O4371" t="s">
        <v>4389</v>
      </c>
      <c r="P4371" s="9">
        <v>271714</v>
      </c>
      <c r="Q4371" s="9">
        <v>46085</v>
      </c>
      <c r="R4371" s="9">
        <v>317799</v>
      </c>
      <c r="S4371" s="9">
        <v>-64968</v>
      </c>
      <c r="T4371" s="10">
        <v>106276</v>
      </c>
      <c r="U4371" s="10">
        <v>2525</v>
      </c>
    </row>
    <row r="4372" spans="1:21" x14ac:dyDescent="0.35">
      <c r="A4372" t="s">
        <v>15</v>
      </c>
      <c r="B4372" t="s">
        <v>20</v>
      </c>
      <c r="C4372" t="s">
        <v>17</v>
      </c>
      <c r="D4372">
        <v>214414</v>
      </c>
      <c r="E4372">
        <v>34799</v>
      </c>
      <c r="F4372">
        <v>49828</v>
      </c>
      <c r="G4372">
        <v>-211904</v>
      </c>
      <c r="H4372">
        <v>87137</v>
      </c>
      <c r="I4372">
        <v>90315</v>
      </c>
      <c r="J4372">
        <v>2638</v>
      </c>
      <c r="K4372">
        <v>486178</v>
      </c>
      <c r="L4372">
        <v>238231</v>
      </c>
      <c r="M4372">
        <v>-171898</v>
      </c>
      <c r="N4372">
        <v>81734</v>
      </c>
      <c r="O4372" t="s">
        <v>4390</v>
      </c>
      <c r="P4372" s="9">
        <v>188984</v>
      </c>
      <c r="Q4372" s="9">
        <v>27737</v>
      </c>
      <c r="R4372" s="9">
        <v>216721</v>
      </c>
      <c r="S4372" s="9">
        <v>-70948</v>
      </c>
      <c r="T4372" s="10">
        <v>88512</v>
      </c>
      <c r="U4372" s="10">
        <v>2083</v>
      </c>
    </row>
    <row r="4373" spans="1:21" x14ac:dyDescent="0.35">
      <c r="A4373" t="s">
        <v>15</v>
      </c>
      <c r="B4373" t="s">
        <v>20</v>
      </c>
      <c r="C4373" t="s">
        <v>21</v>
      </c>
      <c r="D4373">
        <v>209608</v>
      </c>
      <c r="E4373">
        <v>30748</v>
      </c>
      <c r="F4373">
        <v>34514</v>
      </c>
      <c r="G4373">
        <v>-202930</v>
      </c>
      <c r="H4373">
        <v>71940</v>
      </c>
      <c r="I4373">
        <v>73345</v>
      </c>
      <c r="J4373">
        <v>895</v>
      </c>
      <c r="K4373">
        <v>506126</v>
      </c>
      <c r="L4373">
        <v>158985</v>
      </c>
      <c r="M4373">
        <v>-118634</v>
      </c>
      <c r="N4373">
        <v>69086</v>
      </c>
      <c r="O4373" t="s">
        <v>4391</v>
      </c>
      <c r="P4373" s="9">
        <v>232956</v>
      </c>
      <c r="Q4373" s="9">
        <v>40368</v>
      </c>
      <c r="R4373" s="9">
        <v>273324</v>
      </c>
      <c r="S4373" s="9">
        <v>-112482</v>
      </c>
      <c r="T4373" s="10">
        <v>95308</v>
      </c>
      <c r="U4373" s="10">
        <v>1622</v>
      </c>
    </row>
    <row r="4374" spans="1:21" x14ac:dyDescent="0.35">
      <c r="A4374" t="s">
        <v>15</v>
      </c>
      <c r="B4374" t="s">
        <v>16</v>
      </c>
      <c r="C4374" t="s">
        <v>21</v>
      </c>
      <c r="D4374">
        <v>277833</v>
      </c>
      <c r="E4374">
        <v>37692</v>
      </c>
      <c r="F4374">
        <v>44370</v>
      </c>
      <c r="G4374">
        <v>-264373</v>
      </c>
      <c r="H4374">
        <v>95522</v>
      </c>
      <c r="I4374">
        <v>99346</v>
      </c>
      <c r="J4374">
        <v>1500</v>
      </c>
      <c r="K4374">
        <v>922930</v>
      </c>
      <c r="L4374">
        <v>213118</v>
      </c>
      <c r="M4374">
        <v>-102349</v>
      </c>
      <c r="N4374">
        <v>228533</v>
      </c>
      <c r="O4374" t="s">
        <v>4392</v>
      </c>
      <c r="P4374" s="9">
        <v>208381</v>
      </c>
      <c r="Q4374" s="9">
        <v>11158</v>
      </c>
      <c r="R4374" s="9">
        <v>219539</v>
      </c>
      <c r="S4374" s="9">
        <v>-87840</v>
      </c>
      <c r="T4374" s="10">
        <v>71089</v>
      </c>
      <c r="U4374" s="10">
        <v>771</v>
      </c>
    </row>
    <row r="4375" spans="1:21" x14ac:dyDescent="0.35">
      <c r="A4375" t="s">
        <v>15</v>
      </c>
      <c r="B4375" t="s">
        <v>16</v>
      </c>
      <c r="C4375" t="s">
        <v>21</v>
      </c>
      <c r="D4375">
        <v>152419</v>
      </c>
      <c r="E4375">
        <v>16616</v>
      </c>
      <c r="F4375">
        <v>34659</v>
      </c>
      <c r="G4375">
        <v>-134682</v>
      </c>
      <c r="H4375">
        <v>69012</v>
      </c>
      <c r="I4375">
        <v>70741</v>
      </c>
      <c r="J4375">
        <v>1329</v>
      </c>
      <c r="K4375">
        <v>540031</v>
      </c>
      <c r="L4375">
        <v>155596</v>
      </c>
      <c r="M4375">
        <v>-210944</v>
      </c>
      <c r="N4375">
        <v>57475</v>
      </c>
      <c r="O4375" t="s">
        <v>4393</v>
      </c>
      <c r="P4375" s="9">
        <v>222752</v>
      </c>
      <c r="Q4375" s="9">
        <v>50897</v>
      </c>
      <c r="R4375" s="9">
        <v>273649</v>
      </c>
      <c r="S4375" s="9">
        <v>-116489</v>
      </c>
      <c r="T4375" s="10">
        <v>138188</v>
      </c>
      <c r="U4375" s="10">
        <v>4070</v>
      </c>
    </row>
    <row r="4376" spans="1:21" x14ac:dyDescent="0.35">
      <c r="A4376" t="s">
        <v>15</v>
      </c>
      <c r="B4376" t="s">
        <v>20</v>
      </c>
      <c r="C4376" t="s">
        <v>17</v>
      </c>
      <c r="D4376">
        <v>245871</v>
      </c>
      <c r="E4376">
        <v>32805</v>
      </c>
      <c r="F4376">
        <v>58049</v>
      </c>
      <c r="G4376">
        <v>-210009</v>
      </c>
      <c r="H4376">
        <v>126716</v>
      </c>
      <c r="I4376">
        <v>115847</v>
      </c>
      <c r="J4376">
        <v>2133</v>
      </c>
      <c r="K4376">
        <v>494622</v>
      </c>
      <c r="L4376">
        <v>171410</v>
      </c>
      <c r="M4376">
        <v>-76109</v>
      </c>
      <c r="N4376">
        <v>203073</v>
      </c>
      <c r="O4376" t="s">
        <v>4394</v>
      </c>
      <c r="P4376" s="9">
        <v>294516</v>
      </c>
      <c r="Q4376" s="9">
        <v>24689</v>
      </c>
      <c r="R4376" s="9">
        <v>319205</v>
      </c>
      <c r="S4376" s="9">
        <v>-121696</v>
      </c>
      <c r="T4376" s="10">
        <v>97869</v>
      </c>
      <c r="U4376" s="10">
        <v>1764</v>
      </c>
    </row>
    <row r="4377" spans="1:21" x14ac:dyDescent="0.35">
      <c r="A4377" t="s">
        <v>15</v>
      </c>
      <c r="B4377" t="s">
        <v>16</v>
      </c>
      <c r="C4377" t="s">
        <v>17</v>
      </c>
      <c r="D4377">
        <v>160303</v>
      </c>
      <c r="E4377">
        <v>18027</v>
      </c>
      <c r="F4377">
        <v>28202</v>
      </c>
      <c r="G4377">
        <v>-139887</v>
      </c>
      <c r="H4377">
        <v>66645</v>
      </c>
      <c r="I4377">
        <v>67160</v>
      </c>
      <c r="J4377">
        <v>1168</v>
      </c>
      <c r="K4377">
        <v>375108</v>
      </c>
      <c r="L4377">
        <v>96837</v>
      </c>
      <c r="M4377">
        <v>-99220</v>
      </c>
      <c r="N4377">
        <v>134042</v>
      </c>
      <c r="O4377" t="s">
        <v>4395</v>
      </c>
      <c r="P4377" s="9">
        <v>237127</v>
      </c>
      <c r="Q4377" s="9">
        <v>21827</v>
      </c>
      <c r="R4377" s="9">
        <v>258954</v>
      </c>
      <c r="S4377" s="9">
        <v>-75788</v>
      </c>
      <c r="T4377" s="10">
        <v>57463</v>
      </c>
      <c r="U4377" s="10">
        <v>1215</v>
      </c>
    </row>
    <row r="4378" spans="1:21" x14ac:dyDescent="0.35">
      <c r="A4378" t="s">
        <v>15</v>
      </c>
      <c r="B4378" t="s">
        <v>20</v>
      </c>
      <c r="C4378" t="s">
        <v>17</v>
      </c>
      <c r="D4378">
        <v>163646</v>
      </c>
      <c r="E4378">
        <v>25853</v>
      </c>
      <c r="F4378">
        <v>39349</v>
      </c>
      <c r="G4378">
        <v>-133832</v>
      </c>
      <c r="H4378">
        <v>95016</v>
      </c>
      <c r="I4378">
        <v>93812</v>
      </c>
      <c r="J4378">
        <v>1061</v>
      </c>
      <c r="K4378">
        <v>434579</v>
      </c>
      <c r="L4378">
        <v>64071</v>
      </c>
      <c r="M4378">
        <v>-76308</v>
      </c>
      <c r="N4378">
        <v>84997</v>
      </c>
      <c r="O4378" t="s">
        <v>4396</v>
      </c>
      <c r="P4378" s="9">
        <v>181295</v>
      </c>
      <c r="Q4378" s="9">
        <v>36047</v>
      </c>
      <c r="R4378" s="9">
        <v>217342</v>
      </c>
      <c r="S4378" s="9">
        <v>-50671</v>
      </c>
      <c r="T4378" s="10">
        <v>75847</v>
      </c>
      <c r="U4378" s="10">
        <v>1540</v>
      </c>
    </row>
    <row r="4379" spans="1:21" x14ac:dyDescent="0.35">
      <c r="A4379" t="s">
        <v>15</v>
      </c>
      <c r="B4379" t="s">
        <v>16</v>
      </c>
      <c r="C4379" t="s">
        <v>17</v>
      </c>
      <c r="D4379">
        <v>172447</v>
      </c>
      <c r="E4379">
        <v>9319</v>
      </c>
      <c r="F4379">
        <v>33878</v>
      </c>
      <c r="G4379">
        <v>-167507</v>
      </c>
      <c r="H4379">
        <v>48137</v>
      </c>
      <c r="I4379">
        <v>48672</v>
      </c>
      <c r="J4379">
        <v>1440</v>
      </c>
      <c r="K4379">
        <v>352836</v>
      </c>
      <c r="L4379">
        <v>148374</v>
      </c>
      <c r="M4379">
        <v>-139130</v>
      </c>
      <c r="N4379">
        <v>141975</v>
      </c>
      <c r="O4379" t="s">
        <v>4397</v>
      </c>
      <c r="P4379" s="9">
        <v>315978</v>
      </c>
      <c r="Q4379" s="9">
        <v>15815</v>
      </c>
      <c r="R4379" s="9">
        <v>331793</v>
      </c>
      <c r="S4379" s="9">
        <v>-173227</v>
      </c>
      <c r="T4379" s="10">
        <v>79990</v>
      </c>
      <c r="U4379" s="10">
        <v>1900</v>
      </c>
    </row>
    <row r="4380" spans="1:21" x14ac:dyDescent="0.35">
      <c r="A4380" t="s">
        <v>15</v>
      </c>
      <c r="B4380" t="s">
        <v>16</v>
      </c>
      <c r="C4380" t="s">
        <v>17</v>
      </c>
      <c r="D4380">
        <v>242200</v>
      </c>
      <c r="E4380">
        <v>21439</v>
      </c>
      <c r="F4380">
        <v>53499</v>
      </c>
      <c r="G4380">
        <v>-197592</v>
      </c>
      <c r="H4380">
        <v>119546</v>
      </c>
      <c r="I4380">
        <v>122610</v>
      </c>
      <c r="J4380">
        <v>3494</v>
      </c>
      <c r="K4380">
        <v>825498</v>
      </c>
      <c r="L4380">
        <v>297138</v>
      </c>
      <c r="M4380">
        <v>-164081</v>
      </c>
      <c r="N4380">
        <v>142498</v>
      </c>
      <c r="O4380" t="s">
        <v>4398</v>
      </c>
      <c r="P4380" s="9">
        <v>312349</v>
      </c>
      <c r="Q4380" s="9">
        <v>38501</v>
      </c>
      <c r="R4380" s="9">
        <v>350850</v>
      </c>
      <c r="S4380" s="9">
        <v>-105776</v>
      </c>
      <c r="T4380" s="10">
        <v>113731</v>
      </c>
      <c r="U4380" s="10">
        <v>2490</v>
      </c>
    </row>
    <row r="4381" spans="1:21" x14ac:dyDescent="0.35">
      <c r="A4381" t="s">
        <v>15</v>
      </c>
      <c r="B4381" t="s">
        <v>16</v>
      </c>
      <c r="C4381" t="s">
        <v>21</v>
      </c>
      <c r="D4381">
        <v>216421</v>
      </c>
      <c r="E4381">
        <v>31980</v>
      </c>
      <c r="F4381">
        <v>42386</v>
      </c>
      <c r="G4381">
        <v>-185012</v>
      </c>
      <c r="H4381">
        <v>105775</v>
      </c>
      <c r="I4381">
        <v>110150</v>
      </c>
      <c r="J4381">
        <v>2099</v>
      </c>
      <c r="K4381">
        <v>651639</v>
      </c>
      <c r="L4381">
        <v>250916</v>
      </c>
      <c r="M4381">
        <v>-109100</v>
      </c>
      <c r="N4381">
        <v>112025</v>
      </c>
      <c r="O4381" t="s">
        <v>4399</v>
      </c>
      <c r="P4381" s="9">
        <v>268781</v>
      </c>
      <c r="Q4381" s="9">
        <v>28479</v>
      </c>
      <c r="R4381" s="9">
        <v>297260</v>
      </c>
      <c r="S4381" s="9">
        <v>-66001</v>
      </c>
      <c r="T4381" s="10">
        <v>82718</v>
      </c>
      <c r="U4381" s="10">
        <v>2168</v>
      </c>
    </row>
    <row r="4382" spans="1:21" x14ac:dyDescent="0.35">
      <c r="A4382" t="s">
        <v>15</v>
      </c>
      <c r="B4382" t="s">
        <v>16</v>
      </c>
      <c r="C4382" t="s">
        <v>21</v>
      </c>
      <c r="D4382">
        <v>185206</v>
      </c>
      <c r="E4382">
        <v>36175</v>
      </c>
      <c r="F4382">
        <v>27758</v>
      </c>
      <c r="G4382">
        <v>-160823</v>
      </c>
      <c r="H4382">
        <v>88316</v>
      </c>
      <c r="I4382">
        <v>83734</v>
      </c>
      <c r="J4382">
        <v>1358</v>
      </c>
      <c r="K4382">
        <v>450437</v>
      </c>
      <c r="L4382">
        <v>134836</v>
      </c>
      <c r="M4382">
        <v>-61073</v>
      </c>
      <c r="N4382">
        <v>91886</v>
      </c>
      <c r="O4382" t="s">
        <v>4400</v>
      </c>
      <c r="P4382" s="9">
        <v>316269</v>
      </c>
      <c r="Q4382" s="9">
        <v>26461</v>
      </c>
      <c r="R4382" s="9">
        <v>342730</v>
      </c>
      <c r="S4382" s="9">
        <v>-152282</v>
      </c>
      <c r="T4382" s="10">
        <v>122819</v>
      </c>
      <c r="U4382" s="10">
        <v>2841</v>
      </c>
    </row>
    <row r="4383" spans="1:21" x14ac:dyDescent="0.35">
      <c r="A4383" t="s">
        <v>15</v>
      </c>
      <c r="B4383" t="s">
        <v>20</v>
      </c>
      <c r="C4383" t="s">
        <v>21</v>
      </c>
      <c r="D4383">
        <v>265343</v>
      </c>
      <c r="E4383">
        <v>43913</v>
      </c>
      <c r="F4383">
        <v>37199</v>
      </c>
      <c r="G4383">
        <v>-227941</v>
      </c>
      <c r="H4383">
        <v>118514</v>
      </c>
      <c r="I4383">
        <v>117461</v>
      </c>
      <c r="J4383">
        <v>2137</v>
      </c>
      <c r="K4383">
        <v>932435</v>
      </c>
      <c r="L4383">
        <v>113416</v>
      </c>
      <c r="M4383">
        <v>-338278</v>
      </c>
      <c r="N4383">
        <v>235295</v>
      </c>
      <c r="O4383" t="s">
        <v>4401</v>
      </c>
      <c r="P4383" s="9">
        <v>232807</v>
      </c>
      <c r="Q4383" s="9">
        <v>43754</v>
      </c>
      <c r="R4383" s="9">
        <v>276561</v>
      </c>
      <c r="S4383" s="9">
        <v>-56969</v>
      </c>
      <c r="T4383" s="10">
        <v>97723</v>
      </c>
      <c r="U4383" s="10">
        <v>2201</v>
      </c>
    </row>
    <row r="4384" spans="1:21" x14ac:dyDescent="0.35">
      <c r="A4384" t="s">
        <v>15</v>
      </c>
      <c r="B4384" t="s">
        <v>16</v>
      </c>
      <c r="C4384" t="s">
        <v>21</v>
      </c>
      <c r="D4384">
        <v>217156</v>
      </c>
      <c r="E4384">
        <v>17752</v>
      </c>
      <c r="F4384">
        <v>48013</v>
      </c>
      <c r="G4384">
        <v>-179995</v>
      </c>
      <c r="H4384">
        <v>102926</v>
      </c>
      <c r="I4384">
        <v>103932</v>
      </c>
      <c r="J4384">
        <v>1088</v>
      </c>
      <c r="K4384">
        <v>830587</v>
      </c>
      <c r="L4384">
        <v>107766</v>
      </c>
      <c r="M4384">
        <v>-321931</v>
      </c>
      <c r="N4384">
        <v>178440</v>
      </c>
      <c r="O4384" t="s">
        <v>4402</v>
      </c>
      <c r="P4384" s="9">
        <v>216454</v>
      </c>
      <c r="Q4384" s="9">
        <v>41309</v>
      </c>
      <c r="R4384" s="9">
        <v>257763</v>
      </c>
      <c r="S4384" s="9">
        <v>-123189</v>
      </c>
      <c r="T4384" s="10">
        <v>110521</v>
      </c>
      <c r="U4384" s="10">
        <v>2658</v>
      </c>
    </row>
    <row r="4385" spans="1:21" x14ac:dyDescent="0.35">
      <c r="A4385" t="s">
        <v>15</v>
      </c>
      <c r="B4385" t="s">
        <v>20</v>
      </c>
      <c r="C4385" t="s">
        <v>21</v>
      </c>
      <c r="D4385">
        <v>287457</v>
      </c>
      <c r="E4385">
        <v>41585</v>
      </c>
      <c r="F4385">
        <v>44412</v>
      </c>
      <c r="G4385">
        <v>-242327</v>
      </c>
      <c r="H4385">
        <v>131127</v>
      </c>
      <c r="I4385">
        <v>125281</v>
      </c>
      <c r="J4385">
        <v>2959</v>
      </c>
      <c r="K4385">
        <v>738485</v>
      </c>
      <c r="L4385">
        <v>344623</v>
      </c>
      <c r="M4385">
        <v>-269090</v>
      </c>
      <c r="N4385">
        <v>237519</v>
      </c>
      <c r="O4385" t="s">
        <v>4403</v>
      </c>
      <c r="P4385" s="9">
        <v>223289</v>
      </c>
      <c r="Q4385" s="9">
        <v>32299</v>
      </c>
      <c r="R4385" s="9">
        <v>255588</v>
      </c>
      <c r="S4385" s="9">
        <v>-82543</v>
      </c>
      <c r="T4385" s="10">
        <v>100885</v>
      </c>
      <c r="U4385" s="10">
        <v>1601</v>
      </c>
    </row>
    <row r="4386" spans="1:21" x14ac:dyDescent="0.35">
      <c r="A4386" t="s">
        <v>15</v>
      </c>
      <c r="B4386" t="s">
        <v>16</v>
      </c>
      <c r="C4386" t="s">
        <v>17</v>
      </c>
      <c r="D4386">
        <v>272514</v>
      </c>
      <c r="E4386">
        <v>24141</v>
      </c>
      <c r="F4386">
        <v>30783</v>
      </c>
      <c r="G4386">
        <v>-224953</v>
      </c>
      <c r="H4386">
        <v>102485</v>
      </c>
      <c r="I4386">
        <v>93378</v>
      </c>
      <c r="J4386">
        <v>1661</v>
      </c>
      <c r="K4386">
        <v>960052</v>
      </c>
      <c r="L4386">
        <v>299961</v>
      </c>
      <c r="M4386">
        <v>-173591</v>
      </c>
      <c r="N4386">
        <v>214458</v>
      </c>
      <c r="O4386" t="s">
        <v>4404</v>
      </c>
      <c r="P4386" s="9">
        <v>265682</v>
      </c>
      <c r="Q4386" s="9">
        <v>24732</v>
      </c>
      <c r="R4386" s="9">
        <v>290414</v>
      </c>
      <c r="S4386" s="9">
        <v>-132062</v>
      </c>
      <c r="T4386" s="10">
        <v>58958</v>
      </c>
      <c r="U4386" s="10">
        <v>829</v>
      </c>
    </row>
    <row r="4387" spans="1:21" x14ac:dyDescent="0.35">
      <c r="A4387" t="s">
        <v>15</v>
      </c>
      <c r="B4387" t="s">
        <v>16</v>
      </c>
      <c r="C4387" t="s">
        <v>21</v>
      </c>
      <c r="D4387">
        <v>197758</v>
      </c>
      <c r="E4387">
        <v>19779</v>
      </c>
      <c r="F4387">
        <v>41051</v>
      </c>
      <c r="G4387">
        <v>-187606</v>
      </c>
      <c r="H4387">
        <v>70982</v>
      </c>
      <c r="I4387">
        <v>68258</v>
      </c>
      <c r="J4387">
        <v>1188</v>
      </c>
      <c r="K4387">
        <v>642921</v>
      </c>
      <c r="L4387">
        <v>301436</v>
      </c>
      <c r="M4387">
        <v>-186886</v>
      </c>
      <c r="N4387">
        <v>130419</v>
      </c>
      <c r="O4387" t="s">
        <v>4405</v>
      </c>
      <c r="P4387" s="9">
        <v>173510</v>
      </c>
      <c r="Q4387" s="9">
        <v>15873</v>
      </c>
      <c r="R4387" s="9">
        <v>189383</v>
      </c>
      <c r="S4387" s="9">
        <v>-67119</v>
      </c>
      <c r="T4387" s="10">
        <v>47598</v>
      </c>
      <c r="U4387" s="10">
        <v>1415</v>
      </c>
    </row>
    <row r="4388" spans="1:21" x14ac:dyDescent="0.35">
      <c r="A4388" t="s">
        <v>15</v>
      </c>
      <c r="B4388" t="s">
        <v>16</v>
      </c>
      <c r="C4388" t="s">
        <v>17</v>
      </c>
      <c r="D4388">
        <v>290220</v>
      </c>
      <c r="E4388">
        <v>48287</v>
      </c>
      <c r="F4388">
        <v>44493</v>
      </c>
      <c r="G4388">
        <v>-275648</v>
      </c>
      <c r="H4388">
        <v>107352</v>
      </c>
      <c r="I4388">
        <v>112272</v>
      </c>
      <c r="J4388">
        <v>2930</v>
      </c>
      <c r="K4388">
        <v>687772</v>
      </c>
      <c r="L4388">
        <v>259991</v>
      </c>
      <c r="M4388">
        <v>-184243</v>
      </c>
      <c r="N4388">
        <v>186039</v>
      </c>
      <c r="O4388" t="s">
        <v>4406</v>
      </c>
      <c r="P4388" s="9">
        <v>296848</v>
      </c>
      <c r="Q4388" s="9">
        <v>33404</v>
      </c>
      <c r="R4388" s="9">
        <v>330252</v>
      </c>
      <c r="S4388" s="9">
        <v>-188750</v>
      </c>
      <c r="T4388" s="10">
        <v>120894</v>
      </c>
      <c r="U4388" s="10">
        <v>3524</v>
      </c>
    </row>
    <row r="4389" spans="1:21" x14ac:dyDescent="0.35">
      <c r="A4389" t="s">
        <v>15</v>
      </c>
      <c r="B4389" t="s">
        <v>20</v>
      </c>
      <c r="C4389" t="s">
        <v>21</v>
      </c>
      <c r="D4389">
        <v>198717</v>
      </c>
      <c r="E4389">
        <v>30213</v>
      </c>
      <c r="F4389">
        <v>39036</v>
      </c>
      <c r="G4389">
        <v>-186402</v>
      </c>
      <c r="H4389">
        <v>81564</v>
      </c>
      <c r="I4389">
        <v>79035</v>
      </c>
      <c r="J4389">
        <v>1446</v>
      </c>
      <c r="K4389">
        <v>791413</v>
      </c>
      <c r="L4389">
        <v>215489</v>
      </c>
      <c r="M4389">
        <v>-150528</v>
      </c>
      <c r="N4389">
        <v>85846</v>
      </c>
      <c r="O4389" t="s">
        <v>4407</v>
      </c>
      <c r="P4389" s="9">
        <v>255033</v>
      </c>
      <c r="Q4389" s="9">
        <v>32739</v>
      </c>
      <c r="R4389" s="9">
        <v>287772</v>
      </c>
      <c r="S4389" s="9">
        <v>-58808</v>
      </c>
      <c r="T4389" s="10">
        <v>123908</v>
      </c>
      <c r="U4389" s="10">
        <v>2160</v>
      </c>
    </row>
    <row r="4390" spans="1:21" x14ac:dyDescent="0.35">
      <c r="A4390" t="s">
        <v>15</v>
      </c>
      <c r="B4390" t="s">
        <v>20</v>
      </c>
      <c r="C4390" t="s">
        <v>17</v>
      </c>
      <c r="D4390">
        <v>287627</v>
      </c>
      <c r="E4390">
        <v>30425</v>
      </c>
      <c r="F4390">
        <v>65485</v>
      </c>
      <c r="G4390">
        <v>-274964</v>
      </c>
      <c r="H4390">
        <v>108573</v>
      </c>
      <c r="I4390">
        <v>105930</v>
      </c>
      <c r="J4390">
        <v>1378</v>
      </c>
      <c r="K4390">
        <v>799022</v>
      </c>
      <c r="L4390">
        <v>90398</v>
      </c>
      <c r="M4390">
        <v>-203574</v>
      </c>
      <c r="N4390">
        <v>237443</v>
      </c>
      <c r="O4390" t="s">
        <v>4408</v>
      </c>
      <c r="P4390" s="9">
        <v>147198</v>
      </c>
      <c r="Q4390" s="9">
        <v>23468</v>
      </c>
      <c r="R4390" s="9">
        <v>170666</v>
      </c>
      <c r="S4390" s="9">
        <v>-95356</v>
      </c>
      <c r="T4390" s="10">
        <v>39920</v>
      </c>
      <c r="U4390" s="10">
        <v>749</v>
      </c>
    </row>
    <row r="4391" spans="1:21" x14ac:dyDescent="0.35">
      <c r="A4391" t="s">
        <v>15</v>
      </c>
      <c r="B4391" t="s">
        <v>16</v>
      </c>
      <c r="C4391" t="s">
        <v>21</v>
      </c>
      <c r="D4391">
        <v>169951</v>
      </c>
      <c r="E4391">
        <v>26520</v>
      </c>
      <c r="F4391">
        <v>34829</v>
      </c>
      <c r="G4391">
        <v>-149681</v>
      </c>
      <c r="H4391">
        <v>81619</v>
      </c>
      <c r="I4391">
        <v>84388</v>
      </c>
      <c r="J4391">
        <v>2386</v>
      </c>
      <c r="K4391">
        <v>366545</v>
      </c>
      <c r="L4391">
        <v>56997</v>
      </c>
      <c r="M4391">
        <v>-63540</v>
      </c>
      <c r="N4391">
        <v>132779</v>
      </c>
      <c r="O4391" t="s">
        <v>4409</v>
      </c>
      <c r="P4391" s="9">
        <v>216584</v>
      </c>
      <c r="Q4391" s="9">
        <v>20470</v>
      </c>
      <c r="R4391" s="9">
        <v>237054</v>
      </c>
      <c r="S4391" s="9">
        <v>-69094</v>
      </c>
      <c r="T4391" s="10">
        <v>86373</v>
      </c>
      <c r="U4391" s="10">
        <v>1360</v>
      </c>
    </row>
    <row r="4392" spans="1:21" x14ac:dyDescent="0.35">
      <c r="A4392" t="s">
        <v>15</v>
      </c>
      <c r="B4392" t="s">
        <v>16</v>
      </c>
      <c r="C4392" t="s">
        <v>21</v>
      </c>
      <c r="D4392">
        <v>177149</v>
      </c>
      <c r="E4392">
        <v>20672</v>
      </c>
      <c r="F4392">
        <v>40957</v>
      </c>
      <c r="G4392">
        <v>-151600</v>
      </c>
      <c r="H4392">
        <v>87178</v>
      </c>
      <c r="I4392">
        <v>81591</v>
      </c>
      <c r="J4392">
        <v>1363</v>
      </c>
      <c r="K4392">
        <v>690314</v>
      </c>
      <c r="L4392">
        <v>315095</v>
      </c>
      <c r="M4392">
        <v>-261688</v>
      </c>
      <c r="N4392">
        <v>98365</v>
      </c>
      <c r="O4392" t="s">
        <v>4410</v>
      </c>
      <c r="P4392" s="9">
        <v>147743</v>
      </c>
      <c r="Q4392" s="9">
        <v>19943</v>
      </c>
      <c r="R4392" s="9">
        <v>167686</v>
      </c>
      <c r="S4392" s="9">
        <v>-56509</v>
      </c>
      <c r="T4392" s="10">
        <v>71028</v>
      </c>
      <c r="U4392" s="10">
        <v>813</v>
      </c>
    </row>
    <row r="4393" spans="1:21" x14ac:dyDescent="0.35">
      <c r="A4393" t="s">
        <v>15</v>
      </c>
      <c r="B4393" t="s">
        <v>16</v>
      </c>
      <c r="C4393" t="s">
        <v>21</v>
      </c>
      <c r="D4393">
        <v>195371</v>
      </c>
      <c r="E4393">
        <v>38868</v>
      </c>
      <c r="F4393">
        <v>42044</v>
      </c>
      <c r="G4393">
        <v>-188217</v>
      </c>
      <c r="H4393">
        <v>88066</v>
      </c>
      <c r="I4393">
        <v>81864</v>
      </c>
      <c r="J4393">
        <v>1378</v>
      </c>
      <c r="K4393">
        <v>615863</v>
      </c>
      <c r="L4393">
        <v>128138</v>
      </c>
      <c r="M4393">
        <v>-233097</v>
      </c>
      <c r="N4393">
        <v>165966</v>
      </c>
      <c r="O4393" t="s">
        <v>4411</v>
      </c>
      <c r="P4393" s="9">
        <v>251427</v>
      </c>
      <c r="Q4393" s="9">
        <v>39380</v>
      </c>
      <c r="R4393" s="9">
        <v>290807</v>
      </c>
      <c r="S4393" s="9">
        <v>-153544</v>
      </c>
      <c r="T4393" s="10">
        <v>123733</v>
      </c>
      <c r="U4393" s="10">
        <v>1889</v>
      </c>
    </row>
    <row r="4394" spans="1:21" x14ac:dyDescent="0.35">
      <c r="A4394" t="s">
        <v>15</v>
      </c>
      <c r="B4394" t="s">
        <v>20</v>
      </c>
      <c r="C4394" t="s">
        <v>21</v>
      </c>
      <c r="D4394">
        <v>207263</v>
      </c>
      <c r="E4394">
        <v>11908</v>
      </c>
      <c r="F4394">
        <v>26499</v>
      </c>
      <c r="G4394">
        <v>-191944</v>
      </c>
      <c r="H4394">
        <v>53726</v>
      </c>
      <c r="I4394">
        <v>54138</v>
      </c>
      <c r="J4394">
        <v>1568</v>
      </c>
      <c r="K4394">
        <v>754743</v>
      </c>
      <c r="L4394">
        <v>137408</v>
      </c>
      <c r="M4394">
        <v>-279759</v>
      </c>
      <c r="N4394">
        <v>163348</v>
      </c>
      <c r="O4394" t="s">
        <v>4412</v>
      </c>
      <c r="P4394" s="9">
        <v>279376</v>
      </c>
      <c r="Q4394" s="9">
        <v>31595</v>
      </c>
      <c r="R4394" s="9">
        <v>310971</v>
      </c>
      <c r="S4394" s="9">
        <v>-64411</v>
      </c>
      <c r="T4394" s="10">
        <v>106968</v>
      </c>
      <c r="U4394" s="10">
        <v>1840</v>
      </c>
    </row>
    <row r="4395" spans="1:21" x14ac:dyDescent="0.35">
      <c r="A4395" t="s">
        <v>15</v>
      </c>
      <c r="B4395" t="s">
        <v>20</v>
      </c>
      <c r="C4395" t="s">
        <v>21</v>
      </c>
      <c r="D4395">
        <v>265525</v>
      </c>
      <c r="E4395">
        <v>29163</v>
      </c>
      <c r="F4395">
        <v>46928</v>
      </c>
      <c r="G4395">
        <v>-233800</v>
      </c>
      <c r="H4395">
        <v>107816</v>
      </c>
      <c r="I4395">
        <v>110627</v>
      </c>
      <c r="J4395">
        <v>2648</v>
      </c>
      <c r="K4395">
        <v>728140</v>
      </c>
      <c r="L4395">
        <v>266659</v>
      </c>
      <c r="M4395">
        <v>-165980</v>
      </c>
      <c r="N4395">
        <v>119129</v>
      </c>
      <c r="O4395" t="s">
        <v>4413</v>
      </c>
      <c r="P4395" s="9">
        <v>159468</v>
      </c>
      <c r="Q4395" s="9">
        <v>12314</v>
      </c>
      <c r="R4395" s="9">
        <v>171782</v>
      </c>
      <c r="S4395" s="9">
        <v>-94907</v>
      </c>
      <c r="T4395" s="10">
        <v>45661</v>
      </c>
      <c r="U4395" s="10">
        <v>1131</v>
      </c>
    </row>
    <row r="4396" spans="1:21" x14ac:dyDescent="0.35">
      <c r="A4396" t="s">
        <v>15</v>
      </c>
      <c r="B4396" t="s">
        <v>20</v>
      </c>
      <c r="C4396" t="s">
        <v>21</v>
      </c>
      <c r="D4396">
        <v>183667</v>
      </c>
      <c r="E4396">
        <v>20297</v>
      </c>
      <c r="F4396">
        <v>38912</v>
      </c>
      <c r="G4396">
        <v>-174683</v>
      </c>
      <c r="H4396">
        <v>68193</v>
      </c>
      <c r="I4396">
        <v>64377</v>
      </c>
      <c r="J4396">
        <v>1802</v>
      </c>
      <c r="K4396">
        <v>663614</v>
      </c>
      <c r="L4396">
        <v>294689</v>
      </c>
      <c r="M4396">
        <v>-228963</v>
      </c>
      <c r="N4396">
        <v>90176</v>
      </c>
      <c r="O4396" t="s">
        <v>4414</v>
      </c>
      <c r="P4396" s="9">
        <v>160223</v>
      </c>
      <c r="Q4396" s="9">
        <v>30754</v>
      </c>
      <c r="R4396" s="9">
        <v>190977</v>
      </c>
      <c r="S4396" s="9">
        <v>-52013</v>
      </c>
      <c r="T4396" s="10">
        <v>86423</v>
      </c>
      <c r="U4396" s="10">
        <v>1440</v>
      </c>
    </row>
    <row r="4397" spans="1:21" x14ac:dyDescent="0.35">
      <c r="A4397" t="s">
        <v>15</v>
      </c>
      <c r="B4397" t="s">
        <v>20</v>
      </c>
      <c r="C4397" t="s">
        <v>21</v>
      </c>
      <c r="D4397">
        <v>285686</v>
      </c>
      <c r="E4397">
        <v>53173</v>
      </c>
      <c r="F4397">
        <v>29744</v>
      </c>
      <c r="G4397">
        <v>-280912</v>
      </c>
      <c r="H4397">
        <v>87691</v>
      </c>
      <c r="I4397">
        <v>91694</v>
      </c>
      <c r="J4397">
        <v>1647</v>
      </c>
      <c r="K4397">
        <v>827236</v>
      </c>
      <c r="L4397">
        <v>219836</v>
      </c>
      <c r="M4397">
        <v>-160441</v>
      </c>
      <c r="N4397">
        <v>242138</v>
      </c>
      <c r="O4397" t="s">
        <v>4415</v>
      </c>
      <c r="P4397" s="9">
        <v>215775</v>
      </c>
      <c r="Q4397" s="9">
        <v>22833</v>
      </c>
      <c r="R4397" s="9">
        <v>238608</v>
      </c>
      <c r="S4397" s="9">
        <v>-130112</v>
      </c>
      <c r="T4397" s="10">
        <v>60053</v>
      </c>
      <c r="U4397" s="10">
        <v>1518</v>
      </c>
    </row>
    <row r="4398" spans="1:21" x14ac:dyDescent="0.35">
      <c r="A4398" t="s">
        <v>15</v>
      </c>
      <c r="B4398" t="s">
        <v>20</v>
      </c>
      <c r="C4398" t="s">
        <v>21</v>
      </c>
      <c r="D4398">
        <v>272621</v>
      </c>
      <c r="E4398">
        <v>24585</v>
      </c>
      <c r="F4398">
        <v>65043</v>
      </c>
      <c r="G4398">
        <v>-231539</v>
      </c>
      <c r="H4398">
        <v>130710</v>
      </c>
      <c r="I4398">
        <v>131384</v>
      </c>
      <c r="J4398">
        <v>1689</v>
      </c>
      <c r="K4398">
        <v>811705</v>
      </c>
      <c r="L4398">
        <v>367429</v>
      </c>
      <c r="M4398">
        <v>-263159</v>
      </c>
      <c r="N4398">
        <v>145798</v>
      </c>
      <c r="O4398" t="s">
        <v>4416</v>
      </c>
      <c r="P4398" s="9">
        <v>183929</v>
      </c>
      <c r="Q4398" s="9">
        <v>19335</v>
      </c>
      <c r="R4398" s="9">
        <v>203264</v>
      </c>
      <c r="S4398" s="9">
        <v>-85497</v>
      </c>
      <c r="T4398" s="10">
        <v>42796</v>
      </c>
      <c r="U4398" s="10">
        <v>594</v>
      </c>
    </row>
    <row r="4399" spans="1:21" x14ac:dyDescent="0.35">
      <c r="A4399" t="s">
        <v>15</v>
      </c>
      <c r="B4399" t="s">
        <v>16</v>
      </c>
      <c r="C4399" t="s">
        <v>21</v>
      </c>
      <c r="D4399">
        <v>174460</v>
      </c>
      <c r="E4399">
        <v>10724</v>
      </c>
      <c r="F4399">
        <v>25827</v>
      </c>
      <c r="G4399">
        <v>-166194</v>
      </c>
      <c r="H4399">
        <v>44817</v>
      </c>
      <c r="I4399">
        <v>46144</v>
      </c>
      <c r="J4399">
        <v>1372</v>
      </c>
      <c r="K4399">
        <v>477855</v>
      </c>
      <c r="L4399">
        <v>108099</v>
      </c>
      <c r="M4399">
        <v>-180301</v>
      </c>
      <c r="N4399">
        <v>81115</v>
      </c>
      <c r="O4399" t="s">
        <v>4417</v>
      </c>
      <c r="P4399" s="9">
        <v>256996</v>
      </c>
      <c r="Q4399" s="9">
        <v>28318</v>
      </c>
      <c r="R4399" s="9">
        <v>285314</v>
      </c>
      <c r="S4399" s="9">
        <v>-150062</v>
      </c>
      <c r="T4399" s="10">
        <v>121682</v>
      </c>
      <c r="U4399" s="10">
        <v>3130</v>
      </c>
    </row>
    <row r="4400" spans="1:21" x14ac:dyDescent="0.35">
      <c r="A4400" t="s">
        <v>15</v>
      </c>
      <c r="B4400" t="s">
        <v>16</v>
      </c>
      <c r="C4400" t="s">
        <v>21</v>
      </c>
      <c r="D4400">
        <v>215860</v>
      </c>
      <c r="E4400">
        <v>14540</v>
      </c>
      <c r="F4400">
        <v>53758</v>
      </c>
      <c r="G4400">
        <v>-184541</v>
      </c>
      <c r="H4400">
        <v>99617</v>
      </c>
      <c r="I4400">
        <v>96833</v>
      </c>
      <c r="J4400">
        <v>2362</v>
      </c>
      <c r="K4400">
        <v>618462</v>
      </c>
      <c r="L4400">
        <v>245970</v>
      </c>
      <c r="M4400">
        <v>-107798</v>
      </c>
      <c r="N4400">
        <v>166325</v>
      </c>
      <c r="O4400" t="s">
        <v>4418</v>
      </c>
      <c r="P4400" s="9">
        <v>179360</v>
      </c>
      <c r="Q4400" s="9">
        <v>18245</v>
      </c>
      <c r="R4400" s="9">
        <v>197605</v>
      </c>
      <c r="S4400" s="9">
        <v>-103317</v>
      </c>
      <c r="T4400" s="10">
        <v>58201</v>
      </c>
      <c r="U4400" s="10">
        <v>923</v>
      </c>
    </row>
    <row r="4401" spans="1:21" x14ac:dyDescent="0.35">
      <c r="A4401" t="s">
        <v>15</v>
      </c>
      <c r="B4401" t="s">
        <v>16</v>
      </c>
      <c r="C4401" t="s">
        <v>21</v>
      </c>
      <c r="D4401">
        <v>204579</v>
      </c>
      <c r="E4401">
        <v>30104</v>
      </c>
      <c r="F4401">
        <v>23027</v>
      </c>
      <c r="G4401">
        <v>-176573</v>
      </c>
      <c r="H4401">
        <v>81137</v>
      </c>
      <c r="I4401">
        <v>76562</v>
      </c>
      <c r="J4401">
        <v>1243</v>
      </c>
      <c r="K4401">
        <v>610022</v>
      </c>
      <c r="L4401">
        <v>160228</v>
      </c>
      <c r="M4401">
        <v>-181023</v>
      </c>
      <c r="N4401">
        <v>161003</v>
      </c>
      <c r="O4401" t="s">
        <v>4419</v>
      </c>
      <c r="P4401" s="9">
        <v>218304</v>
      </c>
      <c r="Q4401" s="9">
        <v>30522</v>
      </c>
      <c r="R4401" s="9">
        <v>248826</v>
      </c>
      <c r="S4401" s="9">
        <v>-133893</v>
      </c>
      <c r="T4401" s="10">
        <v>99461</v>
      </c>
      <c r="U4401" s="10">
        <v>1845</v>
      </c>
    </row>
    <row r="4402" spans="1:21" x14ac:dyDescent="0.35">
      <c r="A4402" t="s">
        <v>15</v>
      </c>
      <c r="B4402" t="s">
        <v>20</v>
      </c>
      <c r="C4402" t="s">
        <v>21</v>
      </c>
      <c r="D4402">
        <v>173388</v>
      </c>
      <c r="E4402">
        <v>9021</v>
      </c>
      <c r="F4402">
        <v>26543</v>
      </c>
      <c r="G4402">
        <v>-158100</v>
      </c>
      <c r="H4402">
        <v>50852</v>
      </c>
      <c r="I4402">
        <v>52124</v>
      </c>
      <c r="J4402">
        <v>1474</v>
      </c>
      <c r="K4402">
        <v>466352</v>
      </c>
      <c r="L4402">
        <v>106234</v>
      </c>
      <c r="M4402">
        <v>-147178</v>
      </c>
      <c r="N4402">
        <v>145015</v>
      </c>
      <c r="O4402" t="s">
        <v>4420</v>
      </c>
      <c r="P4402" s="9">
        <v>205881</v>
      </c>
      <c r="Q4402" s="9">
        <v>31029</v>
      </c>
      <c r="R4402" s="9">
        <v>236910</v>
      </c>
      <c r="S4402" s="9">
        <v>-103641</v>
      </c>
      <c r="T4402" s="10">
        <v>84732</v>
      </c>
      <c r="U4402" s="10">
        <v>1066</v>
      </c>
    </row>
    <row r="4403" spans="1:21" x14ac:dyDescent="0.35">
      <c r="A4403" t="s">
        <v>15</v>
      </c>
      <c r="B4403" t="s">
        <v>16</v>
      </c>
      <c r="C4403" t="s">
        <v>17</v>
      </c>
      <c r="D4403">
        <v>292985</v>
      </c>
      <c r="E4403">
        <v>41617</v>
      </c>
      <c r="F4403">
        <v>40681</v>
      </c>
      <c r="G4403">
        <v>-274105</v>
      </c>
      <c r="H4403">
        <v>101178</v>
      </c>
      <c r="I4403">
        <v>102771</v>
      </c>
      <c r="J4403">
        <v>1110</v>
      </c>
      <c r="K4403">
        <v>1019136</v>
      </c>
      <c r="L4403">
        <v>462712</v>
      </c>
      <c r="M4403">
        <v>-212322</v>
      </c>
      <c r="N4403">
        <v>139996</v>
      </c>
      <c r="O4403" t="s">
        <v>4421</v>
      </c>
      <c r="P4403" s="9">
        <v>202903</v>
      </c>
      <c r="Q4403" s="9">
        <v>36446</v>
      </c>
      <c r="R4403" s="9">
        <v>239349</v>
      </c>
      <c r="S4403" s="9">
        <v>-78370</v>
      </c>
      <c r="T4403" s="10">
        <v>111570</v>
      </c>
      <c r="U4403" s="10">
        <v>2975</v>
      </c>
    </row>
    <row r="4404" spans="1:21" x14ac:dyDescent="0.35">
      <c r="A4404" t="s">
        <v>15</v>
      </c>
      <c r="B4404" t="s">
        <v>16</v>
      </c>
      <c r="C4404" t="s">
        <v>17</v>
      </c>
      <c r="D4404">
        <v>275942</v>
      </c>
      <c r="E4404">
        <v>27639</v>
      </c>
      <c r="F4404">
        <v>56657</v>
      </c>
      <c r="G4404">
        <v>-239183</v>
      </c>
      <c r="H4404">
        <v>121055</v>
      </c>
      <c r="I4404">
        <v>125824</v>
      </c>
      <c r="J4404">
        <v>1466</v>
      </c>
      <c r="K4404">
        <v>1050082</v>
      </c>
      <c r="L4404">
        <v>185521</v>
      </c>
      <c r="M4404">
        <v>-398909</v>
      </c>
      <c r="N4404">
        <v>208151</v>
      </c>
      <c r="O4404" t="s">
        <v>4422</v>
      </c>
      <c r="P4404" s="9">
        <v>252310</v>
      </c>
      <c r="Q4404" s="9">
        <v>38059</v>
      </c>
      <c r="R4404" s="9">
        <v>290369</v>
      </c>
      <c r="S4404" s="9">
        <v>-78420</v>
      </c>
      <c r="T4404" s="10">
        <v>63178</v>
      </c>
      <c r="U4404" s="10">
        <v>1156</v>
      </c>
    </row>
    <row r="4405" spans="1:21" x14ac:dyDescent="0.35">
      <c r="A4405" t="s">
        <v>15</v>
      </c>
      <c r="B4405" t="s">
        <v>20</v>
      </c>
      <c r="C4405" t="s">
        <v>21</v>
      </c>
      <c r="D4405">
        <v>211200</v>
      </c>
      <c r="E4405">
        <v>37376</v>
      </c>
      <c r="F4405">
        <v>32588</v>
      </c>
      <c r="G4405">
        <v>-173739</v>
      </c>
      <c r="H4405">
        <v>107425</v>
      </c>
      <c r="I4405">
        <v>108948</v>
      </c>
      <c r="J4405">
        <v>2988</v>
      </c>
      <c r="K4405">
        <v>776056</v>
      </c>
      <c r="L4405">
        <v>189278</v>
      </c>
      <c r="M4405">
        <v>-88124</v>
      </c>
      <c r="N4405">
        <v>154020</v>
      </c>
      <c r="O4405" t="s">
        <v>4423</v>
      </c>
      <c r="P4405" s="9">
        <v>243787</v>
      </c>
      <c r="Q4405" s="9">
        <v>38440</v>
      </c>
      <c r="R4405" s="9">
        <v>282227</v>
      </c>
      <c r="S4405" s="9">
        <v>-153765</v>
      </c>
      <c r="T4405" s="10">
        <v>87760</v>
      </c>
      <c r="U4405" s="10">
        <v>1986</v>
      </c>
    </row>
    <row r="4406" spans="1:21" x14ac:dyDescent="0.35">
      <c r="A4406" t="s">
        <v>15</v>
      </c>
      <c r="B4406" t="s">
        <v>16</v>
      </c>
      <c r="C4406" t="s">
        <v>21</v>
      </c>
      <c r="D4406">
        <v>239433</v>
      </c>
      <c r="E4406">
        <v>25602</v>
      </c>
      <c r="F4406">
        <v>34497</v>
      </c>
      <c r="G4406">
        <v>-210599</v>
      </c>
      <c r="H4406">
        <v>88933</v>
      </c>
      <c r="I4406">
        <v>90383</v>
      </c>
      <c r="J4406">
        <v>2175</v>
      </c>
      <c r="K4406">
        <v>760710</v>
      </c>
      <c r="L4406">
        <v>233264</v>
      </c>
      <c r="M4406">
        <v>-238014</v>
      </c>
      <c r="N4406">
        <v>110917</v>
      </c>
      <c r="O4406" t="s">
        <v>4424</v>
      </c>
      <c r="P4406" s="9">
        <v>183000</v>
      </c>
      <c r="Q4406" s="9">
        <v>14428</v>
      </c>
      <c r="R4406" s="9">
        <v>197428</v>
      </c>
      <c r="S4406" s="9">
        <v>-92547</v>
      </c>
      <c r="T4406" s="10">
        <v>66388</v>
      </c>
      <c r="U4406" s="10">
        <v>1462</v>
      </c>
    </row>
    <row r="4407" spans="1:21" x14ac:dyDescent="0.35">
      <c r="A4407" t="s">
        <v>15</v>
      </c>
      <c r="B4407" t="s">
        <v>16</v>
      </c>
      <c r="C4407" t="s">
        <v>17</v>
      </c>
      <c r="D4407">
        <v>154900</v>
      </c>
      <c r="E4407">
        <v>19721</v>
      </c>
      <c r="F4407">
        <v>26552</v>
      </c>
      <c r="G4407">
        <v>-127838</v>
      </c>
      <c r="H4407">
        <v>73335</v>
      </c>
      <c r="I4407">
        <v>69054</v>
      </c>
      <c r="J4407">
        <v>1612</v>
      </c>
      <c r="K4407">
        <v>417935</v>
      </c>
      <c r="L4407">
        <v>104277</v>
      </c>
      <c r="M4407">
        <v>-45679</v>
      </c>
      <c r="N4407">
        <v>65287</v>
      </c>
      <c r="O4407" t="s">
        <v>4425</v>
      </c>
      <c r="P4407" s="9">
        <v>228908</v>
      </c>
      <c r="Q4407" s="9">
        <v>45931</v>
      </c>
      <c r="R4407" s="9">
        <v>274839</v>
      </c>
      <c r="S4407" s="9">
        <v>-134768</v>
      </c>
      <c r="T4407" s="10">
        <v>152582</v>
      </c>
      <c r="U4407" s="10">
        <v>3159</v>
      </c>
    </row>
    <row r="4408" spans="1:21" x14ac:dyDescent="0.35">
      <c r="A4408" t="s">
        <v>15</v>
      </c>
      <c r="B4408" t="s">
        <v>16</v>
      </c>
      <c r="C4408" t="s">
        <v>21</v>
      </c>
      <c r="D4408">
        <v>218248</v>
      </c>
      <c r="E4408">
        <v>43368</v>
      </c>
      <c r="F4408">
        <v>51407</v>
      </c>
      <c r="G4408">
        <v>-186533</v>
      </c>
      <c r="H4408">
        <v>126490</v>
      </c>
      <c r="I4408">
        <v>128042</v>
      </c>
      <c r="J4408">
        <v>2172</v>
      </c>
      <c r="K4408">
        <v>460158</v>
      </c>
      <c r="L4408">
        <v>103374</v>
      </c>
      <c r="M4408">
        <v>-167991</v>
      </c>
      <c r="N4408">
        <v>137884</v>
      </c>
      <c r="O4408" t="s">
        <v>4426</v>
      </c>
      <c r="P4408" s="9">
        <v>216793</v>
      </c>
      <c r="Q4408" s="9">
        <v>18003</v>
      </c>
      <c r="R4408" s="9">
        <v>234796</v>
      </c>
      <c r="S4408" s="9">
        <v>-56267</v>
      </c>
      <c r="T4408" s="10">
        <v>75148</v>
      </c>
      <c r="U4408" s="10">
        <v>1695</v>
      </c>
    </row>
    <row r="4409" spans="1:21" x14ac:dyDescent="0.35">
      <c r="A4409" t="s">
        <v>15</v>
      </c>
      <c r="B4409" t="s">
        <v>16</v>
      </c>
      <c r="C4409" t="s">
        <v>21</v>
      </c>
      <c r="D4409">
        <v>193419</v>
      </c>
      <c r="E4409">
        <v>38330</v>
      </c>
      <c r="F4409">
        <v>38586</v>
      </c>
      <c r="G4409">
        <v>-155873</v>
      </c>
      <c r="H4409">
        <v>114462</v>
      </c>
      <c r="I4409">
        <v>113583</v>
      </c>
      <c r="J4409">
        <v>2426</v>
      </c>
      <c r="K4409">
        <v>694014</v>
      </c>
      <c r="L4409">
        <v>346238</v>
      </c>
      <c r="M4409">
        <v>-197451</v>
      </c>
      <c r="N4409">
        <v>147707</v>
      </c>
      <c r="O4409" t="s">
        <v>4427</v>
      </c>
      <c r="P4409" s="9">
        <v>140019</v>
      </c>
      <c r="Q4409" s="9">
        <v>26770</v>
      </c>
      <c r="R4409" s="9">
        <v>166789</v>
      </c>
      <c r="S4409" s="9">
        <v>-75779</v>
      </c>
      <c r="T4409" s="10">
        <v>58938</v>
      </c>
      <c r="U4409" s="10">
        <v>1523</v>
      </c>
    </row>
    <row r="4410" spans="1:21" x14ac:dyDescent="0.35">
      <c r="A4410" t="s">
        <v>15</v>
      </c>
      <c r="B4410" t="s">
        <v>20</v>
      </c>
      <c r="C4410" t="s">
        <v>21</v>
      </c>
      <c r="D4410">
        <v>183609</v>
      </c>
      <c r="E4410">
        <v>26866</v>
      </c>
      <c r="F4410">
        <v>27012</v>
      </c>
      <c r="G4410">
        <v>-148659</v>
      </c>
      <c r="H4410">
        <v>88828</v>
      </c>
      <c r="I4410">
        <v>90384</v>
      </c>
      <c r="J4410">
        <v>1669</v>
      </c>
      <c r="K4410">
        <v>528787</v>
      </c>
      <c r="L4410">
        <v>154765</v>
      </c>
      <c r="M4410">
        <v>-57766</v>
      </c>
      <c r="N4410">
        <v>69677</v>
      </c>
      <c r="O4410" t="s">
        <v>4428</v>
      </c>
      <c r="P4410" s="9">
        <v>247778</v>
      </c>
      <c r="Q4410" s="9">
        <v>22304</v>
      </c>
      <c r="R4410" s="9">
        <v>270082</v>
      </c>
      <c r="S4410" s="9">
        <v>-83122</v>
      </c>
      <c r="T4410" s="10">
        <v>46258</v>
      </c>
      <c r="U4410" s="10">
        <v>1237</v>
      </c>
    </row>
    <row r="4411" spans="1:21" x14ac:dyDescent="0.35">
      <c r="A4411" t="s">
        <v>15</v>
      </c>
      <c r="B4411" t="s">
        <v>20</v>
      </c>
      <c r="C4411" t="s">
        <v>17</v>
      </c>
      <c r="D4411">
        <v>266197</v>
      </c>
      <c r="E4411">
        <v>13909</v>
      </c>
      <c r="F4411">
        <v>49834</v>
      </c>
      <c r="G4411">
        <v>-231363</v>
      </c>
      <c r="H4411">
        <v>98577</v>
      </c>
      <c r="I4411">
        <v>98164</v>
      </c>
      <c r="J4411">
        <v>1678</v>
      </c>
      <c r="K4411">
        <v>621532</v>
      </c>
      <c r="L4411">
        <v>101806</v>
      </c>
      <c r="M4411">
        <v>-89852</v>
      </c>
      <c r="N4411">
        <v>172824</v>
      </c>
      <c r="O4411" t="s">
        <v>4429</v>
      </c>
      <c r="P4411" s="9">
        <v>248613</v>
      </c>
      <c r="Q4411" s="9">
        <v>11700</v>
      </c>
      <c r="R4411" s="9">
        <v>260313</v>
      </c>
      <c r="S4411" s="9">
        <v>-74430</v>
      </c>
      <c r="T4411" s="10">
        <v>53525</v>
      </c>
      <c r="U4411" s="10">
        <v>879</v>
      </c>
    </row>
    <row r="4412" spans="1:21" x14ac:dyDescent="0.35">
      <c r="A4412" t="s">
        <v>15</v>
      </c>
      <c r="B4412" t="s">
        <v>20</v>
      </c>
      <c r="C4412" t="s">
        <v>17</v>
      </c>
      <c r="D4412">
        <v>150622</v>
      </c>
      <c r="E4412">
        <v>14801</v>
      </c>
      <c r="F4412">
        <v>18889</v>
      </c>
      <c r="G4412">
        <v>-143524</v>
      </c>
      <c r="H4412">
        <v>40788</v>
      </c>
      <c r="I4412">
        <v>42065</v>
      </c>
      <c r="J4412">
        <v>638</v>
      </c>
      <c r="K4412">
        <v>390720</v>
      </c>
      <c r="L4412">
        <v>142046</v>
      </c>
      <c r="M4412">
        <v>-95478</v>
      </c>
      <c r="N4412">
        <v>78958</v>
      </c>
      <c r="O4412" t="s">
        <v>4430</v>
      </c>
      <c r="P4412" s="9">
        <v>181938</v>
      </c>
      <c r="Q4412" s="9">
        <v>30953</v>
      </c>
      <c r="R4412" s="9">
        <v>212891</v>
      </c>
      <c r="S4412" s="9">
        <v>-58300</v>
      </c>
      <c r="T4412" s="10">
        <v>103009</v>
      </c>
      <c r="U4412" s="10">
        <v>3078</v>
      </c>
    </row>
    <row r="4413" spans="1:21" x14ac:dyDescent="0.35">
      <c r="A4413" t="s">
        <v>15</v>
      </c>
      <c r="B4413" t="s">
        <v>16</v>
      </c>
      <c r="C4413" t="s">
        <v>21</v>
      </c>
      <c r="D4413">
        <v>208682</v>
      </c>
      <c r="E4413">
        <v>26748</v>
      </c>
      <c r="F4413">
        <v>51406</v>
      </c>
      <c r="G4413">
        <v>-189983</v>
      </c>
      <c r="H4413">
        <v>96853</v>
      </c>
      <c r="I4413">
        <v>88888</v>
      </c>
      <c r="J4413">
        <v>1846</v>
      </c>
      <c r="K4413">
        <v>733488</v>
      </c>
      <c r="L4413">
        <v>364192</v>
      </c>
      <c r="M4413">
        <v>-273470</v>
      </c>
      <c r="N4413">
        <v>145212</v>
      </c>
      <c r="O4413" t="s">
        <v>4431</v>
      </c>
      <c r="P4413" s="9">
        <v>192872</v>
      </c>
      <c r="Q4413" s="9">
        <v>23724</v>
      </c>
      <c r="R4413" s="9">
        <v>216596</v>
      </c>
      <c r="S4413" s="9">
        <v>-103326</v>
      </c>
      <c r="T4413" s="10">
        <v>44817</v>
      </c>
      <c r="U4413" s="10">
        <v>1162</v>
      </c>
    </row>
    <row r="4414" spans="1:21" x14ac:dyDescent="0.35">
      <c r="A4414" t="s">
        <v>15</v>
      </c>
      <c r="B4414" t="s">
        <v>16</v>
      </c>
      <c r="C4414" t="s">
        <v>17</v>
      </c>
      <c r="D4414">
        <v>275927</v>
      </c>
      <c r="E4414">
        <v>49517</v>
      </c>
      <c r="F4414">
        <v>35404</v>
      </c>
      <c r="G4414">
        <v>-235867</v>
      </c>
      <c r="H4414">
        <v>124981</v>
      </c>
      <c r="I4414">
        <v>127996</v>
      </c>
      <c r="J4414">
        <v>2980</v>
      </c>
      <c r="K4414">
        <v>753675</v>
      </c>
      <c r="L4414">
        <v>323706</v>
      </c>
      <c r="M4414">
        <v>-233112</v>
      </c>
      <c r="N4414">
        <v>243688</v>
      </c>
      <c r="O4414" t="s">
        <v>4432</v>
      </c>
      <c r="P4414" s="9">
        <v>197725</v>
      </c>
      <c r="Q4414" s="9">
        <v>10450</v>
      </c>
      <c r="R4414" s="9">
        <v>208175</v>
      </c>
      <c r="S4414" s="9">
        <v>-113828</v>
      </c>
      <c r="T4414" s="10">
        <v>70783</v>
      </c>
      <c r="U4414" s="10">
        <v>1600</v>
      </c>
    </row>
    <row r="4415" spans="1:21" x14ac:dyDescent="0.35">
      <c r="A4415" t="s">
        <v>15</v>
      </c>
      <c r="B4415" t="s">
        <v>20</v>
      </c>
      <c r="C4415" t="s">
        <v>21</v>
      </c>
      <c r="D4415">
        <v>167690</v>
      </c>
      <c r="E4415">
        <v>31766</v>
      </c>
      <c r="F4415">
        <v>41758</v>
      </c>
      <c r="G4415">
        <v>-134218</v>
      </c>
      <c r="H4415">
        <v>106996</v>
      </c>
      <c r="I4415">
        <v>101161</v>
      </c>
      <c r="J4415">
        <v>3014</v>
      </c>
      <c r="K4415">
        <v>510407</v>
      </c>
      <c r="L4415">
        <v>83770</v>
      </c>
      <c r="M4415">
        <v>-192167</v>
      </c>
      <c r="N4415">
        <v>50598</v>
      </c>
      <c r="O4415" t="s">
        <v>4433</v>
      </c>
      <c r="P4415" s="9">
        <v>256020</v>
      </c>
      <c r="Q4415" s="9">
        <v>37599</v>
      </c>
      <c r="R4415" s="9">
        <v>293619</v>
      </c>
      <c r="S4415" s="9">
        <v>-131773</v>
      </c>
      <c r="T4415" s="10">
        <v>102630</v>
      </c>
      <c r="U4415" s="10">
        <v>2783</v>
      </c>
    </row>
    <row r="4416" spans="1:21" x14ac:dyDescent="0.35">
      <c r="A4416" t="s">
        <v>15</v>
      </c>
      <c r="B4416" t="s">
        <v>16</v>
      </c>
      <c r="C4416" t="s">
        <v>21</v>
      </c>
      <c r="D4416">
        <v>251627</v>
      </c>
      <c r="E4416">
        <v>32333</v>
      </c>
      <c r="F4416">
        <v>47072</v>
      </c>
      <c r="G4416">
        <v>-219686</v>
      </c>
      <c r="H4416">
        <v>111346</v>
      </c>
      <c r="I4416">
        <v>110277</v>
      </c>
      <c r="J4416">
        <v>1951</v>
      </c>
      <c r="K4416">
        <v>695718</v>
      </c>
      <c r="L4416">
        <v>169136</v>
      </c>
      <c r="M4416">
        <v>-241036</v>
      </c>
      <c r="N4416">
        <v>162420</v>
      </c>
      <c r="O4416" t="s">
        <v>4434</v>
      </c>
      <c r="P4416" s="9">
        <v>286288</v>
      </c>
      <c r="Q4416" s="9">
        <v>32594</v>
      </c>
      <c r="R4416" s="9">
        <v>318882</v>
      </c>
      <c r="S4416" s="9">
        <v>-123348</v>
      </c>
      <c r="T4416" s="10">
        <v>104775</v>
      </c>
      <c r="U4416" s="10">
        <v>1429</v>
      </c>
    </row>
    <row r="4417" spans="1:21" x14ac:dyDescent="0.35">
      <c r="A4417" t="s">
        <v>15</v>
      </c>
      <c r="B4417" t="s">
        <v>20</v>
      </c>
      <c r="C4417" t="s">
        <v>21</v>
      </c>
      <c r="D4417">
        <v>173892</v>
      </c>
      <c r="E4417">
        <v>30769</v>
      </c>
      <c r="F4417">
        <v>24782</v>
      </c>
      <c r="G4417">
        <v>-140636</v>
      </c>
      <c r="H4417">
        <v>88807</v>
      </c>
      <c r="I4417">
        <v>89856</v>
      </c>
      <c r="J4417">
        <v>1550</v>
      </c>
      <c r="K4417">
        <v>482930</v>
      </c>
      <c r="L4417">
        <v>146193</v>
      </c>
      <c r="M4417">
        <v>-54529</v>
      </c>
      <c r="N4417">
        <v>113980</v>
      </c>
      <c r="O4417" t="s">
        <v>4435</v>
      </c>
      <c r="P4417" s="9">
        <v>241842</v>
      </c>
      <c r="Q4417" s="9">
        <v>30334</v>
      </c>
      <c r="R4417" s="9">
        <v>272176</v>
      </c>
      <c r="S4417" s="9">
        <v>-61113</v>
      </c>
      <c r="T4417" s="10">
        <v>94271</v>
      </c>
      <c r="U4417" s="10">
        <v>1946</v>
      </c>
    </row>
    <row r="4418" spans="1:21" x14ac:dyDescent="0.35">
      <c r="A4418" t="s">
        <v>15</v>
      </c>
      <c r="B4418" t="s">
        <v>16</v>
      </c>
      <c r="C4418" t="s">
        <v>21</v>
      </c>
      <c r="D4418">
        <v>239989</v>
      </c>
      <c r="E4418">
        <v>16154</v>
      </c>
      <c r="F4418">
        <v>30295</v>
      </c>
      <c r="G4418">
        <v>-222833</v>
      </c>
      <c r="H4418">
        <v>63605</v>
      </c>
      <c r="I4418">
        <v>64887</v>
      </c>
      <c r="J4418">
        <v>1012</v>
      </c>
      <c r="K4418">
        <v>594419</v>
      </c>
      <c r="L4418">
        <v>102042</v>
      </c>
      <c r="M4418">
        <v>-214437</v>
      </c>
      <c r="N4418">
        <v>84702</v>
      </c>
      <c r="O4418" t="s">
        <v>4436</v>
      </c>
      <c r="P4418" s="9">
        <v>249298</v>
      </c>
      <c r="Q4418" s="9">
        <v>24723</v>
      </c>
      <c r="R4418" s="9">
        <v>274021</v>
      </c>
      <c r="S4418" s="9">
        <v>-127232</v>
      </c>
      <c r="T4418" s="10">
        <v>78629</v>
      </c>
      <c r="U4418" s="10">
        <v>2031</v>
      </c>
    </row>
    <row r="4419" spans="1:21" x14ac:dyDescent="0.35">
      <c r="A4419" t="s">
        <v>15</v>
      </c>
      <c r="B4419" t="s">
        <v>20</v>
      </c>
      <c r="C4419" t="s">
        <v>21</v>
      </c>
      <c r="D4419">
        <v>202895</v>
      </c>
      <c r="E4419">
        <v>34963</v>
      </c>
      <c r="F4419">
        <v>40190</v>
      </c>
      <c r="G4419">
        <v>-163414</v>
      </c>
      <c r="H4419">
        <v>114634</v>
      </c>
      <c r="I4419">
        <v>106258</v>
      </c>
      <c r="J4419">
        <v>2248</v>
      </c>
      <c r="K4419">
        <v>806875</v>
      </c>
      <c r="L4419">
        <v>304797</v>
      </c>
      <c r="M4419">
        <v>-153532</v>
      </c>
      <c r="N4419">
        <v>74696</v>
      </c>
      <c r="O4419" t="s">
        <v>4437</v>
      </c>
      <c r="P4419" s="9">
        <v>282952</v>
      </c>
      <c r="Q4419" s="9">
        <v>15835</v>
      </c>
      <c r="R4419" s="9">
        <v>298787</v>
      </c>
      <c r="S4419" s="9">
        <v>-135441</v>
      </c>
      <c r="T4419" s="10">
        <v>112431</v>
      </c>
      <c r="U4419" s="10">
        <v>2734</v>
      </c>
    </row>
    <row r="4420" spans="1:21" x14ac:dyDescent="0.35">
      <c r="A4420" t="s">
        <v>15</v>
      </c>
      <c r="B4420" t="s">
        <v>16</v>
      </c>
      <c r="C4420" t="s">
        <v>17</v>
      </c>
      <c r="D4420">
        <v>292855</v>
      </c>
      <c r="E4420">
        <v>30623</v>
      </c>
      <c r="F4420">
        <v>66004</v>
      </c>
      <c r="G4420">
        <v>-256867</v>
      </c>
      <c r="H4420">
        <v>132615</v>
      </c>
      <c r="I4420">
        <v>121947</v>
      </c>
      <c r="J4420">
        <v>1536</v>
      </c>
      <c r="K4420">
        <v>1119907</v>
      </c>
      <c r="L4420">
        <v>121367</v>
      </c>
      <c r="M4420">
        <v>-367564</v>
      </c>
      <c r="N4420">
        <v>180331</v>
      </c>
      <c r="O4420" t="s">
        <v>4438</v>
      </c>
      <c r="P4420" s="9">
        <v>246843</v>
      </c>
      <c r="Q4420" s="9">
        <v>13386</v>
      </c>
      <c r="R4420" s="9">
        <v>260229</v>
      </c>
      <c r="S4420" s="9">
        <v>-81019</v>
      </c>
      <c r="T4420" s="10">
        <v>75805</v>
      </c>
      <c r="U4420" s="10">
        <v>832</v>
      </c>
    </row>
    <row r="4421" spans="1:21" x14ac:dyDescent="0.35">
      <c r="A4421" t="s">
        <v>15</v>
      </c>
      <c r="B4421" t="s">
        <v>20</v>
      </c>
      <c r="C4421" t="s">
        <v>21</v>
      </c>
      <c r="D4421">
        <v>156516</v>
      </c>
      <c r="E4421">
        <v>14184</v>
      </c>
      <c r="F4421">
        <v>26509</v>
      </c>
      <c r="G4421">
        <v>-137416</v>
      </c>
      <c r="H4421">
        <v>59793</v>
      </c>
      <c r="I4421">
        <v>61276</v>
      </c>
      <c r="J4421">
        <v>1128</v>
      </c>
      <c r="K4421">
        <v>533232</v>
      </c>
      <c r="L4421">
        <v>111978</v>
      </c>
      <c r="M4421">
        <v>-172829</v>
      </c>
      <c r="N4421">
        <v>90602</v>
      </c>
      <c r="O4421" t="s">
        <v>4439</v>
      </c>
      <c r="P4421" s="9">
        <v>187384</v>
      </c>
      <c r="Q4421" s="9">
        <v>31998</v>
      </c>
      <c r="R4421" s="9">
        <v>219382</v>
      </c>
      <c r="S4421" s="9">
        <v>-113159</v>
      </c>
      <c r="T4421" s="10">
        <v>86095</v>
      </c>
      <c r="U4421" s="10">
        <v>2002</v>
      </c>
    </row>
    <row r="4422" spans="1:21" x14ac:dyDescent="0.35">
      <c r="A4422" t="s">
        <v>15</v>
      </c>
      <c r="B4422" t="s">
        <v>16</v>
      </c>
      <c r="C4422" t="s">
        <v>21</v>
      </c>
      <c r="D4422">
        <v>160416</v>
      </c>
      <c r="E4422">
        <v>8944</v>
      </c>
      <c r="F4422">
        <v>24249</v>
      </c>
      <c r="G4422">
        <v>-131667</v>
      </c>
      <c r="H4422">
        <v>61942</v>
      </c>
      <c r="I4422">
        <v>64629</v>
      </c>
      <c r="J4422">
        <v>1243</v>
      </c>
      <c r="K4422">
        <v>357712</v>
      </c>
      <c r="L4422">
        <v>150679</v>
      </c>
      <c r="M4422">
        <v>-78848</v>
      </c>
      <c r="N4422">
        <v>111188</v>
      </c>
      <c r="O4422" t="s">
        <v>4440</v>
      </c>
      <c r="P4422" s="9">
        <v>298852</v>
      </c>
      <c r="Q4422" s="9">
        <v>56530</v>
      </c>
      <c r="R4422" s="9">
        <v>355382</v>
      </c>
      <c r="S4422" s="9">
        <v>-103125</v>
      </c>
      <c r="T4422" s="10">
        <v>132408</v>
      </c>
      <c r="U4422" s="10">
        <v>3321</v>
      </c>
    </row>
    <row r="4423" spans="1:21" x14ac:dyDescent="0.35">
      <c r="A4423" t="s">
        <v>15</v>
      </c>
      <c r="B4423" t="s">
        <v>20</v>
      </c>
      <c r="C4423" t="s">
        <v>17</v>
      </c>
      <c r="D4423">
        <v>166089</v>
      </c>
      <c r="E4423">
        <v>19440</v>
      </c>
      <c r="F4423">
        <v>29648</v>
      </c>
      <c r="G4423">
        <v>-147797</v>
      </c>
      <c r="H4423">
        <v>67380</v>
      </c>
      <c r="I4423">
        <v>62984</v>
      </c>
      <c r="J4423">
        <v>997</v>
      </c>
      <c r="K4423">
        <v>604560</v>
      </c>
      <c r="L4423">
        <v>274427</v>
      </c>
      <c r="M4423">
        <v>-96481</v>
      </c>
      <c r="N4423">
        <v>52816</v>
      </c>
      <c r="O4423" t="s">
        <v>4441</v>
      </c>
      <c r="P4423" s="9">
        <v>234509</v>
      </c>
      <c r="Q4423" s="9">
        <v>18748</v>
      </c>
      <c r="R4423" s="9">
        <v>253257</v>
      </c>
      <c r="S4423" s="9">
        <v>-54836</v>
      </c>
      <c r="T4423" s="10">
        <v>68043</v>
      </c>
      <c r="U4423" s="10">
        <v>909</v>
      </c>
    </row>
    <row r="4424" spans="1:21" x14ac:dyDescent="0.35">
      <c r="A4424" t="s">
        <v>15</v>
      </c>
      <c r="B4424" t="s">
        <v>16</v>
      </c>
      <c r="C4424" t="s">
        <v>17</v>
      </c>
      <c r="D4424">
        <v>190946</v>
      </c>
      <c r="E4424">
        <v>13273</v>
      </c>
      <c r="F4424">
        <v>35206</v>
      </c>
      <c r="G4424">
        <v>-189859</v>
      </c>
      <c r="H4424">
        <v>49566</v>
      </c>
      <c r="I4424">
        <v>47306</v>
      </c>
      <c r="J4424">
        <v>1353</v>
      </c>
      <c r="K4424">
        <v>558210</v>
      </c>
      <c r="L4424">
        <v>92181</v>
      </c>
      <c r="M4424">
        <v>-112454</v>
      </c>
      <c r="N4424">
        <v>154579</v>
      </c>
      <c r="O4424" t="s">
        <v>4442</v>
      </c>
      <c r="P4424" s="9">
        <v>203600</v>
      </c>
      <c r="Q4424" s="9">
        <v>28882</v>
      </c>
      <c r="R4424" s="9">
        <v>232482</v>
      </c>
      <c r="S4424" s="9">
        <v>-65003</v>
      </c>
      <c r="T4424" s="10">
        <v>103319</v>
      </c>
      <c r="U4424" s="10">
        <v>1463</v>
      </c>
    </row>
    <row r="4425" spans="1:21" x14ac:dyDescent="0.35">
      <c r="A4425" t="s">
        <v>15</v>
      </c>
      <c r="B4425" t="s">
        <v>16</v>
      </c>
      <c r="C4425" t="s">
        <v>21</v>
      </c>
      <c r="D4425">
        <v>273189</v>
      </c>
      <c r="E4425">
        <v>54318</v>
      </c>
      <c r="F4425">
        <v>36667</v>
      </c>
      <c r="G4425">
        <v>-272524</v>
      </c>
      <c r="H4425">
        <v>91650</v>
      </c>
      <c r="I4425">
        <v>91505</v>
      </c>
      <c r="J4425">
        <v>2097</v>
      </c>
      <c r="K4425">
        <v>548839</v>
      </c>
      <c r="L4425">
        <v>230359</v>
      </c>
      <c r="M4425">
        <v>-152189</v>
      </c>
      <c r="N4425">
        <v>224112</v>
      </c>
      <c r="O4425" t="s">
        <v>4443</v>
      </c>
      <c r="P4425" s="9">
        <v>232519</v>
      </c>
      <c r="Q4425" s="9">
        <v>37096</v>
      </c>
      <c r="R4425" s="9">
        <v>269615</v>
      </c>
      <c r="S4425" s="9">
        <v>-70694</v>
      </c>
      <c r="T4425" s="10">
        <v>70102</v>
      </c>
      <c r="U4425" s="10">
        <v>1334</v>
      </c>
    </row>
    <row r="4426" spans="1:21" x14ac:dyDescent="0.35">
      <c r="A4426" t="s">
        <v>15</v>
      </c>
      <c r="B4426" t="s">
        <v>16</v>
      </c>
      <c r="C4426" t="s">
        <v>21</v>
      </c>
      <c r="D4426">
        <v>245395</v>
      </c>
      <c r="E4426">
        <v>18868</v>
      </c>
      <c r="F4426">
        <v>54170</v>
      </c>
      <c r="G4426">
        <v>-236737</v>
      </c>
      <c r="H4426">
        <v>81696</v>
      </c>
      <c r="I4426">
        <v>80050</v>
      </c>
      <c r="J4426">
        <v>2124</v>
      </c>
      <c r="K4426">
        <v>969819</v>
      </c>
      <c r="L4426">
        <v>158731</v>
      </c>
      <c r="M4426">
        <v>-150951</v>
      </c>
      <c r="N4426">
        <v>147218</v>
      </c>
      <c r="O4426" t="s">
        <v>4444</v>
      </c>
      <c r="P4426" s="9">
        <v>185442</v>
      </c>
      <c r="Q4426" s="9">
        <v>19772</v>
      </c>
      <c r="R4426" s="9">
        <v>205214</v>
      </c>
      <c r="S4426" s="9">
        <v>-49715</v>
      </c>
      <c r="T4426" s="10">
        <v>64283</v>
      </c>
      <c r="U4426" s="10">
        <v>974</v>
      </c>
    </row>
    <row r="4427" spans="1:21" x14ac:dyDescent="0.35">
      <c r="A4427" t="s">
        <v>15</v>
      </c>
      <c r="B4427" t="s">
        <v>16</v>
      </c>
      <c r="C4427" t="s">
        <v>21</v>
      </c>
      <c r="D4427">
        <v>206334</v>
      </c>
      <c r="E4427">
        <v>37498</v>
      </c>
      <c r="F4427">
        <v>27891</v>
      </c>
      <c r="G4427">
        <v>-184884</v>
      </c>
      <c r="H4427">
        <v>86839</v>
      </c>
      <c r="I4427">
        <v>86248</v>
      </c>
      <c r="J4427">
        <v>2446</v>
      </c>
      <c r="K4427">
        <v>690725</v>
      </c>
      <c r="L4427">
        <v>314895</v>
      </c>
      <c r="M4427">
        <v>-168334</v>
      </c>
      <c r="N4427">
        <v>173594</v>
      </c>
      <c r="O4427" t="s">
        <v>4445</v>
      </c>
      <c r="P4427" s="9">
        <v>216999</v>
      </c>
      <c r="Q4427" s="9">
        <v>46932</v>
      </c>
      <c r="R4427" s="9">
        <v>263931</v>
      </c>
      <c r="S4427" s="9">
        <v>-140078</v>
      </c>
      <c r="T4427" s="10">
        <v>131507</v>
      </c>
      <c r="U4427" s="10">
        <v>2110</v>
      </c>
    </row>
    <row r="4428" spans="1:21" x14ac:dyDescent="0.35">
      <c r="A4428" t="s">
        <v>15</v>
      </c>
      <c r="B4428" t="s">
        <v>16</v>
      </c>
      <c r="C4428" t="s">
        <v>21</v>
      </c>
      <c r="D4428">
        <v>161971</v>
      </c>
      <c r="E4428">
        <v>25910</v>
      </c>
      <c r="F4428">
        <v>17199</v>
      </c>
      <c r="G4428">
        <v>-157982</v>
      </c>
      <c r="H4428">
        <v>47098</v>
      </c>
      <c r="I4428">
        <v>47299</v>
      </c>
      <c r="J4428">
        <v>1413</v>
      </c>
      <c r="K4428">
        <v>462862</v>
      </c>
      <c r="L4428">
        <v>135538</v>
      </c>
      <c r="M4428">
        <v>-106940</v>
      </c>
      <c r="N4428">
        <v>138464</v>
      </c>
      <c r="O4428" t="s">
        <v>4446</v>
      </c>
      <c r="P4428" s="9">
        <v>227885</v>
      </c>
      <c r="Q4428" s="9">
        <v>24926</v>
      </c>
      <c r="R4428" s="9">
        <v>252811</v>
      </c>
      <c r="S4428" s="9">
        <v>-148053</v>
      </c>
      <c r="T4428" s="10">
        <v>105474</v>
      </c>
      <c r="U4428" s="10">
        <v>1288</v>
      </c>
    </row>
    <row r="4429" spans="1:21" x14ac:dyDescent="0.35">
      <c r="A4429" t="s">
        <v>15</v>
      </c>
      <c r="B4429" t="s">
        <v>20</v>
      </c>
      <c r="C4429" t="s">
        <v>21</v>
      </c>
      <c r="D4429">
        <v>212525</v>
      </c>
      <c r="E4429">
        <v>41871</v>
      </c>
      <c r="F4429">
        <v>34755</v>
      </c>
      <c r="G4429">
        <v>-211850</v>
      </c>
      <c r="H4429">
        <v>77301</v>
      </c>
      <c r="I4429">
        <v>78198</v>
      </c>
      <c r="J4429">
        <v>2135</v>
      </c>
      <c r="K4429">
        <v>518290</v>
      </c>
      <c r="L4429">
        <v>225630</v>
      </c>
      <c r="M4429">
        <v>-95458</v>
      </c>
      <c r="N4429">
        <v>77052</v>
      </c>
      <c r="O4429" t="s">
        <v>4447</v>
      </c>
      <c r="P4429" s="9">
        <v>207307</v>
      </c>
      <c r="Q4429" s="9">
        <v>27381</v>
      </c>
      <c r="R4429" s="9">
        <v>234688</v>
      </c>
      <c r="S4429" s="9">
        <v>-67053</v>
      </c>
      <c r="T4429" s="10">
        <v>78826</v>
      </c>
      <c r="U4429" s="10">
        <v>895</v>
      </c>
    </row>
    <row r="4430" spans="1:21" x14ac:dyDescent="0.35">
      <c r="A4430" t="s">
        <v>15</v>
      </c>
      <c r="B4430" t="s">
        <v>20</v>
      </c>
      <c r="C4430" t="s">
        <v>17</v>
      </c>
      <c r="D4430">
        <v>226085</v>
      </c>
      <c r="E4430">
        <v>38317</v>
      </c>
      <c r="F4430">
        <v>39735</v>
      </c>
      <c r="G4430">
        <v>-203881</v>
      </c>
      <c r="H4430">
        <v>100256</v>
      </c>
      <c r="I4430">
        <v>103161</v>
      </c>
      <c r="J4430">
        <v>1708</v>
      </c>
      <c r="K4430">
        <v>509270</v>
      </c>
      <c r="L4430">
        <v>60142</v>
      </c>
      <c r="M4430">
        <v>-55134</v>
      </c>
      <c r="N4430">
        <v>78510</v>
      </c>
      <c r="O4430" t="s">
        <v>4448</v>
      </c>
      <c r="P4430" s="9">
        <v>174030</v>
      </c>
      <c r="Q4430" s="9">
        <v>29940</v>
      </c>
      <c r="R4430" s="9">
        <v>203970</v>
      </c>
      <c r="S4430" s="9">
        <v>-57127</v>
      </c>
      <c r="T4430" s="10">
        <v>96994</v>
      </c>
      <c r="U4430" s="10">
        <v>1324</v>
      </c>
    </row>
    <row r="4431" spans="1:21" x14ac:dyDescent="0.35">
      <c r="A4431" t="s">
        <v>15</v>
      </c>
      <c r="B4431" t="s">
        <v>20</v>
      </c>
      <c r="C4431" t="s">
        <v>21</v>
      </c>
      <c r="D4431">
        <v>168121</v>
      </c>
      <c r="E4431">
        <v>18799</v>
      </c>
      <c r="F4431">
        <v>22725</v>
      </c>
      <c r="G4431">
        <v>-167968</v>
      </c>
      <c r="H4431">
        <v>41677</v>
      </c>
      <c r="I4431">
        <v>43129</v>
      </c>
      <c r="J4431">
        <v>853</v>
      </c>
      <c r="K4431">
        <v>397051</v>
      </c>
      <c r="L4431">
        <v>52635</v>
      </c>
      <c r="M4431">
        <v>-97789</v>
      </c>
      <c r="N4431">
        <v>84532</v>
      </c>
      <c r="O4431" t="s">
        <v>4449</v>
      </c>
      <c r="P4431" s="9">
        <v>279785</v>
      </c>
      <c r="Q4431" s="9">
        <v>44319</v>
      </c>
      <c r="R4431" s="9">
        <v>324104</v>
      </c>
      <c r="S4431" s="9">
        <v>-85442</v>
      </c>
      <c r="T4431" s="10">
        <v>82395</v>
      </c>
      <c r="U4431" s="10">
        <v>1954</v>
      </c>
    </row>
    <row r="4432" spans="1:21" x14ac:dyDescent="0.35">
      <c r="A4432" t="s">
        <v>15</v>
      </c>
      <c r="B4432" t="s">
        <v>16</v>
      </c>
      <c r="C4432" t="s">
        <v>17</v>
      </c>
      <c r="D4432">
        <v>295765</v>
      </c>
      <c r="E4432">
        <v>47564</v>
      </c>
      <c r="F4432">
        <v>52338</v>
      </c>
      <c r="G4432">
        <v>-293188</v>
      </c>
      <c r="H4432">
        <v>102479</v>
      </c>
      <c r="I4432">
        <v>96544</v>
      </c>
      <c r="J4432">
        <v>2289</v>
      </c>
      <c r="K4432">
        <v>1100854</v>
      </c>
      <c r="L4432">
        <v>538683</v>
      </c>
      <c r="M4432">
        <v>-196973</v>
      </c>
      <c r="N4432">
        <v>89475</v>
      </c>
      <c r="O4432" t="s">
        <v>4450</v>
      </c>
      <c r="P4432" s="9">
        <v>291476</v>
      </c>
      <c r="Q4432" s="9">
        <v>31901</v>
      </c>
      <c r="R4432" s="9">
        <v>323377</v>
      </c>
      <c r="S4432" s="9">
        <v>-156427</v>
      </c>
      <c r="T4432" s="10">
        <v>118486</v>
      </c>
      <c r="U4432" s="10">
        <v>2634</v>
      </c>
    </row>
    <row r="4433" spans="1:21" x14ac:dyDescent="0.35">
      <c r="A4433" t="s">
        <v>15</v>
      </c>
      <c r="B4433" t="s">
        <v>16</v>
      </c>
      <c r="C4433" t="s">
        <v>21</v>
      </c>
      <c r="D4433">
        <v>212319</v>
      </c>
      <c r="E4433">
        <v>35245</v>
      </c>
      <c r="F4433">
        <v>35777</v>
      </c>
      <c r="G4433">
        <v>-185741</v>
      </c>
      <c r="H4433">
        <v>97600</v>
      </c>
      <c r="I4433">
        <v>94505</v>
      </c>
      <c r="J4433">
        <v>2171</v>
      </c>
      <c r="K4433">
        <v>569989</v>
      </c>
      <c r="L4433">
        <v>257365</v>
      </c>
      <c r="M4433">
        <v>-166686</v>
      </c>
      <c r="N4433">
        <v>66757</v>
      </c>
      <c r="O4433" t="s">
        <v>4451</v>
      </c>
      <c r="P4433" s="9">
        <v>280583</v>
      </c>
      <c r="Q4433" s="9">
        <v>56256</v>
      </c>
      <c r="R4433" s="9">
        <v>336839</v>
      </c>
      <c r="S4433" s="9">
        <v>-136080</v>
      </c>
      <c r="T4433" s="10">
        <v>101057</v>
      </c>
      <c r="U4433" s="10">
        <v>1793</v>
      </c>
    </row>
    <row r="4434" spans="1:21" x14ac:dyDescent="0.35">
      <c r="A4434" t="s">
        <v>15</v>
      </c>
      <c r="B4434" t="s">
        <v>16</v>
      </c>
      <c r="C4434" t="s">
        <v>21</v>
      </c>
      <c r="D4434">
        <v>188701</v>
      </c>
      <c r="E4434">
        <v>23711</v>
      </c>
      <c r="F4434">
        <v>19077</v>
      </c>
      <c r="G4434">
        <v>-185261</v>
      </c>
      <c r="H4434">
        <v>46228</v>
      </c>
      <c r="I4434">
        <v>47678</v>
      </c>
      <c r="J4434">
        <v>716</v>
      </c>
      <c r="K4434">
        <v>742946</v>
      </c>
      <c r="L4434">
        <v>368524</v>
      </c>
      <c r="M4434">
        <v>-201728</v>
      </c>
      <c r="N4434">
        <v>99490</v>
      </c>
      <c r="O4434" t="s">
        <v>4452</v>
      </c>
      <c r="P4434" s="9">
        <v>190953</v>
      </c>
      <c r="Q4434" s="9">
        <v>21299</v>
      </c>
      <c r="R4434" s="9">
        <v>212252</v>
      </c>
      <c r="S4434" s="9">
        <v>-58166</v>
      </c>
      <c r="T4434" s="10">
        <v>64091</v>
      </c>
      <c r="U4434" s="10">
        <v>1854</v>
      </c>
    </row>
    <row r="4435" spans="1:21" x14ac:dyDescent="0.35">
      <c r="A4435" t="s">
        <v>15</v>
      </c>
      <c r="B4435" t="s">
        <v>16</v>
      </c>
      <c r="C4435" t="s">
        <v>21</v>
      </c>
      <c r="D4435">
        <v>203698</v>
      </c>
      <c r="E4435">
        <v>14282</v>
      </c>
      <c r="F4435">
        <v>20823</v>
      </c>
      <c r="G4435">
        <v>-177158</v>
      </c>
      <c r="H4435">
        <v>61645</v>
      </c>
      <c r="I4435">
        <v>57776</v>
      </c>
      <c r="J4435">
        <v>968</v>
      </c>
      <c r="K4435">
        <v>644909</v>
      </c>
      <c r="L4435">
        <v>171447</v>
      </c>
      <c r="M4435">
        <v>-148124</v>
      </c>
      <c r="N4435">
        <v>70699</v>
      </c>
      <c r="O4435" t="s">
        <v>4453</v>
      </c>
      <c r="P4435" s="9">
        <v>226478</v>
      </c>
      <c r="Q4435" s="9">
        <v>26489</v>
      </c>
      <c r="R4435" s="9">
        <v>252967</v>
      </c>
      <c r="S4435" s="9">
        <v>-109778</v>
      </c>
      <c r="T4435" s="10">
        <v>65399</v>
      </c>
      <c r="U4435" s="10">
        <v>1676</v>
      </c>
    </row>
    <row r="4436" spans="1:21" x14ac:dyDescent="0.35">
      <c r="A4436" t="s">
        <v>15</v>
      </c>
      <c r="B4436" t="s">
        <v>20</v>
      </c>
      <c r="C4436" t="s">
        <v>21</v>
      </c>
      <c r="D4436">
        <v>160148</v>
      </c>
      <c r="E4436">
        <v>27703</v>
      </c>
      <c r="F4436">
        <v>24359</v>
      </c>
      <c r="G4436">
        <v>-148609</v>
      </c>
      <c r="H4436">
        <v>63601</v>
      </c>
      <c r="I4436">
        <v>62921</v>
      </c>
      <c r="J4436">
        <v>690</v>
      </c>
      <c r="K4436">
        <v>346317</v>
      </c>
      <c r="L4436">
        <v>104502</v>
      </c>
      <c r="M4436">
        <v>-114216</v>
      </c>
      <c r="N4436">
        <v>53843</v>
      </c>
      <c r="O4436" t="s">
        <v>4454</v>
      </c>
      <c r="P4436" s="9">
        <v>158690</v>
      </c>
      <c r="Q4436" s="9">
        <v>11053</v>
      </c>
      <c r="R4436" s="9">
        <v>169743</v>
      </c>
      <c r="S4436" s="9">
        <v>-34042</v>
      </c>
      <c r="T4436" s="10">
        <v>50284</v>
      </c>
      <c r="U4436" s="10">
        <v>1442</v>
      </c>
    </row>
    <row r="4437" spans="1:21" x14ac:dyDescent="0.35">
      <c r="A4437" t="s">
        <v>15</v>
      </c>
      <c r="B4437" t="s">
        <v>16</v>
      </c>
      <c r="C4437" t="s">
        <v>21</v>
      </c>
      <c r="D4437">
        <v>186089</v>
      </c>
      <c r="E4437">
        <v>30860</v>
      </c>
      <c r="F4437">
        <v>28735</v>
      </c>
      <c r="G4437">
        <v>-162527</v>
      </c>
      <c r="H4437">
        <v>83157</v>
      </c>
      <c r="I4437">
        <v>76094</v>
      </c>
      <c r="J4437">
        <v>1559</v>
      </c>
      <c r="K4437">
        <v>617333</v>
      </c>
      <c r="L4437">
        <v>307348</v>
      </c>
      <c r="M4437">
        <v>-101648</v>
      </c>
      <c r="N4437">
        <v>70234</v>
      </c>
      <c r="O4437" t="s">
        <v>4455</v>
      </c>
      <c r="P4437" s="9">
        <v>222942</v>
      </c>
      <c r="Q4437" s="9">
        <v>25577</v>
      </c>
      <c r="R4437" s="9">
        <v>248519</v>
      </c>
      <c r="S4437" s="9">
        <v>-120160</v>
      </c>
      <c r="T4437" s="10">
        <v>56593</v>
      </c>
      <c r="U4437" s="10">
        <v>1356</v>
      </c>
    </row>
    <row r="4438" spans="1:21" x14ac:dyDescent="0.35">
      <c r="A4438" t="s">
        <v>15</v>
      </c>
      <c r="B4438" t="s">
        <v>20</v>
      </c>
      <c r="C4438" t="s">
        <v>17</v>
      </c>
      <c r="D4438">
        <v>187968</v>
      </c>
      <c r="E4438">
        <v>12089</v>
      </c>
      <c r="F4438">
        <v>26938</v>
      </c>
      <c r="G4438">
        <v>-172354</v>
      </c>
      <c r="H4438">
        <v>54641</v>
      </c>
      <c r="I4438">
        <v>49879</v>
      </c>
      <c r="J4438">
        <v>793</v>
      </c>
      <c r="K4438">
        <v>626715</v>
      </c>
      <c r="L4438">
        <v>308507</v>
      </c>
      <c r="M4438">
        <v>-151205</v>
      </c>
      <c r="N4438">
        <v>108658</v>
      </c>
      <c r="O4438" t="s">
        <v>4456</v>
      </c>
      <c r="P4438" s="9">
        <v>162066</v>
      </c>
      <c r="Q4438" s="9">
        <v>14622</v>
      </c>
      <c r="R4438" s="9">
        <v>176688</v>
      </c>
      <c r="S4438" s="9">
        <v>-43502</v>
      </c>
      <c r="T4438" s="10">
        <v>64126</v>
      </c>
      <c r="U4438" s="10">
        <v>1048</v>
      </c>
    </row>
    <row r="4439" spans="1:21" x14ac:dyDescent="0.35">
      <c r="A4439" t="s">
        <v>15</v>
      </c>
      <c r="B4439" t="s">
        <v>16</v>
      </c>
      <c r="C4439" t="s">
        <v>21</v>
      </c>
      <c r="D4439">
        <v>174357</v>
      </c>
      <c r="E4439">
        <v>13494</v>
      </c>
      <c r="F4439">
        <v>22375</v>
      </c>
      <c r="G4439">
        <v>-162543</v>
      </c>
      <c r="H4439">
        <v>47683</v>
      </c>
      <c r="I4439">
        <v>43260</v>
      </c>
      <c r="J4439">
        <v>676</v>
      </c>
      <c r="K4439">
        <v>598775</v>
      </c>
      <c r="L4439">
        <v>237203</v>
      </c>
      <c r="M4439">
        <v>-201941</v>
      </c>
      <c r="N4439">
        <v>75834</v>
      </c>
      <c r="O4439" t="s">
        <v>4457</v>
      </c>
      <c r="P4439" s="9">
        <v>282708</v>
      </c>
      <c r="Q4439" s="9">
        <v>51479</v>
      </c>
      <c r="R4439" s="9">
        <v>334187</v>
      </c>
      <c r="S4439" s="9">
        <v>-171254</v>
      </c>
      <c r="T4439" s="10">
        <v>107495</v>
      </c>
      <c r="U4439" s="10">
        <v>1497</v>
      </c>
    </row>
    <row r="4440" spans="1:21" x14ac:dyDescent="0.35">
      <c r="A4440" t="s">
        <v>15</v>
      </c>
      <c r="B4440" t="s">
        <v>20</v>
      </c>
      <c r="C4440" t="s">
        <v>21</v>
      </c>
      <c r="D4440">
        <v>246260</v>
      </c>
      <c r="E4440">
        <v>27898</v>
      </c>
      <c r="F4440">
        <v>30890</v>
      </c>
      <c r="G4440">
        <v>-235651</v>
      </c>
      <c r="H4440">
        <v>69397</v>
      </c>
      <c r="I4440">
        <v>71672</v>
      </c>
      <c r="J4440">
        <v>1460</v>
      </c>
      <c r="K4440">
        <v>729495</v>
      </c>
      <c r="L4440">
        <v>302401</v>
      </c>
      <c r="M4440">
        <v>-139284</v>
      </c>
      <c r="N4440">
        <v>177085</v>
      </c>
      <c r="O4440" t="s">
        <v>4458</v>
      </c>
      <c r="P4440" s="9">
        <v>235310</v>
      </c>
      <c r="Q4440" s="9">
        <v>19302</v>
      </c>
      <c r="R4440" s="9">
        <v>254612</v>
      </c>
      <c r="S4440" s="9">
        <v>-137368</v>
      </c>
      <c r="T4440" s="10">
        <v>100895</v>
      </c>
      <c r="U4440" s="10">
        <v>1248</v>
      </c>
    </row>
    <row r="4441" spans="1:21" x14ac:dyDescent="0.35">
      <c r="A4441" t="s">
        <v>15</v>
      </c>
      <c r="B4441" t="s">
        <v>16</v>
      </c>
      <c r="C4441" t="s">
        <v>21</v>
      </c>
      <c r="D4441">
        <v>151013</v>
      </c>
      <c r="E4441">
        <v>25376</v>
      </c>
      <c r="F4441">
        <v>35366</v>
      </c>
      <c r="G4441">
        <v>-134154</v>
      </c>
      <c r="H4441">
        <v>77601</v>
      </c>
      <c r="I4441">
        <v>71832</v>
      </c>
      <c r="J4441">
        <v>1930</v>
      </c>
      <c r="K4441">
        <v>328115</v>
      </c>
      <c r="L4441">
        <v>123961</v>
      </c>
      <c r="M4441">
        <v>-120317</v>
      </c>
      <c r="N4441">
        <v>110017</v>
      </c>
      <c r="O4441" t="s">
        <v>4459</v>
      </c>
      <c r="P4441" s="9">
        <v>176568</v>
      </c>
      <c r="Q4441" s="9">
        <v>22503</v>
      </c>
      <c r="R4441" s="9">
        <v>199071</v>
      </c>
      <c r="S4441" s="9">
        <v>-70834</v>
      </c>
      <c r="T4441" s="10">
        <v>66863</v>
      </c>
      <c r="U4441" s="10">
        <v>1094</v>
      </c>
    </row>
    <row r="4442" spans="1:21" x14ac:dyDescent="0.35">
      <c r="A4442" t="s">
        <v>15</v>
      </c>
      <c r="B4442" t="s">
        <v>20</v>
      </c>
      <c r="C4442" t="s">
        <v>21</v>
      </c>
      <c r="D4442">
        <v>287885</v>
      </c>
      <c r="E4442">
        <v>56701</v>
      </c>
      <c r="F4442">
        <v>32096</v>
      </c>
      <c r="G4442">
        <v>-261548</v>
      </c>
      <c r="H4442">
        <v>115134</v>
      </c>
      <c r="I4442">
        <v>115981</v>
      </c>
      <c r="J4442">
        <v>2651</v>
      </c>
      <c r="K4442">
        <v>723841</v>
      </c>
      <c r="L4442">
        <v>238346</v>
      </c>
      <c r="M4442">
        <v>-226603</v>
      </c>
      <c r="N4442">
        <v>206898</v>
      </c>
      <c r="O4442" t="s">
        <v>4460</v>
      </c>
      <c r="P4442" s="9">
        <v>180231</v>
      </c>
      <c r="Q4442" s="9">
        <v>13307</v>
      </c>
      <c r="R4442" s="9">
        <v>193538</v>
      </c>
      <c r="S4442" s="9">
        <v>-107369</v>
      </c>
      <c r="T4442" s="10">
        <v>78403</v>
      </c>
      <c r="U4442" s="10">
        <v>1908</v>
      </c>
    </row>
    <row r="4443" spans="1:21" x14ac:dyDescent="0.35">
      <c r="A4443" t="s">
        <v>15</v>
      </c>
      <c r="B4443" t="s">
        <v>16</v>
      </c>
      <c r="C4443" t="s">
        <v>21</v>
      </c>
      <c r="D4443">
        <v>184794</v>
      </c>
      <c r="E4443">
        <v>34077</v>
      </c>
      <c r="F4443">
        <v>45568</v>
      </c>
      <c r="G4443">
        <v>-184349</v>
      </c>
      <c r="H4443">
        <v>80090</v>
      </c>
      <c r="I4443">
        <v>74924</v>
      </c>
      <c r="J4443">
        <v>2066</v>
      </c>
      <c r="K4443">
        <v>705394</v>
      </c>
      <c r="L4443">
        <v>105946</v>
      </c>
      <c r="M4443">
        <v>-266241</v>
      </c>
      <c r="N4443">
        <v>163446</v>
      </c>
      <c r="O4443" t="s">
        <v>4461</v>
      </c>
      <c r="P4443" s="9">
        <v>234015</v>
      </c>
      <c r="Q4443" s="9">
        <v>36940</v>
      </c>
      <c r="R4443" s="9">
        <v>270955</v>
      </c>
      <c r="S4443" s="9">
        <v>-60502</v>
      </c>
      <c r="T4443" s="10">
        <v>88922</v>
      </c>
      <c r="U4443" s="10">
        <v>2501</v>
      </c>
    </row>
    <row r="4444" spans="1:21" x14ac:dyDescent="0.35">
      <c r="A4444" t="s">
        <v>15</v>
      </c>
      <c r="B4444" t="s">
        <v>20</v>
      </c>
      <c r="C4444" t="s">
        <v>21</v>
      </c>
      <c r="D4444">
        <v>250948</v>
      </c>
      <c r="E4444">
        <v>15999</v>
      </c>
      <c r="F4444">
        <v>58311</v>
      </c>
      <c r="G4444">
        <v>-213490</v>
      </c>
      <c r="H4444">
        <v>111768</v>
      </c>
      <c r="I4444">
        <v>110309</v>
      </c>
      <c r="J4444">
        <v>2356</v>
      </c>
      <c r="K4444">
        <v>778018</v>
      </c>
      <c r="L4444">
        <v>240465</v>
      </c>
      <c r="M4444">
        <v>-118837</v>
      </c>
      <c r="N4444">
        <v>161756</v>
      </c>
      <c r="O4444" t="s">
        <v>4462</v>
      </c>
      <c r="P4444" s="9">
        <v>321366</v>
      </c>
      <c r="Q4444" s="9">
        <v>24798</v>
      </c>
      <c r="R4444" s="9">
        <v>346164</v>
      </c>
      <c r="S4444" s="9">
        <v>-103063</v>
      </c>
      <c r="T4444" s="10">
        <v>63990</v>
      </c>
      <c r="U4444" s="10">
        <v>1820</v>
      </c>
    </row>
    <row r="4445" spans="1:21" x14ac:dyDescent="0.35">
      <c r="A4445" t="s">
        <v>15</v>
      </c>
      <c r="B4445" t="s">
        <v>16</v>
      </c>
      <c r="C4445" t="s">
        <v>21</v>
      </c>
      <c r="D4445">
        <v>243485</v>
      </c>
      <c r="E4445">
        <v>48681</v>
      </c>
      <c r="F4445">
        <v>44277</v>
      </c>
      <c r="G4445">
        <v>-209416</v>
      </c>
      <c r="H4445">
        <v>127027</v>
      </c>
      <c r="I4445">
        <v>115320</v>
      </c>
      <c r="J4445">
        <v>1423</v>
      </c>
      <c r="K4445">
        <v>720820</v>
      </c>
      <c r="L4445">
        <v>260323</v>
      </c>
      <c r="M4445">
        <v>-98824</v>
      </c>
      <c r="N4445">
        <v>78814</v>
      </c>
      <c r="O4445" t="s">
        <v>4463</v>
      </c>
      <c r="P4445" s="9">
        <v>185282</v>
      </c>
      <c r="Q4445" s="9">
        <v>24485</v>
      </c>
      <c r="R4445" s="9">
        <v>209767</v>
      </c>
      <c r="S4445" s="9">
        <v>-51873</v>
      </c>
      <c r="T4445" s="10">
        <v>72199</v>
      </c>
      <c r="U4445" s="10">
        <v>1686</v>
      </c>
    </row>
    <row r="4446" spans="1:21" x14ac:dyDescent="0.35">
      <c r="A4446" t="s">
        <v>15</v>
      </c>
      <c r="B4446" t="s">
        <v>16</v>
      </c>
      <c r="C4446" t="s">
        <v>21</v>
      </c>
      <c r="D4446">
        <v>296792</v>
      </c>
      <c r="E4446">
        <v>43469</v>
      </c>
      <c r="F4446">
        <v>29785</v>
      </c>
      <c r="G4446">
        <v>-265333</v>
      </c>
      <c r="H4446">
        <v>104713</v>
      </c>
      <c r="I4446">
        <v>105026</v>
      </c>
      <c r="J4446">
        <v>1517</v>
      </c>
      <c r="K4446">
        <v>690196</v>
      </c>
      <c r="L4446">
        <v>107877</v>
      </c>
      <c r="M4446">
        <v>-82079</v>
      </c>
      <c r="N4446">
        <v>203464</v>
      </c>
      <c r="O4446" t="s">
        <v>4464</v>
      </c>
      <c r="P4446" s="9">
        <v>206677</v>
      </c>
      <c r="Q4446" s="9">
        <v>24248</v>
      </c>
      <c r="R4446" s="9">
        <v>230925</v>
      </c>
      <c r="S4446" s="9">
        <v>-78810</v>
      </c>
      <c r="T4446" s="10">
        <v>98269</v>
      </c>
      <c r="U4446" s="10">
        <v>2310</v>
      </c>
    </row>
    <row r="4447" spans="1:21" x14ac:dyDescent="0.35">
      <c r="A4447" t="s">
        <v>15</v>
      </c>
      <c r="B4447" t="s">
        <v>16</v>
      </c>
      <c r="C4447" t="s">
        <v>21</v>
      </c>
      <c r="D4447">
        <v>200287</v>
      </c>
      <c r="E4447">
        <v>34005</v>
      </c>
      <c r="F4447">
        <v>48300</v>
      </c>
      <c r="G4447">
        <v>-186831</v>
      </c>
      <c r="H4447">
        <v>95761</v>
      </c>
      <c r="I4447">
        <v>86316</v>
      </c>
      <c r="J4447">
        <v>1292</v>
      </c>
      <c r="K4447">
        <v>793508</v>
      </c>
      <c r="L4447">
        <v>322504</v>
      </c>
      <c r="M4447">
        <v>-269954</v>
      </c>
      <c r="N4447">
        <v>136932</v>
      </c>
      <c r="O4447" t="s">
        <v>4465</v>
      </c>
      <c r="P4447" s="9">
        <v>267706</v>
      </c>
      <c r="Q4447" s="9">
        <v>39936</v>
      </c>
      <c r="R4447" s="9">
        <v>307642</v>
      </c>
      <c r="S4447" s="9">
        <v>-175334</v>
      </c>
      <c r="T4447" s="10">
        <v>96153</v>
      </c>
      <c r="U4447" s="10">
        <v>1461</v>
      </c>
    </row>
    <row r="4448" spans="1:21" x14ac:dyDescent="0.35">
      <c r="A4448" t="s">
        <v>15</v>
      </c>
      <c r="B4448" t="s">
        <v>16</v>
      </c>
      <c r="C4448" t="s">
        <v>17</v>
      </c>
      <c r="D4448">
        <v>214165</v>
      </c>
      <c r="E4448">
        <v>20274</v>
      </c>
      <c r="F4448">
        <v>52632</v>
      </c>
      <c r="G4448">
        <v>-201247</v>
      </c>
      <c r="H4448">
        <v>85824</v>
      </c>
      <c r="I4448">
        <v>78599</v>
      </c>
      <c r="J4448">
        <v>2021</v>
      </c>
      <c r="K4448">
        <v>698534</v>
      </c>
      <c r="L4448">
        <v>81022</v>
      </c>
      <c r="M4448">
        <v>-93117</v>
      </c>
      <c r="N4448">
        <v>125540</v>
      </c>
      <c r="O4448" t="s">
        <v>4466</v>
      </c>
      <c r="P4448" s="9">
        <v>283000</v>
      </c>
      <c r="Q4448" s="9">
        <v>15393</v>
      </c>
      <c r="R4448" s="9">
        <v>298393</v>
      </c>
      <c r="S4448" s="9">
        <v>-83008</v>
      </c>
      <c r="T4448" s="10">
        <v>69878</v>
      </c>
      <c r="U4448" s="10">
        <v>766</v>
      </c>
    </row>
    <row r="4449" spans="1:21" x14ac:dyDescent="0.35">
      <c r="A4449" t="s">
        <v>15</v>
      </c>
      <c r="B4449" t="s">
        <v>20</v>
      </c>
      <c r="C4449" t="s">
        <v>21</v>
      </c>
      <c r="D4449">
        <v>196290</v>
      </c>
      <c r="E4449">
        <v>12367</v>
      </c>
      <c r="F4449">
        <v>24249</v>
      </c>
      <c r="G4449">
        <v>-169795</v>
      </c>
      <c r="H4449">
        <v>63111</v>
      </c>
      <c r="I4449">
        <v>56916</v>
      </c>
      <c r="J4449">
        <v>1175</v>
      </c>
      <c r="K4449">
        <v>536652</v>
      </c>
      <c r="L4449">
        <v>64591</v>
      </c>
      <c r="M4449">
        <v>-171913</v>
      </c>
      <c r="N4449">
        <v>69264</v>
      </c>
      <c r="O4449" t="s">
        <v>4467</v>
      </c>
      <c r="P4449" s="9">
        <v>190571</v>
      </c>
      <c r="Q4449" s="9">
        <v>34975</v>
      </c>
      <c r="R4449" s="9">
        <v>225546</v>
      </c>
      <c r="S4449" s="9">
        <v>-103262</v>
      </c>
      <c r="T4449" s="10">
        <v>80806</v>
      </c>
      <c r="U4449" s="10">
        <v>1819</v>
      </c>
    </row>
    <row r="4450" spans="1:21" x14ac:dyDescent="0.35">
      <c r="A4450" t="s">
        <v>15</v>
      </c>
      <c r="B4450" t="s">
        <v>16</v>
      </c>
      <c r="C4450" t="s">
        <v>21</v>
      </c>
      <c r="D4450">
        <v>299701</v>
      </c>
      <c r="E4450">
        <v>17725</v>
      </c>
      <c r="F4450">
        <v>46337</v>
      </c>
      <c r="G4450">
        <v>-252991</v>
      </c>
      <c r="H4450">
        <v>110772</v>
      </c>
      <c r="I4450">
        <v>113783</v>
      </c>
      <c r="J4450">
        <v>1384</v>
      </c>
      <c r="K4450">
        <v>1051436</v>
      </c>
      <c r="L4450">
        <v>407504</v>
      </c>
      <c r="M4450">
        <v>-138784</v>
      </c>
      <c r="N4450">
        <v>97031</v>
      </c>
      <c r="O4450" t="s">
        <v>4468</v>
      </c>
      <c r="P4450" s="9">
        <v>157046</v>
      </c>
      <c r="Q4450" s="9">
        <v>7458</v>
      </c>
      <c r="R4450" s="9">
        <v>164504</v>
      </c>
      <c r="S4450" s="9">
        <v>-36424</v>
      </c>
      <c r="T4450" s="10">
        <v>51850</v>
      </c>
      <c r="U4450" s="10">
        <v>1223</v>
      </c>
    </row>
    <row r="4451" spans="1:21" x14ac:dyDescent="0.35">
      <c r="A4451" t="s">
        <v>15</v>
      </c>
      <c r="B4451" t="s">
        <v>16</v>
      </c>
      <c r="C4451" t="s">
        <v>21</v>
      </c>
      <c r="D4451">
        <v>254781</v>
      </c>
      <c r="E4451">
        <v>35950</v>
      </c>
      <c r="F4451">
        <v>37663</v>
      </c>
      <c r="G4451">
        <v>-240870</v>
      </c>
      <c r="H4451">
        <v>87524</v>
      </c>
      <c r="I4451">
        <v>89020</v>
      </c>
      <c r="J4451">
        <v>1063</v>
      </c>
      <c r="K4451">
        <v>770776</v>
      </c>
      <c r="L4451">
        <v>232033</v>
      </c>
      <c r="M4451">
        <v>-173417</v>
      </c>
      <c r="N4451">
        <v>200309</v>
      </c>
      <c r="O4451" t="s">
        <v>4469</v>
      </c>
      <c r="P4451" s="9">
        <v>174923</v>
      </c>
      <c r="Q4451" s="9">
        <v>38328</v>
      </c>
      <c r="R4451" s="9">
        <v>213251</v>
      </c>
      <c r="S4451" s="9">
        <v>-87459</v>
      </c>
      <c r="T4451" s="10">
        <v>119071</v>
      </c>
      <c r="U4451" s="10">
        <v>2464</v>
      </c>
    </row>
    <row r="4452" spans="1:21" x14ac:dyDescent="0.35">
      <c r="A4452" t="s">
        <v>15</v>
      </c>
      <c r="B4452" t="s">
        <v>16</v>
      </c>
      <c r="C4452" t="s">
        <v>21</v>
      </c>
      <c r="D4452">
        <v>282928</v>
      </c>
      <c r="E4452">
        <v>26750</v>
      </c>
      <c r="F4452">
        <v>46803</v>
      </c>
      <c r="G4452">
        <v>-252028</v>
      </c>
      <c r="H4452">
        <v>104453</v>
      </c>
      <c r="I4452">
        <v>99541</v>
      </c>
      <c r="J4452">
        <v>2541</v>
      </c>
      <c r="K4452">
        <v>716449</v>
      </c>
      <c r="L4452">
        <v>222500</v>
      </c>
      <c r="M4452">
        <v>-189507</v>
      </c>
      <c r="N4452">
        <v>252451</v>
      </c>
      <c r="O4452" t="s">
        <v>4470</v>
      </c>
      <c r="P4452" s="9">
        <v>210472</v>
      </c>
      <c r="Q4452" s="9">
        <v>21704</v>
      </c>
      <c r="R4452" s="9">
        <v>232176</v>
      </c>
      <c r="S4452" s="9">
        <v>-115219</v>
      </c>
      <c r="T4452" s="10">
        <v>87188</v>
      </c>
      <c r="U4452" s="10">
        <v>1142</v>
      </c>
    </row>
    <row r="4453" spans="1:21" x14ac:dyDescent="0.35">
      <c r="A4453" t="s">
        <v>15</v>
      </c>
      <c r="B4453" t="s">
        <v>20</v>
      </c>
      <c r="C4453" t="s">
        <v>21</v>
      </c>
      <c r="D4453">
        <v>280940</v>
      </c>
      <c r="E4453">
        <v>24400</v>
      </c>
      <c r="F4453">
        <v>29709</v>
      </c>
      <c r="G4453">
        <v>-270420</v>
      </c>
      <c r="H4453">
        <v>64629</v>
      </c>
      <c r="I4453">
        <v>58995</v>
      </c>
      <c r="J4453">
        <v>758</v>
      </c>
      <c r="K4453">
        <v>1091719</v>
      </c>
      <c r="L4453">
        <v>294387</v>
      </c>
      <c r="M4453">
        <v>-315863</v>
      </c>
      <c r="N4453">
        <v>206670</v>
      </c>
      <c r="O4453" t="s">
        <v>4471</v>
      </c>
      <c r="P4453" s="9">
        <v>225977</v>
      </c>
      <c r="Q4453" s="9">
        <v>13782</v>
      </c>
      <c r="R4453" s="9">
        <v>239759</v>
      </c>
      <c r="S4453" s="9">
        <v>-78059</v>
      </c>
      <c r="T4453" s="10">
        <v>60649</v>
      </c>
      <c r="U4453" s="10">
        <v>949</v>
      </c>
    </row>
    <row r="4454" spans="1:21" x14ac:dyDescent="0.35">
      <c r="A4454" t="s">
        <v>15</v>
      </c>
      <c r="B4454" t="s">
        <v>16</v>
      </c>
      <c r="C4454" t="s">
        <v>21</v>
      </c>
      <c r="D4454">
        <v>231732</v>
      </c>
      <c r="E4454">
        <v>22253</v>
      </c>
      <c r="F4454">
        <v>38317</v>
      </c>
      <c r="G4454">
        <v>-194365</v>
      </c>
      <c r="H4454">
        <v>97937</v>
      </c>
      <c r="I4454">
        <v>100810</v>
      </c>
      <c r="J4454">
        <v>1081</v>
      </c>
      <c r="K4454">
        <v>785072</v>
      </c>
      <c r="L4454">
        <v>273865</v>
      </c>
      <c r="M4454">
        <v>-308888</v>
      </c>
      <c r="N4454">
        <v>168244</v>
      </c>
      <c r="O4454" t="s">
        <v>4472</v>
      </c>
      <c r="P4454" s="9">
        <v>279494</v>
      </c>
      <c r="Q4454" s="9">
        <v>37686</v>
      </c>
      <c r="R4454" s="9">
        <v>317180</v>
      </c>
      <c r="S4454" s="9">
        <v>-109375</v>
      </c>
      <c r="T4454" s="10">
        <v>100583</v>
      </c>
      <c r="U4454" s="10">
        <v>1279</v>
      </c>
    </row>
    <row r="4455" spans="1:21" x14ac:dyDescent="0.35">
      <c r="A4455" t="s">
        <v>15</v>
      </c>
      <c r="B4455" t="s">
        <v>20</v>
      </c>
      <c r="C4455" t="s">
        <v>17</v>
      </c>
      <c r="D4455">
        <v>156639</v>
      </c>
      <c r="E4455">
        <v>26554</v>
      </c>
      <c r="F4455">
        <v>24363</v>
      </c>
      <c r="G4455">
        <v>-149956</v>
      </c>
      <c r="H4455">
        <v>57600</v>
      </c>
      <c r="I4455">
        <v>53255</v>
      </c>
      <c r="J4455">
        <v>787</v>
      </c>
      <c r="K4455">
        <v>599070</v>
      </c>
      <c r="L4455">
        <v>146743</v>
      </c>
      <c r="M4455">
        <v>-77594</v>
      </c>
      <c r="N4455">
        <v>63135</v>
      </c>
      <c r="O4455" t="s">
        <v>4473</v>
      </c>
      <c r="P4455" s="9">
        <v>208316</v>
      </c>
      <c r="Q4455" s="9">
        <v>21555</v>
      </c>
      <c r="R4455" s="9">
        <v>229871</v>
      </c>
      <c r="S4455" s="9">
        <v>-80423</v>
      </c>
      <c r="T4455" s="10">
        <v>61044</v>
      </c>
      <c r="U4455" s="10">
        <v>1478</v>
      </c>
    </row>
    <row r="4456" spans="1:21" x14ac:dyDescent="0.35">
      <c r="A4456" t="s">
        <v>15</v>
      </c>
      <c r="B4456" t="s">
        <v>20</v>
      </c>
      <c r="C4456" t="s">
        <v>21</v>
      </c>
      <c r="D4456">
        <v>205384</v>
      </c>
      <c r="E4456">
        <v>12136</v>
      </c>
      <c r="F4456">
        <v>48214</v>
      </c>
      <c r="G4456">
        <v>-204246</v>
      </c>
      <c r="H4456">
        <v>61488</v>
      </c>
      <c r="I4456">
        <v>55778</v>
      </c>
      <c r="J4456">
        <v>750</v>
      </c>
      <c r="K4456">
        <v>571838</v>
      </c>
      <c r="L4456">
        <v>233109</v>
      </c>
      <c r="M4456">
        <v>-80742</v>
      </c>
      <c r="N4456">
        <v>101860</v>
      </c>
      <c r="O4456" t="s">
        <v>4474</v>
      </c>
      <c r="P4456" s="9">
        <v>165348</v>
      </c>
      <c r="Q4456" s="9">
        <v>13506</v>
      </c>
      <c r="R4456" s="9">
        <v>178854</v>
      </c>
      <c r="S4456" s="9">
        <v>-103904</v>
      </c>
      <c r="T4456" s="10">
        <v>39492</v>
      </c>
      <c r="U4456" s="10">
        <v>1114</v>
      </c>
    </row>
    <row r="4457" spans="1:21" x14ac:dyDescent="0.35">
      <c r="A4457" t="s">
        <v>15</v>
      </c>
      <c r="B4457" t="s">
        <v>16</v>
      </c>
      <c r="C4457" t="s">
        <v>21</v>
      </c>
      <c r="D4457">
        <v>169168</v>
      </c>
      <c r="E4457">
        <v>29788</v>
      </c>
      <c r="F4457">
        <v>23933</v>
      </c>
      <c r="G4457">
        <v>-137672</v>
      </c>
      <c r="H4457">
        <v>85217</v>
      </c>
      <c r="I4457">
        <v>83658</v>
      </c>
      <c r="J4457">
        <v>2397</v>
      </c>
      <c r="K4457">
        <v>552301</v>
      </c>
      <c r="L4457">
        <v>151343</v>
      </c>
      <c r="M4457">
        <v>-148194</v>
      </c>
      <c r="N4457">
        <v>131113</v>
      </c>
      <c r="O4457" t="s">
        <v>4475</v>
      </c>
      <c r="P4457" s="9">
        <v>201846</v>
      </c>
      <c r="Q4457" s="9">
        <v>17020</v>
      </c>
      <c r="R4457" s="9">
        <v>218866</v>
      </c>
      <c r="S4457" s="9">
        <v>-67837</v>
      </c>
      <c r="T4457" s="10">
        <v>54595</v>
      </c>
      <c r="U4457" s="10">
        <v>816</v>
      </c>
    </row>
    <row r="4458" spans="1:21" x14ac:dyDescent="0.35">
      <c r="A4458" t="s">
        <v>15</v>
      </c>
      <c r="B4458" t="s">
        <v>20</v>
      </c>
      <c r="C4458" t="s">
        <v>21</v>
      </c>
      <c r="D4458">
        <v>201458</v>
      </c>
      <c r="E4458">
        <v>40261</v>
      </c>
      <c r="F4458">
        <v>43032</v>
      </c>
      <c r="G4458">
        <v>-171092</v>
      </c>
      <c r="H4458">
        <v>113659</v>
      </c>
      <c r="I4458">
        <v>106697</v>
      </c>
      <c r="J4458">
        <v>2350</v>
      </c>
      <c r="K4458">
        <v>456924</v>
      </c>
      <c r="L4458">
        <v>116559</v>
      </c>
      <c r="M4458">
        <v>-88642</v>
      </c>
      <c r="N4458">
        <v>91724</v>
      </c>
      <c r="O4458" t="s">
        <v>4476</v>
      </c>
      <c r="P4458" s="9">
        <v>180386</v>
      </c>
      <c r="Q4458" s="9">
        <v>26640</v>
      </c>
      <c r="R4458" s="9">
        <v>207026</v>
      </c>
      <c r="S4458" s="9">
        <v>-116129</v>
      </c>
      <c r="T4458" s="10">
        <v>59590</v>
      </c>
      <c r="U4458" s="10">
        <v>1401</v>
      </c>
    </row>
    <row r="4459" spans="1:21" x14ac:dyDescent="0.35">
      <c r="A4459" t="s">
        <v>15</v>
      </c>
      <c r="B4459" t="s">
        <v>16</v>
      </c>
      <c r="C4459" t="s">
        <v>21</v>
      </c>
      <c r="D4459">
        <v>256906</v>
      </c>
      <c r="E4459">
        <v>17037</v>
      </c>
      <c r="F4459">
        <v>55412</v>
      </c>
      <c r="G4459">
        <v>-227329</v>
      </c>
      <c r="H4459">
        <v>102026</v>
      </c>
      <c r="I4459">
        <v>104649</v>
      </c>
      <c r="J4459">
        <v>3102</v>
      </c>
      <c r="K4459">
        <v>700519</v>
      </c>
      <c r="L4459">
        <v>100745</v>
      </c>
      <c r="M4459">
        <v>-274497</v>
      </c>
      <c r="N4459">
        <v>193439</v>
      </c>
      <c r="O4459" t="s">
        <v>4477</v>
      </c>
      <c r="P4459" s="9">
        <v>236470</v>
      </c>
      <c r="Q4459" s="9">
        <v>25136</v>
      </c>
      <c r="R4459" s="9">
        <v>261606</v>
      </c>
      <c r="S4459" s="9">
        <v>-134475</v>
      </c>
      <c r="T4459" s="10">
        <v>74238</v>
      </c>
      <c r="U4459" s="10">
        <v>991</v>
      </c>
    </row>
    <row r="4460" spans="1:21" x14ac:dyDescent="0.35">
      <c r="A4460" t="s">
        <v>15</v>
      </c>
      <c r="B4460" t="s">
        <v>20</v>
      </c>
      <c r="C4460" t="s">
        <v>21</v>
      </c>
      <c r="D4460">
        <v>169197</v>
      </c>
      <c r="E4460">
        <v>19694</v>
      </c>
      <c r="F4460">
        <v>26820</v>
      </c>
      <c r="G4460">
        <v>-163869</v>
      </c>
      <c r="H4460">
        <v>51842</v>
      </c>
      <c r="I4460">
        <v>51422</v>
      </c>
      <c r="J4460">
        <v>835</v>
      </c>
      <c r="K4460">
        <v>410364</v>
      </c>
      <c r="L4460">
        <v>200144</v>
      </c>
      <c r="M4460">
        <v>-93740</v>
      </c>
      <c r="N4460">
        <v>130494</v>
      </c>
      <c r="O4460" t="s">
        <v>4478</v>
      </c>
      <c r="P4460" s="9">
        <v>294185</v>
      </c>
      <c r="Q4460" s="9">
        <v>36316</v>
      </c>
      <c r="R4460" s="9">
        <v>330501</v>
      </c>
      <c r="S4460" s="9">
        <v>-139250</v>
      </c>
      <c r="T4460" s="10">
        <v>102485</v>
      </c>
      <c r="U4460" s="10">
        <v>1504</v>
      </c>
    </row>
    <row r="4461" spans="1:21" x14ac:dyDescent="0.35">
      <c r="A4461" t="s">
        <v>15</v>
      </c>
      <c r="B4461" t="s">
        <v>16</v>
      </c>
      <c r="C4461" t="s">
        <v>21</v>
      </c>
      <c r="D4461">
        <v>157115</v>
      </c>
      <c r="E4461">
        <v>11949</v>
      </c>
      <c r="F4461">
        <v>25246</v>
      </c>
      <c r="G4461">
        <v>-137842</v>
      </c>
      <c r="H4461">
        <v>56468</v>
      </c>
      <c r="I4461">
        <v>52204</v>
      </c>
      <c r="J4461">
        <v>614</v>
      </c>
      <c r="K4461">
        <v>328288</v>
      </c>
      <c r="L4461">
        <v>104072</v>
      </c>
      <c r="M4461">
        <v>-36253</v>
      </c>
      <c r="N4461">
        <v>49298</v>
      </c>
      <c r="O4461" t="s">
        <v>4479</v>
      </c>
      <c r="P4461" s="9">
        <v>220532</v>
      </c>
      <c r="Q4461" s="9">
        <v>42896</v>
      </c>
      <c r="R4461" s="9">
        <v>263428</v>
      </c>
      <c r="S4461" s="9">
        <v>-64790</v>
      </c>
      <c r="T4461" s="10">
        <v>89621</v>
      </c>
      <c r="U4461" s="10">
        <v>1204</v>
      </c>
    </row>
    <row r="4462" spans="1:21" x14ac:dyDescent="0.35">
      <c r="A4462" t="s">
        <v>15</v>
      </c>
      <c r="B4462" t="s">
        <v>20</v>
      </c>
      <c r="C4462" t="s">
        <v>21</v>
      </c>
      <c r="D4462">
        <v>251915</v>
      </c>
      <c r="E4462">
        <v>30943</v>
      </c>
      <c r="F4462">
        <v>37636</v>
      </c>
      <c r="G4462">
        <v>-249329</v>
      </c>
      <c r="H4462">
        <v>71165</v>
      </c>
      <c r="I4462">
        <v>67024</v>
      </c>
      <c r="J4462">
        <v>1657</v>
      </c>
      <c r="K4462">
        <v>655511</v>
      </c>
      <c r="L4462">
        <v>166393</v>
      </c>
      <c r="M4462">
        <v>-215645</v>
      </c>
      <c r="N4462">
        <v>200000</v>
      </c>
      <c r="O4462" t="s">
        <v>4480</v>
      </c>
      <c r="P4462" s="9">
        <v>237996</v>
      </c>
      <c r="Q4462" s="9">
        <v>39759</v>
      </c>
      <c r="R4462" s="9">
        <v>277755</v>
      </c>
      <c r="S4462" s="9">
        <v>-161022</v>
      </c>
      <c r="T4462" s="10">
        <v>122886</v>
      </c>
      <c r="U4462" s="10">
        <v>2602</v>
      </c>
    </row>
    <row r="4463" spans="1:21" x14ac:dyDescent="0.35">
      <c r="A4463" t="s">
        <v>15</v>
      </c>
      <c r="B4463" t="s">
        <v>16</v>
      </c>
      <c r="C4463" t="s">
        <v>17</v>
      </c>
      <c r="D4463">
        <v>254694</v>
      </c>
      <c r="E4463">
        <v>21430</v>
      </c>
      <c r="F4463">
        <v>62445</v>
      </c>
      <c r="G4463">
        <v>-223346</v>
      </c>
      <c r="H4463">
        <v>115223</v>
      </c>
      <c r="I4463">
        <v>109164</v>
      </c>
      <c r="J4463">
        <v>1557</v>
      </c>
      <c r="K4463">
        <v>553730</v>
      </c>
      <c r="L4463">
        <v>110686</v>
      </c>
      <c r="M4463">
        <v>-199565</v>
      </c>
      <c r="N4463">
        <v>78249</v>
      </c>
      <c r="O4463" t="s">
        <v>4481</v>
      </c>
      <c r="P4463" s="9">
        <v>213251</v>
      </c>
      <c r="Q4463" s="9">
        <v>36491</v>
      </c>
      <c r="R4463" s="9">
        <v>249742</v>
      </c>
      <c r="S4463" s="9">
        <v>-95019</v>
      </c>
      <c r="T4463" s="10">
        <v>111142</v>
      </c>
      <c r="U4463" s="10">
        <v>1693</v>
      </c>
    </row>
    <row r="4464" spans="1:21" x14ac:dyDescent="0.35">
      <c r="A4464" t="s">
        <v>15</v>
      </c>
      <c r="B4464" t="s">
        <v>16</v>
      </c>
      <c r="C4464" t="s">
        <v>21</v>
      </c>
      <c r="D4464">
        <v>288322</v>
      </c>
      <c r="E4464">
        <v>20646</v>
      </c>
      <c r="F4464">
        <v>70005</v>
      </c>
      <c r="G4464">
        <v>-233917</v>
      </c>
      <c r="H4464">
        <v>145056</v>
      </c>
      <c r="I4464">
        <v>141587</v>
      </c>
      <c r="J4464">
        <v>4215</v>
      </c>
      <c r="K4464">
        <v>907646</v>
      </c>
      <c r="L4464">
        <v>145350</v>
      </c>
      <c r="M4464">
        <v>-323493</v>
      </c>
      <c r="N4464">
        <v>125802</v>
      </c>
      <c r="O4464" t="s">
        <v>4482</v>
      </c>
      <c r="P4464" s="9">
        <v>260897</v>
      </c>
      <c r="Q4464" s="9">
        <v>50772</v>
      </c>
      <c r="R4464" s="9">
        <v>311669</v>
      </c>
      <c r="S4464" s="9">
        <v>-109130</v>
      </c>
      <c r="T4464" s="10">
        <v>120547</v>
      </c>
      <c r="U4464" s="10">
        <v>3438</v>
      </c>
    </row>
    <row r="4465" spans="1:21" x14ac:dyDescent="0.35">
      <c r="A4465" t="s">
        <v>15</v>
      </c>
      <c r="B4465" t="s">
        <v>20</v>
      </c>
      <c r="C4465" t="s">
        <v>17</v>
      </c>
      <c r="D4465">
        <v>154217</v>
      </c>
      <c r="E4465">
        <v>27082</v>
      </c>
      <c r="F4465">
        <v>19290</v>
      </c>
      <c r="G4465">
        <v>-130192</v>
      </c>
      <c r="H4465">
        <v>70397</v>
      </c>
      <c r="I4465">
        <v>65983</v>
      </c>
      <c r="J4465">
        <v>1256</v>
      </c>
      <c r="K4465">
        <v>413669</v>
      </c>
      <c r="L4465">
        <v>143659</v>
      </c>
      <c r="M4465">
        <v>-156877</v>
      </c>
      <c r="N4465">
        <v>122634</v>
      </c>
      <c r="O4465" t="s">
        <v>4483</v>
      </c>
      <c r="P4465" s="9">
        <v>182679</v>
      </c>
      <c r="Q4465" s="9">
        <v>26739</v>
      </c>
      <c r="R4465" s="9">
        <v>209418</v>
      </c>
      <c r="S4465" s="9">
        <v>-111593</v>
      </c>
      <c r="T4465" s="10">
        <v>70768</v>
      </c>
      <c r="U4465" s="10">
        <v>1478</v>
      </c>
    </row>
    <row r="4466" spans="1:21" x14ac:dyDescent="0.35">
      <c r="A4466" t="s">
        <v>15</v>
      </c>
      <c r="B4466" t="s">
        <v>20</v>
      </c>
      <c r="C4466" t="s">
        <v>17</v>
      </c>
      <c r="D4466">
        <v>274664</v>
      </c>
      <c r="E4466">
        <v>36513</v>
      </c>
      <c r="F4466">
        <v>60092</v>
      </c>
      <c r="G4466">
        <v>-254045</v>
      </c>
      <c r="H4466">
        <v>117224</v>
      </c>
      <c r="I4466">
        <v>112831</v>
      </c>
      <c r="J4466">
        <v>1648</v>
      </c>
      <c r="K4466">
        <v>696389</v>
      </c>
      <c r="L4466">
        <v>257833</v>
      </c>
      <c r="M4466">
        <v>-144835</v>
      </c>
      <c r="N4466">
        <v>93737</v>
      </c>
      <c r="O4466" t="s">
        <v>4484</v>
      </c>
      <c r="P4466" s="9">
        <v>196823</v>
      </c>
      <c r="Q4466" s="9">
        <v>23141</v>
      </c>
      <c r="R4466" s="9">
        <v>219964</v>
      </c>
      <c r="S4466" s="9">
        <v>-107672</v>
      </c>
      <c r="T4466" s="10">
        <v>62097</v>
      </c>
      <c r="U4466" s="10">
        <v>890</v>
      </c>
    </row>
    <row r="4467" spans="1:21" x14ac:dyDescent="0.35">
      <c r="A4467" t="s">
        <v>15</v>
      </c>
      <c r="B4467" t="s">
        <v>16</v>
      </c>
      <c r="C4467" t="s">
        <v>21</v>
      </c>
      <c r="D4467">
        <v>251372</v>
      </c>
      <c r="E4467">
        <v>30311</v>
      </c>
      <c r="F4467">
        <v>52142</v>
      </c>
      <c r="G4467">
        <v>-250556</v>
      </c>
      <c r="H4467">
        <v>83269</v>
      </c>
      <c r="I4467">
        <v>81509</v>
      </c>
      <c r="J4467">
        <v>1134</v>
      </c>
      <c r="K4467">
        <v>615119</v>
      </c>
      <c r="L4467">
        <v>161096</v>
      </c>
      <c r="M4467">
        <v>-121723</v>
      </c>
      <c r="N4467">
        <v>215877</v>
      </c>
      <c r="O4467" t="s">
        <v>4485</v>
      </c>
      <c r="P4467" s="9">
        <v>222765</v>
      </c>
      <c r="Q4467" s="9">
        <v>31766</v>
      </c>
      <c r="R4467" s="9">
        <v>254531</v>
      </c>
      <c r="S4467" s="9">
        <v>-125163</v>
      </c>
      <c r="T4467" s="10">
        <v>85722</v>
      </c>
      <c r="U4467" s="10">
        <v>1428</v>
      </c>
    </row>
    <row r="4468" spans="1:21" x14ac:dyDescent="0.35">
      <c r="A4468" t="s">
        <v>15</v>
      </c>
      <c r="B4468" t="s">
        <v>16</v>
      </c>
      <c r="C4468" t="s">
        <v>21</v>
      </c>
      <c r="D4468">
        <v>252904</v>
      </c>
      <c r="E4468">
        <v>15454</v>
      </c>
      <c r="F4468">
        <v>49540</v>
      </c>
      <c r="G4468">
        <v>-221167</v>
      </c>
      <c r="H4468">
        <v>96731</v>
      </c>
      <c r="I4468">
        <v>97604</v>
      </c>
      <c r="J4468">
        <v>2267</v>
      </c>
      <c r="K4468">
        <v>767371</v>
      </c>
      <c r="L4468">
        <v>330355</v>
      </c>
      <c r="M4468">
        <v>-248815</v>
      </c>
      <c r="N4468">
        <v>154408</v>
      </c>
      <c r="O4468" t="s">
        <v>4486</v>
      </c>
      <c r="P4468" s="9">
        <v>253868</v>
      </c>
      <c r="Q4468" s="9">
        <v>18140</v>
      </c>
      <c r="R4468" s="9">
        <v>272008</v>
      </c>
      <c r="S4468" s="9">
        <v>-118953</v>
      </c>
      <c r="T4468" s="10">
        <v>75115</v>
      </c>
      <c r="U4468" s="10">
        <v>1991</v>
      </c>
    </row>
    <row r="4469" spans="1:21" x14ac:dyDescent="0.35">
      <c r="A4469" t="s">
        <v>15</v>
      </c>
      <c r="B4469" t="s">
        <v>20</v>
      </c>
      <c r="C4469" t="s">
        <v>17</v>
      </c>
      <c r="D4469">
        <v>231861</v>
      </c>
      <c r="E4469">
        <v>20370</v>
      </c>
      <c r="F4469">
        <v>33099</v>
      </c>
      <c r="G4469">
        <v>-208437</v>
      </c>
      <c r="H4469">
        <v>76893</v>
      </c>
      <c r="I4469">
        <v>71747</v>
      </c>
      <c r="J4469">
        <v>747</v>
      </c>
      <c r="K4469">
        <v>796122</v>
      </c>
      <c r="L4469">
        <v>120026</v>
      </c>
      <c r="M4469">
        <v>-256824</v>
      </c>
      <c r="N4469">
        <v>155369</v>
      </c>
      <c r="O4469" t="s">
        <v>4487</v>
      </c>
      <c r="P4469" s="9">
        <v>172232</v>
      </c>
      <c r="Q4469" s="9">
        <v>24653</v>
      </c>
      <c r="R4469" s="9">
        <v>196885</v>
      </c>
      <c r="S4469" s="9">
        <v>-59347</v>
      </c>
      <c r="T4469" s="10">
        <v>77386</v>
      </c>
      <c r="U4469" s="10">
        <v>2165</v>
      </c>
    </row>
    <row r="4470" spans="1:21" x14ac:dyDescent="0.35">
      <c r="A4470" t="s">
        <v>15</v>
      </c>
      <c r="B4470" t="s">
        <v>16</v>
      </c>
      <c r="C4470" t="s">
        <v>21</v>
      </c>
      <c r="D4470">
        <v>182214</v>
      </c>
      <c r="E4470">
        <v>19075</v>
      </c>
      <c r="F4470">
        <v>31866</v>
      </c>
      <c r="G4470">
        <v>-156519</v>
      </c>
      <c r="H4470">
        <v>76636</v>
      </c>
      <c r="I4470">
        <v>70919</v>
      </c>
      <c r="J4470">
        <v>1260</v>
      </c>
      <c r="K4470">
        <v>651102</v>
      </c>
      <c r="L4470">
        <v>85026</v>
      </c>
      <c r="M4470">
        <v>-193043</v>
      </c>
      <c r="N4470">
        <v>81904</v>
      </c>
      <c r="O4470" t="s">
        <v>4488</v>
      </c>
      <c r="P4470" s="9">
        <v>179765</v>
      </c>
      <c r="Q4470" s="9">
        <v>13345</v>
      </c>
      <c r="R4470" s="9">
        <v>193110</v>
      </c>
      <c r="S4470" s="9">
        <v>-45198</v>
      </c>
      <c r="T4470" s="10">
        <v>82607</v>
      </c>
      <c r="U4470" s="10">
        <v>1536</v>
      </c>
    </row>
    <row r="4471" spans="1:21" x14ac:dyDescent="0.35">
      <c r="A4471" t="s">
        <v>15</v>
      </c>
      <c r="B4471" t="s">
        <v>16</v>
      </c>
      <c r="C4471" t="s">
        <v>21</v>
      </c>
      <c r="D4471">
        <v>267960</v>
      </c>
      <c r="E4471">
        <v>36641</v>
      </c>
      <c r="F4471">
        <v>41173</v>
      </c>
      <c r="G4471">
        <v>-260580</v>
      </c>
      <c r="H4471">
        <v>85194</v>
      </c>
      <c r="I4471">
        <v>81834</v>
      </c>
      <c r="J4471">
        <v>1440</v>
      </c>
      <c r="K4471">
        <v>627592</v>
      </c>
      <c r="L4471">
        <v>72597</v>
      </c>
      <c r="M4471">
        <v>-155688</v>
      </c>
      <c r="N4471">
        <v>116333</v>
      </c>
      <c r="O4471" t="s">
        <v>4489</v>
      </c>
      <c r="P4471" s="9">
        <v>250886</v>
      </c>
      <c r="Q4471" s="9">
        <v>50553</v>
      </c>
      <c r="R4471" s="9">
        <v>301439</v>
      </c>
      <c r="S4471" s="9">
        <v>-83505</v>
      </c>
      <c r="T4471" s="10">
        <v>153024</v>
      </c>
      <c r="U4471" s="10">
        <v>3504</v>
      </c>
    </row>
    <row r="4472" spans="1:21" x14ac:dyDescent="0.35">
      <c r="A4472" t="s">
        <v>15</v>
      </c>
      <c r="B4472" t="s">
        <v>16</v>
      </c>
      <c r="C4472" t="s">
        <v>17</v>
      </c>
      <c r="D4472">
        <v>297825</v>
      </c>
      <c r="E4472">
        <v>20627</v>
      </c>
      <c r="F4472">
        <v>67940</v>
      </c>
      <c r="G4472">
        <v>-257278</v>
      </c>
      <c r="H4472">
        <v>129114</v>
      </c>
      <c r="I4472">
        <v>116497</v>
      </c>
      <c r="J4472">
        <v>1885</v>
      </c>
      <c r="K4472">
        <v>1076691</v>
      </c>
      <c r="L4472">
        <v>182485</v>
      </c>
      <c r="M4472">
        <v>-131088</v>
      </c>
      <c r="N4472">
        <v>205557</v>
      </c>
      <c r="O4472" t="s">
        <v>4490</v>
      </c>
      <c r="P4472" s="9">
        <v>286696</v>
      </c>
      <c r="Q4472" s="9">
        <v>14530</v>
      </c>
      <c r="R4472" s="9">
        <v>301226</v>
      </c>
      <c r="S4472" s="9">
        <v>-142798</v>
      </c>
      <c r="T4472" s="10">
        <v>114931</v>
      </c>
      <c r="U4472" s="10">
        <v>3198</v>
      </c>
    </row>
    <row r="4473" spans="1:21" x14ac:dyDescent="0.35">
      <c r="A4473" t="s">
        <v>15</v>
      </c>
      <c r="B4473" t="s">
        <v>20</v>
      </c>
      <c r="C4473" t="s">
        <v>17</v>
      </c>
      <c r="D4473">
        <v>193260</v>
      </c>
      <c r="E4473">
        <v>37393</v>
      </c>
      <c r="F4473">
        <v>34144</v>
      </c>
      <c r="G4473">
        <v>-165925</v>
      </c>
      <c r="H4473">
        <v>98872</v>
      </c>
      <c r="I4473">
        <v>90624</v>
      </c>
      <c r="J4473">
        <v>1406</v>
      </c>
      <c r="K4473">
        <v>603441</v>
      </c>
      <c r="L4473">
        <v>197085</v>
      </c>
      <c r="M4473">
        <v>-126639</v>
      </c>
      <c r="N4473">
        <v>134799</v>
      </c>
      <c r="O4473" t="s">
        <v>4491</v>
      </c>
      <c r="P4473" s="9">
        <v>245328</v>
      </c>
      <c r="Q4473" s="9">
        <v>23673</v>
      </c>
      <c r="R4473" s="9">
        <v>269001</v>
      </c>
      <c r="S4473" s="9">
        <v>-118362</v>
      </c>
      <c r="T4473" s="10">
        <v>95533</v>
      </c>
      <c r="U4473" s="10">
        <v>2267</v>
      </c>
    </row>
    <row r="4474" spans="1:21" x14ac:dyDescent="0.35">
      <c r="A4474" t="s">
        <v>15</v>
      </c>
      <c r="B4474" t="s">
        <v>20</v>
      </c>
      <c r="C4474" t="s">
        <v>17</v>
      </c>
      <c r="D4474">
        <v>234036</v>
      </c>
      <c r="E4474">
        <v>15148</v>
      </c>
      <c r="F4474">
        <v>29948</v>
      </c>
      <c r="G4474">
        <v>-210824</v>
      </c>
      <c r="H4474">
        <v>68308</v>
      </c>
      <c r="I4474">
        <v>70732</v>
      </c>
      <c r="J4474">
        <v>738</v>
      </c>
      <c r="K4474">
        <v>522994</v>
      </c>
      <c r="L4474">
        <v>210512</v>
      </c>
      <c r="M4474">
        <v>-144076</v>
      </c>
      <c r="N4474">
        <v>187096</v>
      </c>
      <c r="O4474" t="s">
        <v>4492</v>
      </c>
      <c r="P4474" s="9">
        <v>189914</v>
      </c>
      <c r="Q4474" s="9">
        <v>20506</v>
      </c>
      <c r="R4474" s="9">
        <v>210420</v>
      </c>
      <c r="S4474" s="9">
        <v>-108240</v>
      </c>
      <c r="T4474" s="10">
        <v>72145</v>
      </c>
      <c r="U4474" s="10">
        <v>965</v>
      </c>
    </row>
    <row r="4475" spans="1:21" x14ac:dyDescent="0.35">
      <c r="A4475" t="s">
        <v>15</v>
      </c>
      <c r="B4475" t="s">
        <v>16</v>
      </c>
      <c r="C4475" t="s">
        <v>21</v>
      </c>
      <c r="D4475">
        <v>246881</v>
      </c>
      <c r="E4475">
        <v>18536</v>
      </c>
      <c r="F4475">
        <v>34678</v>
      </c>
      <c r="G4475">
        <v>-246057</v>
      </c>
      <c r="H4475">
        <v>54038</v>
      </c>
      <c r="I4475">
        <v>53792</v>
      </c>
      <c r="J4475">
        <v>1225</v>
      </c>
      <c r="K4475">
        <v>752933</v>
      </c>
      <c r="L4475">
        <v>232416</v>
      </c>
      <c r="M4475">
        <v>-161075</v>
      </c>
      <c r="N4475">
        <v>173847</v>
      </c>
      <c r="O4475" t="s">
        <v>4493</v>
      </c>
      <c r="P4475" s="9">
        <v>232010</v>
      </c>
      <c r="Q4475" s="9">
        <v>45926</v>
      </c>
      <c r="R4475" s="9">
        <v>277936</v>
      </c>
      <c r="S4475" s="9">
        <v>-109079</v>
      </c>
      <c r="T4475" s="10">
        <v>130114</v>
      </c>
      <c r="U4475" s="10">
        <v>2521</v>
      </c>
    </row>
    <row r="4476" spans="1:21" x14ac:dyDescent="0.35">
      <c r="A4476" t="s">
        <v>15</v>
      </c>
      <c r="B4476" t="s">
        <v>16</v>
      </c>
      <c r="C4476" t="s">
        <v>17</v>
      </c>
      <c r="D4476">
        <v>205725</v>
      </c>
      <c r="E4476">
        <v>13004</v>
      </c>
      <c r="F4476">
        <v>35763</v>
      </c>
      <c r="G4476">
        <v>-187753</v>
      </c>
      <c r="H4476">
        <v>66739</v>
      </c>
      <c r="I4476">
        <v>63486</v>
      </c>
      <c r="J4476">
        <v>1684</v>
      </c>
      <c r="K4476">
        <v>547258</v>
      </c>
      <c r="L4476">
        <v>174558</v>
      </c>
      <c r="M4476">
        <v>-216369</v>
      </c>
      <c r="N4476">
        <v>180581</v>
      </c>
      <c r="O4476" t="s">
        <v>4494</v>
      </c>
      <c r="P4476" s="9">
        <v>284225</v>
      </c>
      <c r="Q4476" s="9">
        <v>26142</v>
      </c>
      <c r="R4476" s="9">
        <v>310367</v>
      </c>
      <c r="S4476" s="9">
        <v>-97299</v>
      </c>
      <c r="T4476" s="10">
        <v>115878</v>
      </c>
      <c r="U4476" s="10">
        <v>2679</v>
      </c>
    </row>
    <row r="4477" spans="1:21" x14ac:dyDescent="0.35">
      <c r="A4477" t="s">
        <v>15</v>
      </c>
      <c r="B4477" t="s">
        <v>20</v>
      </c>
      <c r="C4477" t="s">
        <v>21</v>
      </c>
      <c r="D4477">
        <v>218015</v>
      </c>
      <c r="E4477">
        <v>28453</v>
      </c>
      <c r="F4477">
        <v>54114</v>
      </c>
      <c r="G4477">
        <v>-183678</v>
      </c>
      <c r="H4477">
        <v>116904</v>
      </c>
      <c r="I4477">
        <v>105492</v>
      </c>
      <c r="J4477">
        <v>2334</v>
      </c>
      <c r="K4477">
        <v>670136</v>
      </c>
      <c r="L4477">
        <v>321868</v>
      </c>
      <c r="M4477">
        <v>-137862</v>
      </c>
      <c r="N4477">
        <v>66281</v>
      </c>
      <c r="O4477" t="s">
        <v>4495</v>
      </c>
      <c r="P4477" s="9">
        <v>299224</v>
      </c>
      <c r="Q4477" s="9">
        <v>29090</v>
      </c>
      <c r="R4477" s="9">
        <v>328314</v>
      </c>
      <c r="S4477" s="9">
        <v>-102317</v>
      </c>
      <c r="T4477" s="10">
        <v>89515</v>
      </c>
      <c r="U4477" s="10">
        <v>1087</v>
      </c>
    </row>
    <row r="4478" spans="1:21" x14ac:dyDescent="0.35">
      <c r="A4478" t="s">
        <v>15</v>
      </c>
      <c r="B4478" t="s">
        <v>16</v>
      </c>
      <c r="C4478" t="s">
        <v>21</v>
      </c>
      <c r="D4478">
        <v>163356</v>
      </c>
      <c r="E4478">
        <v>13342</v>
      </c>
      <c r="F4478">
        <v>30523</v>
      </c>
      <c r="G4478">
        <v>-138962</v>
      </c>
      <c r="H4478">
        <v>68259</v>
      </c>
      <c r="I4478">
        <v>64476</v>
      </c>
      <c r="J4478">
        <v>1849</v>
      </c>
      <c r="K4478">
        <v>448381</v>
      </c>
      <c r="L4478">
        <v>211319</v>
      </c>
      <c r="M4478">
        <v>-108450</v>
      </c>
      <c r="N4478">
        <v>94449</v>
      </c>
      <c r="O4478" t="s">
        <v>4496</v>
      </c>
      <c r="P4478" s="9">
        <v>175090</v>
      </c>
      <c r="Q4478" s="9">
        <v>24218</v>
      </c>
      <c r="R4478" s="9">
        <v>199308</v>
      </c>
      <c r="S4478" s="9">
        <v>-90287</v>
      </c>
      <c r="T4478" s="10">
        <v>69474</v>
      </c>
      <c r="U4478" s="10">
        <v>1743</v>
      </c>
    </row>
    <row r="4479" spans="1:21" x14ac:dyDescent="0.35">
      <c r="A4479" t="s">
        <v>15</v>
      </c>
      <c r="B4479" t="s">
        <v>16</v>
      </c>
      <c r="C4479" t="s">
        <v>21</v>
      </c>
      <c r="D4479">
        <v>204046</v>
      </c>
      <c r="E4479">
        <v>30102</v>
      </c>
      <c r="F4479">
        <v>32748</v>
      </c>
      <c r="G4479">
        <v>-163501</v>
      </c>
      <c r="H4479">
        <v>103395</v>
      </c>
      <c r="I4479">
        <v>103095</v>
      </c>
      <c r="J4479">
        <v>1454</v>
      </c>
      <c r="K4479">
        <v>651943</v>
      </c>
      <c r="L4479">
        <v>90242</v>
      </c>
      <c r="M4479">
        <v>-70062</v>
      </c>
      <c r="N4479">
        <v>125079</v>
      </c>
      <c r="O4479" t="s">
        <v>4497</v>
      </c>
      <c r="P4479" s="9">
        <v>208320</v>
      </c>
      <c r="Q4479" s="9">
        <v>30674</v>
      </c>
      <c r="R4479" s="9">
        <v>238994</v>
      </c>
      <c r="S4479" s="9">
        <v>-110066</v>
      </c>
      <c r="T4479" s="10">
        <v>67835</v>
      </c>
      <c r="U4479" s="10">
        <v>1898</v>
      </c>
    </row>
    <row r="4480" spans="1:21" x14ac:dyDescent="0.35">
      <c r="A4480" t="s">
        <v>15</v>
      </c>
      <c r="B4480" t="s">
        <v>16</v>
      </c>
      <c r="C4480" t="s">
        <v>21</v>
      </c>
      <c r="D4480">
        <v>170380</v>
      </c>
      <c r="E4480">
        <v>32187</v>
      </c>
      <c r="F4480">
        <v>39341</v>
      </c>
      <c r="G4480">
        <v>-144174</v>
      </c>
      <c r="H4480">
        <v>97734</v>
      </c>
      <c r="I4480">
        <v>94757</v>
      </c>
      <c r="J4480">
        <v>2346</v>
      </c>
      <c r="K4480">
        <v>500100</v>
      </c>
      <c r="L4480">
        <v>192252</v>
      </c>
      <c r="M4480">
        <v>-141980</v>
      </c>
      <c r="N4480">
        <v>127503</v>
      </c>
      <c r="O4480" t="s">
        <v>4498</v>
      </c>
      <c r="P4480" s="9">
        <v>237651</v>
      </c>
      <c r="Q4480" s="9">
        <v>27243</v>
      </c>
      <c r="R4480" s="9">
        <v>264894</v>
      </c>
      <c r="S4480" s="9">
        <v>-123922</v>
      </c>
      <c r="T4480" s="10">
        <v>113414</v>
      </c>
      <c r="U4480" s="10">
        <v>3175</v>
      </c>
    </row>
    <row r="4481" spans="1:21" x14ac:dyDescent="0.35">
      <c r="A4481" t="s">
        <v>15</v>
      </c>
      <c r="B4481" t="s">
        <v>20</v>
      </c>
      <c r="C4481" t="s">
        <v>21</v>
      </c>
      <c r="D4481">
        <v>270309</v>
      </c>
      <c r="E4481">
        <v>36095</v>
      </c>
      <c r="F4481">
        <v>40344</v>
      </c>
      <c r="G4481">
        <v>-250261</v>
      </c>
      <c r="H4481">
        <v>96487</v>
      </c>
      <c r="I4481">
        <v>101182</v>
      </c>
      <c r="J4481">
        <v>2309</v>
      </c>
      <c r="K4481">
        <v>1041260</v>
      </c>
      <c r="L4481">
        <v>408062</v>
      </c>
      <c r="M4481">
        <v>-157461</v>
      </c>
      <c r="N4481">
        <v>107075</v>
      </c>
      <c r="O4481" t="s">
        <v>4499</v>
      </c>
      <c r="P4481" s="9">
        <v>266583</v>
      </c>
      <c r="Q4481" s="9">
        <v>17621</v>
      </c>
      <c r="R4481" s="9">
        <v>284204</v>
      </c>
      <c r="S4481" s="9">
        <v>-123223</v>
      </c>
      <c r="T4481" s="10">
        <v>62409</v>
      </c>
      <c r="U4481" s="10">
        <v>933</v>
      </c>
    </row>
    <row r="4482" spans="1:21" x14ac:dyDescent="0.35">
      <c r="A4482" t="s">
        <v>15</v>
      </c>
      <c r="B4482" t="s">
        <v>16</v>
      </c>
      <c r="C4482" t="s">
        <v>21</v>
      </c>
      <c r="D4482">
        <v>164264</v>
      </c>
      <c r="E4482">
        <v>14796</v>
      </c>
      <c r="F4482">
        <v>30443</v>
      </c>
      <c r="G4482">
        <v>-139371</v>
      </c>
      <c r="H4482">
        <v>70132</v>
      </c>
      <c r="I4482">
        <v>67713</v>
      </c>
      <c r="J4482">
        <v>1110</v>
      </c>
      <c r="K4482">
        <v>412968</v>
      </c>
      <c r="L4482">
        <v>90584</v>
      </c>
      <c r="M4482">
        <v>-54470</v>
      </c>
      <c r="N4482">
        <v>51452</v>
      </c>
      <c r="O4482" t="s">
        <v>4500</v>
      </c>
      <c r="P4482" s="9">
        <v>168422</v>
      </c>
      <c r="Q4482" s="9">
        <v>13595</v>
      </c>
      <c r="R4482" s="9">
        <v>182017</v>
      </c>
      <c r="S4482" s="9">
        <v>-37250</v>
      </c>
      <c r="T4482" s="10">
        <v>74250</v>
      </c>
      <c r="U4482" s="10">
        <v>1365</v>
      </c>
    </row>
    <row r="4483" spans="1:21" x14ac:dyDescent="0.35">
      <c r="A4483" t="s">
        <v>15</v>
      </c>
      <c r="B4483" t="s">
        <v>20</v>
      </c>
      <c r="C4483" t="s">
        <v>17</v>
      </c>
      <c r="D4483">
        <v>216889</v>
      </c>
      <c r="E4483">
        <v>31737</v>
      </c>
      <c r="F4483">
        <v>23349</v>
      </c>
      <c r="G4483">
        <v>-205412</v>
      </c>
      <c r="H4483">
        <v>66563</v>
      </c>
      <c r="I4483">
        <v>61552</v>
      </c>
      <c r="J4483">
        <v>1594</v>
      </c>
      <c r="K4483">
        <v>835175</v>
      </c>
      <c r="L4483">
        <v>211938</v>
      </c>
      <c r="M4483">
        <v>-192011</v>
      </c>
      <c r="N4483">
        <v>82564</v>
      </c>
      <c r="O4483" t="s">
        <v>4501</v>
      </c>
      <c r="P4483" s="9">
        <v>279704</v>
      </c>
      <c r="Q4483" s="9">
        <v>60196</v>
      </c>
      <c r="R4483" s="9">
        <v>339900</v>
      </c>
      <c r="S4483" s="9">
        <v>-137007</v>
      </c>
      <c r="T4483" s="10">
        <v>122726</v>
      </c>
      <c r="U4483" s="10">
        <v>3441</v>
      </c>
    </row>
    <row r="4484" spans="1:21" x14ac:dyDescent="0.35">
      <c r="A4484" t="s">
        <v>15</v>
      </c>
      <c r="B4484" t="s">
        <v>20</v>
      </c>
      <c r="C4484" t="s">
        <v>21</v>
      </c>
      <c r="D4484">
        <v>271350</v>
      </c>
      <c r="E4484">
        <v>36186</v>
      </c>
      <c r="F4484">
        <v>41463</v>
      </c>
      <c r="G4484">
        <v>-260689</v>
      </c>
      <c r="H4484">
        <v>88310</v>
      </c>
      <c r="I4484">
        <v>89567</v>
      </c>
      <c r="J4484">
        <v>2149</v>
      </c>
      <c r="K4484">
        <v>610403</v>
      </c>
      <c r="L4484">
        <v>245516</v>
      </c>
      <c r="M4484">
        <v>-229778</v>
      </c>
      <c r="N4484">
        <v>87677</v>
      </c>
      <c r="O4484" t="s">
        <v>4502</v>
      </c>
      <c r="P4484" s="9">
        <v>183748</v>
      </c>
      <c r="Q4484" s="9">
        <v>14159</v>
      </c>
      <c r="R4484" s="9">
        <v>197907</v>
      </c>
      <c r="S4484" s="9">
        <v>-97923</v>
      </c>
      <c r="T4484" s="10">
        <v>70491</v>
      </c>
      <c r="U4484" s="10">
        <v>1649</v>
      </c>
    </row>
    <row r="4485" spans="1:21" x14ac:dyDescent="0.35">
      <c r="A4485" t="s">
        <v>15</v>
      </c>
      <c r="B4485" t="s">
        <v>16</v>
      </c>
      <c r="C4485" t="s">
        <v>21</v>
      </c>
      <c r="D4485">
        <v>178436</v>
      </c>
      <c r="E4485">
        <v>34794</v>
      </c>
      <c r="F4485">
        <v>25452</v>
      </c>
      <c r="G4485">
        <v>-173075</v>
      </c>
      <c r="H4485">
        <v>65607</v>
      </c>
      <c r="I4485">
        <v>60534</v>
      </c>
      <c r="J4485">
        <v>1427</v>
      </c>
      <c r="K4485">
        <v>576439</v>
      </c>
      <c r="L4485">
        <v>279342</v>
      </c>
      <c r="M4485">
        <v>-227184</v>
      </c>
      <c r="N4485">
        <v>125015</v>
      </c>
      <c r="O4485" t="s">
        <v>4503</v>
      </c>
      <c r="P4485" s="9">
        <v>247123</v>
      </c>
      <c r="Q4485" s="9">
        <v>48385</v>
      </c>
      <c r="R4485" s="9">
        <v>295508</v>
      </c>
      <c r="S4485" s="9">
        <v>-114206</v>
      </c>
      <c r="T4485" s="10">
        <v>128576</v>
      </c>
      <c r="U4485" s="10">
        <v>1978</v>
      </c>
    </row>
    <row r="4486" spans="1:21" x14ac:dyDescent="0.35">
      <c r="A4486" t="s">
        <v>15</v>
      </c>
      <c r="B4486" t="s">
        <v>16</v>
      </c>
      <c r="C4486" t="s">
        <v>21</v>
      </c>
      <c r="D4486">
        <v>182747</v>
      </c>
      <c r="E4486">
        <v>21073</v>
      </c>
      <c r="F4486">
        <v>33156</v>
      </c>
      <c r="G4486">
        <v>-157772</v>
      </c>
      <c r="H4486">
        <v>79204</v>
      </c>
      <c r="I4486">
        <v>81696</v>
      </c>
      <c r="J4486">
        <v>1027</v>
      </c>
      <c r="K4486">
        <v>711274</v>
      </c>
      <c r="L4486">
        <v>143056</v>
      </c>
      <c r="M4486">
        <v>-250800</v>
      </c>
      <c r="N4486">
        <v>155231</v>
      </c>
      <c r="O4486" t="s">
        <v>4504</v>
      </c>
      <c r="P4486" s="9">
        <v>224915</v>
      </c>
      <c r="Q4486" s="9">
        <v>27467</v>
      </c>
      <c r="R4486" s="9">
        <v>252382</v>
      </c>
      <c r="S4486" s="9">
        <v>-70884</v>
      </c>
      <c r="T4486" s="10">
        <v>105053</v>
      </c>
      <c r="U4486" s="10">
        <v>3075</v>
      </c>
    </row>
    <row r="4487" spans="1:21" x14ac:dyDescent="0.35">
      <c r="A4487" t="s">
        <v>15</v>
      </c>
      <c r="B4487" t="s">
        <v>16</v>
      </c>
      <c r="C4487" t="s">
        <v>17</v>
      </c>
      <c r="D4487">
        <v>170465</v>
      </c>
      <c r="E4487">
        <v>32442</v>
      </c>
      <c r="F4487">
        <v>41590</v>
      </c>
      <c r="G4487">
        <v>-149737</v>
      </c>
      <c r="H4487">
        <v>94760</v>
      </c>
      <c r="I4487">
        <v>98687</v>
      </c>
      <c r="J4487">
        <v>1957</v>
      </c>
      <c r="K4487">
        <v>589951</v>
      </c>
      <c r="L4487">
        <v>201383</v>
      </c>
      <c r="M4487">
        <v>-118008</v>
      </c>
      <c r="N4487">
        <v>75138</v>
      </c>
      <c r="O4487" t="s">
        <v>4505</v>
      </c>
      <c r="P4487" s="9">
        <v>234532</v>
      </c>
      <c r="Q4487" s="9">
        <v>27771</v>
      </c>
      <c r="R4487" s="9">
        <v>262303</v>
      </c>
      <c r="S4487" s="9">
        <v>-124966</v>
      </c>
      <c r="T4487" s="10">
        <v>80092</v>
      </c>
      <c r="U4487" s="10">
        <v>1976</v>
      </c>
    </row>
    <row r="4488" spans="1:21" x14ac:dyDescent="0.35">
      <c r="A4488" t="s">
        <v>15</v>
      </c>
      <c r="B4488" t="s">
        <v>16</v>
      </c>
      <c r="C4488" t="s">
        <v>17</v>
      </c>
      <c r="D4488">
        <v>207027</v>
      </c>
      <c r="E4488">
        <v>26266</v>
      </c>
      <c r="F4488">
        <v>32817</v>
      </c>
      <c r="G4488">
        <v>-191012</v>
      </c>
      <c r="H4488">
        <v>75098</v>
      </c>
      <c r="I4488">
        <v>74215</v>
      </c>
      <c r="J4488">
        <v>1520</v>
      </c>
      <c r="K4488">
        <v>527812</v>
      </c>
      <c r="L4488">
        <v>128482</v>
      </c>
      <c r="M4488">
        <v>-116134</v>
      </c>
      <c r="N4488">
        <v>173642</v>
      </c>
      <c r="O4488" t="s">
        <v>4506</v>
      </c>
      <c r="P4488" s="9">
        <v>254785</v>
      </c>
      <c r="Q4488" s="9">
        <v>26943</v>
      </c>
      <c r="R4488" s="9">
        <v>281728</v>
      </c>
      <c r="S4488" s="9">
        <v>-151244</v>
      </c>
      <c r="T4488" s="10">
        <v>80424</v>
      </c>
      <c r="U4488" s="10">
        <v>1233</v>
      </c>
    </row>
    <row r="4489" spans="1:21" x14ac:dyDescent="0.35">
      <c r="A4489" t="s">
        <v>15</v>
      </c>
      <c r="B4489" t="s">
        <v>16</v>
      </c>
      <c r="C4489" t="s">
        <v>17</v>
      </c>
      <c r="D4489">
        <v>254844</v>
      </c>
      <c r="E4489">
        <v>50450</v>
      </c>
      <c r="F4489">
        <v>40114</v>
      </c>
      <c r="G4489">
        <v>-225371</v>
      </c>
      <c r="H4489">
        <v>120037</v>
      </c>
      <c r="I4489">
        <v>120739</v>
      </c>
      <c r="J4489">
        <v>3189</v>
      </c>
      <c r="K4489">
        <v>863127</v>
      </c>
      <c r="L4489">
        <v>268410</v>
      </c>
      <c r="M4489">
        <v>-126898</v>
      </c>
      <c r="N4489">
        <v>192544</v>
      </c>
      <c r="O4489" t="s">
        <v>4507</v>
      </c>
      <c r="P4489" s="9">
        <v>248828</v>
      </c>
      <c r="Q4489" s="9">
        <v>48231</v>
      </c>
      <c r="R4489" s="9">
        <v>297059</v>
      </c>
      <c r="S4489" s="9">
        <v>-147124</v>
      </c>
      <c r="T4489" s="10">
        <v>126053</v>
      </c>
      <c r="U4489" s="10">
        <v>2877</v>
      </c>
    </row>
    <row r="4490" spans="1:21" x14ac:dyDescent="0.35">
      <c r="A4490" t="s">
        <v>15</v>
      </c>
      <c r="B4490" t="s">
        <v>20</v>
      </c>
      <c r="C4490" t="s">
        <v>21</v>
      </c>
      <c r="D4490">
        <v>174952</v>
      </c>
      <c r="E4490">
        <v>21653</v>
      </c>
      <c r="F4490">
        <v>38647</v>
      </c>
      <c r="G4490">
        <v>-144004</v>
      </c>
      <c r="H4490">
        <v>91248</v>
      </c>
      <c r="I4490">
        <v>92374</v>
      </c>
      <c r="J4490">
        <v>933</v>
      </c>
      <c r="K4490">
        <v>581024</v>
      </c>
      <c r="L4490">
        <v>67798</v>
      </c>
      <c r="M4490">
        <v>-134177</v>
      </c>
      <c r="N4490">
        <v>136448</v>
      </c>
      <c r="O4490" t="s">
        <v>4508</v>
      </c>
      <c r="P4490" s="9">
        <v>169366</v>
      </c>
      <c r="Q4490" s="9">
        <v>14671</v>
      </c>
      <c r="R4490" s="9">
        <v>184037</v>
      </c>
      <c r="S4490" s="9">
        <v>-87057</v>
      </c>
      <c r="T4490" s="10">
        <v>47715</v>
      </c>
      <c r="U4490" s="10">
        <v>967</v>
      </c>
    </row>
    <row r="4491" spans="1:21" x14ac:dyDescent="0.35">
      <c r="A4491" t="s">
        <v>15</v>
      </c>
      <c r="B4491" t="s">
        <v>20</v>
      </c>
      <c r="C4491" t="s">
        <v>17</v>
      </c>
      <c r="D4491">
        <v>217866</v>
      </c>
      <c r="E4491">
        <v>25007</v>
      </c>
      <c r="F4491">
        <v>44827</v>
      </c>
      <c r="G4491">
        <v>-175984</v>
      </c>
      <c r="H4491">
        <v>111716</v>
      </c>
      <c r="I4491">
        <v>116101</v>
      </c>
      <c r="J4491">
        <v>2298</v>
      </c>
      <c r="K4491">
        <v>653783</v>
      </c>
      <c r="L4491">
        <v>294694</v>
      </c>
      <c r="M4491">
        <v>-117806</v>
      </c>
      <c r="N4491">
        <v>107183</v>
      </c>
      <c r="O4491" t="s">
        <v>4509</v>
      </c>
      <c r="P4491" s="9">
        <v>226004</v>
      </c>
      <c r="Q4491" s="9">
        <v>28815</v>
      </c>
      <c r="R4491" s="9">
        <v>254819</v>
      </c>
      <c r="S4491" s="9">
        <v>-128363</v>
      </c>
      <c r="T4491" s="10">
        <v>91487</v>
      </c>
      <c r="U4491" s="10">
        <v>1061</v>
      </c>
    </row>
    <row r="4492" spans="1:21" x14ac:dyDescent="0.35">
      <c r="A4492" t="s">
        <v>15</v>
      </c>
      <c r="B4492" t="s">
        <v>16</v>
      </c>
      <c r="C4492" t="s">
        <v>21</v>
      </c>
      <c r="D4492">
        <v>240795</v>
      </c>
      <c r="E4492">
        <v>44225</v>
      </c>
      <c r="F4492">
        <v>35176</v>
      </c>
      <c r="G4492">
        <v>-192883</v>
      </c>
      <c r="H4492">
        <v>127313</v>
      </c>
      <c r="I4492">
        <v>121955</v>
      </c>
      <c r="J4492">
        <v>2146</v>
      </c>
      <c r="K4492">
        <v>798101</v>
      </c>
      <c r="L4492">
        <v>147421</v>
      </c>
      <c r="M4492">
        <v>-217858</v>
      </c>
      <c r="N4492">
        <v>189818</v>
      </c>
      <c r="O4492" t="s">
        <v>4510</v>
      </c>
      <c r="P4492" s="9">
        <v>221452</v>
      </c>
      <c r="Q4492" s="9">
        <v>20842</v>
      </c>
      <c r="R4492" s="9">
        <v>242294</v>
      </c>
      <c r="S4492" s="9">
        <v>-132753</v>
      </c>
      <c r="T4492" s="10">
        <v>86032</v>
      </c>
      <c r="U4492" s="10">
        <v>2491</v>
      </c>
    </row>
    <row r="4493" spans="1:21" x14ac:dyDescent="0.35">
      <c r="A4493" t="s">
        <v>15</v>
      </c>
      <c r="B4493" t="s">
        <v>16</v>
      </c>
      <c r="C4493" t="s">
        <v>21</v>
      </c>
      <c r="D4493">
        <v>187147</v>
      </c>
      <c r="E4493">
        <v>22684</v>
      </c>
      <c r="F4493">
        <v>26791</v>
      </c>
      <c r="G4493">
        <v>-169373</v>
      </c>
      <c r="H4493">
        <v>67249</v>
      </c>
      <c r="I4493">
        <v>64294</v>
      </c>
      <c r="J4493">
        <v>1439</v>
      </c>
      <c r="K4493">
        <v>513547</v>
      </c>
      <c r="L4493">
        <v>68032</v>
      </c>
      <c r="M4493">
        <v>-81324</v>
      </c>
      <c r="N4493">
        <v>117889</v>
      </c>
      <c r="O4493" t="s">
        <v>4511</v>
      </c>
      <c r="P4493" s="9">
        <v>208497</v>
      </c>
      <c r="Q4493" s="9">
        <v>21380</v>
      </c>
      <c r="R4493" s="9">
        <v>229877</v>
      </c>
      <c r="S4493" s="9">
        <v>-91172</v>
      </c>
      <c r="T4493" s="10">
        <v>85431</v>
      </c>
      <c r="U4493" s="10">
        <v>2238</v>
      </c>
    </row>
    <row r="4494" spans="1:21" x14ac:dyDescent="0.35">
      <c r="A4494" t="s">
        <v>15</v>
      </c>
      <c r="B4494" t="s">
        <v>16</v>
      </c>
      <c r="C4494" t="s">
        <v>21</v>
      </c>
      <c r="D4494">
        <v>236812</v>
      </c>
      <c r="E4494">
        <v>21681</v>
      </c>
      <c r="F4494">
        <v>46043</v>
      </c>
      <c r="G4494">
        <v>-233599</v>
      </c>
      <c r="H4494">
        <v>70937</v>
      </c>
      <c r="I4494">
        <v>64200</v>
      </c>
      <c r="J4494">
        <v>975</v>
      </c>
      <c r="K4494">
        <v>776714</v>
      </c>
      <c r="L4494">
        <v>168703</v>
      </c>
      <c r="M4494">
        <v>-199827</v>
      </c>
      <c r="N4494">
        <v>156384</v>
      </c>
      <c r="O4494" t="s">
        <v>4512</v>
      </c>
      <c r="P4494" s="9">
        <v>161011</v>
      </c>
      <c r="Q4494" s="9">
        <v>18189</v>
      </c>
      <c r="R4494" s="9">
        <v>179200</v>
      </c>
      <c r="S4494" s="9">
        <v>-60752</v>
      </c>
      <c r="T4494" s="10">
        <v>46996</v>
      </c>
      <c r="U4494" s="10">
        <v>797</v>
      </c>
    </row>
    <row r="4495" spans="1:21" x14ac:dyDescent="0.35">
      <c r="A4495" t="s">
        <v>15</v>
      </c>
      <c r="B4495" t="s">
        <v>20</v>
      </c>
      <c r="C4495" t="s">
        <v>17</v>
      </c>
      <c r="D4495">
        <v>244729</v>
      </c>
      <c r="E4495">
        <v>20322</v>
      </c>
      <c r="F4495">
        <v>29659</v>
      </c>
      <c r="G4495">
        <v>-234060</v>
      </c>
      <c r="H4495">
        <v>60650</v>
      </c>
      <c r="I4495">
        <v>60803</v>
      </c>
      <c r="J4495">
        <v>1456</v>
      </c>
      <c r="K4495">
        <v>861837</v>
      </c>
      <c r="L4495">
        <v>334065</v>
      </c>
      <c r="M4495">
        <v>-261258</v>
      </c>
      <c r="N4495">
        <v>112975</v>
      </c>
      <c r="O4495" t="s">
        <v>4513</v>
      </c>
      <c r="P4495" s="9">
        <v>161902</v>
      </c>
      <c r="Q4495" s="9">
        <v>24796</v>
      </c>
      <c r="R4495" s="9">
        <v>186698</v>
      </c>
      <c r="S4495" s="9">
        <v>-110731</v>
      </c>
      <c r="T4495" s="10">
        <v>71847</v>
      </c>
      <c r="U4495" s="10">
        <v>750</v>
      </c>
    </row>
    <row r="4496" spans="1:21" x14ac:dyDescent="0.35">
      <c r="A4496" t="s">
        <v>15</v>
      </c>
      <c r="B4496" t="s">
        <v>20</v>
      </c>
      <c r="C4496" t="s">
        <v>21</v>
      </c>
      <c r="D4496">
        <v>212701</v>
      </c>
      <c r="E4496">
        <v>17748</v>
      </c>
      <c r="F4496">
        <v>47530</v>
      </c>
      <c r="G4496">
        <v>-205741</v>
      </c>
      <c r="H4496">
        <v>72238</v>
      </c>
      <c r="I4496">
        <v>65460</v>
      </c>
      <c r="J4496">
        <v>963</v>
      </c>
      <c r="K4496">
        <v>722828</v>
      </c>
      <c r="L4496">
        <v>121195</v>
      </c>
      <c r="M4496">
        <v>-213049</v>
      </c>
      <c r="N4496">
        <v>147698</v>
      </c>
      <c r="O4496" t="s">
        <v>4514</v>
      </c>
      <c r="P4496" s="9">
        <v>296588</v>
      </c>
      <c r="Q4496" s="9">
        <v>24780</v>
      </c>
      <c r="R4496" s="9">
        <v>321368</v>
      </c>
      <c r="S4496" s="9">
        <v>-163300</v>
      </c>
      <c r="T4496" s="10">
        <v>85161</v>
      </c>
      <c r="U4496" s="10">
        <v>1341</v>
      </c>
    </row>
    <row r="4497" spans="1:21" x14ac:dyDescent="0.35">
      <c r="A4497" t="s">
        <v>15</v>
      </c>
      <c r="B4497" t="s">
        <v>20</v>
      </c>
      <c r="C4497" t="s">
        <v>17</v>
      </c>
      <c r="D4497">
        <v>246737</v>
      </c>
      <c r="E4497">
        <v>15409</v>
      </c>
      <c r="F4497">
        <v>35844</v>
      </c>
      <c r="G4497">
        <v>-200683</v>
      </c>
      <c r="H4497">
        <v>97307</v>
      </c>
      <c r="I4497">
        <v>101078</v>
      </c>
      <c r="J4497">
        <v>1423</v>
      </c>
      <c r="K4497">
        <v>839872</v>
      </c>
      <c r="L4497">
        <v>355466</v>
      </c>
      <c r="M4497">
        <v>-209119</v>
      </c>
      <c r="N4497">
        <v>148163</v>
      </c>
      <c r="O4497" t="s">
        <v>4515</v>
      </c>
      <c r="P4497" s="9">
        <v>164692</v>
      </c>
      <c r="Q4497" s="9">
        <v>9000</v>
      </c>
      <c r="R4497" s="9">
        <v>173692</v>
      </c>
      <c r="S4497" s="9">
        <v>-44870</v>
      </c>
      <c r="T4497" s="10">
        <v>57643</v>
      </c>
      <c r="U4497" s="10">
        <v>815</v>
      </c>
    </row>
    <row r="4498" spans="1:21" x14ac:dyDescent="0.35">
      <c r="A4498" t="s">
        <v>15</v>
      </c>
      <c r="B4498" t="s">
        <v>16</v>
      </c>
      <c r="C4498" t="s">
        <v>17</v>
      </c>
      <c r="D4498">
        <v>174414</v>
      </c>
      <c r="E4498">
        <v>27792</v>
      </c>
      <c r="F4498">
        <v>28048</v>
      </c>
      <c r="G4498">
        <v>-165042</v>
      </c>
      <c r="H4498">
        <v>65212</v>
      </c>
      <c r="I4498">
        <v>59591</v>
      </c>
      <c r="J4498">
        <v>963</v>
      </c>
      <c r="K4498">
        <v>664567</v>
      </c>
      <c r="L4498">
        <v>231831</v>
      </c>
      <c r="M4498">
        <v>-71782</v>
      </c>
      <c r="N4498">
        <v>149650</v>
      </c>
      <c r="O4498" t="s">
        <v>4516</v>
      </c>
      <c r="P4498" s="9">
        <v>202595</v>
      </c>
      <c r="Q4498" s="9">
        <v>12258</v>
      </c>
      <c r="R4498" s="9">
        <v>214853</v>
      </c>
      <c r="S4498" s="9">
        <v>-94212</v>
      </c>
      <c r="T4498" s="10">
        <v>67915</v>
      </c>
      <c r="U4498" s="10">
        <v>1550</v>
      </c>
    </row>
    <row r="4499" spans="1:21" x14ac:dyDescent="0.35">
      <c r="A4499" t="s">
        <v>15</v>
      </c>
      <c r="B4499" t="s">
        <v>16</v>
      </c>
      <c r="C4499" t="s">
        <v>21</v>
      </c>
      <c r="D4499">
        <v>163571</v>
      </c>
      <c r="E4499">
        <v>32524</v>
      </c>
      <c r="F4499">
        <v>23008</v>
      </c>
      <c r="G4499">
        <v>-138942</v>
      </c>
      <c r="H4499">
        <v>80161</v>
      </c>
      <c r="I4499">
        <v>72302</v>
      </c>
      <c r="J4499">
        <v>1940</v>
      </c>
      <c r="K4499">
        <v>638743</v>
      </c>
      <c r="L4499">
        <v>157901</v>
      </c>
      <c r="M4499">
        <v>-184412</v>
      </c>
      <c r="N4499">
        <v>90785</v>
      </c>
      <c r="O4499" t="s">
        <v>4517</v>
      </c>
      <c r="P4499" s="9">
        <v>232033</v>
      </c>
      <c r="Q4499" s="9">
        <v>42041</v>
      </c>
      <c r="R4499" s="9">
        <v>274074</v>
      </c>
      <c r="S4499" s="9">
        <v>-91677</v>
      </c>
      <c r="T4499" s="10">
        <v>107679</v>
      </c>
      <c r="U4499" s="10">
        <v>1822</v>
      </c>
    </row>
    <row r="4500" spans="1:21" x14ac:dyDescent="0.35">
      <c r="A4500" t="s">
        <v>15</v>
      </c>
      <c r="B4500" t="s">
        <v>16</v>
      </c>
      <c r="C4500" t="s">
        <v>21</v>
      </c>
      <c r="D4500">
        <v>296883</v>
      </c>
      <c r="E4500">
        <v>32646</v>
      </c>
      <c r="F4500">
        <v>68912</v>
      </c>
      <c r="G4500">
        <v>-244870</v>
      </c>
      <c r="H4500">
        <v>153571</v>
      </c>
      <c r="I4500">
        <v>142062</v>
      </c>
      <c r="J4500">
        <v>2839</v>
      </c>
      <c r="K4500">
        <v>655219</v>
      </c>
      <c r="L4500">
        <v>233008</v>
      </c>
      <c r="M4500">
        <v>-235583</v>
      </c>
      <c r="N4500">
        <v>131297</v>
      </c>
      <c r="O4500" t="s">
        <v>4518</v>
      </c>
      <c r="P4500" s="9">
        <v>212526</v>
      </c>
      <c r="Q4500" s="9">
        <v>11866</v>
      </c>
      <c r="R4500" s="9">
        <v>224392</v>
      </c>
      <c r="S4500" s="9">
        <v>-47867</v>
      </c>
      <c r="T4500" s="10">
        <v>48513</v>
      </c>
      <c r="U4500" s="10">
        <v>489</v>
      </c>
    </row>
    <row r="4501" spans="1:21" x14ac:dyDescent="0.35">
      <c r="A4501" t="s">
        <v>15</v>
      </c>
      <c r="B4501" t="s">
        <v>16</v>
      </c>
      <c r="C4501" t="s">
        <v>21</v>
      </c>
      <c r="D4501">
        <v>233082</v>
      </c>
      <c r="E4501">
        <v>32321</v>
      </c>
      <c r="F4501">
        <v>47993</v>
      </c>
      <c r="G4501">
        <v>-222622</v>
      </c>
      <c r="H4501">
        <v>90774</v>
      </c>
      <c r="I4501">
        <v>82100</v>
      </c>
      <c r="J4501">
        <v>2098</v>
      </c>
      <c r="K4501">
        <v>921200</v>
      </c>
      <c r="L4501">
        <v>406172</v>
      </c>
      <c r="M4501">
        <v>-303191</v>
      </c>
      <c r="N4501">
        <v>125324</v>
      </c>
      <c r="O4501" t="s">
        <v>4519</v>
      </c>
      <c r="P4501" s="9">
        <v>245140</v>
      </c>
      <c r="Q4501" s="9">
        <v>41193</v>
      </c>
      <c r="R4501" s="9">
        <v>286333</v>
      </c>
      <c r="S4501" s="9">
        <v>-107741</v>
      </c>
      <c r="T4501" s="10">
        <v>96947</v>
      </c>
      <c r="U4501" s="10">
        <v>1518</v>
      </c>
    </row>
    <row r="4502" spans="1:21" x14ac:dyDescent="0.35">
      <c r="A4502" t="s">
        <v>15</v>
      </c>
      <c r="B4502" t="s">
        <v>16</v>
      </c>
      <c r="C4502" t="s">
        <v>21</v>
      </c>
      <c r="D4502">
        <v>240251</v>
      </c>
      <c r="E4502">
        <v>48042</v>
      </c>
      <c r="F4502">
        <v>30240</v>
      </c>
      <c r="G4502">
        <v>-197651</v>
      </c>
      <c r="H4502">
        <v>120882</v>
      </c>
      <c r="I4502">
        <v>111340</v>
      </c>
      <c r="J4502">
        <v>1537</v>
      </c>
      <c r="K4502">
        <v>850753</v>
      </c>
      <c r="L4502">
        <v>410041</v>
      </c>
      <c r="M4502">
        <v>-241662</v>
      </c>
      <c r="N4502">
        <v>195523</v>
      </c>
      <c r="O4502" t="s">
        <v>4520</v>
      </c>
      <c r="P4502" s="9">
        <v>191216</v>
      </c>
      <c r="Q4502" s="9">
        <v>11689</v>
      </c>
      <c r="R4502" s="9">
        <v>202905</v>
      </c>
      <c r="S4502" s="9">
        <v>-115793</v>
      </c>
      <c r="T4502" s="10">
        <v>97593</v>
      </c>
      <c r="U4502" s="10">
        <v>2245</v>
      </c>
    </row>
    <row r="4503" spans="1:21" x14ac:dyDescent="0.35">
      <c r="A4503" t="s">
        <v>15</v>
      </c>
      <c r="B4503" t="s">
        <v>16</v>
      </c>
      <c r="C4503" t="s">
        <v>17</v>
      </c>
      <c r="D4503">
        <v>198065</v>
      </c>
      <c r="E4503">
        <v>13874</v>
      </c>
      <c r="F4503">
        <v>32953</v>
      </c>
      <c r="G4503">
        <v>-166295</v>
      </c>
      <c r="H4503">
        <v>78597</v>
      </c>
      <c r="I4503">
        <v>75297</v>
      </c>
      <c r="J4503">
        <v>1582</v>
      </c>
      <c r="K4503">
        <v>517483</v>
      </c>
      <c r="L4503">
        <v>162914</v>
      </c>
      <c r="M4503">
        <v>-138563</v>
      </c>
      <c r="N4503">
        <v>145844</v>
      </c>
      <c r="O4503" t="s">
        <v>4521</v>
      </c>
      <c r="P4503" s="9">
        <v>243322</v>
      </c>
      <c r="Q4503" s="9">
        <v>23075</v>
      </c>
      <c r="R4503" s="9">
        <v>266397</v>
      </c>
      <c r="S4503" s="9">
        <v>-89866</v>
      </c>
      <c r="T4503" s="10">
        <v>61661</v>
      </c>
      <c r="U4503" s="10">
        <v>702</v>
      </c>
    </row>
    <row r="4504" spans="1:21" x14ac:dyDescent="0.35">
      <c r="A4504" t="s">
        <v>15</v>
      </c>
      <c r="B4504" t="s">
        <v>16</v>
      </c>
      <c r="C4504" t="s">
        <v>17</v>
      </c>
      <c r="D4504">
        <v>256431</v>
      </c>
      <c r="E4504">
        <v>14908</v>
      </c>
      <c r="F4504">
        <v>44535</v>
      </c>
      <c r="G4504">
        <v>-253990</v>
      </c>
      <c r="H4504">
        <v>61884</v>
      </c>
      <c r="I4504">
        <v>64437</v>
      </c>
      <c r="J4504">
        <v>981</v>
      </c>
      <c r="K4504">
        <v>544397</v>
      </c>
      <c r="L4504">
        <v>155527</v>
      </c>
      <c r="M4504">
        <v>-151775</v>
      </c>
      <c r="N4504">
        <v>88763</v>
      </c>
      <c r="O4504" t="s">
        <v>4522</v>
      </c>
      <c r="P4504" s="9">
        <v>144547</v>
      </c>
      <c r="Q4504" s="9">
        <v>15106</v>
      </c>
      <c r="R4504" s="9">
        <v>159653</v>
      </c>
      <c r="S4504" s="9">
        <v>-80331</v>
      </c>
      <c r="T4504" s="10">
        <v>72453</v>
      </c>
      <c r="U4504" s="10">
        <v>1298</v>
      </c>
    </row>
    <row r="4505" spans="1:21" x14ac:dyDescent="0.35">
      <c r="A4505" t="s">
        <v>15</v>
      </c>
      <c r="B4505" t="s">
        <v>16</v>
      </c>
      <c r="C4505" t="s">
        <v>21</v>
      </c>
      <c r="D4505">
        <v>164868</v>
      </c>
      <c r="E4505">
        <v>23833</v>
      </c>
      <c r="F4505">
        <v>18281</v>
      </c>
      <c r="G4505">
        <v>-160477</v>
      </c>
      <c r="H4505">
        <v>46505</v>
      </c>
      <c r="I4505">
        <v>43038</v>
      </c>
      <c r="J4505">
        <v>698</v>
      </c>
      <c r="K4505">
        <v>376929</v>
      </c>
      <c r="L4505">
        <v>45517</v>
      </c>
      <c r="M4505">
        <v>-75972</v>
      </c>
      <c r="N4505">
        <v>145801</v>
      </c>
      <c r="O4505" t="s">
        <v>4523</v>
      </c>
      <c r="P4505" s="9">
        <v>251746</v>
      </c>
      <c r="Q4505" s="9">
        <v>39403</v>
      </c>
      <c r="R4505" s="9">
        <v>291149</v>
      </c>
      <c r="S4505" s="9">
        <v>-148541</v>
      </c>
      <c r="T4505" s="10">
        <v>86698</v>
      </c>
      <c r="U4505" s="10">
        <v>1129</v>
      </c>
    </row>
    <row r="4506" spans="1:21" x14ac:dyDescent="0.35">
      <c r="A4506" t="s">
        <v>15</v>
      </c>
      <c r="B4506" t="s">
        <v>16</v>
      </c>
      <c r="C4506" t="s">
        <v>17</v>
      </c>
      <c r="D4506">
        <v>210533</v>
      </c>
      <c r="E4506">
        <v>34143</v>
      </c>
      <c r="F4506">
        <v>26826</v>
      </c>
      <c r="G4506">
        <v>-183610</v>
      </c>
      <c r="H4506">
        <v>87892</v>
      </c>
      <c r="I4506">
        <v>87170</v>
      </c>
      <c r="J4506">
        <v>1375</v>
      </c>
      <c r="K4506">
        <v>472779</v>
      </c>
      <c r="L4506">
        <v>162140</v>
      </c>
      <c r="M4506">
        <v>-98100</v>
      </c>
      <c r="N4506">
        <v>101384</v>
      </c>
      <c r="O4506" t="s">
        <v>4524</v>
      </c>
      <c r="P4506" s="9">
        <v>240967</v>
      </c>
      <c r="Q4506" s="9">
        <v>13465</v>
      </c>
      <c r="R4506" s="9">
        <v>254432</v>
      </c>
      <c r="S4506" s="9">
        <v>-78756</v>
      </c>
      <c r="T4506" s="10">
        <v>61069</v>
      </c>
      <c r="U4506" s="10">
        <v>727</v>
      </c>
    </row>
    <row r="4507" spans="1:21" x14ac:dyDescent="0.35">
      <c r="A4507" t="s">
        <v>15</v>
      </c>
      <c r="B4507" t="s">
        <v>20</v>
      </c>
      <c r="C4507" t="s">
        <v>17</v>
      </c>
      <c r="D4507">
        <v>262388</v>
      </c>
      <c r="E4507">
        <v>32902</v>
      </c>
      <c r="F4507">
        <v>34603</v>
      </c>
      <c r="G4507">
        <v>-235170</v>
      </c>
      <c r="H4507">
        <v>94723</v>
      </c>
      <c r="I4507">
        <v>98807</v>
      </c>
      <c r="J4507">
        <v>2870</v>
      </c>
      <c r="K4507">
        <v>736784</v>
      </c>
      <c r="L4507">
        <v>147238</v>
      </c>
      <c r="M4507">
        <v>-92489</v>
      </c>
      <c r="N4507">
        <v>181881</v>
      </c>
      <c r="O4507" t="s">
        <v>4525</v>
      </c>
      <c r="P4507" s="9">
        <v>269485</v>
      </c>
      <c r="Q4507" s="9">
        <v>45285</v>
      </c>
      <c r="R4507" s="9">
        <v>314770</v>
      </c>
      <c r="S4507" s="9">
        <v>-131533</v>
      </c>
      <c r="T4507" s="10">
        <v>104662</v>
      </c>
      <c r="U4507" s="10">
        <v>1298</v>
      </c>
    </row>
    <row r="4508" spans="1:21" x14ac:dyDescent="0.35">
      <c r="A4508" t="s">
        <v>15</v>
      </c>
      <c r="B4508" t="s">
        <v>20</v>
      </c>
      <c r="C4508" t="s">
        <v>17</v>
      </c>
      <c r="D4508">
        <v>282580</v>
      </c>
      <c r="E4508">
        <v>19648</v>
      </c>
      <c r="F4508">
        <v>50940</v>
      </c>
      <c r="G4508">
        <v>-268520</v>
      </c>
      <c r="H4508">
        <v>84648</v>
      </c>
      <c r="I4508">
        <v>83430</v>
      </c>
      <c r="J4508">
        <v>1198</v>
      </c>
      <c r="K4508">
        <v>614720</v>
      </c>
      <c r="L4508">
        <v>304005</v>
      </c>
      <c r="M4508">
        <v>-128945</v>
      </c>
      <c r="N4508">
        <v>181962</v>
      </c>
      <c r="O4508" t="s">
        <v>4526</v>
      </c>
      <c r="P4508" s="9">
        <v>291465</v>
      </c>
      <c r="Q4508" s="9">
        <v>19674</v>
      </c>
      <c r="R4508" s="9">
        <v>311139</v>
      </c>
      <c r="S4508" s="9">
        <v>-67047</v>
      </c>
      <c r="T4508" s="10">
        <v>104523</v>
      </c>
      <c r="U4508" s="10">
        <v>1076</v>
      </c>
    </row>
    <row r="4509" spans="1:21" x14ac:dyDescent="0.35">
      <c r="A4509" t="s">
        <v>15</v>
      </c>
      <c r="B4509" t="s">
        <v>20</v>
      </c>
      <c r="C4509" t="s">
        <v>17</v>
      </c>
      <c r="D4509">
        <v>186030</v>
      </c>
      <c r="E4509">
        <v>21403</v>
      </c>
      <c r="F4509">
        <v>36386</v>
      </c>
      <c r="G4509">
        <v>-170279</v>
      </c>
      <c r="H4509">
        <v>73540</v>
      </c>
      <c r="I4509">
        <v>71127</v>
      </c>
      <c r="J4509">
        <v>1322</v>
      </c>
      <c r="K4509">
        <v>470891</v>
      </c>
      <c r="L4509">
        <v>118970</v>
      </c>
      <c r="M4509">
        <v>-176267</v>
      </c>
      <c r="N4509">
        <v>85147</v>
      </c>
      <c r="O4509" t="s">
        <v>4527</v>
      </c>
      <c r="P4509" s="9">
        <v>260395</v>
      </c>
      <c r="Q4509" s="9">
        <v>54307</v>
      </c>
      <c r="R4509" s="9">
        <v>314702</v>
      </c>
      <c r="S4509" s="9">
        <v>-87787</v>
      </c>
      <c r="T4509" s="10">
        <v>165753</v>
      </c>
      <c r="U4509" s="10">
        <v>4627</v>
      </c>
    </row>
    <row r="4510" spans="1:21" x14ac:dyDescent="0.35">
      <c r="A4510" t="s">
        <v>15</v>
      </c>
      <c r="B4510" t="s">
        <v>16</v>
      </c>
      <c r="C4510" t="s">
        <v>21</v>
      </c>
      <c r="D4510">
        <v>285846</v>
      </c>
      <c r="E4510">
        <v>45477</v>
      </c>
      <c r="F4510">
        <v>39639</v>
      </c>
      <c r="G4510">
        <v>-278177</v>
      </c>
      <c r="H4510">
        <v>92785</v>
      </c>
      <c r="I4510">
        <v>93178</v>
      </c>
      <c r="J4510">
        <v>1707</v>
      </c>
      <c r="K4510">
        <v>742941</v>
      </c>
      <c r="L4510">
        <v>277744</v>
      </c>
      <c r="M4510">
        <v>-165189</v>
      </c>
      <c r="N4510">
        <v>236231</v>
      </c>
      <c r="O4510" t="s">
        <v>4528</v>
      </c>
      <c r="P4510" s="9">
        <v>304983</v>
      </c>
      <c r="Q4510" s="9">
        <v>46554</v>
      </c>
      <c r="R4510" s="9">
        <v>351537</v>
      </c>
      <c r="S4510" s="9">
        <v>-79286</v>
      </c>
      <c r="T4510" s="10">
        <v>155779</v>
      </c>
      <c r="U4510" s="10">
        <v>3938</v>
      </c>
    </row>
    <row r="4511" spans="1:21" x14ac:dyDescent="0.35">
      <c r="A4511" t="s">
        <v>15</v>
      </c>
      <c r="B4511" t="s">
        <v>20</v>
      </c>
      <c r="C4511" t="s">
        <v>17</v>
      </c>
      <c r="D4511">
        <v>257006</v>
      </c>
      <c r="E4511">
        <v>40867</v>
      </c>
      <c r="F4511">
        <v>46669</v>
      </c>
      <c r="G4511">
        <v>-217208</v>
      </c>
      <c r="H4511">
        <v>127334</v>
      </c>
      <c r="I4511">
        <v>130362</v>
      </c>
      <c r="J4511">
        <v>3892</v>
      </c>
      <c r="K4511">
        <v>628357</v>
      </c>
      <c r="L4511">
        <v>150227</v>
      </c>
      <c r="M4511">
        <v>-177415</v>
      </c>
      <c r="N4511">
        <v>112384</v>
      </c>
      <c r="O4511" t="s">
        <v>4529</v>
      </c>
      <c r="P4511" s="9">
        <v>229989</v>
      </c>
      <c r="Q4511" s="9">
        <v>29420</v>
      </c>
      <c r="R4511" s="9">
        <v>259409</v>
      </c>
      <c r="S4511" s="9">
        <v>-145910</v>
      </c>
      <c r="T4511" s="10">
        <v>85961</v>
      </c>
      <c r="U4511" s="10">
        <v>1057</v>
      </c>
    </row>
    <row r="4512" spans="1:21" x14ac:dyDescent="0.35">
      <c r="A4512" t="s">
        <v>15</v>
      </c>
      <c r="B4512" t="s">
        <v>16</v>
      </c>
      <c r="C4512" t="s">
        <v>17</v>
      </c>
      <c r="D4512">
        <v>281865</v>
      </c>
      <c r="E4512">
        <v>51717</v>
      </c>
      <c r="F4512">
        <v>31149</v>
      </c>
      <c r="G4512">
        <v>-249609</v>
      </c>
      <c r="H4512">
        <v>115122</v>
      </c>
      <c r="I4512">
        <v>108310</v>
      </c>
      <c r="J4512">
        <v>2682</v>
      </c>
      <c r="K4512">
        <v>601746</v>
      </c>
      <c r="L4512">
        <v>156294</v>
      </c>
      <c r="M4512">
        <v>-130180</v>
      </c>
      <c r="N4512">
        <v>155082</v>
      </c>
      <c r="O4512" t="s">
        <v>4530</v>
      </c>
      <c r="P4512" s="9">
        <v>233577</v>
      </c>
      <c r="Q4512" s="9">
        <v>27119</v>
      </c>
      <c r="R4512" s="9">
        <v>260696</v>
      </c>
      <c r="S4512" s="9">
        <v>-130764</v>
      </c>
      <c r="T4512" s="10">
        <v>86054</v>
      </c>
      <c r="U4512" s="10">
        <v>918</v>
      </c>
    </row>
    <row r="4513" spans="1:21" x14ac:dyDescent="0.35">
      <c r="A4513" t="s">
        <v>15</v>
      </c>
      <c r="B4513" t="s">
        <v>20</v>
      </c>
      <c r="C4513" t="s">
        <v>21</v>
      </c>
      <c r="D4513">
        <v>254418</v>
      </c>
      <c r="E4513">
        <v>27571</v>
      </c>
      <c r="F4513">
        <v>33689</v>
      </c>
      <c r="G4513">
        <v>-221957</v>
      </c>
      <c r="H4513">
        <v>93721</v>
      </c>
      <c r="I4513">
        <v>93330</v>
      </c>
      <c r="J4513">
        <v>1575</v>
      </c>
      <c r="K4513">
        <v>780370</v>
      </c>
      <c r="L4513">
        <v>99865</v>
      </c>
      <c r="M4513">
        <v>-149812</v>
      </c>
      <c r="N4513">
        <v>210142</v>
      </c>
      <c r="O4513" t="s">
        <v>4531</v>
      </c>
      <c r="P4513" s="9">
        <v>261609</v>
      </c>
      <c r="Q4513" s="9">
        <v>14060</v>
      </c>
      <c r="R4513" s="9">
        <v>275669</v>
      </c>
      <c r="S4513" s="9">
        <v>-154837</v>
      </c>
      <c r="T4513" s="10">
        <v>84723</v>
      </c>
      <c r="U4513" s="10">
        <v>1185</v>
      </c>
    </row>
    <row r="4514" spans="1:21" x14ac:dyDescent="0.35">
      <c r="A4514" t="s">
        <v>15</v>
      </c>
      <c r="B4514" t="s">
        <v>16</v>
      </c>
      <c r="C4514" t="s">
        <v>17</v>
      </c>
      <c r="D4514">
        <v>261250</v>
      </c>
      <c r="E4514">
        <v>16598</v>
      </c>
      <c r="F4514">
        <v>49756</v>
      </c>
      <c r="G4514">
        <v>-233452</v>
      </c>
      <c r="H4514">
        <v>94152</v>
      </c>
      <c r="I4514">
        <v>86983</v>
      </c>
      <c r="J4514">
        <v>1770</v>
      </c>
      <c r="K4514">
        <v>546447</v>
      </c>
      <c r="L4514">
        <v>99699</v>
      </c>
      <c r="M4514">
        <v>-178744</v>
      </c>
      <c r="N4514">
        <v>183685</v>
      </c>
      <c r="O4514" t="s">
        <v>4532</v>
      </c>
      <c r="P4514" s="9">
        <v>151016</v>
      </c>
      <c r="Q4514" s="9">
        <v>27097</v>
      </c>
      <c r="R4514" s="9">
        <v>178113</v>
      </c>
      <c r="S4514" s="9">
        <v>-69952</v>
      </c>
      <c r="T4514" s="10">
        <v>57381</v>
      </c>
      <c r="U4514" s="10">
        <v>1381</v>
      </c>
    </row>
    <row r="4515" spans="1:21" x14ac:dyDescent="0.35">
      <c r="A4515" t="s">
        <v>15</v>
      </c>
      <c r="B4515" t="s">
        <v>16</v>
      </c>
      <c r="C4515" t="s">
        <v>21</v>
      </c>
      <c r="D4515">
        <v>295001</v>
      </c>
      <c r="E4515">
        <v>57050</v>
      </c>
      <c r="F4515">
        <v>38674</v>
      </c>
      <c r="G4515">
        <v>-272189</v>
      </c>
      <c r="H4515">
        <v>118536</v>
      </c>
      <c r="I4515">
        <v>114661</v>
      </c>
      <c r="J4515">
        <v>2822</v>
      </c>
      <c r="K4515">
        <v>611269</v>
      </c>
      <c r="L4515">
        <v>78765</v>
      </c>
      <c r="M4515">
        <v>-63866</v>
      </c>
      <c r="N4515">
        <v>216037</v>
      </c>
      <c r="O4515" t="s">
        <v>4533</v>
      </c>
      <c r="P4515" s="9">
        <v>244698</v>
      </c>
      <c r="Q4515" s="9">
        <v>25767</v>
      </c>
      <c r="R4515" s="9">
        <v>270465</v>
      </c>
      <c r="S4515" s="9">
        <v>-159655</v>
      </c>
      <c r="T4515" s="10">
        <v>78943</v>
      </c>
      <c r="U4515" s="10">
        <v>1815</v>
      </c>
    </row>
    <row r="4516" spans="1:21" x14ac:dyDescent="0.35">
      <c r="A4516" t="s">
        <v>15</v>
      </c>
      <c r="B4516" t="s">
        <v>16</v>
      </c>
      <c r="C4516" t="s">
        <v>21</v>
      </c>
      <c r="D4516">
        <v>173096</v>
      </c>
      <c r="E4516">
        <v>28277</v>
      </c>
      <c r="F4516">
        <v>31273</v>
      </c>
      <c r="G4516">
        <v>-156543</v>
      </c>
      <c r="H4516">
        <v>76103</v>
      </c>
      <c r="I4516">
        <v>75643</v>
      </c>
      <c r="J4516">
        <v>826</v>
      </c>
      <c r="K4516">
        <v>491975</v>
      </c>
      <c r="L4516">
        <v>205042</v>
      </c>
      <c r="M4516">
        <v>-187420</v>
      </c>
      <c r="N4516">
        <v>67909</v>
      </c>
      <c r="O4516" t="s">
        <v>4534</v>
      </c>
      <c r="P4516" s="9">
        <v>214994</v>
      </c>
      <c r="Q4516" s="9">
        <v>28639</v>
      </c>
      <c r="R4516" s="9">
        <v>243633</v>
      </c>
      <c r="S4516" s="9">
        <v>-102504</v>
      </c>
      <c r="T4516" s="10">
        <v>77361</v>
      </c>
      <c r="U4516" s="10">
        <v>2274</v>
      </c>
    </row>
    <row r="4517" spans="1:21" x14ac:dyDescent="0.35">
      <c r="A4517" t="s">
        <v>15</v>
      </c>
      <c r="B4517" t="s">
        <v>16</v>
      </c>
      <c r="C4517" t="s">
        <v>21</v>
      </c>
      <c r="D4517">
        <v>262069</v>
      </c>
      <c r="E4517">
        <v>29340</v>
      </c>
      <c r="F4517">
        <v>30154</v>
      </c>
      <c r="G4517">
        <v>-256014</v>
      </c>
      <c r="H4517">
        <v>65549</v>
      </c>
      <c r="I4517">
        <v>64221</v>
      </c>
      <c r="J4517">
        <v>1904</v>
      </c>
      <c r="K4517">
        <v>591268</v>
      </c>
      <c r="L4517">
        <v>93929</v>
      </c>
      <c r="M4517">
        <v>-131178</v>
      </c>
      <c r="N4517">
        <v>79843</v>
      </c>
      <c r="O4517" t="s">
        <v>4535</v>
      </c>
      <c r="P4517" s="9">
        <v>237193</v>
      </c>
      <c r="Q4517" s="9">
        <v>32752</v>
      </c>
      <c r="R4517" s="9">
        <v>269945</v>
      </c>
      <c r="S4517" s="9">
        <v>-91002</v>
      </c>
      <c r="T4517" s="10">
        <v>90887</v>
      </c>
      <c r="U4517" s="10">
        <v>1876</v>
      </c>
    </row>
    <row r="4518" spans="1:21" x14ac:dyDescent="0.35">
      <c r="A4518" t="s">
        <v>15</v>
      </c>
      <c r="B4518" t="s">
        <v>20</v>
      </c>
      <c r="C4518" t="s">
        <v>17</v>
      </c>
      <c r="D4518">
        <v>160329</v>
      </c>
      <c r="E4518">
        <v>10008</v>
      </c>
      <c r="F4518">
        <v>28993</v>
      </c>
      <c r="G4518">
        <v>-139420</v>
      </c>
      <c r="H4518">
        <v>59910</v>
      </c>
      <c r="I4518">
        <v>54198</v>
      </c>
      <c r="J4518">
        <v>679</v>
      </c>
      <c r="K4518">
        <v>329455</v>
      </c>
      <c r="L4518">
        <v>159558</v>
      </c>
      <c r="M4518">
        <v>-130509</v>
      </c>
      <c r="N4518">
        <v>51596</v>
      </c>
      <c r="O4518" t="s">
        <v>4536</v>
      </c>
      <c r="P4518" s="9">
        <v>235053</v>
      </c>
      <c r="Q4518" s="9">
        <v>43629</v>
      </c>
      <c r="R4518" s="9">
        <v>278682</v>
      </c>
      <c r="S4518" s="9">
        <v>-155199</v>
      </c>
      <c r="T4518" s="10">
        <v>89827</v>
      </c>
      <c r="U4518" s="10">
        <v>2512</v>
      </c>
    </row>
    <row r="4519" spans="1:21" x14ac:dyDescent="0.35">
      <c r="A4519" t="s">
        <v>15</v>
      </c>
      <c r="B4519" t="s">
        <v>16</v>
      </c>
      <c r="C4519" t="s">
        <v>21</v>
      </c>
      <c r="D4519">
        <v>247497</v>
      </c>
      <c r="E4519">
        <v>33105</v>
      </c>
      <c r="F4519">
        <v>59847</v>
      </c>
      <c r="G4519">
        <v>-215823</v>
      </c>
      <c r="H4519">
        <v>124626</v>
      </c>
      <c r="I4519">
        <v>128041</v>
      </c>
      <c r="J4519">
        <v>1741</v>
      </c>
      <c r="K4519">
        <v>674009</v>
      </c>
      <c r="L4519">
        <v>242937</v>
      </c>
      <c r="M4519">
        <v>-96709</v>
      </c>
      <c r="N4519">
        <v>172997</v>
      </c>
      <c r="O4519" t="s">
        <v>4537</v>
      </c>
      <c r="P4519" s="9">
        <v>314899</v>
      </c>
      <c r="Q4519" s="9">
        <v>42458</v>
      </c>
      <c r="R4519" s="9">
        <v>357357</v>
      </c>
      <c r="S4519" s="9">
        <v>-119700</v>
      </c>
      <c r="T4519" s="10">
        <v>127073</v>
      </c>
      <c r="U4519" s="10">
        <v>2647</v>
      </c>
    </row>
    <row r="4520" spans="1:21" x14ac:dyDescent="0.35">
      <c r="A4520" t="s">
        <v>15</v>
      </c>
      <c r="B4520" t="s">
        <v>16</v>
      </c>
      <c r="C4520" t="s">
        <v>21</v>
      </c>
      <c r="D4520">
        <v>252381</v>
      </c>
      <c r="E4520">
        <v>20459</v>
      </c>
      <c r="F4520">
        <v>27362</v>
      </c>
      <c r="G4520">
        <v>-228973</v>
      </c>
      <c r="H4520">
        <v>71229</v>
      </c>
      <c r="I4520">
        <v>69303</v>
      </c>
      <c r="J4520">
        <v>1341</v>
      </c>
      <c r="K4520">
        <v>669507</v>
      </c>
      <c r="L4520">
        <v>246414</v>
      </c>
      <c r="M4520">
        <v>-252865</v>
      </c>
      <c r="N4520">
        <v>146467</v>
      </c>
      <c r="O4520" t="s">
        <v>4538</v>
      </c>
      <c r="P4520" s="9">
        <v>219060</v>
      </c>
      <c r="Q4520" s="9">
        <v>29808</v>
      </c>
      <c r="R4520" s="9">
        <v>248868</v>
      </c>
      <c r="S4520" s="9">
        <v>-69677</v>
      </c>
      <c r="T4520" s="10">
        <v>111482</v>
      </c>
      <c r="U4520" s="10">
        <v>2210</v>
      </c>
    </row>
    <row r="4521" spans="1:21" x14ac:dyDescent="0.35">
      <c r="A4521" t="s">
        <v>15</v>
      </c>
      <c r="B4521" t="s">
        <v>16</v>
      </c>
      <c r="C4521" t="s">
        <v>17</v>
      </c>
      <c r="D4521">
        <v>263636</v>
      </c>
      <c r="E4521">
        <v>21738</v>
      </c>
      <c r="F4521">
        <v>49762</v>
      </c>
      <c r="G4521">
        <v>-256864</v>
      </c>
      <c r="H4521">
        <v>78272</v>
      </c>
      <c r="I4521">
        <v>82062</v>
      </c>
      <c r="J4521">
        <v>1323</v>
      </c>
      <c r="K4521">
        <v>564126</v>
      </c>
      <c r="L4521">
        <v>152384</v>
      </c>
      <c r="M4521">
        <v>-182677</v>
      </c>
      <c r="N4521">
        <v>123274</v>
      </c>
      <c r="O4521" t="s">
        <v>4539</v>
      </c>
      <c r="P4521" s="9">
        <v>140809</v>
      </c>
      <c r="Q4521" s="9">
        <v>15055</v>
      </c>
      <c r="R4521" s="9">
        <v>155864</v>
      </c>
      <c r="S4521" s="9">
        <v>-40438</v>
      </c>
      <c r="T4521" s="10">
        <v>59776</v>
      </c>
      <c r="U4521" s="10">
        <v>1004</v>
      </c>
    </row>
    <row r="4522" spans="1:21" x14ac:dyDescent="0.35">
      <c r="A4522" t="s">
        <v>15</v>
      </c>
      <c r="B4522" t="s">
        <v>20</v>
      </c>
      <c r="C4522" t="s">
        <v>21</v>
      </c>
      <c r="D4522">
        <v>243443</v>
      </c>
      <c r="E4522">
        <v>14955</v>
      </c>
      <c r="F4522">
        <v>26870</v>
      </c>
      <c r="G4522">
        <v>-237153</v>
      </c>
      <c r="H4522">
        <v>48115</v>
      </c>
      <c r="I4522">
        <v>43923</v>
      </c>
      <c r="J4522">
        <v>608</v>
      </c>
      <c r="K4522">
        <v>518165</v>
      </c>
      <c r="L4522">
        <v>163974</v>
      </c>
      <c r="M4522">
        <v>-104393</v>
      </c>
      <c r="N4522">
        <v>108615</v>
      </c>
      <c r="O4522" t="s">
        <v>4540</v>
      </c>
      <c r="P4522" s="9">
        <v>264424</v>
      </c>
      <c r="Q4522" s="9">
        <v>24409</v>
      </c>
      <c r="R4522" s="9">
        <v>288833</v>
      </c>
      <c r="S4522" s="9">
        <v>-106509</v>
      </c>
      <c r="T4522" s="10">
        <v>97133</v>
      </c>
      <c r="U4522" s="10">
        <v>1377</v>
      </c>
    </row>
    <row r="4523" spans="1:21" x14ac:dyDescent="0.35">
      <c r="A4523" t="s">
        <v>15</v>
      </c>
      <c r="B4523" t="s">
        <v>16</v>
      </c>
      <c r="C4523" t="s">
        <v>17</v>
      </c>
      <c r="D4523">
        <v>210783</v>
      </c>
      <c r="E4523">
        <v>41024</v>
      </c>
      <c r="F4523">
        <v>47438</v>
      </c>
      <c r="G4523">
        <v>-210441</v>
      </c>
      <c r="H4523">
        <v>88804</v>
      </c>
      <c r="I4523">
        <v>89129</v>
      </c>
      <c r="J4523">
        <v>1985</v>
      </c>
      <c r="K4523">
        <v>655228</v>
      </c>
      <c r="L4523">
        <v>257140</v>
      </c>
      <c r="M4523">
        <v>-163179</v>
      </c>
      <c r="N4523">
        <v>132613</v>
      </c>
      <c r="O4523" t="s">
        <v>4541</v>
      </c>
      <c r="P4523" s="9">
        <v>281050</v>
      </c>
      <c r="Q4523" s="9">
        <v>45389</v>
      </c>
      <c r="R4523" s="9">
        <v>326439</v>
      </c>
      <c r="S4523" s="9">
        <v>-139378</v>
      </c>
      <c r="T4523" s="10">
        <v>114590</v>
      </c>
      <c r="U4523" s="10">
        <v>1346</v>
      </c>
    </row>
    <row r="4524" spans="1:21" x14ac:dyDescent="0.35">
      <c r="A4524" t="s">
        <v>15</v>
      </c>
      <c r="B4524" t="s">
        <v>16</v>
      </c>
      <c r="C4524" t="s">
        <v>21</v>
      </c>
      <c r="D4524">
        <v>242191</v>
      </c>
      <c r="E4524">
        <v>15105</v>
      </c>
      <c r="F4524">
        <v>55172</v>
      </c>
      <c r="G4524">
        <v>-219048</v>
      </c>
      <c r="H4524">
        <v>93420</v>
      </c>
      <c r="I4524">
        <v>94957</v>
      </c>
      <c r="J4524">
        <v>1050</v>
      </c>
      <c r="K4524">
        <v>917592</v>
      </c>
      <c r="L4524">
        <v>285461</v>
      </c>
      <c r="M4524">
        <v>-224276</v>
      </c>
      <c r="N4524">
        <v>182274</v>
      </c>
      <c r="O4524" t="s">
        <v>4542</v>
      </c>
      <c r="P4524" s="9">
        <v>250899</v>
      </c>
      <c r="Q4524" s="9">
        <v>19031</v>
      </c>
      <c r="R4524" s="9">
        <v>269930</v>
      </c>
      <c r="S4524" s="9">
        <v>-56431</v>
      </c>
      <c r="T4524" s="10">
        <v>62898</v>
      </c>
      <c r="U4524" s="10">
        <v>1572</v>
      </c>
    </row>
    <row r="4525" spans="1:21" x14ac:dyDescent="0.35">
      <c r="A4525" t="s">
        <v>15</v>
      </c>
      <c r="B4525" t="s">
        <v>20</v>
      </c>
      <c r="C4525" t="s">
        <v>17</v>
      </c>
      <c r="D4525">
        <v>170692</v>
      </c>
      <c r="E4525">
        <v>34113</v>
      </c>
      <c r="F4525">
        <v>18937</v>
      </c>
      <c r="G4525">
        <v>-147235</v>
      </c>
      <c r="H4525">
        <v>76507</v>
      </c>
      <c r="I4525">
        <v>77409</v>
      </c>
      <c r="J4525">
        <v>1581</v>
      </c>
      <c r="K4525">
        <v>614681</v>
      </c>
      <c r="L4525">
        <v>197699</v>
      </c>
      <c r="M4525">
        <v>-114022</v>
      </c>
      <c r="N4525">
        <v>89238</v>
      </c>
      <c r="O4525" t="s">
        <v>4543</v>
      </c>
      <c r="P4525" s="9">
        <v>215509</v>
      </c>
      <c r="Q4525" s="9">
        <v>12019</v>
      </c>
      <c r="R4525" s="9">
        <v>227528</v>
      </c>
      <c r="S4525" s="9">
        <v>-116752</v>
      </c>
      <c r="T4525" s="10">
        <v>72031</v>
      </c>
      <c r="U4525" s="10">
        <v>1378</v>
      </c>
    </row>
    <row r="4526" spans="1:21" x14ac:dyDescent="0.35">
      <c r="A4526" t="s">
        <v>15</v>
      </c>
      <c r="B4526" t="s">
        <v>20</v>
      </c>
      <c r="C4526" t="s">
        <v>17</v>
      </c>
      <c r="D4526">
        <v>226851</v>
      </c>
      <c r="E4526">
        <v>42911</v>
      </c>
      <c r="F4526">
        <v>46245</v>
      </c>
      <c r="G4526">
        <v>-189281</v>
      </c>
      <c r="H4526">
        <v>126726</v>
      </c>
      <c r="I4526">
        <v>124498</v>
      </c>
      <c r="J4526">
        <v>1661</v>
      </c>
      <c r="K4526">
        <v>489649</v>
      </c>
      <c r="L4526">
        <v>80215</v>
      </c>
      <c r="M4526">
        <v>-105798</v>
      </c>
      <c r="N4526">
        <v>189569</v>
      </c>
      <c r="O4526" t="s">
        <v>4544</v>
      </c>
      <c r="P4526" s="9">
        <v>225689</v>
      </c>
      <c r="Q4526" s="9">
        <v>39883</v>
      </c>
      <c r="R4526" s="9">
        <v>265572</v>
      </c>
      <c r="S4526" s="9">
        <v>-108044</v>
      </c>
      <c r="T4526" s="10">
        <v>89585</v>
      </c>
      <c r="U4526" s="10">
        <v>1260</v>
      </c>
    </row>
    <row r="4527" spans="1:21" x14ac:dyDescent="0.35">
      <c r="A4527" t="s">
        <v>15</v>
      </c>
      <c r="B4527" t="s">
        <v>20</v>
      </c>
      <c r="C4527" t="s">
        <v>21</v>
      </c>
      <c r="D4527">
        <v>173352</v>
      </c>
      <c r="E4527">
        <v>15089</v>
      </c>
      <c r="F4527">
        <v>42558</v>
      </c>
      <c r="G4527">
        <v>-165253</v>
      </c>
      <c r="H4527">
        <v>65746</v>
      </c>
      <c r="I4527">
        <v>64606</v>
      </c>
      <c r="J4527">
        <v>777</v>
      </c>
      <c r="K4527">
        <v>517503</v>
      </c>
      <c r="L4527">
        <v>94141</v>
      </c>
      <c r="M4527">
        <v>-159272</v>
      </c>
      <c r="N4527">
        <v>64163</v>
      </c>
      <c r="O4527" t="s">
        <v>4545</v>
      </c>
      <c r="P4527" s="9">
        <v>153583</v>
      </c>
      <c r="Q4527" s="9">
        <v>24307</v>
      </c>
      <c r="R4527" s="9">
        <v>177890</v>
      </c>
      <c r="S4527" s="9">
        <v>-71933</v>
      </c>
      <c r="T4527" s="10">
        <v>48556</v>
      </c>
      <c r="U4527" s="10">
        <v>1318</v>
      </c>
    </row>
    <row r="4528" spans="1:21" x14ac:dyDescent="0.35">
      <c r="A4528" t="s">
        <v>15</v>
      </c>
      <c r="B4528" t="s">
        <v>16</v>
      </c>
      <c r="C4528" t="s">
        <v>21</v>
      </c>
      <c r="D4528">
        <v>155713</v>
      </c>
      <c r="E4528">
        <v>26368</v>
      </c>
      <c r="F4528">
        <v>23436</v>
      </c>
      <c r="G4528">
        <v>-154674</v>
      </c>
      <c r="H4528">
        <v>50843</v>
      </c>
      <c r="I4528">
        <v>46990</v>
      </c>
      <c r="J4528">
        <v>792</v>
      </c>
      <c r="K4528">
        <v>571961</v>
      </c>
      <c r="L4528">
        <v>88551</v>
      </c>
      <c r="M4528">
        <v>-219037</v>
      </c>
      <c r="N4528">
        <v>109809</v>
      </c>
      <c r="O4528" t="s">
        <v>4546</v>
      </c>
      <c r="P4528" s="9">
        <v>301352</v>
      </c>
      <c r="Q4528" s="9">
        <v>37126</v>
      </c>
      <c r="R4528" s="9">
        <v>338478</v>
      </c>
      <c r="S4528" s="9">
        <v>-163429</v>
      </c>
      <c r="T4528" s="10">
        <v>139477</v>
      </c>
      <c r="U4528" s="10">
        <v>2498</v>
      </c>
    </row>
    <row r="4529" spans="1:21" x14ac:dyDescent="0.35">
      <c r="A4529" t="s">
        <v>15</v>
      </c>
      <c r="B4529" t="s">
        <v>16</v>
      </c>
      <c r="C4529" t="s">
        <v>17</v>
      </c>
      <c r="D4529">
        <v>184040</v>
      </c>
      <c r="E4529">
        <v>35983</v>
      </c>
      <c r="F4529">
        <v>23040</v>
      </c>
      <c r="G4529">
        <v>-151382</v>
      </c>
      <c r="H4529">
        <v>91681</v>
      </c>
      <c r="I4529">
        <v>83368</v>
      </c>
      <c r="J4529">
        <v>1711</v>
      </c>
      <c r="K4529">
        <v>435759</v>
      </c>
      <c r="L4529">
        <v>72185</v>
      </c>
      <c r="M4529">
        <v>-137959</v>
      </c>
      <c r="N4529">
        <v>164000</v>
      </c>
      <c r="O4529" t="s">
        <v>4547</v>
      </c>
      <c r="P4529" s="9">
        <v>238514</v>
      </c>
      <c r="Q4529" s="9">
        <v>41927</v>
      </c>
      <c r="R4529" s="9">
        <v>280441</v>
      </c>
      <c r="S4529" s="9">
        <v>-127249</v>
      </c>
      <c r="T4529" s="10">
        <v>137552</v>
      </c>
      <c r="U4529" s="10">
        <v>1735</v>
      </c>
    </row>
    <row r="4530" spans="1:21" x14ac:dyDescent="0.35">
      <c r="A4530" t="s">
        <v>15</v>
      </c>
      <c r="B4530" t="s">
        <v>20</v>
      </c>
      <c r="C4530" t="s">
        <v>21</v>
      </c>
      <c r="D4530">
        <v>277673</v>
      </c>
      <c r="E4530">
        <v>23349</v>
      </c>
      <c r="F4530">
        <v>34368</v>
      </c>
      <c r="G4530">
        <v>-222338</v>
      </c>
      <c r="H4530">
        <v>113052</v>
      </c>
      <c r="I4530">
        <v>103916</v>
      </c>
      <c r="J4530">
        <v>2307</v>
      </c>
      <c r="K4530">
        <v>867249</v>
      </c>
      <c r="L4530">
        <v>299700</v>
      </c>
      <c r="M4530">
        <v>-238522</v>
      </c>
      <c r="N4530">
        <v>201671</v>
      </c>
      <c r="O4530" t="s">
        <v>4548</v>
      </c>
      <c r="P4530" s="9">
        <v>241334</v>
      </c>
      <c r="Q4530" s="9">
        <v>37482</v>
      </c>
      <c r="R4530" s="9">
        <v>278816</v>
      </c>
      <c r="S4530" s="9">
        <v>-137243</v>
      </c>
      <c r="T4530" s="10">
        <v>87156</v>
      </c>
      <c r="U4530" s="10">
        <v>1270</v>
      </c>
    </row>
    <row r="4531" spans="1:21" x14ac:dyDescent="0.35">
      <c r="A4531" t="s">
        <v>15</v>
      </c>
      <c r="B4531" t="s">
        <v>20</v>
      </c>
      <c r="C4531" t="s">
        <v>21</v>
      </c>
      <c r="D4531">
        <v>228967</v>
      </c>
      <c r="E4531">
        <v>45225</v>
      </c>
      <c r="F4531">
        <v>57172</v>
      </c>
      <c r="G4531">
        <v>-197209</v>
      </c>
      <c r="H4531">
        <v>134155</v>
      </c>
      <c r="I4531">
        <v>134708</v>
      </c>
      <c r="J4531">
        <v>2910</v>
      </c>
      <c r="K4531">
        <v>726656</v>
      </c>
      <c r="L4531">
        <v>259235</v>
      </c>
      <c r="M4531">
        <v>-112280</v>
      </c>
      <c r="N4531">
        <v>114193</v>
      </c>
      <c r="O4531" t="s">
        <v>4549</v>
      </c>
      <c r="P4531" s="9">
        <v>287475</v>
      </c>
      <c r="Q4531" s="9">
        <v>21886</v>
      </c>
      <c r="R4531" s="9">
        <v>309361</v>
      </c>
      <c r="S4531" s="9">
        <v>-101021</v>
      </c>
      <c r="T4531" s="10">
        <v>103684</v>
      </c>
      <c r="U4531" s="10">
        <v>1948</v>
      </c>
    </row>
    <row r="4532" spans="1:21" x14ac:dyDescent="0.35">
      <c r="A4532" t="s">
        <v>15</v>
      </c>
      <c r="B4532" t="s">
        <v>16</v>
      </c>
      <c r="C4532" t="s">
        <v>17</v>
      </c>
      <c r="D4532">
        <v>261192</v>
      </c>
      <c r="E4532">
        <v>36311</v>
      </c>
      <c r="F4532">
        <v>28466</v>
      </c>
      <c r="G4532">
        <v>-245660</v>
      </c>
      <c r="H4532">
        <v>80309</v>
      </c>
      <c r="I4532">
        <v>80213</v>
      </c>
      <c r="J4532">
        <v>1963</v>
      </c>
      <c r="K4532">
        <v>1001711</v>
      </c>
      <c r="L4532">
        <v>330237</v>
      </c>
      <c r="M4532">
        <v>-195246</v>
      </c>
      <c r="N4532">
        <v>135735</v>
      </c>
      <c r="O4532" t="s">
        <v>4550</v>
      </c>
      <c r="P4532" s="9">
        <v>236731</v>
      </c>
      <c r="Q4532" s="9">
        <v>43074</v>
      </c>
      <c r="R4532" s="9">
        <v>279805</v>
      </c>
      <c r="S4532" s="9">
        <v>-159254</v>
      </c>
      <c r="T4532" s="10">
        <v>95676</v>
      </c>
      <c r="U4532" s="10">
        <v>1019</v>
      </c>
    </row>
    <row r="4533" spans="1:21" x14ac:dyDescent="0.35">
      <c r="A4533" t="s">
        <v>15</v>
      </c>
      <c r="B4533" t="s">
        <v>16</v>
      </c>
      <c r="C4533" t="s">
        <v>17</v>
      </c>
      <c r="D4533">
        <v>230560</v>
      </c>
      <c r="E4533">
        <v>17811</v>
      </c>
      <c r="F4533">
        <v>55538</v>
      </c>
      <c r="G4533">
        <v>-225441</v>
      </c>
      <c r="H4533">
        <v>78468</v>
      </c>
      <c r="I4533">
        <v>73103</v>
      </c>
      <c r="J4533">
        <v>916</v>
      </c>
      <c r="K4533">
        <v>664693</v>
      </c>
      <c r="L4533">
        <v>158539</v>
      </c>
      <c r="M4533">
        <v>-184127</v>
      </c>
      <c r="N4533">
        <v>197566</v>
      </c>
      <c r="O4533" t="s">
        <v>4551</v>
      </c>
      <c r="P4533" s="9">
        <v>172359</v>
      </c>
      <c r="Q4533" s="9">
        <v>24692</v>
      </c>
      <c r="R4533" s="9">
        <v>197051</v>
      </c>
      <c r="S4533" s="9">
        <v>-55569</v>
      </c>
      <c r="T4533" s="10">
        <v>69167</v>
      </c>
      <c r="U4533" s="10">
        <v>729</v>
      </c>
    </row>
    <row r="4534" spans="1:21" x14ac:dyDescent="0.35">
      <c r="A4534" t="s">
        <v>15</v>
      </c>
      <c r="B4534" t="s">
        <v>20</v>
      </c>
      <c r="C4534" t="s">
        <v>21</v>
      </c>
      <c r="D4534">
        <v>258981</v>
      </c>
      <c r="E4534">
        <v>21440</v>
      </c>
      <c r="F4534">
        <v>53495</v>
      </c>
      <c r="G4534">
        <v>-220694</v>
      </c>
      <c r="H4534">
        <v>113222</v>
      </c>
      <c r="I4534">
        <v>106996</v>
      </c>
      <c r="J4534">
        <v>1450</v>
      </c>
      <c r="K4534">
        <v>548084</v>
      </c>
      <c r="L4534">
        <v>220884</v>
      </c>
      <c r="M4534">
        <v>-152887</v>
      </c>
      <c r="N4534">
        <v>195715</v>
      </c>
      <c r="O4534" t="s">
        <v>4552</v>
      </c>
      <c r="P4534" s="9">
        <v>281894</v>
      </c>
      <c r="Q4534" s="9">
        <v>56448</v>
      </c>
      <c r="R4534" s="9">
        <v>338342</v>
      </c>
      <c r="S4534" s="9">
        <v>-171779</v>
      </c>
      <c r="T4534" s="10">
        <v>131151</v>
      </c>
      <c r="U4534" s="10">
        <v>3315</v>
      </c>
    </row>
    <row r="4535" spans="1:21" x14ac:dyDescent="0.35">
      <c r="A4535" t="s">
        <v>15</v>
      </c>
      <c r="B4535" t="s">
        <v>16</v>
      </c>
      <c r="C4535" t="s">
        <v>17</v>
      </c>
      <c r="D4535">
        <v>243463</v>
      </c>
      <c r="E4535">
        <v>33040</v>
      </c>
      <c r="F4535">
        <v>40928</v>
      </c>
      <c r="G4535">
        <v>-209075</v>
      </c>
      <c r="H4535">
        <v>108356</v>
      </c>
      <c r="I4535">
        <v>113338</v>
      </c>
      <c r="J4535">
        <v>3090</v>
      </c>
      <c r="K4535">
        <v>752092</v>
      </c>
      <c r="L4535">
        <v>331577</v>
      </c>
      <c r="M4535">
        <v>-77379</v>
      </c>
      <c r="N4535">
        <v>205911</v>
      </c>
      <c r="O4535" t="s">
        <v>4553</v>
      </c>
      <c r="P4535" s="9">
        <v>297628</v>
      </c>
      <c r="Q4535" s="9">
        <v>40746</v>
      </c>
      <c r="R4535" s="9">
        <v>338374</v>
      </c>
      <c r="S4535" s="9">
        <v>-149610</v>
      </c>
      <c r="T4535" s="10">
        <v>118345</v>
      </c>
      <c r="U4535" s="10">
        <v>2369</v>
      </c>
    </row>
    <row r="4536" spans="1:21" x14ac:dyDescent="0.35">
      <c r="A4536" t="s">
        <v>15</v>
      </c>
      <c r="B4536" t="s">
        <v>16</v>
      </c>
      <c r="C4536" t="s">
        <v>21</v>
      </c>
      <c r="D4536">
        <v>189510</v>
      </c>
      <c r="E4536">
        <v>16512</v>
      </c>
      <c r="F4536">
        <v>26369</v>
      </c>
      <c r="G4536">
        <v>-186600</v>
      </c>
      <c r="H4536">
        <v>45791</v>
      </c>
      <c r="I4536">
        <v>44161</v>
      </c>
      <c r="J4536">
        <v>1171</v>
      </c>
      <c r="K4536">
        <v>749735</v>
      </c>
      <c r="L4536">
        <v>210192</v>
      </c>
      <c r="M4536">
        <v>-262800</v>
      </c>
      <c r="N4536">
        <v>131190</v>
      </c>
      <c r="O4536" t="s">
        <v>4554</v>
      </c>
      <c r="P4536" s="9">
        <v>159852</v>
      </c>
      <c r="Q4536" s="9">
        <v>26191</v>
      </c>
      <c r="R4536" s="9">
        <v>186043</v>
      </c>
      <c r="S4536" s="9">
        <v>-95998</v>
      </c>
      <c r="T4536" s="10">
        <v>64355</v>
      </c>
      <c r="U4536" s="10">
        <v>1003</v>
      </c>
    </row>
    <row r="4537" spans="1:21" x14ac:dyDescent="0.35">
      <c r="A4537" t="s">
        <v>15</v>
      </c>
      <c r="B4537" t="s">
        <v>20</v>
      </c>
      <c r="C4537" t="s">
        <v>17</v>
      </c>
      <c r="D4537">
        <v>209901</v>
      </c>
      <c r="E4537">
        <v>23229</v>
      </c>
      <c r="F4537">
        <v>23753</v>
      </c>
      <c r="G4537">
        <v>-169764</v>
      </c>
      <c r="H4537">
        <v>87119</v>
      </c>
      <c r="I4537">
        <v>79064</v>
      </c>
      <c r="J4537">
        <v>1632</v>
      </c>
      <c r="K4537">
        <v>562796</v>
      </c>
      <c r="L4537">
        <v>103204</v>
      </c>
      <c r="M4537">
        <v>-193732</v>
      </c>
      <c r="N4537">
        <v>108927</v>
      </c>
      <c r="O4537" t="s">
        <v>4555</v>
      </c>
      <c r="P4537" s="9">
        <v>238156</v>
      </c>
      <c r="Q4537" s="9">
        <v>18746</v>
      </c>
      <c r="R4537" s="9">
        <v>256902</v>
      </c>
      <c r="S4537" s="9">
        <v>-125372</v>
      </c>
      <c r="T4537" s="10">
        <v>79610</v>
      </c>
      <c r="U4537" s="10">
        <v>1351</v>
      </c>
    </row>
    <row r="4538" spans="1:21" x14ac:dyDescent="0.35">
      <c r="A4538" t="s">
        <v>15</v>
      </c>
      <c r="B4538" t="s">
        <v>16</v>
      </c>
      <c r="C4538" t="s">
        <v>17</v>
      </c>
      <c r="D4538">
        <v>271495</v>
      </c>
      <c r="E4538">
        <v>27510</v>
      </c>
      <c r="F4538">
        <v>29389</v>
      </c>
      <c r="G4538">
        <v>-251723</v>
      </c>
      <c r="H4538">
        <v>76671</v>
      </c>
      <c r="I4538">
        <v>72978</v>
      </c>
      <c r="J4538">
        <v>1194</v>
      </c>
      <c r="K4538">
        <v>992684</v>
      </c>
      <c r="L4538">
        <v>117450</v>
      </c>
      <c r="M4538">
        <v>-368997</v>
      </c>
      <c r="N4538">
        <v>182770</v>
      </c>
      <c r="O4538" t="s">
        <v>4556</v>
      </c>
      <c r="P4538" s="9">
        <v>214848</v>
      </c>
      <c r="Q4538" s="9">
        <v>28408</v>
      </c>
      <c r="R4538" s="9">
        <v>243256</v>
      </c>
      <c r="S4538" s="9">
        <v>-104956</v>
      </c>
      <c r="T4538" s="10">
        <v>70063</v>
      </c>
      <c r="U4538" s="10">
        <v>1471</v>
      </c>
    </row>
    <row r="4539" spans="1:21" x14ac:dyDescent="0.35">
      <c r="A4539" t="s">
        <v>15</v>
      </c>
      <c r="B4539" t="s">
        <v>20</v>
      </c>
      <c r="C4539" t="s">
        <v>17</v>
      </c>
      <c r="D4539">
        <v>246473</v>
      </c>
      <c r="E4539">
        <v>23545</v>
      </c>
      <c r="F4539">
        <v>24691</v>
      </c>
      <c r="G4539">
        <v>-224012</v>
      </c>
      <c r="H4539">
        <v>70697</v>
      </c>
      <c r="I4539">
        <v>69905</v>
      </c>
      <c r="J4539">
        <v>1868</v>
      </c>
      <c r="K4539">
        <v>935366</v>
      </c>
      <c r="L4539">
        <v>307246</v>
      </c>
      <c r="M4539">
        <v>-339621</v>
      </c>
      <c r="N4539">
        <v>109126</v>
      </c>
      <c r="O4539" t="s">
        <v>4557</v>
      </c>
      <c r="P4539" s="9">
        <v>202822</v>
      </c>
      <c r="Q4539" s="9">
        <v>19426</v>
      </c>
      <c r="R4539" s="9">
        <v>222248</v>
      </c>
      <c r="S4539" s="9">
        <v>-60758</v>
      </c>
      <c r="T4539" s="10">
        <v>52100</v>
      </c>
      <c r="U4539" s="10">
        <v>1524</v>
      </c>
    </row>
    <row r="4540" spans="1:21" x14ac:dyDescent="0.35">
      <c r="A4540" t="s">
        <v>15</v>
      </c>
      <c r="B4540" t="s">
        <v>16</v>
      </c>
      <c r="C4540" t="s">
        <v>21</v>
      </c>
      <c r="D4540">
        <v>283809</v>
      </c>
      <c r="E4540">
        <v>19752</v>
      </c>
      <c r="F4540">
        <v>64024</v>
      </c>
      <c r="G4540">
        <v>-277806</v>
      </c>
      <c r="H4540">
        <v>89779</v>
      </c>
      <c r="I4540">
        <v>83501</v>
      </c>
      <c r="J4540">
        <v>1915</v>
      </c>
      <c r="K4540">
        <v>800248</v>
      </c>
      <c r="L4540">
        <v>169268</v>
      </c>
      <c r="M4540">
        <v>-282487</v>
      </c>
      <c r="N4540">
        <v>138274</v>
      </c>
      <c r="O4540" t="s">
        <v>4558</v>
      </c>
      <c r="P4540" s="9">
        <v>196610</v>
      </c>
      <c r="Q4540" s="9">
        <v>25457</v>
      </c>
      <c r="R4540" s="9">
        <v>222067</v>
      </c>
      <c r="S4540" s="9">
        <v>-56443</v>
      </c>
      <c r="T4540" s="10">
        <v>48610</v>
      </c>
      <c r="U4540" s="10">
        <v>515</v>
      </c>
    </row>
    <row r="4541" spans="1:21" x14ac:dyDescent="0.35">
      <c r="A4541" t="s">
        <v>15</v>
      </c>
      <c r="B4541" t="s">
        <v>20</v>
      </c>
      <c r="C4541" t="s">
        <v>17</v>
      </c>
      <c r="D4541">
        <v>223844</v>
      </c>
      <c r="E4541">
        <v>40948</v>
      </c>
      <c r="F4541">
        <v>46007</v>
      </c>
      <c r="G4541">
        <v>-199775</v>
      </c>
      <c r="H4541">
        <v>111024</v>
      </c>
      <c r="I4541">
        <v>105898</v>
      </c>
      <c r="J4541">
        <v>1211</v>
      </c>
      <c r="K4541">
        <v>760201</v>
      </c>
      <c r="L4541">
        <v>343029</v>
      </c>
      <c r="M4541">
        <v>-204776</v>
      </c>
      <c r="N4541">
        <v>102848</v>
      </c>
      <c r="O4541" t="s">
        <v>4559</v>
      </c>
      <c r="P4541" s="9">
        <v>211896</v>
      </c>
      <c r="Q4541" s="9">
        <v>43297</v>
      </c>
      <c r="R4541" s="9">
        <v>255193</v>
      </c>
      <c r="S4541" s="9">
        <v>-67683</v>
      </c>
      <c r="T4541" s="10">
        <v>106190</v>
      </c>
      <c r="U4541" s="10">
        <v>2492</v>
      </c>
    </row>
    <row r="4542" spans="1:21" x14ac:dyDescent="0.35">
      <c r="A4542" t="s">
        <v>15</v>
      </c>
      <c r="B4542" t="s">
        <v>20</v>
      </c>
      <c r="C4542" t="s">
        <v>17</v>
      </c>
      <c r="D4542">
        <v>199052</v>
      </c>
      <c r="E4542">
        <v>36400</v>
      </c>
      <c r="F4542">
        <v>34012</v>
      </c>
      <c r="G4542">
        <v>-189402</v>
      </c>
      <c r="H4542">
        <v>80062</v>
      </c>
      <c r="I4542">
        <v>83368</v>
      </c>
      <c r="J4542">
        <v>2379</v>
      </c>
      <c r="K4542">
        <v>728341</v>
      </c>
      <c r="L4542">
        <v>243018</v>
      </c>
      <c r="M4542">
        <v>-281142</v>
      </c>
      <c r="N4542">
        <v>122962</v>
      </c>
      <c r="O4542" t="s">
        <v>4560</v>
      </c>
      <c r="P4542" s="9">
        <v>212763</v>
      </c>
      <c r="Q4542" s="9">
        <v>28002</v>
      </c>
      <c r="R4542" s="9">
        <v>240765</v>
      </c>
      <c r="S4542" s="9">
        <v>-71178</v>
      </c>
      <c r="T4542" s="10">
        <v>62214</v>
      </c>
      <c r="U4542" s="10">
        <v>1780</v>
      </c>
    </row>
    <row r="4543" spans="1:21" x14ac:dyDescent="0.35">
      <c r="A4543" t="s">
        <v>15</v>
      </c>
      <c r="B4543" t="s">
        <v>16</v>
      </c>
      <c r="C4543" t="s">
        <v>21</v>
      </c>
      <c r="D4543">
        <v>270960</v>
      </c>
      <c r="E4543">
        <v>16426</v>
      </c>
      <c r="F4543">
        <v>33542</v>
      </c>
      <c r="G4543">
        <v>-218172</v>
      </c>
      <c r="H4543">
        <v>102756</v>
      </c>
      <c r="I4543">
        <v>97794</v>
      </c>
      <c r="J4543">
        <v>1133</v>
      </c>
      <c r="K4543">
        <v>677829</v>
      </c>
      <c r="L4543">
        <v>103606</v>
      </c>
      <c r="M4543">
        <v>-115896</v>
      </c>
      <c r="N4543">
        <v>151546</v>
      </c>
      <c r="O4543" t="s">
        <v>4561</v>
      </c>
      <c r="P4543" s="9">
        <v>231911</v>
      </c>
      <c r="Q4543" s="9">
        <v>17228</v>
      </c>
      <c r="R4543" s="9">
        <v>249139</v>
      </c>
      <c r="S4543" s="9">
        <v>-56774</v>
      </c>
      <c r="T4543" s="10">
        <v>56052</v>
      </c>
      <c r="U4543" s="10">
        <v>878</v>
      </c>
    </row>
    <row r="4544" spans="1:21" x14ac:dyDescent="0.35">
      <c r="A4544" t="s">
        <v>15</v>
      </c>
      <c r="B4544" t="s">
        <v>16</v>
      </c>
      <c r="C4544" t="s">
        <v>21</v>
      </c>
      <c r="D4544">
        <v>245781</v>
      </c>
      <c r="E4544">
        <v>30987</v>
      </c>
      <c r="F4544">
        <v>26875</v>
      </c>
      <c r="G4544">
        <v>-244455</v>
      </c>
      <c r="H4544">
        <v>59188</v>
      </c>
      <c r="I4544">
        <v>56462</v>
      </c>
      <c r="J4544">
        <v>683</v>
      </c>
      <c r="K4544">
        <v>948799</v>
      </c>
      <c r="L4544">
        <v>460998</v>
      </c>
      <c r="M4544">
        <v>-266412</v>
      </c>
      <c r="N4544">
        <v>213928</v>
      </c>
      <c r="O4544" t="s">
        <v>4562</v>
      </c>
      <c r="P4544" s="9">
        <v>269069</v>
      </c>
      <c r="Q4544" s="9">
        <v>48222</v>
      </c>
      <c r="R4544" s="9">
        <v>317291</v>
      </c>
      <c r="S4544" s="9">
        <v>-174533</v>
      </c>
      <c r="T4544" s="10">
        <v>139610</v>
      </c>
      <c r="U4544" s="10">
        <v>3908</v>
      </c>
    </row>
    <row r="4545" spans="1:21" x14ac:dyDescent="0.35">
      <c r="A4545" t="s">
        <v>15</v>
      </c>
      <c r="B4545" t="s">
        <v>16</v>
      </c>
      <c r="C4545" t="s">
        <v>21</v>
      </c>
      <c r="D4545">
        <v>160930</v>
      </c>
      <c r="E4545">
        <v>30653</v>
      </c>
      <c r="F4545">
        <v>35659</v>
      </c>
      <c r="G4545">
        <v>-152840</v>
      </c>
      <c r="H4545">
        <v>74402</v>
      </c>
      <c r="I4545">
        <v>71704</v>
      </c>
      <c r="J4545">
        <v>2042</v>
      </c>
      <c r="K4545">
        <v>571066</v>
      </c>
      <c r="L4545">
        <v>230962</v>
      </c>
      <c r="M4545">
        <v>-114807</v>
      </c>
      <c r="N4545">
        <v>100455</v>
      </c>
      <c r="O4545" t="s">
        <v>4563</v>
      </c>
      <c r="P4545" s="9">
        <v>224936</v>
      </c>
      <c r="Q4545" s="9">
        <v>34041</v>
      </c>
      <c r="R4545" s="9">
        <v>258977</v>
      </c>
      <c r="S4545" s="9">
        <v>-73352</v>
      </c>
      <c r="T4545" s="10">
        <v>76368</v>
      </c>
      <c r="U4545" s="10">
        <v>980</v>
      </c>
    </row>
    <row r="4546" spans="1:21" x14ac:dyDescent="0.35">
      <c r="A4546" t="s">
        <v>15</v>
      </c>
      <c r="B4546" t="s">
        <v>16</v>
      </c>
      <c r="C4546" t="s">
        <v>17</v>
      </c>
      <c r="D4546">
        <v>232772</v>
      </c>
      <c r="E4546">
        <v>44164</v>
      </c>
      <c r="F4546">
        <v>55755</v>
      </c>
      <c r="G4546">
        <v>-223675</v>
      </c>
      <c r="H4546">
        <v>109016</v>
      </c>
      <c r="I4546">
        <v>110937</v>
      </c>
      <c r="J4546">
        <v>2096</v>
      </c>
      <c r="K4546">
        <v>685370</v>
      </c>
      <c r="L4546">
        <v>78918</v>
      </c>
      <c r="M4546">
        <v>-234067</v>
      </c>
      <c r="N4546">
        <v>193489</v>
      </c>
      <c r="O4546" t="s">
        <v>4564</v>
      </c>
      <c r="P4546" s="9">
        <v>205628</v>
      </c>
      <c r="Q4546" s="9">
        <v>19162</v>
      </c>
      <c r="R4546" s="9">
        <v>224790</v>
      </c>
      <c r="S4546" s="9">
        <v>-116374</v>
      </c>
      <c r="T4546" s="10">
        <v>85536</v>
      </c>
      <c r="U4546" s="10">
        <v>2026</v>
      </c>
    </row>
    <row r="4547" spans="1:21" x14ac:dyDescent="0.35">
      <c r="A4547" t="s">
        <v>15</v>
      </c>
      <c r="B4547" t="s">
        <v>16</v>
      </c>
      <c r="C4547" t="s">
        <v>21</v>
      </c>
      <c r="D4547">
        <v>276714</v>
      </c>
      <c r="E4547">
        <v>26656</v>
      </c>
      <c r="F4547">
        <v>63240</v>
      </c>
      <c r="G4547">
        <v>-257183</v>
      </c>
      <c r="H4547">
        <v>109427</v>
      </c>
      <c r="I4547">
        <v>112254</v>
      </c>
      <c r="J4547">
        <v>2631</v>
      </c>
      <c r="K4547">
        <v>945209</v>
      </c>
      <c r="L4547">
        <v>467702</v>
      </c>
      <c r="M4547">
        <v>-216427</v>
      </c>
      <c r="N4547">
        <v>202583</v>
      </c>
      <c r="O4547" t="s">
        <v>4565</v>
      </c>
      <c r="P4547" s="9">
        <v>204466</v>
      </c>
      <c r="Q4547" s="9">
        <v>37616</v>
      </c>
      <c r="R4547" s="9">
        <v>242082</v>
      </c>
      <c r="S4547" s="9">
        <v>-62629</v>
      </c>
      <c r="T4547" s="10">
        <v>63759</v>
      </c>
      <c r="U4547" s="10">
        <v>1766</v>
      </c>
    </row>
    <row r="4548" spans="1:21" x14ac:dyDescent="0.35">
      <c r="A4548" t="s">
        <v>15</v>
      </c>
      <c r="B4548" t="s">
        <v>20</v>
      </c>
      <c r="C4548" t="s">
        <v>17</v>
      </c>
      <c r="D4548">
        <v>253408</v>
      </c>
      <c r="E4548">
        <v>44605</v>
      </c>
      <c r="F4548">
        <v>33703</v>
      </c>
      <c r="G4548">
        <v>-221042</v>
      </c>
      <c r="H4548">
        <v>110674</v>
      </c>
      <c r="I4548">
        <v>108190</v>
      </c>
      <c r="J4548">
        <v>1999</v>
      </c>
      <c r="K4548">
        <v>959392</v>
      </c>
      <c r="L4548">
        <v>227026</v>
      </c>
      <c r="M4548">
        <v>-223115</v>
      </c>
      <c r="N4548">
        <v>78180</v>
      </c>
      <c r="O4548" t="s">
        <v>4566</v>
      </c>
      <c r="P4548" s="9">
        <v>217877</v>
      </c>
      <c r="Q4548" s="9">
        <v>39826</v>
      </c>
      <c r="R4548" s="9">
        <v>257703</v>
      </c>
      <c r="S4548" s="9">
        <v>-137138</v>
      </c>
      <c r="T4548" s="10">
        <v>95568</v>
      </c>
      <c r="U4548" s="10">
        <v>1868</v>
      </c>
    </row>
    <row r="4549" spans="1:21" x14ac:dyDescent="0.35">
      <c r="A4549" t="s">
        <v>15</v>
      </c>
      <c r="B4549" t="s">
        <v>16</v>
      </c>
      <c r="C4549" t="s">
        <v>21</v>
      </c>
      <c r="D4549">
        <v>250474</v>
      </c>
      <c r="E4549">
        <v>36947</v>
      </c>
      <c r="F4549">
        <v>37358</v>
      </c>
      <c r="G4549">
        <v>-209504</v>
      </c>
      <c r="H4549">
        <v>115275</v>
      </c>
      <c r="I4549">
        <v>104975</v>
      </c>
      <c r="J4549">
        <v>1061</v>
      </c>
      <c r="K4549">
        <v>710765</v>
      </c>
      <c r="L4549">
        <v>313965</v>
      </c>
      <c r="M4549">
        <v>-180152</v>
      </c>
      <c r="N4549">
        <v>151480</v>
      </c>
      <c r="O4549" t="s">
        <v>4567</v>
      </c>
      <c r="P4549" s="9">
        <v>167412</v>
      </c>
      <c r="Q4549" s="9">
        <v>16546</v>
      </c>
      <c r="R4549" s="9">
        <v>183958</v>
      </c>
      <c r="S4549" s="9">
        <v>-86069</v>
      </c>
      <c r="T4549" s="10">
        <v>39012</v>
      </c>
      <c r="U4549" s="10">
        <v>1003</v>
      </c>
    </row>
    <row r="4550" spans="1:21" x14ac:dyDescent="0.35">
      <c r="A4550" t="s">
        <v>15</v>
      </c>
      <c r="B4550" t="s">
        <v>16</v>
      </c>
      <c r="C4550" t="s">
        <v>21</v>
      </c>
      <c r="D4550">
        <v>180861</v>
      </c>
      <c r="E4550">
        <v>34427</v>
      </c>
      <c r="F4550">
        <v>20933</v>
      </c>
      <c r="G4550">
        <v>-180016</v>
      </c>
      <c r="H4550">
        <v>56205</v>
      </c>
      <c r="I4550">
        <v>58017</v>
      </c>
      <c r="J4550">
        <v>1066</v>
      </c>
      <c r="K4550">
        <v>710084</v>
      </c>
      <c r="L4550">
        <v>187295</v>
      </c>
      <c r="M4550">
        <v>-256531</v>
      </c>
      <c r="N4550">
        <v>80720</v>
      </c>
      <c r="O4550" t="s">
        <v>4568</v>
      </c>
      <c r="P4550" s="9">
        <v>165864</v>
      </c>
      <c r="Q4550" s="9">
        <v>31570</v>
      </c>
      <c r="R4550" s="9">
        <v>197434</v>
      </c>
      <c r="S4550" s="9">
        <v>-78547</v>
      </c>
      <c r="T4550" s="10">
        <v>58167</v>
      </c>
      <c r="U4550" s="10">
        <v>870</v>
      </c>
    </row>
    <row r="4551" spans="1:21" x14ac:dyDescent="0.35">
      <c r="A4551" t="s">
        <v>15</v>
      </c>
      <c r="B4551" t="s">
        <v>20</v>
      </c>
      <c r="C4551" t="s">
        <v>21</v>
      </c>
      <c r="D4551">
        <v>273774</v>
      </c>
      <c r="E4551">
        <v>30452</v>
      </c>
      <c r="F4551">
        <v>56618</v>
      </c>
      <c r="G4551">
        <v>-221243</v>
      </c>
      <c r="H4551">
        <v>139601</v>
      </c>
      <c r="I4551">
        <v>145603</v>
      </c>
      <c r="J4551">
        <v>4298</v>
      </c>
      <c r="K4551">
        <v>691793</v>
      </c>
      <c r="L4551">
        <v>81556</v>
      </c>
      <c r="M4551">
        <v>-218593</v>
      </c>
      <c r="N4551">
        <v>140657</v>
      </c>
      <c r="O4551" t="s">
        <v>4569</v>
      </c>
      <c r="P4551" s="9">
        <v>167508</v>
      </c>
      <c r="Q4551" s="9">
        <v>21622</v>
      </c>
      <c r="R4551" s="9">
        <v>189130</v>
      </c>
      <c r="S4551" s="9">
        <v>-98325</v>
      </c>
      <c r="T4551" s="10">
        <v>72532</v>
      </c>
      <c r="U4551" s="10">
        <v>1827</v>
      </c>
    </row>
    <row r="4552" spans="1:21" x14ac:dyDescent="0.35">
      <c r="A4552" t="s">
        <v>15</v>
      </c>
      <c r="B4552" t="s">
        <v>16</v>
      </c>
      <c r="C4552" t="s">
        <v>21</v>
      </c>
      <c r="D4552">
        <v>173838</v>
      </c>
      <c r="E4552">
        <v>31414</v>
      </c>
      <c r="F4552">
        <v>43438</v>
      </c>
      <c r="G4552">
        <v>-150464</v>
      </c>
      <c r="H4552">
        <v>98226</v>
      </c>
      <c r="I4552">
        <v>94353</v>
      </c>
      <c r="J4552">
        <v>2818</v>
      </c>
      <c r="K4552">
        <v>438949</v>
      </c>
      <c r="L4552">
        <v>113690</v>
      </c>
      <c r="M4552">
        <v>-55995</v>
      </c>
      <c r="N4552">
        <v>122962</v>
      </c>
      <c r="O4552" t="s">
        <v>4570</v>
      </c>
      <c r="P4552" s="9">
        <v>253677</v>
      </c>
      <c r="Q4552" s="9">
        <v>41632</v>
      </c>
      <c r="R4552" s="9">
        <v>295309</v>
      </c>
      <c r="S4552" s="9">
        <v>-129110</v>
      </c>
      <c r="T4552" s="10">
        <v>125281</v>
      </c>
      <c r="U4552" s="10">
        <v>1613</v>
      </c>
    </row>
    <row r="4553" spans="1:21" x14ac:dyDescent="0.35">
      <c r="A4553" t="s">
        <v>15</v>
      </c>
      <c r="B4553" t="s">
        <v>20</v>
      </c>
      <c r="C4553" t="s">
        <v>21</v>
      </c>
      <c r="D4553">
        <v>278183</v>
      </c>
      <c r="E4553">
        <v>21712</v>
      </c>
      <c r="F4553">
        <v>60726</v>
      </c>
      <c r="G4553">
        <v>-266900</v>
      </c>
      <c r="H4553">
        <v>93721</v>
      </c>
      <c r="I4553">
        <v>90272</v>
      </c>
      <c r="J4553">
        <v>2010</v>
      </c>
      <c r="K4553">
        <v>932837</v>
      </c>
      <c r="L4553">
        <v>252235</v>
      </c>
      <c r="M4553">
        <v>-207436</v>
      </c>
      <c r="N4553">
        <v>181433</v>
      </c>
      <c r="O4553" t="s">
        <v>4571</v>
      </c>
      <c r="P4553" s="9">
        <v>190904</v>
      </c>
      <c r="Q4553" s="9">
        <v>18798</v>
      </c>
      <c r="R4553" s="9">
        <v>209702</v>
      </c>
      <c r="S4553" s="9">
        <v>-101118</v>
      </c>
      <c r="T4553" s="10">
        <v>42547</v>
      </c>
      <c r="U4553" s="10">
        <v>589</v>
      </c>
    </row>
    <row r="4554" spans="1:21" x14ac:dyDescent="0.35">
      <c r="A4554" t="s">
        <v>15</v>
      </c>
      <c r="B4554" t="s">
        <v>20</v>
      </c>
      <c r="C4554" t="s">
        <v>17</v>
      </c>
      <c r="D4554">
        <v>231663</v>
      </c>
      <c r="E4554">
        <v>14972</v>
      </c>
      <c r="F4554">
        <v>23921</v>
      </c>
      <c r="G4554">
        <v>-216191</v>
      </c>
      <c r="H4554">
        <v>54365</v>
      </c>
      <c r="I4554">
        <v>49832</v>
      </c>
      <c r="J4554">
        <v>1193</v>
      </c>
      <c r="K4554">
        <v>775145</v>
      </c>
      <c r="L4554">
        <v>386748</v>
      </c>
      <c r="M4554">
        <v>-303534</v>
      </c>
      <c r="N4554">
        <v>141042</v>
      </c>
      <c r="O4554" t="s">
        <v>4572</v>
      </c>
      <c r="P4554" s="9">
        <v>240106</v>
      </c>
      <c r="Q4554" s="9">
        <v>44792</v>
      </c>
      <c r="R4554" s="9">
        <v>284898</v>
      </c>
      <c r="S4554" s="9">
        <v>-66067</v>
      </c>
      <c r="T4554" s="10">
        <v>128605</v>
      </c>
      <c r="U4554" s="10">
        <v>2644</v>
      </c>
    </row>
    <row r="4555" spans="1:21" x14ac:dyDescent="0.35">
      <c r="A4555" t="s">
        <v>15</v>
      </c>
      <c r="B4555" t="s">
        <v>16</v>
      </c>
      <c r="C4555" t="s">
        <v>21</v>
      </c>
      <c r="D4555">
        <v>263118</v>
      </c>
      <c r="E4555">
        <v>28223</v>
      </c>
      <c r="F4555">
        <v>30292</v>
      </c>
      <c r="G4555">
        <v>-229976</v>
      </c>
      <c r="H4555">
        <v>91657</v>
      </c>
      <c r="I4555">
        <v>87782</v>
      </c>
      <c r="J4555">
        <v>2591</v>
      </c>
      <c r="K4555">
        <v>1046989</v>
      </c>
      <c r="L4555">
        <v>453616</v>
      </c>
      <c r="M4555">
        <v>-342158</v>
      </c>
      <c r="N4555">
        <v>159776</v>
      </c>
      <c r="O4555" t="s">
        <v>4573</v>
      </c>
      <c r="P4555" s="9">
        <v>178470</v>
      </c>
      <c r="Q4555" s="9">
        <v>19459</v>
      </c>
      <c r="R4555" s="9">
        <v>197929</v>
      </c>
      <c r="S4555" s="9">
        <v>-100487</v>
      </c>
      <c r="T4555" s="10">
        <v>78999</v>
      </c>
      <c r="U4555" s="10">
        <v>1019</v>
      </c>
    </row>
    <row r="4556" spans="1:21" x14ac:dyDescent="0.35">
      <c r="A4556" t="s">
        <v>15</v>
      </c>
      <c r="B4556" t="s">
        <v>16</v>
      </c>
      <c r="C4556" t="s">
        <v>21</v>
      </c>
      <c r="D4556">
        <v>264523</v>
      </c>
      <c r="E4556">
        <v>22139</v>
      </c>
      <c r="F4556">
        <v>32506</v>
      </c>
      <c r="G4556">
        <v>-230893</v>
      </c>
      <c r="H4556">
        <v>88275</v>
      </c>
      <c r="I4556">
        <v>84066</v>
      </c>
      <c r="J4556">
        <v>1552</v>
      </c>
      <c r="K4556">
        <v>663123</v>
      </c>
      <c r="L4556">
        <v>263576</v>
      </c>
      <c r="M4556">
        <v>-89358</v>
      </c>
      <c r="N4556">
        <v>231816</v>
      </c>
      <c r="O4556" t="s">
        <v>4574</v>
      </c>
      <c r="P4556" s="9">
        <v>154373</v>
      </c>
      <c r="Q4556" s="9">
        <v>14119</v>
      </c>
      <c r="R4556" s="9">
        <v>168492</v>
      </c>
      <c r="S4556" s="9">
        <v>-59284</v>
      </c>
      <c r="T4556" s="10">
        <v>63756</v>
      </c>
      <c r="U4556" s="10">
        <v>1205</v>
      </c>
    </row>
    <row r="4557" spans="1:21" x14ac:dyDescent="0.35">
      <c r="A4557" t="s">
        <v>15</v>
      </c>
      <c r="B4557" t="s">
        <v>16</v>
      </c>
      <c r="C4557" t="s">
        <v>21</v>
      </c>
      <c r="D4557">
        <v>203215</v>
      </c>
      <c r="E4557">
        <v>39833</v>
      </c>
      <c r="F4557">
        <v>20991</v>
      </c>
      <c r="G4557">
        <v>-163795</v>
      </c>
      <c r="H4557">
        <v>100244</v>
      </c>
      <c r="I4557">
        <v>101046</v>
      </c>
      <c r="J4557">
        <v>1698</v>
      </c>
      <c r="K4557">
        <v>554961</v>
      </c>
      <c r="L4557">
        <v>145342</v>
      </c>
      <c r="M4557">
        <v>-66525</v>
      </c>
      <c r="N4557">
        <v>119052</v>
      </c>
      <c r="O4557" t="s">
        <v>4575</v>
      </c>
      <c r="P4557" s="9">
        <v>174610</v>
      </c>
      <c r="Q4557" s="9">
        <v>11627</v>
      </c>
      <c r="R4557" s="9">
        <v>186237</v>
      </c>
      <c r="S4557" s="9">
        <v>-76029</v>
      </c>
      <c r="T4557" s="10">
        <v>65512</v>
      </c>
      <c r="U4557" s="10">
        <v>1779</v>
      </c>
    </row>
    <row r="4558" spans="1:21" x14ac:dyDescent="0.35">
      <c r="A4558" t="s">
        <v>15</v>
      </c>
      <c r="B4558" t="s">
        <v>20</v>
      </c>
      <c r="C4558" t="s">
        <v>21</v>
      </c>
      <c r="D4558">
        <v>251440</v>
      </c>
      <c r="E4558">
        <v>24152</v>
      </c>
      <c r="F4558">
        <v>36758</v>
      </c>
      <c r="G4558">
        <v>-243821</v>
      </c>
      <c r="H4558">
        <v>68529</v>
      </c>
      <c r="I4558">
        <v>71207</v>
      </c>
      <c r="J4558">
        <v>942</v>
      </c>
      <c r="K4558">
        <v>791396</v>
      </c>
      <c r="L4558">
        <v>163167</v>
      </c>
      <c r="M4558">
        <v>-102103</v>
      </c>
      <c r="N4558">
        <v>93059</v>
      </c>
      <c r="O4558" t="s">
        <v>4576</v>
      </c>
      <c r="P4558" s="9">
        <v>184113</v>
      </c>
      <c r="Q4558" s="9">
        <v>27799</v>
      </c>
      <c r="R4558" s="9">
        <v>211912</v>
      </c>
      <c r="S4558" s="9">
        <v>-65261</v>
      </c>
      <c r="T4558" s="10">
        <v>88160</v>
      </c>
      <c r="U4558" s="10">
        <v>2635</v>
      </c>
    </row>
    <row r="4559" spans="1:21" x14ac:dyDescent="0.35">
      <c r="A4559" t="s">
        <v>15</v>
      </c>
      <c r="B4559" t="s">
        <v>16</v>
      </c>
      <c r="C4559" t="s">
        <v>21</v>
      </c>
      <c r="D4559">
        <v>253424</v>
      </c>
      <c r="E4559">
        <v>20358</v>
      </c>
      <c r="F4559">
        <v>62116</v>
      </c>
      <c r="G4559">
        <v>-210704</v>
      </c>
      <c r="H4559">
        <v>125194</v>
      </c>
      <c r="I4559">
        <v>124500</v>
      </c>
      <c r="J4559">
        <v>1312</v>
      </c>
      <c r="K4559">
        <v>656193</v>
      </c>
      <c r="L4559">
        <v>296442</v>
      </c>
      <c r="M4559">
        <v>-132458</v>
      </c>
      <c r="N4559">
        <v>139364</v>
      </c>
      <c r="O4559" t="s">
        <v>4577</v>
      </c>
      <c r="P4559" s="9">
        <v>296321</v>
      </c>
      <c r="Q4559" s="9">
        <v>51176</v>
      </c>
      <c r="R4559" s="9">
        <v>347497</v>
      </c>
      <c r="S4559" s="9">
        <v>-85593</v>
      </c>
      <c r="T4559" s="10">
        <v>114710</v>
      </c>
      <c r="U4559" s="10">
        <v>2920</v>
      </c>
    </row>
    <row r="4560" spans="1:21" x14ac:dyDescent="0.35">
      <c r="A4560" t="s">
        <v>15</v>
      </c>
      <c r="B4560" t="s">
        <v>16</v>
      </c>
      <c r="C4560" t="s">
        <v>17</v>
      </c>
      <c r="D4560">
        <v>181553</v>
      </c>
      <c r="E4560">
        <v>32807</v>
      </c>
      <c r="F4560">
        <v>42902</v>
      </c>
      <c r="G4560">
        <v>-179868</v>
      </c>
      <c r="H4560">
        <v>77394</v>
      </c>
      <c r="I4560">
        <v>77843</v>
      </c>
      <c r="J4560">
        <v>1121</v>
      </c>
      <c r="K4560">
        <v>652475</v>
      </c>
      <c r="L4560">
        <v>282610</v>
      </c>
      <c r="M4560">
        <v>-113876</v>
      </c>
      <c r="N4560">
        <v>161952</v>
      </c>
      <c r="O4560" t="s">
        <v>4578</v>
      </c>
      <c r="P4560" s="9">
        <v>248693</v>
      </c>
      <c r="Q4560" s="9">
        <v>22812</v>
      </c>
      <c r="R4560" s="9">
        <v>271505</v>
      </c>
      <c r="S4560" s="9">
        <v>-76417</v>
      </c>
      <c r="T4560" s="10">
        <v>83948</v>
      </c>
      <c r="U4560" s="10">
        <v>1706</v>
      </c>
    </row>
    <row r="4561" spans="1:21" x14ac:dyDescent="0.35">
      <c r="A4561" t="s">
        <v>15</v>
      </c>
      <c r="B4561" t="s">
        <v>16</v>
      </c>
      <c r="C4561" t="s">
        <v>17</v>
      </c>
      <c r="D4561">
        <v>225048</v>
      </c>
      <c r="E4561">
        <v>29690</v>
      </c>
      <c r="F4561">
        <v>39696</v>
      </c>
      <c r="G4561">
        <v>-188045</v>
      </c>
      <c r="H4561">
        <v>106389</v>
      </c>
      <c r="I4561">
        <v>96715</v>
      </c>
      <c r="J4561">
        <v>2362</v>
      </c>
      <c r="K4561">
        <v>691225</v>
      </c>
      <c r="L4561">
        <v>186926</v>
      </c>
      <c r="M4561">
        <v>-259636</v>
      </c>
      <c r="N4561">
        <v>101729</v>
      </c>
      <c r="O4561" t="s">
        <v>4579</v>
      </c>
      <c r="P4561" s="9">
        <v>204505</v>
      </c>
      <c r="Q4561" s="9">
        <v>24178</v>
      </c>
      <c r="R4561" s="9">
        <v>228683</v>
      </c>
      <c r="S4561" s="9">
        <v>-68911</v>
      </c>
      <c r="T4561" s="10">
        <v>76250</v>
      </c>
      <c r="U4561" s="10">
        <v>959</v>
      </c>
    </row>
    <row r="4562" spans="1:21" x14ac:dyDescent="0.35">
      <c r="A4562" t="s">
        <v>15</v>
      </c>
      <c r="B4562" t="s">
        <v>20</v>
      </c>
      <c r="C4562" t="s">
        <v>21</v>
      </c>
      <c r="D4562">
        <v>204062</v>
      </c>
      <c r="E4562">
        <v>18825</v>
      </c>
      <c r="F4562">
        <v>41272</v>
      </c>
      <c r="G4562">
        <v>-194094</v>
      </c>
      <c r="H4562">
        <v>70065</v>
      </c>
      <c r="I4562">
        <v>66178</v>
      </c>
      <c r="J4562">
        <v>794</v>
      </c>
      <c r="K4562">
        <v>427422</v>
      </c>
      <c r="L4562">
        <v>129988</v>
      </c>
      <c r="M4562">
        <v>-72453</v>
      </c>
      <c r="N4562">
        <v>69552</v>
      </c>
      <c r="O4562" t="s">
        <v>4580</v>
      </c>
      <c r="P4562" s="9">
        <v>318114</v>
      </c>
      <c r="Q4562" s="9">
        <v>47886</v>
      </c>
      <c r="R4562" s="9">
        <v>366000</v>
      </c>
      <c r="S4562" s="9">
        <v>-182939</v>
      </c>
      <c r="T4562" s="10">
        <v>116924</v>
      </c>
      <c r="U4562" s="10">
        <v>2871</v>
      </c>
    </row>
    <row r="4563" spans="1:21" x14ac:dyDescent="0.35">
      <c r="A4563" t="s">
        <v>15</v>
      </c>
      <c r="B4563" t="s">
        <v>20</v>
      </c>
      <c r="C4563" t="s">
        <v>17</v>
      </c>
      <c r="D4563">
        <v>278001</v>
      </c>
      <c r="E4563">
        <v>41454</v>
      </c>
      <c r="F4563">
        <v>54644</v>
      </c>
      <c r="G4563">
        <v>-248665</v>
      </c>
      <c r="H4563">
        <v>125434</v>
      </c>
      <c r="I4563">
        <v>124380</v>
      </c>
      <c r="J4563">
        <v>3145</v>
      </c>
      <c r="K4563">
        <v>562040</v>
      </c>
      <c r="L4563">
        <v>263382</v>
      </c>
      <c r="M4563">
        <v>-183308</v>
      </c>
      <c r="N4563">
        <v>105620</v>
      </c>
      <c r="O4563" t="s">
        <v>4581</v>
      </c>
      <c r="P4563" s="9">
        <v>189099</v>
      </c>
      <c r="Q4563" s="9">
        <v>18179</v>
      </c>
      <c r="R4563" s="9">
        <v>207278</v>
      </c>
      <c r="S4563" s="9">
        <v>-77988</v>
      </c>
      <c r="T4563" s="10">
        <v>85180</v>
      </c>
      <c r="U4563" s="10">
        <v>2467</v>
      </c>
    </row>
    <row r="4564" spans="1:21" x14ac:dyDescent="0.35">
      <c r="A4564" t="s">
        <v>15</v>
      </c>
      <c r="B4564" t="s">
        <v>16</v>
      </c>
      <c r="C4564" t="s">
        <v>21</v>
      </c>
      <c r="D4564">
        <v>297912</v>
      </c>
      <c r="E4564">
        <v>33267</v>
      </c>
      <c r="F4564">
        <v>72299</v>
      </c>
      <c r="G4564">
        <v>-291596</v>
      </c>
      <c r="H4564">
        <v>111882</v>
      </c>
      <c r="I4564">
        <v>103999</v>
      </c>
      <c r="J4564">
        <v>3071</v>
      </c>
      <c r="K4564">
        <v>1141236</v>
      </c>
      <c r="L4564">
        <v>433708</v>
      </c>
      <c r="M4564">
        <v>-441336</v>
      </c>
      <c r="N4564">
        <v>112203</v>
      </c>
      <c r="O4564" t="s">
        <v>4582</v>
      </c>
      <c r="P4564" s="9">
        <v>281127</v>
      </c>
      <c r="Q4564" s="9">
        <v>40913</v>
      </c>
      <c r="R4564" s="9">
        <v>322040</v>
      </c>
      <c r="S4564" s="9">
        <v>-101513</v>
      </c>
      <c r="T4564" s="10">
        <v>123809</v>
      </c>
      <c r="U4564" s="10">
        <v>2954</v>
      </c>
    </row>
    <row r="4565" spans="1:21" x14ac:dyDescent="0.35">
      <c r="A4565" t="s">
        <v>15</v>
      </c>
      <c r="B4565" t="s">
        <v>20</v>
      </c>
      <c r="C4565" t="s">
        <v>21</v>
      </c>
      <c r="D4565">
        <v>248134</v>
      </c>
      <c r="E4565">
        <v>37542</v>
      </c>
      <c r="F4565">
        <v>26678</v>
      </c>
      <c r="G4565">
        <v>-228406</v>
      </c>
      <c r="H4565">
        <v>83948</v>
      </c>
      <c r="I4565">
        <v>80806</v>
      </c>
      <c r="J4565">
        <v>1994</v>
      </c>
      <c r="K4565">
        <v>544223</v>
      </c>
      <c r="L4565">
        <v>184400</v>
      </c>
      <c r="M4565">
        <v>-206491</v>
      </c>
      <c r="N4565">
        <v>117744</v>
      </c>
      <c r="O4565" t="s">
        <v>4583</v>
      </c>
      <c r="P4565" s="9">
        <v>249826</v>
      </c>
      <c r="Q4565" s="9">
        <v>26985</v>
      </c>
      <c r="R4565" s="9">
        <v>276811</v>
      </c>
      <c r="S4565" s="9">
        <v>-93188</v>
      </c>
      <c r="T4565" s="10">
        <v>119010</v>
      </c>
      <c r="U4565" s="10">
        <v>3427</v>
      </c>
    </row>
    <row r="4566" spans="1:21" x14ac:dyDescent="0.35">
      <c r="A4566" t="s">
        <v>15</v>
      </c>
      <c r="B4566" t="s">
        <v>16</v>
      </c>
      <c r="C4566" t="s">
        <v>21</v>
      </c>
      <c r="D4566">
        <v>296603</v>
      </c>
      <c r="E4566">
        <v>29233</v>
      </c>
      <c r="F4566">
        <v>73458</v>
      </c>
      <c r="G4566">
        <v>-257725</v>
      </c>
      <c r="H4566">
        <v>141569</v>
      </c>
      <c r="I4566">
        <v>133575</v>
      </c>
      <c r="J4566">
        <v>2251</v>
      </c>
      <c r="K4566">
        <v>1057661</v>
      </c>
      <c r="L4566">
        <v>203960</v>
      </c>
      <c r="M4566">
        <v>-339304</v>
      </c>
      <c r="N4566">
        <v>171130</v>
      </c>
      <c r="O4566" t="s">
        <v>4584</v>
      </c>
      <c r="P4566" s="9">
        <v>200531</v>
      </c>
      <c r="Q4566" s="9">
        <v>31581</v>
      </c>
      <c r="R4566" s="9">
        <v>232112</v>
      </c>
      <c r="S4566" s="9">
        <v>-79795</v>
      </c>
      <c r="T4566" s="10">
        <v>92265</v>
      </c>
      <c r="U4566" s="10">
        <v>1002</v>
      </c>
    </row>
    <row r="4567" spans="1:21" x14ac:dyDescent="0.35">
      <c r="A4567" t="s">
        <v>15</v>
      </c>
      <c r="B4567" t="s">
        <v>16</v>
      </c>
      <c r="C4567" t="s">
        <v>21</v>
      </c>
      <c r="D4567">
        <v>292468</v>
      </c>
      <c r="E4567">
        <v>35904</v>
      </c>
      <c r="F4567">
        <v>65805</v>
      </c>
      <c r="G4567">
        <v>-249947</v>
      </c>
      <c r="H4567">
        <v>144230</v>
      </c>
      <c r="I4567">
        <v>141832</v>
      </c>
      <c r="J4567">
        <v>3936</v>
      </c>
      <c r="K4567">
        <v>1161330</v>
      </c>
      <c r="L4567">
        <v>526872</v>
      </c>
      <c r="M4567">
        <v>-187498</v>
      </c>
      <c r="N4567">
        <v>263018</v>
      </c>
      <c r="O4567" t="s">
        <v>4585</v>
      </c>
      <c r="P4567" s="9">
        <v>253670</v>
      </c>
      <c r="Q4567" s="9">
        <v>52280</v>
      </c>
      <c r="R4567" s="9">
        <v>305950</v>
      </c>
      <c r="S4567" s="9">
        <v>-143545</v>
      </c>
      <c r="T4567" s="10">
        <v>106473</v>
      </c>
      <c r="U4567" s="10">
        <v>2067</v>
      </c>
    </row>
    <row r="4568" spans="1:21" x14ac:dyDescent="0.35">
      <c r="A4568" t="s">
        <v>15</v>
      </c>
      <c r="B4568" t="s">
        <v>16</v>
      </c>
      <c r="C4568" t="s">
        <v>17</v>
      </c>
      <c r="D4568">
        <v>209698</v>
      </c>
      <c r="E4568">
        <v>27200</v>
      </c>
      <c r="F4568">
        <v>22404</v>
      </c>
      <c r="G4568">
        <v>-175822</v>
      </c>
      <c r="H4568">
        <v>83480</v>
      </c>
      <c r="I4568">
        <v>77797</v>
      </c>
      <c r="J4568">
        <v>1215</v>
      </c>
      <c r="K4568">
        <v>619646</v>
      </c>
      <c r="L4568">
        <v>288176</v>
      </c>
      <c r="M4568">
        <v>-223372</v>
      </c>
      <c r="N4568">
        <v>171190</v>
      </c>
      <c r="O4568" t="s">
        <v>4586</v>
      </c>
      <c r="P4568" s="9">
        <v>259724</v>
      </c>
      <c r="Q4568" s="9">
        <v>28692</v>
      </c>
      <c r="R4568" s="9">
        <v>288416</v>
      </c>
      <c r="S4568" s="9">
        <v>-61016</v>
      </c>
      <c r="T4568" s="10">
        <v>99948</v>
      </c>
      <c r="U4568" s="10">
        <v>1354</v>
      </c>
    </row>
    <row r="4569" spans="1:21" x14ac:dyDescent="0.35">
      <c r="A4569" t="s">
        <v>15</v>
      </c>
      <c r="B4569" t="s">
        <v>20</v>
      </c>
      <c r="C4569" t="s">
        <v>21</v>
      </c>
      <c r="D4569">
        <v>191494</v>
      </c>
      <c r="E4569">
        <v>29813</v>
      </c>
      <c r="F4569">
        <v>26617</v>
      </c>
      <c r="G4569">
        <v>-164515</v>
      </c>
      <c r="H4569">
        <v>83409</v>
      </c>
      <c r="I4569">
        <v>79448</v>
      </c>
      <c r="J4569">
        <v>1820</v>
      </c>
      <c r="K4569">
        <v>502929</v>
      </c>
      <c r="L4569">
        <v>51993</v>
      </c>
      <c r="M4569">
        <v>-145049</v>
      </c>
      <c r="N4569">
        <v>99975</v>
      </c>
      <c r="O4569" t="s">
        <v>4587</v>
      </c>
      <c r="P4569" s="9">
        <v>210914</v>
      </c>
      <c r="Q4569" s="9">
        <v>31800</v>
      </c>
      <c r="R4569" s="9">
        <v>242714</v>
      </c>
      <c r="S4569" s="9">
        <v>-119147</v>
      </c>
      <c r="T4569" s="10">
        <v>72156</v>
      </c>
      <c r="U4569" s="10">
        <v>1595</v>
      </c>
    </row>
    <row r="4570" spans="1:21" x14ac:dyDescent="0.35">
      <c r="A4570" t="s">
        <v>15</v>
      </c>
      <c r="B4570" t="s">
        <v>16</v>
      </c>
      <c r="C4570" t="s">
        <v>17</v>
      </c>
      <c r="D4570">
        <v>294524</v>
      </c>
      <c r="E4570">
        <v>44540</v>
      </c>
      <c r="F4570">
        <v>69277</v>
      </c>
      <c r="G4570">
        <v>-279463</v>
      </c>
      <c r="H4570">
        <v>128878</v>
      </c>
      <c r="I4570">
        <v>118412</v>
      </c>
      <c r="J4570">
        <v>3333</v>
      </c>
      <c r="K4570">
        <v>713975</v>
      </c>
      <c r="L4570">
        <v>241595</v>
      </c>
      <c r="M4570">
        <v>-195975</v>
      </c>
      <c r="N4570">
        <v>183007</v>
      </c>
      <c r="O4570" t="s">
        <v>4588</v>
      </c>
      <c r="P4570" s="9">
        <v>195401</v>
      </c>
      <c r="Q4570" s="9">
        <v>43469</v>
      </c>
      <c r="R4570" s="9">
        <v>238870</v>
      </c>
      <c r="S4570" s="9">
        <v>-124096</v>
      </c>
      <c r="T4570" s="10">
        <v>93364</v>
      </c>
      <c r="U4570" s="10">
        <v>2062</v>
      </c>
    </row>
    <row r="4571" spans="1:21" x14ac:dyDescent="0.35">
      <c r="A4571" t="s">
        <v>15</v>
      </c>
      <c r="B4571" t="s">
        <v>16</v>
      </c>
      <c r="C4571" t="s">
        <v>21</v>
      </c>
      <c r="D4571">
        <v>222377</v>
      </c>
      <c r="E4571">
        <v>42369</v>
      </c>
      <c r="F4571">
        <v>48859</v>
      </c>
      <c r="G4571">
        <v>-185175</v>
      </c>
      <c r="H4571">
        <v>128430</v>
      </c>
      <c r="I4571">
        <v>120062</v>
      </c>
      <c r="J4571">
        <v>2253</v>
      </c>
      <c r="K4571">
        <v>702857</v>
      </c>
      <c r="L4571">
        <v>282379</v>
      </c>
      <c r="M4571">
        <v>-193307</v>
      </c>
      <c r="N4571">
        <v>135818</v>
      </c>
      <c r="O4571" t="s">
        <v>4589</v>
      </c>
      <c r="P4571" s="9">
        <v>295615</v>
      </c>
      <c r="Q4571" s="9">
        <v>19664</v>
      </c>
      <c r="R4571" s="9">
        <v>315279</v>
      </c>
      <c r="S4571" s="9">
        <v>-120177</v>
      </c>
      <c r="T4571" s="10">
        <v>107853</v>
      </c>
      <c r="U4571" s="10">
        <v>1163</v>
      </c>
    </row>
    <row r="4572" spans="1:21" x14ac:dyDescent="0.35">
      <c r="A4572" t="s">
        <v>15</v>
      </c>
      <c r="B4572" t="s">
        <v>20</v>
      </c>
      <c r="C4572" t="s">
        <v>21</v>
      </c>
      <c r="D4572">
        <v>263540</v>
      </c>
      <c r="E4572">
        <v>46252</v>
      </c>
      <c r="F4572">
        <v>57797</v>
      </c>
      <c r="G4572">
        <v>-247259</v>
      </c>
      <c r="H4572">
        <v>120330</v>
      </c>
      <c r="I4572">
        <v>122448</v>
      </c>
      <c r="J4572">
        <v>2420</v>
      </c>
      <c r="K4572">
        <v>940014</v>
      </c>
      <c r="L4572">
        <v>404939</v>
      </c>
      <c r="M4572">
        <v>-190582</v>
      </c>
      <c r="N4572">
        <v>134592</v>
      </c>
      <c r="O4572" t="s">
        <v>4590</v>
      </c>
      <c r="P4572" s="9">
        <v>170986</v>
      </c>
      <c r="Q4572" s="9">
        <v>32086</v>
      </c>
      <c r="R4572" s="9">
        <v>203072</v>
      </c>
      <c r="S4572" s="9">
        <v>-110650</v>
      </c>
      <c r="T4572" s="10">
        <v>73015</v>
      </c>
      <c r="U4572" s="10">
        <v>1990</v>
      </c>
    </row>
    <row r="4573" spans="1:21" x14ac:dyDescent="0.35">
      <c r="A4573" t="s">
        <v>15</v>
      </c>
      <c r="B4573" t="s">
        <v>20</v>
      </c>
      <c r="C4573" t="s">
        <v>21</v>
      </c>
      <c r="D4573">
        <v>264378</v>
      </c>
      <c r="E4573">
        <v>30350</v>
      </c>
      <c r="F4573">
        <v>41269</v>
      </c>
      <c r="G4573">
        <v>-251522</v>
      </c>
      <c r="H4573">
        <v>84475</v>
      </c>
      <c r="I4573">
        <v>79610</v>
      </c>
      <c r="J4573">
        <v>2295</v>
      </c>
      <c r="K4573">
        <v>761120</v>
      </c>
      <c r="L4573">
        <v>125543</v>
      </c>
      <c r="M4573">
        <v>-278800</v>
      </c>
      <c r="N4573">
        <v>233346</v>
      </c>
      <c r="O4573" t="s">
        <v>4591</v>
      </c>
      <c r="P4573" s="9">
        <v>254286</v>
      </c>
      <c r="Q4573" s="9">
        <v>12777</v>
      </c>
      <c r="R4573" s="9">
        <v>267063</v>
      </c>
      <c r="S4573" s="9">
        <v>-81524</v>
      </c>
      <c r="T4573" s="10">
        <v>97670</v>
      </c>
      <c r="U4573" s="10">
        <v>1269</v>
      </c>
    </row>
    <row r="4574" spans="1:21" x14ac:dyDescent="0.35">
      <c r="A4574" t="s">
        <v>15</v>
      </c>
      <c r="B4574" t="s">
        <v>16</v>
      </c>
      <c r="C4574" t="s">
        <v>21</v>
      </c>
      <c r="D4574">
        <v>213023</v>
      </c>
      <c r="E4574">
        <v>34662</v>
      </c>
      <c r="F4574">
        <v>29883</v>
      </c>
      <c r="G4574">
        <v>-199298</v>
      </c>
      <c r="H4574">
        <v>78270</v>
      </c>
      <c r="I4574">
        <v>76461</v>
      </c>
      <c r="J4574">
        <v>1757</v>
      </c>
      <c r="K4574">
        <v>446307</v>
      </c>
      <c r="L4574">
        <v>135131</v>
      </c>
      <c r="M4574">
        <v>-147724</v>
      </c>
      <c r="N4574">
        <v>108039</v>
      </c>
      <c r="O4574" t="s">
        <v>4592</v>
      </c>
      <c r="P4574" s="9">
        <v>204423</v>
      </c>
      <c r="Q4574" s="9">
        <v>14341</v>
      </c>
      <c r="R4574" s="9">
        <v>218764</v>
      </c>
      <c r="S4574" s="9">
        <v>-103649</v>
      </c>
      <c r="T4574" s="10">
        <v>71467</v>
      </c>
      <c r="U4574" s="10">
        <v>1956</v>
      </c>
    </row>
    <row r="4575" spans="1:21" x14ac:dyDescent="0.35">
      <c r="A4575" t="s">
        <v>15</v>
      </c>
      <c r="B4575" t="s">
        <v>20</v>
      </c>
      <c r="C4575" t="s">
        <v>21</v>
      </c>
      <c r="D4575">
        <v>190062</v>
      </c>
      <c r="E4575">
        <v>36039</v>
      </c>
      <c r="F4575">
        <v>42864</v>
      </c>
      <c r="G4575">
        <v>-181768</v>
      </c>
      <c r="H4575">
        <v>87197</v>
      </c>
      <c r="I4575">
        <v>88360</v>
      </c>
      <c r="J4575">
        <v>1970</v>
      </c>
      <c r="K4575">
        <v>619406</v>
      </c>
      <c r="L4575">
        <v>292508</v>
      </c>
      <c r="M4575">
        <v>-86840</v>
      </c>
      <c r="N4575">
        <v>103575</v>
      </c>
      <c r="O4575" t="s">
        <v>4593</v>
      </c>
      <c r="P4575" s="9">
        <v>188711</v>
      </c>
      <c r="Q4575" s="9">
        <v>16907</v>
      </c>
      <c r="R4575" s="9">
        <v>205618</v>
      </c>
      <c r="S4575" s="9">
        <v>-44497</v>
      </c>
      <c r="T4575" s="10">
        <v>70921</v>
      </c>
      <c r="U4575" s="10">
        <v>1244</v>
      </c>
    </row>
    <row r="4576" spans="1:21" x14ac:dyDescent="0.35">
      <c r="A4576" t="s">
        <v>15</v>
      </c>
      <c r="B4576" t="s">
        <v>20</v>
      </c>
      <c r="C4576" t="s">
        <v>21</v>
      </c>
      <c r="D4576">
        <v>220144</v>
      </c>
      <c r="E4576">
        <v>34439</v>
      </c>
      <c r="F4576">
        <v>34909</v>
      </c>
      <c r="G4576">
        <v>-189281</v>
      </c>
      <c r="H4576">
        <v>100211</v>
      </c>
      <c r="I4576">
        <v>101758</v>
      </c>
      <c r="J4576">
        <v>1087</v>
      </c>
      <c r="K4576">
        <v>798178</v>
      </c>
      <c r="L4576">
        <v>230621</v>
      </c>
      <c r="M4576">
        <v>-214456</v>
      </c>
      <c r="N4576">
        <v>117204</v>
      </c>
      <c r="O4576" t="s">
        <v>4594</v>
      </c>
      <c r="P4576" s="9">
        <v>142843</v>
      </c>
      <c r="Q4576" s="9">
        <v>20633</v>
      </c>
      <c r="R4576" s="9">
        <v>163476</v>
      </c>
      <c r="S4576" s="9">
        <v>-76958</v>
      </c>
      <c r="T4576" s="10">
        <v>58051</v>
      </c>
      <c r="U4576" s="10">
        <v>772</v>
      </c>
    </row>
    <row r="4577" spans="1:21" x14ac:dyDescent="0.35">
      <c r="A4577" t="s">
        <v>15</v>
      </c>
      <c r="B4577" t="s">
        <v>16</v>
      </c>
      <c r="C4577" t="s">
        <v>21</v>
      </c>
      <c r="D4577">
        <v>171868</v>
      </c>
      <c r="E4577">
        <v>23027</v>
      </c>
      <c r="F4577">
        <v>23004</v>
      </c>
      <c r="G4577">
        <v>-138043</v>
      </c>
      <c r="H4577">
        <v>79856</v>
      </c>
      <c r="I4577">
        <v>80865</v>
      </c>
      <c r="J4577">
        <v>1636</v>
      </c>
      <c r="K4577">
        <v>449616</v>
      </c>
      <c r="L4577">
        <v>96069</v>
      </c>
      <c r="M4577">
        <v>-160808</v>
      </c>
      <c r="N4577">
        <v>104274</v>
      </c>
      <c r="O4577" t="s">
        <v>4595</v>
      </c>
      <c r="P4577" s="9">
        <v>238642</v>
      </c>
      <c r="Q4577" s="9">
        <v>40561</v>
      </c>
      <c r="R4577" s="9">
        <v>279203</v>
      </c>
      <c r="S4577" s="9">
        <v>-74417</v>
      </c>
      <c r="T4577" s="10">
        <v>110898</v>
      </c>
      <c r="U4577" s="10">
        <v>2189</v>
      </c>
    </row>
    <row r="4578" spans="1:21" x14ac:dyDescent="0.35">
      <c r="A4578" t="s">
        <v>15</v>
      </c>
      <c r="B4578" t="s">
        <v>16</v>
      </c>
      <c r="C4578" t="s">
        <v>21</v>
      </c>
      <c r="D4578">
        <v>246848</v>
      </c>
      <c r="E4578">
        <v>30892</v>
      </c>
      <c r="F4578">
        <v>31563</v>
      </c>
      <c r="G4578">
        <v>-221481</v>
      </c>
      <c r="H4578">
        <v>87822</v>
      </c>
      <c r="I4578">
        <v>83474</v>
      </c>
      <c r="J4578">
        <v>1415</v>
      </c>
      <c r="K4578">
        <v>635292</v>
      </c>
      <c r="L4578">
        <v>64027</v>
      </c>
      <c r="M4578">
        <v>-176604</v>
      </c>
      <c r="N4578">
        <v>204698</v>
      </c>
      <c r="O4578" t="s">
        <v>4596</v>
      </c>
      <c r="P4578" s="9">
        <v>195967</v>
      </c>
      <c r="Q4578" s="9">
        <v>13332</v>
      </c>
      <c r="R4578" s="9">
        <v>209299</v>
      </c>
      <c r="S4578" s="9">
        <v>-50958</v>
      </c>
      <c r="T4578" s="10">
        <v>40703</v>
      </c>
      <c r="U4578" s="10">
        <v>672</v>
      </c>
    </row>
    <row r="4579" spans="1:21" x14ac:dyDescent="0.35">
      <c r="A4579" t="s">
        <v>15</v>
      </c>
      <c r="B4579" t="s">
        <v>16</v>
      </c>
      <c r="C4579" t="s">
        <v>17</v>
      </c>
      <c r="D4579">
        <v>160088</v>
      </c>
      <c r="E4579">
        <v>8906</v>
      </c>
      <c r="F4579">
        <v>38637</v>
      </c>
      <c r="G4579">
        <v>-150524</v>
      </c>
      <c r="H4579">
        <v>57107</v>
      </c>
      <c r="I4579">
        <v>57096</v>
      </c>
      <c r="J4579">
        <v>1225</v>
      </c>
      <c r="K4579">
        <v>518005</v>
      </c>
      <c r="L4579">
        <v>88474</v>
      </c>
      <c r="M4579">
        <v>-76620</v>
      </c>
      <c r="N4579">
        <v>65927</v>
      </c>
      <c r="O4579" t="s">
        <v>4597</v>
      </c>
      <c r="P4579" s="9">
        <v>192250</v>
      </c>
      <c r="Q4579" s="9">
        <v>42126</v>
      </c>
      <c r="R4579" s="9">
        <v>234376</v>
      </c>
      <c r="S4579" s="9">
        <v>-116782</v>
      </c>
      <c r="T4579" s="10">
        <v>73636</v>
      </c>
      <c r="U4579" s="10">
        <v>2143</v>
      </c>
    </row>
    <row r="4580" spans="1:21" x14ac:dyDescent="0.35">
      <c r="A4580" t="s">
        <v>15</v>
      </c>
      <c r="B4580" t="s">
        <v>16</v>
      </c>
      <c r="C4580" t="s">
        <v>21</v>
      </c>
      <c r="D4580">
        <v>217965</v>
      </c>
      <c r="E4580">
        <v>18542</v>
      </c>
      <c r="F4580">
        <v>48068</v>
      </c>
      <c r="G4580">
        <v>-182728</v>
      </c>
      <c r="H4580">
        <v>101847</v>
      </c>
      <c r="I4580">
        <v>99435</v>
      </c>
      <c r="J4580">
        <v>2234</v>
      </c>
      <c r="K4580">
        <v>794105</v>
      </c>
      <c r="L4580">
        <v>246036</v>
      </c>
      <c r="M4580">
        <v>-261481</v>
      </c>
      <c r="N4580">
        <v>171013</v>
      </c>
      <c r="O4580" t="s">
        <v>4598</v>
      </c>
      <c r="P4580" s="9">
        <v>296415</v>
      </c>
      <c r="Q4580" s="9">
        <v>27298</v>
      </c>
      <c r="R4580" s="9">
        <v>323713</v>
      </c>
      <c r="S4580" s="9">
        <v>-192257</v>
      </c>
      <c r="T4580" s="10">
        <v>80724</v>
      </c>
      <c r="U4580" s="10">
        <v>846</v>
      </c>
    </row>
    <row r="4581" spans="1:21" x14ac:dyDescent="0.35">
      <c r="A4581" t="s">
        <v>15</v>
      </c>
      <c r="B4581" t="s">
        <v>16</v>
      </c>
      <c r="C4581" t="s">
        <v>21</v>
      </c>
      <c r="D4581">
        <v>166944</v>
      </c>
      <c r="E4581">
        <v>24861</v>
      </c>
      <c r="F4581">
        <v>19816</v>
      </c>
      <c r="G4581">
        <v>-154082</v>
      </c>
      <c r="H4581">
        <v>57539</v>
      </c>
      <c r="I4581">
        <v>54632</v>
      </c>
      <c r="J4581">
        <v>1610</v>
      </c>
      <c r="K4581">
        <v>499078</v>
      </c>
      <c r="L4581">
        <v>186088</v>
      </c>
      <c r="M4581">
        <v>-133423</v>
      </c>
      <c r="N4581">
        <v>138349</v>
      </c>
      <c r="O4581" t="s">
        <v>4599</v>
      </c>
      <c r="P4581" s="9">
        <v>253482</v>
      </c>
      <c r="Q4581" s="9">
        <v>38908</v>
      </c>
      <c r="R4581" s="9">
        <v>292390</v>
      </c>
      <c r="S4581" s="9">
        <v>-153251</v>
      </c>
      <c r="T4581" s="10">
        <v>97373</v>
      </c>
      <c r="U4581" s="10">
        <v>2016</v>
      </c>
    </row>
    <row r="4582" spans="1:21" x14ac:dyDescent="0.35">
      <c r="A4582" t="s">
        <v>15</v>
      </c>
      <c r="B4582" t="s">
        <v>16</v>
      </c>
      <c r="C4582" t="s">
        <v>21</v>
      </c>
      <c r="D4582">
        <v>235592</v>
      </c>
      <c r="E4582">
        <v>35025</v>
      </c>
      <c r="F4582">
        <v>48419</v>
      </c>
      <c r="G4582">
        <v>-218089</v>
      </c>
      <c r="H4582">
        <v>100947</v>
      </c>
      <c r="I4582">
        <v>92337</v>
      </c>
      <c r="J4582">
        <v>2448</v>
      </c>
      <c r="K4582">
        <v>876455</v>
      </c>
      <c r="L4582">
        <v>154503</v>
      </c>
      <c r="M4582">
        <v>-335933</v>
      </c>
      <c r="N4582">
        <v>204467</v>
      </c>
      <c r="O4582" t="s">
        <v>4600</v>
      </c>
      <c r="P4582" s="9">
        <v>306112</v>
      </c>
      <c r="Q4582" s="9">
        <v>22219</v>
      </c>
      <c r="R4582" s="9">
        <v>328331</v>
      </c>
      <c r="S4582" s="9">
        <v>-71468</v>
      </c>
      <c r="T4582" s="10">
        <v>57164</v>
      </c>
      <c r="U4582" s="10">
        <v>820</v>
      </c>
    </row>
    <row r="4583" spans="1:21" x14ac:dyDescent="0.35">
      <c r="A4583" t="s">
        <v>15</v>
      </c>
      <c r="B4583" t="s">
        <v>16</v>
      </c>
      <c r="C4583" t="s">
        <v>21</v>
      </c>
      <c r="D4583">
        <v>203567</v>
      </c>
      <c r="E4583">
        <v>11355</v>
      </c>
      <c r="F4583">
        <v>30522</v>
      </c>
      <c r="G4583">
        <v>-193700</v>
      </c>
      <c r="H4583">
        <v>51744</v>
      </c>
      <c r="I4583">
        <v>47451</v>
      </c>
      <c r="J4583">
        <v>1134</v>
      </c>
      <c r="K4583">
        <v>626854</v>
      </c>
      <c r="L4583">
        <v>65097</v>
      </c>
      <c r="M4583">
        <v>-116971</v>
      </c>
      <c r="N4583">
        <v>176459</v>
      </c>
      <c r="O4583" t="s">
        <v>4601</v>
      </c>
      <c r="P4583" s="9">
        <v>220586</v>
      </c>
      <c r="Q4583" s="9">
        <v>22786</v>
      </c>
      <c r="R4583" s="9">
        <v>243372</v>
      </c>
      <c r="S4583" s="9">
        <v>-116740</v>
      </c>
      <c r="T4583" s="10">
        <v>82950</v>
      </c>
      <c r="U4583" s="10">
        <v>967</v>
      </c>
    </row>
    <row r="4584" spans="1:21" x14ac:dyDescent="0.35">
      <c r="A4584" t="s">
        <v>15</v>
      </c>
      <c r="B4584" t="s">
        <v>16</v>
      </c>
      <c r="C4584" t="s">
        <v>21</v>
      </c>
      <c r="D4584">
        <v>238799</v>
      </c>
      <c r="E4584">
        <v>42011</v>
      </c>
      <c r="F4584">
        <v>47146</v>
      </c>
      <c r="G4584">
        <v>-202612</v>
      </c>
      <c r="H4584">
        <v>125344</v>
      </c>
      <c r="I4584">
        <v>128942</v>
      </c>
      <c r="J4584">
        <v>2510</v>
      </c>
      <c r="K4584">
        <v>756366</v>
      </c>
      <c r="L4584">
        <v>120094</v>
      </c>
      <c r="M4584">
        <v>-186848</v>
      </c>
      <c r="N4584">
        <v>151726</v>
      </c>
      <c r="O4584" t="s">
        <v>4602</v>
      </c>
      <c r="P4584" s="9">
        <v>270014</v>
      </c>
      <c r="Q4584" s="9">
        <v>30404</v>
      </c>
      <c r="R4584" s="9">
        <v>300418</v>
      </c>
      <c r="S4584" s="9">
        <v>-152769</v>
      </c>
      <c r="T4584" s="10">
        <v>125108</v>
      </c>
      <c r="U4584" s="10">
        <v>1363</v>
      </c>
    </row>
    <row r="4585" spans="1:21" x14ac:dyDescent="0.35">
      <c r="A4585" t="s">
        <v>15</v>
      </c>
      <c r="B4585" t="s">
        <v>16</v>
      </c>
      <c r="C4585" t="s">
        <v>21</v>
      </c>
      <c r="D4585">
        <v>155441</v>
      </c>
      <c r="E4585">
        <v>15008</v>
      </c>
      <c r="F4585">
        <v>22763</v>
      </c>
      <c r="G4585">
        <v>-127374</v>
      </c>
      <c r="H4585">
        <v>65838</v>
      </c>
      <c r="I4585">
        <v>65510</v>
      </c>
      <c r="J4585">
        <v>1826</v>
      </c>
      <c r="K4585">
        <v>346531</v>
      </c>
      <c r="L4585">
        <v>109726</v>
      </c>
      <c r="M4585">
        <v>-66165</v>
      </c>
      <c r="N4585">
        <v>133373</v>
      </c>
      <c r="O4585" t="s">
        <v>4603</v>
      </c>
      <c r="P4585" s="9">
        <v>192689</v>
      </c>
      <c r="Q4585" s="9">
        <v>19651</v>
      </c>
      <c r="R4585" s="9">
        <v>212340</v>
      </c>
      <c r="S4585" s="9">
        <v>-48641</v>
      </c>
      <c r="T4585" s="10">
        <v>90410</v>
      </c>
      <c r="U4585" s="10">
        <v>1731</v>
      </c>
    </row>
    <row r="4586" spans="1:21" x14ac:dyDescent="0.35">
      <c r="A4586" t="s">
        <v>15</v>
      </c>
      <c r="B4586" t="s">
        <v>16</v>
      </c>
      <c r="C4586" t="s">
        <v>17</v>
      </c>
      <c r="D4586">
        <v>169776</v>
      </c>
      <c r="E4586">
        <v>33840</v>
      </c>
      <c r="F4586">
        <v>24439</v>
      </c>
      <c r="G4586">
        <v>-136427</v>
      </c>
      <c r="H4586">
        <v>91628</v>
      </c>
      <c r="I4586">
        <v>87404</v>
      </c>
      <c r="J4586">
        <v>957</v>
      </c>
      <c r="K4586">
        <v>550898</v>
      </c>
      <c r="L4586">
        <v>199790</v>
      </c>
      <c r="M4586">
        <v>-184536</v>
      </c>
      <c r="N4586">
        <v>74717</v>
      </c>
      <c r="O4586" t="s">
        <v>4604</v>
      </c>
      <c r="P4586" s="9">
        <v>150750</v>
      </c>
      <c r="Q4586" s="9">
        <v>28478</v>
      </c>
      <c r="R4586" s="9">
        <v>179228</v>
      </c>
      <c r="S4586" s="9">
        <v>-61013</v>
      </c>
      <c r="T4586" s="10">
        <v>57992</v>
      </c>
      <c r="U4586" s="10">
        <v>1152</v>
      </c>
    </row>
    <row r="4587" spans="1:21" x14ac:dyDescent="0.35">
      <c r="A4587" t="s">
        <v>15</v>
      </c>
      <c r="B4587" t="s">
        <v>16</v>
      </c>
      <c r="C4587" t="s">
        <v>17</v>
      </c>
      <c r="D4587">
        <v>193790</v>
      </c>
      <c r="E4587">
        <v>10121</v>
      </c>
      <c r="F4587">
        <v>46600</v>
      </c>
      <c r="G4587">
        <v>-155790</v>
      </c>
      <c r="H4587">
        <v>94721</v>
      </c>
      <c r="I4587">
        <v>91446</v>
      </c>
      <c r="J4587">
        <v>2269</v>
      </c>
      <c r="K4587">
        <v>755970</v>
      </c>
      <c r="L4587">
        <v>98103</v>
      </c>
      <c r="M4587">
        <v>-209825</v>
      </c>
      <c r="N4587">
        <v>74974</v>
      </c>
      <c r="O4587" t="s">
        <v>4605</v>
      </c>
      <c r="P4587" s="9">
        <v>239671</v>
      </c>
      <c r="Q4587" s="9">
        <v>27497</v>
      </c>
      <c r="R4587" s="9">
        <v>267168</v>
      </c>
      <c r="S4587" s="9">
        <v>-107971</v>
      </c>
      <c r="T4587" s="10">
        <v>95467</v>
      </c>
      <c r="U4587" s="10">
        <v>2549</v>
      </c>
    </row>
    <row r="4588" spans="1:21" x14ac:dyDescent="0.35">
      <c r="A4588" t="s">
        <v>15</v>
      </c>
      <c r="B4588" t="s">
        <v>16</v>
      </c>
      <c r="C4588" t="s">
        <v>21</v>
      </c>
      <c r="D4588">
        <v>157991</v>
      </c>
      <c r="E4588">
        <v>23961</v>
      </c>
      <c r="F4588">
        <v>31073</v>
      </c>
      <c r="G4588">
        <v>-140864</v>
      </c>
      <c r="H4588">
        <v>72161</v>
      </c>
      <c r="I4588">
        <v>72852</v>
      </c>
      <c r="J4588">
        <v>852</v>
      </c>
      <c r="K4588">
        <v>328009</v>
      </c>
      <c r="L4588">
        <v>96163</v>
      </c>
      <c r="M4588">
        <v>-68466</v>
      </c>
      <c r="N4588">
        <v>72588</v>
      </c>
      <c r="O4588" t="s">
        <v>4606</v>
      </c>
      <c r="P4588" s="9">
        <v>267447</v>
      </c>
      <c r="Q4588" s="9">
        <v>26169</v>
      </c>
      <c r="R4588" s="9">
        <v>293616</v>
      </c>
      <c r="S4588" s="9">
        <v>-74059</v>
      </c>
      <c r="T4588" s="10">
        <v>86417</v>
      </c>
      <c r="U4588" s="10">
        <v>1369</v>
      </c>
    </row>
    <row r="4589" spans="1:21" x14ac:dyDescent="0.35">
      <c r="A4589" t="s">
        <v>15</v>
      </c>
      <c r="B4589" t="s">
        <v>16</v>
      </c>
      <c r="C4589" t="s">
        <v>21</v>
      </c>
      <c r="D4589">
        <v>273377</v>
      </c>
      <c r="E4589">
        <v>44649</v>
      </c>
      <c r="F4589">
        <v>67607</v>
      </c>
      <c r="G4589">
        <v>-229369</v>
      </c>
      <c r="H4589">
        <v>156264</v>
      </c>
      <c r="I4589">
        <v>144567</v>
      </c>
      <c r="J4589">
        <v>4136</v>
      </c>
      <c r="K4589">
        <v>581277</v>
      </c>
      <c r="L4589">
        <v>224637</v>
      </c>
      <c r="M4589">
        <v>-174006</v>
      </c>
      <c r="N4589">
        <v>128888</v>
      </c>
      <c r="O4589" t="s">
        <v>4607</v>
      </c>
      <c r="P4589" s="9">
        <v>157382</v>
      </c>
      <c r="Q4589" s="9">
        <v>21287</v>
      </c>
      <c r="R4589" s="9">
        <v>178669</v>
      </c>
      <c r="S4589" s="9">
        <v>-36208</v>
      </c>
      <c r="T4589" s="10">
        <v>76598</v>
      </c>
      <c r="U4589" s="10">
        <v>1863</v>
      </c>
    </row>
    <row r="4590" spans="1:21" x14ac:dyDescent="0.35">
      <c r="A4590" t="s">
        <v>15</v>
      </c>
      <c r="B4590" t="s">
        <v>16</v>
      </c>
      <c r="C4590" t="s">
        <v>17</v>
      </c>
      <c r="D4590">
        <v>183973</v>
      </c>
      <c r="E4590">
        <v>34391</v>
      </c>
      <c r="F4590">
        <v>40807</v>
      </c>
      <c r="G4590">
        <v>-155210</v>
      </c>
      <c r="H4590">
        <v>103961</v>
      </c>
      <c r="I4590">
        <v>96107</v>
      </c>
      <c r="J4590">
        <v>1300</v>
      </c>
      <c r="K4590">
        <v>538414</v>
      </c>
      <c r="L4590">
        <v>218663</v>
      </c>
      <c r="M4590">
        <v>-142087</v>
      </c>
      <c r="N4590">
        <v>106638</v>
      </c>
      <c r="O4590" t="s">
        <v>4608</v>
      </c>
      <c r="P4590" s="9">
        <v>168272</v>
      </c>
      <c r="Q4590" s="9">
        <v>17755</v>
      </c>
      <c r="R4590" s="9">
        <v>186027</v>
      </c>
      <c r="S4590" s="9">
        <v>-44806</v>
      </c>
      <c r="T4590" s="10">
        <v>51236</v>
      </c>
      <c r="U4590" s="10">
        <v>1126</v>
      </c>
    </row>
    <row r="4591" spans="1:21" x14ac:dyDescent="0.35">
      <c r="A4591" t="s">
        <v>15</v>
      </c>
      <c r="B4591" t="s">
        <v>16</v>
      </c>
      <c r="C4591" t="s">
        <v>21</v>
      </c>
      <c r="D4591">
        <v>239121</v>
      </c>
      <c r="E4591">
        <v>31027</v>
      </c>
      <c r="F4591">
        <v>24596</v>
      </c>
      <c r="G4591">
        <v>-217616</v>
      </c>
      <c r="H4591">
        <v>77128</v>
      </c>
      <c r="I4591">
        <v>71253</v>
      </c>
      <c r="J4591">
        <v>1323</v>
      </c>
      <c r="K4591">
        <v>809950</v>
      </c>
      <c r="L4591">
        <v>299842</v>
      </c>
      <c r="M4591">
        <v>-144393</v>
      </c>
      <c r="N4591">
        <v>131539</v>
      </c>
      <c r="O4591" t="s">
        <v>4609</v>
      </c>
      <c r="P4591" s="9">
        <v>164272</v>
      </c>
      <c r="Q4591" s="9">
        <v>24089</v>
      </c>
      <c r="R4591" s="9">
        <v>188361</v>
      </c>
      <c r="S4591" s="9">
        <v>-107694</v>
      </c>
      <c r="T4591" s="10">
        <v>43912</v>
      </c>
      <c r="U4591" s="10">
        <v>694</v>
      </c>
    </row>
    <row r="4592" spans="1:21" x14ac:dyDescent="0.35">
      <c r="A4592" t="s">
        <v>15</v>
      </c>
      <c r="B4592" t="s">
        <v>16</v>
      </c>
      <c r="C4592" t="s">
        <v>21</v>
      </c>
      <c r="D4592">
        <v>187810</v>
      </c>
      <c r="E4592">
        <v>31068</v>
      </c>
      <c r="F4592">
        <v>20529</v>
      </c>
      <c r="G4592">
        <v>-171508</v>
      </c>
      <c r="H4592">
        <v>67899</v>
      </c>
      <c r="I4592">
        <v>65359</v>
      </c>
      <c r="J4592">
        <v>1272</v>
      </c>
      <c r="K4592">
        <v>691656</v>
      </c>
      <c r="L4592">
        <v>143612</v>
      </c>
      <c r="M4592">
        <v>-153492</v>
      </c>
      <c r="N4592">
        <v>58259</v>
      </c>
      <c r="O4592" t="s">
        <v>4610</v>
      </c>
      <c r="P4592" s="9">
        <v>195205</v>
      </c>
      <c r="Q4592" s="9">
        <v>21908</v>
      </c>
      <c r="R4592" s="9">
        <v>217113</v>
      </c>
      <c r="S4592" s="9">
        <v>-115485</v>
      </c>
      <c r="T4592" s="10">
        <v>62430</v>
      </c>
      <c r="U4592" s="10">
        <v>825</v>
      </c>
    </row>
    <row r="4593" spans="1:21" x14ac:dyDescent="0.35">
      <c r="A4593" t="s">
        <v>15</v>
      </c>
      <c r="B4593" t="s">
        <v>20</v>
      </c>
      <c r="C4593" t="s">
        <v>17</v>
      </c>
      <c r="D4593">
        <v>240598</v>
      </c>
      <c r="E4593">
        <v>23600</v>
      </c>
      <c r="F4593">
        <v>24434</v>
      </c>
      <c r="G4593">
        <v>-200313</v>
      </c>
      <c r="H4593">
        <v>88319</v>
      </c>
      <c r="I4593">
        <v>80699</v>
      </c>
      <c r="J4593">
        <v>1083</v>
      </c>
      <c r="K4593">
        <v>862300</v>
      </c>
      <c r="L4593">
        <v>128364</v>
      </c>
      <c r="M4593">
        <v>-152059</v>
      </c>
      <c r="N4593">
        <v>140237</v>
      </c>
      <c r="O4593" t="s">
        <v>4611</v>
      </c>
      <c r="P4593" s="9">
        <v>219867</v>
      </c>
      <c r="Q4593" s="9">
        <v>35933</v>
      </c>
      <c r="R4593" s="9">
        <v>255800</v>
      </c>
      <c r="S4593" s="9">
        <v>-84992</v>
      </c>
      <c r="T4593" s="10">
        <v>112244</v>
      </c>
      <c r="U4593" s="10">
        <v>3248</v>
      </c>
    </row>
    <row r="4594" spans="1:21" x14ac:dyDescent="0.35">
      <c r="A4594" t="s">
        <v>15</v>
      </c>
      <c r="B4594" t="s">
        <v>20</v>
      </c>
      <c r="C4594" t="s">
        <v>17</v>
      </c>
      <c r="D4594">
        <v>280159</v>
      </c>
      <c r="E4594">
        <v>34442</v>
      </c>
      <c r="F4594">
        <v>42685</v>
      </c>
      <c r="G4594">
        <v>-272307</v>
      </c>
      <c r="H4594">
        <v>84979</v>
      </c>
      <c r="I4594">
        <v>81191</v>
      </c>
      <c r="J4594">
        <v>1814</v>
      </c>
      <c r="K4594">
        <v>1066596</v>
      </c>
      <c r="L4594">
        <v>305467</v>
      </c>
      <c r="M4594">
        <v>-142027</v>
      </c>
      <c r="N4594">
        <v>189778</v>
      </c>
      <c r="O4594" t="s">
        <v>4612</v>
      </c>
      <c r="P4594" s="9">
        <v>204956</v>
      </c>
      <c r="Q4594" s="9">
        <v>23268</v>
      </c>
      <c r="R4594" s="9">
        <v>228224</v>
      </c>
      <c r="S4594" s="9">
        <v>-86325</v>
      </c>
      <c r="T4594" s="10">
        <v>115538</v>
      </c>
      <c r="U4594" s="10">
        <v>2916</v>
      </c>
    </row>
    <row r="4595" spans="1:21" x14ac:dyDescent="0.35">
      <c r="A4595" t="s">
        <v>15</v>
      </c>
      <c r="B4595" t="s">
        <v>20</v>
      </c>
      <c r="C4595" t="s">
        <v>17</v>
      </c>
      <c r="D4595">
        <v>176329</v>
      </c>
      <c r="E4595">
        <v>14552</v>
      </c>
      <c r="F4595">
        <v>23637</v>
      </c>
      <c r="G4595">
        <v>-153441</v>
      </c>
      <c r="H4595">
        <v>61077</v>
      </c>
      <c r="I4595">
        <v>57674</v>
      </c>
      <c r="J4595">
        <v>619</v>
      </c>
      <c r="K4595">
        <v>593399</v>
      </c>
      <c r="L4595">
        <v>140687</v>
      </c>
      <c r="M4595">
        <v>-91869</v>
      </c>
      <c r="N4595">
        <v>135399</v>
      </c>
      <c r="O4595" t="s">
        <v>4613</v>
      </c>
      <c r="P4595" s="9">
        <v>255029</v>
      </c>
      <c r="Q4595" s="9">
        <v>31771</v>
      </c>
      <c r="R4595" s="9">
        <v>286800</v>
      </c>
      <c r="S4595" s="9">
        <v>-66868</v>
      </c>
      <c r="T4595" s="10">
        <v>133370</v>
      </c>
      <c r="U4595" s="10">
        <v>1769</v>
      </c>
    </row>
    <row r="4596" spans="1:21" x14ac:dyDescent="0.35">
      <c r="A4596" t="s">
        <v>15</v>
      </c>
      <c r="B4596" t="s">
        <v>16</v>
      </c>
      <c r="C4596" t="s">
        <v>21</v>
      </c>
      <c r="D4596">
        <v>284622</v>
      </c>
      <c r="E4596">
        <v>14491</v>
      </c>
      <c r="F4596">
        <v>43839</v>
      </c>
      <c r="G4596">
        <v>-241969</v>
      </c>
      <c r="H4596">
        <v>100983</v>
      </c>
      <c r="I4596">
        <v>93672</v>
      </c>
      <c r="J4596">
        <v>1551</v>
      </c>
      <c r="K4596">
        <v>962762</v>
      </c>
      <c r="L4596">
        <v>110071</v>
      </c>
      <c r="M4596">
        <v>-215959</v>
      </c>
      <c r="N4596">
        <v>122079</v>
      </c>
      <c r="O4596" t="s">
        <v>4614</v>
      </c>
      <c r="P4596" s="9">
        <v>290351</v>
      </c>
      <c r="Q4596" s="9">
        <v>46542</v>
      </c>
      <c r="R4596" s="9">
        <v>336893</v>
      </c>
      <c r="S4596" s="9">
        <v>-71004</v>
      </c>
      <c r="T4596" s="10">
        <v>141219</v>
      </c>
      <c r="U4596" s="10">
        <v>1756</v>
      </c>
    </row>
    <row r="4597" spans="1:21" x14ac:dyDescent="0.35">
      <c r="A4597" t="s">
        <v>15</v>
      </c>
      <c r="B4597" t="s">
        <v>16</v>
      </c>
      <c r="C4597" t="s">
        <v>17</v>
      </c>
      <c r="D4597">
        <v>184062</v>
      </c>
      <c r="E4597">
        <v>20807</v>
      </c>
      <c r="F4597">
        <v>42379</v>
      </c>
      <c r="G4597">
        <v>-171361</v>
      </c>
      <c r="H4597">
        <v>75887</v>
      </c>
      <c r="I4597">
        <v>76796</v>
      </c>
      <c r="J4597">
        <v>1214</v>
      </c>
      <c r="K4597">
        <v>567928</v>
      </c>
      <c r="L4597">
        <v>60823</v>
      </c>
      <c r="M4597">
        <v>-195739</v>
      </c>
      <c r="N4597">
        <v>123527</v>
      </c>
      <c r="O4597" t="s">
        <v>4615</v>
      </c>
      <c r="P4597" s="9">
        <v>205470</v>
      </c>
      <c r="Q4597" s="9">
        <v>32125</v>
      </c>
      <c r="R4597" s="9">
        <v>237595</v>
      </c>
      <c r="S4597" s="9">
        <v>-61489</v>
      </c>
      <c r="T4597" s="10">
        <v>72486</v>
      </c>
      <c r="U4597" s="10">
        <v>1441</v>
      </c>
    </row>
    <row r="4598" spans="1:21" x14ac:dyDescent="0.35">
      <c r="A4598" t="s">
        <v>15</v>
      </c>
      <c r="B4598" t="s">
        <v>20</v>
      </c>
      <c r="C4598" t="s">
        <v>21</v>
      </c>
      <c r="D4598">
        <v>173695</v>
      </c>
      <c r="E4598">
        <v>14556</v>
      </c>
      <c r="F4598">
        <v>24504</v>
      </c>
      <c r="G4598">
        <v>-152574</v>
      </c>
      <c r="H4598">
        <v>60181</v>
      </c>
      <c r="I4598">
        <v>55873</v>
      </c>
      <c r="J4598">
        <v>1167</v>
      </c>
      <c r="K4598">
        <v>411095</v>
      </c>
      <c r="L4598">
        <v>86257</v>
      </c>
      <c r="M4598">
        <v>-113782</v>
      </c>
      <c r="N4598">
        <v>61812</v>
      </c>
      <c r="O4598" t="s">
        <v>4616</v>
      </c>
      <c r="P4598" s="9">
        <v>237647</v>
      </c>
      <c r="Q4598" s="9">
        <v>38114</v>
      </c>
      <c r="R4598" s="9">
        <v>275761</v>
      </c>
      <c r="S4598" s="9">
        <v>-64442</v>
      </c>
      <c r="T4598" s="10">
        <v>108078</v>
      </c>
      <c r="U4598" s="10">
        <v>2113</v>
      </c>
    </row>
    <row r="4599" spans="1:21" x14ac:dyDescent="0.35">
      <c r="A4599" t="s">
        <v>15</v>
      </c>
      <c r="B4599" t="s">
        <v>16</v>
      </c>
      <c r="C4599" t="s">
        <v>17</v>
      </c>
      <c r="D4599">
        <v>219717</v>
      </c>
      <c r="E4599">
        <v>23022</v>
      </c>
      <c r="F4599">
        <v>31384</v>
      </c>
      <c r="G4599">
        <v>-193645</v>
      </c>
      <c r="H4599">
        <v>80478</v>
      </c>
      <c r="I4599">
        <v>73861</v>
      </c>
      <c r="J4599">
        <v>925</v>
      </c>
      <c r="K4599">
        <v>481839</v>
      </c>
      <c r="L4599">
        <v>128675</v>
      </c>
      <c r="M4599">
        <v>-167168</v>
      </c>
      <c r="N4599">
        <v>129176</v>
      </c>
      <c r="O4599" t="s">
        <v>4617</v>
      </c>
      <c r="P4599" s="9">
        <v>140427</v>
      </c>
      <c r="Q4599" s="9">
        <v>18710</v>
      </c>
      <c r="R4599" s="9">
        <v>159137</v>
      </c>
      <c r="S4599" s="9">
        <v>-59705</v>
      </c>
      <c r="T4599" s="10">
        <v>60337</v>
      </c>
      <c r="U4599" s="10">
        <v>1058</v>
      </c>
    </row>
    <row r="4600" spans="1:21" x14ac:dyDescent="0.35">
      <c r="A4600" t="s">
        <v>15</v>
      </c>
      <c r="B4600" t="s">
        <v>16</v>
      </c>
      <c r="C4600" t="s">
        <v>21</v>
      </c>
      <c r="D4600">
        <v>184482</v>
      </c>
      <c r="E4600">
        <v>30244</v>
      </c>
      <c r="F4600">
        <v>45037</v>
      </c>
      <c r="G4600">
        <v>-165515</v>
      </c>
      <c r="H4600">
        <v>94248</v>
      </c>
      <c r="I4600">
        <v>91068</v>
      </c>
      <c r="J4600">
        <v>1974</v>
      </c>
      <c r="K4600">
        <v>671658</v>
      </c>
      <c r="L4600">
        <v>290790</v>
      </c>
      <c r="M4600">
        <v>-216806</v>
      </c>
      <c r="N4600">
        <v>107135</v>
      </c>
      <c r="O4600" t="s">
        <v>4618</v>
      </c>
      <c r="P4600" s="9">
        <v>153187</v>
      </c>
      <c r="Q4600" s="9">
        <v>20345</v>
      </c>
      <c r="R4600" s="9">
        <v>173532</v>
      </c>
      <c r="S4600" s="9">
        <v>-62452</v>
      </c>
      <c r="T4600" s="10">
        <v>64156</v>
      </c>
      <c r="U4600" s="10">
        <v>1043</v>
      </c>
    </row>
    <row r="4601" spans="1:21" x14ac:dyDescent="0.35">
      <c r="A4601" t="s">
        <v>15</v>
      </c>
      <c r="B4601" t="s">
        <v>20</v>
      </c>
      <c r="C4601" t="s">
        <v>17</v>
      </c>
      <c r="D4601">
        <v>289976</v>
      </c>
      <c r="E4601">
        <v>51807</v>
      </c>
      <c r="F4601">
        <v>34704</v>
      </c>
      <c r="G4601">
        <v>-270372</v>
      </c>
      <c r="H4601">
        <v>106115</v>
      </c>
      <c r="I4601">
        <v>106984</v>
      </c>
      <c r="J4601">
        <v>2646</v>
      </c>
      <c r="K4601">
        <v>759971</v>
      </c>
      <c r="L4601">
        <v>101574</v>
      </c>
      <c r="M4601">
        <v>-234679</v>
      </c>
      <c r="N4601">
        <v>233983</v>
      </c>
      <c r="O4601" t="s">
        <v>4619</v>
      </c>
      <c r="P4601" s="9">
        <v>261813</v>
      </c>
      <c r="Q4601" s="9">
        <v>22292</v>
      </c>
      <c r="R4601" s="9">
        <v>284105</v>
      </c>
      <c r="S4601" s="9">
        <v>-69411</v>
      </c>
      <c r="T4601" s="10">
        <v>94322</v>
      </c>
      <c r="U4601" s="10">
        <v>1303</v>
      </c>
    </row>
    <row r="4602" spans="1:21" x14ac:dyDescent="0.35">
      <c r="A4602" t="s">
        <v>15</v>
      </c>
      <c r="B4602" t="s">
        <v>16</v>
      </c>
      <c r="C4602" t="s">
        <v>21</v>
      </c>
      <c r="D4602">
        <v>187677</v>
      </c>
      <c r="E4602">
        <v>13855</v>
      </c>
      <c r="F4602">
        <v>28729</v>
      </c>
      <c r="G4602">
        <v>-159608</v>
      </c>
      <c r="H4602">
        <v>70653</v>
      </c>
      <c r="I4602">
        <v>70402</v>
      </c>
      <c r="J4602">
        <v>1315</v>
      </c>
      <c r="K4602">
        <v>439247</v>
      </c>
      <c r="L4602">
        <v>180203</v>
      </c>
      <c r="M4602">
        <v>-174002</v>
      </c>
      <c r="N4602">
        <v>64069</v>
      </c>
      <c r="O4602" t="s">
        <v>4620</v>
      </c>
      <c r="P4602" s="9">
        <v>301082</v>
      </c>
      <c r="Q4602" s="9">
        <v>43553</v>
      </c>
      <c r="R4602" s="9">
        <v>344635</v>
      </c>
      <c r="S4602" s="9">
        <v>-72281</v>
      </c>
      <c r="T4602" s="10">
        <v>107467</v>
      </c>
      <c r="U4602" s="10">
        <v>1721</v>
      </c>
    </row>
    <row r="4603" spans="1:21" x14ac:dyDescent="0.35">
      <c r="A4603" t="s">
        <v>15</v>
      </c>
      <c r="B4603" t="s">
        <v>20</v>
      </c>
      <c r="C4603" t="s">
        <v>17</v>
      </c>
      <c r="D4603">
        <v>190325</v>
      </c>
      <c r="E4603">
        <v>33999</v>
      </c>
      <c r="F4603">
        <v>45186</v>
      </c>
      <c r="G4603">
        <v>-182117</v>
      </c>
      <c r="H4603">
        <v>87393</v>
      </c>
      <c r="I4603">
        <v>81215</v>
      </c>
      <c r="J4603">
        <v>2363</v>
      </c>
      <c r="K4603">
        <v>730118</v>
      </c>
      <c r="L4603">
        <v>297932</v>
      </c>
      <c r="M4603">
        <v>-187351</v>
      </c>
      <c r="N4603">
        <v>111742</v>
      </c>
      <c r="O4603" t="s">
        <v>4621</v>
      </c>
      <c r="P4603" s="9">
        <v>227723</v>
      </c>
      <c r="Q4603" s="9">
        <v>14780</v>
      </c>
      <c r="R4603" s="9">
        <v>242503</v>
      </c>
      <c r="S4603" s="9">
        <v>-141817</v>
      </c>
      <c r="T4603" s="10">
        <v>76221</v>
      </c>
      <c r="U4603" s="10">
        <v>1960</v>
      </c>
    </row>
    <row r="4604" spans="1:21" x14ac:dyDescent="0.35">
      <c r="A4604" t="s">
        <v>15</v>
      </c>
      <c r="B4604" t="s">
        <v>16</v>
      </c>
      <c r="C4604" t="s">
        <v>21</v>
      </c>
      <c r="D4604">
        <v>237136</v>
      </c>
      <c r="E4604">
        <v>39939</v>
      </c>
      <c r="F4604">
        <v>52805</v>
      </c>
      <c r="G4604">
        <v>-232391</v>
      </c>
      <c r="H4604">
        <v>97489</v>
      </c>
      <c r="I4604">
        <v>94825</v>
      </c>
      <c r="J4604">
        <v>1625</v>
      </c>
      <c r="K4604">
        <v>536986</v>
      </c>
      <c r="L4604">
        <v>106085</v>
      </c>
      <c r="M4604">
        <v>-209757</v>
      </c>
      <c r="N4604">
        <v>137131</v>
      </c>
      <c r="O4604" t="s">
        <v>4622</v>
      </c>
      <c r="P4604" s="9">
        <v>149543</v>
      </c>
      <c r="Q4604" s="9">
        <v>29407</v>
      </c>
      <c r="R4604" s="9">
        <v>178950</v>
      </c>
      <c r="S4604" s="9">
        <v>-52953</v>
      </c>
      <c r="T4604" s="10">
        <v>84046</v>
      </c>
      <c r="U4604" s="10">
        <v>1323</v>
      </c>
    </row>
    <row r="4605" spans="1:21" x14ac:dyDescent="0.35">
      <c r="A4605" t="s">
        <v>15</v>
      </c>
      <c r="B4605" t="s">
        <v>16</v>
      </c>
      <c r="C4605" t="s">
        <v>17</v>
      </c>
      <c r="D4605">
        <v>198954</v>
      </c>
      <c r="E4605">
        <v>11631</v>
      </c>
      <c r="F4605">
        <v>20982</v>
      </c>
      <c r="G4605">
        <v>-162169</v>
      </c>
      <c r="H4605">
        <v>69398</v>
      </c>
      <c r="I4605">
        <v>69976</v>
      </c>
      <c r="J4605">
        <v>1855</v>
      </c>
      <c r="K4605">
        <v>788709</v>
      </c>
      <c r="L4605">
        <v>382701</v>
      </c>
      <c r="M4605">
        <v>-246859</v>
      </c>
      <c r="N4605">
        <v>84159</v>
      </c>
      <c r="O4605" t="s">
        <v>4623</v>
      </c>
      <c r="P4605" s="9">
        <v>256653</v>
      </c>
      <c r="Q4605" s="9">
        <v>14299</v>
      </c>
      <c r="R4605" s="9">
        <v>270952</v>
      </c>
      <c r="S4605" s="9">
        <v>-121858</v>
      </c>
      <c r="T4605" s="10">
        <v>89844</v>
      </c>
      <c r="U4605" s="10">
        <v>2535</v>
      </c>
    </row>
    <row r="4606" spans="1:21" x14ac:dyDescent="0.35">
      <c r="A4606" t="s">
        <v>15</v>
      </c>
      <c r="B4606" t="s">
        <v>16</v>
      </c>
      <c r="C4606" t="s">
        <v>17</v>
      </c>
      <c r="D4606">
        <v>174286</v>
      </c>
      <c r="E4606">
        <v>15191</v>
      </c>
      <c r="F4606">
        <v>40276</v>
      </c>
      <c r="G4606">
        <v>-171826</v>
      </c>
      <c r="H4606">
        <v>57927</v>
      </c>
      <c r="I4606">
        <v>53002</v>
      </c>
      <c r="J4606">
        <v>1095</v>
      </c>
      <c r="K4606">
        <v>603540</v>
      </c>
      <c r="L4606">
        <v>210150</v>
      </c>
      <c r="M4606">
        <v>-155028</v>
      </c>
      <c r="N4606">
        <v>146730</v>
      </c>
      <c r="O4606" t="s">
        <v>4624</v>
      </c>
      <c r="P4606" s="9">
        <v>226311</v>
      </c>
      <c r="Q4606" s="9">
        <v>40517</v>
      </c>
      <c r="R4606" s="9">
        <v>266828</v>
      </c>
      <c r="S4606" s="9">
        <v>-116055</v>
      </c>
      <c r="T4606" s="10">
        <v>91710</v>
      </c>
      <c r="U4606" s="10">
        <v>2487</v>
      </c>
    </row>
    <row r="4607" spans="1:21" x14ac:dyDescent="0.35">
      <c r="A4607" t="s">
        <v>15</v>
      </c>
      <c r="B4607" t="s">
        <v>20</v>
      </c>
      <c r="C4607" t="s">
        <v>21</v>
      </c>
      <c r="D4607">
        <v>299618</v>
      </c>
      <c r="E4607">
        <v>57778</v>
      </c>
      <c r="F4607">
        <v>38282</v>
      </c>
      <c r="G4607">
        <v>-258130</v>
      </c>
      <c r="H4607">
        <v>137548</v>
      </c>
      <c r="I4607">
        <v>125732</v>
      </c>
      <c r="J4607">
        <v>3164</v>
      </c>
      <c r="K4607">
        <v>939454</v>
      </c>
      <c r="L4607">
        <v>362143</v>
      </c>
      <c r="M4607">
        <v>-265573</v>
      </c>
      <c r="N4607">
        <v>174789</v>
      </c>
      <c r="O4607" t="s">
        <v>4625</v>
      </c>
      <c r="P4607" s="9">
        <v>214834</v>
      </c>
      <c r="Q4607" s="9">
        <v>17899</v>
      </c>
      <c r="R4607" s="9">
        <v>232733</v>
      </c>
      <c r="S4607" s="9">
        <v>-65871</v>
      </c>
      <c r="T4607" s="10">
        <v>82758</v>
      </c>
      <c r="U4607" s="10">
        <v>1604</v>
      </c>
    </row>
    <row r="4608" spans="1:21" x14ac:dyDescent="0.35">
      <c r="A4608" t="s">
        <v>15</v>
      </c>
      <c r="B4608" t="s">
        <v>16</v>
      </c>
      <c r="C4608" t="s">
        <v>21</v>
      </c>
      <c r="D4608">
        <v>290259</v>
      </c>
      <c r="E4608">
        <v>42184</v>
      </c>
      <c r="F4608">
        <v>49733</v>
      </c>
      <c r="G4608">
        <v>-285327</v>
      </c>
      <c r="H4608">
        <v>96849</v>
      </c>
      <c r="I4608">
        <v>90791</v>
      </c>
      <c r="J4608">
        <v>1876</v>
      </c>
      <c r="K4608">
        <v>864965</v>
      </c>
      <c r="L4608">
        <v>180629</v>
      </c>
      <c r="M4608">
        <v>-101796</v>
      </c>
      <c r="N4608">
        <v>216002</v>
      </c>
      <c r="O4608" t="s">
        <v>4626</v>
      </c>
      <c r="P4608" s="9">
        <v>188748</v>
      </c>
      <c r="Q4608" s="9">
        <v>34211</v>
      </c>
      <c r="R4608" s="9">
        <v>222959</v>
      </c>
      <c r="S4608" s="9">
        <v>-47954</v>
      </c>
      <c r="T4608" s="10">
        <v>82748</v>
      </c>
      <c r="U4608" s="10">
        <v>2272</v>
      </c>
    </row>
    <row r="4609" spans="1:21" x14ac:dyDescent="0.35">
      <c r="A4609" t="s">
        <v>15</v>
      </c>
      <c r="B4609" t="s">
        <v>16</v>
      </c>
      <c r="C4609" t="s">
        <v>21</v>
      </c>
      <c r="D4609">
        <v>298360</v>
      </c>
      <c r="E4609">
        <v>55504</v>
      </c>
      <c r="F4609">
        <v>50173</v>
      </c>
      <c r="G4609">
        <v>-245973</v>
      </c>
      <c r="H4609">
        <v>158064</v>
      </c>
      <c r="I4609">
        <v>147565</v>
      </c>
      <c r="J4609">
        <v>3118</v>
      </c>
      <c r="K4609">
        <v>750808</v>
      </c>
      <c r="L4609">
        <v>207283</v>
      </c>
      <c r="M4609">
        <v>-120872</v>
      </c>
      <c r="N4609">
        <v>255053</v>
      </c>
      <c r="O4609" t="s">
        <v>4627</v>
      </c>
      <c r="P4609" s="9">
        <v>313074</v>
      </c>
      <c r="Q4609" s="9">
        <v>45122</v>
      </c>
      <c r="R4609" s="9">
        <v>358196</v>
      </c>
      <c r="S4609" s="9">
        <v>-210415</v>
      </c>
      <c r="T4609" s="10">
        <v>131251</v>
      </c>
      <c r="U4609" s="10">
        <v>2104</v>
      </c>
    </row>
    <row r="4610" spans="1:21" x14ac:dyDescent="0.35">
      <c r="A4610" t="s">
        <v>15</v>
      </c>
      <c r="B4610" t="s">
        <v>16</v>
      </c>
      <c r="C4610" t="s">
        <v>17</v>
      </c>
      <c r="D4610">
        <v>256971</v>
      </c>
      <c r="E4610">
        <v>30868</v>
      </c>
      <c r="F4610">
        <v>63384</v>
      </c>
      <c r="G4610">
        <v>-212697</v>
      </c>
      <c r="H4610">
        <v>138526</v>
      </c>
      <c r="I4610">
        <v>125863</v>
      </c>
      <c r="J4610">
        <v>1390</v>
      </c>
      <c r="K4610">
        <v>603636</v>
      </c>
      <c r="L4610">
        <v>212742</v>
      </c>
      <c r="M4610">
        <v>-235434</v>
      </c>
      <c r="N4610">
        <v>118948</v>
      </c>
      <c r="O4610" t="s">
        <v>4628</v>
      </c>
      <c r="P4610" s="9">
        <v>293417</v>
      </c>
      <c r="Q4610" s="9">
        <v>46624</v>
      </c>
      <c r="R4610" s="9">
        <v>340041</v>
      </c>
      <c r="S4610" s="9">
        <v>-154682</v>
      </c>
      <c r="T4610" s="10">
        <v>176869</v>
      </c>
      <c r="U4610" s="10">
        <v>2451</v>
      </c>
    </row>
    <row r="4611" spans="1:21" x14ac:dyDescent="0.35">
      <c r="A4611" t="s">
        <v>15</v>
      </c>
      <c r="B4611" t="s">
        <v>20</v>
      </c>
      <c r="C4611" t="s">
        <v>21</v>
      </c>
      <c r="D4611">
        <v>276255</v>
      </c>
      <c r="E4611">
        <v>30500</v>
      </c>
      <c r="F4611">
        <v>61377</v>
      </c>
      <c r="G4611">
        <v>-273303</v>
      </c>
      <c r="H4611">
        <v>94829</v>
      </c>
      <c r="I4611">
        <v>86137</v>
      </c>
      <c r="J4611">
        <v>2281</v>
      </c>
      <c r="K4611">
        <v>1078792</v>
      </c>
      <c r="L4611">
        <v>277010</v>
      </c>
      <c r="M4611">
        <v>-346666</v>
      </c>
      <c r="N4611">
        <v>132577</v>
      </c>
      <c r="O4611" t="s">
        <v>4629</v>
      </c>
      <c r="P4611" s="9">
        <v>210687</v>
      </c>
      <c r="Q4611" s="9">
        <v>25689</v>
      </c>
      <c r="R4611" s="9">
        <v>236376</v>
      </c>
      <c r="S4611" s="9">
        <v>-51711</v>
      </c>
      <c r="T4611" s="10">
        <v>77773</v>
      </c>
      <c r="U4611" s="10">
        <v>1777</v>
      </c>
    </row>
    <row r="4612" spans="1:21" x14ac:dyDescent="0.35">
      <c r="A4612" t="s">
        <v>15</v>
      </c>
      <c r="B4612" t="s">
        <v>20</v>
      </c>
      <c r="C4612" t="s">
        <v>17</v>
      </c>
      <c r="D4612">
        <v>215188</v>
      </c>
      <c r="E4612">
        <v>24080</v>
      </c>
      <c r="F4612">
        <v>46781</v>
      </c>
      <c r="G4612">
        <v>-207440</v>
      </c>
      <c r="H4612">
        <v>78609</v>
      </c>
      <c r="I4612">
        <v>71116</v>
      </c>
      <c r="J4612">
        <v>1739</v>
      </c>
      <c r="K4612">
        <v>502323</v>
      </c>
      <c r="L4612">
        <v>68521</v>
      </c>
      <c r="M4612">
        <v>-163843</v>
      </c>
      <c r="N4612">
        <v>86719</v>
      </c>
      <c r="O4612" t="s">
        <v>4630</v>
      </c>
      <c r="P4612" s="9">
        <v>296755</v>
      </c>
      <c r="Q4612" s="9">
        <v>46006</v>
      </c>
      <c r="R4612" s="9">
        <v>342761</v>
      </c>
      <c r="S4612" s="9">
        <v>-164273</v>
      </c>
      <c r="T4612" s="10">
        <v>102224</v>
      </c>
      <c r="U4612" s="10">
        <v>2034</v>
      </c>
    </row>
    <row r="4613" spans="1:21" x14ac:dyDescent="0.35">
      <c r="A4613" t="s">
        <v>15</v>
      </c>
      <c r="B4613" t="s">
        <v>20</v>
      </c>
      <c r="C4613" t="s">
        <v>17</v>
      </c>
      <c r="D4613">
        <v>158764</v>
      </c>
      <c r="E4613">
        <v>12968</v>
      </c>
      <c r="F4613">
        <v>19445</v>
      </c>
      <c r="G4613">
        <v>-142155</v>
      </c>
      <c r="H4613">
        <v>49022</v>
      </c>
      <c r="I4613">
        <v>47664</v>
      </c>
      <c r="J4613">
        <v>1361</v>
      </c>
      <c r="K4613">
        <v>405657</v>
      </c>
      <c r="L4613">
        <v>87914</v>
      </c>
      <c r="M4613">
        <v>-153231</v>
      </c>
      <c r="N4613">
        <v>89579</v>
      </c>
      <c r="O4613" t="s">
        <v>4631</v>
      </c>
      <c r="P4613" s="9">
        <v>161213</v>
      </c>
      <c r="Q4613" s="9">
        <v>11517</v>
      </c>
      <c r="R4613" s="9">
        <v>172730</v>
      </c>
      <c r="S4613" s="9">
        <v>-78221</v>
      </c>
      <c r="T4613" s="10">
        <v>44164</v>
      </c>
      <c r="U4613" s="10">
        <v>842</v>
      </c>
    </row>
    <row r="4614" spans="1:21" x14ac:dyDescent="0.35">
      <c r="A4614" t="s">
        <v>15</v>
      </c>
      <c r="B4614" t="s">
        <v>20</v>
      </c>
      <c r="C4614" t="s">
        <v>21</v>
      </c>
      <c r="D4614">
        <v>239503</v>
      </c>
      <c r="E4614">
        <v>29202</v>
      </c>
      <c r="F4614">
        <v>55675</v>
      </c>
      <c r="G4614">
        <v>-203999</v>
      </c>
      <c r="H4614">
        <v>120381</v>
      </c>
      <c r="I4614">
        <v>108765</v>
      </c>
      <c r="J4614">
        <v>2139</v>
      </c>
      <c r="K4614">
        <v>711938</v>
      </c>
      <c r="L4614">
        <v>301237</v>
      </c>
      <c r="M4614">
        <v>-236582</v>
      </c>
      <c r="N4614">
        <v>214102</v>
      </c>
      <c r="O4614" t="s">
        <v>4632</v>
      </c>
      <c r="P4614" s="9">
        <v>215692</v>
      </c>
      <c r="Q4614" s="9">
        <v>13071</v>
      </c>
      <c r="R4614" s="9">
        <v>228763</v>
      </c>
      <c r="S4614" s="9">
        <v>-123930</v>
      </c>
      <c r="T4614" s="10">
        <v>81134</v>
      </c>
      <c r="U4614" s="10">
        <v>1532</v>
      </c>
    </row>
    <row r="4615" spans="1:21" x14ac:dyDescent="0.35">
      <c r="A4615" t="s">
        <v>15</v>
      </c>
      <c r="B4615" t="s">
        <v>16</v>
      </c>
      <c r="C4615" t="s">
        <v>21</v>
      </c>
      <c r="D4615">
        <v>264053</v>
      </c>
      <c r="E4615">
        <v>45422</v>
      </c>
      <c r="F4615">
        <v>36880</v>
      </c>
      <c r="G4615">
        <v>-245825</v>
      </c>
      <c r="H4615">
        <v>100530</v>
      </c>
      <c r="I4615">
        <v>99823</v>
      </c>
      <c r="J4615">
        <v>1975</v>
      </c>
      <c r="K4615">
        <v>873627</v>
      </c>
      <c r="L4615">
        <v>184726</v>
      </c>
      <c r="M4615">
        <v>-196109</v>
      </c>
      <c r="N4615">
        <v>229698</v>
      </c>
      <c r="O4615" t="s">
        <v>4633</v>
      </c>
      <c r="P4615" s="9">
        <v>314553</v>
      </c>
      <c r="Q4615" s="9">
        <v>19022</v>
      </c>
      <c r="R4615" s="9">
        <v>333575</v>
      </c>
      <c r="S4615" s="9">
        <v>-196147</v>
      </c>
      <c r="T4615" s="10">
        <v>99098</v>
      </c>
      <c r="U4615" s="10">
        <v>2384</v>
      </c>
    </row>
    <row r="4616" spans="1:21" x14ac:dyDescent="0.35">
      <c r="A4616" t="s">
        <v>15</v>
      </c>
      <c r="B4616" t="s">
        <v>20</v>
      </c>
      <c r="C4616" t="s">
        <v>17</v>
      </c>
      <c r="D4616">
        <v>274211</v>
      </c>
      <c r="E4616">
        <v>40298</v>
      </c>
      <c r="F4616">
        <v>51006</v>
      </c>
      <c r="G4616">
        <v>-271502</v>
      </c>
      <c r="H4616">
        <v>94013</v>
      </c>
      <c r="I4616">
        <v>94430</v>
      </c>
      <c r="J4616">
        <v>1677</v>
      </c>
      <c r="K4616">
        <v>984066</v>
      </c>
      <c r="L4616">
        <v>343828</v>
      </c>
      <c r="M4616">
        <v>-290025</v>
      </c>
      <c r="N4616">
        <v>109204</v>
      </c>
      <c r="O4616" t="s">
        <v>4634</v>
      </c>
      <c r="P4616" s="9">
        <v>205283</v>
      </c>
      <c r="Q4616" s="9">
        <v>27796</v>
      </c>
      <c r="R4616" s="9">
        <v>233079</v>
      </c>
      <c r="S4616" s="9">
        <v>-91522</v>
      </c>
      <c r="T4616" s="10">
        <v>64438</v>
      </c>
      <c r="U4616" s="10">
        <v>1097</v>
      </c>
    </row>
    <row r="4617" spans="1:21" x14ac:dyDescent="0.35">
      <c r="A4617" t="s">
        <v>15</v>
      </c>
      <c r="B4617" t="s">
        <v>16</v>
      </c>
      <c r="C4617" t="s">
        <v>21</v>
      </c>
      <c r="D4617">
        <v>248025</v>
      </c>
      <c r="E4617">
        <v>16064</v>
      </c>
      <c r="F4617">
        <v>35263</v>
      </c>
      <c r="G4617">
        <v>-239997</v>
      </c>
      <c r="H4617">
        <v>59355</v>
      </c>
      <c r="I4617">
        <v>55410</v>
      </c>
      <c r="J4617">
        <v>975</v>
      </c>
      <c r="K4617">
        <v>507518</v>
      </c>
      <c r="L4617">
        <v>202170</v>
      </c>
      <c r="M4617">
        <v>-180814</v>
      </c>
      <c r="N4617">
        <v>76219</v>
      </c>
      <c r="O4617" t="s">
        <v>4635</v>
      </c>
      <c r="P4617" s="9">
        <v>176482</v>
      </c>
      <c r="Q4617" s="9">
        <v>27918</v>
      </c>
      <c r="R4617" s="9">
        <v>204400</v>
      </c>
      <c r="S4617" s="9">
        <v>-111845</v>
      </c>
      <c r="T4617" s="10">
        <v>91046</v>
      </c>
      <c r="U4617" s="10">
        <v>1791</v>
      </c>
    </row>
    <row r="4618" spans="1:21" x14ac:dyDescent="0.35">
      <c r="A4618" t="s">
        <v>15</v>
      </c>
      <c r="B4618" t="s">
        <v>16</v>
      </c>
      <c r="C4618" t="s">
        <v>21</v>
      </c>
      <c r="D4618">
        <v>264832</v>
      </c>
      <c r="E4618">
        <v>32878</v>
      </c>
      <c r="F4618">
        <v>43131</v>
      </c>
      <c r="G4618">
        <v>-250913</v>
      </c>
      <c r="H4618">
        <v>89928</v>
      </c>
      <c r="I4618">
        <v>90161</v>
      </c>
      <c r="J4618">
        <v>2356</v>
      </c>
      <c r="K4618">
        <v>925980</v>
      </c>
      <c r="L4618">
        <v>200214</v>
      </c>
      <c r="M4618">
        <v>-359344</v>
      </c>
      <c r="N4618">
        <v>116145</v>
      </c>
      <c r="O4618" t="s">
        <v>4636</v>
      </c>
      <c r="P4618" s="9">
        <v>181734</v>
      </c>
      <c r="Q4618" s="9">
        <v>16779</v>
      </c>
      <c r="R4618" s="9">
        <v>198513</v>
      </c>
      <c r="S4618" s="9">
        <v>-45892</v>
      </c>
      <c r="T4618" s="10">
        <v>56867</v>
      </c>
      <c r="U4618" s="10">
        <v>1404</v>
      </c>
    </row>
    <row r="4619" spans="1:21" x14ac:dyDescent="0.35">
      <c r="A4619" t="s">
        <v>15</v>
      </c>
      <c r="B4619" t="s">
        <v>20</v>
      </c>
      <c r="C4619" t="s">
        <v>21</v>
      </c>
      <c r="D4619">
        <v>218791</v>
      </c>
      <c r="E4619">
        <v>36977</v>
      </c>
      <c r="F4619">
        <v>47461</v>
      </c>
      <c r="G4619">
        <v>-191282</v>
      </c>
      <c r="H4619">
        <v>111947</v>
      </c>
      <c r="I4619">
        <v>105476</v>
      </c>
      <c r="J4619">
        <v>2308</v>
      </c>
      <c r="K4619">
        <v>874116</v>
      </c>
      <c r="L4619">
        <v>178334</v>
      </c>
      <c r="M4619">
        <v>-245346</v>
      </c>
      <c r="N4619">
        <v>168615</v>
      </c>
      <c r="O4619" t="s">
        <v>4637</v>
      </c>
      <c r="P4619" s="9">
        <v>157486</v>
      </c>
      <c r="Q4619" s="9">
        <v>9412</v>
      </c>
      <c r="R4619" s="9">
        <v>166898</v>
      </c>
      <c r="S4619" s="9">
        <v>-99222</v>
      </c>
      <c r="T4619" s="10">
        <v>49500</v>
      </c>
      <c r="U4619" s="10">
        <v>967</v>
      </c>
    </row>
    <row r="4620" spans="1:21" x14ac:dyDescent="0.35">
      <c r="A4620" t="s">
        <v>15</v>
      </c>
      <c r="B4620" t="s">
        <v>20</v>
      </c>
      <c r="C4620" t="s">
        <v>21</v>
      </c>
      <c r="D4620">
        <v>195552</v>
      </c>
      <c r="E4620">
        <v>24817</v>
      </c>
      <c r="F4620">
        <v>41270</v>
      </c>
      <c r="G4620">
        <v>-160499</v>
      </c>
      <c r="H4620">
        <v>101140</v>
      </c>
      <c r="I4620">
        <v>92024</v>
      </c>
      <c r="J4620">
        <v>2189</v>
      </c>
      <c r="K4620">
        <v>698276</v>
      </c>
      <c r="L4620">
        <v>76799</v>
      </c>
      <c r="M4620">
        <v>-243031</v>
      </c>
      <c r="N4620">
        <v>175916</v>
      </c>
      <c r="O4620" t="s">
        <v>4638</v>
      </c>
      <c r="P4620" s="9">
        <v>255196</v>
      </c>
      <c r="Q4620" s="9">
        <v>49188</v>
      </c>
      <c r="R4620" s="9">
        <v>304384</v>
      </c>
      <c r="S4620" s="9">
        <v>-90051</v>
      </c>
      <c r="T4620" s="10">
        <v>93530</v>
      </c>
      <c r="U4620" s="10">
        <v>2802</v>
      </c>
    </row>
    <row r="4621" spans="1:21" x14ac:dyDescent="0.35">
      <c r="A4621" t="s">
        <v>15</v>
      </c>
      <c r="B4621" t="s">
        <v>20</v>
      </c>
      <c r="C4621" t="s">
        <v>21</v>
      </c>
      <c r="D4621">
        <v>196662</v>
      </c>
      <c r="E4621">
        <v>12912</v>
      </c>
      <c r="F4621">
        <v>40256</v>
      </c>
      <c r="G4621">
        <v>-185633</v>
      </c>
      <c r="H4621">
        <v>64197</v>
      </c>
      <c r="I4621">
        <v>62605</v>
      </c>
      <c r="J4621">
        <v>1285</v>
      </c>
      <c r="K4621">
        <v>495751</v>
      </c>
      <c r="L4621">
        <v>241019</v>
      </c>
      <c r="M4621">
        <v>-86541</v>
      </c>
      <c r="N4621">
        <v>126759</v>
      </c>
      <c r="O4621" t="s">
        <v>4639</v>
      </c>
      <c r="P4621" s="9">
        <v>181108</v>
      </c>
      <c r="Q4621" s="9">
        <v>35680</v>
      </c>
      <c r="R4621" s="9">
        <v>216788</v>
      </c>
      <c r="S4621" s="9">
        <v>-116927</v>
      </c>
      <c r="T4621" s="10">
        <v>91679</v>
      </c>
      <c r="U4621" s="10">
        <v>2474</v>
      </c>
    </row>
    <row r="4622" spans="1:21" x14ac:dyDescent="0.35">
      <c r="A4622" t="s">
        <v>15</v>
      </c>
      <c r="B4622" t="s">
        <v>16</v>
      </c>
      <c r="C4622" t="s">
        <v>21</v>
      </c>
      <c r="D4622">
        <v>231706</v>
      </c>
      <c r="E4622">
        <v>41157</v>
      </c>
      <c r="F4622">
        <v>25834</v>
      </c>
      <c r="G4622">
        <v>-195656</v>
      </c>
      <c r="H4622">
        <v>103041</v>
      </c>
      <c r="I4622">
        <v>105749</v>
      </c>
      <c r="J4622">
        <v>3113</v>
      </c>
      <c r="K4622">
        <v>719334</v>
      </c>
      <c r="L4622">
        <v>218710</v>
      </c>
      <c r="M4622">
        <v>-120841</v>
      </c>
      <c r="N4622">
        <v>157318</v>
      </c>
      <c r="O4622" t="s">
        <v>4640</v>
      </c>
      <c r="P4622" s="9">
        <v>193752</v>
      </c>
      <c r="Q4622" s="9">
        <v>29539</v>
      </c>
      <c r="R4622" s="9">
        <v>223291</v>
      </c>
      <c r="S4622" s="9">
        <v>-61988</v>
      </c>
      <c r="T4622" s="10">
        <v>114783</v>
      </c>
      <c r="U4622" s="10">
        <v>1661</v>
      </c>
    </row>
    <row r="4623" spans="1:21" x14ac:dyDescent="0.35">
      <c r="A4623" t="s">
        <v>15</v>
      </c>
      <c r="B4623" t="s">
        <v>20</v>
      </c>
      <c r="C4623" t="s">
        <v>21</v>
      </c>
      <c r="D4623">
        <v>156859</v>
      </c>
      <c r="E4623">
        <v>22800</v>
      </c>
      <c r="F4623">
        <v>26610</v>
      </c>
      <c r="G4623">
        <v>-150511</v>
      </c>
      <c r="H4623">
        <v>55758</v>
      </c>
      <c r="I4623">
        <v>54146</v>
      </c>
      <c r="J4623">
        <v>626</v>
      </c>
      <c r="K4623">
        <v>375913</v>
      </c>
      <c r="L4623">
        <v>158535</v>
      </c>
      <c r="M4623">
        <v>-92573</v>
      </c>
      <c r="N4623">
        <v>108625</v>
      </c>
      <c r="O4623" t="s">
        <v>4641</v>
      </c>
      <c r="P4623" s="9">
        <v>286346</v>
      </c>
      <c r="Q4623" s="9">
        <v>58891</v>
      </c>
      <c r="R4623" s="9">
        <v>345237</v>
      </c>
      <c r="S4623" s="9">
        <v>-142467</v>
      </c>
      <c r="T4623" s="10">
        <v>96167</v>
      </c>
      <c r="U4623" s="10">
        <v>2449</v>
      </c>
    </row>
    <row r="4624" spans="1:21" x14ac:dyDescent="0.35">
      <c r="A4624" t="s">
        <v>15</v>
      </c>
      <c r="B4624" t="s">
        <v>20</v>
      </c>
      <c r="C4624" t="s">
        <v>21</v>
      </c>
      <c r="D4624">
        <v>194602</v>
      </c>
      <c r="E4624">
        <v>14645</v>
      </c>
      <c r="F4624">
        <v>42425</v>
      </c>
      <c r="G4624">
        <v>-167133</v>
      </c>
      <c r="H4624">
        <v>84539</v>
      </c>
      <c r="I4624">
        <v>77492</v>
      </c>
      <c r="J4624">
        <v>1765</v>
      </c>
      <c r="K4624">
        <v>506306</v>
      </c>
      <c r="L4624">
        <v>136127</v>
      </c>
      <c r="M4624">
        <v>-155699</v>
      </c>
      <c r="N4624">
        <v>146551</v>
      </c>
      <c r="O4624" t="s">
        <v>4642</v>
      </c>
      <c r="P4624" s="9">
        <v>235977</v>
      </c>
      <c r="Q4624" s="9">
        <v>30905</v>
      </c>
      <c r="R4624" s="9">
        <v>266882</v>
      </c>
      <c r="S4624" s="9">
        <v>-117495</v>
      </c>
      <c r="T4624" s="10">
        <v>67862</v>
      </c>
      <c r="U4624" s="10">
        <v>1163</v>
      </c>
    </row>
    <row r="4625" spans="1:21" x14ac:dyDescent="0.35">
      <c r="A4625" t="s">
        <v>15</v>
      </c>
      <c r="B4625" t="s">
        <v>16</v>
      </c>
      <c r="C4625" t="s">
        <v>21</v>
      </c>
      <c r="D4625">
        <v>289072</v>
      </c>
      <c r="E4625">
        <v>33194</v>
      </c>
      <c r="F4625">
        <v>30925</v>
      </c>
      <c r="G4625">
        <v>-282726</v>
      </c>
      <c r="H4625">
        <v>70465</v>
      </c>
      <c r="I4625">
        <v>70324</v>
      </c>
      <c r="J4625">
        <v>1281</v>
      </c>
      <c r="K4625">
        <v>1134338</v>
      </c>
      <c r="L4625">
        <v>338425</v>
      </c>
      <c r="M4625">
        <v>-304487</v>
      </c>
      <c r="N4625">
        <v>122873</v>
      </c>
      <c r="O4625" t="s">
        <v>4643</v>
      </c>
      <c r="P4625" s="9">
        <v>180076</v>
      </c>
      <c r="Q4625" s="9">
        <v>11955</v>
      </c>
      <c r="R4625" s="9">
        <v>192031</v>
      </c>
      <c r="S4625" s="9">
        <v>-92723</v>
      </c>
      <c r="T4625" s="10">
        <v>69580</v>
      </c>
      <c r="U4625" s="10">
        <v>1920</v>
      </c>
    </row>
    <row r="4626" spans="1:21" x14ac:dyDescent="0.35">
      <c r="A4626" t="s">
        <v>15</v>
      </c>
      <c r="B4626" t="s">
        <v>16</v>
      </c>
      <c r="C4626" t="s">
        <v>17</v>
      </c>
      <c r="D4626">
        <v>166723</v>
      </c>
      <c r="E4626">
        <v>26466</v>
      </c>
      <c r="F4626">
        <v>37126</v>
      </c>
      <c r="G4626">
        <v>-139030</v>
      </c>
      <c r="H4626">
        <v>91285</v>
      </c>
      <c r="I4626">
        <v>88484</v>
      </c>
      <c r="J4626">
        <v>1183</v>
      </c>
      <c r="K4626">
        <v>578630</v>
      </c>
      <c r="L4626">
        <v>92931</v>
      </c>
      <c r="M4626">
        <v>-102498</v>
      </c>
      <c r="N4626">
        <v>98938</v>
      </c>
      <c r="O4626" t="s">
        <v>4644</v>
      </c>
      <c r="P4626" s="9">
        <v>226315</v>
      </c>
      <c r="Q4626" s="9">
        <v>46949</v>
      </c>
      <c r="R4626" s="9">
        <v>273264</v>
      </c>
      <c r="S4626" s="9">
        <v>-150822</v>
      </c>
      <c r="T4626" s="10">
        <v>145279</v>
      </c>
      <c r="U4626" s="10">
        <v>2665</v>
      </c>
    </row>
    <row r="4627" spans="1:21" x14ac:dyDescent="0.35">
      <c r="A4627" t="s">
        <v>15</v>
      </c>
      <c r="B4627" t="s">
        <v>20</v>
      </c>
      <c r="C4627" t="s">
        <v>21</v>
      </c>
      <c r="D4627">
        <v>258111</v>
      </c>
      <c r="E4627">
        <v>40362</v>
      </c>
      <c r="F4627">
        <v>60088</v>
      </c>
      <c r="G4627">
        <v>-253994</v>
      </c>
      <c r="H4627">
        <v>104567</v>
      </c>
      <c r="I4627">
        <v>106768</v>
      </c>
      <c r="J4627">
        <v>1372</v>
      </c>
      <c r="K4627">
        <v>726008</v>
      </c>
      <c r="L4627">
        <v>184590</v>
      </c>
      <c r="M4627">
        <v>-112442</v>
      </c>
      <c r="N4627">
        <v>188084</v>
      </c>
      <c r="O4627" t="s">
        <v>4645</v>
      </c>
      <c r="P4627" s="9">
        <v>277521</v>
      </c>
      <c r="Q4627" s="9">
        <v>23187</v>
      </c>
      <c r="R4627" s="9">
        <v>300708</v>
      </c>
      <c r="S4627" s="9">
        <v>-83400</v>
      </c>
      <c r="T4627" s="10">
        <v>88851</v>
      </c>
      <c r="U4627" s="10">
        <v>2054</v>
      </c>
    </row>
    <row r="4628" spans="1:21" x14ac:dyDescent="0.35">
      <c r="A4628" t="s">
        <v>15</v>
      </c>
      <c r="B4628" t="s">
        <v>20</v>
      </c>
      <c r="C4628" t="s">
        <v>21</v>
      </c>
      <c r="D4628">
        <v>252430</v>
      </c>
      <c r="E4628">
        <v>41098</v>
      </c>
      <c r="F4628">
        <v>40945</v>
      </c>
      <c r="G4628">
        <v>-241540</v>
      </c>
      <c r="H4628">
        <v>92933</v>
      </c>
      <c r="I4628">
        <v>96948</v>
      </c>
      <c r="J4628">
        <v>2207</v>
      </c>
      <c r="K4628">
        <v>958715</v>
      </c>
      <c r="L4628">
        <v>448046</v>
      </c>
      <c r="M4628">
        <v>-369444</v>
      </c>
      <c r="N4628">
        <v>162912</v>
      </c>
      <c r="O4628" t="s">
        <v>4646</v>
      </c>
      <c r="P4628" s="9">
        <v>221150</v>
      </c>
      <c r="Q4628" s="9">
        <v>14874</v>
      </c>
      <c r="R4628" s="9">
        <v>236024</v>
      </c>
      <c r="S4628" s="9">
        <v>-122737</v>
      </c>
      <c r="T4628" s="10">
        <v>45081</v>
      </c>
      <c r="U4628" s="10">
        <v>791</v>
      </c>
    </row>
    <row r="4629" spans="1:21" x14ac:dyDescent="0.35">
      <c r="A4629" t="s">
        <v>15</v>
      </c>
      <c r="B4629" t="s">
        <v>16</v>
      </c>
      <c r="C4629" t="s">
        <v>21</v>
      </c>
      <c r="D4629">
        <v>248233</v>
      </c>
      <c r="E4629">
        <v>30381</v>
      </c>
      <c r="F4629">
        <v>30301</v>
      </c>
      <c r="G4629">
        <v>-230351</v>
      </c>
      <c r="H4629">
        <v>78564</v>
      </c>
      <c r="I4629">
        <v>75682</v>
      </c>
      <c r="J4629">
        <v>1801</v>
      </c>
      <c r="K4629">
        <v>780802</v>
      </c>
      <c r="L4629">
        <v>316201</v>
      </c>
      <c r="M4629">
        <v>-78859</v>
      </c>
      <c r="N4629">
        <v>89287</v>
      </c>
      <c r="O4629" t="s">
        <v>4647</v>
      </c>
      <c r="P4629" s="9">
        <v>157345</v>
      </c>
      <c r="Q4629" s="9">
        <v>23609</v>
      </c>
      <c r="R4629" s="9">
        <v>180954</v>
      </c>
      <c r="S4629" s="9">
        <v>-92111</v>
      </c>
      <c r="T4629" s="10">
        <v>57352</v>
      </c>
      <c r="U4629" s="10">
        <v>1506</v>
      </c>
    </row>
    <row r="4630" spans="1:21" x14ac:dyDescent="0.35">
      <c r="A4630" t="s">
        <v>15</v>
      </c>
      <c r="B4630" t="s">
        <v>16</v>
      </c>
      <c r="C4630" t="s">
        <v>21</v>
      </c>
      <c r="D4630">
        <v>209308</v>
      </c>
      <c r="E4630">
        <v>34098</v>
      </c>
      <c r="F4630">
        <v>47927</v>
      </c>
      <c r="G4630">
        <v>-174114</v>
      </c>
      <c r="H4630">
        <v>117219</v>
      </c>
      <c r="I4630">
        <v>115834</v>
      </c>
      <c r="J4630">
        <v>2104</v>
      </c>
      <c r="K4630">
        <v>823565</v>
      </c>
      <c r="L4630">
        <v>261726</v>
      </c>
      <c r="M4630">
        <v>-203074</v>
      </c>
      <c r="N4630">
        <v>156345</v>
      </c>
      <c r="O4630" t="s">
        <v>4648</v>
      </c>
      <c r="P4630" s="9">
        <v>251472</v>
      </c>
      <c r="Q4630" s="9">
        <v>27918</v>
      </c>
      <c r="R4630" s="9">
        <v>279390</v>
      </c>
      <c r="S4630" s="9">
        <v>-70228</v>
      </c>
      <c r="T4630" s="10">
        <v>89954</v>
      </c>
      <c r="U4630" s="10">
        <v>2300</v>
      </c>
    </row>
    <row r="4631" spans="1:21" x14ac:dyDescent="0.35">
      <c r="A4631" t="s">
        <v>15</v>
      </c>
      <c r="B4631" t="s">
        <v>16</v>
      </c>
      <c r="C4631" t="s">
        <v>21</v>
      </c>
      <c r="D4631">
        <v>214197</v>
      </c>
      <c r="E4631">
        <v>29235</v>
      </c>
      <c r="F4631">
        <v>39758</v>
      </c>
      <c r="G4631">
        <v>-182748</v>
      </c>
      <c r="H4631">
        <v>100442</v>
      </c>
      <c r="I4631">
        <v>94171</v>
      </c>
      <c r="J4631">
        <v>1344</v>
      </c>
      <c r="K4631">
        <v>727422</v>
      </c>
      <c r="L4631">
        <v>271661</v>
      </c>
      <c r="M4631">
        <v>-280637</v>
      </c>
      <c r="N4631">
        <v>155066</v>
      </c>
      <c r="O4631" t="s">
        <v>4649</v>
      </c>
      <c r="P4631" s="9">
        <v>177419</v>
      </c>
      <c r="Q4631" s="9">
        <v>14897</v>
      </c>
      <c r="R4631" s="9">
        <v>192316</v>
      </c>
      <c r="S4631" s="9">
        <v>-80492</v>
      </c>
      <c r="T4631" s="10">
        <v>77508</v>
      </c>
      <c r="U4631" s="10">
        <v>1327</v>
      </c>
    </row>
    <row r="4632" spans="1:21" x14ac:dyDescent="0.35">
      <c r="A4632" t="s">
        <v>15</v>
      </c>
      <c r="B4632" t="s">
        <v>16</v>
      </c>
      <c r="C4632" t="s">
        <v>21</v>
      </c>
      <c r="D4632">
        <v>192339</v>
      </c>
      <c r="E4632">
        <v>19794</v>
      </c>
      <c r="F4632">
        <v>28974</v>
      </c>
      <c r="G4632">
        <v>-178861</v>
      </c>
      <c r="H4632">
        <v>62246</v>
      </c>
      <c r="I4632">
        <v>63129</v>
      </c>
      <c r="J4632">
        <v>1765</v>
      </c>
      <c r="K4632">
        <v>735352</v>
      </c>
      <c r="L4632">
        <v>298540</v>
      </c>
      <c r="M4632">
        <v>-186776</v>
      </c>
      <c r="N4632">
        <v>148172</v>
      </c>
      <c r="O4632" t="s">
        <v>4650</v>
      </c>
      <c r="P4632" s="9">
        <v>145439</v>
      </c>
      <c r="Q4632" s="9">
        <v>24289</v>
      </c>
      <c r="R4632" s="9">
        <v>169728</v>
      </c>
      <c r="S4632" s="9">
        <v>-59764</v>
      </c>
      <c r="T4632" s="10">
        <v>58674</v>
      </c>
      <c r="U4632" s="10">
        <v>1081</v>
      </c>
    </row>
    <row r="4633" spans="1:21" x14ac:dyDescent="0.35">
      <c r="A4633" t="s">
        <v>15</v>
      </c>
      <c r="B4633" t="s">
        <v>16</v>
      </c>
      <c r="C4633" t="s">
        <v>17</v>
      </c>
      <c r="D4633">
        <v>253280</v>
      </c>
      <c r="E4633">
        <v>18483</v>
      </c>
      <c r="F4633">
        <v>58571</v>
      </c>
      <c r="G4633">
        <v>-206035</v>
      </c>
      <c r="H4633">
        <v>124299</v>
      </c>
      <c r="I4633">
        <v>112558</v>
      </c>
      <c r="J4633">
        <v>3262</v>
      </c>
      <c r="K4633">
        <v>688102</v>
      </c>
      <c r="L4633">
        <v>301233</v>
      </c>
      <c r="M4633">
        <v>-213803</v>
      </c>
      <c r="N4633">
        <v>188681</v>
      </c>
      <c r="O4633" t="s">
        <v>4651</v>
      </c>
      <c r="P4633" s="9">
        <v>180174</v>
      </c>
      <c r="Q4633" s="9">
        <v>31721</v>
      </c>
      <c r="R4633" s="9">
        <v>211895</v>
      </c>
      <c r="S4633" s="9">
        <v>-95294</v>
      </c>
      <c r="T4633" s="10">
        <v>69784</v>
      </c>
      <c r="U4633" s="10">
        <v>1538</v>
      </c>
    </row>
    <row r="4634" spans="1:21" x14ac:dyDescent="0.35">
      <c r="A4634" t="s">
        <v>15</v>
      </c>
      <c r="B4634" t="s">
        <v>20</v>
      </c>
      <c r="C4634" t="s">
        <v>21</v>
      </c>
      <c r="D4634">
        <v>191552</v>
      </c>
      <c r="E4634">
        <v>12524</v>
      </c>
      <c r="F4634">
        <v>46665</v>
      </c>
      <c r="G4634">
        <v>-173149</v>
      </c>
      <c r="H4634">
        <v>77592</v>
      </c>
      <c r="I4634">
        <v>70879</v>
      </c>
      <c r="J4634">
        <v>866</v>
      </c>
      <c r="K4634">
        <v>529027</v>
      </c>
      <c r="L4634">
        <v>256771</v>
      </c>
      <c r="M4634">
        <v>-196546</v>
      </c>
      <c r="N4634">
        <v>127459</v>
      </c>
      <c r="O4634" t="s">
        <v>4652</v>
      </c>
      <c r="P4634" s="9">
        <v>247665</v>
      </c>
      <c r="Q4634" s="9">
        <v>43875</v>
      </c>
      <c r="R4634" s="9">
        <v>291540</v>
      </c>
      <c r="S4634" s="9">
        <v>-108130</v>
      </c>
      <c r="T4634" s="10">
        <v>100397</v>
      </c>
      <c r="U4634" s="10">
        <v>2296</v>
      </c>
    </row>
    <row r="4635" spans="1:21" x14ac:dyDescent="0.35">
      <c r="A4635" t="s">
        <v>15</v>
      </c>
      <c r="B4635" t="s">
        <v>16</v>
      </c>
      <c r="C4635" t="s">
        <v>21</v>
      </c>
      <c r="D4635">
        <v>275838</v>
      </c>
      <c r="E4635">
        <v>37935</v>
      </c>
      <c r="F4635">
        <v>29131</v>
      </c>
      <c r="G4635">
        <v>-245230</v>
      </c>
      <c r="H4635">
        <v>97674</v>
      </c>
      <c r="I4635">
        <v>92329</v>
      </c>
      <c r="J4635">
        <v>2573</v>
      </c>
      <c r="K4635">
        <v>983418</v>
      </c>
      <c r="L4635">
        <v>280677</v>
      </c>
      <c r="M4635">
        <v>-209171</v>
      </c>
      <c r="N4635">
        <v>174067</v>
      </c>
      <c r="O4635" t="s">
        <v>4653</v>
      </c>
      <c r="P4635" s="9">
        <v>180852</v>
      </c>
      <c r="Q4635" s="9">
        <v>27795</v>
      </c>
      <c r="R4635" s="9">
        <v>208647</v>
      </c>
      <c r="S4635" s="9">
        <v>-42834</v>
      </c>
      <c r="T4635" s="10">
        <v>63666</v>
      </c>
      <c r="U4635" s="10">
        <v>1233</v>
      </c>
    </row>
    <row r="4636" spans="1:21" x14ac:dyDescent="0.35">
      <c r="A4636" t="s">
        <v>15</v>
      </c>
      <c r="B4636" t="s">
        <v>20</v>
      </c>
      <c r="C4636" t="s">
        <v>21</v>
      </c>
      <c r="D4636">
        <v>157432</v>
      </c>
      <c r="E4636">
        <v>24233</v>
      </c>
      <c r="F4636">
        <v>30336</v>
      </c>
      <c r="G4636">
        <v>-128638</v>
      </c>
      <c r="H4636">
        <v>83363</v>
      </c>
      <c r="I4636">
        <v>85174</v>
      </c>
      <c r="J4636">
        <v>1167</v>
      </c>
      <c r="K4636">
        <v>514032</v>
      </c>
      <c r="L4636">
        <v>213599</v>
      </c>
      <c r="M4636">
        <v>-87276</v>
      </c>
      <c r="N4636">
        <v>102304</v>
      </c>
      <c r="O4636" t="s">
        <v>4654</v>
      </c>
      <c r="P4636" s="9">
        <v>287331</v>
      </c>
      <c r="Q4636" s="9">
        <v>38891</v>
      </c>
      <c r="R4636" s="9">
        <v>326222</v>
      </c>
      <c r="S4636" s="9">
        <v>-134814</v>
      </c>
      <c r="T4636" s="10">
        <v>82438</v>
      </c>
      <c r="U4636" s="10">
        <v>2147</v>
      </c>
    </row>
    <row r="4637" spans="1:21" x14ac:dyDescent="0.35">
      <c r="A4637" t="s">
        <v>15</v>
      </c>
      <c r="B4637" t="s">
        <v>16</v>
      </c>
      <c r="C4637" t="s">
        <v>17</v>
      </c>
      <c r="D4637">
        <v>183769</v>
      </c>
      <c r="E4637">
        <v>19418</v>
      </c>
      <c r="F4637">
        <v>24858</v>
      </c>
      <c r="G4637">
        <v>-149794</v>
      </c>
      <c r="H4637">
        <v>78251</v>
      </c>
      <c r="I4637">
        <v>74083</v>
      </c>
      <c r="J4637">
        <v>1848</v>
      </c>
      <c r="K4637">
        <v>553195</v>
      </c>
      <c r="L4637">
        <v>209611</v>
      </c>
      <c r="M4637">
        <v>-77265</v>
      </c>
      <c r="N4637">
        <v>84992</v>
      </c>
      <c r="O4637" t="s">
        <v>4655</v>
      </c>
      <c r="P4637" s="9">
        <v>167421</v>
      </c>
      <c r="Q4637" s="9">
        <v>35838</v>
      </c>
      <c r="R4637" s="9">
        <v>203259</v>
      </c>
      <c r="S4637" s="9">
        <v>-64530</v>
      </c>
      <c r="T4637" s="10">
        <v>74255</v>
      </c>
      <c r="U4637" s="10">
        <v>902</v>
      </c>
    </row>
    <row r="4638" spans="1:21" x14ac:dyDescent="0.35">
      <c r="A4638" t="s">
        <v>15</v>
      </c>
      <c r="B4638" t="s">
        <v>20</v>
      </c>
      <c r="C4638" t="s">
        <v>21</v>
      </c>
      <c r="D4638">
        <v>165006</v>
      </c>
      <c r="E4638">
        <v>23826</v>
      </c>
      <c r="F4638">
        <v>26985</v>
      </c>
      <c r="G4638">
        <v>-143787</v>
      </c>
      <c r="H4638">
        <v>72030</v>
      </c>
      <c r="I4638">
        <v>66112</v>
      </c>
      <c r="J4638">
        <v>1310</v>
      </c>
      <c r="K4638">
        <v>515546</v>
      </c>
      <c r="L4638">
        <v>73803</v>
      </c>
      <c r="M4638">
        <v>-67730</v>
      </c>
      <c r="N4638">
        <v>57852</v>
      </c>
      <c r="O4638" t="s">
        <v>4656</v>
      </c>
      <c r="P4638" s="9">
        <v>230914</v>
      </c>
      <c r="Q4638" s="9">
        <v>19723</v>
      </c>
      <c r="R4638" s="9">
        <v>250637</v>
      </c>
      <c r="S4638" s="9">
        <v>-113639</v>
      </c>
      <c r="T4638" s="10">
        <v>97169</v>
      </c>
      <c r="U4638" s="10">
        <v>1136</v>
      </c>
    </row>
    <row r="4639" spans="1:21" x14ac:dyDescent="0.35">
      <c r="A4639" t="s">
        <v>15</v>
      </c>
      <c r="B4639" t="s">
        <v>16</v>
      </c>
      <c r="C4639" t="s">
        <v>17</v>
      </c>
      <c r="D4639">
        <v>191991</v>
      </c>
      <c r="E4639">
        <v>18166</v>
      </c>
      <c r="F4639">
        <v>34382</v>
      </c>
      <c r="G4639">
        <v>-188142</v>
      </c>
      <c r="H4639">
        <v>56397</v>
      </c>
      <c r="I4639">
        <v>53870</v>
      </c>
      <c r="J4639">
        <v>558</v>
      </c>
      <c r="K4639">
        <v>459239</v>
      </c>
      <c r="L4639">
        <v>63675</v>
      </c>
      <c r="M4639">
        <v>-77529</v>
      </c>
      <c r="N4639">
        <v>128493</v>
      </c>
      <c r="O4639" t="s">
        <v>4657</v>
      </c>
      <c r="P4639" s="9">
        <v>242987</v>
      </c>
      <c r="Q4639" s="9">
        <v>29605</v>
      </c>
      <c r="R4639" s="9">
        <v>272592</v>
      </c>
      <c r="S4639" s="9">
        <v>-146518</v>
      </c>
      <c r="T4639" s="10">
        <v>66458</v>
      </c>
      <c r="U4639" s="10">
        <v>1445</v>
      </c>
    </row>
    <row r="4640" spans="1:21" x14ac:dyDescent="0.35">
      <c r="A4640" t="s">
        <v>15</v>
      </c>
      <c r="B4640" t="s">
        <v>20</v>
      </c>
      <c r="C4640" t="s">
        <v>21</v>
      </c>
      <c r="D4640">
        <v>234178</v>
      </c>
      <c r="E4640">
        <v>39199</v>
      </c>
      <c r="F4640">
        <v>38613</v>
      </c>
      <c r="G4640">
        <v>-212300</v>
      </c>
      <c r="H4640">
        <v>99690</v>
      </c>
      <c r="I4640">
        <v>92574</v>
      </c>
      <c r="J4640">
        <v>1890</v>
      </c>
      <c r="K4640">
        <v>547029</v>
      </c>
      <c r="L4640">
        <v>203451</v>
      </c>
      <c r="M4640">
        <v>-59251</v>
      </c>
      <c r="N4640">
        <v>178439</v>
      </c>
      <c r="O4640" t="s">
        <v>4658</v>
      </c>
      <c r="P4640" s="9">
        <v>249345</v>
      </c>
      <c r="Q4640" s="9">
        <v>42200</v>
      </c>
      <c r="R4640" s="9">
        <v>291545</v>
      </c>
      <c r="S4640" s="9">
        <v>-164268</v>
      </c>
      <c r="T4640" s="10">
        <v>136043</v>
      </c>
      <c r="U4640" s="10">
        <v>2714</v>
      </c>
    </row>
    <row r="4641" spans="1:21" x14ac:dyDescent="0.35">
      <c r="A4641" t="s">
        <v>15</v>
      </c>
      <c r="B4641" t="s">
        <v>16</v>
      </c>
      <c r="C4641" t="s">
        <v>21</v>
      </c>
      <c r="D4641">
        <v>293475</v>
      </c>
      <c r="E4641">
        <v>50804</v>
      </c>
      <c r="F4641">
        <v>61139</v>
      </c>
      <c r="G4641">
        <v>-250387</v>
      </c>
      <c r="H4641">
        <v>155031</v>
      </c>
      <c r="I4641">
        <v>158521</v>
      </c>
      <c r="J4641">
        <v>3062</v>
      </c>
      <c r="K4641">
        <v>887201</v>
      </c>
      <c r="L4641">
        <v>356776</v>
      </c>
      <c r="M4641">
        <v>-354419</v>
      </c>
      <c r="N4641">
        <v>216267</v>
      </c>
      <c r="O4641" t="s">
        <v>4659</v>
      </c>
      <c r="P4641" s="9">
        <v>266149</v>
      </c>
      <c r="Q4641" s="9">
        <v>51509</v>
      </c>
      <c r="R4641" s="9">
        <v>317658</v>
      </c>
      <c r="S4641" s="9">
        <v>-100034</v>
      </c>
      <c r="T4641" s="10">
        <v>96194</v>
      </c>
      <c r="U4641" s="10">
        <v>2014</v>
      </c>
    </row>
    <row r="4642" spans="1:21" x14ac:dyDescent="0.35">
      <c r="A4642" t="s">
        <v>15</v>
      </c>
      <c r="B4642" t="s">
        <v>20</v>
      </c>
      <c r="C4642" t="s">
        <v>21</v>
      </c>
      <c r="D4642">
        <v>162500</v>
      </c>
      <c r="E4642">
        <v>32320</v>
      </c>
      <c r="F4642">
        <v>35621</v>
      </c>
      <c r="G4642">
        <v>-161861</v>
      </c>
      <c r="H4642">
        <v>68580</v>
      </c>
      <c r="I4642">
        <v>67367</v>
      </c>
      <c r="J4642">
        <v>1745</v>
      </c>
      <c r="K4642">
        <v>591193</v>
      </c>
      <c r="L4642">
        <v>170473</v>
      </c>
      <c r="M4642">
        <v>-155774</v>
      </c>
      <c r="N4642">
        <v>120260</v>
      </c>
      <c r="O4642" t="s">
        <v>4660</v>
      </c>
      <c r="P4642" s="9">
        <v>241073</v>
      </c>
      <c r="Q4642" s="9">
        <v>37657</v>
      </c>
      <c r="R4642" s="9">
        <v>278730</v>
      </c>
      <c r="S4642" s="9">
        <v>-79790</v>
      </c>
      <c r="T4642" s="10">
        <v>102940</v>
      </c>
      <c r="U4642" s="10">
        <v>2824</v>
      </c>
    </row>
    <row r="4643" spans="1:21" x14ac:dyDescent="0.35">
      <c r="A4643" t="s">
        <v>15</v>
      </c>
      <c r="B4643" t="s">
        <v>20</v>
      </c>
      <c r="C4643" t="s">
        <v>21</v>
      </c>
      <c r="D4643">
        <v>225254</v>
      </c>
      <c r="E4643">
        <v>16312</v>
      </c>
      <c r="F4643">
        <v>46438</v>
      </c>
      <c r="G4643">
        <v>-201588</v>
      </c>
      <c r="H4643">
        <v>86416</v>
      </c>
      <c r="I4643">
        <v>85980</v>
      </c>
      <c r="J4643">
        <v>1444</v>
      </c>
      <c r="K4643">
        <v>790166</v>
      </c>
      <c r="L4643">
        <v>327114</v>
      </c>
      <c r="M4643">
        <v>-85548</v>
      </c>
      <c r="N4643">
        <v>90981</v>
      </c>
      <c r="O4643" t="s">
        <v>4661</v>
      </c>
      <c r="P4643" s="9">
        <v>268911</v>
      </c>
      <c r="Q4643" s="9">
        <v>39219</v>
      </c>
      <c r="R4643" s="9">
        <v>308130</v>
      </c>
      <c r="S4643" s="9">
        <v>-127936</v>
      </c>
      <c r="T4643" s="10">
        <v>96802</v>
      </c>
      <c r="U4643" s="10">
        <v>1102</v>
      </c>
    </row>
    <row r="4644" spans="1:21" x14ac:dyDescent="0.35">
      <c r="A4644" t="s">
        <v>15</v>
      </c>
      <c r="B4644" t="s">
        <v>16</v>
      </c>
      <c r="C4644" t="s">
        <v>21</v>
      </c>
      <c r="D4644">
        <v>280614</v>
      </c>
      <c r="E4644">
        <v>29636</v>
      </c>
      <c r="F4644">
        <v>35615</v>
      </c>
      <c r="G4644">
        <v>-251918</v>
      </c>
      <c r="H4644">
        <v>93947</v>
      </c>
      <c r="I4644">
        <v>90172</v>
      </c>
      <c r="J4644">
        <v>1595</v>
      </c>
      <c r="K4644">
        <v>904347</v>
      </c>
      <c r="L4644">
        <v>165274</v>
      </c>
      <c r="M4644">
        <v>-186102</v>
      </c>
      <c r="N4644">
        <v>248442</v>
      </c>
      <c r="O4644" t="s">
        <v>4662</v>
      </c>
      <c r="P4644" s="9">
        <v>144748</v>
      </c>
      <c r="Q4644" s="9">
        <v>24404</v>
      </c>
      <c r="R4644" s="9">
        <v>169152</v>
      </c>
      <c r="S4644" s="9">
        <v>-40912</v>
      </c>
      <c r="T4644" s="10">
        <v>74597</v>
      </c>
      <c r="U4644" s="10">
        <v>1737</v>
      </c>
    </row>
    <row r="4645" spans="1:21" x14ac:dyDescent="0.35">
      <c r="A4645" t="s">
        <v>15</v>
      </c>
      <c r="B4645" t="s">
        <v>16</v>
      </c>
      <c r="C4645" t="s">
        <v>21</v>
      </c>
      <c r="D4645">
        <v>162305</v>
      </c>
      <c r="E4645">
        <v>24610</v>
      </c>
      <c r="F4645">
        <v>20254</v>
      </c>
      <c r="G4645">
        <v>-134295</v>
      </c>
      <c r="H4645">
        <v>72874</v>
      </c>
      <c r="I4645">
        <v>74426</v>
      </c>
      <c r="J4645">
        <v>1269</v>
      </c>
      <c r="K4645">
        <v>325000</v>
      </c>
      <c r="L4645">
        <v>105885</v>
      </c>
      <c r="M4645">
        <v>-68913</v>
      </c>
      <c r="N4645">
        <v>74419</v>
      </c>
      <c r="O4645" t="s">
        <v>4663</v>
      </c>
      <c r="P4645" s="9">
        <v>227841</v>
      </c>
      <c r="Q4645" s="9">
        <v>32629</v>
      </c>
      <c r="R4645" s="9">
        <v>260470</v>
      </c>
      <c r="S4645" s="9">
        <v>-95079</v>
      </c>
      <c r="T4645" s="10">
        <v>61407</v>
      </c>
      <c r="U4645" s="10">
        <v>789</v>
      </c>
    </row>
    <row r="4646" spans="1:21" x14ac:dyDescent="0.35">
      <c r="A4646" t="s">
        <v>15</v>
      </c>
      <c r="B4646" t="s">
        <v>16</v>
      </c>
      <c r="C4646" t="s">
        <v>21</v>
      </c>
      <c r="D4646">
        <v>200727</v>
      </c>
      <c r="E4646">
        <v>30369</v>
      </c>
      <c r="F4646">
        <v>22734</v>
      </c>
      <c r="G4646">
        <v>-199422</v>
      </c>
      <c r="H4646">
        <v>54408</v>
      </c>
      <c r="I4646">
        <v>56933</v>
      </c>
      <c r="J4646">
        <v>1530</v>
      </c>
      <c r="K4646">
        <v>677773</v>
      </c>
      <c r="L4646">
        <v>173596</v>
      </c>
      <c r="M4646">
        <v>-77427</v>
      </c>
      <c r="N4646">
        <v>179403</v>
      </c>
      <c r="O4646" t="s">
        <v>4664</v>
      </c>
      <c r="P4646" s="9">
        <v>230929</v>
      </c>
      <c r="Q4646" s="9">
        <v>22427</v>
      </c>
      <c r="R4646" s="9">
        <v>253356</v>
      </c>
      <c r="S4646" s="9">
        <v>-122788</v>
      </c>
      <c r="T4646" s="10">
        <v>116636</v>
      </c>
      <c r="U4646" s="10">
        <v>3256</v>
      </c>
    </row>
    <row r="4647" spans="1:21" x14ac:dyDescent="0.35">
      <c r="A4647" t="s">
        <v>15</v>
      </c>
      <c r="B4647" t="s">
        <v>16</v>
      </c>
      <c r="C4647" t="s">
        <v>21</v>
      </c>
      <c r="D4647">
        <v>297836</v>
      </c>
      <c r="E4647">
        <v>55775</v>
      </c>
      <c r="F4647">
        <v>67998</v>
      </c>
      <c r="G4647">
        <v>-280969</v>
      </c>
      <c r="H4647">
        <v>140640</v>
      </c>
      <c r="I4647">
        <v>145360</v>
      </c>
      <c r="J4647">
        <v>2756</v>
      </c>
      <c r="K4647">
        <v>639692</v>
      </c>
      <c r="L4647">
        <v>279380</v>
      </c>
      <c r="M4647">
        <v>-198450</v>
      </c>
      <c r="N4647">
        <v>265776</v>
      </c>
      <c r="O4647" t="s">
        <v>4665</v>
      </c>
      <c r="P4647" s="9">
        <v>219002</v>
      </c>
      <c r="Q4647" s="9">
        <v>30830</v>
      </c>
      <c r="R4647" s="9">
        <v>249832</v>
      </c>
      <c r="S4647" s="9">
        <v>-119421</v>
      </c>
      <c r="T4647" s="10">
        <v>66719</v>
      </c>
      <c r="U4647" s="10">
        <v>778</v>
      </c>
    </row>
    <row r="4648" spans="1:21" x14ac:dyDescent="0.35">
      <c r="A4648" t="s">
        <v>15</v>
      </c>
      <c r="B4648" t="s">
        <v>16</v>
      </c>
      <c r="C4648" t="s">
        <v>21</v>
      </c>
      <c r="D4648">
        <v>224201</v>
      </c>
      <c r="E4648">
        <v>12156</v>
      </c>
      <c r="F4648">
        <v>52424</v>
      </c>
      <c r="G4648">
        <v>-216961</v>
      </c>
      <c r="H4648">
        <v>71820</v>
      </c>
      <c r="I4648">
        <v>64948</v>
      </c>
      <c r="J4648">
        <v>1430</v>
      </c>
      <c r="K4648">
        <v>659949</v>
      </c>
      <c r="L4648">
        <v>174527</v>
      </c>
      <c r="M4648">
        <v>-225898</v>
      </c>
      <c r="N4648">
        <v>122970</v>
      </c>
      <c r="O4648" t="s">
        <v>4666</v>
      </c>
      <c r="P4648" s="9">
        <v>302855</v>
      </c>
      <c r="Q4648" s="9">
        <v>60903</v>
      </c>
      <c r="R4648" s="9">
        <v>363758</v>
      </c>
      <c r="S4648" s="9">
        <v>-201964</v>
      </c>
      <c r="T4648" s="10">
        <v>131528</v>
      </c>
      <c r="U4648" s="10">
        <v>3798</v>
      </c>
    </row>
    <row r="4649" spans="1:21" x14ac:dyDescent="0.35">
      <c r="A4649" t="s">
        <v>15</v>
      </c>
      <c r="B4649" t="s">
        <v>16</v>
      </c>
      <c r="C4649" t="s">
        <v>21</v>
      </c>
      <c r="D4649">
        <v>265314</v>
      </c>
      <c r="E4649">
        <v>45315</v>
      </c>
      <c r="F4649">
        <v>41269</v>
      </c>
      <c r="G4649">
        <v>-216906</v>
      </c>
      <c r="H4649">
        <v>134992</v>
      </c>
      <c r="I4649">
        <v>134335</v>
      </c>
      <c r="J4649">
        <v>3789</v>
      </c>
      <c r="K4649">
        <v>568714</v>
      </c>
      <c r="L4649">
        <v>78597</v>
      </c>
      <c r="M4649">
        <v>-212974</v>
      </c>
      <c r="N4649">
        <v>230604</v>
      </c>
      <c r="O4649" t="s">
        <v>4667</v>
      </c>
      <c r="P4649" s="9">
        <v>149198</v>
      </c>
      <c r="Q4649" s="9">
        <v>8499</v>
      </c>
      <c r="R4649" s="9">
        <v>157697</v>
      </c>
      <c r="S4649" s="9">
        <v>-78816</v>
      </c>
      <c r="T4649" s="10">
        <v>62326</v>
      </c>
      <c r="U4649" s="10">
        <v>1194</v>
      </c>
    </row>
    <row r="4650" spans="1:21" x14ac:dyDescent="0.35">
      <c r="A4650" t="s">
        <v>15</v>
      </c>
      <c r="B4650" t="s">
        <v>16</v>
      </c>
      <c r="C4650" t="s">
        <v>17</v>
      </c>
      <c r="D4650">
        <v>159286</v>
      </c>
      <c r="E4650">
        <v>23435</v>
      </c>
      <c r="F4650">
        <v>24582</v>
      </c>
      <c r="G4650">
        <v>-155743</v>
      </c>
      <c r="H4650">
        <v>51560</v>
      </c>
      <c r="I4650">
        <v>47406</v>
      </c>
      <c r="J4650">
        <v>1146</v>
      </c>
      <c r="K4650">
        <v>402062</v>
      </c>
      <c r="L4650">
        <v>191437</v>
      </c>
      <c r="M4650">
        <v>-75703</v>
      </c>
      <c r="N4650">
        <v>78174</v>
      </c>
      <c r="O4650" t="s">
        <v>4668</v>
      </c>
      <c r="P4650" s="9">
        <v>230768</v>
      </c>
      <c r="Q4650" s="9">
        <v>32321</v>
      </c>
      <c r="R4650" s="9">
        <v>263089</v>
      </c>
      <c r="S4650" s="9">
        <v>-141427</v>
      </c>
      <c r="T4650" s="10">
        <v>105038</v>
      </c>
      <c r="U4650" s="10">
        <v>1706</v>
      </c>
    </row>
    <row r="4651" spans="1:21" x14ac:dyDescent="0.35">
      <c r="A4651" t="s">
        <v>15</v>
      </c>
      <c r="B4651" t="s">
        <v>16</v>
      </c>
      <c r="C4651" t="s">
        <v>21</v>
      </c>
      <c r="D4651">
        <v>214336</v>
      </c>
      <c r="E4651">
        <v>23978</v>
      </c>
      <c r="F4651">
        <v>33303</v>
      </c>
      <c r="G4651">
        <v>-211376</v>
      </c>
      <c r="H4651">
        <v>60241</v>
      </c>
      <c r="I4651">
        <v>61177</v>
      </c>
      <c r="J4651">
        <v>1250</v>
      </c>
      <c r="K4651">
        <v>604412</v>
      </c>
      <c r="L4651">
        <v>218849</v>
      </c>
      <c r="M4651">
        <v>-181856</v>
      </c>
      <c r="N4651">
        <v>116322</v>
      </c>
      <c r="O4651" t="s">
        <v>4669</v>
      </c>
      <c r="P4651" s="9">
        <v>283330</v>
      </c>
      <c r="Q4651" s="9">
        <v>48653</v>
      </c>
      <c r="R4651" s="9">
        <v>331983</v>
      </c>
      <c r="S4651" s="9">
        <v>-158421</v>
      </c>
      <c r="T4651" s="10">
        <v>125493</v>
      </c>
      <c r="U4651" s="10">
        <v>3381</v>
      </c>
    </row>
    <row r="4652" spans="1:21" x14ac:dyDescent="0.35">
      <c r="A4652" t="s">
        <v>15</v>
      </c>
      <c r="B4652" t="s">
        <v>16</v>
      </c>
      <c r="C4652" t="s">
        <v>21</v>
      </c>
      <c r="D4652">
        <v>286992</v>
      </c>
      <c r="E4652">
        <v>40607</v>
      </c>
      <c r="F4652">
        <v>53825</v>
      </c>
      <c r="G4652">
        <v>-238035</v>
      </c>
      <c r="H4652">
        <v>143389</v>
      </c>
      <c r="I4652">
        <v>132538</v>
      </c>
      <c r="J4652">
        <v>2581</v>
      </c>
      <c r="K4652">
        <v>716681</v>
      </c>
      <c r="L4652">
        <v>354118</v>
      </c>
      <c r="M4652">
        <v>-125734</v>
      </c>
      <c r="N4652">
        <v>170900</v>
      </c>
      <c r="O4652" t="s">
        <v>4670</v>
      </c>
      <c r="P4652" s="9">
        <v>169898</v>
      </c>
      <c r="Q4652" s="9">
        <v>30958</v>
      </c>
      <c r="R4652" s="9">
        <v>200856</v>
      </c>
      <c r="S4652" s="9">
        <v>-118635</v>
      </c>
      <c r="T4652" s="10">
        <v>81874</v>
      </c>
      <c r="U4652" s="10">
        <v>1174</v>
      </c>
    </row>
    <row r="4653" spans="1:21" x14ac:dyDescent="0.35">
      <c r="A4653" t="s">
        <v>15</v>
      </c>
      <c r="B4653" t="s">
        <v>16</v>
      </c>
      <c r="C4653" t="s">
        <v>17</v>
      </c>
      <c r="D4653">
        <v>170334</v>
      </c>
      <c r="E4653">
        <v>26986</v>
      </c>
      <c r="F4653">
        <v>40485</v>
      </c>
      <c r="G4653">
        <v>-142197</v>
      </c>
      <c r="H4653">
        <v>95608</v>
      </c>
      <c r="I4653">
        <v>99805</v>
      </c>
      <c r="J4653">
        <v>1278</v>
      </c>
      <c r="K4653">
        <v>592858</v>
      </c>
      <c r="L4653">
        <v>257654</v>
      </c>
      <c r="M4653">
        <v>-234980</v>
      </c>
      <c r="N4653">
        <v>83329</v>
      </c>
      <c r="O4653" t="s">
        <v>4671</v>
      </c>
      <c r="P4653" s="9">
        <v>217846</v>
      </c>
      <c r="Q4653" s="9">
        <v>36062</v>
      </c>
      <c r="R4653" s="9">
        <v>253908</v>
      </c>
      <c r="S4653" s="9">
        <v>-104793</v>
      </c>
      <c r="T4653" s="10">
        <v>97136</v>
      </c>
      <c r="U4653" s="10">
        <v>2236</v>
      </c>
    </row>
    <row r="4654" spans="1:21" x14ac:dyDescent="0.35">
      <c r="A4654" t="s">
        <v>15</v>
      </c>
      <c r="B4654" t="s">
        <v>16</v>
      </c>
      <c r="C4654" t="s">
        <v>21</v>
      </c>
      <c r="D4654">
        <v>231363</v>
      </c>
      <c r="E4654">
        <v>14499</v>
      </c>
      <c r="F4654">
        <v>33476</v>
      </c>
      <c r="G4654">
        <v>-221419</v>
      </c>
      <c r="H4654">
        <v>57919</v>
      </c>
      <c r="I4654">
        <v>58858</v>
      </c>
      <c r="J4654">
        <v>664</v>
      </c>
      <c r="K4654">
        <v>904713</v>
      </c>
      <c r="L4654">
        <v>195056</v>
      </c>
      <c r="M4654">
        <v>-187743</v>
      </c>
      <c r="N4654">
        <v>200628</v>
      </c>
      <c r="O4654" t="s">
        <v>4672</v>
      </c>
      <c r="P4654" s="9">
        <v>166125</v>
      </c>
      <c r="Q4654" s="9">
        <v>13247</v>
      </c>
      <c r="R4654" s="9">
        <v>179372</v>
      </c>
      <c r="S4654" s="9">
        <v>-76963</v>
      </c>
      <c r="T4654" s="10">
        <v>48805</v>
      </c>
      <c r="U4654" s="10">
        <v>979</v>
      </c>
    </row>
    <row r="4655" spans="1:21" x14ac:dyDescent="0.35">
      <c r="A4655" t="s">
        <v>15</v>
      </c>
      <c r="B4655" t="s">
        <v>16</v>
      </c>
      <c r="C4655" t="s">
        <v>21</v>
      </c>
      <c r="D4655">
        <v>234571</v>
      </c>
      <c r="E4655">
        <v>30476</v>
      </c>
      <c r="F4655">
        <v>38266</v>
      </c>
      <c r="G4655">
        <v>-201009</v>
      </c>
      <c r="H4655">
        <v>102304</v>
      </c>
      <c r="I4655">
        <v>100344</v>
      </c>
      <c r="J4655">
        <v>1922</v>
      </c>
      <c r="K4655">
        <v>494288</v>
      </c>
      <c r="L4655">
        <v>70313</v>
      </c>
      <c r="M4655">
        <v>-77745</v>
      </c>
      <c r="N4655">
        <v>197105</v>
      </c>
      <c r="O4655" t="s">
        <v>4673</v>
      </c>
      <c r="P4655" s="9">
        <v>266703</v>
      </c>
      <c r="Q4655" s="9">
        <v>30595</v>
      </c>
      <c r="R4655" s="9">
        <v>297298</v>
      </c>
      <c r="S4655" s="9">
        <v>-174068</v>
      </c>
      <c r="T4655" s="10">
        <v>91050</v>
      </c>
      <c r="U4655" s="10">
        <v>1600</v>
      </c>
    </row>
    <row r="4656" spans="1:21" x14ac:dyDescent="0.35">
      <c r="A4656" t="s">
        <v>15</v>
      </c>
      <c r="B4656" t="s">
        <v>16</v>
      </c>
      <c r="C4656" t="s">
        <v>21</v>
      </c>
      <c r="D4656">
        <v>277950</v>
      </c>
      <c r="E4656">
        <v>27408</v>
      </c>
      <c r="F4656">
        <v>58679</v>
      </c>
      <c r="G4656">
        <v>-241644</v>
      </c>
      <c r="H4656">
        <v>122393</v>
      </c>
      <c r="I4656">
        <v>123886</v>
      </c>
      <c r="J4656">
        <v>2149</v>
      </c>
      <c r="K4656">
        <v>1079628</v>
      </c>
      <c r="L4656">
        <v>205438</v>
      </c>
      <c r="M4656">
        <v>-283335</v>
      </c>
      <c r="N4656">
        <v>198802</v>
      </c>
      <c r="O4656" t="s">
        <v>4674</v>
      </c>
      <c r="P4656" s="9">
        <v>251540</v>
      </c>
      <c r="Q4656" s="9">
        <v>19546</v>
      </c>
      <c r="R4656" s="9">
        <v>271086</v>
      </c>
      <c r="S4656" s="9">
        <v>-77923</v>
      </c>
      <c r="T4656" s="10">
        <v>72611</v>
      </c>
      <c r="U4656" s="10">
        <v>1962</v>
      </c>
    </row>
    <row r="4657" spans="1:21" x14ac:dyDescent="0.35">
      <c r="A4657" t="s">
        <v>15</v>
      </c>
      <c r="B4657" t="s">
        <v>20</v>
      </c>
      <c r="C4657" t="s">
        <v>21</v>
      </c>
      <c r="D4657">
        <v>182092</v>
      </c>
      <c r="E4657">
        <v>16153</v>
      </c>
      <c r="F4657">
        <v>40616</v>
      </c>
      <c r="G4657">
        <v>-147977</v>
      </c>
      <c r="H4657">
        <v>90884</v>
      </c>
      <c r="I4657">
        <v>83657</v>
      </c>
      <c r="J4657">
        <v>1120</v>
      </c>
      <c r="K4657">
        <v>445758</v>
      </c>
      <c r="L4657">
        <v>52109</v>
      </c>
      <c r="M4657">
        <v>-121056</v>
      </c>
      <c r="N4657">
        <v>126252</v>
      </c>
      <c r="O4657" t="s">
        <v>4675</v>
      </c>
      <c r="P4657" s="9">
        <v>255744</v>
      </c>
      <c r="Q4657" s="9">
        <v>41686</v>
      </c>
      <c r="R4657" s="9">
        <v>297430</v>
      </c>
      <c r="S4657" s="9">
        <v>-140223</v>
      </c>
      <c r="T4657" s="10">
        <v>109816</v>
      </c>
      <c r="U4657" s="10">
        <v>2206</v>
      </c>
    </row>
    <row r="4658" spans="1:21" x14ac:dyDescent="0.35">
      <c r="A4658" t="s">
        <v>15</v>
      </c>
      <c r="B4658" t="s">
        <v>16</v>
      </c>
      <c r="C4658" t="s">
        <v>21</v>
      </c>
      <c r="D4658">
        <v>210122</v>
      </c>
      <c r="E4658">
        <v>24460</v>
      </c>
      <c r="F4658">
        <v>45623</v>
      </c>
      <c r="G4658">
        <v>-187583</v>
      </c>
      <c r="H4658">
        <v>92622</v>
      </c>
      <c r="I4658">
        <v>84926</v>
      </c>
      <c r="J4658">
        <v>1875</v>
      </c>
      <c r="K4658">
        <v>751698</v>
      </c>
      <c r="L4658">
        <v>332429</v>
      </c>
      <c r="M4658">
        <v>-196735</v>
      </c>
      <c r="N4658">
        <v>67517</v>
      </c>
      <c r="O4658" t="s">
        <v>4676</v>
      </c>
      <c r="P4658" s="9">
        <v>192952</v>
      </c>
      <c r="Q4658" s="9">
        <v>23143</v>
      </c>
      <c r="R4658" s="9">
        <v>216095</v>
      </c>
      <c r="S4658" s="9">
        <v>-92633</v>
      </c>
      <c r="T4658" s="10">
        <v>62411</v>
      </c>
      <c r="U4658" s="10">
        <v>1230</v>
      </c>
    </row>
    <row r="4659" spans="1:21" x14ac:dyDescent="0.35">
      <c r="A4659" t="s">
        <v>15</v>
      </c>
      <c r="B4659" t="s">
        <v>16</v>
      </c>
      <c r="C4659" t="s">
        <v>21</v>
      </c>
      <c r="D4659">
        <v>286755</v>
      </c>
      <c r="E4659">
        <v>56506</v>
      </c>
      <c r="F4659">
        <v>50732</v>
      </c>
      <c r="G4659">
        <v>-247732</v>
      </c>
      <c r="H4659">
        <v>146261</v>
      </c>
      <c r="I4659">
        <v>141707</v>
      </c>
      <c r="J4659">
        <v>3017</v>
      </c>
      <c r="K4659">
        <v>815181</v>
      </c>
      <c r="L4659">
        <v>372193</v>
      </c>
      <c r="M4659">
        <v>-191080</v>
      </c>
      <c r="N4659">
        <v>169021</v>
      </c>
      <c r="O4659" t="s">
        <v>4677</v>
      </c>
      <c r="P4659" s="9">
        <v>255400</v>
      </c>
      <c r="Q4659" s="9">
        <v>39518</v>
      </c>
      <c r="R4659" s="9">
        <v>294918</v>
      </c>
      <c r="S4659" s="9">
        <v>-165918</v>
      </c>
      <c r="T4659" s="10">
        <v>92305</v>
      </c>
      <c r="U4659" s="10">
        <v>2073</v>
      </c>
    </row>
    <row r="4660" spans="1:21" x14ac:dyDescent="0.35">
      <c r="A4660" t="s">
        <v>15</v>
      </c>
      <c r="B4660" t="s">
        <v>16</v>
      </c>
      <c r="C4660" t="s">
        <v>21</v>
      </c>
      <c r="D4660">
        <v>223902</v>
      </c>
      <c r="E4660">
        <v>33486</v>
      </c>
      <c r="F4660">
        <v>26217</v>
      </c>
      <c r="G4660">
        <v>-180505</v>
      </c>
      <c r="H4660">
        <v>103100</v>
      </c>
      <c r="I4660">
        <v>101322</v>
      </c>
      <c r="J4660">
        <v>1434</v>
      </c>
      <c r="K4660">
        <v>594021</v>
      </c>
      <c r="L4660">
        <v>234139</v>
      </c>
      <c r="M4660">
        <v>-180099</v>
      </c>
      <c r="N4660">
        <v>97965</v>
      </c>
      <c r="O4660" t="s">
        <v>4678</v>
      </c>
      <c r="P4660" s="9">
        <v>285101</v>
      </c>
      <c r="Q4660" s="9">
        <v>52627</v>
      </c>
      <c r="R4660" s="9">
        <v>337728</v>
      </c>
      <c r="S4660" s="9">
        <v>-188417</v>
      </c>
      <c r="T4660" s="10">
        <v>138252</v>
      </c>
      <c r="U4660" s="10">
        <v>2401</v>
      </c>
    </row>
    <row r="4661" spans="1:21" x14ac:dyDescent="0.35">
      <c r="A4661" t="s">
        <v>15</v>
      </c>
      <c r="B4661" t="s">
        <v>16</v>
      </c>
      <c r="C4661" t="s">
        <v>21</v>
      </c>
      <c r="D4661">
        <v>152500</v>
      </c>
      <c r="E4661">
        <v>11701</v>
      </c>
      <c r="F4661">
        <v>16436</v>
      </c>
      <c r="G4661">
        <v>-150733</v>
      </c>
      <c r="H4661">
        <v>29904</v>
      </c>
      <c r="I4661">
        <v>31358</v>
      </c>
      <c r="J4661">
        <v>843</v>
      </c>
      <c r="K4661">
        <v>345506</v>
      </c>
      <c r="L4661">
        <v>158475</v>
      </c>
      <c r="M4661">
        <v>-112963</v>
      </c>
      <c r="N4661">
        <v>91169</v>
      </c>
      <c r="O4661" t="s">
        <v>4679</v>
      </c>
      <c r="P4661" s="9">
        <v>158694</v>
      </c>
      <c r="Q4661" s="9">
        <v>22452</v>
      </c>
      <c r="R4661" s="9">
        <v>181146</v>
      </c>
      <c r="S4661" s="9">
        <v>-80357</v>
      </c>
      <c r="T4661" s="10">
        <v>75934</v>
      </c>
      <c r="U4661" s="10">
        <v>1048</v>
      </c>
    </row>
    <row r="4662" spans="1:21" x14ac:dyDescent="0.35">
      <c r="A4662" t="s">
        <v>15</v>
      </c>
      <c r="B4662" t="s">
        <v>16</v>
      </c>
      <c r="C4662" t="s">
        <v>21</v>
      </c>
      <c r="D4662">
        <v>186758</v>
      </c>
      <c r="E4662">
        <v>24861</v>
      </c>
      <c r="F4662">
        <v>42504</v>
      </c>
      <c r="G4662">
        <v>-182100</v>
      </c>
      <c r="H4662">
        <v>72023</v>
      </c>
      <c r="I4662">
        <v>73097</v>
      </c>
      <c r="J4662">
        <v>890</v>
      </c>
      <c r="K4662">
        <v>583554</v>
      </c>
      <c r="L4662">
        <v>95871</v>
      </c>
      <c r="M4662">
        <v>-115133</v>
      </c>
      <c r="N4662">
        <v>142782</v>
      </c>
      <c r="O4662" t="s">
        <v>4680</v>
      </c>
      <c r="P4662" s="9">
        <v>221584</v>
      </c>
      <c r="Q4662" s="9">
        <v>17972</v>
      </c>
      <c r="R4662" s="9">
        <v>239556</v>
      </c>
      <c r="S4662" s="9">
        <v>-103084</v>
      </c>
      <c r="T4662" s="10">
        <v>81321</v>
      </c>
      <c r="U4662" s="10">
        <v>1020</v>
      </c>
    </row>
    <row r="4663" spans="1:21" x14ac:dyDescent="0.35">
      <c r="A4663" t="s">
        <v>15</v>
      </c>
      <c r="B4663" t="s">
        <v>16</v>
      </c>
      <c r="C4663" t="s">
        <v>17</v>
      </c>
      <c r="D4663">
        <v>190209</v>
      </c>
      <c r="E4663">
        <v>23059</v>
      </c>
      <c r="F4663">
        <v>34902</v>
      </c>
      <c r="G4663">
        <v>-173216</v>
      </c>
      <c r="H4663">
        <v>74954</v>
      </c>
      <c r="I4663">
        <v>73023</v>
      </c>
      <c r="J4663">
        <v>975</v>
      </c>
      <c r="K4663">
        <v>468666</v>
      </c>
      <c r="L4663">
        <v>223383</v>
      </c>
      <c r="M4663">
        <v>-109114</v>
      </c>
      <c r="N4663">
        <v>144518</v>
      </c>
      <c r="O4663" t="s">
        <v>4681</v>
      </c>
      <c r="P4663" s="9">
        <v>199445</v>
      </c>
      <c r="Q4663" s="9">
        <v>10522</v>
      </c>
      <c r="R4663" s="9">
        <v>209967</v>
      </c>
      <c r="S4663" s="9">
        <v>-105553</v>
      </c>
      <c r="T4663" s="10">
        <v>36940</v>
      </c>
      <c r="U4663" s="10">
        <v>578</v>
      </c>
    </row>
    <row r="4664" spans="1:21" x14ac:dyDescent="0.35">
      <c r="A4664" t="s">
        <v>15</v>
      </c>
      <c r="B4664" t="s">
        <v>16</v>
      </c>
      <c r="C4664" t="s">
        <v>21</v>
      </c>
      <c r="D4664">
        <v>155521</v>
      </c>
      <c r="E4664">
        <v>8630</v>
      </c>
      <c r="F4664">
        <v>33528</v>
      </c>
      <c r="G4664">
        <v>-130624</v>
      </c>
      <c r="H4664">
        <v>67055</v>
      </c>
      <c r="I4664">
        <v>60446</v>
      </c>
      <c r="J4664">
        <v>1641</v>
      </c>
      <c r="K4664">
        <v>324683</v>
      </c>
      <c r="L4664">
        <v>75905</v>
      </c>
      <c r="M4664">
        <v>-76236</v>
      </c>
      <c r="N4664">
        <v>107930</v>
      </c>
      <c r="O4664" t="s">
        <v>4682</v>
      </c>
      <c r="P4664" s="9">
        <v>227311</v>
      </c>
      <c r="Q4664" s="9">
        <v>41221</v>
      </c>
      <c r="R4664" s="9">
        <v>268532</v>
      </c>
      <c r="S4664" s="9">
        <v>-133237</v>
      </c>
      <c r="T4664" s="10">
        <v>112382</v>
      </c>
      <c r="U4664" s="10">
        <v>3103</v>
      </c>
    </row>
    <row r="4665" spans="1:21" x14ac:dyDescent="0.35">
      <c r="A4665" t="s">
        <v>15</v>
      </c>
      <c r="B4665" t="s">
        <v>20</v>
      </c>
      <c r="C4665" t="s">
        <v>17</v>
      </c>
      <c r="D4665">
        <v>212220</v>
      </c>
      <c r="E4665">
        <v>31123</v>
      </c>
      <c r="F4665">
        <v>30770</v>
      </c>
      <c r="G4665">
        <v>-199019</v>
      </c>
      <c r="H4665">
        <v>75094</v>
      </c>
      <c r="I4665">
        <v>75808</v>
      </c>
      <c r="J4665">
        <v>2018</v>
      </c>
      <c r="K4665">
        <v>556492</v>
      </c>
      <c r="L4665">
        <v>86036</v>
      </c>
      <c r="M4665">
        <v>-73830</v>
      </c>
      <c r="N4665">
        <v>86550</v>
      </c>
      <c r="O4665" t="s">
        <v>4683</v>
      </c>
      <c r="P4665" s="9">
        <v>189004</v>
      </c>
      <c r="Q4665" s="9">
        <v>21116</v>
      </c>
      <c r="R4665" s="9">
        <v>210120</v>
      </c>
      <c r="S4665" s="9">
        <v>-74658</v>
      </c>
      <c r="T4665" s="10">
        <v>66167</v>
      </c>
      <c r="U4665" s="10">
        <v>1635</v>
      </c>
    </row>
    <row r="4666" spans="1:21" x14ac:dyDescent="0.35">
      <c r="A4666" t="s">
        <v>15</v>
      </c>
      <c r="B4666" t="s">
        <v>20</v>
      </c>
      <c r="C4666" t="s">
        <v>21</v>
      </c>
      <c r="D4666">
        <v>270965</v>
      </c>
      <c r="E4666">
        <v>47569</v>
      </c>
      <c r="F4666">
        <v>61734</v>
      </c>
      <c r="G4666">
        <v>-222186</v>
      </c>
      <c r="H4666">
        <v>158082</v>
      </c>
      <c r="I4666">
        <v>144136</v>
      </c>
      <c r="J4666">
        <v>2540</v>
      </c>
      <c r="K4666">
        <v>581692</v>
      </c>
      <c r="L4666">
        <v>247912</v>
      </c>
      <c r="M4666">
        <v>-200345</v>
      </c>
      <c r="N4666">
        <v>117813</v>
      </c>
      <c r="O4666" t="s">
        <v>4684</v>
      </c>
      <c r="P4666" s="9">
        <v>260462</v>
      </c>
      <c r="Q4666" s="9">
        <v>37047</v>
      </c>
      <c r="R4666" s="9">
        <v>297509</v>
      </c>
      <c r="S4666" s="9">
        <v>-65124</v>
      </c>
      <c r="T4666" s="10">
        <v>118013</v>
      </c>
      <c r="U4666" s="10">
        <v>1781</v>
      </c>
    </row>
    <row r="4667" spans="1:21" x14ac:dyDescent="0.35">
      <c r="A4667" t="s">
        <v>15</v>
      </c>
      <c r="B4667" t="s">
        <v>16</v>
      </c>
      <c r="C4667" t="s">
        <v>21</v>
      </c>
      <c r="D4667">
        <v>190851</v>
      </c>
      <c r="E4667">
        <v>11258</v>
      </c>
      <c r="F4667">
        <v>27856</v>
      </c>
      <c r="G4667">
        <v>-164726</v>
      </c>
      <c r="H4667">
        <v>65239</v>
      </c>
      <c r="I4667">
        <v>67170</v>
      </c>
      <c r="J4667">
        <v>783</v>
      </c>
      <c r="K4667">
        <v>611298</v>
      </c>
      <c r="L4667">
        <v>138860</v>
      </c>
      <c r="M4667">
        <v>-242972</v>
      </c>
      <c r="N4667">
        <v>163001</v>
      </c>
      <c r="O4667" t="s">
        <v>4685</v>
      </c>
      <c r="P4667" s="9">
        <v>192114</v>
      </c>
      <c r="Q4667" s="9">
        <v>23399</v>
      </c>
      <c r="R4667" s="9">
        <v>215513</v>
      </c>
      <c r="S4667" s="9">
        <v>-51181</v>
      </c>
      <c r="T4667" s="10">
        <v>83338</v>
      </c>
      <c r="U4667" s="10">
        <v>1631</v>
      </c>
    </row>
    <row r="4668" spans="1:21" x14ac:dyDescent="0.35">
      <c r="A4668" t="s">
        <v>15</v>
      </c>
      <c r="B4668" t="s">
        <v>16</v>
      </c>
      <c r="C4668" t="s">
        <v>21</v>
      </c>
      <c r="D4668">
        <v>204765</v>
      </c>
      <c r="E4668">
        <v>19948</v>
      </c>
      <c r="F4668">
        <v>48592</v>
      </c>
      <c r="G4668">
        <v>-186464</v>
      </c>
      <c r="H4668">
        <v>86841</v>
      </c>
      <c r="I4668">
        <v>85608</v>
      </c>
      <c r="J4668">
        <v>1796</v>
      </c>
      <c r="K4668">
        <v>747019</v>
      </c>
      <c r="L4668">
        <v>103392</v>
      </c>
      <c r="M4668">
        <v>-261231</v>
      </c>
      <c r="N4668">
        <v>99761</v>
      </c>
      <c r="O4668" t="s">
        <v>4686</v>
      </c>
      <c r="P4668" s="9">
        <v>246649</v>
      </c>
      <c r="Q4668" s="9">
        <v>43786</v>
      </c>
      <c r="R4668" s="9">
        <v>290435</v>
      </c>
      <c r="S4668" s="9">
        <v>-108898</v>
      </c>
      <c r="T4668" s="10">
        <v>110280</v>
      </c>
      <c r="U4668" s="10">
        <v>1398</v>
      </c>
    </row>
    <row r="4669" spans="1:21" x14ac:dyDescent="0.35">
      <c r="A4669" t="s">
        <v>15</v>
      </c>
      <c r="B4669" t="s">
        <v>16</v>
      </c>
      <c r="C4669" t="s">
        <v>21</v>
      </c>
      <c r="D4669">
        <v>274249</v>
      </c>
      <c r="E4669">
        <v>16085</v>
      </c>
      <c r="F4669">
        <v>58420</v>
      </c>
      <c r="G4669">
        <v>-244353</v>
      </c>
      <c r="H4669">
        <v>104401</v>
      </c>
      <c r="I4669">
        <v>105042</v>
      </c>
      <c r="J4669">
        <v>2436</v>
      </c>
      <c r="K4669">
        <v>900139</v>
      </c>
      <c r="L4669">
        <v>142927</v>
      </c>
      <c r="M4669">
        <v>-260262</v>
      </c>
      <c r="N4669">
        <v>146876</v>
      </c>
      <c r="O4669" t="s">
        <v>4687</v>
      </c>
      <c r="P4669" s="9">
        <v>260282</v>
      </c>
      <c r="Q4669" s="9">
        <v>17967</v>
      </c>
      <c r="R4669" s="9">
        <v>278249</v>
      </c>
      <c r="S4669" s="9">
        <v>-96181</v>
      </c>
      <c r="T4669" s="10">
        <v>64544</v>
      </c>
      <c r="U4669" s="10">
        <v>1810</v>
      </c>
    </row>
    <row r="4670" spans="1:21" x14ac:dyDescent="0.35">
      <c r="A4670" t="s">
        <v>15</v>
      </c>
      <c r="B4670" t="s">
        <v>16</v>
      </c>
      <c r="C4670" t="s">
        <v>21</v>
      </c>
      <c r="D4670">
        <v>268199</v>
      </c>
      <c r="E4670">
        <v>18932</v>
      </c>
      <c r="F4670">
        <v>65570</v>
      </c>
      <c r="G4670">
        <v>-252920</v>
      </c>
      <c r="H4670">
        <v>99781</v>
      </c>
      <c r="I4670">
        <v>104192</v>
      </c>
      <c r="J4670">
        <v>1732</v>
      </c>
      <c r="K4670">
        <v>616090</v>
      </c>
      <c r="L4670">
        <v>305261</v>
      </c>
      <c r="M4670">
        <v>-132401</v>
      </c>
      <c r="N4670">
        <v>226768</v>
      </c>
      <c r="O4670" t="s">
        <v>4688</v>
      </c>
      <c r="P4670" s="9">
        <v>225198</v>
      </c>
      <c r="Q4670" s="9">
        <v>40516</v>
      </c>
      <c r="R4670" s="9">
        <v>265714</v>
      </c>
      <c r="S4670" s="9">
        <v>-102827</v>
      </c>
      <c r="T4670" s="10">
        <v>115837</v>
      </c>
      <c r="U4670" s="10">
        <v>1583</v>
      </c>
    </row>
    <row r="4671" spans="1:21" x14ac:dyDescent="0.35">
      <c r="A4671" t="s">
        <v>15</v>
      </c>
      <c r="B4671" t="s">
        <v>16</v>
      </c>
      <c r="C4671" t="s">
        <v>17</v>
      </c>
      <c r="D4671">
        <v>254703</v>
      </c>
      <c r="E4671">
        <v>46453</v>
      </c>
      <c r="F4671">
        <v>29509</v>
      </c>
      <c r="G4671">
        <v>-213556</v>
      </c>
      <c r="H4671">
        <v>117109</v>
      </c>
      <c r="I4671">
        <v>113431</v>
      </c>
      <c r="J4671">
        <v>1324</v>
      </c>
      <c r="K4671">
        <v>946467</v>
      </c>
      <c r="L4671">
        <v>467879</v>
      </c>
      <c r="M4671">
        <v>-152499</v>
      </c>
      <c r="N4671">
        <v>221182</v>
      </c>
      <c r="O4671" t="s">
        <v>4689</v>
      </c>
      <c r="P4671" s="9">
        <v>165294</v>
      </c>
      <c r="Q4671" s="9">
        <v>26461</v>
      </c>
      <c r="R4671" s="9">
        <v>191755</v>
      </c>
      <c r="S4671" s="9">
        <v>-73216</v>
      </c>
      <c r="T4671" s="10">
        <v>42799</v>
      </c>
      <c r="U4671" s="10">
        <v>840</v>
      </c>
    </row>
    <row r="4672" spans="1:21" x14ac:dyDescent="0.35">
      <c r="A4672" t="s">
        <v>15</v>
      </c>
      <c r="B4672" t="s">
        <v>16</v>
      </c>
      <c r="C4672" t="s">
        <v>21</v>
      </c>
      <c r="D4672">
        <v>154314</v>
      </c>
      <c r="E4672">
        <v>19094</v>
      </c>
      <c r="F4672">
        <v>37352</v>
      </c>
      <c r="G4672">
        <v>-150033</v>
      </c>
      <c r="H4672">
        <v>60727</v>
      </c>
      <c r="I4672">
        <v>62911</v>
      </c>
      <c r="J4672">
        <v>690</v>
      </c>
      <c r="K4672">
        <v>548332</v>
      </c>
      <c r="L4672">
        <v>62020</v>
      </c>
      <c r="M4672">
        <v>-61654</v>
      </c>
      <c r="N4672">
        <v>103808</v>
      </c>
      <c r="O4672" t="s">
        <v>4690</v>
      </c>
      <c r="P4672" s="9">
        <v>139454</v>
      </c>
      <c r="Q4672" s="9">
        <v>25634</v>
      </c>
      <c r="R4672" s="9">
        <v>165088</v>
      </c>
      <c r="S4672" s="9">
        <v>-51670</v>
      </c>
      <c r="T4672" s="10">
        <v>74013</v>
      </c>
      <c r="U4672" s="10">
        <v>1768</v>
      </c>
    </row>
    <row r="4673" spans="1:21" x14ac:dyDescent="0.35">
      <c r="A4673" t="s">
        <v>15</v>
      </c>
      <c r="B4673" t="s">
        <v>16</v>
      </c>
      <c r="C4673" t="s">
        <v>21</v>
      </c>
      <c r="D4673">
        <v>165532</v>
      </c>
      <c r="E4673">
        <v>9064</v>
      </c>
      <c r="F4673">
        <v>31572</v>
      </c>
      <c r="G4673">
        <v>-152514</v>
      </c>
      <c r="H4673">
        <v>53654</v>
      </c>
      <c r="I4673">
        <v>54067</v>
      </c>
      <c r="J4673">
        <v>1615</v>
      </c>
      <c r="K4673">
        <v>641683</v>
      </c>
      <c r="L4673">
        <v>191997</v>
      </c>
      <c r="M4673">
        <v>-139335</v>
      </c>
      <c r="N4673">
        <v>116364</v>
      </c>
      <c r="O4673" t="s">
        <v>4691</v>
      </c>
      <c r="P4673" s="9">
        <v>182111</v>
      </c>
      <c r="Q4673" s="9">
        <v>30774</v>
      </c>
      <c r="R4673" s="9">
        <v>212885</v>
      </c>
      <c r="S4673" s="9">
        <v>-74562</v>
      </c>
      <c r="T4673" s="10">
        <v>107642</v>
      </c>
      <c r="U4673" s="10">
        <v>2645</v>
      </c>
    </row>
    <row r="4674" spans="1:21" x14ac:dyDescent="0.35">
      <c r="A4674" t="s">
        <v>15</v>
      </c>
      <c r="B4674" t="s">
        <v>16</v>
      </c>
      <c r="C4674" t="s">
        <v>17</v>
      </c>
      <c r="D4674">
        <v>262312</v>
      </c>
      <c r="E4674">
        <v>18283</v>
      </c>
      <c r="F4674">
        <v>49625</v>
      </c>
      <c r="G4674">
        <v>-246134</v>
      </c>
      <c r="H4674">
        <v>84086</v>
      </c>
      <c r="I4674">
        <v>79109</v>
      </c>
      <c r="J4674">
        <v>1059</v>
      </c>
      <c r="K4674">
        <v>763281</v>
      </c>
      <c r="L4674">
        <v>307305</v>
      </c>
      <c r="M4674">
        <v>-173109</v>
      </c>
      <c r="N4674">
        <v>178119</v>
      </c>
      <c r="O4674" t="s">
        <v>4692</v>
      </c>
      <c r="P4674" s="9">
        <v>165168</v>
      </c>
      <c r="Q4674" s="9">
        <v>17879</v>
      </c>
      <c r="R4674" s="9">
        <v>183047</v>
      </c>
      <c r="S4674" s="9">
        <v>-95518</v>
      </c>
      <c r="T4674" s="10">
        <v>65713</v>
      </c>
      <c r="U4674" s="10">
        <v>1511</v>
      </c>
    </row>
    <row r="4675" spans="1:21" x14ac:dyDescent="0.35">
      <c r="A4675" t="s">
        <v>15</v>
      </c>
      <c r="B4675" t="s">
        <v>16</v>
      </c>
      <c r="C4675" t="s">
        <v>21</v>
      </c>
      <c r="D4675">
        <v>179898</v>
      </c>
      <c r="E4675">
        <v>27020</v>
      </c>
      <c r="F4675">
        <v>28122</v>
      </c>
      <c r="G4675">
        <v>-174970</v>
      </c>
      <c r="H4675">
        <v>60070</v>
      </c>
      <c r="I4675">
        <v>56472</v>
      </c>
      <c r="J4675">
        <v>651</v>
      </c>
      <c r="K4675">
        <v>388343</v>
      </c>
      <c r="L4675">
        <v>94228</v>
      </c>
      <c r="M4675">
        <v>-115074</v>
      </c>
      <c r="N4675">
        <v>79020</v>
      </c>
      <c r="O4675" t="s">
        <v>4693</v>
      </c>
      <c r="P4675" s="9">
        <v>178926</v>
      </c>
      <c r="Q4675" s="9">
        <v>25916</v>
      </c>
      <c r="R4675" s="9">
        <v>204842</v>
      </c>
      <c r="S4675" s="9">
        <v>-97535</v>
      </c>
      <c r="T4675" s="10">
        <v>85490</v>
      </c>
      <c r="U4675" s="10">
        <v>2049</v>
      </c>
    </row>
    <row r="4676" spans="1:21" x14ac:dyDescent="0.35">
      <c r="A4676" t="s">
        <v>15</v>
      </c>
      <c r="B4676" t="s">
        <v>20</v>
      </c>
      <c r="C4676" t="s">
        <v>21</v>
      </c>
      <c r="D4676">
        <v>279162</v>
      </c>
      <c r="E4676">
        <v>24859</v>
      </c>
      <c r="F4676">
        <v>60578</v>
      </c>
      <c r="G4676">
        <v>-267721</v>
      </c>
      <c r="H4676">
        <v>96878</v>
      </c>
      <c r="I4676">
        <v>89624</v>
      </c>
      <c r="J4676">
        <v>2160</v>
      </c>
      <c r="K4676">
        <v>898704</v>
      </c>
      <c r="L4676">
        <v>346334</v>
      </c>
      <c r="M4676">
        <v>-237019</v>
      </c>
      <c r="N4676">
        <v>96208</v>
      </c>
      <c r="O4676" t="s">
        <v>4694</v>
      </c>
      <c r="P4676" s="9">
        <v>155752</v>
      </c>
      <c r="Q4676" s="9">
        <v>14841</v>
      </c>
      <c r="R4676" s="9">
        <v>170593</v>
      </c>
      <c r="S4676" s="9">
        <v>-86124</v>
      </c>
      <c r="T4676" s="10">
        <v>55468</v>
      </c>
      <c r="U4676" s="10">
        <v>1623</v>
      </c>
    </row>
    <row r="4677" spans="1:21" x14ac:dyDescent="0.35">
      <c r="A4677" t="s">
        <v>15</v>
      </c>
      <c r="B4677" t="s">
        <v>16</v>
      </c>
      <c r="C4677" t="s">
        <v>21</v>
      </c>
      <c r="D4677">
        <v>279564</v>
      </c>
      <c r="E4677">
        <v>17373</v>
      </c>
      <c r="F4677">
        <v>67406</v>
      </c>
      <c r="G4677">
        <v>-268397</v>
      </c>
      <c r="H4677">
        <v>95946</v>
      </c>
      <c r="I4677">
        <v>95385</v>
      </c>
      <c r="J4677">
        <v>2310</v>
      </c>
      <c r="K4677">
        <v>709969</v>
      </c>
      <c r="L4677">
        <v>136947</v>
      </c>
      <c r="M4677">
        <v>-225692</v>
      </c>
      <c r="N4677">
        <v>95514</v>
      </c>
      <c r="O4677" t="s">
        <v>4695</v>
      </c>
      <c r="P4677" s="9">
        <v>265905</v>
      </c>
      <c r="Q4677" s="9">
        <v>17034</v>
      </c>
      <c r="R4677" s="9">
        <v>282939</v>
      </c>
      <c r="S4677" s="9">
        <v>-109779</v>
      </c>
      <c r="T4677" s="10">
        <v>109395</v>
      </c>
      <c r="U4677" s="10">
        <v>1576</v>
      </c>
    </row>
    <row r="4678" spans="1:21" x14ac:dyDescent="0.35">
      <c r="A4678" t="s">
        <v>15</v>
      </c>
      <c r="B4678" t="s">
        <v>16</v>
      </c>
      <c r="C4678" t="s">
        <v>17</v>
      </c>
      <c r="D4678">
        <v>226990</v>
      </c>
      <c r="E4678">
        <v>12147</v>
      </c>
      <c r="F4678">
        <v>48171</v>
      </c>
      <c r="G4678">
        <v>-192126</v>
      </c>
      <c r="H4678">
        <v>95182</v>
      </c>
      <c r="I4678">
        <v>99534</v>
      </c>
      <c r="J4678">
        <v>1046</v>
      </c>
      <c r="K4678">
        <v>783186</v>
      </c>
      <c r="L4678">
        <v>245613</v>
      </c>
      <c r="M4678">
        <v>-183607</v>
      </c>
      <c r="N4678">
        <v>116045</v>
      </c>
      <c r="O4678" t="s">
        <v>4696</v>
      </c>
      <c r="P4678" s="9">
        <v>256055</v>
      </c>
      <c r="Q4678" s="9">
        <v>33653</v>
      </c>
      <c r="R4678" s="9">
        <v>289708</v>
      </c>
      <c r="S4678" s="9">
        <v>-68685</v>
      </c>
      <c r="T4678" s="10">
        <v>105327</v>
      </c>
      <c r="U4678" s="10">
        <v>1554</v>
      </c>
    </row>
    <row r="4679" spans="1:21" x14ac:dyDescent="0.35">
      <c r="A4679" t="s">
        <v>15</v>
      </c>
      <c r="B4679" t="s">
        <v>20</v>
      </c>
      <c r="C4679" t="s">
        <v>21</v>
      </c>
      <c r="D4679">
        <v>203217</v>
      </c>
      <c r="E4679">
        <v>27486</v>
      </c>
      <c r="F4679">
        <v>27742</v>
      </c>
      <c r="G4679">
        <v>-188677</v>
      </c>
      <c r="H4679">
        <v>69768</v>
      </c>
      <c r="I4679">
        <v>65773</v>
      </c>
      <c r="J4679">
        <v>865</v>
      </c>
      <c r="K4679">
        <v>805468</v>
      </c>
      <c r="L4679">
        <v>235643</v>
      </c>
      <c r="M4679">
        <v>-255752</v>
      </c>
      <c r="N4679">
        <v>116211</v>
      </c>
      <c r="O4679" t="s">
        <v>4697</v>
      </c>
      <c r="P4679" s="9">
        <v>151675</v>
      </c>
      <c r="Q4679" s="9">
        <v>30551</v>
      </c>
      <c r="R4679" s="9">
        <v>182226</v>
      </c>
      <c r="S4679" s="9">
        <v>-62578</v>
      </c>
      <c r="T4679" s="10">
        <v>56302</v>
      </c>
      <c r="U4679" s="10">
        <v>900</v>
      </c>
    </row>
    <row r="4680" spans="1:21" x14ac:dyDescent="0.35">
      <c r="A4680" t="s">
        <v>15</v>
      </c>
      <c r="B4680" t="s">
        <v>16</v>
      </c>
      <c r="C4680" t="s">
        <v>17</v>
      </c>
      <c r="D4680">
        <v>200354</v>
      </c>
      <c r="E4680">
        <v>33959</v>
      </c>
      <c r="F4680">
        <v>24172</v>
      </c>
      <c r="G4680">
        <v>-198050</v>
      </c>
      <c r="H4680">
        <v>60435</v>
      </c>
      <c r="I4680">
        <v>56002</v>
      </c>
      <c r="J4680">
        <v>773</v>
      </c>
      <c r="K4680">
        <v>538599</v>
      </c>
      <c r="L4680">
        <v>73828</v>
      </c>
      <c r="M4680">
        <v>-113028</v>
      </c>
      <c r="N4680">
        <v>101275</v>
      </c>
      <c r="O4680" t="s">
        <v>4698</v>
      </c>
      <c r="P4680" s="9">
        <v>221192</v>
      </c>
      <c r="Q4680" s="9">
        <v>12727</v>
      </c>
      <c r="R4680" s="9">
        <v>233919</v>
      </c>
      <c r="S4680" s="9">
        <v>-116738</v>
      </c>
      <c r="T4680" s="10">
        <v>71011</v>
      </c>
      <c r="U4680" s="10">
        <v>1609</v>
      </c>
    </row>
    <row r="4681" spans="1:21" x14ac:dyDescent="0.35">
      <c r="A4681" t="s">
        <v>15</v>
      </c>
      <c r="B4681" t="s">
        <v>20</v>
      </c>
      <c r="C4681" t="s">
        <v>21</v>
      </c>
      <c r="D4681">
        <v>256091</v>
      </c>
      <c r="E4681">
        <v>19456</v>
      </c>
      <c r="F4681">
        <v>53769</v>
      </c>
      <c r="G4681">
        <v>-234235</v>
      </c>
      <c r="H4681">
        <v>95081</v>
      </c>
      <c r="I4681">
        <v>91737</v>
      </c>
      <c r="J4681">
        <v>1563</v>
      </c>
      <c r="K4681">
        <v>948875</v>
      </c>
      <c r="L4681">
        <v>194660</v>
      </c>
      <c r="M4681">
        <v>-136936</v>
      </c>
      <c r="N4681">
        <v>131877</v>
      </c>
      <c r="O4681" t="s">
        <v>4699</v>
      </c>
      <c r="P4681" s="9">
        <v>278261</v>
      </c>
      <c r="Q4681" s="9">
        <v>23016</v>
      </c>
      <c r="R4681" s="9">
        <v>301277</v>
      </c>
      <c r="S4681" s="9">
        <v>-95435</v>
      </c>
      <c r="T4681" s="10">
        <v>66725</v>
      </c>
      <c r="U4681" s="10">
        <v>1621</v>
      </c>
    </row>
    <row r="4682" spans="1:21" x14ac:dyDescent="0.35">
      <c r="A4682" t="s">
        <v>15</v>
      </c>
      <c r="B4682" t="s">
        <v>20</v>
      </c>
      <c r="C4682" t="s">
        <v>17</v>
      </c>
      <c r="D4682">
        <v>177815</v>
      </c>
      <c r="E4682">
        <v>25178</v>
      </c>
      <c r="F4682">
        <v>37855</v>
      </c>
      <c r="G4682">
        <v>-142412</v>
      </c>
      <c r="H4682">
        <v>98436</v>
      </c>
      <c r="I4682">
        <v>90152</v>
      </c>
      <c r="J4682">
        <v>993</v>
      </c>
      <c r="K4682">
        <v>364197</v>
      </c>
      <c r="L4682">
        <v>96730</v>
      </c>
      <c r="M4682">
        <v>-63493</v>
      </c>
      <c r="N4682">
        <v>142996</v>
      </c>
      <c r="O4682" t="s">
        <v>4700</v>
      </c>
      <c r="P4682" s="9">
        <v>239094</v>
      </c>
      <c r="Q4682" s="9">
        <v>43935</v>
      </c>
      <c r="R4682" s="9">
        <v>283029</v>
      </c>
      <c r="S4682" s="9">
        <v>-62382</v>
      </c>
      <c r="T4682" s="10">
        <v>101201</v>
      </c>
      <c r="U4682" s="10">
        <v>2232</v>
      </c>
    </row>
    <row r="4683" spans="1:21" x14ac:dyDescent="0.35">
      <c r="A4683" t="s">
        <v>15</v>
      </c>
      <c r="B4683" t="s">
        <v>20</v>
      </c>
      <c r="C4683" t="s">
        <v>17</v>
      </c>
      <c r="D4683">
        <v>165684</v>
      </c>
      <c r="E4683">
        <v>18296</v>
      </c>
      <c r="F4683">
        <v>17096</v>
      </c>
      <c r="G4683">
        <v>-141041</v>
      </c>
      <c r="H4683">
        <v>60035</v>
      </c>
      <c r="I4683">
        <v>61319</v>
      </c>
      <c r="J4683">
        <v>1002</v>
      </c>
      <c r="K4683">
        <v>418746</v>
      </c>
      <c r="L4683">
        <v>157907</v>
      </c>
      <c r="M4683">
        <v>-105857</v>
      </c>
      <c r="N4683">
        <v>130244</v>
      </c>
      <c r="O4683" t="s">
        <v>4701</v>
      </c>
      <c r="P4683" s="9">
        <v>214566</v>
      </c>
      <c r="Q4683" s="9">
        <v>27594</v>
      </c>
      <c r="R4683" s="9">
        <v>242160</v>
      </c>
      <c r="S4683" s="9">
        <v>-99617</v>
      </c>
      <c r="T4683" s="10">
        <v>71155</v>
      </c>
      <c r="U4683" s="10">
        <v>2119</v>
      </c>
    </row>
    <row r="4684" spans="1:21" x14ac:dyDescent="0.35">
      <c r="A4684" t="s">
        <v>15</v>
      </c>
      <c r="B4684" t="s">
        <v>20</v>
      </c>
      <c r="C4684" t="s">
        <v>17</v>
      </c>
      <c r="D4684">
        <v>152566</v>
      </c>
      <c r="E4684">
        <v>7951</v>
      </c>
      <c r="F4684">
        <v>17656</v>
      </c>
      <c r="G4684">
        <v>-129872</v>
      </c>
      <c r="H4684">
        <v>48301</v>
      </c>
      <c r="I4684">
        <v>47830</v>
      </c>
      <c r="J4684">
        <v>1212</v>
      </c>
      <c r="K4684">
        <v>362354</v>
      </c>
      <c r="L4684">
        <v>166414</v>
      </c>
      <c r="M4684">
        <v>-101447</v>
      </c>
      <c r="N4684">
        <v>57532</v>
      </c>
      <c r="O4684" t="s">
        <v>4702</v>
      </c>
      <c r="P4684" s="9">
        <v>171447</v>
      </c>
      <c r="Q4684" s="9">
        <v>32850</v>
      </c>
      <c r="R4684" s="9">
        <v>204297</v>
      </c>
      <c r="S4684" s="9">
        <v>-72357</v>
      </c>
      <c r="T4684" s="10">
        <v>80670</v>
      </c>
      <c r="U4684" s="10">
        <v>1303</v>
      </c>
    </row>
    <row r="4685" spans="1:21" x14ac:dyDescent="0.35">
      <c r="A4685" t="s">
        <v>15</v>
      </c>
      <c r="B4685" t="s">
        <v>16</v>
      </c>
      <c r="C4685" t="s">
        <v>21</v>
      </c>
      <c r="D4685">
        <v>282214</v>
      </c>
      <c r="E4685">
        <v>15657</v>
      </c>
      <c r="F4685">
        <v>32952</v>
      </c>
      <c r="G4685">
        <v>-245229</v>
      </c>
      <c r="H4685">
        <v>85594</v>
      </c>
      <c r="I4685">
        <v>89605</v>
      </c>
      <c r="J4685">
        <v>1813</v>
      </c>
      <c r="K4685">
        <v>956423</v>
      </c>
      <c r="L4685">
        <v>170649</v>
      </c>
      <c r="M4685">
        <v>-148184</v>
      </c>
      <c r="N4685">
        <v>141709</v>
      </c>
      <c r="O4685" t="s">
        <v>4703</v>
      </c>
      <c r="P4685" s="9">
        <v>181565</v>
      </c>
      <c r="Q4685" s="9">
        <v>14841</v>
      </c>
      <c r="R4685" s="9">
        <v>196406</v>
      </c>
      <c r="S4685" s="9">
        <v>-59492</v>
      </c>
      <c r="T4685" s="10">
        <v>73138</v>
      </c>
      <c r="U4685" s="10">
        <v>1094</v>
      </c>
    </row>
    <row r="4686" spans="1:21" x14ac:dyDescent="0.35">
      <c r="A4686" t="s">
        <v>15</v>
      </c>
      <c r="B4686" t="s">
        <v>16</v>
      </c>
      <c r="C4686" t="s">
        <v>21</v>
      </c>
      <c r="D4686">
        <v>168890</v>
      </c>
      <c r="E4686">
        <v>27285</v>
      </c>
      <c r="F4686">
        <v>19766</v>
      </c>
      <c r="G4686">
        <v>-145102</v>
      </c>
      <c r="H4686">
        <v>70839</v>
      </c>
      <c r="I4686">
        <v>72368</v>
      </c>
      <c r="J4686">
        <v>1274</v>
      </c>
      <c r="K4686">
        <v>558046</v>
      </c>
      <c r="L4686">
        <v>167795</v>
      </c>
      <c r="M4686">
        <v>-176382</v>
      </c>
      <c r="N4686">
        <v>117054</v>
      </c>
      <c r="O4686" t="s">
        <v>4704</v>
      </c>
      <c r="P4686" s="9">
        <v>201253</v>
      </c>
      <c r="Q4686" s="9">
        <v>13417</v>
      </c>
      <c r="R4686" s="9">
        <v>214670</v>
      </c>
      <c r="S4686" s="9">
        <v>-75988</v>
      </c>
      <c r="T4686" s="10">
        <v>83471</v>
      </c>
      <c r="U4686" s="10">
        <v>1655</v>
      </c>
    </row>
    <row r="4687" spans="1:21" x14ac:dyDescent="0.35">
      <c r="A4687" t="s">
        <v>15</v>
      </c>
      <c r="B4687" t="s">
        <v>16</v>
      </c>
      <c r="C4687" t="s">
        <v>21</v>
      </c>
      <c r="D4687">
        <v>237455</v>
      </c>
      <c r="E4687">
        <v>15899</v>
      </c>
      <c r="F4687">
        <v>36737</v>
      </c>
      <c r="G4687">
        <v>-193318</v>
      </c>
      <c r="H4687">
        <v>96773</v>
      </c>
      <c r="I4687">
        <v>100661</v>
      </c>
      <c r="J4687">
        <v>2342</v>
      </c>
      <c r="K4687">
        <v>833223</v>
      </c>
      <c r="L4687">
        <v>99757</v>
      </c>
      <c r="M4687">
        <v>-99106</v>
      </c>
      <c r="N4687">
        <v>101962</v>
      </c>
      <c r="O4687" t="s">
        <v>4705</v>
      </c>
      <c r="P4687" s="9">
        <v>162801</v>
      </c>
      <c r="Q4687" s="9">
        <v>16146</v>
      </c>
      <c r="R4687" s="9">
        <v>178947</v>
      </c>
      <c r="S4687" s="9">
        <v>-88849</v>
      </c>
      <c r="T4687" s="10">
        <v>66041</v>
      </c>
      <c r="U4687" s="10">
        <v>1322</v>
      </c>
    </row>
    <row r="4688" spans="1:21" x14ac:dyDescent="0.35">
      <c r="A4688" t="s">
        <v>15</v>
      </c>
      <c r="B4688" t="s">
        <v>16</v>
      </c>
      <c r="C4688" t="s">
        <v>17</v>
      </c>
      <c r="D4688">
        <v>284699</v>
      </c>
      <c r="E4688">
        <v>45560</v>
      </c>
      <c r="F4688">
        <v>59456</v>
      </c>
      <c r="G4688">
        <v>-254576</v>
      </c>
      <c r="H4688">
        <v>135139</v>
      </c>
      <c r="I4688">
        <v>133155</v>
      </c>
      <c r="J4688">
        <v>2563</v>
      </c>
      <c r="K4688">
        <v>1086361</v>
      </c>
      <c r="L4688">
        <v>117746</v>
      </c>
      <c r="M4688">
        <v>-190097</v>
      </c>
      <c r="N4688">
        <v>87304</v>
      </c>
      <c r="O4688" t="s">
        <v>4706</v>
      </c>
      <c r="P4688" s="9">
        <v>236199</v>
      </c>
      <c r="Q4688" s="9">
        <v>13816</v>
      </c>
      <c r="R4688" s="9">
        <v>250015</v>
      </c>
      <c r="S4688" s="9">
        <v>-63285</v>
      </c>
      <c r="T4688" s="10">
        <v>53208</v>
      </c>
      <c r="U4688" s="10">
        <v>1256</v>
      </c>
    </row>
    <row r="4689" spans="1:21" x14ac:dyDescent="0.35">
      <c r="A4689" t="s">
        <v>15</v>
      </c>
      <c r="B4689" t="s">
        <v>16</v>
      </c>
      <c r="C4689" t="s">
        <v>21</v>
      </c>
      <c r="D4689">
        <v>155786</v>
      </c>
      <c r="E4689">
        <v>21558</v>
      </c>
      <c r="F4689">
        <v>29648</v>
      </c>
      <c r="G4689">
        <v>-138428</v>
      </c>
      <c r="H4689">
        <v>68564</v>
      </c>
      <c r="I4689">
        <v>61859</v>
      </c>
      <c r="J4689">
        <v>954</v>
      </c>
      <c r="K4689">
        <v>613614</v>
      </c>
      <c r="L4689">
        <v>130104</v>
      </c>
      <c r="M4689">
        <v>-122880</v>
      </c>
      <c r="N4689">
        <v>108517</v>
      </c>
      <c r="O4689" t="s">
        <v>4707</v>
      </c>
      <c r="P4689" s="9">
        <v>317752</v>
      </c>
      <c r="Q4689" s="9">
        <v>57819</v>
      </c>
      <c r="R4689" s="9">
        <v>375571</v>
      </c>
      <c r="S4689" s="9">
        <v>-79009</v>
      </c>
      <c r="T4689" s="10">
        <v>120339</v>
      </c>
      <c r="U4689" s="10">
        <v>2472</v>
      </c>
    </row>
    <row r="4690" spans="1:21" x14ac:dyDescent="0.35">
      <c r="A4690" t="s">
        <v>15</v>
      </c>
      <c r="B4690" t="s">
        <v>16</v>
      </c>
      <c r="C4690" t="s">
        <v>21</v>
      </c>
      <c r="D4690">
        <v>158635</v>
      </c>
      <c r="E4690">
        <v>10049</v>
      </c>
      <c r="F4690">
        <v>23919</v>
      </c>
      <c r="G4690">
        <v>-145773</v>
      </c>
      <c r="H4690">
        <v>46830</v>
      </c>
      <c r="I4690">
        <v>47032</v>
      </c>
      <c r="J4690">
        <v>569</v>
      </c>
      <c r="K4690">
        <v>584754</v>
      </c>
      <c r="L4690">
        <v>245562</v>
      </c>
      <c r="M4690">
        <v>-132615</v>
      </c>
      <c r="N4690">
        <v>57068</v>
      </c>
      <c r="O4690" t="s">
        <v>4708</v>
      </c>
      <c r="P4690" s="9">
        <v>163018</v>
      </c>
      <c r="Q4690" s="9">
        <v>10293</v>
      </c>
      <c r="R4690" s="9">
        <v>173311</v>
      </c>
      <c r="S4690" s="9">
        <v>-76190</v>
      </c>
      <c r="T4690" s="10">
        <v>56178</v>
      </c>
      <c r="U4690" s="10">
        <v>968</v>
      </c>
    </row>
    <row r="4691" spans="1:21" x14ac:dyDescent="0.35">
      <c r="A4691" t="s">
        <v>15</v>
      </c>
      <c r="B4691" t="s">
        <v>16</v>
      </c>
      <c r="C4691" t="s">
        <v>21</v>
      </c>
      <c r="D4691">
        <v>184646</v>
      </c>
      <c r="E4691">
        <v>21438</v>
      </c>
      <c r="F4691">
        <v>39689</v>
      </c>
      <c r="G4691">
        <v>-156103</v>
      </c>
      <c r="H4691">
        <v>89670</v>
      </c>
      <c r="I4691">
        <v>90725</v>
      </c>
      <c r="J4691">
        <v>1986</v>
      </c>
      <c r="K4691">
        <v>585852</v>
      </c>
      <c r="L4691">
        <v>277801</v>
      </c>
      <c r="M4691">
        <v>-199794</v>
      </c>
      <c r="N4691">
        <v>124684</v>
      </c>
      <c r="O4691" t="s">
        <v>4709</v>
      </c>
      <c r="P4691" s="9">
        <v>208193</v>
      </c>
      <c r="Q4691" s="9">
        <v>20299</v>
      </c>
      <c r="R4691" s="9">
        <v>228492</v>
      </c>
      <c r="S4691" s="9">
        <v>-84004</v>
      </c>
      <c r="T4691" s="10">
        <v>90479</v>
      </c>
      <c r="U4691" s="10">
        <v>1270</v>
      </c>
    </row>
    <row r="4692" spans="1:21" x14ac:dyDescent="0.35">
      <c r="A4692" t="s">
        <v>15</v>
      </c>
      <c r="B4692" t="s">
        <v>16</v>
      </c>
      <c r="C4692" t="s">
        <v>17</v>
      </c>
      <c r="D4692">
        <v>181931</v>
      </c>
      <c r="E4692">
        <v>16773</v>
      </c>
      <c r="F4692">
        <v>44473</v>
      </c>
      <c r="G4692">
        <v>-163745</v>
      </c>
      <c r="H4692">
        <v>79432</v>
      </c>
      <c r="I4692">
        <v>81892</v>
      </c>
      <c r="J4692">
        <v>926</v>
      </c>
      <c r="K4692">
        <v>566582</v>
      </c>
      <c r="L4692">
        <v>80501</v>
      </c>
      <c r="M4692">
        <v>-156411</v>
      </c>
      <c r="N4692">
        <v>128206</v>
      </c>
      <c r="O4692" t="s">
        <v>4710</v>
      </c>
      <c r="P4692" s="9">
        <v>161018</v>
      </c>
      <c r="Q4692" s="9">
        <v>33511</v>
      </c>
      <c r="R4692" s="9">
        <v>194529</v>
      </c>
      <c r="S4692" s="9">
        <v>-73518</v>
      </c>
      <c r="T4692" s="10">
        <v>70957</v>
      </c>
      <c r="U4692" s="10">
        <v>885</v>
      </c>
    </row>
    <row r="4693" spans="1:21" x14ac:dyDescent="0.35">
      <c r="A4693" t="s">
        <v>15</v>
      </c>
      <c r="B4693" t="s">
        <v>20</v>
      </c>
      <c r="C4693" t="s">
        <v>17</v>
      </c>
      <c r="D4693">
        <v>183306</v>
      </c>
      <c r="E4693">
        <v>34831</v>
      </c>
      <c r="F4693">
        <v>24252</v>
      </c>
      <c r="G4693">
        <v>-176717</v>
      </c>
      <c r="H4693">
        <v>65672</v>
      </c>
      <c r="I4693">
        <v>68255</v>
      </c>
      <c r="J4693">
        <v>902</v>
      </c>
      <c r="K4693">
        <v>409840</v>
      </c>
      <c r="L4693">
        <v>103927</v>
      </c>
      <c r="M4693">
        <v>-138206</v>
      </c>
      <c r="N4693">
        <v>133300</v>
      </c>
      <c r="O4693" t="s">
        <v>4711</v>
      </c>
      <c r="P4693" s="9">
        <v>178741</v>
      </c>
      <c r="Q4693" s="9">
        <v>23880</v>
      </c>
      <c r="R4693" s="9">
        <v>202621</v>
      </c>
      <c r="S4693" s="9">
        <v>-72761</v>
      </c>
      <c r="T4693" s="10">
        <v>69776</v>
      </c>
      <c r="U4693" s="10">
        <v>1548</v>
      </c>
    </row>
    <row r="4694" spans="1:21" x14ac:dyDescent="0.35">
      <c r="A4694" t="s">
        <v>15</v>
      </c>
      <c r="B4694" t="s">
        <v>20</v>
      </c>
      <c r="C4694" t="s">
        <v>21</v>
      </c>
      <c r="D4694">
        <v>232589</v>
      </c>
      <c r="E4694">
        <v>45290</v>
      </c>
      <c r="F4694">
        <v>23633</v>
      </c>
      <c r="G4694">
        <v>-213216</v>
      </c>
      <c r="H4694">
        <v>88296</v>
      </c>
      <c r="I4694">
        <v>89914</v>
      </c>
      <c r="J4694">
        <v>2034</v>
      </c>
      <c r="K4694">
        <v>480719</v>
      </c>
      <c r="L4694">
        <v>208225</v>
      </c>
      <c r="M4694">
        <v>-93634</v>
      </c>
      <c r="N4694">
        <v>90602</v>
      </c>
      <c r="O4694" t="s">
        <v>4712</v>
      </c>
      <c r="P4694" s="9">
        <v>143845</v>
      </c>
      <c r="Q4694" s="9">
        <v>10480</v>
      </c>
      <c r="R4694" s="9">
        <v>154325</v>
      </c>
      <c r="S4694" s="9">
        <v>-72822</v>
      </c>
      <c r="T4694" s="10">
        <v>68144</v>
      </c>
      <c r="U4694" s="10">
        <v>1055</v>
      </c>
    </row>
    <row r="4695" spans="1:21" x14ac:dyDescent="0.35">
      <c r="A4695" t="s">
        <v>15</v>
      </c>
      <c r="B4695" t="s">
        <v>16</v>
      </c>
      <c r="C4695" t="s">
        <v>21</v>
      </c>
      <c r="D4695">
        <v>223321</v>
      </c>
      <c r="E4695">
        <v>30601</v>
      </c>
      <c r="F4695">
        <v>27761</v>
      </c>
      <c r="G4695">
        <v>-197508</v>
      </c>
      <c r="H4695">
        <v>84175</v>
      </c>
      <c r="I4695">
        <v>83894</v>
      </c>
      <c r="J4695">
        <v>1183</v>
      </c>
      <c r="K4695">
        <v>457493</v>
      </c>
      <c r="L4695">
        <v>158020</v>
      </c>
      <c r="M4695">
        <v>-166335</v>
      </c>
      <c r="N4695">
        <v>170545</v>
      </c>
      <c r="O4695" t="s">
        <v>4713</v>
      </c>
      <c r="P4695" s="9">
        <v>156286</v>
      </c>
      <c r="Q4695" s="9">
        <v>30290</v>
      </c>
      <c r="R4695" s="9">
        <v>186576</v>
      </c>
      <c r="S4695" s="9">
        <v>-107014</v>
      </c>
      <c r="T4695" s="10">
        <v>48607</v>
      </c>
      <c r="U4695" s="10">
        <v>925</v>
      </c>
    </row>
    <row r="4696" spans="1:21" x14ac:dyDescent="0.35">
      <c r="A4696" t="s">
        <v>15</v>
      </c>
      <c r="B4696" t="s">
        <v>16</v>
      </c>
      <c r="C4696" t="s">
        <v>17</v>
      </c>
      <c r="D4696">
        <v>204637</v>
      </c>
      <c r="E4696">
        <v>30180</v>
      </c>
      <c r="F4696">
        <v>39003</v>
      </c>
      <c r="G4696">
        <v>-196780</v>
      </c>
      <c r="H4696">
        <v>77040</v>
      </c>
      <c r="I4696">
        <v>78032</v>
      </c>
      <c r="J4696">
        <v>1262</v>
      </c>
      <c r="K4696">
        <v>489842</v>
      </c>
      <c r="L4696">
        <v>71102</v>
      </c>
      <c r="M4696">
        <v>-107963</v>
      </c>
      <c r="N4696">
        <v>154372</v>
      </c>
      <c r="O4696" t="s">
        <v>4714</v>
      </c>
      <c r="P4696" s="9">
        <v>216433</v>
      </c>
      <c r="Q4696" s="9">
        <v>40013</v>
      </c>
      <c r="R4696" s="9">
        <v>256446</v>
      </c>
      <c r="S4696" s="9">
        <v>-109602</v>
      </c>
      <c r="T4696" s="10">
        <v>88639</v>
      </c>
      <c r="U4696" s="10">
        <v>2336</v>
      </c>
    </row>
    <row r="4697" spans="1:21" x14ac:dyDescent="0.35">
      <c r="A4697" t="s">
        <v>15</v>
      </c>
      <c r="B4697" t="s">
        <v>16</v>
      </c>
      <c r="C4697" t="s">
        <v>21</v>
      </c>
      <c r="D4697">
        <v>185972</v>
      </c>
      <c r="E4697">
        <v>26961</v>
      </c>
      <c r="F4697">
        <v>45904</v>
      </c>
      <c r="G4697">
        <v>-168824</v>
      </c>
      <c r="H4697">
        <v>90013</v>
      </c>
      <c r="I4697">
        <v>89377</v>
      </c>
      <c r="J4697">
        <v>1364</v>
      </c>
      <c r="K4697">
        <v>532068</v>
      </c>
      <c r="L4697">
        <v>134216</v>
      </c>
      <c r="M4697">
        <v>-157476</v>
      </c>
      <c r="N4697">
        <v>158143</v>
      </c>
      <c r="O4697" t="s">
        <v>4715</v>
      </c>
      <c r="P4697" s="9">
        <v>187504</v>
      </c>
      <c r="Q4697" s="9">
        <v>15614</v>
      </c>
      <c r="R4697" s="9">
        <v>203118</v>
      </c>
      <c r="S4697" s="9">
        <v>-99237</v>
      </c>
      <c r="T4697" s="10">
        <v>92197</v>
      </c>
      <c r="U4697" s="10">
        <v>2417</v>
      </c>
    </row>
    <row r="4698" spans="1:21" x14ac:dyDescent="0.35">
      <c r="A4698" t="s">
        <v>15</v>
      </c>
      <c r="B4698" t="s">
        <v>16</v>
      </c>
      <c r="C4698" t="s">
        <v>17</v>
      </c>
      <c r="D4698">
        <v>223868</v>
      </c>
      <c r="E4698">
        <v>11552</v>
      </c>
      <c r="F4698">
        <v>27214</v>
      </c>
      <c r="G4698">
        <v>-204147</v>
      </c>
      <c r="H4698">
        <v>58487</v>
      </c>
      <c r="I4698">
        <v>56273</v>
      </c>
      <c r="J4698">
        <v>685</v>
      </c>
      <c r="K4698">
        <v>472626</v>
      </c>
      <c r="L4698">
        <v>117860</v>
      </c>
      <c r="M4698">
        <v>-139577</v>
      </c>
      <c r="N4698">
        <v>201262</v>
      </c>
      <c r="O4698" t="s">
        <v>4716</v>
      </c>
      <c r="P4698" s="9">
        <v>276760</v>
      </c>
      <c r="Q4698" s="9">
        <v>33909</v>
      </c>
      <c r="R4698" s="9">
        <v>310669</v>
      </c>
      <c r="S4698" s="9">
        <v>-169857</v>
      </c>
      <c r="T4698" s="10">
        <v>114994</v>
      </c>
      <c r="U4698" s="10">
        <v>1287</v>
      </c>
    </row>
    <row r="4699" spans="1:21" x14ac:dyDescent="0.35">
      <c r="A4699" t="s">
        <v>15</v>
      </c>
      <c r="B4699" t="s">
        <v>16</v>
      </c>
      <c r="C4699" t="s">
        <v>21</v>
      </c>
      <c r="D4699">
        <v>231716</v>
      </c>
      <c r="E4699">
        <v>13749</v>
      </c>
      <c r="F4699">
        <v>51238</v>
      </c>
      <c r="G4699">
        <v>-190250</v>
      </c>
      <c r="H4699">
        <v>106453</v>
      </c>
      <c r="I4699">
        <v>97108</v>
      </c>
      <c r="J4699">
        <v>1088</v>
      </c>
      <c r="K4699">
        <v>514027</v>
      </c>
      <c r="L4699">
        <v>162626</v>
      </c>
      <c r="M4699">
        <v>-161683</v>
      </c>
      <c r="N4699">
        <v>114874</v>
      </c>
      <c r="O4699" t="s">
        <v>4717</v>
      </c>
      <c r="P4699" s="9">
        <v>229001</v>
      </c>
      <c r="Q4699" s="9">
        <v>15004</v>
      </c>
      <c r="R4699" s="9">
        <v>244005</v>
      </c>
      <c r="S4699" s="9">
        <v>-96083</v>
      </c>
      <c r="T4699" s="10">
        <v>75501</v>
      </c>
      <c r="U4699" s="10">
        <v>2023</v>
      </c>
    </row>
    <row r="4700" spans="1:21" x14ac:dyDescent="0.35">
      <c r="A4700" t="s">
        <v>15</v>
      </c>
      <c r="B4700" t="s">
        <v>16</v>
      </c>
      <c r="C4700" t="s">
        <v>21</v>
      </c>
      <c r="D4700">
        <v>223541</v>
      </c>
      <c r="E4700">
        <v>11442</v>
      </c>
      <c r="F4700">
        <v>51184</v>
      </c>
      <c r="G4700">
        <v>-203428</v>
      </c>
      <c r="H4700">
        <v>82739</v>
      </c>
      <c r="I4700">
        <v>81224</v>
      </c>
      <c r="J4700">
        <v>2402</v>
      </c>
      <c r="K4700">
        <v>744923</v>
      </c>
      <c r="L4700">
        <v>339324</v>
      </c>
      <c r="M4700">
        <v>-123734</v>
      </c>
      <c r="N4700">
        <v>98412</v>
      </c>
      <c r="O4700" t="s">
        <v>4718</v>
      </c>
      <c r="P4700" s="9">
        <v>149507</v>
      </c>
      <c r="Q4700" s="9">
        <v>33120</v>
      </c>
      <c r="R4700" s="9">
        <v>182627</v>
      </c>
      <c r="S4700" s="9">
        <v>-61392</v>
      </c>
      <c r="T4700" s="10">
        <v>84939</v>
      </c>
      <c r="U4700" s="10">
        <v>1049</v>
      </c>
    </row>
    <row r="4701" spans="1:21" x14ac:dyDescent="0.35">
      <c r="A4701" t="s">
        <v>15</v>
      </c>
      <c r="B4701" t="s">
        <v>16</v>
      </c>
      <c r="C4701" t="s">
        <v>21</v>
      </c>
      <c r="D4701">
        <v>196249</v>
      </c>
      <c r="E4701">
        <v>33597</v>
      </c>
      <c r="F4701">
        <v>39177</v>
      </c>
      <c r="G4701">
        <v>-169821</v>
      </c>
      <c r="H4701">
        <v>99202</v>
      </c>
      <c r="I4701">
        <v>97228</v>
      </c>
      <c r="J4701">
        <v>2745</v>
      </c>
      <c r="K4701">
        <v>632283</v>
      </c>
      <c r="L4701">
        <v>159951</v>
      </c>
      <c r="M4701">
        <v>-139950</v>
      </c>
      <c r="N4701">
        <v>157403</v>
      </c>
      <c r="O4701" t="s">
        <v>4719</v>
      </c>
      <c r="P4701" s="9">
        <v>274567</v>
      </c>
      <c r="Q4701" s="9">
        <v>45803</v>
      </c>
      <c r="R4701" s="9">
        <v>320370</v>
      </c>
      <c r="S4701" s="9">
        <v>-151950</v>
      </c>
      <c r="T4701" s="10">
        <v>134217</v>
      </c>
      <c r="U4701" s="10">
        <v>1699</v>
      </c>
    </row>
    <row r="4702" spans="1:21" x14ac:dyDescent="0.35">
      <c r="A4702" t="s">
        <v>15</v>
      </c>
      <c r="B4702" t="s">
        <v>16</v>
      </c>
      <c r="C4702" t="s">
        <v>21</v>
      </c>
      <c r="D4702">
        <v>176175</v>
      </c>
      <c r="E4702">
        <v>16820</v>
      </c>
      <c r="F4702">
        <v>24438</v>
      </c>
      <c r="G4702">
        <v>-159331</v>
      </c>
      <c r="H4702">
        <v>58102</v>
      </c>
      <c r="I4702">
        <v>53450</v>
      </c>
      <c r="J4702">
        <v>656</v>
      </c>
      <c r="K4702">
        <v>482311</v>
      </c>
      <c r="L4702">
        <v>191743</v>
      </c>
      <c r="M4702">
        <v>-68071</v>
      </c>
      <c r="N4702">
        <v>133137</v>
      </c>
      <c r="O4702" t="s">
        <v>4720</v>
      </c>
      <c r="P4702" s="9">
        <v>185962</v>
      </c>
      <c r="Q4702" s="9">
        <v>11893</v>
      </c>
      <c r="R4702" s="9">
        <v>197855</v>
      </c>
      <c r="S4702" s="9">
        <v>-81052</v>
      </c>
      <c r="T4702" s="10">
        <v>55735</v>
      </c>
      <c r="U4702" s="10">
        <v>1078</v>
      </c>
    </row>
    <row r="4703" spans="1:21" x14ac:dyDescent="0.35">
      <c r="A4703" t="s">
        <v>15</v>
      </c>
      <c r="B4703" t="s">
        <v>16</v>
      </c>
      <c r="C4703" t="s">
        <v>17</v>
      </c>
      <c r="D4703">
        <v>184470</v>
      </c>
      <c r="E4703">
        <v>14390</v>
      </c>
      <c r="F4703">
        <v>42225</v>
      </c>
      <c r="G4703">
        <v>-160675</v>
      </c>
      <c r="H4703">
        <v>80410</v>
      </c>
      <c r="I4703">
        <v>77460</v>
      </c>
      <c r="J4703">
        <v>2002</v>
      </c>
      <c r="K4703">
        <v>662508</v>
      </c>
      <c r="L4703">
        <v>218988</v>
      </c>
      <c r="M4703">
        <v>-170965</v>
      </c>
      <c r="N4703">
        <v>68455</v>
      </c>
      <c r="O4703" t="s">
        <v>4721</v>
      </c>
      <c r="P4703" s="9">
        <v>316346</v>
      </c>
      <c r="Q4703" s="9">
        <v>49239</v>
      </c>
      <c r="R4703" s="9">
        <v>365585</v>
      </c>
      <c r="S4703" s="9">
        <v>-170463</v>
      </c>
      <c r="T4703" s="10">
        <v>113766</v>
      </c>
      <c r="U4703" s="10">
        <v>3357</v>
      </c>
    </row>
    <row r="4704" spans="1:21" x14ac:dyDescent="0.35">
      <c r="A4704" t="s">
        <v>15</v>
      </c>
      <c r="B4704" t="s">
        <v>20</v>
      </c>
      <c r="C4704" t="s">
        <v>21</v>
      </c>
      <c r="D4704">
        <v>203446</v>
      </c>
      <c r="E4704">
        <v>23460</v>
      </c>
      <c r="F4704">
        <v>44866</v>
      </c>
      <c r="G4704">
        <v>-185981</v>
      </c>
      <c r="H4704">
        <v>85791</v>
      </c>
      <c r="I4704">
        <v>80145</v>
      </c>
      <c r="J4704">
        <v>2355</v>
      </c>
      <c r="K4704">
        <v>468620</v>
      </c>
      <c r="L4704">
        <v>166430</v>
      </c>
      <c r="M4704">
        <v>-61462</v>
      </c>
      <c r="N4704">
        <v>182161</v>
      </c>
      <c r="O4704" t="s">
        <v>4722</v>
      </c>
      <c r="P4704" s="9">
        <v>223228</v>
      </c>
      <c r="Q4704" s="9">
        <v>38128</v>
      </c>
      <c r="R4704" s="9">
        <v>261356</v>
      </c>
      <c r="S4704" s="9">
        <v>-72635</v>
      </c>
      <c r="T4704" s="10">
        <v>114334</v>
      </c>
      <c r="U4704" s="10">
        <v>1481</v>
      </c>
    </row>
    <row r="4705" spans="1:21" x14ac:dyDescent="0.35">
      <c r="A4705" t="s">
        <v>15</v>
      </c>
      <c r="B4705" t="s">
        <v>16</v>
      </c>
      <c r="C4705" t="s">
        <v>21</v>
      </c>
      <c r="D4705">
        <v>163199</v>
      </c>
      <c r="E4705">
        <v>14000</v>
      </c>
      <c r="F4705">
        <v>32036</v>
      </c>
      <c r="G4705">
        <v>-156938</v>
      </c>
      <c r="H4705">
        <v>52297</v>
      </c>
      <c r="I4705">
        <v>52191</v>
      </c>
      <c r="J4705">
        <v>837</v>
      </c>
      <c r="K4705">
        <v>610653</v>
      </c>
      <c r="L4705">
        <v>241769</v>
      </c>
      <c r="M4705">
        <v>-95680</v>
      </c>
      <c r="N4705">
        <v>91846</v>
      </c>
      <c r="O4705" t="s">
        <v>4723</v>
      </c>
      <c r="P4705" s="9">
        <v>283895</v>
      </c>
      <c r="Q4705" s="9">
        <v>31662</v>
      </c>
      <c r="R4705" s="9">
        <v>315557</v>
      </c>
      <c r="S4705" s="9">
        <v>-141430</v>
      </c>
      <c r="T4705" s="10">
        <v>127123</v>
      </c>
      <c r="U4705" s="10">
        <v>1947</v>
      </c>
    </row>
    <row r="4706" spans="1:21" x14ac:dyDescent="0.35">
      <c r="A4706" t="s">
        <v>15</v>
      </c>
      <c r="B4706" t="s">
        <v>20</v>
      </c>
      <c r="C4706" t="s">
        <v>17</v>
      </c>
      <c r="D4706">
        <v>275460</v>
      </c>
      <c r="E4706">
        <v>27360</v>
      </c>
      <c r="F4706">
        <v>50989</v>
      </c>
      <c r="G4706">
        <v>-263469</v>
      </c>
      <c r="H4706">
        <v>90340</v>
      </c>
      <c r="I4706">
        <v>84242</v>
      </c>
      <c r="J4706">
        <v>1049</v>
      </c>
      <c r="K4706">
        <v>567918</v>
      </c>
      <c r="L4706">
        <v>247053</v>
      </c>
      <c r="M4706">
        <v>-73230</v>
      </c>
      <c r="N4706">
        <v>132653</v>
      </c>
      <c r="O4706" t="s">
        <v>4724</v>
      </c>
      <c r="P4706" s="9">
        <v>301820</v>
      </c>
      <c r="Q4706" s="9">
        <v>18075</v>
      </c>
      <c r="R4706" s="9">
        <v>319895</v>
      </c>
      <c r="S4706" s="9">
        <v>-178029</v>
      </c>
      <c r="T4706" s="10">
        <v>55623</v>
      </c>
      <c r="U4706" s="10">
        <v>1211</v>
      </c>
    </row>
    <row r="4707" spans="1:21" x14ac:dyDescent="0.35">
      <c r="A4707" t="s">
        <v>15</v>
      </c>
      <c r="B4707" t="s">
        <v>16</v>
      </c>
      <c r="C4707" t="s">
        <v>21</v>
      </c>
      <c r="D4707">
        <v>296392</v>
      </c>
      <c r="E4707">
        <v>37371</v>
      </c>
      <c r="F4707">
        <v>62352</v>
      </c>
      <c r="G4707">
        <v>-291910</v>
      </c>
      <c r="H4707">
        <v>104205</v>
      </c>
      <c r="I4707">
        <v>102561</v>
      </c>
      <c r="J4707">
        <v>1901</v>
      </c>
      <c r="K4707">
        <v>599581</v>
      </c>
      <c r="L4707">
        <v>111793</v>
      </c>
      <c r="M4707">
        <v>-182486</v>
      </c>
      <c r="N4707">
        <v>120085</v>
      </c>
      <c r="O4707" t="s">
        <v>4725</v>
      </c>
      <c r="P4707" s="9">
        <v>197872</v>
      </c>
      <c r="Q4707" s="9">
        <v>11993</v>
      </c>
      <c r="R4707" s="9">
        <v>209865</v>
      </c>
      <c r="S4707" s="9">
        <v>-65072</v>
      </c>
      <c r="T4707" s="10">
        <v>92859</v>
      </c>
      <c r="U4707" s="10">
        <v>1193</v>
      </c>
    </row>
    <row r="4708" spans="1:21" x14ac:dyDescent="0.35">
      <c r="A4708" t="s">
        <v>15</v>
      </c>
      <c r="B4708" t="s">
        <v>20</v>
      </c>
      <c r="C4708" t="s">
        <v>21</v>
      </c>
      <c r="D4708">
        <v>154887</v>
      </c>
      <c r="E4708">
        <v>11217</v>
      </c>
      <c r="F4708">
        <v>29076</v>
      </c>
      <c r="G4708">
        <v>-127594</v>
      </c>
      <c r="H4708">
        <v>67586</v>
      </c>
      <c r="I4708">
        <v>65858</v>
      </c>
      <c r="J4708">
        <v>1884</v>
      </c>
      <c r="K4708">
        <v>478471</v>
      </c>
      <c r="L4708">
        <v>169618</v>
      </c>
      <c r="M4708">
        <v>-153382</v>
      </c>
      <c r="N4708">
        <v>97318</v>
      </c>
      <c r="O4708" t="s">
        <v>4726</v>
      </c>
      <c r="P4708" s="9">
        <v>296704</v>
      </c>
      <c r="Q4708" s="9">
        <v>20159</v>
      </c>
      <c r="R4708" s="9">
        <v>316863</v>
      </c>
      <c r="S4708" s="9">
        <v>-130071</v>
      </c>
      <c r="T4708" s="10">
        <v>97320</v>
      </c>
      <c r="U4708" s="10">
        <v>2855</v>
      </c>
    </row>
    <row r="4709" spans="1:21" x14ac:dyDescent="0.35">
      <c r="A4709" t="s">
        <v>15</v>
      </c>
      <c r="B4709" t="s">
        <v>16</v>
      </c>
      <c r="C4709" t="s">
        <v>21</v>
      </c>
      <c r="D4709">
        <v>182783</v>
      </c>
      <c r="E4709">
        <v>32376</v>
      </c>
      <c r="F4709">
        <v>24372</v>
      </c>
      <c r="G4709">
        <v>-164218</v>
      </c>
      <c r="H4709">
        <v>75313</v>
      </c>
      <c r="I4709">
        <v>74289</v>
      </c>
      <c r="J4709">
        <v>1601</v>
      </c>
      <c r="K4709">
        <v>596729</v>
      </c>
      <c r="L4709">
        <v>64977</v>
      </c>
      <c r="M4709">
        <v>-120128</v>
      </c>
      <c r="N4709">
        <v>85975</v>
      </c>
      <c r="O4709" t="s">
        <v>4727</v>
      </c>
      <c r="P4709" s="9">
        <v>274848</v>
      </c>
      <c r="Q4709" s="9">
        <v>50544</v>
      </c>
      <c r="R4709" s="9">
        <v>325392</v>
      </c>
      <c r="S4709" s="9">
        <v>-182655</v>
      </c>
      <c r="T4709" s="10">
        <v>109718</v>
      </c>
      <c r="U4709" s="10">
        <v>2357</v>
      </c>
    </row>
    <row r="4710" spans="1:21" x14ac:dyDescent="0.35">
      <c r="A4710" t="s">
        <v>15</v>
      </c>
      <c r="B4710" t="s">
        <v>20</v>
      </c>
      <c r="C4710" t="s">
        <v>21</v>
      </c>
      <c r="D4710">
        <v>177647</v>
      </c>
      <c r="E4710">
        <v>18153</v>
      </c>
      <c r="F4710">
        <v>23171</v>
      </c>
      <c r="G4710">
        <v>-157227</v>
      </c>
      <c r="H4710">
        <v>61744</v>
      </c>
      <c r="I4710">
        <v>64542</v>
      </c>
      <c r="J4710">
        <v>750</v>
      </c>
      <c r="K4710">
        <v>484895</v>
      </c>
      <c r="L4710">
        <v>65567</v>
      </c>
      <c r="M4710">
        <v>-111781</v>
      </c>
      <c r="N4710">
        <v>123152</v>
      </c>
      <c r="O4710" t="s">
        <v>4728</v>
      </c>
      <c r="P4710" s="9">
        <v>173490</v>
      </c>
      <c r="Q4710" s="9">
        <v>35371</v>
      </c>
      <c r="R4710" s="9">
        <v>208861</v>
      </c>
      <c r="S4710" s="9">
        <v>-79496</v>
      </c>
      <c r="T4710" s="10">
        <v>105700</v>
      </c>
      <c r="U4710" s="10">
        <v>2959</v>
      </c>
    </row>
    <row r="4711" spans="1:21" x14ac:dyDescent="0.35">
      <c r="A4711" t="s">
        <v>15</v>
      </c>
      <c r="B4711" t="s">
        <v>16</v>
      </c>
      <c r="C4711" t="s">
        <v>21</v>
      </c>
      <c r="D4711">
        <v>150370</v>
      </c>
      <c r="E4711">
        <v>12112</v>
      </c>
      <c r="F4711">
        <v>29606</v>
      </c>
      <c r="G4711">
        <v>-143842</v>
      </c>
      <c r="H4711">
        <v>48246</v>
      </c>
      <c r="I4711">
        <v>49527</v>
      </c>
      <c r="J4711">
        <v>1238</v>
      </c>
      <c r="K4711">
        <v>504168</v>
      </c>
      <c r="L4711">
        <v>129376</v>
      </c>
      <c r="M4711">
        <v>-120193</v>
      </c>
      <c r="N4711">
        <v>100467</v>
      </c>
      <c r="O4711" t="s">
        <v>4729</v>
      </c>
      <c r="P4711" s="9">
        <v>174987</v>
      </c>
      <c r="Q4711" s="9">
        <v>9281</v>
      </c>
      <c r="R4711" s="9">
        <v>184268</v>
      </c>
      <c r="S4711" s="9">
        <v>-45294</v>
      </c>
      <c r="T4711" s="10">
        <v>53444</v>
      </c>
      <c r="U4711" s="10">
        <v>791</v>
      </c>
    </row>
    <row r="4712" spans="1:21" x14ac:dyDescent="0.35">
      <c r="A4712" t="s">
        <v>15</v>
      </c>
      <c r="B4712" t="s">
        <v>16</v>
      </c>
      <c r="C4712" t="s">
        <v>21</v>
      </c>
      <c r="D4712">
        <v>186586</v>
      </c>
      <c r="E4712">
        <v>10569</v>
      </c>
      <c r="F4712">
        <v>42554</v>
      </c>
      <c r="G4712">
        <v>-179966</v>
      </c>
      <c r="H4712">
        <v>59743</v>
      </c>
      <c r="I4712">
        <v>56749</v>
      </c>
      <c r="J4712">
        <v>931</v>
      </c>
      <c r="K4712">
        <v>377658</v>
      </c>
      <c r="L4712">
        <v>147189</v>
      </c>
      <c r="M4712">
        <v>-102661</v>
      </c>
      <c r="N4712">
        <v>97723</v>
      </c>
      <c r="O4712" t="s">
        <v>4730</v>
      </c>
      <c r="P4712" s="9">
        <v>276725</v>
      </c>
      <c r="Q4712" s="9">
        <v>46215</v>
      </c>
      <c r="R4712" s="9">
        <v>322940</v>
      </c>
      <c r="S4712" s="9">
        <v>-150392</v>
      </c>
      <c r="T4712" s="10">
        <v>104096</v>
      </c>
      <c r="U4712" s="10">
        <v>1396</v>
      </c>
    </row>
    <row r="4713" spans="1:21" x14ac:dyDescent="0.35">
      <c r="A4713" t="s">
        <v>15</v>
      </c>
      <c r="B4713" t="s">
        <v>20</v>
      </c>
      <c r="C4713" t="s">
        <v>21</v>
      </c>
      <c r="D4713">
        <v>261546</v>
      </c>
      <c r="E4713">
        <v>43903</v>
      </c>
      <c r="F4713">
        <v>40778</v>
      </c>
      <c r="G4713">
        <v>-245434</v>
      </c>
      <c r="H4713">
        <v>100793</v>
      </c>
      <c r="I4713">
        <v>90742</v>
      </c>
      <c r="J4713">
        <v>2364</v>
      </c>
      <c r="K4713">
        <v>525435</v>
      </c>
      <c r="L4713">
        <v>198255</v>
      </c>
      <c r="M4713">
        <v>-63703</v>
      </c>
      <c r="N4713">
        <v>209763</v>
      </c>
      <c r="O4713" t="s">
        <v>4731</v>
      </c>
      <c r="P4713" s="9">
        <v>211632</v>
      </c>
      <c r="Q4713" s="9">
        <v>29817</v>
      </c>
      <c r="R4713" s="9">
        <v>241449</v>
      </c>
      <c r="S4713" s="9">
        <v>-135839</v>
      </c>
      <c r="T4713" s="10">
        <v>73248</v>
      </c>
      <c r="U4713" s="10">
        <v>1675</v>
      </c>
    </row>
    <row r="4714" spans="1:21" x14ac:dyDescent="0.35">
      <c r="A4714" t="s">
        <v>15</v>
      </c>
      <c r="B4714" t="s">
        <v>20</v>
      </c>
      <c r="C4714" t="s">
        <v>17</v>
      </c>
      <c r="D4714">
        <v>163323</v>
      </c>
      <c r="E4714">
        <v>27910</v>
      </c>
      <c r="F4714">
        <v>32141</v>
      </c>
      <c r="G4714">
        <v>-134239</v>
      </c>
      <c r="H4714">
        <v>89135</v>
      </c>
      <c r="I4714">
        <v>93473</v>
      </c>
      <c r="J4714">
        <v>2553</v>
      </c>
      <c r="K4714">
        <v>565132</v>
      </c>
      <c r="L4714">
        <v>58197</v>
      </c>
      <c r="M4714">
        <v>-102040</v>
      </c>
      <c r="N4714">
        <v>79349</v>
      </c>
      <c r="O4714" t="s">
        <v>4732</v>
      </c>
      <c r="P4714" s="9">
        <v>221562</v>
      </c>
      <c r="Q4714" s="9">
        <v>29216</v>
      </c>
      <c r="R4714" s="9">
        <v>250778</v>
      </c>
      <c r="S4714" s="9">
        <v>-110120</v>
      </c>
      <c r="T4714" s="10">
        <v>92760</v>
      </c>
      <c r="U4714" s="10">
        <v>1577</v>
      </c>
    </row>
    <row r="4715" spans="1:21" x14ac:dyDescent="0.35">
      <c r="A4715" t="s">
        <v>15</v>
      </c>
      <c r="B4715" t="s">
        <v>20</v>
      </c>
      <c r="C4715" t="s">
        <v>21</v>
      </c>
      <c r="D4715">
        <v>151315</v>
      </c>
      <c r="E4715">
        <v>8290</v>
      </c>
      <c r="F4715">
        <v>22741</v>
      </c>
      <c r="G4715">
        <v>-126827</v>
      </c>
      <c r="H4715">
        <v>55519</v>
      </c>
      <c r="I4715">
        <v>50181</v>
      </c>
      <c r="J4715">
        <v>1270</v>
      </c>
      <c r="K4715">
        <v>600794</v>
      </c>
      <c r="L4715">
        <v>102915</v>
      </c>
      <c r="M4715">
        <v>-187112</v>
      </c>
      <c r="N4715">
        <v>71237</v>
      </c>
      <c r="O4715" t="s">
        <v>4733</v>
      </c>
      <c r="P4715" s="9">
        <v>153042</v>
      </c>
      <c r="Q4715" s="9">
        <v>14555</v>
      </c>
      <c r="R4715" s="9">
        <v>167597</v>
      </c>
      <c r="S4715" s="9">
        <v>-41364</v>
      </c>
      <c r="T4715" s="10">
        <v>76610</v>
      </c>
      <c r="U4715" s="10">
        <v>1833</v>
      </c>
    </row>
    <row r="4716" spans="1:21" x14ac:dyDescent="0.35">
      <c r="A4716" t="s">
        <v>15</v>
      </c>
      <c r="B4716" t="s">
        <v>16</v>
      </c>
      <c r="C4716" t="s">
        <v>17</v>
      </c>
      <c r="D4716">
        <v>297702</v>
      </c>
      <c r="E4716">
        <v>30958</v>
      </c>
      <c r="F4716">
        <v>63698</v>
      </c>
      <c r="G4716">
        <v>-261313</v>
      </c>
      <c r="H4716">
        <v>131045</v>
      </c>
      <c r="I4716">
        <v>136612</v>
      </c>
      <c r="J4716">
        <v>3027</v>
      </c>
      <c r="K4716">
        <v>1146548</v>
      </c>
      <c r="L4716">
        <v>358984</v>
      </c>
      <c r="M4716">
        <v>-139965</v>
      </c>
      <c r="N4716">
        <v>130672</v>
      </c>
      <c r="O4716" t="s">
        <v>4734</v>
      </c>
      <c r="P4716" s="9">
        <v>180383</v>
      </c>
      <c r="Q4716" s="9">
        <v>34761</v>
      </c>
      <c r="R4716" s="9">
        <v>215144</v>
      </c>
      <c r="S4716" s="9">
        <v>-96392</v>
      </c>
      <c r="T4716" s="10">
        <v>101552</v>
      </c>
      <c r="U4716" s="10">
        <v>1080</v>
      </c>
    </row>
    <row r="4717" spans="1:21" x14ac:dyDescent="0.35">
      <c r="A4717" t="s">
        <v>15</v>
      </c>
      <c r="B4717" t="s">
        <v>20</v>
      </c>
      <c r="C4717" t="s">
        <v>21</v>
      </c>
      <c r="D4717">
        <v>278268</v>
      </c>
      <c r="E4717">
        <v>21668</v>
      </c>
      <c r="F4717">
        <v>34405</v>
      </c>
      <c r="G4717">
        <v>-241258</v>
      </c>
      <c r="H4717">
        <v>93083</v>
      </c>
      <c r="I4717">
        <v>84293</v>
      </c>
      <c r="J4717">
        <v>2294</v>
      </c>
      <c r="K4717">
        <v>1003491</v>
      </c>
      <c r="L4717">
        <v>244943</v>
      </c>
      <c r="M4717">
        <v>-124711</v>
      </c>
      <c r="N4717">
        <v>243797</v>
      </c>
      <c r="O4717" t="s">
        <v>4735</v>
      </c>
      <c r="P4717" s="9">
        <v>286144</v>
      </c>
      <c r="Q4717" s="9">
        <v>40359</v>
      </c>
      <c r="R4717" s="9">
        <v>326503</v>
      </c>
      <c r="S4717" s="9">
        <v>-133116</v>
      </c>
      <c r="T4717" s="10">
        <v>130240</v>
      </c>
      <c r="U4717" s="10">
        <v>2931</v>
      </c>
    </row>
    <row r="4718" spans="1:21" x14ac:dyDescent="0.35">
      <c r="A4718" t="s">
        <v>15</v>
      </c>
      <c r="B4718" t="s">
        <v>16</v>
      </c>
      <c r="C4718" t="s">
        <v>17</v>
      </c>
      <c r="D4718">
        <v>197132</v>
      </c>
      <c r="E4718">
        <v>27913</v>
      </c>
      <c r="F4718">
        <v>28696</v>
      </c>
      <c r="G4718">
        <v>-176147</v>
      </c>
      <c r="H4718">
        <v>77594</v>
      </c>
      <c r="I4718">
        <v>70004</v>
      </c>
      <c r="J4718">
        <v>1589</v>
      </c>
      <c r="K4718">
        <v>423516</v>
      </c>
      <c r="L4718">
        <v>127285</v>
      </c>
      <c r="M4718">
        <v>-79692</v>
      </c>
      <c r="N4718">
        <v>149950</v>
      </c>
      <c r="O4718" t="s">
        <v>4736</v>
      </c>
      <c r="P4718" s="9">
        <v>261529</v>
      </c>
      <c r="Q4718" s="9">
        <v>33813</v>
      </c>
      <c r="R4718" s="9">
        <v>295342</v>
      </c>
      <c r="S4718" s="9">
        <v>-145175</v>
      </c>
      <c r="T4718" s="10">
        <v>101494</v>
      </c>
      <c r="U4718" s="10">
        <v>1460</v>
      </c>
    </row>
    <row r="4719" spans="1:21" x14ac:dyDescent="0.35">
      <c r="A4719" t="s">
        <v>15</v>
      </c>
      <c r="B4719" t="s">
        <v>16</v>
      </c>
      <c r="C4719" t="s">
        <v>21</v>
      </c>
      <c r="D4719">
        <v>151402</v>
      </c>
      <c r="E4719">
        <v>10590</v>
      </c>
      <c r="F4719">
        <v>24497</v>
      </c>
      <c r="G4719">
        <v>-143521</v>
      </c>
      <c r="H4719">
        <v>42968</v>
      </c>
      <c r="I4719">
        <v>39171</v>
      </c>
      <c r="J4719">
        <v>755</v>
      </c>
      <c r="K4719">
        <v>328404</v>
      </c>
      <c r="L4719">
        <v>38624</v>
      </c>
      <c r="M4719">
        <v>-55122</v>
      </c>
      <c r="N4719">
        <v>126650</v>
      </c>
      <c r="O4719" t="s">
        <v>4737</v>
      </c>
      <c r="P4719" s="9">
        <v>231211</v>
      </c>
      <c r="Q4719" s="9">
        <v>35806</v>
      </c>
      <c r="R4719" s="9">
        <v>267017</v>
      </c>
      <c r="S4719" s="9">
        <v>-72404</v>
      </c>
      <c r="T4719" s="10">
        <v>101237</v>
      </c>
      <c r="U4719" s="10">
        <v>1723</v>
      </c>
    </row>
    <row r="4720" spans="1:21" x14ac:dyDescent="0.35">
      <c r="A4720" t="s">
        <v>15</v>
      </c>
      <c r="B4720" t="s">
        <v>20</v>
      </c>
      <c r="C4720" t="s">
        <v>21</v>
      </c>
      <c r="D4720">
        <v>220299</v>
      </c>
      <c r="E4720">
        <v>36365</v>
      </c>
      <c r="F4720">
        <v>29028</v>
      </c>
      <c r="G4720">
        <v>-210088</v>
      </c>
      <c r="H4720">
        <v>75604</v>
      </c>
      <c r="I4720">
        <v>76850</v>
      </c>
      <c r="J4720">
        <v>1855</v>
      </c>
      <c r="K4720">
        <v>529470</v>
      </c>
      <c r="L4720">
        <v>138484</v>
      </c>
      <c r="M4720">
        <v>-58220</v>
      </c>
      <c r="N4720">
        <v>178981</v>
      </c>
      <c r="O4720" t="s">
        <v>4738</v>
      </c>
      <c r="P4720" s="9">
        <v>244598</v>
      </c>
      <c r="Q4720" s="9">
        <v>28139</v>
      </c>
      <c r="R4720" s="9">
        <v>272737</v>
      </c>
      <c r="S4720" s="9">
        <v>-138466</v>
      </c>
      <c r="T4720" s="10">
        <v>67980</v>
      </c>
      <c r="U4720" s="10">
        <v>883</v>
      </c>
    </row>
    <row r="4721" spans="1:21" x14ac:dyDescent="0.35">
      <c r="A4721" t="s">
        <v>15</v>
      </c>
      <c r="B4721" t="s">
        <v>20</v>
      </c>
      <c r="C4721" t="s">
        <v>21</v>
      </c>
      <c r="D4721">
        <v>226479</v>
      </c>
      <c r="E4721">
        <v>32350</v>
      </c>
      <c r="F4721">
        <v>25846</v>
      </c>
      <c r="G4721">
        <v>-194454</v>
      </c>
      <c r="H4721">
        <v>90221</v>
      </c>
      <c r="I4721">
        <v>94545</v>
      </c>
      <c r="J4721">
        <v>2609</v>
      </c>
      <c r="K4721">
        <v>625561</v>
      </c>
      <c r="L4721">
        <v>62858</v>
      </c>
      <c r="M4721">
        <v>-101775</v>
      </c>
      <c r="N4721">
        <v>149353</v>
      </c>
      <c r="O4721" t="s">
        <v>4739</v>
      </c>
      <c r="P4721" s="9">
        <v>317486</v>
      </c>
      <c r="Q4721" s="9">
        <v>49936</v>
      </c>
      <c r="R4721" s="9">
        <v>367422</v>
      </c>
      <c r="S4721" s="9">
        <v>-132548</v>
      </c>
      <c r="T4721" s="10">
        <v>90936</v>
      </c>
      <c r="U4721" s="10">
        <v>1421</v>
      </c>
    </row>
    <row r="4722" spans="1:21" x14ac:dyDescent="0.35">
      <c r="A4722" t="s">
        <v>15</v>
      </c>
      <c r="B4722" t="s">
        <v>20</v>
      </c>
      <c r="C4722" t="s">
        <v>21</v>
      </c>
      <c r="D4722">
        <v>213030</v>
      </c>
      <c r="E4722">
        <v>10701</v>
      </c>
      <c r="F4722">
        <v>51733</v>
      </c>
      <c r="G4722">
        <v>-176543</v>
      </c>
      <c r="H4722">
        <v>98921</v>
      </c>
      <c r="I4722">
        <v>90903</v>
      </c>
      <c r="J4722">
        <v>1441</v>
      </c>
      <c r="K4722">
        <v>536366</v>
      </c>
      <c r="L4722">
        <v>233116</v>
      </c>
      <c r="M4722">
        <v>-107207</v>
      </c>
      <c r="N4722">
        <v>157193</v>
      </c>
      <c r="O4722" t="s">
        <v>4740</v>
      </c>
      <c r="P4722" s="9">
        <v>183086</v>
      </c>
      <c r="Q4722" s="9">
        <v>15087</v>
      </c>
      <c r="R4722" s="9">
        <v>198173</v>
      </c>
      <c r="S4722" s="9">
        <v>-101456</v>
      </c>
      <c r="T4722" s="10">
        <v>53913</v>
      </c>
      <c r="U4722" s="10">
        <v>762</v>
      </c>
    </row>
    <row r="4723" spans="1:21" x14ac:dyDescent="0.35">
      <c r="A4723" t="s">
        <v>15</v>
      </c>
      <c r="B4723" t="s">
        <v>16</v>
      </c>
      <c r="C4723" t="s">
        <v>17</v>
      </c>
      <c r="D4723">
        <v>277311</v>
      </c>
      <c r="E4723">
        <v>49096</v>
      </c>
      <c r="F4723">
        <v>60688</v>
      </c>
      <c r="G4723">
        <v>-230357</v>
      </c>
      <c r="H4723">
        <v>156738</v>
      </c>
      <c r="I4723">
        <v>156032</v>
      </c>
      <c r="J4723">
        <v>1690</v>
      </c>
      <c r="K4723">
        <v>1007858</v>
      </c>
      <c r="L4723">
        <v>444412</v>
      </c>
      <c r="M4723">
        <v>-139802</v>
      </c>
      <c r="N4723">
        <v>125092</v>
      </c>
      <c r="O4723" t="s">
        <v>4741</v>
      </c>
      <c r="P4723" s="9">
        <v>277595</v>
      </c>
      <c r="Q4723" s="9">
        <v>36643</v>
      </c>
      <c r="R4723" s="9">
        <v>314238</v>
      </c>
      <c r="S4723" s="9">
        <v>-159319</v>
      </c>
      <c r="T4723" s="10">
        <v>119260</v>
      </c>
      <c r="U4723" s="10">
        <v>1299</v>
      </c>
    </row>
    <row r="4724" spans="1:21" x14ac:dyDescent="0.35">
      <c r="A4724" t="s">
        <v>15</v>
      </c>
      <c r="B4724" t="s">
        <v>16</v>
      </c>
      <c r="C4724" t="s">
        <v>21</v>
      </c>
      <c r="D4724">
        <v>156689</v>
      </c>
      <c r="E4724">
        <v>8199</v>
      </c>
      <c r="F4724">
        <v>16121</v>
      </c>
      <c r="G4724">
        <v>-129053</v>
      </c>
      <c r="H4724">
        <v>51956</v>
      </c>
      <c r="I4724">
        <v>48919</v>
      </c>
      <c r="J4724">
        <v>1274</v>
      </c>
      <c r="K4724">
        <v>319448</v>
      </c>
      <c r="L4724">
        <v>74411</v>
      </c>
      <c r="M4724">
        <v>-91508</v>
      </c>
      <c r="N4724">
        <v>100498</v>
      </c>
      <c r="O4724" t="s">
        <v>4742</v>
      </c>
      <c r="P4724" s="9">
        <v>210339</v>
      </c>
      <c r="Q4724" s="9">
        <v>18771</v>
      </c>
      <c r="R4724" s="9">
        <v>229110</v>
      </c>
      <c r="S4724" s="9">
        <v>-69666</v>
      </c>
      <c r="T4724" s="10">
        <v>58578</v>
      </c>
      <c r="U4724" s="10">
        <v>926</v>
      </c>
    </row>
    <row r="4725" spans="1:21" x14ac:dyDescent="0.35">
      <c r="A4725" t="s">
        <v>15</v>
      </c>
      <c r="B4725" t="s">
        <v>16</v>
      </c>
      <c r="C4725" t="s">
        <v>21</v>
      </c>
      <c r="D4725">
        <v>235338</v>
      </c>
      <c r="E4725">
        <v>32467</v>
      </c>
      <c r="F4725">
        <v>36858</v>
      </c>
      <c r="G4725">
        <v>-224850</v>
      </c>
      <c r="H4725">
        <v>79813</v>
      </c>
      <c r="I4725">
        <v>72323</v>
      </c>
      <c r="J4725">
        <v>1549</v>
      </c>
      <c r="K4725">
        <v>618046</v>
      </c>
      <c r="L4725">
        <v>275401</v>
      </c>
      <c r="M4725">
        <v>-141101</v>
      </c>
      <c r="N4725">
        <v>169465</v>
      </c>
      <c r="O4725" t="s">
        <v>4743</v>
      </c>
      <c r="P4725" s="9">
        <v>245296</v>
      </c>
      <c r="Q4725" s="9">
        <v>39167</v>
      </c>
      <c r="R4725" s="9">
        <v>284463</v>
      </c>
      <c r="S4725" s="9">
        <v>-161912</v>
      </c>
      <c r="T4725" s="10">
        <v>82657</v>
      </c>
      <c r="U4725" s="10">
        <v>2352</v>
      </c>
    </row>
    <row r="4726" spans="1:21" x14ac:dyDescent="0.35">
      <c r="A4726" t="s">
        <v>15</v>
      </c>
      <c r="B4726" t="s">
        <v>16</v>
      </c>
      <c r="C4726" t="s">
        <v>21</v>
      </c>
      <c r="D4726">
        <v>161393</v>
      </c>
      <c r="E4726">
        <v>16466</v>
      </c>
      <c r="F4726">
        <v>40091</v>
      </c>
      <c r="G4726">
        <v>-152395</v>
      </c>
      <c r="H4726">
        <v>65555</v>
      </c>
      <c r="I4726">
        <v>66922</v>
      </c>
      <c r="J4726">
        <v>1243</v>
      </c>
      <c r="K4726">
        <v>637343</v>
      </c>
      <c r="L4726">
        <v>91635</v>
      </c>
      <c r="M4726">
        <v>-232229</v>
      </c>
      <c r="N4726">
        <v>49720</v>
      </c>
      <c r="O4726" t="s">
        <v>4744</v>
      </c>
      <c r="P4726" s="9">
        <v>148717</v>
      </c>
      <c r="Q4726" s="9">
        <v>10154</v>
      </c>
      <c r="R4726" s="9">
        <v>158871</v>
      </c>
      <c r="S4726" s="9">
        <v>-72158</v>
      </c>
      <c r="T4726" s="10">
        <v>47758</v>
      </c>
      <c r="U4726" s="10">
        <v>1013</v>
      </c>
    </row>
    <row r="4727" spans="1:21" x14ac:dyDescent="0.35">
      <c r="A4727" t="s">
        <v>15</v>
      </c>
      <c r="B4727" t="s">
        <v>20</v>
      </c>
      <c r="C4727" t="s">
        <v>21</v>
      </c>
      <c r="D4727">
        <v>268153</v>
      </c>
      <c r="E4727">
        <v>42823</v>
      </c>
      <c r="F4727">
        <v>66870</v>
      </c>
      <c r="G4727">
        <v>-241982</v>
      </c>
      <c r="H4727">
        <v>135864</v>
      </c>
      <c r="I4727">
        <v>139422</v>
      </c>
      <c r="J4727">
        <v>4078</v>
      </c>
      <c r="K4727">
        <v>972330</v>
      </c>
      <c r="L4727">
        <v>361359</v>
      </c>
      <c r="M4727">
        <v>-218104</v>
      </c>
      <c r="N4727">
        <v>135061</v>
      </c>
      <c r="O4727" t="s">
        <v>4745</v>
      </c>
      <c r="P4727" s="9">
        <v>300262</v>
      </c>
      <c r="Q4727" s="9">
        <v>32523</v>
      </c>
      <c r="R4727" s="9">
        <v>332785</v>
      </c>
      <c r="S4727" s="9">
        <v>-196424</v>
      </c>
      <c r="T4727" s="10">
        <v>96111</v>
      </c>
      <c r="U4727" s="10">
        <v>2861</v>
      </c>
    </row>
    <row r="4728" spans="1:21" x14ac:dyDescent="0.35">
      <c r="A4728" t="s">
        <v>15</v>
      </c>
      <c r="B4728" t="s">
        <v>20</v>
      </c>
      <c r="C4728" t="s">
        <v>21</v>
      </c>
      <c r="D4728">
        <v>197051</v>
      </c>
      <c r="E4728">
        <v>19461</v>
      </c>
      <c r="F4728">
        <v>33287</v>
      </c>
      <c r="G4728">
        <v>-162012</v>
      </c>
      <c r="H4728">
        <v>87787</v>
      </c>
      <c r="I4728">
        <v>81413</v>
      </c>
      <c r="J4728">
        <v>859</v>
      </c>
      <c r="K4728">
        <v>715215</v>
      </c>
      <c r="L4728">
        <v>292598</v>
      </c>
      <c r="M4728">
        <v>-132965</v>
      </c>
      <c r="N4728">
        <v>77470</v>
      </c>
      <c r="O4728" t="s">
        <v>4746</v>
      </c>
      <c r="P4728" s="9">
        <v>307086</v>
      </c>
      <c r="Q4728" s="9">
        <v>44694</v>
      </c>
      <c r="R4728" s="9">
        <v>351780</v>
      </c>
      <c r="S4728" s="9">
        <v>-132854</v>
      </c>
      <c r="T4728" s="10">
        <v>133642</v>
      </c>
      <c r="U4728" s="10">
        <v>3443</v>
      </c>
    </row>
    <row r="4729" spans="1:21" x14ac:dyDescent="0.35">
      <c r="A4729" t="s">
        <v>15</v>
      </c>
      <c r="B4729" t="s">
        <v>16</v>
      </c>
      <c r="C4729" t="s">
        <v>21</v>
      </c>
      <c r="D4729">
        <v>264027</v>
      </c>
      <c r="E4729">
        <v>42939</v>
      </c>
      <c r="F4729">
        <v>51435</v>
      </c>
      <c r="G4729">
        <v>-249552</v>
      </c>
      <c r="H4729">
        <v>108849</v>
      </c>
      <c r="I4729">
        <v>108460</v>
      </c>
      <c r="J4729">
        <v>2062</v>
      </c>
      <c r="K4729">
        <v>975046</v>
      </c>
      <c r="L4729">
        <v>256171</v>
      </c>
      <c r="M4729">
        <v>-318277</v>
      </c>
      <c r="N4729">
        <v>158894</v>
      </c>
      <c r="O4729" t="s">
        <v>4747</v>
      </c>
      <c r="P4729" s="9">
        <v>178431</v>
      </c>
      <c r="Q4729" s="9">
        <v>26299</v>
      </c>
      <c r="R4729" s="9">
        <v>204730</v>
      </c>
      <c r="S4729" s="9">
        <v>-54798</v>
      </c>
      <c r="T4729" s="10">
        <v>86792</v>
      </c>
      <c r="U4729" s="10">
        <v>1813</v>
      </c>
    </row>
    <row r="4730" spans="1:21" x14ac:dyDescent="0.35">
      <c r="A4730" t="s">
        <v>15</v>
      </c>
      <c r="B4730" t="s">
        <v>16</v>
      </c>
      <c r="C4730" t="s">
        <v>17</v>
      </c>
      <c r="D4730">
        <v>193436</v>
      </c>
      <c r="E4730">
        <v>15614</v>
      </c>
      <c r="F4730">
        <v>26862</v>
      </c>
      <c r="G4730">
        <v>-173191</v>
      </c>
      <c r="H4730">
        <v>62721</v>
      </c>
      <c r="I4730">
        <v>56907</v>
      </c>
      <c r="J4730">
        <v>1451</v>
      </c>
      <c r="K4730">
        <v>659312</v>
      </c>
      <c r="L4730">
        <v>328406</v>
      </c>
      <c r="M4730">
        <v>-222507</v>
      </c>
      <c r="N4730">
        <v>88291</v>
      </c>
      <c r="O4730" t="s">
        <v>4748</v>
      </c>
      <c r="P4730" s="9">
        <v>263565</v>
      </c>
      <c r="Q4730" s="9">
        <v>45435</v>
      </c>
      <c r="R4730" s="9">
        <v>309000</v>
      </c>
      <c r="S4730" s="9">
        <v>-105323</v>
      </c>
      <c r="T4730" s="10">
        <v>129060</v>
      </c>
      <c r="U4730" s="10">
        <v>3402</v>
      </c>
    </row>
    <row r="4731" spans="1:21" x14ac:dyDescent="0.35">
      <c r="A4731" t="s">
        <v>15</v>
      </c>
      <c r="B4731" t="s">
        <v>20</v>
      </c>
      <c r="C4731" t="s">
        <v>21</v>
      </c>
      <c r="D4731">
        <v>291254</v>
      </c>
      <c r="E4731">
        <v>27394</v>
      </c>
      <c r="F4731">
        <v>59289</v>
      </c>
      <c r="G4731">
        <v>-258342</v>
      </c>
      <c r="H4731">
        <v>119595</v>
      </c>
      <c r="I4731">
        <v>116341</v>
      </c>
      <c r="J4731">
        <v>2314</v>
      </c>
      <c r="K4731">
        <v>1037759</v>
      </c>
      <c r="L4731">
        <v>117218</v>
      </c>
      <c r="M4731">
        <v>-220846</v>
      </c>
      <c r="N4731">
        <v>114168</v>
      </c>
      <c r="O4731" t="s">
        <v>4749</v>
      </c>
      <c r="P4731" s="9">
        <v>224428</v>
      </c>
      <c r="Q4731" s="9">
        <v>24482</v>
      </c>
      <c r="R4731" s="9">
        <v>248910</v>
      </c>
      <c r="S4731" s="9">
        <v>-105371</v>
      </c>
      <c r="T4731" s="10">
        <v>98157</v>
      </c>
      <c r="U4731" s="10">
        <v>1287</v>
      </c>
    </row>
    <row r="4732" spans="1:21" x14ac:dyDescent="0.35">
      <c r="A4732" t="s">
        <v>15</v>
      </c>
      <c r="B4732" t="s">
        <v>20</v>
      </c>
      <c r="C4732" t="s">
        <v>17</v>
      </c>
      <c r="D4732">
        <v>229136</v>
      </c>
      <c r="E4732">
        <v>31585</v>
      </c>
      <c r="F4732">
        <v>26783</v>
      </c>
      <c r="G4732">
        <v>-210808</v>
      </c>
      <c r="H4732">
        <v>76696</v>
      </c>
      <c r="I4732">
        <v>76876</v>
      </c>
      <c r="J4732">
        <v>1889</v>
      </c>
      <c r="K4732">
        <v>741134</v>
      </c>
      <c r="L4732">
        <v>355741</v>
      </c>
      <c r="M4732">
        <v>-86688</v>
      </c>
      <c r="N4732">
        <v>104888</v>
      </c>
      <c r="O4732" t="s">
        <v>4750</v>
      </c>
      <c r="P4732" s="9">
        <v>292803</v>
      </c>
      <c r="Q4732" s="9">
        <v>14419</v>
      </c>
      <c r="R4732" s="9">
        <v>307222</v>
      </c>
      <c r="S4732" s="9">
        <v>-99099</v>
      </c>
      <c r="T4732" s="10">
        <v>88695</v>
      </c>
      <c r="U4732" s="10">
        <v>980</v>
      </c>
    </row>
    <row r="4733" spans="1:21" x14ac:dyDescent="0.35">
      <c r="A4733" t="s">
        <v>15</v>
      </c>
      <c r="B4733" t="s">
        <v>16</v>
      </c>
      <c r="C4733" t="s">
        <v>21</v>
      </c>
      <c r="D4733">
        <v>217226</v>
      </c>
      <c r="E4733">
        <v>29555</v>
      </c>
      <c r="F4733">
        <v>43327</v>
      </c>
      <c r="G4733">
        <v>-184814</v>
      </c>
      <c r="H4733">
        <v>105294</v>
      </c>
      <c r="I4733">
        <v>95878</v>
      </c>
      <c r="J4733">
        <v>1249</v>
      </c>
      <c r="K4733">
        <v>672838</v>
      </c>
      <c r="L4733">
        <v>123441</v>
      </c>
      <c r="M4733">
        <v>-103677</v>
      </c>
      <c r="N4733">
        <v>95141</v>
      </c>
      <c r="O4733" t="s">
        <v>4751</v>
      </c>
      <c r="P4733" s="9">
        <v>233047</v>
      </c>
      <c r="Q4733" s="9">
        <v>34790</v>
      </c>
      <c r="R4733" s="9">
        <v>267837</v>
      </c>
      <c r="S4733" s="9">
        <v>-99418</v>
      </c>
      <c r="T4733" s="10">
        <v>109202</v>
      </c>
      <c r="U4733" s="10">
        <v>2343</v>
      </c>
    </row>
    <row r="4734" spans="1:21" x14ac:dyDescent="0.35">
      <c r="A4734" t="s">
        <v>15</v>
      </c>
      <c r="B4734" t="s">
        <v>16</v>
      </c>
      <c r="C4734" t="s">
        <v>21</v>
      </c>
      <c r="D4734">
        <v>273231</v>
      </c>
      <c r="E4734">
        <v>52805</v>
      </c>
      <c r="F4734">
        <v>59055</v>
      </c>
      <c r="G4734">
        <v>-248779</v>
      </c>
      <c r="H4734">
        <v>136312</v>
      </c>
      <c r="I4734">
        <v>134931</v>
      </c>
      <c r="J4734">
        <v>2211</v>
      </c>
      <c r="K4734">
        <v>563380</v>
      </c>
      <c r="L4734">
        <v>154993</v>
      </c>
      <c r="M4734">
        <v>-159016</v>
      </c>
      <c r="N4734">
        <v>180233</v>
      </c>
      <c r="O4734" t="s">
        <v>4752</v>
      </c>
      <c r="P4734" s="9">
        <v>273756</v>
      </c>
      <c r="Q4734" s="9">
        <v>38651</v>
      </c>
      <c r="R4734" s="9">
        <v>312407</v>
      </c>
      <c r="S4734" s="9">
        <v>-166891</v>
      </c>
      <c r="T4734" s="10">
        <v>96131</v>
      </c>
      <c r="U4734" s="10">
        <v>2253</v>
      </c>
    </row>
    <row r="4735" spans="1:21" x14ac:dyDescent="0.35">
      <c r="A4735" t="s">
        <v>15</v>
      </c>
      <c r="B4735" t="s">
        <v>20</v>
      </c>
      <c r="C4735" t="s">
        <v>21</v>
      </c>
      <c r="D4735">
        <v>185361</v>
      </c>
      <c r="E4735">
        <v>35509</v>
      </c>
      <c r="F4735">
        <v>34986</v>
      </c>
      <c r="G4735">
        <v>-157195</v>
      </c>
      <c r="H4735">
        <v>98661</v>
      </c>
      <c r="I4735">
        <v>100144</v>
      </c>
      <c r="J4735">
        <v>2404</v>
      </c>
      <c r="K4735">
        <v>617414</v>
      </c>
      <c r="L4735">
        <v>295844</v>
      </c>
      <c r="M4735">
        <v>-62599</v>
      </c>
      <c r="N4735">
        <v>72570</v>
      </c>
      <c r="O4735" t="s">
        <v>4753</v>
      </c>
      <c r="P4735" s="9">
        <v>149151</v>
      </c>
      <c r="Q4735" s="9">
        <v>29475</v>
      </c>
      <c r="R4735" s="9">
        <v>178626</v>
      </c>
      <c r="S4735" s="9">
        <v>-63740</v>
      </c>
      <c r="T4735" s="10">
        <v>64504</v>
      </c>
      <c r="U4735" s="10">
        <v>1522</v>
      </c>
    </row>
    <row r="4736" spans="1:21" x14ac:dyDescent="0.35">
      <c r="A4736" t="s">
        <v>15</v>
      </c>
      <c r="B4736" t="s">
        <v>20</v>
      </c>
      <c r="C4736" t="s">
        <v>17</v>
      </c>
      <c r="D4736">
        <v>254668</v>
      </c>
      <c r="E4736">
        <v>31540</v>
      </c>
      <c r="F4736">
        <v>58371</v>
      </c>
      <c r="G4736">
        <v>-248239</v>
      </c>
      <c r="H4736">
        <v>96340</v>
      </c>
      <c r="I4736">
        <v>87107</v>
      </c>
      <c r="J4736">
        <v>2199</v>
      </c>
      <c r="K4736">
        <v>846095</v>
      </c>
      <c r="L4736">
        <v>406622</v>
      </c>
      <c r="M4736">
        <v>-274116</v>
      </c>
      <c r="N4736">
        <v>228051</v>
      </c>
      <c r="O4736" t="s">
        <v>4754</v>
      </c>
      <c r="P4736" s="9">
        <v>238777</v>
      </c>
      <c r="Q4736" s="9">
        <v>24575</v>
      </c>
      <c r="R4736" s="9">
        <v>263352</v>
      </c>
      <c r="S4736" s="9">
        <v>-155716</v>
      </c>
      <c r="T4736" s="10">
        <v>83409</v>
      </c>
      <c r="U4736" s="10">
        <v>2234</v>
      </c>
    </row>
    <row r="4737" spans="1:21" x14ac:dyDescent="0.35">
      <c r="A4737" t="s">
        <v>15</v>
      </c>
      <c r="B4737" t="s">
        <v>20</v>
      </c>
      <c r="C4737" t="s">
        <v>17</v>
      </c>
      <c r="D4737">
        <v>230935</v>
      </c>
      <c r="E4737">
        <v>41123</v>
      </c>
      <c r="F4737">
        <v>28049</v>
      </c>
      <c r="G4737">
        <v>-205220</v>
      </c>
      <c r="H4737">
        <v>94887</v>
      </c>
      <c r="I4737">
        <v>86166</v>
      </c>
      <c r="J4737">
        <v>1697</v>
      </c>
      <c r="K4737">
        <v>468511</v>
      </c>
      <c r="L4737">
        <v>195096</v>
      </c>
      <c r="M4737">
        <v>-108344</v>
      </c>
      <c r="N4737">
        <v>94997</v>
      </c>
      <c r="O4737" t="s">
        <v>4755</v>
      </c>
      <c r="P4737" s="9">
        <v>238891</v>
      </c>
      <c r="Q4737" s="9">
        <v>26974</v>
      </c>
      <c r="R4737" s="9">
        <v>265865</v>
      </c>
      <c r="S4737" s="9">
        <v>-101938</v>
      </c>
      <c r="T4737" s="10">
        <v>75777</v>
      </c>
      <c r="U4737" s="10">
        <v>1370</v>
      </c>
    </row>
    <row r="4738" spans="1:21" x14ac:dyDescent="0.35">
      <c r="A4738" t="s">
        <v>15</v>
      </c>
      <c r="B4738" t="s">
        <v>16</v>
      </c>
      <c r="C4738" t="s">
        <v>21</v>
      </c>
      <c r="D4738">
        <v>224432</v>
      </c>
      <c r="E4738">
        <v>13443</v>
      </c>
      <c r="F4738">
        <v>36440</v>
      </c>
      <c r="G4738">
        <v>-182673</v>
      </c>
      <c r="H4738">
        <v>91642</v>
      </c>
      <c r="I4738">
        <v>87368</v>
      </c>
      <c r="J4738">
        <v>1964</v>
      </c>
      <c r="K4738">
        <v>630739</v>
      </c>
      <c r="L4738">
        <v>210617</v>
      </c>
      <c r="M4738">
        <v>-152228</v>
      </c>
      <c r="N4738">
        <v>124678</v>
      </c>
      <c r="O4738" t="s">
        <v>4756</v>
      </c>
      <c r="P4738" s="9">
        <v>237365</v>
      </c>
      <c r="Q4738" s="9">
        <v>23861</v>
      </c>
      <c r="R4738" s="9">
        <v>261226</v>
      </c>
      <c r="S4738" s="9">
        <v>-110903</v>
      </c>
      <c r="T4738" s="10">
        <v>79477</v>
      </c>
      <c r="U4738" s="10">
        <v>1848</v>
      </c>
    </row>
    <row r="4739" spans="1:21" x14ac:dyDescent="0.35">
      <c r="A4739" t="s">
        <v>15</v>
      </c>
      <c r="B4739" t="s">
        <v>16</v>
      </c>
      <c r="C4739" t="s">
        <v>17</v>
      </c>
      <c r="D4739">
        <v>207341</v>
      </c>
      <c r="E4739">
        <v>31535</v>
      </c>
      <c r="F4739">
        <v>41340</v>
      </c>
      <c r="G4739">
        <v>-196313</v>
      </c>
      <c r="H4739">
        <v>83903</v>
      </c>
      <c r="I4739">
        <v>80767</v>
      </c>
      <c r="J4739">
        <v>2304</v>
      </c>
      <c r="K4739">
        <v>806927</v>
      </c>
      <c r="L4739">
        <v>151240</v>
      </c>
      <c r="M4739">
        <v>-85002</v>
      </c>
      <c r="N4739">
        <v>140460</v>
      </c>
      <c r="O4739" t="s">
        <v>4757</v>
      </c>
      <c r="P4739" s="9">
        <v>281258</v>
      </c>
      <c r="Q4739" s="9">
        <v>27116</v>
      </c>
      <c r="R4739" s="9">
        <v>308374</v>
      </c>
      <c r="S4739" s="9">
        <v>-115030</v>
      </c>
      <c r="T4739" s="10">
        <v>76684</v>
      </c>
      <c r="U4739" s="10">
        <v>1217</v>
      </c>
    </row>
    <row r="4740" spans="1:21" x14ac:dyDescent="0.35">
      <c r="A4740" t="s">
        <v>15</v>
      </c>
      <c r="B4740" t="s">
        <v>16</v>
      </c>
      <c r="C4740" t="s">
        <v>21</v>
      </c>
      <c r="D4740">
        <v>298357</v>
      </c>
      <c r="E4740">
        <v>32506</v>
      </c>
      <c r="F4740">
        <v>61951</v>
      </c>
      <c r="G4740">
        <v>-246814</v>
      </c>
      <c r="H4740">
        <v>146000</v>
      </c>
      <c r="I4740">
        <v>136568</v>
      </c>
      <c r="J4740">
        <v>2890</v>
      </c>
      <c r="K4740">
        <v>1061331</v>
      </c>
      <c r="L4740">
        <v>527702</v>
      </c>
      <c r="M4740">
        <v>-347444</v>
      </c>
      <c r="N4740">
        <v>96045</v>
      </c>
      <c r="O4740" t="s">
        <v>4758</v>
      </c>
      <c r="P4740" s="9">
        <v>244269</v>
      </c>
      <c r="Q4740" s="9">
        <v>42436</v>
      </c>
      <c r="R4740" s="9">
        <v>286705</v>
      </c>
      <c r="S4740" s="9">
        <v>-100446</v>
      </c>
      <c r="T4740" s="10">
        <v>96977</v>
      </c>
      <c r="U4740" s="10">
        <v>1872</v>
      </c>
    </row>
    <row r="4741" spans="1:21" x14ac:dyDescent="0.35">
      <c r="A4741" t="s">
        <v>15</v>
      </c>
      <c r="B4741" t="s">
        <v>20</v>
      </c>
      <c r="C4741" t="s">
        <v>21</v>
      </c>
      <c r="D4741">
        <v>201122</v>
      </c>
      <c r="E4741">
        <v>25552</v>
      </c>
      <c r="F4741">
        <v>32073</v>
      </c>
      <c r="G4741">
        <v>-176408</v>
      </c>
      <c r="H4741">
        <v>82339</v>
      </c>
      <c r="I4741">
        <v>80174</v>
      </c>
      <c r="J4741">
        <v>2110</v>
      </c>
      <c r="K4741">
        <v>741771</v>
      </c>
      <c r="L4741">
        <v>290199</v>
      </c>
      <c r="M4741">
        <v>-150806</v>
      </c>
      <c r="N4741">
        <v>131687</v>
      </c>
      <c r="O4741" t="s">
        <v>4759</v>
      </c>
      <c r="P4741" s="9">
        <v>229424</v>
      </c>
      <c r="Q4741" s="9">
        <v>36333</v>
      </c>
      <c r="R4741" s="9">
        <v>265757</v>
      </c>
      <c r="S4741" s="9">
        <v>-119702</v>
      </c>
      <c r="T4741" s="10">
        <v>91304</v>
      </c>
      <c r="U4741" s="10">
        <v>1819</v>
      </c>
    </row>
    <row r="4742" spans="1:21" x14ac:dyDescent="0.35">
      <c r="A4742" t="s">
        <v>15</v>
      </c>
      <c r="B4742" t="s">
        <v>16</v>
      </c>
      <c r="C4742" t="s">
        <v>21</v>
      </c>
      <c r="D4742">
        <v>260833</v>
      </c>
      <c r="E4742">
        <v>42554</v>
      </c>
      <c r="F4742">
        <v>55725</v>
      </c>
      <c r="G4742">
        <v>-233718</v>
      </c>
      <c r="H4742">
        <v>125394</v>
      </c>
      <c r="I4742">
        <v>123050</v>
      </c>
      <c r="J4742">
        <v>2597</v>
      </c>
      <c r="K4742">
        <v>795476</v>
      </c>
      <c r="L4742">
        <v>378228</v>
      </c>
      <c r="M4742">
        <v>-188574</v>
      </c>
      <c r="N4742">
        <v>130800</v>
      </c>
      <c r="O4742" t="s">
        <v>4760</v>
      </c>
      <c r="P4742" s="9">
        <v>142871</v>
      </c>
      <c r="Q4742" s="9">
        <v>18453</v>
      </c>
      <c r="R4742" s="9">
        <v>161324</v>
      </c>
      <c r="S4742" s="9">
        <v>-39855</v>
      </c>
      <c r="T4742" s="10">
        <v>39980</v>
      </c>
      <c r="U4742" s="10">
        <v>716</v>
      </c>
    </row>
    <row r="4743" spans="1:21" x14ac:dyDescent="0.35">
      <c r="A4743" t="s">
        <v>15</v>
      </c>
      <c r="B4743" t="s">
        <v>16</v>
      </c>
      <c r="C4743" t="s">
        <v>17</v>
      </c>
      <c r="D4743">
        <v>157679</v>
      </c>
      <c r="E4743">
        <v>29691</v>
      </c>
      <c r="F4743">
        <v>39089</v>
      </c>
      <c r="G4743">
        <v>-151025</v>
      </c>
      <c r="H4743">
        <v>75434</v>
      </c>
      <c r="I4743">
        <v>70279</v>
      </c>
      <c r="J4743">
        <v>862</v>
      </c>
      <c r="K4743">
        <v>615766</v>
      </c>
      <c r="L4743">
        <v>271370</v>
      </c>
      <c r="M4743">
        <v>-237344</v>
      </c>
      <c r="N4743">
        <v>73235</v>
      </c>
      <c r="O4743" t="s">
        <v>4761</v>
      </c>
      <c r="P4743" s="9">
        <v>198646</v>
      </c>
      <c r="Q4743" s="9">
        <v>18608</v>
      </c>
      <c r="R4743" s="9">
        <v>217254</v>
      </c>
      <c r="S4743" s="9">
        <v>-46257</v>
      </c>
      <c r="T4743" s="10">
        <v>63659</v>
      </c>
      <c r="U4743" s="10">
        <v>1459</v>
      </c>
    </row>
    <row r="4744" spans="1:21" x14ac:dyDescent="0.35">
      <c r="A4744" t="s">
        <v>15</v>
      </c>
      <c r="B4744" t="s">
        <v>20</v>
      </c>
      <c r="C4744" t="s">
        <v>21</v>
      </c>
      <c r="D4744">
        <v>292083</v>
      </c>
      <c r="E4744">
        <v>47501</v>
      </c>
      <c r="F4744">
        <v>55564</v>
      </c>
      <c r="G4744">
        <v>-274232</v>
      </c>
      <c r="H4744">
        <v>120916</v>
      </c>
      <c r="I4744">
        <v>115056</v>
      </c>
      <c r="J4744">
        <v>3080</v>
      </c>
      <c r="K4744">
        <v>838676</v>
      </c>
      <c r="L4744">
        <v>281172</v>
      </c>
      <c r="M4744">
        <v>-224850</v>
      </c>
      <c r="N4744">
        <v>221541</v>
      </c>
      <c r="O4744" t="s">
        <v>4762</v>
      </c>
      <c r="P4744" s="9">
        <v>207893</v>
      </c>
      <c r="Q4744" s="9">
        <v>39046</v>
      </c>
      <c r="R4744" s="9">
        <v>246939</v>
      </c>
      <c r="S4744" s="9">
        <v>-63090</v>
      </c>
      <c r="T4744" s="10">
        <v>113861</v>
      </c>
      <c r="U4744" s="10">
        <v>2552</v>
      </c>
    </row>
    <row r="4745" spans="1:21" x14ac:dyDescent="0.35">
      <c r="A4745" t="s">
        <v>15</v>
      </c>
      <c r="B4745" t="s">
        <v>20</v>
      </c>
      <c r="C4745" t="s">
        <v>21</v>
      </c>
      <c r="D4745">
        <v>243215</v>
      </c>
      <c r="E4745">
        <v>22629</v>
      </c>
      <c r="F4745">
        <v>45531</v>
      </c>
      <c r="G4745">
        <v>-223859</v>
      </c>
      <c r="H4745">
        <v>87516</v>
      </c>
      <c r="I4745">
        <v>89119</v>
      </c>
      <c r="J4745">
        <v>1299</v>
      </c>
      <c r="K4745">
        <v>765127</v>
      </c>
      <c r="L4745">
        <v>223819</v>
      </c>
      <c r="M4745">
        <v>-292787</v>
      </c>
      <c r="N4745">
        <v>214866</v>
      </c>
      <c r="O4745" t="s">
        <v>4763</v>
      </c>
      <c r="P4745" s="9">
        <v>149873</v>
      </c>
      <c r="Q4745" s="9">
        <v>22507</v>
      </c>
      <c r="R4745" s="9">
        <v>172380</v>
      </c>
      <c r="S4745" s="9">
        <v>-94297</v>
      </c>
      <c r="T4745" s="10">
        <v>58433</v>
      </c>
      <c r="U4745" s="10">
        <v>820</v>
      </c>
    </row>
    <row r="4746" spans="1:21" x14ac:dyDescent="0.35">
      <c r="A4746" t="s">
        <v>15</v>
      </c>
      <c r="B4746" t="s">
        <v>16</v>
      </c>
      <c r="C4746" t="s">
        <v>17</v>
      </c>
      <c r="D4746">
        <v>230147</v>
      </c>
      <c r="E4746">
        <v>28324</v>
      </c>
      <c r="F4746">
        <v>29555</v>
      </c>
      <c r="G4746">
        <v>-221504</v>
      </c>
      <c r="H4746">
        <v>66522</v>
      </c>
      <c r="I4746">
        <v>65443</v>
      </c>
      <c r="J4746">
        <v>1189</v>
      </c>
      <c r="K4746">
        <v>810067</v>
      </c>
      <c r="L4746">
        <v>140055</v>
      </c>
      <c r="M4746">
        <v>-281666</v>
      </c>
      <c r="N4746">
        <v>191956</v>
      </c>
      <c r="O4746" t="s">
        <v>4764</v>
      </c>
      <c r="P4746" s="9">
        <v>159293</v>
      </c>
      <c r="Q4746" s="9">
        <v>36253</v>
      </c>
      <c r="R4746" s="9">
        <v>195546</v>
      </c>
      <c r="S4746" s="9">
        <v>-76983</v>
      </c>
      <c r="T4746" s="10">
        <v>91229</v>
      </c>
      <c r="U4746" s="10">
        <v>945</v>
      </c>
    </row>
    <row r="4747" spans="1:21" x14ac:dyDescent="0.35">
      <c r="A4747" t="s">
        <v>15</v>
      </c>
      <c r="B4747" t="s">
        <v>16</v>
      </c>
      <c r="C4747" t="s">
        <v>17</v>
      </c>
      <c r="D4747">
        <v>243359</v>
      </c>
      <c r="E4747">
        <v>15239</v>
      </c>
      <c r="F4747">
        <v>30853</v>
      </c>
      <c r="G4747">
        <v>-216194</v>
      </c>
      <c r="H4747">
        <v>73257</v>
      </c>
      <c r="I4747">
        <v>75436</v>
      </c>
      <c r="J4747">
        <v>1890</v>
      </c>
      <c r="K4747">
        <v>811320</v>
      </c>
      <c r="L4747">
        <v>151257</v>
      </c>
      <c r="M4747">
        <v>-179979</v>
      </c>
      <c r="N4747">
        <v>186096</v>
      </c>
      <c r="O4747" t="s">
        <v>4765</v>
      </c>
      <c r="P4747" s="9">
        <v>205089</v>
      </c>
      <c r="Q4747" s="9">
        <v>28036</v>
      </c>
      <c r="R4747" s="9">
        <v>233125</v>
      </c>
      <c r="S4747" s="9">
        <v>-100835</v>
      </c>
      <c r="T4747" s="10">
        <v>82587</v>
      </c>
      <c r="U4747" s="10">
        <v>1243</v>
      </c>
    </row>
    <row r="4748" spans="1:21" x14ac:dyDescent="0.35">
      <c r="A4748" t="s">
        <v>15</v>
      </c>
      <c r="B4748" t="s">
        <v>16</v>
      </c>
      <c r="C4748" t="s">
        <v>21</v>
      </c>
      <c r="D4748">
        <v>182765</v>
      </c>
      <c r="E4748">
        <v>27424</v>
      </c>
      <c r="F4748">
        <v>31219</v>
      </c>
      <c r="G4748">
        <v>-150022</v>
      </c>
      <c r="H4748">
        <v>91386</v>
      </c>
      <c r="I4748">
        <v>91905</v>
      </c>
      <c r="J4748">
        <v>1446</v>
      </c>
      <c r="K4748">
        <v>662797</v>
      </c>
      <c r="L4748">
        <v>309153</v>
      </c>
      <c r="M4748">
        <v>-170162</v>
      </c>
      <c r="N4748">
        <v>110616</v>
      </c>
      <c r="O4748" t="s">
        <v>4766</v>
      </c>
      <c r="P4748" s="9">
        <v>306022</v>
      </c>
      <c r="Q4748" s="9">
        <v>33805</v>
      </c>
      <c r="R4748" s="9">
        <v>339827</v>
      </c>
      <c r="S4748" s="9">
        <v>-95459</v>
      </c>
      <c r="T4748" s="10">
        <v>120852</v>
      </c>
      <c r="U4748" s="10">
        <v>1610</v>
      </c>
    </row>
    <row r="4749" spans="1:21" x14ac:dyDescent="0.35">
      <c r="A4749" t="s">
        <v>15</v>
      </c>
      <c r="B4749" t="s">
        <v>20</v>
      </c>
      <c r="C4749" t="s">
        <v>21</v>
      </c>
      <c r="D4749">
        <v>224943</v>
      </c>
      <c r="E4749">
        <v>40196</v>
      </c>
      <c r="F4749">
        <v>47658</v>
      </c>
      <c r="G4749">
        <v>-201895</v>
      </c>
      <c r="H4749">
        <v>110902</v>
      </c>
      <c r="I4749">
        <v>106023</v>
      </c>
      <c r="J4749">
        <v>1971</v>
      </c>
      <c r="K4749">
        <v>898862</v>
      </c>
      <c r="L4749">
        <v>99673</v>
      </c>
      <c r="M4749">
        <v>-338204</v>
      </c>
      <c r="N4749">
        <v>82483</v>
      </c>
      <c r="O4749" t="s">
        <v>4767</v>
      </c>
      <c r="P4749" s="9">
        <v>270354</v>
      </c>
      <c r="Q4749" s="9">
        <v>42115</v>
      </c>
      <c r="R4749" s="9">
        <v>312469</v>
      </c>
      <c r="S4749" s="9">
        <v>-152556</v>
      </c>
      <c r="T4749" s="10">
        <v>105665</v>
      </c>
      <c r="U4749" s="10">
        <v>1069</v>
      </c>
    </row>
    <row r="4750" spans="1:21" x14ac:dyDescent="0.35">
      <c r="A4750" t="s">
        <v>15</v>
      </c>
      <c r="B4750" t="s">
        <v>16</v>
      </c>
      <c r="C4750" t="s">
        <v>21</v>
      </c>
      <c r="D4750">
        <v>182469</v>
      </c>
      <c r="E4750">
        <v>16728</v>
      </c>
      <c r="F4750">
        <v>38735</v>
      </c>
      <c r="G4750">
        <v>-174418</v>
      </c>
      <c r="H4750">
        <v>63514</v>
      </c>
      <c r="I4750">
        <v>66548</v>
      </c>
      <c r="J4750">
        <v>1233</v>
      </c>
      <c r="K4750">
        <v>462544</v>
      </c>
      <c r="L4750">
        <v>162369</v>
      </c>
      <c r="M4750">
        <v>-52065</v>
      </c>
      <c r="N4750">
        <v>122343</v>
      </c>
      <c r="O4750" t="s">
        <v>4768</v>
      </c>
      <c r="P4750" s="9">
        <v>278624</v>
      </c>
      <c r="Q4750" s="9">
        <v>49531</v>
      </c>
      <c r="R4750" s="9">
        <v>328155</v>
      </c>
      <c r="S4750" s="9">
        <v>-166810</v>
      </c>
      <c r="T4750" s="10">
        <v>143216</v>
      </c>
      <c r="U4750" s="10">
        <v>1630</v>
      </c>
    </row>
    <row r="4751" spans="1:21" x14ac:dyDescent="0.35">
      <c r="A4751" t="s">
        <v>15</v>
      </c>
      <c r="B4751" t="s">
        <v>16</v>
      </c>
      <c r="C4751" t="s">
        <v>21</v>
      </c>
      <c r="D4751">
        <v>278682</v>
      </c>
      <c r="E4751">
        <v>51057</v>
      </c>
      <c r="F4751">
        <v>56792</v>
      </c>
      <c r="G4751">
        <v>-244082</v>
      </c>
      <c r="H4751">
        <v>142449</v>
      </c>
      <c r="I4751">
        <v>142522</v>
      </c>
      <c r="J4751">
        <v>1960</v>
      </c>
      <c r="K4751">
        <v>852667</v>
      </c>
      <c r="L4751">
        <v>108470</v>
      </c>
      <c r="M4751">
        <v>-320320</v>
      </c>
      <c r="N4751">
        <v>107848</v>
      </c>
      <c r="O4751" t="s">
        <v>4769</v>
      </c>
      <c r="P4751" s="9">
        <v>161041</v>
      </c>
      <c r="Q4751" s="9">
        <v>20879</v>
      </c>
      <c r="R4751" s="9">
        <v>181920</v>
      </c>
      <c r="S4751" s="9">
        <v>-47559</v>
      </c>
      <c r="T4751" s="10">
        <v>55428</v>
      </c>
      <c r="U4751" s="10">
        <v>742</v>
      </c>
    </row>
    <row r="4752" spans="1:21" x14ac:dyDescent="0.35">
      <c r="A4752" t="s">
        <v>15</v>
      </c>
      <c r="B4752" t="s">
        <v>20</v>
      </c>
      <c r="C4752" t="s">
        <v>21</v>
      </c>
      <c r="D4752">
        <v>296025</v>
      </c>
      <c r="E4752">
        <v>49608</v>
      </c>
      <c r="F4752">
        <v>66165</v>
      </c>
      <c r="G4752">
        <v>-262812</v>
      </c>
      <c r="H4752">
        <v>148986</v>
      </c>
      <c r="I4752">
        <v>154812</v>
      </c>
      <c r="J4752">
        <v>3751</v>
      </c>
      <c r="K4752">
        <v>601889</v>
      </c>
      <c r="L4752">
        <v>68195</v>
      </c>
      <c r="M4752">
        <v>-65464</v>
      </c>
      <c r="N4752">
        <v>240581</v>
      </c>
      <c r="O4752" t="s">
        <v>4770</v>
      </c>
      <c r="P4752" s="9">
        <v>192950</v>
      </c>
      <c r="Q4752" s="9">
        <v>17229</v>
      </c>
      <c r="R4752" s="9">
        <v>210179</v>
      </c>
      <c r="S4752" s="9">
        <v>-73610</v>
      </c>
      <c r="T4752" s="10">
        <v>54653</v>
      </c>
      <c r="U4752" s="10">
        <v>1575</v>
      </c>
    </row>
    <row r="4753" spans="1:21" x14ac:dyDescent="0.35">
      <c r="A4753" t="s">
        <v>15</v>
      </c>
      <c r="B4753" t="s">
        <v>20</v>
      </c>
      <c r="C4753" t="s">
        <v>21</v>
      </c>
      <c r="D4753">
        <v>248603</v>
      </c>
      <c r="E4753">
        <v>28880</v>
      </c>
      <c r="F4753">
        <v>40292</v>
      </c>
      <c r="G4753">
        <v>-207728</v>
      </c>
      <c r="H4753">
        <v>110047</v>
      </c>
      <c r="I4753">
        <v>114502</v>
      </c>
      <c r="J4753">
        <v>2845</v>
      </c>
      <c r="K4753">
        <v>780730</v>
      </c>
      <c r="L4753">
        <v>310555</v>
      </c>
      <c r="M4753">
        <v>-180895</v>
      </c>
      <c r="N4753">
        <v>201584</v>
      </c>
      <c r="O4753" t="s">
        <v>4771</v>
      </c>
      <c r="P4753" s="9">
        <v>163236</v>
      </c>
      <c r="Q4753" s="9">
        <v>22894</v>
      </c>
      <c r="R4753" s="9">
        <v>186130</v>
      </c>
      <c r="S4753" s="9">
        <v>-59271</v>
      </c>
      <c r="T4753" s="10">
        <v>67265</v>
      </c>
      <c r="U4753" s="10">
        <v>1935</v>
      </c>
    </row>
    <row r="4754" spans="1:21" x14ac:dyDescent="0.35">
      <c r="A4754" t="s">
        <v>15</v>
      </c>
      <c r="B4754" t="s">
        <v>16</v>
      </c>
      <c r="C4754" t="s">
        <v>21</v>
      </c>
      <c r="D4754">
        <v>270927</v>
      </c>
      <c r="E4754">
        <v>27913</v>
      </c>
      <c r="F4754">
        <v>62884</v>
      </c>
      <c r="G4754">
        <v>-240803</v>
      </c>
      <c r="H4754">
        <v>120921</v>
      </c>
      <c r="I4754">
        <v>118444</v>
      </c>
      <c r="J4754">
        <v>3529</v>
      </c>
      <c r="K4754">
        <v>1065741</v>
      </c>
      <c r="L4754">
        <v>145389</v>
      </c>
      <c r="M4754">
        <v>-314295</v>
      </c>
      <c r="N4754">
        <v>232265</v>
      </c>
      <c r="O4754" t="s">
        <v>4772</v>
      </c>
      <c r="P4754" s="9">
        <v>236061</v>
      </c>
      <c r="Q4754" s="9">
        <v>19296</v>
      </c>
      <c r="R4754" s="9">
        <v>255357</v>
      </c>
      <c r="S4754" s="9">
        <v>-101575</v>
      </c>
      <c r="T4754" s="10">
        <v>63043</v>
      </c>
      <c r="U4754" s="10">
        <v>987</v>
      </c>
    </row>
    <row r="4755" spans="1:21" x14ac:dyDescent="0.35">
      <c r="A4755" t="s">
        <v>15</v>
      </c>
      <c r="B4755" t="s">
        <v>16</v>
      </c>
      <c r="C4755" t="s">
        <v>21</v>
      </c>
      <c r="D4755">
        <v>189010</v>
      </c>
      <c r="E4755">
        <v>20026</v>
      </c>
      <c r="F4755">
        <v>26238</v>
      </c>
      <c r="G4755">
        <v>-175069</v>
      </c>
      <c r="H4755">
        <v>60205</v>
      </c>
      <c r="I4755">
        <v>63129</v>
      </c>
      <c r="J4755">
        <v>1723</v>
      </c>
      <c r="K4755">
        <v>400120</v>
      </c>
      <c r="L4755">
        <v>62304</v>
      </c>
      <c r="M4755">
        <v>-78910</v>
      </c>
      <c r="N4755">
        <v>129669</v>
      </c>
      <c r="O4755" t="s">
        <v>4773</v>
      </c>
      <c r="P4755" s="9">
        <v>274198</v>
      </c>
      <c r="Q4755" s="9">
        <v>42513</v>
      </c>
      <c r="R4755" s="9">
        <v>316711</v>
      </c>
      <c r="S4755" s="9">
        <v>-94478</v>
      </c>
      <c r="T4755" s="10">
        <v>106208</v>
      </c>
      <c r="U4755" s="10">
        <v>2949</v>
      </c>
    </row>
    <row r="4756" spans="1:21" x14ac:dyDescent="0.35">
      <c r="A4756" t="s">
        <v>15</v>
      </c>
      <c r="B4756" t="s">
        <v>20</v>
      </c>
      <c r="C4756" t="s">
        <v>21</v>
      </c>
      <c r="D4756">
        <v>199641</v>
      </c>
      <c r="E4756">
        <v>15377</v>
      </c>
      <c r="F4756">
        <v>24490</v>
      </c>
      <c r="G4756">
        <v>-181590</v>
      </c>
      <c r="H4756">
        <v>57918</v>
      </c>
      <c r="I4756">
        <v>60532</v>
      </c>
      <c r="J4756">
        <v>888</v>
      </c>
      <c r="K4756">
        <v>728887</v>
      </c>
      <c r="L4756">
        <v>353222</v>
      </c>
      <c r="M4756">
        <v>-221422</v>
      </c>
      <c r="N4756">
        <v>109240</v>
      </c>
      <c r="O4756" t="s">
        <v>4774</v>
      </c>
      <c r="P4756" s="9">
        <v>325550</v>
      </c>
      <c r="Q4756" s="9">
        <v>56420</v>
      </c>
      <c r="R4756" s="9">
        <v>381970</v>
      </c>
      <c r="S4756" s="9">
        <v>-224942</v>
      </c>
      <c r="T4756" s="10">
        <v>118278</v>
      </c>
      <c r="U4756" s="10">
        <v>3075</v>
      </c>
    </row>
    <row r="4757" spans="1:21" x14ac:dyDescent="0.35">
      <c r="A4757" t="s">
        <v>15</v>
      </c>
      <c r="B4757" t="s">
        <v>20</v>
      </c>
      <c r="C4757" t="s">
        <v>21</v>
      </c>
      <c r="D4757">
        <v>261190</v>
      </c>
      <c r="E4757">
        <v>23899</v>
      </c>
      <c r="F4757">
        <v>53779</v>
      </c>
      <c r="G4757">
        <v>-212339</v>
      </c>
      <c r="H4757">
        <v>126529</v>
      </c>
      <c r="I4757">
        <v>119357</v>
      </c>
      <c r="J4757">
        <v>2694</v>
      </c>
      <c r="K4757">
        <v>816845</v>
      </c>
      <c r="L4757">
        <v>338468</v>
      </c>
      <c r="M4757">
        <v>-140432</v>
      </c>
      <c r="N4757">
        <v>123220</v>
      </c>
      <c r="O4757" t="s">
        <v>4775</v>
      </c>
      <c r="P4757" s="9">
        <v>176682</v>
      </c>
      <c r="Q4757" s="9">
        <v>32087</v>
      </c>
      <c r="R4757" s="9">
        <v>208769</v>
      </c>
      <c r="S4757" s="9">
        <v>-113165</v>
      </c>
      <c r="T4757" s="10">
        <v>85099</v>
      </c>
      <c r="U4757" s="10">
        <v>2236</v>
      </c>
    </row>
    <row r="4758" spans="1:21" x14ac:dyDescent="0.35">
      <c r="A4758" t="s">
        <v>15</v>
      </c>
      <c r="B4758" t="s">
        <v>20</v>
      </c>
      <c r="C4758" t="s">
        <v>21</v>
      </c>
      <c r="D4758">
        <v>214007</v>
      </c>
      <c r="E4758">
        <v>13527</v>
      </c>
      <c r="F4758">
        <v>35310</v>
      </c>
      <c r="G4758">
        <v>-192582</v>
      </c>
      <c r="H4758">
        <v>70262</v>
      </c>
      <c r="I4758">
        <v>66086</v>
      </c>
      <c r="J4758">
        <v>1470</v>
      </c>
      <c r="K4758">
        <v>750966</v>
      </c>
      <c r="L4758">
        <v>344579</v>
      </c>
      <c r="M4758">
        <v>-203827</v>
      </c>
      <c r="N4758">
        <v>65469</v>
      </c>
      <c r="O4758" t="s">
        <v>4776</v>
      </c>
      <c r="P4758" s="9">
        <v>169172</v>
      </c>
      <c r="Q4758" s="9">
        <v>27760</v>
      </c>
      <c r="R4758" s="9">
        <v>196932</v>
      </c>
      <c r="S4758" s="9">
        <v>-118034</v>
      </c>
      <c r="T4758" s="10">
        <v>94649</v>
      </c>
      <c r="U4758" s="10">
        <v>1081</v>
      </c>
    </row>
    <row r="4759" spans="1:21" x14ac:dyDescent="0.35">
      <c r="A4759" t="s">
        <v>15</v>
      </c>
      <c r="B4759" t="s">
        <v>20</v>
      </c>
      <c r="C4759" t="s">
        <v>17</v>
      </c>
      <c r="D4759">
        <v>166417</v>
      </c>
      <c r="E4759">
        <v>13651</v>
      </c>
      <c r="F4759">
        <v>27216</v>
      </c>
      <c r="G4759">
        <v>-159115</v>
      </c>
      <c r="H4759">
        <v>48169</v>
      </c>
      <c r="I4759">
        <v>45509</v>
      </c>
      <c r="J4759">
        <v>608</v>
      </c>
      <c r="K4759">
        <v>365851</v>
      </c>
      <c r="L4759">
        <v>87266</v>
      </c>
      <c r="M4759">
        <v>-143021</v>
      </c>
      <c r="N4759">
        <v>91491</v>
      </c>
      <c r="O4759" t="s">
        <v>4777</v>
      </c>
      <c r="P4759" s="9">
        <v>193191</v>
      </c>
      <c r="Q4759" s="9">
        <v>13239</v>
      </c>
      <c r="R4759" s="9">
        <v>206430</v>
      </c>
      <c r="S4759" s="9">
        <v>-119022</v>
      </c>
      <c r="T4759" s="10">
        <v>83427</v>
      </c>
      <c r="U4759" s="10">
        <v>1416</v>
      </c>
    </row>
    <row r="4760" spans="1:21" x14ac:dyDescent="0.35">
      <c r="A4760" t="s">
        <v>15</v>
      </c>
      <c r="B4760" t="s">
        <v>16</v>
      </c>
      <c r="C4760" t="s">
        <v>21</v>
      </c>
      <c r="D4760">
        <v>243056</v>
      </c>
      <c r="E4760">
        <v>41416</v>
      </c>
      <c r="F4760">
        <v>38953</v>
      </c>
      <c r="G4760">
        <v>-220705</v>
      </c>
      <c r="H4760">
        <v>102720</v>
      </c>
      <c r="I4760">
        <v>96146</v>
      </c>
      <c r="J4760">
        <v>2860</v>
      </c>
      <c r="K4760">
        <v>939259</v>
      </c>
      <c r="L4760">
        <v>325906</v>
      </c>
      <c r="M4760">
        <v>-170396</v>
      </c>
      <c r="N4760">
        <v>75534</v>
      </c>
      <c r="O4760" t="s">
        <v>4778</v>
      </c>
      <c r="P4760" s="9">
        <v>171800</v>
      </c>
      <c r="Q4760" s="9">
        <v>17658</v>
      </c>
      <c r="R4760" s="9">
        <v>189458</v>
      </c>
      <c r="S4760" s="9">
        <v>-69969</v>
      </c>
      <c r="T4760" s="10">
        <v>64787</v>
      </c>
      <c r="U4760" s="10">
        <v>737</v>
      </c>
    </row>
    <row r="4761" spans="1:21" x14ac:dyDescent="0.35">
      <c r="A4761" t="s">
        <v>15</v>
      </c>
      <c r="B4761" t="s">
        <v>16</v>
      </c>
      <c r="C4761" t="s">
        <v>17</v>
      </c>
      <c r="D4761">
        <v>291524</v>
      </c>
      <c r="E4761">
        <v>26159</v>
      </c>
      <c r="F4761">
        <v>37902</v>
      </c>
      <c r="G4761">
        <v>-274308</v>
      </c>
      <c r="H4761">
        <v>81277</v>
      </c>
      <c r="I4761">
        <v>74816</v>
      </c>
      <c r="J4761">
        <v>1716</v>
      </c>
      <c r="K4761">
        <v>1145882</v>
      </c>
      <c r="L4761">
        <v>120086</v>
      </c>
      <c r="M4761">
        <v>-161738</v>
      </c>
      <c r="N4761">
        <v>147358</v>
      </c>
      <c r="O4761" t="s">
        <v>4779</v>
      </c>
      <c r="P4761" s="9">
        <v>291876</v>
      </c>
      <c r="Q4761" s="9">
        <v>17494</v>
      </c>
      <c r="R4761" s="9">
        <v>309370</v>
      </c>
      <c r="S4761" s="9">
        <v>-138007</v>
      </c>
      <c r="T4761" s="10">
        <v>50076</v>
      </c>
      <c r="U4761" s="10">
        <v>1371</v>
      </c>
    </row>
    <row r="4762" spans="1:21" x14ac:dyDescent="0.35">
      <c r="A4762" t="s">
        <v>15</v>
      </c>
      <c r="B4762" t="s">
        <v>16</v>
      </c>
      <c r="C4762" t="s">
        <v>21</v>
      </c>
      <c r="D4762">
        <v>253439</v>
      </c>
      <c r="E4762">
        <v>45076</v>
      </c>
      <c r="F4762">
        <v>31537</v>
      </c>
      <c r="G4762">
        <v>-225269</v>
      </c>
      <c r="H4762">
        <v>104783</v>
      </c>
      <c r="I4762">
        <v>108105</v>
      </c>
      <c r="J4762">
        <v>1129</v>
      </c>
      <c r="K4762">
        <v>662249</v>
      </c>
      <c r="L4762">
        <v>226696</v>
      </c>
      <c r="M4762">
        <v>-124182</v>
      </c>
      <c r="N4762">
        <v>87988</v>
      </c>
      <c r="O4762" t="s">
        <v>4780</v>
      </c>
      <c r="P4762" s="9">
        <v>214165</v>
      </c>
      <c r="Q4762" s="9">
        <v>27745</v>
      </c>
      <c r="R4762" s="9">
        <v>241910</v>
      </c>
      <c r="S4762" s="9">
        <v>-135876</v>
      </c>
      <c r="T4762" s="10">
        <v>93435</v>
      </c>
      <c r="U4762" s="10">
        <v>2223</v>
      </c>
    </row>
    <row r="4763" spans="1:21" x14ac:dyDescent="0.35">
      <c r="A4763" t="s">
        <v>15</v>
      </c>
      <c r="B4763" t="s">
        <v>20</v>
      </c>
      <c r="C4763" t="s">
        <v>21</v>
      </c>
      <c r="D4763">
        <v>154212</v>
      </c>
      <c r="E4763">
        <v>19194</v>
      </c>
      <c r="F4763">
        <v>16010</v>
      </c>
      <c r="G4763">
        <v>-142662</v>
      </c>
      <c r="H4763">
        <v>46754</v>
      </c>
      <c r="I4763">
        <v>45019</v>
      </c>
      <c r="J4763">
        <v>876</v>
      </c>
      <c r="K4763">
        <v>320390</v>
      </c>
      <c r="L4763">
        <v>61614</v>
      </c>
      <c r="M4763">
        <v>-117008</v>
      </c>
      <c r="N4763">
        <v>85322</v>
      </c>
      <c r="O4763" t="s">
        <v>4781</v>
      </c>
      <c r="P4763" s="9">
        <v>163575</v>
      </c>
      <c r="Q4763" s="9">
        <v>29537</v>
      </c>
      <c r="R4763" s="9">
        <v>193112</v>
      </c>
      <c r="S4763" s="9">
        <v>-83821</v>
      </c>
      <c r="T4763" s="10">
        <v>97165</v>
      </c>
      <c r="U4763" s="10">
        <v>1095</v>
      </c>
    </row>
    <row r="4764" spans="1:21" x14ac:dyDescent="0.35">
      <c r="A4764" t="s">
        <v>15</v>
      </c>
      <c r="B4764" t="s">
        <v>16</v>
      </c>
      <c r="C4764" t="s">
        <v>21</v>
      </c>
      <c r="D4764">
        <v>206915</v>
      </c>
      <c r="E4764">
        <v>22625</v>
      </c>
      <c r="F4764">
        <v>21164</v>
      </c>
      <c r="G4764">
        <v>-200560</v>
      </c>
      <c r="H4764">
        <v>50144</v>
      </c>
      <c r="I4764">
        <v>50981</v>
      </c>
      <c r="J4764">
        <v>1048</v>
      </c>
      <c r="K4764">
        <v>436782</v>
      </c>
      <c r="L4764">
        <v>100875</v>
      </c>
      <c r="M4764">
        <v>-150744</v>
      </c>
      <c r="N4764">
        <v>136694</v>
      </c>
      <c r="O4764" t="s">
        <v>4782</v>
      </c>
      <c r="P4764" s="9">
        <v>206406</v>
      </c>
      <c r="Q4764" s="9">
        <v>17885</v>
      </c>
      <c r="R4764" s="9">
        <v>224291</v>
      </c>
      <c r="S4764" s="9">
        <v>-102047</v>
      </c>
      <c r="T4764" s="10">
        <v>73520</v>
      </c>
      <c r="U4764" s="10">
        <v>1111</v>
      </c>
    </row>
    <row r="4765" spans="1:21" x14ac:dyDescent="0.35">
      <c r="A4765" t="s">
        <v>15</v>
      </c>
      <c r="B4765" t="s">
        <v>20</v>
      </c>
      <c r="C4765" t="s">
        <v>21</v>
      </c>
      <c r="D4765">
        <v>288013</v>
      </c>
      <c r="E4765">
        <v>29906</v>
      </c>
      <c r="F4765">
        <v>61772</v>
      </c>
      <c r="G4765">
        <v>-237149</v>
      </c>
      <c r="H4765">
        <v>142542</v>
      </c>
      <c r="I4765">
        <v>136337</v>
      </c>
      <c r="J4765">
        <v>2610</v>
      </c>
      <c r="K4765">
        <v>971772</v>
      </c>
      <c r="L4765">
        <v>241659</v>
      </c>
      <c r="M4765">
        <v>-319486</v>
      </c>
      <c r="N4765">
        <v>242488</v>
      </c>
      <c r="O4765" t="s">
        <v>4783</v>
      </c>
      <c r="P4765" s="9">
        <v>269417</v>
      </c>
      <c r="Q4765" s="9">
        <v>30418</v>
      </c>
      <c r="R4765" s="9">
        <v>299835</v>
      </c>
      <c r="S4765" s="9">
        <v>-99140</v>
      </c>
      <c r="T4765" s="10">
        <v>110730</v>
      </c>
      <c r="U4765" s="10">
        <v>2566</v>
      </c>
    </row>
    <row r="4766" spans="1:21" x14ac:dyDescent="0.35">
      <c r="A4766" t="s">
        <v>15</v>
      </c>
      <c r="B4766" t="s">
        <v>16</v>
      </c>
      <c r="C4766" t="s">
        <v>17</v>
      </c>
      <c r="D4766">
        <v>173088</v>
      </c>
      <c r="E4766">
        <v>31273</v>
      </c>
      <c r="F4766">
        <v>34753</v>
      </c>
      <c r="G4766">
        <v>-143304</v>
      </c>
      <c r="H4766">
        <v>95810</v>
      </c>
      <c r="I4766">
        <v>89030</v>
      </c>
      <c r="J4766">
        <v>2590</v>
      </c>
      <c r="K4766">
        <v>494301</v>
      </c>
      <c r="L4766">
        <v>60486</v>
      </c>
      <c r="M4766">
        <v>-103663</v>
      </c>
      <c r="N4766">
        <v>117167</v>
      </c>
      <c r="O4766" t="s">
        <v>4784</v>
      </c>
      <c r="P4766" s="9">
        <v>159334</v>
      </c>
      <c r="Q4766" s="9">
        <v>27932</v>
      </c>
      <c r="R4766" s="9">
        <v>187266</v>
      </c>
      <c r="S4766" s="9">
        <v>-43701</v>
      </c>
      <c r="T4766" s="10">
        <v>67121</v>
      </c>
      <c r="U4766" s="10">
        <v>1638</v>
      </c>
    </row>
    <row r="4767" spans="1:21" x14ac:dyDescent="0.35">
      <c r="A4767" t="s">
        <v>15</v>
      </c>
      <c r="B4767" t="s">
        <v>20</v>
      </c>
      <c r="C4767" t="s">
        <v>21</v>
      </c>
      <c r="D4767">
        <v>274501</v>
      </c>
      <c r="E4767">
        <v>51945</v>
      </c>
      <c r="F4767">
        <v>66629</v>
      </c>
      <c r="G4767">
        <v>-259860</v>
      </c>
      <c r="H4767">
        <v>133215</v>
      </c>
      <c r="I4767">
        <v>134314</v>
      </c>
      <c r="J4767">
        <v>3092</v>
      </c>
      <c r="K4767">
        <v>912860</v>
      </c>
      <c r="L4767">
        <v>114613</v>
      </c>
      <c r="M4767">
        <v>-150377</v>
      </c>
      <c r="N4767">
        <v>158615</v>
      </c>
      <c r="O4767" t="s">
        <v>4785</v>
      </c>
      <c r="P4767" s="9">
        <v>180674</v>
      </c>
      <c r="Q4767" s="9">
        <v>19955</v>
      </c>
      <c r="R4767" s="9">
        <v>200629</v>
      </c>
      <c r="S4767" s="9">
        <v>-113709</v>
      </c>
      <c r="T4767" s="10">
        <v>51896</v>
      </c>
      <c r="U4767" s="10">
        <v>1269</v>
      </c>
    </row>
    <row r="4768" spans="1:21" x14ac:dyDescent="0.35">
      <c r="A4768" t="s">
        <v>15</v>
      </c>
      <c r="B4768" t="s">
        <v>16</v>
      </c>
      <c r="C4768" t="s">
        <v>17</v>
      </c>
      <c r="D4768">
        <v>274189</v>
      </c>
      <c r="E4768">
        <v>34266</v>
      </c>
      <c r="F4768">
        <v>46982</v>
      </c>
      <c r="G4768">
        <v>-245094</v>
      </c>
      <c r="H4768">
        <v>110343</v>
      </c>
      <c r="I4768">
        <v>107174</v>
      </c>
      <c r="J4768">
        <v>2610</v>
      </c>
      <c r="K4768">
        <v>870385</v>
      </c>
      <c r="L4768">
        <v>87943</v>
      </c>
      <c r="M4768">
        <v>-126559</v>
      </c>
      <c r="N4768">
        <v>147549</v>
      </c>
      <c r="O4768" t="s">
        <v>4786</v>
      </c>
      <c r="P4768" s="9">
        <v>228629</v>
      </c>
      <c r="Q4768" s="9">
        <v>26371</v>
      </c>
      <c r="R4768" s="9">
        <v>255000</v>
      </c>
      <c r="S4768" s="9">
        <v>-123062</v>
      </c>
      <c r="T4768" s="10">
        <v>108266</v>
      </c>
      <c r="U4768" s="10">
        <v>2217</v>
      </c>
    </row>
    <row r="4769" spans="1:21" x14ac:dyDescent="0.35">
      <c r="A4769" t="s">
        <v>15</v>
      </c>
      <c r="B4769" t="s">
        <v>16</v>
      </c>
      <c r="C4769" t="s">
        <v>21</v>
      </c>
      <c r="D4769">
        <v>184647</v>
      </c>
      <c r="E4769">
        <v>20038</v>
      </c>
      <c r="F4769">
        <v>22170</v>
      </c>
      <c r="G4769">
        <v>-174149</v>
      </c>
      <c r="H4769">
        <v>52706</v>
      </c>
      <c r="I4769">
        <v>51883</v>
      </c>
      <c r="J4769">
        <v>1255</v>
      </c>
      <c r="K4769">
        <v>612331</v>
      </c>
      <c r="L4769">
        <v>290116</v>
      </c>
      <c r="M4769">
        <v>-67068</v>
      </c>
      <c r="N4769">
        <v>78325</v>
      </c>
      <c r="O4769" t="s">
        <v>4787</v>
      </c>
      <c r="P4769" s="9">
        <v>314442</v>
      </c>
      <c r="Q4769" s="9">
        <v>25822</v>
      </c>
      <c r="R4769" s="9">
        <v>340264</v>
      </c>
      <c r="S4769" s="9">
        <v>-109796</v>
      </c>
      <c r="T4769" s="10">
        <v>105477</v>
      </c>
      <c r="U4769" s="10">
        <v>2299</v>
      </c>
    </row>
    <row r="4770" spans="1:21" x14ac:dyDescent="0.35">
      <c r="A4770" t="s">
        <v>15</v>
      </c>
      <c r="B4770" t="s">
        <v>16</v>
      </c>
      <c r="C4770" t="s">
        <v>21</v>
      </c>
      <c r="D4770">
        <v>298046</v>
      </c>
      <c r="E4770">
        <v>21290</v>
      </c>
      <c r="F4770">
        <v>63636</v>
      </c>
      <c r="G4770">
        <v>-274516</v>
      </c>
      <c r="H4770">
        <v>108456</v>
      </c>
      <c r="I4770">
        <v>107933</v>
      </c>
      <c r="J4770">
        <v>2767</v>
      </c>
      <c r="K4770">
        <v>1041825</v>
      </c>
      <c r="L4770">
        <v>254891</v>
      </c>
      <c r="M4770">
        <v>-231861</v>
      </c>
      <c r="N4770">
        <v>106669</v>
      </c>
      <c r="O4770" t="s">
        <v>4788</v>
      </c>
      <c r="P4770" s="9">
        <v>160171</v>
      </c>
      <c r="Q4770" s="9">
        <v>24532</v>
      </c>
      <c r="R4770" s="9">
        <v>184703</v>
      </c>
      <c r="S4770" s="9">
        <v>-80814</v>
      </c>
      <c r="T4770" s="10">
        <v>58177</v>
      </c>
      <c r="U4770" s="10">
        <v>585</v>
      </c>
    </row>
    <row r="4771" spans="1:21" x14ac:dyDescent="0.35">
      <c r="A4771" t="s">
        <v>15</v>
      </c>
      <c r="B4771" t="s">
        <v>16</v>
      </c>
      <c r="C4771" t="s">
        <v>21</v>
      </c>
      <c r="D4771">
        <v>194958</v>
      </c>
      <c r="E4771">
        <v>38679</v>
      </c>
      <c r="F4771">
        <v>42089</v>
      </c>
      <c r="G4771">
        <v>-189386</v>
      </c>
      <c r="H4771">
        <v>86340</v>
      </c>
      <c r="I4771">
        <v>89637</v>
      </c>
      <c r="J4771">
        <v>1075</v>
      </c>
      <c r="K4771">
        <v>465174</v>
      </c>
      <c r="L4771">
        <v>193748</v>
      </c>
      <c r="M4771">
        <v>-157195</v>
      </c>
      <c r="N4771">
        <v>115487</v>
      </c>
      <c r="O4771" t="s">
        <v>4789</v>
      </c>
      <c r="P4771" s="9">
        <v>182104</v>
      </c>
      <c r="Q4771" s="9">
        <v>25693</v>
      </c>
      <c r="R4771" s="9">
        <v>207797</v>
      </c>
      <c r="S4771" s="9">
        <v>-56718</v>
      </c>
      <c r="T4771" s="10">
        <v>63550</v>
      </c>
      <c r="U4771" s="10">
        <v>965</v>
      </c>
    </row>
    <row r="4772" spans="1:21" x14ac:dyDescent="0.35">
      <c r="A4772" t="s">
        <v>15</v>
      </c>
      <c r="B4772" t="s">
        <v>20</v>
      </c>
      <c r="C4772" t="s">
        <v>21</v>
      </c>
      <c r="D4772">
        <v>189515</v>
      </c>
      <c r="E4772">
        <v>11220</v>
      </c>
      <c r="F4772">
        <v>37401</v>
      </c>
      <c r="G4772">
        <v>-188368</v>
      </c>
      <c r="H4772">
        <v>49768</v>
      </c>
      <c r="I4772">
        <v>48529</v>
      </c>
      <c r="J4772">
        <v>737</v>
      </c>
      <c r="K4772">
        <v>447619</v>
      </c>
      <c r="L4772">
        <v>146881</v>
      </c>
      <c r="M4772">
        <v>-166368</v>
      </c>
      <c r="N4772">
        <v>143419</v>
      </c>
      <c r="O4772" t="s">
        <v>4790</v>
      </c>
      <c r="P4772" s="9">
        <v>203856</v>
      </c>
      <c r="Q4772" s="9">
        <v>34150</v>
      </c>
      <c r="R4772" s="9">
        <v>238006</v>
      </c>
      <c r="S4772" s="9">
        <v>-93859</v>
      </c>
      <c r="T4772" s="10">
        <v>95705</v>
      </c>
      <c r="U4772" s="10">
        <v>1343</v>
      </c>
    </row>
    <row r="4773" spans="1:21" x14ac:dyDescent="0.35">
      <c r="A4773" t="s">
        <v>15</v>
      </c>
      <c r="B4773" t="s">
        <v>16</v>
      </c>
      <c r="C4773" t="s">
        <v>21</v>
      </c>
      <c r="D4773">
        <v>185276</v>
      </c>
      <c r="E4773">
        <v>27727</v>
      </c>
      <c r="F4773">
        <v>34244</v>
      </c>
      <c r="G4773">
        <v>-149864</v>
      </c>
      <c r="H4773">
        <v>97383</v>
      </c>
      <c r="I4773">
        <v>96952</v>
      </c>
      <c r="J4773">
        <v>1459</v>
      </c>
      <c r="K4773">
        <v>421558</v>
      </c>
      <c r="L4773">
        <v>73222</v>
      </c>
      <c r="M4773">
        <v>-50094</v>
      </c>
      <c r="N4773">
        <v>58983</v>
      </c>
      <c r="O4773" t="s">
        <v>4791</v>
      </c>
      <c r="P4773" s="9">
        <v>154312</v>
      </c>
      <c r="Q4773" s="9">
        <v>17790</v>
      </c>
      <c r="R4773" s="9">
        <v>172102</v>
      </c>
      <c r="S4773" s="9">
        <v>-97095</v>
      </c>
      <c r="T4773" s="10">
        <v>58541</v>
      </c>
      <c r="U4773" s="10">
        <v>1036</v>
      </c>
    </row>
    <row r="4774" spans="1:21" x14ac:dyDescent="0.35">
      <c r="A4774" t="s">
        <v>15</v>
      </c>
      <c r="B4774" t="s">
        <v>20</v>
      </c>
      <c r="C4774" t="s">
        <v>21</v>
      </c>
      <c r="D4774">
        <v>224510</v>
      </c>
      <c r="E4774">
        <v>34806</v>
      </c>
      <c r="F4774">
        <v>34105</v>
      </c>
      <c r="G4774">
        <v>-214432</v>
      </c>
      <c r="H4774">
        <v>78989</v>
      </c>
      <c r="I4774">
        <v>74466</v>
      </c>
      <c r="J4774">
        <v>1956</v>
      </c>
      <c r="K4774">
        <v>622304</v>
      </c>
      <c r="L4774">
        <v>203252</v>
      </c>
      <c r="M4774">
        <v>-178907</v>
      </c>
      <c r="N4774">
        <v>183045</v>
      </c>
      <c r="O4774" t="s">
        <v>4792</v>
      </c>
      <c r="P4774" s="9">
        <v>166864</v>
      </c>
      <c r="Q4774" s="9">
        <v>11405</v>
      </c>
      <c r="R4774" s="9">
        <v>178269</v>
      </c>
      <c r="S4774" s="9">
        <v>-51876</v>
      </c>
      <c r="T4774" s="10">
        <v>45953</v>
      </c>
      <c r="U4774" s="10">
        <v>877</v>
      </c>
    </row>
    <row r="4775" spans="1:21" x14ac:dyDescent="0.35">
      <c r="A4775" t="s">
        <v>15</v>
      </c>
      <c r="B4775" t="s">
        <v>16</v>
      </c>
      <c r="C4775" t="s">
        <v>21</v>
      </c>
      <c r="D4775">
        <v>166054</v>
      </c>
      <c r="E4775">
        <v>30378</v>
      </c>
      <c r="F4775">
        <v>37312</v>
      </c>
      <c r="G4775">
        <v>-142917</v>
      </c>
      <c r="H4775">
        <v>90827</v>
      </c>
      <c r="I4775">
        <v>85287</v>
      </c>
      <c r="J4775">
        <v>2436</v>
      </c>
      <c r="K4775">
        <v>351951</v>
      </c>
      <c r="L4775">
        <v>164309</v>
      </c>
      <c r="M4775">
        <v>-116984</v>
      </c>
      <c r="N4775">
        <v>108586</v>
      </c>
      <c r="O4775" t="s">
        <v>4793</v>
      </c>
      <c r="P4775" s="9">
        <v>303553</v>
      </c>
      <c r="Q4775" s="9">
        <v>50653</v>
      </c>
      <c r="R4775" s="9">
        <v>354206</v>
      </c>
      <c r="S4775" s="9">
        <v>-131780</v>
      </c>
      <c r="T4775" s="10">
        <v>137035</v>
      </c>
      <c r="U4775" s="10">
        <v>3300</v>
      </c>
    </row>
    <row r="4776" spans="1:21" x14ac:dyDescent="0.35">
      <c r="A4776" t="s">
        <v>15</v>
      </c>
      <c r="B4776" t="s">
        <v>16</v>
      </c>
      <c r="C4776" t="s">
        <v>21</v>
      </c>
      <c r="D4776">
        <v>166199</v>
      </c>
      <c r="E4776">
        <v>9753</v>
      </c>
      <c r="F4776">
        <v>18894</v>
      </c>
      <c r="G4776">
        <v>-135512</v>
      </c>
      <c r="H4776">
        <v>59334</v>
      </c>
      <c r="I4776">
        <v>55135</v>
      </c>
      <c r="J4776">
        <v>935</v>
      </c>
      <c r="K4776">
        <v>472508</v>
      </c>
      <c r="L4776">
        <v>222183</v>
      </c>
      <c r="M4776">
        <v>-142719</v>
      </c>
      <c r="N4776">
        <v>95161</v>
      </c>
      <c r="O4776" t="s">
        <v>4794</v>
      </c>
      <c r="P4776" s="9">
        <v>201576</v>
      </c>
      <c r="Q4776" s="9">
        <v>25725</v>
      </c>
      <c r="R4776" s="9">
        <v>227301</v>
      </c>
      <c r="S4776" s="9">
        <v>-91607</v>
      </c>
      <c r="T4776" s="10">
        <v>58315</v>
      </c>
      <c r="U4776" s="10">
        <v>1416</v>
      </c>
    </row>
    <row r="4777" spans="1:21" x14ac:dyDescent="0.35">
      <c r="A4777" t="s">
        <v>15</v>
      </c>
      <c r="B4777" t="s">
        <v>16</v>
      </c>
      <c r="C4777" t="s">
        <v>21</v>
      </c>
      <c r="D4777">
        <v>171241</v>
      </c>
      <c r="E4777">
        <v>24524</v>
      </c>
      <c r="F4777">
        <v>40726</v>
      </c>
      <c r="G4777">
        <v>-150435</v>
      </c>
      <c r="H4777">
        <v>86056</v>
      </c>
      <c r="I4777">
        <v>87707</v>
      </c>
      <c r="J4777">
        <v>1299</v>
      </c>
      <c r="K4777">
        <v>528176</v>
      </c>
      <c r="L4777">
        <v>169818</v>
      </c>
      <c r="M4777">
        <v>-159831</v>
      </c>
      <c r="N4777">
        <v>119595</v>
      </c>
      <c r="O4777" t="s">
        <v>4795</v>
      </c>
      <c r="P4777" s="9">
        <v>290903</v>
      </c>
      <c r="Q4777" s="9">
        <v>28473</v>
      </c>
      <c r="R4777" s="9">
        <v>319376</v>
      </c>
      <c r="S4777" s="9">
        <v>-177379</v>
      </c>
      <c r="T4777" s="10">
        <v>107437</v>
      </c>
      <c r="U4777" s="10">
        <v>2373</v>
      </c>
    </row>
    <row r="4778" spans="1:21" x14ac:dyDescent="0.35">
      <c r="A4778" t="s">
        <v>15</v>
      </c>
      <c r="B4778" t="s">
        <v>16</v>
      </c>
      <c r="C4778" t="s">
        <v>21</v>
      </c>
      <c r="D4778">
        <v>163913</v>
      </c>
      <c r="E4778">
        <v>13183</v>
      </c>
      <c r="F4778">
        <v>34241</v>
      </c>
      <c r="G4778">
        <v>-138588</v>
      </c>
      <c r="H4778">
        <v>72749</v>
      </c>
      <c r="I4778">
        <v>72574</v>
      </c>
      <c r="J4778">
        <v>824</v>
      </c>
      <c r="K4778">
        <v>580323</v>
      </c>
      <c r="L4778">
        <v>148664</v>
      </c>
      <c r="M4778">
        <v>-199401</v>
      </c>
      <c r="N4778">
        <v>144337</v>
      </c>
      <c r="O4778" t="s">
        <v>4796</v>
      </c>
      <c r="P4778" s="9">
        <v>227273</v>
      </c>
      <c r="Q4778" s="9">
        <v>12429</v>
      </c>
      <c r="R4778" s="9">
        <v>239702</v>
      </c>
      <c r="S4778" s="9">
        <v>-108220</v>
      </c>
      <c r="T4778" s="10">
        <v>82340</v>
      </c>
      <c r="U4778" s="10">
        <v>1722</v>
      </c>
    </row>
    <row r="4779" spans="1:21" x14ac:dyDescent="0.35">
      <c r="A4779" t="s">
        <v>15</v>
      </c>
      <c r="B4779" t="s">
        <v>20</v>
      </c>
      <c r="C4779" t="s">
        <v>21</v>
      </c>
      <c r="D4779">
        <v>179094</v>
      </c>
      <c r="E4779">
        <v>20969</v>
      </c>
      <c r="F4779">
        <v>22239</v>
      </c>
      <c r="G4779">
        <v>-175062</v>
      </c>
      <c r="H4779">
        <v>47240</v>
      </c>
      <c r="I4779">
        <v>43859</v>
      </c>
      <c r="J4779">
        <v>973</v>
      </c>
      <c r="K4779">
        <v>379096</v>
      </c>
      <c r="L4779">
        <v>62464</v>
      </c>
      <c r="M4779">
        <v>-69284</v>
      </c>
      <c r="N4779">
        <v>76355</v>
      </c>
      <c r="O4779" t="s">
        <v>4797</v>
      </c>
      <c r="P4779" s="9">
        <v>188709</v>
      </c>
      <c r="Q4779" s="9">
        <v>13271</v>
      </c>
      <c r="R4779" s="9">
        <v>201980</v>
      </c>
      <c r="S4779" s="9">
        <v>-114837</v>
      </c>
      <c r="T4779" s="10">
        <v>66655</v>
      </c>
      <c r="U4779" s="10">
        <v>1507</v>
      </c>
    </row>
    <row r="4780" spans="1:21" x14ac:dyDescent="0.35">
      <c r="A4780" t="s">
        <v>15</v>
      </c>
      <c r="B4780" t="s">
        <v>16</v>
      </c>
      <c r="C4780" t="s">
        <v>21</v>
      </c>
      <c r="D4780">
        <v>261974</v>
      </c>
      <c r="E4780">
        <v>25925</v>
      </c>
      <c r="F4780">
        <v>58155</v>
      </c>
      <c r="G4780">
        <v>-259332</v>
      </c>
      <c r="H4780">
        <v>86722</v>
      </c>
      <c r="I4780">
        <v>82336</v>
      </c>
      <c r="J4780">
        <v>1900</v>
      </c>
      <c r="K4780">
        <v>733778</v>
      </c>
      <c r="L4780">
        <v>177010</v>
      </c>
      <c r="M4780">
        <v>-242371</v>
      </c>
      <c r="N4780">
        <v>158798</v>
      </c>
      <c r="O4780" t="s">
        <v>4798</v>
      </c>
      <c r="P4780" s="9">
        <v>193134</v>
      </c>
      <c r="Q4780" s="9">
        <v>30557</v>
      </c>
      <c r="R4780" s="9">
        <v>223691</v>
      </c>
      <c r="S4780" s="9">
        <v>-118270</v>
      </c>
      <c r="T4780" s="10">
        <v>90357</v>
      </c>
      <c r="U4780" s="10">
        <v>1197</v>
      </c>
    </row>
    <row r="4781" spans="1:21" x14ac:dyDescent="0.35">
      <c r="A4781" t="s">
        <v>15</v>
      </c>
      <c r="B4781" t="s">
        <v>20</v>
      </c>
      <c r="C4781" t="s">
        <v>21</v>
      </c>
      <c r="D4781">
        <v>291815</v>
      </c>
      <c r="E4781">
        <v>45978</v>
      </c>
      <c r="F4781">
        <v>32177</v>
      </c>
      <c r="G4781">
        <v>-256472</v>
      </c>
      <c r="H4781">
        <v>113498</v>
      </c>
      <c r="I4781">
        <v>108557</v>
      </c>
      <c r="J4781">
        <v>3015</v>
      </c>
      <c r="K4781">
        <v>746491</v>
      </c>
      <c r="L4781">
        <v>349854</v>
      </c>
      <c r="M4781">
        <v>-188024</v>
      </c>
      <c r="N4781">
        <v>177282</v>
      </c>
      <c r="O4781" t="s">
        <v>4799</v>
      </c>
      <c r="P4781" s="9">
        <v>251600</v>
      </c>
      <c r="Q4781" s="9">
        <v>51679</v>
      </c>
      <c r="R4781" s="9">
        <v>303279</v>
      </c>
      <c r="S4781" s="9">
        <v>-153810</v>
      </c>
      <c r="T4781" s="10">
        <v>113142</v>
      </c>
      <c r="U4781" s="10">
        <v>2546</v>
      </c>
    </row>
    <row r="4782" spans="1:21" x14ac:dyDescent="0.35">
      <c r="A4782" t="s">
        <v>15</v>
      </c>
      <c r="B4782" t="s">
        <v>20</v>
      </c>
      <c r="C4782" t="s">
        <v>17</v>
      </c>
      <c r="D4782">
        <v>184327</v>
      </c>
      <c r="E4782">
        <v>33108</v>
      </c>
      <c r="F4782">
        <v>21672</v>
      </c>
      <c r="G4782">
        <v>-147747</v>
      </c>
      <c r="H4782">
        <v>91360</v>
      </c>
      <c r="I4782">
        <v>84487</v>
      </c>
      <c r="J4782">
        <v>1675</v>
      </c>
      <c r="K4782">
        <v>587808</v>
      </c>
      <c r="L4782">
        <v>264130</v>
      </c>
      <c r="M4782">
        <v>-62659</v>
      </c>
      <c r="N4782">
        <v>76145</v>
      </c>
      <c r="O4782" t="s">
        <v>4800</v>
      </c>
      <c r="P4782" s="9">
        <v>165367</v>
      </c>
      <c r="Q4782" s="9">
        <v>34888</v>
      </c>
      <c r="R4782" s="9">
        <v>200255</v>
      </c>
      <c r="S4782" s="9">
        <v>-108475</v>
      </c>
      <c r="T4782" s="10">
        <v>61082</v>
      </c>
      <c r="U4782" s="10">
        <v>1460</v>
      </c>
    </row>
    <row r="4783" spans="1:21" x14ac:dyDescent="0.35">
      <c r="A4783" t="s">
        <v>15</v>
      </c>
      <c r="B4783" t="s">
        <v>16</v>
      </c>
      <c r="C4783" t="s">
        <v>21</v>
      </c>
      <c r="D4783">
        <v>242443</v>
      </c>
      <c r="E4783">
        <v>18106</v>
      </c>
      <c r="F4783">
        <v>51272</v>
      </c>
      <c r="G4783">
        <v>-197678</v>
      </c>
      <c r="H4783">
        <v>114143</v>
      </c>
      <c r="I4783">
        <v>116741</v>
      </c>
      <c r="J4783">
        <v>2882</v>
      </c>
      <c r="K4783">
        <v>623135</v>
      </c>
      <c r="L4783">
        <v>163266</v>
      </c>
      <c r="M4783">
        <v>-176231</v>
      </c>
      <c r="N4783">
        <v>127751</v>
      </c>
      <c r="O4783" t="s">
        <v>4801</v>
      </c>
      <c r="P4783" s="9">
        <v>259677</v>
      </c>
      <c r="Q4783" s="9">
        <v>36109</v>
      </c>
      <c r="R4783" s="9">
        <v>295786</v>
      </c>
      <c r="S4783" s="9">
        <v>-105212</v>
      </c>
      <c r="T4783" s="10">
        <v>138194</v>
      </c>
      <c r="U4783" s="10">
        <v>2132</v>
      </c>
    </row>
    <row r="4784" spans="1:21" x14ac:dyDescent="0.35">
      <c r="A4784" t="s">
        <v>15</v>
      </c>
      <c r="B4784" t="s">
        <v>16</v>
      </c>
      <c r="C4784" t="s">
        <v>21</v>
      </c>
      <c r="D4784">
        <v>225751</v>
      </c>
      <c r="E4784">
        <v>33763</v>
      </c>
      <c r="F4784">
        <v>37472</v>
      </c>
      <c r="G4784">
        <v>-197369</v>
      </c>
      <c r="H4784">
        <v>99617</v>
      </c>
      <c r="I4784">
        <v>102807</v>
      </c>
      <c r="J4784">
        <v>2252</v>
      </c>
      <c r="K4784">
        <v>881008</v>
      </c>
      <c r="L4784">
        <v>324149</v>
      </c>
      <c r="M4784">
        <v>-170558</v>
      </c>
      <c r="N4784">
        <v>165270</v>
      </c>
      <c r="O4784" t="s">
        <v>4802</v>
      </c>
      <c r="P4784" s="9">
        <v>242342</v>
      </c>
      <c r="Q4784" s="9">
        <v>25545</v>
      </c>
      <c r="R4784" s="9">
        <v>267887</v>
      </c>
      <c r="S4784" s="9">
        <v>-151387</v>
      </c>
      <c r="T4784" s="10">
        <v>87717</v>
      </c>
      <c r="U4784" s="10">
        <v>1546</v>
      </c>
    </row>
    <row r="4785" spans="1:21" x14ac:dyDescent="0.35">
      <c r="A4785" t="s">
        <v>15</v>
      </c>
      <c r="B4785" t="s">
        <v>16</v>
      </c>
      <c r="C4785" t="s">
        <v>21</v>
      </c>
      <c r="D4785">
        <v>232159</v>
      </c>
      <c r="E4785">
        <v>28946</v>
      </c>
      <c r="F4785">
        <v>43944</v>
      </c>
      <c r="G4785">
        <v>-192252</v>
      </c>
      <c r="H4785">
        <v>112797</v>
      </c>
      <c r="I4785">
        <v>108697</v>
      </c>
      <c r="J4785">
        <v>3231</v>
      </c>
      <c r="K4785">
        <v>545266</v>
      </c>
      <c r="L4785">
        <v>209685</v>
      </c>
      <c r="M4785">
        <v>-168733</v>
      </c>
      <c r="N4785">
        <v>175204</v>
      </c>
      <c r="O4785" t="s">
        <v>4803</v>
      </c>
      <c r="P4785" s="9">
        <v>211246</v>
      </c>
      <c r="Q4785" s="9">
        <v>23258</v>
      </c>
      <c r="R4785" s="9">
        <v>234504</v>
      </c>
      <c r="S4785" s="9">
        <v>-63486</v>
      </c>
      <c r="T4785" s="10">
        <v>88705</v>
      </c>
      <c r="U4785" s="10">
        <v>2406</v>
      </c>
    </row>
    <row r="4786" spans="1:21" x14ac:dyDescent="0.35">
      <c r="A4786" t="s">
        <v>15</v>
      </c>
      <c r="B4786" t="s">
        <v>16</v>
      </c>
      <c r="C4786" t="s">
        <v>17</v>
      </c>
      <c r="D4786">
        <v>216405</v>
      </c>
      <c r="E4786">
        <v>40590</v>
      </c>
      <c r="F4786">
        <v>37579</v>
      </c>
      <c r="G4786">
        <v>-175856</v>
      </c>
      <c r="H4786">
        <v>118718</v>
      </c>
      <c r="I4786">
        <v>113505</v>
      </c>
      <c r="J4786">
        <v>3146</v>
      </c>
      <c r="K4786">
        <v>557072</v>
      </c>
      <c r="L4786">
        <v>246544</v>
      </c>
      <c r="M4786">
        <v>-142613</v>
      </c>
      <c r="N4786">
        <v>165102</v>
      </c>
      <c r="O4786" t="s">
        <v>4804</v>
      </c>
      <c r="P4786" s="9">
        <v>224690</v>
      </c>
      <c r="Q4786" s="9">
        <v>15651</v>
      </c>
      <c r="R4786" s="9">
        <v>240341</v>
      </c>
      <c r="S4786" s="9">
        <v>-143388</v>
      </c>
      <c r="T4786" s="10">
        <v>95169</v>
      </c>
      <c r="U4786" s="10">
        <v>2784</v>
      </c>
    </row>
    <row r="4787" spans="1:21" x14ac:dyDescent="0.35">
      <c r="A4787" t="s">
        <v>15</v>
      </c>
      <c r="B4787" t="s">
        <v>20</v>
      </c>
      <c r="C4787" t="s">
        <v>21</v>
      </c>
      <c r="D4787">
        <v>265774</v>
      </c>
      <c r="E4787">
        <v>41031</v>
      </c>
      <c r="F4787">
        <v>59903</v>
      </c>
      <c r="G4787">
        <v>-229129</v>
      </c>
      <c r="H4787">
        <v>137579</v>
      </c>
      <c r="I4787">
        <v>129181</v>
      </c>
      <c r="J4787">
        <v>2273</v>
      </c>
      <c r="K4787">
        <v>694376</v>
      </c>
      <c r="L4787">
        <v>73516</v>
      </c>
      <c r="M4787">
        <v>-179171</v>
      </c>
      <c r="N4787">
        <v>225938</v>
      </c>
      <c r="O4787" t="s">
        <v>4805</v>
      </c>
      <c r="P4787" s="9">
        <v>157394</v>
      </c>
      <c r="Q4787" s="9">
        <v>32440</v>
      </c>
      <c r="R4787" s="9">
        <v>189834</v>
      </c>
      <c r="S4787" s="9">
        <v>-108270</v>
      </c>
      <c r="T4787" s="10">
        <v>79624</v>
      </c>
      <c r="U4787" s="10">
        <v>935</v>
      </c>
    </row>
    <row r="4788" spans="1:21" x14ac:dyDescent="0.35">
      <c r="A4788" t="s">
        <v>15</v>
      </c>
      <c r="B4788" t="s">
        <v>16</v>
      </c>
      <c r="C4788" t="s">
        <v>21</v>
      </c>
      <c r="D4788">
        <v>264791</v>
      </c>
      <c r="E4788">
        <v>28815</v>
      </c>
      <c r="F4788">
        <v>47128</v>
      </c>
      <c r="G4788">
        <v>-228455</v>
      </c>
      <c r="H4788">
        <v>112279</v>
      </c>
      <c r="I4788">
        <v>105169</v>
      </c>
      <c r="J4788">
        <v>2207</v>
      </c>
      <c r="K4788">
        <v>793757</v>
      </c>
      <c r="L4788">
        <v>240897</v>
      </c>
      <c r="M4788">
        <v>-271065</v>
      </c>
      <c r="N4788">
        <v>236936</v>
      </c>
      <c r="O4788" t="s">
        <v>4806</v>
      </c>
      <c r="P4788" s="9">
        <v>156882</v>
      </c>
      <c r="Q4788" s="9">
        <v>17697</v>
      </c>
      <c r="R4788" s="9">
        <v>174579</v>
      </c>
      <c r="S4788" s="9">
        <v>-68542</v>
      </c>
      <c r="T4788" s="10">
        <v>61254</v>
      </c>
      <c r="U4788" s="10">
        <v>1017</v>
      </c>
    </row>
    <row r="4789" spans="1:21" x14ac:dyDescent="0.35">
      <c r="A4789" t="s">
        <v>15</v>
      </c>
      <c r="B4789" t="s">
        <v>16</v>
      </c>
      <c r="C4789" t="s">
        <v>21</v>
      </c>
      <c r="D4789">
        <v>191489</v>
      </c>
      <c r="E4789">
        <v>15802</v>
      </c>
      <c r="F4789">
        <v>47752</v>
      </c>
      <c r="G4789">
        <v>-154980</v>
      </c>
      <c r="H4789">
        <v>100063</v>
      </c>
      <c r="I4789">
        <v>102010</v>
      </c>
      <c r="J4789">
        <v>1397</v>
      </c>
      <c r="K4789">
        <v>533708</v>
      </c>
      <c r="L4789">
        <v>123741</v>
      </c>
      <c r="M4789">
        <v>-72637</v>
      </c>
      <c r="N4789">
        <v>73628</v>
      </c>
      <c r="O4789" t="s">
        <v>4807</v>
      </c>
      <c r="P4789" s="9">
        <v>248307</v>
      </c>
      <c r="Q4789" s="9">
        <v>45067</v>
      </c>
      <c r="R4789" s="9">
        <v>293374</v>
      </c>
      <c r="S4789" s="9">
        <v>-127887</v>
      </c>
      <c r="T4789" s="10">
        <v>109302</v>
      </c>
      <c r="U4789" s="10">
        <v>2003</v>
      </c>
    </row>
    <row r="4790" spans="1:21" x14ac:dyDescent="0.35">
      <c r="A4790" t="s">
        <v>15</v>
      </c>
      <c r="B4790" t="s">
        <v>16</v>
      </c>
      <c r="C4790" t="s">
        <v>17</v>
      </c>
      <c r="D4790">
        <v>218716</v>
      </c>
      <c r="E4790">
        <v>19535</v>
      </c>
      <c r="F4790">
        <v>42098</v>
      </c>
      <c r="G4790">
        <v>-200049</v>
      </c>
      <c r="H4790">
        <v>80300</v>
      </c>
      <c r="I4790">
        <v>74672</v>
      </c>
      <c r="J4790">
        <v>976</v>
      </c>
      <c r="K4790">
        <v>827378</v>
      </c>
      <c r="L4790">
        <v>141884</v>
      </c>
      <c r="M4790">
        <v>-113073</v>
      </c>
      <c r="N4790">
        <v>80063</v>
      </c>
      <c r="O4790" t="s">
        <v>4808</v>
      </c>
      <c r="P4790" s="9">
        <v>283497</v>
      </c>
      <c r="Q4790" s="9">
        <v>30703</v>
      </c>
      <c r="R4790" s="9">
        <v>314200</v>
      </c>
      <c r="S4790" s="9">
        <v>-158162</v>
      </c>
      <c r="T4790" s="10">
        <v>116526</v>
      </c>
      <c r="U4790" s="10">
        <v>2391</v>
      </c>
    </row>
    <row r="4791" spans="1:21" x14ac:dyDescent="0.35">
      <c r="A4791" t="s">
        <v>15</v>
      </c>
      <c r="B4791" t="s">
        <v>16</v>
      </c>
      <c r="C4791" t="s">
        <v>21</v>
      </c>
      <c r="D4791">
        <v>157630</v>
      </c>
      <c r="E4791">
        <v>16962</v>
      </c>
      <c r="F4791">
        <v>26055</v>
      </c>
      <c r="G4791">
        <v>-138701</v>
      </c>
      <c r="H4791">
        <v>61946</v>
      </c>
      <c r="I4791">
        <v>59900</v>
      </c>
      <c r="J4791">
        <v>1137</v>
      </c>
      <c r="K4791">
        <v>535190</v>
      </c>
      <c r="L4791">
        <v>182418</v>
      </c>
      <c r="M4791">
        <v>-207985</v>
      </c>
      <c r="N4791">
        <v>124069</v>
      </c>
      <c r="O4791" t="s">
        <v>4809</v>
      </c>
      <c r="P4791" s="9">
        <v>314370</v>
      </c>
      <c r="Q4791" s="9">
        <v>21357</v>
      </c>
      <c r="R4791" s="9">
        <v>335727</v>
      </c>
      <c r="S4791" s="9">
        <v>-104883</v>
      </c>
      <c r="T4791" s="10">
        <v>125042</v>
      </c>
      <c r="U4791" s="10">
        <v>3380</v>
      </c>
    </row>
    <row r="4792" spans="1:21" x14ac:dyDescent="0.35">
      <c r="A4792" t="s">
        <v>15</v>
      </c>
      <c r="B4792" t="s">
        <v>16</v>
      </c>
      <c r="C4792" t="s">
        <v>21</v>
      </c>
      <c r="D4792">
        <v>285901</v>
      </c>
      <c r="E4792">
        <v>21370</v>
      </c>
      <c r="F4792">
        <v>35405</v>
      </c>
      <c r="G4792">
        <v>-279284</v>
      </c>
      <c r="H4792">
        <v>63392</v>
      </c>
      <c r="I4792">
        <v>63339</v>
      </c>
      <c r="J4792">
        <v>655</v>
      </c>
      <c r="K4792">
        <v>1084966</v>
      </c>
      <c r="L4792">
        <v>322975</v>
      </c>
      <c r="M4792">
        <v>-348929</v>
      </c>
      <c r="N4792">
        <v>249782</v>
      </c>
      <c r="O4792" t="s">
        <v>4810</v>
      </c>
      <c r="P4792" s="9">
        <v>272426</v>
      </c>
      <c r="Q4792" s="9">
        <v>61216</v>
      </c>
      <c r="R4792" s="9">
        <v>333642</v>
      </c>
      <c r="S4792" s="9">
        <v>-131209</v>
      </c>
      <c r="T4792" s="10">
        <v>147112</v>
      </c>
      <c r="U4792" s="10">
        <v>2224</v>
      </c>
    </row>
    <row r="4793" spans="1:21" x14ac:dyDescent="0.35">
      <c r="A4793" t="s">
        <v>15</v>
      </c>
      <c r="B4793" t="s">
        <v>16</v>
      </c>
      <c r="C4793" t="s">
        <v>17</v>
      </c>
      <c r="D4793">
        <v>257904</v>
      </c>
      <c r="E4793">
        <v>39813</v>
      </c>
      <c r="F4793">
        <v>36412</v>
      </c>
      <c r="G4793">
        <v>-223328</v>
      </c>
      <c r="H4793">
        <v>110801</v>
      </c>
      <c r="I4793">
        <v>111565</v>
      </c>
      <c r="J4793">
        <v>1612</v>
      </c>
      <c r="K4793">
        <v>540236</v>
      </c>
      <c r="L4793">
        <v>144883</v>
      </c>
      <c r="M4793">
        <v>-143916</v>
      </c>
      <c r="N4793">
        <v>175688</v>
      </c>
      <c r="O4793" t="s">
        <v>4811</v>
      </c>
      <c r="P4793" s="9">
        <v>162421</v>
      </c>
      <c r="Q4793" s="9">
        <v>8932</v>
      </c>
      <c r="R4793" s="9">
        <v>171353</v>
      </c>
      <c r="S4793" s="9">
        <v>-62758</v>
      </c>
      <c r="T4793" s="10">
        <v>54988</v>
      </c>
      <c r="U4793" s="10">
        <v>1077</v>
      </c>
    </row>
    <row r="4794" spans="1:21" x14ac:dyDescent="0.35">
      <c r="A4794" t="s">
        <v>15</v>
      </c>
      <c r="B4794" t="s">
        <v>20</v>
      </c>
      <c r="C4794" t="s">
        <v>21</v>
      </c>
      <c r="D4794">
        <v>194697</v>
      </c>
      <c r="E4794">
        <v>14330</v>
      </c>
      <c r="F4794">
        <v>29954</v>
      </c>
      <c r="G4794">
        <v>-166163</v>
      </c>
      <c r="H4794">
        <v>72818</v>
      </c>
      <c r="I4794">
        <v>74778</v>
      </c>
      <c r="J4794">
        <v>974</v>
      </c>
      <c r="K4794">
        <v>675255</v>
      </c>
      <c r="L4794">
        <v>181013</v>
      </c>
      <c r="M4794">
        <v>-217771</v>
      </c>
      <c r="N4794">
        <v>165611</v>
      </c>
      <c r="O4794" t="s">
        <v>4812</v>
      </c>
      <c r="P4794" s="9">
        <v>223053</v>
      </c>
      <c r="Q4794" s="9">
        <v>12538</v>
      </c>
      <c r="R4794" s="9">
        <v>235591</v>
      </c>
      <c r="S4794" s="9">
        <v>-116624</v>
      </c>
      <c r="T4794" s="10">
        <v>89184</v>
      </c>
      <c r="U4794" s="10">
        <v>2599</v>
      </c>
    </row>
    <row r="4795" spans="1:21" x14ac:dyDescent="0.35">
      <c r="A4795" t="s">
        <v>15</v>
      </c>
      <c r="B4795" t="s">
        <v>20</v>
      </c>
      <c r="C4795" t="s">
        <v>21</v>
      </c>
      <c r="D4795">
        <v>174652</v>
      </c>
      <c r="E4795">
        <v>24820</v>
      </c>
      <c r="F4795">
        <v>38685</v>
      </c>
      <c r="G4795">
        <v>-172882</v>
      </c>
      <c r="H4795">
        <v>65275</v>
      </c>
      <c r="I4795">
        <v>59362</v>
      </c>
      <c r="J4795">
        <v>632</v>
      </c>
      <c r="K4795">
        <v>534144</v>
      </c>
      <c r="L4795">
        <v>172733</v>
      </c>
      <c r="M4795">
        <v>-204052</v>
      </c>
      <c r="N4795">
        <v>81429</v>
      </c>
      <c r="O4795" t="s">
        <v>4813</v>
      </c>
      <c r="P4795" s="9">
        <v>268868</v>
      </c>
      <c r="Q4795" s="9">
        <v>27087</v>
      </c>
      <c r="R4795" s="9">
        <v>295955</v>
      </c>
      <c r="S4795" s="9">
        <v>-165276</v>
      </c>
      <c r="T4795" s="10">
        <v>116347</v>
      </c>
      <c r="U4795" s="10">
        <v>3340</v>
      </c>
    </row>
    <row r="4796" spans="1:21" x14ac:dyDescent="0.35">
      <c r="A4796" t="s">
        <v>15</v>
      </c>
      <c r="B4796" t="s">
        <v>16</v>
      </c>
      <c r="C4796" t="s">
        <v>21</v>
      </c>
      <c r="D4796">
        <v>244663</v>
      </c>
      <c r="E4796">
        <v>19212</v>
      </c>
      <c r="F4796">
        <v>48059</v>
      </c>
      <c r="G4796">
        <v>-223907</v>
      </c>
      <c r="H4796">
        <v>88027</v>
      </c>
      <c r="I4796">
        <v>79780</v>
      </c>
      <c r="J4796">
        <v>1269</v>
      </c>
      <c r="K4796">
        <v>671838</v>
      </c>
      <c r="L4796">
        <v>103232</v>
      </c>
      <c r="M4796">
        <v>-259009</v>
      </c>
      <c r="N4796">
        <v>89886</v>
      </c>
      <c r="O4796" t="s">
        <v>4814</v>
      </c>
      <c r="P4796" s="9">
        <v>210627</v>
      </c>
      <c r="Q4796" s="9">
        <v>43285</v>
      </c>
      <c r="R4796" s="9">
        <v>253912</v>
      </c>
      <c r="S4796" s="9">
        <v>-112963</v>
      </c>
      <c r="T4796" s="10">
        <v>120205</v>
      </c>
      <c r="U4796" s="10">
        <v>1554</v>
      </c>
    </row>
    <row r="4797" spans="1:21" x14ac:dyDescent="0.35">
      <c r="A4797" t="s">
        <v>15</v>
      </c>
      <c r="B4797" t="s">
        <v>20</v>
      </c>
      <c r="C4797" t="s">
        <v>21</v>
      </c>
      <c r="D4797">
        <v>282214</v>
      </c>
      <c r="E4797">
        <v>46880</v>
      </c>
      <c r="F4797">
        <v>66378</v>
      </c>
      <c r="G4797">
        <v>-248124</v>
      </c>
      <c r="H4797">
        <v>147348</v>
      </c>
      <c r="I4797">
        <v>132822</v>
      </c>
      <c r="J4797">
        <v>1363</v>
      </c>
      <c r="K4797">
        <v>1090757</v>
      </c>
      <c r="L4797">
        <v>467705</v>
      </c>
      <c r="M4797">
        <v>-407708</v>
      </c>
      <c r="N4797">
        <v>221156</v>
      </c>
      <c r="O4797" t="s">
        <v>4815</v>
      </c>
      <c r="P4797" s="9">
        <v>172087</v>
      </c>
      <c r="Q4797" s="9">
        <v>26115</v>
      </c>
      <c r="R4797" s="9">
        <v>198202</v>
      </c>
      <c r="S4797" s="9">
        <v>-66081</v>
      </c>
      <c r="T4797" s="10">
        <v>62009</v>
      </c>
      <c r="U4797" s="10">
        <v>1277</v>
      </c>
    </row>
    <row r="4798" spans="1:21" x14ac:dyDescent="0.35">
      <c r="A4798" t="s">
        <v>15</v>
      </c>
      <c r="B4798" t="s">
        <v>16</v>
      </c>
      <c r="C4798" t="s">
        <v>21</v>
      </c>
      <c r="D4798">
        <v>284303</v>
      </c>
      <c r="E4798">
        <v>41460</v>
      </c>
      <c r="F4798">
        <v>68666</v>
      </c>
      <c r="G4798">
        <v>-233212</v>
      </c>
      <c r="H4798">
        <v>161217</v>
      </c>
      <c r="I4798">
        <v>151939</v>
      </c>
      <c r="J4798">
        <v>1943</v>
      </c>
      <c r="K4798">
        <v>739833</v>
      </c>
      <c r="L4798">
        <v>108262</v>
      </c>
      <c r="M4798">
        <v>-237770</v>
      </c>
      <c r="N4798">
        <v>115345</v>
      </c>
      <c r="O4798" t="s">
        <v>4816</v>
      </c>
      <c r="P4798" s="9">
        <v>179483</v>
      </c>
      <c r="Q4798" s="9">
        <v>31866</v>
      </c>
      <c r="R4798" s="9">
        <v>211349</v>
      </c>
      <c r="S4798" s="9">
        <v>-42918</v>
      </c>
      <c r="T4798" s="10">
        <v>72502</v>
      </c>
      <c r="U4798" s="10">
        <v>1807</v>
      </c>
    </row>
    <row r="4799" spans="1:21" x14ac:dyDescent="0.35">
      <c r="A4799" t="s">
        <v>15</v>
      </c>
      <c r="B4799" t="s">
        <v>16</v>
      </c>
      <c r="C4799" t="s">
        <v>21</v>
      </c>
      <c r="D4799">
        <v>286209</v>
      </c>
      <c r="E4799">
        <v>36309</v>
      </c>
      <c r="F4799">
        <v>63398</v>
      </c>
      <c r="G4799">
        <v>-254985</v>
      </c>
      <c r="H4799">
        <v>130931</v>
      </c>
      <c r="I4799">
        <v>131847</v>
      </c>
      <c r="J4799">
        <v>3931</v>
      </c>
      <c r="K4799">
        <v>773001</v>
      </c>
      <c r="L4799">
        <v>304183</v>
      </c>
      <c r="M4799">
        <v>-265890</v>
      </c>
      <c r="N4799">
        <v>205937</v>
      </c>
      <c r="O4799" t="s">
        <v>4817</v>
      </c>
      <c r="P4799" s="9">
        <v>258077</v>
      </c>
      <c r="Q4799" s="9">
        <v>28742</v>
      </c>
      <c r="R4799" s="9">
        <v>286819</v>
      </c>
      <c r="S4799" s="9">
        <v>-148415</v>
      </c>
      <c r="T4799" s="10">
        <v>78928</v>
      </c>
      <c r="U4799" s="10">
        <v>1954</v>
      </c>
    </row>
    <row r="4800" spans="1:21" x14ac:dyDescent="0.35">
      <c r="A4800" t="s">
        <v>15</v>
      </c>
      <c r="B4800" t="s">
        <v>20</v>
      </c>
      <c r="C4800" t="s">
        <v>21</v>
      </c>
      <c r="D4800">
        <v>189420</v>
      </c>
      <c r="E4800">
        <v>29717</v>
      </c>
      <c r="F4800">
        <v>20496</v>
      </c>
      <c r="G4800">
        <v>-153419</v>
      </c>
      <c r="H4800">
        <v>86214</v>
      </c>
      <c r="I4800">
        <v>80656</v>
      </c>
      <c r="J4800">
        <v>2387</v>
      </c>
      <c r="K4800">
        <v>669941</v>
      </c>
      <c r="L4800">
        <v>325038</v>
      </c>
      <c r="M4800">
        <v>-93082</v>
      </c>
      <c r="N4800">
        <v>164590</v>
      </c>
      <c r="O4800" t="s">
        <v>4818</v>
      </c>
      <c r="P4800" s="9">
        <v>232320</v>
      </c>
      <c r="Q4800" s="9">
        <v>11452</v>
      </c>
      <c r="R4800" s="9">
        <v>243772</v>
      </c>
      <c r="S4800" s="9">
        <v>-129941</v>
      </c>
      <c r="T4800" s="10">
        <v>67819</v>
      </c>
      <c r="U4800" s="10">
        <v>1911</v>
      </c>
    </row>
    <row r="4801" spans="1:21" x14ac:dyDescent="0.35">
      <c r="A4801" t="s">
        <v>15</v>
      </c>
      <c r="B4801" t="s">
        <v>20</v>
      </c>
      <c r="C4801" t="s">
        <v>21</v>
      </c>
      <c r="D4801">
        <v>226322</v>
      </c>
      <c r="E4801">
        <v>30107</v>
      </c>
      <c r="F4801">
        <v>55818</v>
      </c>
      <c r="G4801">
        <v>-186453</v>
      </c>
      <c r="H4801">
        <v>125794</v>
      </c>
      <c r="I4801">
        <v>128799</v>
      </c>
      <c r="J4801">
        <v>1854</v>
      </c>
      <c r="K4801">
        <v>559528</v>
      </c>
      <c r="L4801">
        <v>109352</v>
      </c>
      <c r="M4801">
        <v>-116784</v>
      </c>
      <c r="N4801">
        <v>123835</v>
      </c>
      <c r="O4801" t="s">
        <v>4819</v>
      </c>
      <c r="P4801" s="9">
        <v>227231</v>
      </c>
      <c r="Q4801" s="9">
        <v>34010</v>
      </c>
      <c r="R4801" s="9">
        <v>261241</v>
      </c>
      <c r="S4801" s="9">
        <v>-77804</v>
      </c>
      <c r="T4801" s="10">
        <v>119245</v>
      </c>
      <c r="U4801" s="10">
        <v>2967</v>
      </c>
    </row>
    <row r="4802" spans="1:21" x14ac:dyDescent="0.35">
      <c r="A4802" t="s">
        <v>15</v>
      </c>
      <c r="B4802" t="s">
        <v>16</v>
      </c>
      <c r="C4802" t="s">
        <v>17</v>
      </c>
      <c r="D4802">
        <v>286864</v>
      </c>
      <c r="E4802">
        <v>47216</v>
      </c>
      <c r="F4802">
        <v>47204</v>
      </c>
      <c r="G4802">
        <v>-256374</v>
      </c>
      <c r="H4802">
        <v>124910</v>
      </c>
      <c r="I4802">
        <v>130187</v>
      </c>
      <c r="J4802">
        <v>3381</v>
      </c>
      <c r="K4802">
        <v>722793</v>
      </c>
      <c r="L4802">
        <v>192432</v>
      </c>
      <c r="M4802">
        <v>-124867</v>
      </c>
      <c r="N4802">
        <v>142706</v>
      </c>
      <c r="O4802" t="s">
        <v>4820</v>
      </c>
      <c r="P4802" s="9">
        <v>142032</v>
      </c>
      <c r="Q4802" s="9">
        <v>13877</v>
      </c>
      <c r="R4802" s="9">
        <v>155909</v>
      </c>
      <c r="S4802" s="9">
        <v>-72700</v>
      </c>
      <c r="T4802" s="10">
        <v>67263</v>
      </c>
      <c r="U4802" s="10">
        <v>833</v>
      </c>
    </row>
    <row r="4803" spans="1:21" x14ac:dyDescent="0.35">
      <c r="A4803" t="s">
        <v>15</v>
      </c>
      <c r="B4803" t="s">
        <v>16</v>
      </c>
      <c r="C4803" t="s">
        <v>21</v>
      </c>
      <c r="D4803">
        <v>280811</v>
      </c>
      <c r="E4803">
        <v>33525</v>
      </c>
      <c r="F4803">
        <v>29161</v>
      </c>
      <c r="G4803">
        <v>-271717</v>
      </c>
      <c r="H4803">
        <v>71780</v>
      </c>
      <c r="I4803">
        <v>74146</v>
      </c>
      <c r="J4803">
        <v>959</v>
      </c>
      <c r="K4803">
        <v>692339</v>
      </c>
      <c r="L4803">
        <v>165611</v>
      </c>
      <c r="M4803">
        <v>-126137</v>
      </c>
      <c r="N4803">
        <v>154438</v>
      </c>
      <c r="O4803" t="s">
        <v>4821</v>
      </c>
      <c r="P4803" s="9">
        <v>196958</v>
      </c>
      <c r="Q4803" s="9">
        <v>34207</v>
      </c>
      <c r="R4803" s="9">
        <v>231165</v>
      </c>
      <c r="S4803" s="9">
        <v>-89099</v>
      </c>
      <c r="T4803" s="10">
        <v>86102</v>
      </c>
      <c r="U4803" s="10">
        <v>1955</v>
      </c>
    </row>
    <row r="4804" spans="1:21" x14ac:dyDescent="0.35">
      <c r="A4804" t="s">
        <v>15</v>
      </c>
      <c r="B4804" t="s">
        <v>16</v>
      </c>
      <c r="C4804" t="s">
        <v>21</v>
      </c>
      <c r="D4804">
        <v>168517</v>
      </c>
      <c r="E4804">
        <v>11894</v>
      </c>
      <c r="F4804">
        <v>36649</v>
      </c>
      <c r="G4804">
        <v>-161358</v>
      </c>
      <c r="H4804">
        <v>55702</v>
      </c>
      <c r="I4804">
        <v>53637</v>
      </c>
      <c r="J4804">
        <v>788</v>
      </c>
      <c r="K4804">
        <v>470944</v>
      </c>
      <c r="L4804">
        <v>186519</v>
      </c>
      <c r="M4804">
        <v>-183877</v>
      </c>
      <c r="N4804">
        <v>109287</v>
      </c>
      <c r="O4804" t="s">
        <v>4822</v>
      </c>
      <c r="P4804" s="9">
        <v>145203</v>
      </c>
      <c r="Q4804" s="9">
        <v>12081</v>
      </c>
      <c r="R4804" s="9">
        <v>157284</v>
      </c>
      <c r="S4804" s="9">
        <v>-92356</v>
      </c>
      <c r="T4804" s="10">
        <v>30408</v>
      </c>
      <c r="U4804" s="10">
        <v>902</v>
      </c>
    </row>
    <row r="4805" spans="1:21" x14ac:dyDescent="0.35">
      <c r="A4805" t="s">
        <v>15</v>
      </c>
      <c r="B4805" t="s">
        <v>20</v>
      </c>
      <c r="C4805" t="s">
        <v>17</v>
      </c>
      <c r="D4805">
        <v>214693</v>
      </c>
      <c r="E4805">
        <v>29408</v>
      </c>
      <c r="F4805">
        <v>37912</v>
      </c>
      <c r="G4805">
        <v>-191632</v>
      </c>
      <c r="H4805">
        <v>90381</v>
      </c>
      <c r="I4805">
        <v>89094</v>
      </c>
      <c r="J4805">
        <v>2166</v>
      </c>
      <c r="K4805">
        <v>512949</v>
      </c>
      <c r="L4805">
        <v>200899</v>
      </c>
      <c r="M4805">
        <v>-98428</v>
      </c>
      <c r="N4805">
        <v>147906</v>
      </c>
      <c r="O4805" t="s">
        <v>4823</v>
      </c>
      <c r="P4805" s="9">
        <v>182581</v>
      </c>
      <c r="Q4805" s="9">
        <v>11701</v>
      </c>
      <c r="R4805" s="9">
        <v>194282</v>
      </c>
      <c r="S4805" s="9">
        <v>-51154</v>
      </c>
      <c r="T4805" s="10">
        <v>69041</v>
      </c>
      <c r="U4805" s="10">
        <v>1564</v>
      </c>
    </row>
    <row r="4806" spans="1:21" x14ac:dyDescent="0.35">
      <c r="A4806" t="s">
        <v>15</v>
      </c>
      <c r="B4806" t="s">
        <v>16</v>
      </c>
      <c r="C4806" t="s">
        <v>21</v>
      </c>
      <c r="D4806">
        <v>168420</v>
      </c>
      <c r="E4806">
        <v>33184</v>
      </c>
      <c r="F4806">
        <v>21660</v>
      </c>
      <c r="G4806">
        <v>-137619</v>
      </c>
      <c r="H4806">
        <v>85645</v>
      </c>
      <c r="I4806">
        <v>83994</v>
      </c>
      <c r="J4806">
        <v>985</v>
      </c>
      <c r="K4806">
        <v>633718</v>
      </c>
      <c r="L4806">
        <v>217340</v>
      </c>
      <c r="M4806">
        <v>-102431</v>
      </c>
      <c r="N4806">
        <v>124400</v>
      </c>
      <c r="O4806" t="s">
        <v>4824</v>
      </c>
      <c r="P4806" s="9">
        <v>256783</v>
      </c>
      <c r="Q4806" s="9">
        <v>52965</v>
      </c>
      <c r="R4806" s="9">
        <v>309748</v>
      </c>
      <c r="S4806" s="9">
        <v>-111034</v>
      </c>
      <c r="T4806" s="10">
        <v>139915</v>
      </c>
      <c r="U4806" s="10">
        <v>4058</v>
      </c>
    </row>
    <row r="4807" spans="1:21" x14ac:dyDescent="0.35">
      <c r="A4807" t="s">
        <v>15</v>
      </c>
      <c r="B4807" t="s">
        <v>20</v>
      </c>
      <c r="C4807" t="s">
        <v>21</v>
      </c>
      <c r="D4807">
        <v>277664</v>
      </c>
      <c r="E4807">
        <v>22277</v>
      </c>
      <c r="F4807">
        <v>41819</v>
      </c>
      <c r="G4807">
        <v>-240288</v>
      </c>
      <c r="H4807">
        <v>101472</v>
      </c>
      <c r="I4807">
        <v>104565</v>
      </c>
      <c r="J4807">
        <v>3114</v>
      </c>
      <c r="K4807">
        <v>967283</v>
      </c>
      <c r="L4807">
        <v>450555</v>
      </c>
      <c r="M4807">
        <v>-269124</v>
      </c>
      <c r="N4807">
        <v>186419</v>
      </c>
      <c r="O4807" t="s">
        <v>4825</v>
      </c>
      <c r="P4807" s="9">
        <v>269626</v>
      </c>
      <c r="Q4807" s="9">
        <v>21297</v>
      </c>
      <c r="R4807" s="9">
        <v>290923</v>
      </c>
      <c r="S4807" s="9">
        <v>-159089</v>
      </c>
      <c r="T4807" s="10">
        <v>76067</v>
      </c>
      <c r="U4807" s="10">
        <v>897</v>
      </c>
    </row>
    <row r="4808" spans="1:21" x14ac:dyDescent="0.35">
      <c r="A4808" t="s">
        <v>15</v>
      </c>
      <c r="B4808" t="s">
        <v>16</v>
      </c>
      <c r="C4808" t="s">
        <v>21</v>
      </c>
      <c r="D4808">
        <v>185975</v>
      </c>
      <c r="E4808">
        <v>10039</v>
      </c>
      <c r="F4808">
        <v>36345</v>
      </c>
      <c r="G4808">
        <v>-165023</v>
      </c>
      <c r="H4808">
        <v>67336</v>
      </c>
      <c r="I4808">
        <v>64033</v>
      </c>
      <c r="J4808">
        <v>1266</v>
      </c>
      <c r="K4808">
        <v>463736</v>
      </c>
      <c r="L4808">
        <v>49550</v>
      </c>
      <c r="M4808">
        <v>-102085</v>
      </c>
      <c r="N4808">
        <v>88227</v>
      </c>
      <c r="O4808" t="s">
        <v>4826</v>
      </c>
      <c r="P4808" s="9">
        <v>292700</v>
      </c>
      <c r="Q4808" s="9">
        <v>30105</v>
      </c>
      <c r="R4808" s="9">
        <v>322805</v>
      </c>
      <c r="S4808" s="9">
        <v>-74089</v>
      </c>
      <c r="T4808" s="10">
        <v>88544</v>
      </c>
      <c r="U4808" s="10">
        <v>1314</v>
      </c>
    </row>
    <row r="4809" spans="1:21" x14ac:dyDescent="0.35">
      <c r="A4809" t="s">
        <v>15</v>
      </c>
      <c r="B4809" t="s">
        <v>16</v>
      </c>
      <c r="C4809" t="s">
        <v>17</v>
      </c>
      <c r="D4809">
        <v>201616</v>
      </c>
      <c r="E4809">
        <v>30267</v>
      </c>
      <c r="F4809">
        <v>44417</v>
      </c>
      <c r="G4809">
        <v>-167718</v>
      </c>
      <c r="H4809">
        <v>108582</v>
      </c>
      <c r="I4809">
        <v>112910</v>
      </c>
      <c r="J4809">
        <v>1472</v>
      </c>
      <c r="K4809">
        <v>560822</v>
      </c>
      <c r="L4809">
        <v>271818</v>
      </c>
      <c r="M4809">
        <v>-68767</v>
      </c>
      <c r="N4809">
        <v>121973</v>
      </c>
      <c r="O4809" t="s">
        <v>4827</v>
      </c>
      <c r="P4809" s="9">
        <v>239214</v>
      </c>
      <c r="Q4809" s="9">
        <v>44118</v>
      </c>
      <c r="R4809" s="9">
        <v>283332</v>
      </c>
      <c r="S4809" s="9">
        <v>-101773</v>
      </c>
      <c r="T4809" s="10">
        <v>83052</v>
      </c>
      <c r="U4809" s="10">
        <v>2356</v>
      </c>
    </row>
    <row r="4810" spans="1:21" x14ac:dyDescent="0.35">
      <c r="A4810" t="s">
        <v>15</v>
      </c>
      <c r="B4810" t="s">
        <v>16</v>
      </c>
      <c r="C4810" t="s">
        <v>21</v>
      </c>
      <c r="D4810">
        <v>177441</v>
      </c>
      <c r="E4810">
        <v>27817</v>
      </c>
      <c r="F4810">
        <v>44323</v>
      </c>
      <c r="G4810">
        <v>-147466</v>
      </c>
      <c r="H4810">
        <v>102115</v>
      </c>
      <c r="I4810">
        <v>101376</v>
      </c>
      <c r="J4810">
        <v>1762</v>
      </c>
      <c r="K4810">
        <v>391213</v>
      </c>
      <c r="L4810">
        <v>194412</v>
      </c>
      <c r="M4810">
        <v>-123122</v>
      </c>
      <c r="N4810">
        <v>76214</v>
      </c>
      <c r="O4810" t="s">
        <v>4828</v>
      </c>
      <c r="P4810" s="9">
        <v>295244</v>
      </c>
      <c r="Q4810" s="9">
        <v>34178</v>
      </c>
      <c r="R4810" s="9">
        <v>329422</v>
      </c>
      <c r="S4810" s="9">
        <v>-91788</v>
      </c>
      <c r="T4810" s="10">
        <v>80046</v>
      </c>
      <c r="U4810" s="10">
        <v>2214</v>
      </c>
    </row>
    <row r="4811" spans="1:21" x14ac:dyDescent="0.35">
      <c r="A4811" t="s">
        <v>15</v>
      </c>
      <c r="B4811" t="s">
        <v>20</v>
      </c>
      <c r="C4811" t="s">
        <v>17</v>
      </c>
      <c r="D4811">
        <v>260024</v>
      </c>
      <c r="E4811">
        <v>50288</v>
      </c>
      <c r="F4811">
        <v>50808</v>
      </c>
      <c r="G4811">
        <v>-212409</v>
      </c>
      <c r="H4811">
        <v>148711</v>
      </c>
      <c r="I4811">
        <v>150791</v>
      </c>
      <c r="J4811">
        <v>2354</v>
      </c>
      <c r="K4811">
        <v>996959</v>
      </c>
      <c r="L4811">
        <v>412073</v>
      </c>
      <c r="M4811">
        <v>-216303</v>
      </c>
      <c r="N4811">
        <v>203330</v>
      </c>
      <c r="O4811" t="s">
        <v>4829</v>
      </c>
      <c r="P4811" s="9">
        <v>207740</v>
      </c>
      <c r="Q4811" s="9">
        <v>30989</v>
      </c>
      <c r="R4811" s="9">
        <v>238729</v>
      </c>
      <c r="S4811" s="9">
        <v>-110013</v>
      </c>
      <c r="T4811" s="10">
        <v>99037</v>
      </c>
      <c r="U4811" s="10">
        <v>1579</v>
      </c>
    </row>
    <row r="4812" spans="1:21" x14ac:dyDescent="0.35">
      <c r="A4812" t="s">
        <v>15</v>
      </c>
      <c r="B4812" t="s">
        <v>16</v>
      </c>
      <c r="C4812" t="s">
        <v>21</v>
      </c>
      <c r="D4812">
        <v>286113</v>
      </c>
      <c r="E4812">
        <v>46113</v>
      </c>
      <c r="F4812">
        <v>32763</v>
      </c>
      <c r="G4812">
        <v>-238040</v>
      </c>
      <c r="H4812">
        <v>126949</v>
      </c>
      <c r="I4812">
        <v>131880</v>
      </c>
      <c r="J4812">
        <v>2368</v>
      </c>
      <c r="K4812">
        <v>648755</v>
      </c>
      <c r="L4812">
        <v>322292</v>
      </c>
      <c r="M4812">
        <v>-87457</v>
      </c>
      <c r="N4812">
        <v>169298</v>
      </c>
      <c r="O4812" t="s">
        <v>4830</v>
      </c>
      <c r="P4812" s="9">
        <v>165751</v>
      </c>
      <c r="Q4812" s="9">
        <v>11513</v>
      </c>
      <c r="R4812" s="9">
        <v>177264</v>
      </c>
      <c r="S4812" s="9">
        <v>-93292</v>
      </c>
      <c r="T4812" s="10">
        <v>54196</v>
      </c>
      <c r="U4812" s="10">
        <v>872</v>
      </c>
    </row>
    <row r="4813" spans="1:21" x14ac:dyDescent="0.35">
      <c r="A4813" t="s">
        <v>15</v>
      </c>
      <c r="B4813" t="s">
        <v>20</v>
      </c>
      <c r="C4813" t="s">
        <v>21</v>
      </c>
      <c r="D4813">
        <v>217166</v>
      </c>
      <c r="E4813">
        <v>28475</v>
      </c>
      <c r="F4813">
        <v>25568</v>
      </c>
      <c r="G4813">
        <v>-174245</v>
      </c>
      <c r="H4813">
        <v>96964</v>
      </c>
      <c r="I4813">
        <v>94947</v>
      </c>
      <c r="J4813">
        <v>1502</v>
      </c>
      <c r="K4813">
        <v>601518</v>
      </c>
      <c r="L4813">
        <v>250127</v>
      </c>
      <c r="M4813">
        <v>-113015</v>
      </c>
      <c r="N4813">
        <v>129149</v>
      </c>
      <c r="O4813" t="s">
        <v>4831</v>
      </c>
      <c r="P4813" s="9">
        <v>217525</v>
      </c>
      <c r="Q4813" s="9">
        <v>13120</v>
      </c>
      <c r="R4813" s="9">
        <v>230645</v>
      </c>
      <c r="S4813" s="9">
        <v>-72251</v>
      </c>
      <c r="T4813" s="10">
        <v>59293</v>
      </c>
      <c r="U4813" s="10">
        <v>620</v>
      </c>
    </row>
    <row r="4814" spans="1:21" x14ac:dyDescent="0.35">
      <c r="A4814" t="s">
        <v>15</v>
      </c>
      <c r="B4814" t="s">
        <v>16</v>
      </c>
      <c r="C4814" t="s">
        <v>21</v>
      </c>
      <c r="D4814">
        <v>168017</v>
      </c>
      <c r="E4814">
        <v>17820</v>
      </c>
      <c r="F4814">
        <v>17821</v>
      </c>
      <c r="G4814">
        <v>-145560</v>
      </c>
      <c r="H4814">
        <v>58098</v>
      </c>
      <c r="I4814">
        <v>60057</v>
      </c>
      <c r="J4814">
        <v>1423</v>
      </c>
      <c r="K4814">
        <v>359812</v>
      </c>
      <c r="L4814">
        <v>41646</v>
      </c>
      <c r="M4814">
        <v>-136473</v>
      </c>
      <c r="N4814">
        <v>130455</v>
      </c>
      <c r="O4814" t="s">
        <v>4832</v>
      </c>
      <c r="P4814" s="9">
        <v>224955</v>
      </c>
      <c r="Q4814" s="9">
        <v>17306</v>
      </c>
      <c r="R4814" s="9">
        <v>242261</v>
      </c>
      <c r="S4814" s="9">
        <v>-63585</v>
      </c>
      <c r="T4814" s="10">
        <v>67623</v>
      </c>
      <c r="U4814" s="10">
        <v>782</v>
      </c>
    </row>
    <row r="4815" spans="1:21" x14ac:dyDescent="0.35">
      <c r="A4815" t="s">
        <v>15</v>
      </c>
      <c r="B4815" t="s">
        <v>16</v>
      </c>
      <c r="C4815" t="s">
        <v>21</v>
      </c>
      <c r="D4815">
        <v>285078</v>
      </c>
      <c r="E4815">
        <v>29336</v>
      </c>
      <c r="F4815">
        <v>43178</v>
      </c>
      <c r="G4815">
        <v>-238458</v>
      </c>
      <c r="H4815">
        <v>119134</v>
      </c>
      <c r="I4815">
        <v>108767</v>
      </c>
      <c r="J4815">
        <v>1360</v>
      </c>
      <c r="K4815">
        <v>770268</v>
      </c>
      <c r="L4815">
        <v>159587</v>
      </c>
      <c r="M4815">
        <v>-224745</v>
      </c>
      <c r="N4815">
        <v>129064</v>
      </c>
      <c r="O4815" t="s">
        <v>4833</v>
      </c>
      <c r="P4815" s="9">
        <v>153724</v>
      </c>
      <c r="Q4815" s="9">
        <v>14286</v>
      </c>
      <c r="R4815" s="9">
        <v>168010</v>
      </c>
      <c r="S4815" s="9">
        <v>-42572</v>
      </c>
      <c r="T4815" s="10">
        <v>56529</v>
      </c>
      <c r="U4815" s="10">
        <v>1661</v>
      </c>
    </row>
    <row r="4816" spans="1:21" x14ac:dyDescent="0.35">
      <c r="A4816" t="s">
        <v>15</v>
      </c>
      <c r="B4816" t="s">
        <v>16</v>
      </c>
      <c r="C4816" t="s">
        <v>17</v>
      </c>
      <c r="D4816">
        <v>224956</v>
      </c>
      <c r="E4816">
        <v>12604</v>
      </c>
      <c r="F4816">
        <v>37678</v>
      </c>
      <c r="G4816">
        <v>-199884</v>
      </c>
      <c r="H4816">
        <v>75354</v>
      </c>
      <c r="I4816">
        <v>76613</v>
      </c>
      <c r="J4816">
        <v>931</v>
      </c>
      <c r="K4816">
        <v>733104</v>
      </c>
      <c r="L4816">
        <v>150297</v>
      </c>
      <c r="M4816">
        <v>-284831</v>
      </c>
      <c r="N4816">
        <v>163451</v>
      </c>
      <c r="O4816" t="s">
        <v>4834</v>
      </c>
      <c r="P4816" s="9">
        <v>174173</v>
      </c>
      <c r="Q4816" s="9">
        <v>10350</v>
      </c>
      <c r="R4816" s="9">
        <v>184523</v>
      </c>
      <c r="S4816" s="9">
        <v>-72111</v>
      </c>
      <c r="T4816" s="10">
        <v>54538</v>
      </c>
      <c r="U4816" s="10">
        <v>1078</v>
      </c>
    </row>
    <row r="4817" spans="1:21" x14ac:dyDescent="0.35">
      <c r="A4817" t="s">
        <v>15</v>
      </c>
      <c r="B4817" t="s">
        <v>16</v>
      </c>
      <c r="C4817" t="s">
        <v>21</v>
      </c>
      <c r="D4817">
        <v>190035</v>
      </c>
      <c r="E4817">
        <v>28389</v>
      </c>
      <c r="F4817">
        <v>37156</v>
      </c>
      <c r="G4817">
        <v>-157670</v>
      </c>
      <c r="H4817">
        <v>97910</v>
      </c>
      <c r="I4817">
        <v>99265</v>
      </c>
      <c r="J4817">
        <v>1242</v>
      </c>
      <c r="K4817">
        <v>496564</v>
      </c>
      <c r="L4817">
        <v>183942</v>
      </c>
      <c r="M4817">
        <v>-117334</v>
      </c>
      <c r="N4817">
        <v>79604</v>
      </c>
      <c r="O4817" t="s">
        <v>4835</v>
      </c>
      <c r="P4817" s="9">
        <v>183419</v>
      </c>
      <c r="Q4817" s="9">
        <v>32652</v>
      </c>
      <c r="R4817" s="9">
        <v>216071</v>
      </c>
      <c r="S4817" s="9">
        <v>-72659</v>
      </c>
      <c r="T4817" s="10">
        <v>68943</v>
      </c>
      <c r="U4817" s="10">
        <v>1550</v>
      </c>
    </row>
    <row r="4818" spans="1:21" x14ac:dyDescent="0.35">
      <c r="A4818" t="s">
        <v>15</v>
      </c>
      <c r="B4818" t="s">
        <v>20</v>
      </c>
      <c r="C4818" t="s">
        <v>21</v>
      </c>
      <c r="D4818">
        <v>249770</v>
      </c>
      <c r="E4818">
        <v>24996</v>
      </c>
      <c r="F4818">
        <v>48753</v>
      </c>
      <c r="G4818">
        <v>-236279</v>
      </c>
      <c r="H4818">
        <v>87240</v>
      </c>
      <c r="I4818">
        <v>86304</v>
      </c>
      <c r="J4818">
        <v>2333</v>
      </c>
      <c r="K4818">
        <v>817067</v>
      </c>
      <c r="L4818">
        <v>244973</v>
      </c>
      <c r="M4818">
        <v>-98466</v>
      </c>
      <c r="N4818">
        <v>207210</v>
      </c>
      <c r="O4818" t="s">
        <v>4836</v>
      </c>
      <c r="P4818" s="9">
        <v>270342</v>
      </c>
      <c r="Q4818" s="9">
        <v>32622</v>
      </c>
      <c r="R4818" s="9">
        <v>302964</v>
      </c>
      <c r="S4818" s="9">
        <v>-140040</v>
      </c>
      <c r="T4818" s="10">
        <v>100035</v>
      </c>
      <c r="U4818" s="10">
        <v>1839</v>
      </c>
    </row>
    <row r="4819" spans="1:21" x14ac:dyDescent="0.35">
      <c r="A4819" t="s">
        <v>15</v>
      </c>
      <c r="B4819" t="s">
        <v>16</v>
      </c>
      <c r="C4819" t="s">
        <v>21</v>
      </c>
      <c r="D4819">
        <v>226283</v>
      </c>
      <c r="E4819">
        <v>14732</v>
      </c>
      <c r="F4819">
        <v>36599</v>
      </c>
      <c r="G4819">
        <v>-211372</v>
      </c>
      <c r="H4819">
        <v>66242</v>
      </c>
      <c r="I4819">
        <v>68717</v>
      </c>
      <c r="J4819">
        <v>2034</v>
      </c>
      <c r="K4819">
        <v>876994</v>
      </c>
      <c r="L4819">
        <v>138965</v>
      </c>
      <c r="M4819">
        <v>-295133</v>
      </c>
      <c r="N4819">
        <v>123785</v>
      </c>
      <c r="O4819" t="s">
        <v>4837</v>
      </c>
      <c r="P4819" s="9">
        <v>271738</v>
      </c>
      <c r="Q4819" s="9">
        <v>48056</v>
      </c>
      <c r="R4819" s="9">
        <v>319794</v>
      </c>
      <c r="S4819" s="9">
        <v>-153264</v>
      </c>
      <c r="T4819" s="10">
        <v>146113</v>
      </c>
      <c r="U4819" s="10">
        <v>1481</v>
      </c>
    </row>
    <row r="4820" spans="1:21" x14ac:dyDescent="0.35">
      <c r="A4820" t="s">
        <v>15</v>
      </c>
      <c r="B4820" t="s">
        <v>16</v>
      </c>
      <c r="C4820" t="s">
        <v>21</v>
      </c>
      <c r="D4820">
        <v>159178</v>
      </c>
      <c r="E4820">
        <v>25857</v>
      </c>
      <c r="F4820">
        <v>36021</v>
      </c>
      <c r="G4820">
        <v>-137359</v>
      </c>
      <c r="H4820">
        <v>83697</v>
      </c>
      <c r="I4820">
        <v>77930</v>
      </c>
      <c r="J4820">
        <v>1064</v>
      </c>
      <c r="K4820">
        <v>513292</v>
      </c>
      <c r="L4820">
        <v>181871</v>
      </c>
      <c r="M4820">
        <v>-171164</v>
      </c>
      <c r="N4820">
        <v>54928</v>
      </c>
      <c r="O4820" t="s">
        <v>4838</v>
      </c>
      <c r="P4820" s="9">
        <v>296818</v>
      </c>
      <c r="Q4820" s="9">
        <v>27671</v>
      </c>
      <c r="R4820" s="9">
        <v>324489</v>
      </c>
      <c r="S4820" s="9">
        <v>-91572</v>
      </c>
      <c r="T4820" s="10">
        <v>120114</v>
      </c>
      <c r="U4820" s="10">
        <v>3405</v>
      </c>
    </row>
    <row r="4821" spans="1:21" x14ac:dyDescent="0.35">
      <c r="A4821" t="s">
        <v>15</v>
      </c>
      <c r="B4821" t="s">
        <v>16</v>
      </c>
      <c r="C4821" t="s">
        <v>21</v>
      </c>
      <c r="D4821">
        <v>290382</v>
      </c>
      <c r="E4821">
        <v>36328</v>
      </c>
      <c r="F4821">
        <v>46269</v>
      </c>
      <c r="G4821">
        <v>-254809</v>
      </c>
      <c r="H4821">
        <v>118170</v>
      </c>
      <c r="I4821">
        <v>116500</v>
      </c>
      <c r="J4821">
        <v>2598</v>
      </c>
      <c r="K4821">
        <v>957061</v>
      </c>
      <c r="L4821">
        <v>233030</v>
      </c>
      <c r="M4821">
        <v>-368959</v>
      </c>
      <c r="N4821">
        <v>247220</v>
      </c>
      <c r="O4821" t="s">
        <v>4839</v>
      </c>
      <c r="P4821" s="9">
        <v>227908</v>
      </c>
      <c r="Q4821" s="9">
        <v>20202</v>
      </c>
      <c r="R4821" s="9">
        <v>248110</v>
      </c>
      <c r="S4821" s="9">
        <v>-101123</v>
      </c>
      <c r="T4821" s="10">
        <v>67400</v>
      </c>
      <c r="U4821" s="10">
        <v>1513</v>
      </c>
    </row>
    <row r="4822" spans="1:21" x14ac:dyDescent="0.35">
      <c r="A4822" t="s">
        <v>15</v>
      </c>
      <c r="B4822" t="s">
        <v>16</v>
      </c>
      <c r="C4822" t="s">
        <v>17</v>
      </c>
      <c r="D4822">
        <v>205285</v>
      </c>
      <c r="E4822">
        <v>29102</v>
      </c>
      <c r="F4822">
        <v>39807</v>
      </c>
      <c r="G4822">
        <v>-177418</v>
      </c>
      <c r="H4822">
        <v>96776</v>
      </c>
      <c r="I4822">
        <v>93838</v>
      </c>
      <c r="J4822">
        <v>2010</v>
      </c>
      <c r="K4822">
        <v>724086</v>
      </c>
      <c r="L4822">
        <v>246921</v>
      </c>
      <c r="M4822">
        <v>-172305</v>
      </c>
      <c r="N4822">
        <v>131454</v>
      </c>
      <c r="O4822" t="s">
        <v>4840</v>
      </c>
      <c r="P4822" s="9">
        <v>182470</v>
      </c>
      <c r="Q4822" s="9">
        <v>23213</v>
      </c>
      <c r="R4822" s="9">
        <v>205683</v>
      </c>
      <c r="S4822" s="9">
        <v>-48188</v>
      </c>
      <c r="T4822" s="10">
        <v>70207</v>
      </c>
      <c r="U4822" s="10">
        <v>2029</v>
      </c>
    </row>
    <row r="4823" spans="1:21" x14ac:dyDescent="0.35">
      <c r="A4823" t="s">
        <v>15</v>
      </c>
      <c r="B4823" t="s">
        <v>16</v>
      </c>
      <c r="C4823" t="s">
        <v>21</v>
      </c>
      <c r="D4823">
        <v>298441</v>
      </c>
      <c r="E4823">
        <v>42178</v>
      </c>
      <c r="F4823">
        <v>59089</v>
      </c>
      <c r="G4823">
        <v>-268557</v>
      </c>
      <c r="H4823">
        <v>131151</v>
      </c>
      <c r="I4823">
        <v>122829</v>
      </c>
      <c r="J4823">
        <v>1541</v>
      </c>
      <c r="K4823">
        <v>820869</v>
      </c>
      <c r="L4823">
        <v>178807</v>
      </c>
      <c r="M4823">
        <v>-113630</v>
      </c>
      <c r="N4823">
        <v>253495</v>
      </c>
      <c r="O4823" t="s">
        <v>4841</v>
      </c>
      <c r="P4823" s="9">
        <v>275124</v>
      </c>
      <c r="Q4823" s="9">
        <v>33366</v>
      </c>
      <c r="R4823" s="9">
        <v>308490</v>
      </c>
      <c r="S4823" s="9">
        <v>-148227</v>
      </c>
      <c r="T4823" s="10">
        <v>98703</v>
      </c>
      <c r="U4823" s="10">
        <v>1362</v>
      </c>
    </row>
    <row r="4824" spans="1:21" x14ac:dyDescent="0.35">
      <c r="A4824" t="s">
        <v>15</v>
      </c>
      <c r="B4824" t="s">
        <v>16</v>
      </c>
      <c r="C4824" t="s">
        <v>21</v>
      </c>
      <c r="D4824">
        <v>226247</v>
      </c>
      <c r="E4824">
        <v>30299</v>
      </c>
      <c r="F4824">
        <v>26242</v>
      </c>
      <c r="G4824">
        <v>-185142</v>
      </c>
      <c r="H4824">
        <v>97646</v>
      </c>
      <c r="I4824">
        <v>88872</v>
      </c>
      <c r="J4824">
        <v>1703</v>
      </c>
      <c r="K4824">
        <v>529646</v>
      </c>
      <c r="L4824">
        <v>148729</v>
      </c>
      <c r="M4824">
        <v>-170431</v>
      </c>
      <c r="N4824">
        <v>127394</v>
      </c>
      <c r="O4824" t="s">
        <v>4842</v>
      </c>
      <c r="P4824" s="9">
        <v>285713</v>
      </c>
      <c r="Q4824" s="9">
        <v>32662</v>
      </c>
      <c r="R4824" s="9">
        <v>318375</v>
      </c>
      <c r="S4824" s="9">
        <v>-69835</v>
      </c>
      <c r="T4824" s="10">
        <v>92933</v>
      </c>
      <c r="U4824" s="10">
        <v>1794</v>
      </c>
    </row>
    <row r="4825" spans="1:21" x14ac:dyDescent="0.35">
      <c r="A4825" t="s">
        <v>15</v>
      </c>
      <c r="B4825" t="s">
        <v>16</v>
      </c>
      <c r="C4825" t="s">
        <v>17</v>
      </c>
      <c r="D4825">
        <v>259917</v>
      </c>
      <c r="E4825">
        <v>33609</v>
      </c>
      <c r="F4825">
        <v>52207</v>
      </c>
      <c r="G4825">
        <v>-221815</v>
      </c>
      <c r="H4825">
        <v>123918</v>
      </c>
      <c r="I4825">
        <v>117784</v>
      </c>
      <c r="J4825">
        <v>1613</v>
      </c>
      <c r="K4825">
        <v>787499</v>
      </c>
      <c r="L4825">
        <v>314853</v>
      </c>
      <c r="M4825">
        <v>-270840</v>
      </c>
      <c r="N4825">
        <v>183116</v>
      </c>
      <c r="O4825" t="s">
        <v>4843</v>
      </c>
      <c r="P4825" s="9">
        <v>179575</v>
      </c>
      <c r="Q4825" s="9">
        <v>32696</v>
      </c>
      <c r="R4825" s="9">
        <v>212271</v>
      </c>
      <c r="S4825" s="9">
        <v>-74362</v>
      </c>
      <c r="T4825" s="10">
        <v>80208</v>
      </c>
      <c r="U4825" s="10">
        <v>1063</v>
      </c>
    </row>
    <row r="4826" spans="1:21" x14ac:dyDescent="0.35">
      <c r="A4826" t="s">
        <v>15</v>
      </c>
      <c r="B4826" t="s">
        <v>16</v>
      </c>
      <c r="C4826" t="s">
        <v>21</v>
      </c>
      <c r="D4826">
        <v>287103</v>
      </c>
      <c r="E4826">
        <v>39730</v>
      </c>
      <c r="F4826">
        <v>32888</v>
      </c>
      <c r="G4826">
        <v>-254014</v>
      </c>
      <c r="H4826">
        <v>105707</v>
      </c>
      <c r="I4826">
        <v>96399</v>
      </c>
      <c r="J4826">
        <v>2289</v>
      </c>
      <c r="K4826">
        <v>954620</v>
      </c>
      <c r="L4826">
        <v>149250</v>
      </c>
      <c r="M4826">
        <v>-302737</v>
      </c>
      <c r="N4826">
        <v>165898</v>
      </c>
      <c r="O4826" t="s">
        <v>4844</v>
      </c>
      <c r="P4826" s="9">
        <v>176674</v>
      </c>
      <c r="Q4826" s="9">
        <v>38207</v>
      </c>
      <c r="R4826" s="9">
        <v>214881</v>
      </c>
      <c r="S4826" s="9">
        <v>-123827</v>
      </c>
      <c r="T4826" s="10">
        <v>110593</v>
      </c>
      <c r="U4826" s="10">
        <v>1490</v>
      </c>
    </row>
    <row r="4827" spans="1:21" x14ac:dyDescent="0.35">
      <c r="A4827" t="s">
        <v>15</v>
      </c>
      <c r="B4827" t="s">
        <v>16</v>
      </c>
      <c r="C4827" t="s">
        <v>21</v>
      </c>
      <c r="D4827">
        <v>280625</v>
      </c>
      <c r="E4827">
        <v>30040</v>
      </c>
      <c r="F4827">
        <v>33708</v>
      </c>
      <c r="G4827">
        <v>-230075</v>
      </c>
      <c r="H4827">
        <v>114298</v>
      </c>
      <c r="I4827">
        <v>115190</v>
      </c>
      <c r="J4827">
        <v>1938</v>
      </c>
      <c r="K4827">
        <v>566705</v>
      </c>
      <c r="L4827">
        <v>88815</v>
      </c>
      <c r="M4827">
        <v>-207693</v>
      </c>
      <c r="N4827">
        <v>175103</v>
      </c>
      <c r="O4827" t="s">
        <v>4845</v>
      </c>
      <c r="P4827" s="9">
        <v>213438</v>
      </c>
      <c r="Q4827" s="9">
        <v>37511</v>
      </c>
      <c r="R4827" s="9">
        <v>250949</v>
      </c>
      <c r="S4827" s="9">
        <v>-144645</v>
      </c>
      <c r="T4827" s="10">
        <v>77278</v>
      </c>
      <c r="U4827" s="10">
        <v>1770</v>
      </c>
    </row>
    <row r="4828" spans="1:21" x14ac:dyDescent="0.35">
      <c r="A4828" t="s">
        <v>15</v>
      </c>
      <c r="B4828" t="s">
        <v>20</v>
      </c>
      <c r="C4828" t="s">
        <v>21</v>
      </c>
      <c r="D4828">
        <v>180959</v>
      </c>
      <c r="E4828">
        <v>16686</v>
      </c>
      <c r="F4828">
        <v>20882</v>
      </c>
      <c r="G4828">
        <v>-152187</v>
      </c>
      <c r="H4828">
        <v>66340</v>
      </c>
      <c r="I4828">
        <v>69313</v>
      </c>
      <c r="J4828">
        <v>1907</v>
      </c>
      <c r="K4828">
        <v>439667</v>
      </c>
      <c r="L4828">
        <v>107504</v>
      </c>
      <c r="M4828">
        <v>-158319</v>
      </c>
      <c r="N4828">
        <v>68295</v>
      </c>
      <c r="O4828" t="s">
        <v>4846</v>
      </c>
      <c r="P4828" s="9">
        <v>164484</v>
      </c>
      <c r="Q4828" s="9">
        <v>16108</v>
      </c>
      <c r="R4828" s="9">
        <v>180592</v>
      </c>
      <c r="S4828" s="9">
        <v>-88795</v>
      </c>
      <c r="T4828" s="10">
        <v>68118</v>
      </c>
      <c r="U4828" s="10">
        <v>1169</v>
      </c>
    </row>
    <row r="4829" spans="1:21" x14ac:dyDescent="0.35">
      <c r="A4829" t="s">
        <v>15</v>
      </c>
      <c r="B4829" t="s">
        <v>16</v>
      </c>
      <c r="C4829" t="s">
        <v>21</v>
      </c>
      <c r="D4829">
        <v>161054</v>
      </c>
      <c r="E4829">
        <v>31335</v>
      </c>
      <c r="F4829">
        <v>35606</v>
      </c>
      <c r="G4829">
        <v>-148879</v>
      </c>
      <c r="H4829">
        <v>79116</v>
      </c>
      <c r="I4829">
        <v>79716</v>
      </c>
      <c r="J4829">
        <v>1418</v>
      </c>
      <c r="K4829">
        <v>428692</v>
      </c>
      <c r="L4829">
        <v>104162</v>
      </c>
      <c r="M4829">
        <v>-161197</v>
      </c>
      <c r="N4829">
        <v>135772</v>
      </c>
      <c r="O4829" t="s">
        <v>4847</v>
      </c>
      <c r="P4829" s="9">
        <v>237075</v>
      </c>
      <c r="Q4829" s="9">
        <v>13515</v>
      </c>
      <c r="R4829" s="9">
        <v>250590</v>
      </c>
      <c r="S4829" s="9">
        <v>-115553</v>
      </c>
      <c r="T4829" s="10">
        <v>64787</v>
      </c>
      <c r="U4829" s="10">
        <v>1226</v>
      </c>
    </row>
    <row r="4830" spans="1:21" x14ac:dyDescent="0.35">
      <c r="A4830" t="s">
        <v>15</v>
      </c>
      <c r="B4830" t="s">
        <v>20</v>
      </c>
      <c r="C4830" t="s">
        <v>21</v>
      </c>
      <c r="D4830">
        <v>150750</v>
      </c>
      <c r="E4830">
        <v>10953</v>
      </c>
      <c r="F4830">
        <v>25923</v>
      </c>
      <c r="G4830">
        <v>-125898</v>
      </c>
      <c r="H4830">
        <v>61728</v>
      </c>
      <c r="I4830">
        <v>57559</v>
      </c>
      <c r="J4830">
        <v>1172</v>
      </c>
      <c r="K4830">
        <v>464653</v>
      </c>
      <c r="L4830">
        <v>184445</v>
      </c>
      <c r="M4830">
        <v>-50761</v>
      </c>
      <c r="N4830">
        <v>63773</v>
      </c>
      <c r="O4830" t="s">
        <v>4848</v>
      </c>
      <c r="P4830" s="9">
        <v>253614</v>
      </c>
      <c r="Q4830" s="9">
        <v>50181</v>
      </c>
      <c r="R4830" s="9">
        <v>303795</v>
      </c>
      <c r="S4830" s="9">
        <v>-173977</v>
      </c>
      <c r="T4830" s="10">
        <v>125826</v>
      </c>
      <c r="U4830" s="10">
        <v>2132</v>
      </c>
    </row>
    <row r="4831" spans="1:21" x14ac:dyDescent="0.35">
      <c r="A4831" t="s">
        <v>15</v>
      </c>
      <c r="B4831" t="s">
        <v>20</v>
      </c>
      <c r="C4831" t="s">
        <v>21</v>
      </c>
      <c r="D4831">
        <v>202195</v>
      </c>
      <c r="E4831">
        <v>36303</v>
      </c>
      <c r="F4831">
        <v>32394</v>
      </c>
      <c r="G4831">
        <v>-174346</v>
      </c>
      <c r="H4831">
        <v>96546</v>
      </c>
      <c r="I4831">
        <v>88299</v>
      </c>
      <c r="J4831">
        <v>934</v>
      </c>
      <c r="K4831">
        <v>714771</v>
      </c>
      <c r="L4831">
        <v>195207</v>
      </c>
      <c r="M4831">
        <v>-147500</v>
      </c>
      <c r="N4831">
        <v>67381</v>
      </c>
      <c r="O4831" t="s">
        <v>4849</v>
      </c>
      <c r="P4831" s="9">
        <v>175887</v>
      </c>
      <c r="Q4831" s="9">
        <v>27969</v>
      </c>
      <c r="R4831" s="9">
        <v>203856</v>
      </c>
      <c r="S4831" s="9">
        <v>-65602</v>
      </c>
      <c r="T4831" s="10">
        <v>71420</v>
      </c>
      <c r="U4831" s="10">
        <v>2005</v>
      </c>
    </row>
    <row r="4832" spans="1:21" x14ac:dyDescent="0.35">
      <c r="A4832" t="s">
        <v>15</v>
      </c>
      <c r="B4832" t="s">
        <v>16</v>
      </c>
      <c r="C4832" t="s">
        <v>21</v>
      </c>
      <c r="D4832">
        <v>258235</v>
      </c>
      <c r="E4832">
        <v>43814</v>
      </c>
      <c r="F4832">
        <v>59127</v>
      </c>
      <c r="G4832">
        <v>-206853</v>
      </c>
      <c r="H4832">
        <v>154323</v>
      </c>
      <c r="I4832">
        <v>154725</v>
      </c>
      <c r="J4832">
        <v>4185</v>
      </c>
      <c r="K4832">
        <v>1014642</v>
      </c>
      <c r="L4832">
        <v>138229</v>
      </c>
      <c r="M4832">
        <v>-299114</v>
      </c>
      <c r="N4832">
        <v>168925</v>
      </c>
      <c r="O4832" t="s">
        <v>4850</v>
      </c>
      <c r="P4832" s="9">
        <v>178816</v>
      </c>
      <c r="Q4832" s="9">
        <v>16457</v>
      </c>
      <c r="R4832" s="9">
        <v>195273</v>
      </c>
      <c r="S4832" s="9">
        <v>-85531</v>
      </c>
      <c r="T4832" s="10">
        <v>60715</v>
      </c>
      <c r="U4832" s="10">
        <v>1668</v>
      </c>
    </row>
    <row r="4833" spans="1:21" x14ac:dyDescent="0.35">
      <c r="A4833" t="s">
        <v>15</v>
      </c>
      <c r="B4833" t="s">
        <v>16</v>
      </c>
      <c r="C4833" t="s">
        <v>21</v>
      </c>
      <c r="D4833">
        <v>156589</v>
      </c>
      <c r="E4833">
        <v>15972</v>
      </c>
      <c r="F4833">
        <v>22360</v>
      </c>
      <c r="G4833">
        <v>-139539</v>
      </c>
      <c r="H4833">
        <v>55382</v>
      </c>
      <c r="I4833">
        <v>51460</v>
      </c>
      <c r="J4833">
        <v>1084</v>
      </c>
      <c r="K4833">
        <v>383936</v>
      </c>
      <c r="L4833">
        <v>67075</v>
      </c>
      <c r="M4833">
        <v>-69519</v>
      </c>
      <c r="N4833">
        <v>58322</v>
      </c>
      <c r="O4833" t="s">
        <v>4851</v>
      </c>
      <c r="P4833" s="9">
        <v>157616</v>
      </c>
      <c r="Q4833" s="9">
        <v>22155</v>
      </c>
      <c r="R4833" s="9">
        <v>179771</v>
      </c>
      <c r="S4833" s="9">
        <v>-71420</v>
      </c>
      <c r="T4833" s="10">
        <v>68080</v>
      </c>
      <c r="U4833" s="10">
        <v>1489</v>
      </c>
    </row>
    <row r="4834" spans="1:21" x14ac:dyDescent="0.35">
      <c r="A4834" t="s">
        <v>15</v>
      </c>
      <c r="B4834" t="s">
        <v>20</v>
      </c>
      <c r="C4834" t="s">
        <v>17</v>
      </c>
      <c r="D4834">
        <v>257326</v>
      </c>
      <c r="E4834">
        <v>47893</v>
      </c>
      <c r="F4834">
        <v>63788</v>
      </c>
      <c r="G4834">
        <v>-253095</v>
      </c>
      <c r="H4834">
        <v>115912</v>
      </c>
      <c r="I4834">
        <v>119670</v>
      </c>
      <c r="J4834">
        <v>2660</v>
      </c>
      <c r="K4834">
        <v>975594</v>
      </c>
      <c r="L4834">
        <v>441436</v>
      </c>
      <c r="M4834">
        <v>-278554</v>
      </c>
      <c r="N4834">
        <v>187771</v>
      </c>
      <c r="O4834" t="s">
        <v>4852</v>
      </c>
      <c r="P4834" s="9">
        <v>301502</v>
      </c>
      <c r="Q4834" s="9">
        <v>24781</v>
      </c>
      <c r="R4834" s="9">
        <v>326283</v>
      </c>
      <c r="S4834" s="9">
        <v>-151709</v>
      </c>
      <c r="T4834" s="10">
        <v>113462</v>
      </c>
      <c r="U4834" s="10">
        <v>3313</v>
      </c>
    </row>
    <row r="4835" spans="1:21" x14ac:dyDescent="0.35">
      <c r="A4835" t="s">
        <v>15</v>
      </c>
      <c r="B4835" t="s">
        <v>16</v>
      </c>
      <c r="C4835" t="s">
        <v>17</v>
      </c>
      <c r="D4835">
        <v>186930</v>
      </c>
      <c r="E4835">
        <v>10602</v>
      </c>
      <c r="F4835">
        <v>25015</v>
      </c>
      <c r="G4835">
        <v>-180395</v>
      </c>
      <c r="H4835">
        <v>42152</v>
      </c>
      <c r="I4835">
        <v>40054</v>
      </c>
      <c r="J4835">
        <v>1087</v>
      </c>
      <c r="K4835">
        <v>449168</v>
      </c>
      <c r="L4835">
        <v>184976</v>
      </c>
      <c r="M4835">
        <v>-127550</v>
      </c>
      <c r="N4835">
        <v>125864</v>
      </c>
      <c r="O4835" t="s">
        <v>4853</v>
      </c>
      <c r="P4835" s="9">
        <v>255881</v>
      </c>
      <c r="Q4835" s="9">
        <v>25811</v>
      </c>
      <c r="R4835" s="9">
        <v>281692</v>
      </c>
      <c r="S4835" s="9">
        <v>-56759</v>
      </c>
      <c r="T4835" s="10">
        <v>115694</v>
      </c>
      <c r="U4835" s="10">
        <v>1865</v>
      </c>
    </row>
    <row r="4836" spans="1:21" x14ac:dyDescent="0.35">
      <c r="A4836" t="s">
        <v>15</v>
      </c>
      <c r="B4836" t="s">
        <v>20</v>
      </c>
      <c r="C4836" t="s">
        <v>21</v>
      </c>
      <c r="D4836">
        <v>275746</v>
      </c>
      <c r="E4836">
        <v>19087</v>
      </c>
      <c r="F4836">
        <v>28680</v>
      </c>
      <c r="G4836">
        <v>-265481</v>
      </c>
      <c r="H4836">
        <v>58032</v>
      </c>
      <c r="I4836">
        <v>53238</v>
      </c>
      <c r="J4836">
        <v>1346</v>
      </c>
      <c r="K4836">
        <v>890615</v>
      </c>
      <c r="L4836">
        <v>192172</v>
      </c>
      <c r="M4836">
        <v>-168651</v>
      </c>
      <c r="N4836">
        <v>171350</v>
      </c>
      <c r="O4836" t="s">
        <v>4854</v>
      </c>
      <c r="P4836" s="9">
        <v>234940</v>
      </c>
      <c r="Q4836" s="9">
        <v>42107</v>
      </c>
      <c r="R4836" s="9">
        <v>277047</v>
      </c>
      <c r="S4836" s="9">
        <v>-94287</v>
      </c>
      <c r="T4836" s="10">
        <v>123051</v>
      </c>
      <c r="U4836" s="10">
        <v>2745</v>
      </c>
    </row>
    <row r="4837" spans="1:21" x14ac:dyDescent="0.35">
      <c r="A4837" t="s">
        <v>15</v>
      </c>
      <c r="B4837" t="s">
        <v>20</v>
      </c>
      <c r="C4837" t="s">
        <v>21</v>
      </c>
      <c r="D4837">
        <v>290105</v>
      </c>
      <c r="E4837">
        <v>54087</v>
      </c>
      <c r="F4837">
        <v>52610</v>
      </c>
      <c r="G4837">
        <v>-232987</v>
      </c>
      <c r="H4837">
        <v>163815</v>
      </c>
      <c r="I4837">
        <v>151227</v>
      </c>
      <c r="J4837">
        <v>4272</v>
      </c>
      <c r="K4837">
        <v>1003096</v>
      </c>
      <c r="L4837">
        <v>215021</v>
      </c>
      <c r="M4837">
        <v>-232758</v>
      </c>
      <c r="N4837">
        <v>209974</v>
      </c>
      <c r="O4837" t="s">
        <v>4855</v>
      </c>
      <c r="P4837" s="9">
        <v>265433</v>
      </c>
      <c r="Q4837" s="9">
        <v>42089</v>
      </c>
      <c r="R4837" s="9">
        <v>307522</v>
      </c>
      <c r="S4837" s="9">
        <v>-103415</v>
      </c>
      <c r="T4837" s="10">
        <v>102826</v>
      </c>
      <c r="U4837" s="10">
        <v>1210</v>
      </c>
    </row>
    <row r="4838" spans="1:21" x14ac:dyDescent="0.35">
      <c r="A4838" t="s">
        <v>15</v>
      </c>
      <c r="B4838" t="s">
        <v>16</v>
      </c>
      <c r="C4838" t="s">
        <v>17</v>
      </c>
      <c r="D4838">
        <v>216305</v>
      </c>
      <c r="E4838">
        <v>12015</v>
      </c>
      <c r="F4838">
        <v>28275</v>
      </c>
      <c r="G4838">
        <v>-184192</v>
      </c>
      <c r="H4838">
        <v>72403</v>
      </c>
      <c r="I4838">
        <v>65264</v>
      </c>
      <c r="J4838">
        <v>1197</v>
      </c>
      <c r="K4838">
        <v>821686</v>
      </c>
      <c r="L4838">
        <v>257820</v>
      </c>
      <c r="M4838">
        <v>-278655</v>
      </c>
      <c r="N4838">
        <v>166196</v>
      </c>
      <c r="O4838" t="s">
        <v>4856</v>
      </c>
      <c r="P4838" s="9">
        <v>217020</v>
      </c>
      <c r="Q4838" s="9">
        <v>12290</v>
      </c>
      <c r="R4838" s="9">
        <v>229310</v>
      </c>
      <c r="S4838" s="9">
        <v>-99689</v>
      </c>
      <c r="T4838" s="10">
        <v>56219</v>
      </c>
      <c r="U4838" s="10">
        <v>1669</v>
      </c>
    </row>
    <row r="4839" spans="1:21" x14ac:dyDescent="0.35">
      <c r="A4839" t="s">
        <v>15</v>
      </c>
      <c r="B4839" t="s">
        <v>16</v>
      </c>
      <c r="C4839" t="s">
        <v>21</v>
      </c>
      <c r="D4839">
        <v>185113</v>
      </c>
      <c r="E4839">
        <v>30421</v>
      </c>
      <c r="F4839">
        <v>40015</v>
      </c>
      <c r="G4839">
        <v>-165726</v>
      </c>
      <c r="H4839">
        <v>89823</v>
      </c>
      <c r="I4839">
        <v>82219</v>
      </c>
      <c r="J4839">
        <v>1645</v>
      </c>
      <c r="K4839">
        <v>738838</v>
      </c>
      <c r="L4839">
        <v>195518</v>
      </c>
      <c r="M4839">
        <v>-201121</v>
      </c>
      <c r="N4839">
        <v>66296</v>
      </c>
      <c r="O4839" t="s">
        <v>4857</v>
      </c>
      <c r="P4839" s="9">
        <v>163634</v>
      </c>
      <c r="Q4839" s="9">
        <v>23699</v>
      </c>
      <c r="R4839" s="9">
        <v>187333</v>
      </c>
      <c r="S4839" s="9">
        <v>-43396</v>
      </c>
      <c r="T4839" s="10">
        <v>45507</v>
      </c>
      <c r="U4839" s="10">
        <v>598</v>
      </c>
    </row>
    <row r="4840" spans="1:21" x14ac:dyDescent="0.35">
      <c r="A4840" t="s">
        <v>15</v>
      </c>
      <c r="B4840" t="s">
        <v>16</v>
      </c>
      <c r="C4840" t="s">
        <v>21</v>
      </c>
      <c r="D4840">
        <v>177862</v>
      </c>
      <c r="E4840">
        <v>14184</v>
      </c>
      <c r="F4840">
        <v>35246</v>
      </c>
      <c r="G4840">
        <v>-153427</v>
      </c>
      <c r="H4840">
        <v>73865</v>
      </c>
      <c r="I4840">
        <v>69916</v>
      </c>
      <c r="J4840">
        <v>1416</v>
      </c>
      <c r="K4840">
        <v>685055</v>
      </c>
      <c r="L4840">
        <v>301163</v>
      </c>
      <c r="M4840">
        <v>-212827</v>
      </c>
      <c r="N4840">
        <v>126930</v>
      </c>
      <c r="O4840" t="s">
        <v>4858</v>
      </c>
      <c r="P4840" s="9">
        <v>214643</v>
      </c>
      <c r="Q4840" s="9">
        <v>33547</v>
      </c>
      <c r="R4840" s="9">
        <v>248190</v>
      </c>
      <c r="S4840" s="9">
        <v>-91357</v>
      </c>
      <c r="T4840" s="10">
        <v>65839</v>
      </c>
      <c r="U4840" s="10">
        <v>1227</v>
      </c>
    </row>
    <row r="4841" spans="1:21" x14ac:dyDescent="0.35">
      <c r="A4841" t="s">
        <v>15</v>
      </c>
      <c r="B4841" t="s">
        <v>20</v>
      </c>
      <c r="C4841" t="s">
        <v>21</v>
      </c>
      <c r="D4841">
        <v>187511</v>
      </c>
      <c r="E4841">
        <v>28575</v>
      </c>
      <c r="F4841">
        <v>45452</v>
      </c>
      <c r="G4841">
        <v>-152349</v>
      </c>
      <c r="H4841">
        <v>109189</v>
      </c>
      <c r="I4841">
        <v>105766</v>
      </c>
      <c r="J4841">
        <v>2833</v>
      </c>
      <c r="K4841">
        <v>732682</v>
      </c>
      <c r="L4841">
        <v>107262</v>
      </c>
      <c r="M4841">
        <v>-131757</v>
      </c>
      <c r="N4841">
        <v>141826</v>
      </c>
      <c r="O4841" t="s">
        <v>4859</v>
      </c>
      <c r="P4841" s="9">
        <v>258824</v>
      </c>
      <c r="Q4841" s="9">
        <v>26495</v>
      </c>
      <c r="R4841" s="9">
        <v>285319</v>
      </c>
      <c r="S4841" s="9">
        <v>-149718</v>
      </c>
      <c r="T4841" s="10">
        <v>134318</v>
      </c>
      <c r="U4841" s="10">
        <v>1539</v>
      </c>
    </row>
    <row r="4842" spans="1:21" x14ac:dyDescent="0.35">
      <c r="A4842" t="s">
        <v>15</v>
      </c>
      <c r="B4842" t="s">
        <v>16</v>
      </c>
      <c r="C4842" t="s">
        <v>21</v>
      </c>
      <c r="D4842">
        <v>283843</v>
      </c>
      <c r="E4842">
        <v>22359</v>
      </c>
      <c r="F4842">
        <v>70102</v>
      </c>
      <c r="G4842">
        <v>-272000</v>
      </c>
      <c r="H4842">
        <v>104304</v>
      </c>
      <c r="I4842">
        <v>106038</v>
      </c>
      <c r="J4842">
        <v>2445</v>
      </c>
      <c r="K4842">
        <v>818702</v>
      </c>
      <c r="L4842">
        <v>120420</v>
      </c>
      <c r="M4842">
        <v>-138010</v>
      </c>
      <c r="N4842">
        <v>194605</v>
      </c>
      <c r="O4842" t="s">
        <v>4860</v>
      </c>
      <c r="P4842" s="9">
        <v>266179</v>
      </c>
      <c r="Q4842" s="9">
        <v>35673</v>
      </c>
      <c r="R4842" s="9">
        <v>301852</v>
      </c>
      <c r="S4842" s="9">
        <v>-92058</v>
      </c>
      <c r="T4842" s="10">
        <v>153715</v>
      </c>
      <c r="U4842" s="10">
        <v>2434</v>
      </c>
    </row>
    <row r="4843" spans="1:21" x14ac:dyDescent="0.35">
      <c r="A4843" t="s">
        <v>15</v>
      </c>
      <c r="B4843" t="s">
        <v>20</v>
      </c>
      <c r="C4843" t="s">
        <v>17</v>
      </c>
      <c r="D4843">
        <v>222457</v>
      </c>
      <c r="E4843">
        <v>42501</v>
      </c>
      <c r="F4843">
        <v>43944</v>
      </c>
      <c r="G4843">
        <v>-200825</v>
      </c>
      <c r="H4843">
        <v>108077</v>
      </c>
      <c r="I4843">
        <v>110574</v>
      </c>
      <c r="J4843">
        <v>2522</v>
      </c>
      <c r="K4843">
        <v>677781</v>
      </c>
      <c r="L4843">
        <v>223444</v>
      </c>
      <c r="M4843">
        <v>-260234</v>
      </c>
      <c r="N4843">
        <v>152907</v>
      </c>
      <c r="O4843" t="s">
        <v>4861</v>
      </c>
      <c r="P4843" s="9">
        <v>182125</v>
      </c>
      <c r="Q4843" s="9">
        <v>24157</v>
      </c>
      <c r="R4843" s="9">
        <v>206282</v>
      </c>
      <c r="S4843" s="9">
        <v>-78436</v>
      </c>
      <c r="T4843" s="10">
        <v>70011</v>
      </c>
      <c r="U4843" s="10">
        <v>1186</v>
      </c>
    </row>
    <row r="4844" spans="1:21" x14ac:dyDescent="0.35">
      <c r="A4844" t="s">
        <v>15</v>
      </c>
      <c r="B4844" t="s">
        <v>16</v>
      </c>
      <c r="C4844" t="s">
        <v>21</v>
      </c>
      <c r="D4844">
        <v>286627</v>
      </c>
      <c r="E4844">
        <v>31816</v>
      </c>
      <c r="F4844">
        <v>34824</v>
      </c>
      <c r="G4844">
        <v>-230072</v>
      </c>
      <c r="H4844">
        <v>123195</v>
      </c>
      <c r="I4844">
        <v>127683</v>
      </c>
      <c r="J4844">
        <v>3017</v>
      </c>
      <c r="K4844">
        <v>944710</v>
      </c>
      <c r="L4844">
        <v>443506</v>
      </c>
      <c r="M4844">
        <v>-191137</v>
      </c>
      <c r="N4844">
        <v>210179</v>
      </c>
      <c r="O4844" t="s">
        <v>4862</v>
      </c>
      <c r="P4844" s="9">
        <v>172059</v>
      </c>
      <c r="Q4844" s="9">
        <v>7601</v>
      </c>
      <c r="R4844" s="9">
        <v>179660</v>
      </c>
      <c r="S4844" s="9">
        <v>-59874</v>
      </c>
      <c r="T4844" s="10">
        <v>35614</v>
      </c>
      <c r="U4844" s="10">
        <v>369</v>
      </c>
    </row>
    <row r="4845" spans="1:21" x14ac:dyDescent="0.35">
      <c r="A4845" t="s">
        <v>15</v>
      </c>
      <c r="B4845" t="s">
        <v>16</v>
      </c>
      <c r="C4845" t="s">
        <v>21</v>
      </c>
      <c r="D4845">
        <v>273918</v>
      </c>
      <c r="E4845">
        <v>15488</v>
      </c>
      <c r="F4845">
        <v>60410</v>
      </c>
      <c r="G4845">
        <v>-236297</v>
      </c>
      <c r="H4845">
        <v>113519</v>
      </c>
      <c r="I4845">
        <v>105600</v>
      </c>
      <c r="J4845">
        <v>3091</v>
      </c>
      <c r="K4845">
        <v>607844</v>
      </c>
      <c r="L4845">
        <v>148420</v>
      </c>
      <c r="M4845">
        <v>-194609</v>
      </c>
      <c r="N4845">
        <v>184395</v>
      </c>
      <c r="O4845" t="s">
        <v>4863</v>
      </c>
      <c r="P4845" s="9">
        <v>153030</v>
      </c>
      <c r="Q4845" s="9">
        <v>17330</v>
      </c>
      <c r="R4845" s="9">
        <v>170360</v>
      </c>
      <c r="S4845" s="9">
        <v>-75206</v>
      </c>
      <c r="T4845" s="10">
        <v>50221</v>
      </c>
      <c r="U4845" s="10">
        <v>866</v>
      </c>
    </row>
    <row r="4846" spans="1:21" x14ac:dyDescent="0.35">
      <c r="A4846" t="s">
        <v>15</v>
      </c>
      <c r="B4846" t="s">
        <v>16</v>
      </c>
      <c r="C4846" t="s">
        <v>21</v>
      </c>
      <c r="D4846">
        <v>226309</v>
      </c>
      <c r="E4846">
        <v>33554</v>
      </c>
      <c r="F4846">
        <v>48756</v>
      </c>
      <c r="G4846">
        <v>-221227</v>
      </c>
      <c r="H4846">
        <v>87392</v>
      </c>
      <c r="I4846">
        <v>83746</v>
      </c>
      <c r="J4846">
        <v>2064</v>
      </c>
      <c r="K4846">
        <v>712150</v>
      </c>
      <c r="L4846">
        <v>118165</v>
      </c>
      <c r="M4846">
        <v>-165223</v>
      </c>
      <c r="N4846">
        <v>166524</v>
      </c>
      <c r="O4846" t="s">
        <v>4864</v>
      </c>
      <c r="P4846" s="9">
        <v>226555</v>
      </c>
      <c r="Q4846" s="9">
        <v>24784</v>
      </c>
      <c r="R4846" s="9">
        <v>251339</v>
      </c>
      <c r="S4846" s="9">
        <v>-121137</v>
      </c>
      <c r="T4846" s="10">
        <v>74160</v>
      </c>
      <c r="U4846" s="10">
        <v>1480</v>
      </c>
    </row>
    <row r="4847" spans="1:21" x14ac:dyDescent="0.35">
      <c r="A4847" t="s">
        <v>15</v>
      </c>
      <c r="B4847" t="s">
        <v>16</v>
      </c>
      <c r="C4847" t="s">
        <v>21</v>
      </c>
      <c r="D4847">
        <v>188852</v>
      </c>
      <c r="E4847">
        <v>26484</v>
      </c>
      <c r="F4847">
        <v>29429</v>
      </c>
      <c r="G4847">
        <v>-156982</v>
      </c>
      <c r="H4847">
        <v>87783</v>
      </c>
      <c r="I4847">
        <v>87865</v>
      </c>
      <c r="J4847">
        <v>979</v>
      </c>
      <c r="K4847">
        <v>620489</v>
      </c>
      <c r="L4847">
        <v>132429</v>
      </c>
      <c r="M4847">
        <v>-207796</v>
      </c>
      <c r="N4847">
        <v>135228</v>
      </c>
      <c r="O4847" t="s">
        <v>4865</v>
      </c>
      <c r="P4847" s="9">
        <v>203626</v>
      </c>
      <c r="Q4847" s="9">
        <v>38444</v>
      </c>
      <c r="R4847" s="9">
        <v>242070</v>
      </c>
      <c r="S4847" s="9">
        <v>-100200</v>
      </c>
      <c r="T4847" s="10">
        <v>81359</v>
      </c>
      <c r="U4847" s="10">
        <v>1884</v>
      </c>
    </row>
    <row r="4848" spans="1:21" x14ac:dyDescent="0.35">
      <c r="A4848" t="s">
        <v>15</v>
      </c>
      <c r="B4848" t="s">
        <v>20</v>
      </c>
      <c r="C4848" t="s">
        <v>21</v>
      </c>
      <c r="D4848">
        <v>211077</v>
      </c>
      <c r="E4848">
        <v>11615</v>
      </c>
      <c r="F4848">
        <v>28395</v>
      </c>
      <c r="G4848">
        <v>-198014</v>
      </c>
      <c r="H4848">
        <v>53073</v>
      </c>
      <c r="I4848">
        <v>48801</v>
      </c>
      <c r="J4848">
        <v>879</v>
      </c>
      <c r="K4848">
        <v>535930</v>
      </c>
      <c r="L4848">
        <v>267773</v>
      </c>
      <c r="M4848">
        <v>-74934</v>
      </c>
      <c r="N4848">
        <v>119360</v>
      </c>
      <c r="O4848" t="s">
        <v>4866</v>
      </c>
      <c r="P4848" s="9">
        <v>139149</v>
      </c>
      <c r="Q4848" s="9">
        <v>20462</v>
      </c>
      <c r="R4848" s="9">
        <v>159611</v>
      </c>
      <c r="S4848" s="9">
        <v>-55863</v>
      </c>
      <c r="T4848" s="10">
        <v>57984</v>
      </c>
      <c r="U4848" s="10">
        <v>745</v>
      </c>
    </row>
    <row r="4849" spans="1:21" x14ac:dyDescent="0.35">
      <c r="A4849" t="s">
        <v>15</v>
      </c>
      <c r="B4849" t="s">
        <v>16</v>
      </c>
      <c r="C4849" t="s">
        <v>21</v>
      </c>
      <c r="D4849">
        <v>270384</v>
      </c>
      <c r="E4849">
        <v>44365</v>
      </c>
      <c r="F4849">
        <v>47229</v>
      </c>
      <c r="G4849">
        <v>-232854</v>
      </c>
      <c r="H4849">
        <v>129124</v>
      </c>
      <c r="I4849">
        <v>121551</v>
      </c>
      <c r="J4849">
        <v>1476</v>
      </c>
      <c r="K4849">
        <v>702880</v>
      </c>
      <c r="L4849">
        <v>246520</v>
      </c>
      <c r="M4849">
        <v>-174775</v>
      </c>
      <c r="N4849">
        <v>237408</v>
      </c>
      <c r="O4849" t="s">
        <v>4867</v>
      </c>
      <c r="P4849" s="9">
        <v>195886</v>
      </c>
      <c r="Q4849" s="9">
        <v>14490</v>
      </c>
      <c r="R4849" s="9">
        <v>210376</v>
      </c>
      <c r="S4849" s="9">
        <v>-85193</v>
      </c>
      <c r="T4849" s="10">
        <v>61934</v>
      </c>
      <c r="U4849" s="10">
        <v>1251</v>
      </c>
    </row>
    <row r="4850" spans="1:21" x14ac:dyDescent="0.35">
      <c r="A4850" t="s">
        <v>15</v>
      </c>
      <c r="B4850" t="s">
        <v>20</v>
      </c>
      <c r="C4850" t="s">
        <v>17</v>
      </c>
      <c r="D4850">
        <v>292698</v>
      </c>
      <c r="E4850">
        <v>36762</v>
      </c>
      <c r="F4850">
        <v>64393</v>
      </c>
      <c r="G4850">
        <v>-269183</v>
      </c>
      <c r="H4850">
        <v>124670</v>
      </c>
      <c r="I4850">
        <v>123949</v>
      </c>
      <c r="J4850">
        <v>1368</v>
      </c>
      <c r="K4850">
        <v>759558</v>
      </c>
      <c r="L4850">
        <v>337231</v>
      </c>
      <c r="M4850">
        <v>-151033</v>
      </c>
      <c r="N4850">
        <v>114453</v>
      </c>
      <c r="O4850" t="s">
        <v>4868</v>
      </c>
      <c r="P4850" s="9">
        <v>154964</v>
      </c>
      <c r="Q4850" s="9">
        <v>10561</v>
      </c>
      <c r="R4850" s="9">
        <v>165525</v>
      </c>
      <c r="S4850" s="9">
        <v>-97567</v>
      </c>
      <c r="T4850" s="10">
        <v>43749</v>
      </c>
      <c r="U4850" s="10">
        <v>1236</v>
      </c>
    </row>
    <row r="4851" spans="1:21" x14ac:dyDescent="0.35">
      <c r="A4851" t="s">
        <v>15</v>
      </c>
      <c r="B4851" t="s">
        <v>20</v>
      </c>
      <c r="C4851" t="s">
        <v>21</v>
      </c>
      <c r="D4851">
        <v>226802</v>
      </c>
      <c r="E4851">
        <v>31616</v>
      </c>
      <c r="F4851">
        <v>27146</v>
      </c>
      <c r="G4851">
        <v>-186891</v>
      </c>
      <c r="H4851">
        <v>98673</v>
      </c>
      <c r="I4851">
        <v>92382</v>
      </c>
      <c r="J4851">
        <v>1146</v>
      </c>
      <c r="K4851">
        <v>504034</v>
      </c>
      <c r="L4851">
        <v>246964</v>
      </c>
      <c r="M4851">
        <v>-76643</v>
      </c>
      <c r="N4851">
        <v>155061</v>
      </c>
      <c r="O4851" t="s">
        <v>4869</v>
      </c>
      <c r="P4851" s="9">
        <v>247461</v>
      </c>
      <c r="Q4851" s="9">
        <v>44378</v>
      </c>
      <c r="R4851" s="9">
        <v>291839</v>
      </c>
      <c r="S4851" s="9">
        <v>-160752</v>
      </c>
      <c r="T4851" s="10">
        <v>86444</v>
      </c>
      <c r="U4851" s="10">
        <v>1278</v>
      </c>
    </row>
    <row r="4852" spans="1:21" x14ac:dyDescent="0.35">
      <c r="A4852" t="s">
        <v>15</v>
      </c>
      <c r="B4852" t="s">
        <v>20</v>
      </c>
      <c r="C4852" t="s">
        <v>17</v>
      </c>
      <c r="D4852">
        <v>289091</v>
      </c>
      <c r="E4852">
        <v>32381</v>
      </c>
      <c r="F4852">
        <v>57566</v>
      </c>
      <c r="G4852">
        <v>-242627</v>
      </c>
      <c r="H4852">
        <v>136411</v>
      </c>
      <c r="I4852">
        <v>126914</v>
      </c>
      <c r="J4852">
        <v>2953</v>
      </c>
      <c r="K4852">
        <v>795272</v>
      </c>
      <c r="L4852">
        <v>84015</v>
      </c>
      <c r="M4852">
        <v>-276223</v>
      </c>
      <c r="N4852">
        <v>175735</v>
      </c>
      <c r="O4852" t="s">
        <v>4870</v>
      </c>
      <c r="P4852" s="9">
        <v>304720</v>
      </c>
      <c r="Q4852" s="9">
        <v>49031</v>
      </c>
      <c r="R4852" s="9">
        <v>353751</v>
      </c>
      <c r="S4852" s="9">
        <v>-208843</v>
      </c>
      <c r="T4852" s="10">
        <v>128343</v>
      </c>
      <c r="U4852" s="10">
        <v>2001</v>
      </c>
    </row>
    <row r="4853" spans="1:21" x14ac:dyDescent="0.35">
      <c r="A4853" t="s">
        <v>15</v>
      </c>
      <c r="B4853" t="s">
        <v>16</v>
      </c>
      <c r="C4853" t="s">
        <v>21</v>
      </c>
      <c r="D4853">
        <v>225201</v>
      </c>
      <c r="E4853">
        <v>40151</v>
      </c>
      <c r="F4853">
        <v>24425</v>
      </c>
      <c r="G4853">
        <v>-213853</v>
      </c>
      <c r="H4853">
        <v>75924</v>
      </c>
      <c r="I4853">
        <v>76202</v>
      </c>
      <c r="J4853">
        <v>1507</v>
      </c>
      <c r="K4853">
        <v>656625</v>
      </c>
      <c r="L4853">
        <v>189759</v>
      </c>
      <c r="M4853">
        <v>-99349</v>
      </c>
      <c r="N4853">
        <v>185543</v>
      </c>
      <c r="O4853" t="s">
        <v>4871</v>
      </c>
      <c r="P4853" s="9">
        <v>240624</v>
      </c>
      <c r="Q4853" s="9">
        <v>49891</v>
      </c>
      <c r="R4853" s="9">
        <v>290515</v>
      </c>
      <c r="S4853" s="9">
        <v>-152572</v>
      </c>
      <c r="T4853" s="10">
        <v>153615</v>
      </c>
      <c r="U4853" s="10">
        <v>2447</v>
      </c>
    </row>
    <row r="4854" spans="1:21" x14ac:dyDescent="0.35">
      <c r="A4854" t="s">
        <v>15</v>
      </c>
      <c r="B4854" t="s">
        <v>20</v>
      </c>
      <c r="C4854" t="s">
        <v>21</v>
      </c>
      <c r="D4854">
        <v>231331</v>
      </c>
      <c r="E4854">
        <v>31549</v>
      </c>
      <c r="F4854">
        <v>30994</v>
      </c>
      <c r="G4854">
        <v>-189751</v>
      </c>
      <c r="H4854">
        <v>104123</v>
      </c>
      <c r="I4854">
        <v>106064</v>
      </c>
      <c r="J4854">
        <v>1800</v>
      </c>
      <c r="K4854">
        <v>486998</v>
      </c>
      <c r="L4854">
        <v>147924</v>
      </c>
      <c r="M4854">
        <v>-149788</v>
      </c>
      <c r="N4854">
        <v>186260</v>
      </c>
      <c r="O4854" t="s">
        <v>4872</v>
      </c>
      <c r="P4854" s="9">
        <v>292227</v>
      </c>
      <c r="Q4854" s="9">
        <v>24106</v>
      </c>
      <c r="R4854" s="9">
        <v>316333</v>
      </c>
      <c r="S4854" s="9">
        <v>-112173</v>
      </c>
      <c r="T4854" s="10">
        <v>96533</v>
      </c>
      <c r="U4854" s="10">
        <v>1641</v>
      </c>
    </row>
    <row r="4855" spans="1:21" x14ac:dyDescent="0.35">
      <c r="A4855" t="s">
        <v>15</v>
      </c>
      <c r="B4855" t="s">
        <v>20</v>
      </c>
      <c r="C4855" t="s">
        <v>21</v>
      </c>
      <c r="D4855">
        <v>161083</v>
      </c>
      <c r="E4855">
        <v>27808</v>
      </c>
      <c r="F4855">
        <v>34663</v>
      </c>
      <c r="G4855">
        <v>-137292</v>
      </c>
      <c r="H4855">
        <v>86262</v>
      </c>
      <c r="I4855">
        <v>86832</v>
      </c>
      <c r="J4855">
        <v>1238</v>
      </c>
      <c r="K4855">
        <v>568971</v>
      </c>
      <c r="L4855">
        <v>108554</v>
      </c>
      <c r="M4855">
        <v>-215874</v>
      </c>
      <c r="N4855">
        <v>119517</v>
      </c>
      <c r="O4855" t="s">
        <v>4873</v>
      </c>
      <c r="P4855" s="9">
        <v>247134</v>
      </c>
      <c r="Q4855" s="9">
        <v>29548</v>
      </c>
      <c r="R4855" s="9">
        <v>276682</v>
      </c>
      <c r="S4855" s="9">
        <v>-57842</v>
      </c>
      <c r="T4855" s="10">
        <v>92957</v>
      </c>
      <c r="U4855" s="10">
        <v>988</v>
      </c>
    </row>
    <row r="4856" spans="1:21" x14ac:dyDescent="0.35">
      <c r="A4856" t="s">
        <v>15</v>
      </c>
      <c r="B4856" t="s">
        <v>20</v>
      </c>
      <c r="C4856" t="s">
        <v>21</v>
      </c>
      <c r="D4856">
        <v>282535</v>
      </c>
      <c r="E4856">
        <v>36200</v>
      </c>
      <c r="F4856">
        <v>52389</v>
      </c>
      <c r="G4856">
        <v>-265088</v>
      </c>
      <c r="H4856">
        <v>106036</v>
      </c>
      <c r="I4856">
        <v>101839</v>
      </c>
      <c r="J4856">
        <v>2219</v>
      </c>
      <c r="K4856">
        <v>1018216</v>
      </c>
      <c r="L4856">
        <v>231708</v>
      </c>
      <c r="M4856">
        <v>-257258</v>
      </c>
      <c r="N4856">
        <v>173719</v>
      </c>
      <c r="O4856" t="s">
        <v>4874</v>
      </c>
      <c r="P4856" s="9">
        <v>298633</v>
      </c>
      <c r="Q4856" s="9">
        <v>19052</v>
      </c>
      <c r="R4856" s="9">
        <v>317685</v>
      </c>
      <c r="S4856" s="9">
        <v>-168608</v>
      </c>
      <c r="T4856" s="10">
        <v>105765</v>
      </c>
      <c r="U4856" s="10">
        <v>1499</v>
      </c>
    </row>
    <row r="4857" spans="1:21" x14ac:dyDescent="0.35">
      <c r="A4857" t="s">
        <v>15</v>
      </c>
      <c r="B4857" t="s">
        <v>16</v>
      </c>
      <c r="C4857" t="s">
        <v>21</v>
      </c>
      <c r="D4857">
        <v>235271</v>
      </c>
      <c r="E4857">
        <v>24910</v>
      </c>
      <c r="F4857">
        <v>56130</v>
      </c>
      <c r="G4857">
        <v>-233401</v>
      </c>
      <c r="H4857">
        <v>82910</v>
      </c>
      <c r="I4857">
        <v>82007</v>
      </c>
      <c r="J4857">
        <v>1198</v>
      </c>
      <c r="K4857">
        <v>817346</v>
      </c>
      <c r="L4857">
        <v>316470</v>
      </c>
      <c r="M4857">
        <v>-93372</v>
      </c>
      <c r="N4857">
        <v>79794</v>
      </c>
      <c r="O4857" t="s">
        <v>4875</v>
      </c>
      <c r="P4857" s="9">
        <v>236591</v>
      </c>
      <c r="Q4857" s="9">
        <v>38616</v>
      </c>
      <c r="R4857" s="9">
        <v>275207</v>
      </c>
      <c r="S4857" s="9">
        <v>-89565</v>
      </c>
      <c r="T4857" s="10">
        <v>104377</v>
      </c>
      <c r="U4857" s="10">
        <v>2748</v>
      </c>
    </row>
    <row r="4858" spans="1:21" x14ac:dyDescent="0.35">
      <c r="A4858" t="s">
        <v>15</v>
      </c>
      <c r="B4858" t="s">
        <v>16</v>
      </c>
      <c r="C4858" t="s">
        <v>21</v>
      </c>
      <c r="D4858">
        <v>204437</v>
      </c>
      <c r="E4858">
        <v>23059</v>
      </c>
      <c r="F4858">
        <v>27132</v>
      </c>
      <c r="G4858">
        <v>-174129</v>
      </c>
      <c r="H4858">
        <v>80499</v>
      </c>
      <c r="I4858">
        <v>78906</v>
      </c>
      <c r="J4858">
        <v>2141</v>
      </c>
      <c r="K4858">
        <v>682337</v>
      </c>
      <c r="L4858">
        <v>320661</v>
      </c>
      <c r="M4858">
        <v>-268414</v>
      </c>
      <c r="N4858">
        <v>116488</v>
      </c>
      <c r="O4858" t="s">
        <v>4876</v>
      </c>
      <c r="P4858" s="9">
        <v>286581</v>
      </c>
      <c r="Q4858" s="9">
        <v>56050</v>
      </c>
      <c r="R4858" s="9">
        <v>342631</v>
      </c>
      <c r="S4858" s="9">
        <v>-111929</v>
      </c>
      <c r="T4858" s="10">
        <v>160535</v>
      </c>
      <c r="U4858" s="10">
        <v>1850</v>
      </c>
    </row>
    <row r="4859" spans="1:21" x14ac:dyDescent="0.35">
      <c r="A4859" t="s">
        <v>15</v>
      </c>
      <c r="B4859" t="s">
        <v>20</v>
      </c>
      <c r="C4859" t="s">
        <v>17</v>
      </c>
      <c r="D4859">
        <v>197782</v>
      </c>
      <c r="E4859">
        <v>16681</v>
      </c>
      <c r="F4859">
        <v>30723</v>
      </c>
      <c r="G4859">
        <v>-162909</v>
      </c>
      <c r="H4859">
        <v>82277</v>
      </c>
      <c r="I4859">
        <v>84946</v>
      </c>
      <c r="J4859">
        <v>1837</v>
      </c>
      <c r="K4859">
        <v>757329</v>
      </c>
      <c r="L4859">
        <v>228707</v>
      </c>
      <c r="M4859">
        <v>-174339</v>
      </c>
      <c r="N4859">
        <v>102903</v>
      </c>
      <c r="O4859" t="s">
        <v>4877</v>
      </c>
      <c r="P4859" s="9">
        <v>244888</v>
      </c>
      <c r="Q4859" s="9">
        <v>14742</v>
      </c>
      <c r="R4859" s="9">
        <v>259630</v>
      </c>
      <c r="S4859" s="9">
        <v>-139407</v>
      </c>
      <c r="T4859" s="10">
        <v>58215</v>
      </c>
      <c r="U4859" s="10">
        <v>1121</v>
      </c>
    </row>
    <row r="4860" spans="1:21" x14ac:dyDescent="0.35">
      <c r="A4860" t="s">
        <v>15</v>
      </c>
      <c r="B4860" t="s">
        <v>20</v>
      </c>
      <c r="C4860" t="s">
        <v>21</v>
      </c>
      <c r="D4860">
        <v>240858</v>
      </c>
      <c r="E4860">
        <v>15263</v>
      </c>
      <c r="F4860">
        <v>50860</v>
      </c>
      <c r="G4860">
        <v>-195960</v>
      </c>
      <c r="H4860">
        <v>111021</v>
      </c>
      <c r="I4860">
        <v>106795</v>
      </c>
      <c r="J4860">
        <v>1218</v>
      </c>
      <c r="K4860">
        <v>821869</v>
      </c>
      <c r="L4860">
        <v>239553</v>
      </c>
      <c r="M4860">
        <v>-317952</v>
      </c>
      <c r="N4860">
        <v>207789</v>
      </c>
      <c r="O4860" t="s">
        <v>4878</v>
      </c>
      <c r="P4860" s="9">
        <v>214883</v>
      </c>
      <c r="Q4860" s="9">
        <v>21851</v>
      </c>
      <c r="R4860" s="9">
        <v>236734</v>
      </c>
      <c r="S4860" s="9">
        <v>-107771</v>
      </c>
      <c r="T4860" s="10">
        <v>87253</v>
      </c>
      <c r="U4860" s="10">
        <v>1844</v>
      </c>
    </row>
    <row r="4861" spans="1:21" x14ac:dyDescent="0.35">
      <c r="A4861" t="s">
        <v>15</v>
      </c>
      <c r="B4861" t="s">
        <v>16</v>
      </c>
      <c r="C4861" t="s">
        <v>17</v>
      </c>
      <c r="D4861">
        <v>182746</v>
      </c>
      <c r="E4861">
        <v>9802</v>
      </c>
      <c r="F4861">
        <v>40181</v>
      </c>
      <c r="G4861">
        <v>-163216</v>
      </c>
      <c r="H4861">
        <v>69513</v>
      </c>
      <c r="I4861">
        <v>67615</v>
      </c>
      <c r="J4861">
        <v>915</v>
      </c>
      <c r="K4861">
        <v>422745</v>
      </c>
      <c r="L4861">
        <v>182756</v>
      </c>
      <c r="M4861">
        <v>-44351</v>
      </c>
      <c r="N4861">
        <v>79673</v>
      </c>
      <c r="O4861" t="s">
        <v>4879</v>
      </c>
      <c r="P4861" s="9">
        <v>263541</v>
      </c>
      <c r="Q4861" s="9">
        <v>25171</v>
      </c>
      <c r="R4861" s="9">
        <v>288712</v>
      </c>
      <c r="S4861" s="9">
        <v>-148286</v>
      </c>
      <c r="T4861" s="10">
        <v>98646</v>
      </c>
      <c r="U4861" s="10">
        <v>2494</v>
      </c>
    </row>
    <row r="4862" spans="1:21" x14ac:dyDescent="0.35">
      <c r="A4862" t="s">
        <v>15</v>
      </c>
      <c r="B4862" t="s">
        <v>16</v>
      </c>
      <c r="C4862" t="s">
        <v>21</v>
      </c>
      <c r="D4862">
        <v>221281</v>
      </c>
      <c r="E4862">
        <v>31119</v>
      </c>
      <c r="F4862">
        <v>36393</v>
      </c>
      <c r="G4862">
        <v>-200210</v>
      </c>
      <c r="H4862">
        <v>88583</v>
      </c>
      <c r="I4862">
        <v>83709</v>
      </c>
      <c r="J4862">
        <v>1350</v>
      </c>
      <c r="K4862">
        <v>759596</v>
      </c>
      <c r="L4862">
        <v>216979</v>
      </c>
      <c r="M4862">
        <v>-156827</v>
      </c>
      <c r="N4862">
        <v>157207</v>
      </c>
      <c r="O4862" t="s">
        <v>4880</v>
      </c>
      <c r="P4862" s="9">
        <v>323201</v>
      </c>
      <c r="Q4862" s="9">
        <v>46006</v>
      </c>
      <c r="R4862" s="9">
        <v>369207</v>
      </c>
      <c r="S4862" s="9">
        <v>-200218</v>
      </c>
      <c r="T4862" s="10">
        <v>102567</v>
      </c>
      <c r="U4862" s="10">
        <v>2647</v>
      </c>
    </row>
    <row r="4863" spans="1:21" x14ac:dyDescent="0.35">
      <c r="A4863" t="s">
        <v>15</v>
      </c>
      <c r="B4863" t="s">
        <v>20</v>
      </c>
      <c r="C4863" t="s">
        <v>21</v>
      </c>
      <c r="D4863">
        <v>156404</v>
      </c>
      <c r="E4863">
        <v>27743</v>
      </c>
      <c r="F4863">
        <v>17900</v>
      </c>
      <c r="G4863">
        <v>-138991</v>
      </c>
      <c r="H4863">
        <v>63056</v>
      </c>
      <c r="I4863">
        <v>59745</v>
      </c>
      <c r="J4863">
        <v>1558</v>
      </c>
      <c r="K4863">
        <v>610024</v>
      </c>
      <c r="L4863">
        <v>104898</v>
      </c>
      <c r="M4863">
        <v>-189086</v>
      </c>
      <c r="N4863">
        <v>68882</v>
      </c>
      <c r="O4863" t="s">
        <v>4881</v>
      </c>
      <c r="P4863" s="9">
        <v>260151</v>
      </c>
      <c r="Q4863" s="9">
        <v>42644</v>
      </c>
      <c r="R4863" s="9">
        <v>302795</v>
      </c>
      <c r="S4863" s="9">
        <v>-164043</v>
      </c>
      <c r="T4863" s="10">
        <v>101143</v>
      </c>
      <c r="U4863" s="10">
        <v>2292</v>
      </c>
    </row>
    <row r="4864" spans="1:21" x14ac:dyDescent="0.35">
      <c r="A4864" t="s">
        <v>15</v>
      </c>
      <c r="B4864" t="s">
        <v>20</v>
      </c>
      <c r="C4864" t="s">
        <v>21</v>
      </c>
      <c r="D4864">
        <v>271448</v>
      </c>
      <c r="E4864">
        <v>51546</v>
      </c>
      <c r="F4864">
        <v>58999</v>
      </c>
      <c r="G4864">
        <v>-248609</v>
      </c>
      <c r="H4864">
        <v>133384</v>
      </c>
      <c r="I4864">
        <v>123716</v>
      </c>
      <c r="J4864">
        <v>3203</v>
      </c>
      <c r="K4864">
        <v>692983</v>
      </c>
      <c r="L4864">
        <v>98475</v>
      </c>
      <c r="M4864">
        <v>-202117</v>
      </c>
      <c r="N4864">
        <v>117939</v>
      </c>
      <c r="O4864" t="s">
        <v>4882</v>
      </c>
      <c r="P4864" s="9">
        <v>277726</v>
      </c>
      <c r="Q4864" s="9">
        <v>33024</v>
      </c>
      <c r="R4864" s="9">
        <v>310750</v>
      </c>
      <c r="S4864" s="9">
        <v>-77883</v>
      </c>
      <c r="T4864" s="10">
        <v>96246</v>
      </c>
      <c r="U4864" s="10">
        <v>1271</v>
      </c>
    </row>
    <row r="4865" spans="1:21" x14ac:dyDescent="0.35">
      <c r="A4865" t="s">
        <v>15</v>
      </c>
      <c r="B4865" t="s">
        <v>16</v>
      </c>
      <c r="C4865" t="s">
        <v>17</v>
      </c>
      <c r="D4865">
        <v>252246</v>
      </c>
      <c r="E4865">
        <v>26332</v>
      </c>
      <c r="F4865">
        <v>45557</v>
      </c>
      <c r="G4865">
        <v>-247830</v>
      </c>
      <c r="H4865">
        <v>76305</v>
      </c>
      <c r="I4865">
        <v>73185</v>
      </c>
      <c r="J4865">
        <v>2064</v>
      </c>
      <c r="K4865">
        <v>681413</v>
      </c>
      <c r="L4865">
        <v>96305</v>
      </c>
      <c r="M4865">
        <v>-196625</v>
      </c>
      <c r="N4865">
        <v>215437</v>
      </c>
      <c r="O4865" t="s">
        <v>4883</v>
      </c>
      <c r="P4865" s="9">
        <v>162651</v>
      </c>
      <c r="Q4865" s="9">
        <v>29535</v>
      </c>
      <c r="R4865" s="9">
        <v>192186</v>
      </c>
      <c r="S4865" s="9">
        <v>-79989</v>
      </c>
      <c r="T4865" s="10">
        <v>72371</v>
      </c>
      <c r="U4865" s="10">
        <v>1908</v>
      </c>
    </row>
    <row r="4866" spans="1:21" x14ac:dyDescent="0.35">
      <c r="A4866" t="s">
        <v>15</v>
      </c>
      <c r="B4866" t="s">
        <v>16</v>
      </c>
      <c r="C4866" t="s">
        <v>17</v>
      </c>
      <c r="D4866">
        <v>288071</v>
      </c>
      <c r="E4866">
        <v>34230</v>
      </c>
      <c r="F4866">
        <v>47350</v>
      </c>
      <c r="G4866">
        <v>-276187</v>
      </c>
      <c r="H4866">
        <v>93464</v>
      </c>
      <c r="I4866">
        <v>90829</v>
      </c>
      <c r="J4866">
        <v>2658</v>
      </c>
      <c r="K4866">
        <v>888270</v>
      </c>
      <c r="L4866">
        <v>362669</v>
      </c>
      <c r="M4866">
        <v>-100521</v>
      </c>
      <c r="N4866">
        <v>128992</v>
      </c>
      <c r="O4866" t="s">
        <v>4884</v>
      </c>
      <c r="P4866" s="9">
        <v>240591</v>
      </c>
      <c r="Q4866" s="9">
        <v>23547</v>
      </c>
      <c r="R4866" s="9">
        <v>264138</v>
      </c>
      <c r="S4866" s="9">
        <v>-68586</v>
      </c>
      <c r="T4866" s="10">
        <v>76552</v>
      </c>
      <c r="U4866" s="10">
        <v>1904</v>
      </c>
    </row>
    <row r="4867" spans="1:21" x14ac:dyDescent="0.35">
      <c r="A4867" t="s">
        <v>15</v>
      </c>
      <c r="B4867" t="s">
        <v>20</v>
      </c>
      <c r="C4867" t="s">
        <v>21</v>
      </c>
      <c r="D4867">
        <v>273756</v>
      </c>
      <c r="E4867">
        <v>34310</v>
      </c>
      <c r="F4867">
        <v>65399</v>
      </c>
      <c r="G4867">
        <v>-227278</v>
      </c>
      <c r="H4867">
        <v>146187</v>
      </c>
      <c r="I4867">
        <v>141591</v>
      </c>
      <c r="J4867">
        <v>3985</v>
      </c>
      <c r="K4867">
        <v>872445</v>
      </c>
      <c r="L4867">
        <v>412605</v>
      </c>
      <c r="M4867">
        <v>-189378</v>
      </c>
      <c r="N4867">
        <v>149340</v>
      </c>
      <c r="O4867" t="s">
        <v>4885</v>
      </c>
      <c r="P4867" s="9">
        <v>212271</v>
      </c>
      <c r="Q4867" s="9">
        <v>32558</v>
      </c>
      <c r="R4867" s="9">
        <v>244829</v>
      </c>
      <c r="S4867" s="9">
        <v>-102679</v>
      </c>
      <c r="T4867" s="10">
        <v>82455</v>
      </c>
      <c r="U4867" s="10">
        <v>2437</v>
      </c>
    </row>
    <row r="4868" spans="1:21" x14ac:dyDescent="0.35">
      <c r="A4868" t="s">
        <v>15</v>
      </c>
      <c r="B4868" t="s">
        <v>16</v>
      </c>
      <c r="C4868" t="s">
        <v>21</v>
      </c>
      <c r="D4868">
        <v>279339</v>
      </c>
      <c r="E4868">
        <v>24598</v>
      </c>
      <c r="F4868">
        <v>53565</v>
      </c>
      <c r="G4868">
        <v>-270844</v>
      </c>
      <c r="H4868">
        <v>86658</v>
      </c>
      <c r="I4868">
        <v>82061</v>
      </c>
      <c r="J4868">
        <v>944</v>
      </c>
      <c r="K4868">
        <v>991039</v>
      </c>
      <c r="L4868">
        <v>256885</v>
      </c>
      <c r="M4868">
        <v>-135998</v>
      </c>
      <c r="N4868">
        <v>113866</v>
      </c>
      <c r="O4868" t="s">
        <v>4886</v>
      </c>
      <c r="P4868" s="9">
        <v>161389</v>
      </c>
      <c r="Q4868" s="9">
        <v>12072</v>
      </c>
      <c r="R4868" s="9">
        <v>173461</v>
      </c>
      <c r="S4868" s="9">
        <v>-61026</v>
      </c>
      <c r="T4868" s="10">
        <v>62913</v>
      </c>
      <c r="U4868" s="10">
        <v>1251</v>
      </c>
    </row>
    <row r="4869" spans="1:21" x14ac:dyDescent="0.35">
      <c r="A4869" t="s">
        <v>15</v>
      </c>
      <c r="B4869" t="s">
        <v>16</v>
      </c>
      <c r="C4869" t="s">
        <v>21</v>
      </c>
      <c r="D4869">
        <v>297040</v>
      </c>
      <c r="E4869">
        <v>36182</v>
      </c>
      <c r="F4869">
        <v>41793</v>
      </c>
      <c r="G4869">
        <v>-290947</v>
      </c>
      <c r="H4869">
        <v>84068</v>
      </c>
      <c r="I4869">
        <v>87642</v>
      </c>
      <c r="J4869">
        <v>1247</v>
      </c>
      <c r="K4869">
        <v>1113347</v>
      </c>
      <c r="L4869">
        <v>120960</v>
      </c>
      <c r="M4869">
        <v>-190374</v>
      </c>
      <c r="N4869">
        <v>135579</v>
      </c>
      <c r="O4869" t="s">
        <v>4887</v>
      </c>
      <c r="P4869" s="9">
        <v>239818</v>
      </c>
      <c r="Q4869" s="9">
        <v>22429</v>
      </c>
      <c r="R4869" s="9">
        <v>262247</v>
      </c>
      <c r="S4869" s="9">
        <v>-79996</v>
      </c>
      <c r="T4869" s="10">
        <v>101029</v>
      </c>
      <c r="U4869" s="10">
        <v>2588</v>
      </c>
    </row>
    <row r="4870" spans="1:21" x14ac:dyDescent="0.35">
      <c r="A4870" t="s">
        <v>15</v>
      </c>
      <c r="B4870" t="s">
        <v>20</v>
      </c>
      <c r="C4870" t="s">
        <v>21</v>
      </c>
      <c r="D4870">
        <v>160850</v>
      </c>
      <c r="E4870">
        <v>9861</v>
      </c>
      <c r="F4870">
        <v>27972</v>
      </c>
      <c r="G4870">
        <v>-134312</v>
      </c>
      <c r="H4870">
        <v>64371</v>
      </c>
      <c r="I4870">
        <v>64461</v>
      </c>
      <c r="J4870">
        <v>856</v>
      </c>
      <c r="K4870">
        <v>497488</v>
      </c>
      <c r="L4870">
        <v>57948</v>
      </c>
      <c r="M4870">
        <v>-195447</v>
      </c>
      <c r="N4870">
        <v>139883</v>
      </c>
      <c r="O4870" t="s">
        <v>4888</v>
      </c>
      <c r="P4870" s="9">
        <v>163344</v>
      </c>
      <c r="Q4870" s="9">
        <v>23662</v>
      </c>
      <c r="R4870" s="9">
        <v>187006</v>
      </c>
      <c r="S4870" s="9">
        <v>-105381</v>
      </c>
      <c r="T4870" s="10">
        <v>54647</v>
      </c>
      <c r="U4870" s="10">
        <v>764</v>
      </c>
    </row>
    <row r="4871" spans="1:21" x14ac:dyDescent="0.35">
      <c r="A4871" t="s">
        <v>15</v>
      </c>
      <c r="B4871" t="s">
        <v>16</v>
      </c>
      <c r="C4871" t="s">
        <v>21</v>
      </c>
      <c r="D4871">
        <v>248600</v>
      </c>
      <c r="E4871">
        <v>33460</v>
      </c>
      <c r="F4871">
        <v>26904</v>
      </c>
      <c r="G4871">
        <v>-202187</v>
      </c>
      <c r="H4871">
        <v>106777</v>
      </c>
      <c r="I4871">
        <v>106214</v>
      </c>
      <c r="J4871">
        <v>3023</v>
      </c>
      <c r="K4871">
        <v>926555</v>
      </c>
      <c r="L4871">
        <v>387206</v>
      </c>
      <c r="M4871">
        <v>-130964</v>
      </c>
      <c r="N4871">
        <v>143726</v>
      </c>
      <c r="O4871" t="s">
        <v>4889</v>
      </c>
      <c r="P4871" s="9">
        <v>224062</v>
      </c>
      <c r="Q4871" s="9">
        <v>13801</v>
      </c>
      <c r="R4871" s="9">
        <v>237863</v>
      </c>
      <c r="S4871" s="9">
        <v>-71464</v>
      </c>
      <c r="T4871" s="10">
        <v>102021</v>
      </c>
      <c r="U4871" s="10">
        <v>1351</v>
      </c>
    </row>
    <row r="4872" spans="1:21" x14ac:dyDescent="0.35">
      <c r="A4872" t="s">
        <v>15</v>
      </c>
      <c r="B4872" t="s">
        <v>20</v>
      </c>
      <c r="C4872" t="s">
        <v>21</v>
      </c>
      <c r="D4872">
        <v>282243</v>
      </c>
      <c r="E4872">
        <v>23964</v>
      </c>
      <c r="F4872">
        <v>37910</v>
      </c>
      <c r="G4872">
        <v>-280043</v>
      </c>
      <c r="H4872">
        <v>64074</v>
      </c>
      <c r="I4872">
        <v>59299</v>
      </c>
      <c r="J4872">
        <v>1714</v>
      </c>
      <c r="K4872">
        <v>712805</v>
      </c>
      <c r="L4872">
        <v>120610</v>
      </c>
      <c r="M4872">
        <v>-101844</v>
      </c>
      <c r="N4872">
        <v>156926</v>
      </c>
      <c r="O4872" t="s">
        <v>4890</v>
      </c>
      <c r="P4872" s="9">
        <v>274024</v>
      </c>
      <c r="Q4872" s="9">
        <v>17191</v>
      </c>
      <c r="R4872" s="9">
        <v>291215</v>
      </c>
      <c r="S4872" s="9">
        <v>-85300</v>
      </c>
      <c r="T4872" s="10">
        <v>78002</v>
      </c>
      <c r="U4872" s="10">
        <v>1382</v>
      </c>
    </row>
    <row r="4873" spans="1:21" x14ac:dyDescent="0.35">
      <c r="A4873" t="s">
        <v>15</v>
      </c>
      <c r="B4873" t="s">
        <v>16</v>
      </c>
      <c r="C4873" t="s">
        <v>21</v>
      </c>
      <c r="D4873">
        <v>271038</v>
      </c>
      <c r="E4873">
        <v>38540</v>
      </c>
      <c r="F4873">
        <v>48555</v>
      </c>
      <c r="G4873">
        <v>-234936</v>
      </c>
      <c r="H4873">
        <v>123197</v>
      </c>
      <c r="I4873">
        <v>121124</v>
      </c>
      <c r="J4873">
        <v>3092</v>
      </c>
      <c r="K4873">
        <v>569106</v>
      </c>
      <c r="L4873">
        <v>71551</v>
      </c>
      <c r="M4873">
        <v>-86549</v>
      </c>
      <c r="N4873">
        <v>169166</v>
      </c>
      <c r="O4873" t="s">
        <v>4891</v>
      </c>
      <c r="P4873" s="9">
        <v>206903</v>
      </c>
      <c r="Q4873" s="9">
        <v>14769</v>
      </c>
      <c r="R4873" s="9">
        <v>221672</v>
      </c>
      <c r="S4873" s="9">
        <v>-103406</v>
      </c>
      <c r="T4873" s="10">
        <v>84326</v>
      </c>
      <c r="U4873" s="10">
        <v>1348</v>
      </c>
    </row>
    <row r="4874" spans="1:21" x14ac:dyDescent="0.35">
      <c r="A4874" t="s">
        <v>15</v>
      </c>
      <c r="B4874" t="s">
        <v>16</v>
      </c>
      <c r="C4874" t="s">
        <v>21</v>
      </c>
      <c r="D4874">
        <v>156156</v>
      </c>
      <c r="E4874">
        <v>24092</v>
      </c>
      <c r="F4874">
        <v>35214</v>
      </c>
      <c r="G4874">
        <v>-127797</v>
      </c>
      <c r="H4874">
        <v>87665</v>
      </c>
      <c r="I4874">
        <v>82957</v>
      </c>
      <c r="J4874">
        <v>2372</v>
      </c>
      <c r="K4874">
        <v>555941</v>
      </c>
      <c r="L4874">
        <v>141484</v>
      </c>
      <c r="M4874">
        <v>-184734</v>
      </c>
      <c r="N4874">
        <v>136801</v>
      </c>
      <c r="O4874" t="s">
        <v>4892</v>
      </c>
      <c r="P4874" s="9">
        <v>152401</v>
      </c>
      <c r="Q4874" s="9">
        <v>30828</v>
      </c>
      <c r="R4874" s="9">
        <v>183229</v>
      </c>
      <c r="S4874" s="9">
        <v>-84368</v>
      </c>
      <c r="T4874" s="10">
        <v>68266</v>
      </c>
      <c r="U4874" s="10">
        <v>897</v>
      </c>
    </row>
    <row r="4875" spans="1:21" x14ac:dyDescent="0.35">
      <c r="A4875" t="s">
        <v>15</v>
      </c>
      <c r="B4875" t="s">
        <v>16</v>
      </c>
      <c r="C4875" t="s">
        <v>21</v>
      </c>
      <c r="D4875">
        <v>177685</v>
      </c>
      <c r="E4875">
        <v>13061</v>
      </c>
      <c r="F4875">
        <v>19201</v>
      </c>
      <c r="G4875">
        <v>-146414</v>
      </c>
      <c r="H4875">
        <v>63533</v>
      </c>
      <c r="I4875">
        <v>64797</v>
      </c>
      <c r="J4875">
        <v>1271</v>
      </c>
      <c r="K4875">
        <v>553859</v>
      </c>
      <c r="L4875">
        <v>58760</v>
      </c>
      <c r="M4875">
        <v>-106311</v>
      </c>
      <c r="N4875">
        <v>78840</v>
      </c>
      <c r="O4875" t="s">
        <v>4893</v>
      </c>
      <c r="P4875" s="9">
        <v>228280</v>
      </c>
      <c r="Q4875" s="9">
        <v>16195</v>
      </c>
      <c r="R4875" s="9">
        <v>244475</v>
      </c>
      <c r="S4875" s="9">
        <v>-58745</v>
      </c>
      <c r="T4875" s="10">
        <v>105906</v>
      </c>
      <c r="U4875" s="10">
        <v>2778</v>
      </c>
    </row>
    <row r="4876" spans="1:21" x14ac:dyDescent="0.35">
      <c r="A4876" t="s">
        <v>15</v>
      </c>
      <c r="B4876" t="s">
        <v>20</v>
      </c>
      <c r="C4876" t="s">
        <v>21</v>
      </c>
      <c r="D4876">
        <v>243433</v>
      </c>
      <c r="E4876">
        <v>35558</v>
      </c>
      <c r="F4876">
        <v>47541</v>
      </c>
      <c r="G4876">
        <v>-219880</v>
      </c>
      <c r="H4876">
        <v>106652</v>
      </c>
      <c r="I4876">
        <v>97026</v>
      </c>
      <c r="J4876">
        <v>1902</v>
      </c>
      <c r="K4876">
        <v>591958</v>
      </c>
      <c r="L4876">
        <v>250275</v>
      </c>
      <c r="M4876">
        <v>-235086</v>
      </c>
      <c r="N4876">
        <v>142839</v>
      </c>
      <c r="O4876" t="s">
        <v>4894</v>
      </c>
      <c r="P4876" s="9">
        <v>258082</v>
      </c>
      <c r="Q4876" s="9">
        <v>27140</v>
      </c>
      <c r="R4876" s="9">
        <v>285222</v>
      </c>
      <c r="S4876" s="9">
        <v>-57758</v>
      </c>
      <c r="T4876" s="10">
        <v>106157</v>
      </c>
      <c r="U4876" s="10">
        <v>1991</v>
      </c>
    </row>
    <row r="4877" spans="1:21" x14ac:dyDescent="0.35">
      <c r="A4877" t="s">
        <v>15</v>
      </c>
      <c r="B4877" t="s">
        <v>20</v>
      </c>
      <c r="C4877" t="s">
        <v>17</v>
      </c>
      <c r="D4877">
        <v>205149</v>
      </c>
      <c r="E4877">
        <v>34499</v>
      </c>
      <c r="F4877">
        <v>34597</v>
      </c>
      <c r="G4877">
        <v>-176255</v>
      </c>
      <c r="H4877">
        <v>97990</v>
      </c>
      <c r="I4877">
        <v>94772</v>
      </c>
      <c r="J4877">
        <v>2428</v>
      </c>
      <c r="K4877">
        <v>730594</v>
      </c>
      <c r="L4877">
        <v>326725</v>
      </c>
      <c r="M4877">
        <v>-150013</v>
      </c>
      <c r="N4877">
        <v>154188</v>
      </c>
      <c r="O4877" t="s">
        <v>4895</v>
      </c>
      <c r="P4877" s="9">
        <v>182781</v>
      </c>
      <c r="Q4877" s="9">
        <v>32932</v>
      </c>
      <c r="R4877" s="9">
        <v>215713</v>
      </c>
      <c r="S4877" s="9">
        <v>-67272</v>
      </c>
      <c r="T4877" s="10">
        <v>72781</v>
      </c>
      <c r="U4877" s="10">
        <v>1765</v>
      </c>
    </row>
    <row r="4878" spans="1:21" x14ac:dyDescent="0.35">
      <c r="A4878" t="s">
        <v>15</v>
      </c>
      <c r="B4878" t="s">
        <v>20</v>
      </c>
      <c r="C4878" t="s">
        <v>21</v>
      </c>
      <c r="D4878">
        <v>174139</v>
      </c>
      <c r="E4878">
        <v>30491</v>
      </c>
      <c r="F4878">
        <v>23397</v>
      </c>
      <c r="G4878">
        <v>-165374</v>
      </c>
      <c r="H4878">
        <v>62653</v>
      </c>
      <c r="I4878">
        <v>57895</v>
      </c>
      <c r="J4878">
        <v>693</v>
      </c>
      <c r="K4878">
        <v>446981</v>
      </c>
      <c r="L4878">
        <v>216829</v>
      </c>
      <c r="M4878">
        <v>-136451</v>
      </c>
      <c r="N4878">
        <v>102147</v>
      </c>
      <c r="O4878" t="s">
        <v>4896</v>
      </c>
      <c r="P4878" s="9">
        <v>160094</v>
      </c>
      <c r="Q4878" s="9">
        <v>15339</v>
      </c>
      <c r="R4878" s="9">
        <v>175433</v>
      </c>
      <c r="S4878" s="9">
        <v>-103920</v>
      </c>
      <c r="T4878" s="10">
        <v>39176</v>
      </c>
      <c r="U4878" s="10">
        <v>1067</v>
      </c>
    </row>
    <row r="4879" spans="1:21" x14ac:dyDescent="0.35">
      <c r="A4879" t="s">
        <v>15</v>
      </c>
      <c r="B4879" t="s">
        <v>16</v>
      </c>
      <c r="C4879" t="s">
        <v>17</v>
      </c>
      <c r="D4879">
        <v>236388</v>
      </c>
      <c r="E4879">
        <v>13820</v>
      </c>
      <c r="F4879">
        <v>49461</v>
      </c>
      <c r="G4879">
        <v>-193113</v>
      </c>
      <c r="H4879">
        <v>106556</v>
      </c>
      <c r="I4879">
        <v>108535</v>
      </c>
      <c r="J4879">
        <v>2566</v>
      </c>
      <c r="K4879">
        <v>649514</v>
      </c>
      <c r="L4879">
        <v>178071</v>
      </c>
      <c r="M4879">
        <v>-226188</v>
      </c>
      <c r="N4879">
        <v>98647</v>
      </c>
      <c r="O4879" t="s">
        <v>4897</v>
      </c>
      <c r="P4879" s="9">
        <v>244788</v>
      </c>
      <c r="Q4879" s="9">
        <v>14597</v>
      </c>
      <c r="R4879" s="9">
        <v>259385</v>
      </c>
      <c r="S4879" s="9">
        <v>-141021</v>
      </c>
      <c r="T4879" s="10">
        <v>84747</v>
      </c>
      <c r="U4879" s="10">
        <v>1207</v>
      </c>
    </row>
    <row r="4880" spans="1:21" x14ac:dyDescent="0.35">
      <c r="A4880" t="s">
        <v>15</v>
      </c>
      <c r="B4880" t="s">
        <v>20</v>
      </c>
      <c r="C4880" t="s">
        <v>21</v>
      </c>
      <c r="D4880">
        <v>212345</v>
      </c>
      <c r="E4880">
        <v>38601</v>
      </c>
      <c r="F4880">
        <v>52677</v>
      </c>
      <c r="G4880">
        <v>-207671</v>
      </c>
      <c r="H4880">
        <v>95952</v>
      </c>
      <c r="I4880">
        <v>94577</v>
      </c>
      <c r="J4880">
        <v>1373</v>
      </c>
      <c r="K4880">
        <v>677475</v>
      </c>
      <c r="L4880">
        <v>141995</v>
      </c>
      <c r="M4880">
        <v>-190405</v>
      </c>
      <c r="N4880">
        <v>163397</v>
      </c>
      <c r="O4880" t="s">
        <v>4898</v>
      </c>
      <c r="P4880" s="9">
        <v>180616</v>
      </c>
      <c r="Q4880" s="9">
        <v>29915</v>
      </c>
      <c r="R4880" s="9">
        <v>210531</v>
      </c>
      <c r="S4880" s="9">
        <v>-103747</v>
      </c>
      <c r="T4880" s="10">
        <v>93425</v>
      </c>
      <c r="U4880" s="10">
        <v>2565</v>
      </c>
    </row>
    <row r="4881" spans="1:21" x14ac:dyDescent="0.35">
      <c r="A4881" t="s">
        <v>15</v>
      </c>
      <c r="B4881" t="s">
        <v>20</v>
      </c>
      <c r="C4881" t="s">
        <v>21</v>
      </c>
      <c r="D4881">
        <v>262774</v>
      </c>
      <c r="E4881">
        <v>14409</v>
      </c>
      <c r="F4881">
        <v>31064</v>
      </c>
      <c r="G4881">
        <v>-241930</v>
      </c>
      <c r="H4881">
        <v>66317</v>
      </c>
      <c r="I4881">
        <v>66047</v>
      </c>
      <c r="J4881">
        <v>720</v>
      </c>
      <c r="K4881">
        <v>1001367</v>
      </c>
      <c r="L4881">
        <v>397783</v>
      </c>
      <c r="M4881">
        <v>-160224</v>
      </c>
      <c r="N4881">
        <v>201806</v>
      </c>
      <c r="O4881" t="s">
        <v>4899</v>
      </c>
      <c r="P4881" s="9">
        <v>209489</v>
      </c>
      <c r="Q4881" s="9">
        <v>27477</v>
      </c>
      <c r="R4881" s="9">
        <v>236966</v>
      </c>
      <c r="S4881" s="9">
        <v>-81735</v>
      </c>
      <c r="T4881" s="10">
        <v>85569</v>
      </c>
      <c r="U4881" s="10">
        <v>1698</v>
      </c>
    </row>
    <row r="4882" spans="1:21" x14ac:dyDescent="0.35">
      <c r="A4882" t="s">
        <v>15</v>
      </c>
      <c r="B4882" t="s">
        <v>20</v>
      </c>
      <c r="C4882" t="s">
        <v>17</v>
      </c>
      <c r="D4882">
        <v>282399</v>
      </c>
      <c r="E4882">
        <v>53187</v>
      </c>
      <c r="F4882">
        <v>48696</v>
      </c>
      <c r="G4882">
        <v>-265741</v>
      </c>
      <c r="H4882">
        <v>118541</v>
      </c>
      <c r="I4882">
        <v>121532</v>
      </c>
      <c r="J4882">
        <v>1885</v>
      </c>
      <c r="K4882">
        <v>676072</v>
      </c>
      <c r="L4882">
        <v>322560</v>
      </c>
      <c r="M4882">
        <v>-242422</v>
      </c>
      <c r="N4882">
        <v>112796</v>
      </c>
      <c r="O4882" t="s">
        <v>4900</v>
      </c>
      <c r="P4882" s="9">
        <v>187850</v>
      </c>
      <c r="Q4882" s="9">
        <v>13647</v>
      </c>
      <c r="R4882" s="9">
        <v>201497</v>
      </c>
      <c r="S4882" s="9">
        <v>-48248</v>
      </c>
      <c r="T4882" s="10">
        <v>86838</v>
      </c>
      <c r="U4882" s="10">
        <v>1478</v>
      </c>
    </row>
    <row r="4883" spans="1:21" x14ac:dyDescent="0.35">
      <c r="A4883" t="s">
        <v>15</v>
      </c>
      <c r="B4883" t="s">
        <v>16</v>
      </c>
      <c r="C4883" t="s">
        <v>21</v>
      </c>
      <c r="D4883">
        <v>154358</v>
      </c>
      <c r="E4883">
        <v>17373</v>
      </c>
      <c r="F4883">
        <v>36711</v>
      </c>
      <c r="G4883">
        <v>-128189</v>
      </c>
      <c r="H4883">
        <v>80253</v>
      </c>
      <c r="I4883">
        <v>79230</v>
      </c>
      <c r="J4883">
        <v>2263</v>
      </c>
      <c r="K4883">
        <v>566636</v>
      </c>
      <c r="L4883">
        <v>89066</v>
      </c>
      <c r="M4883">
        <v>-126283</v>
      </c>
      <c r="N4883">
        <v>88689</v>
      </c>
      <c r="O4883" t="s">
        <v>4901</v>
      </c>
      <c r="P4883" s="9">
        <v>171838</v>
      </c>
      <c r="Q4883" s="9">
        <v>24672</v>
      </c>
      <c r="R4883" s="9">
        <v>196510</v>
      </c>
      <c r="S4883" s="9">
        <v>-77592</v>
      </c>
      <c r="T4883" s="10">
        <v>54430</v>
      </c>
      <c r="U4883" s="10">
        <v>958</v>
      </c>
    </row>
    <row r="4884" spans="1:21" x14ac:dyDescent="0.35">
      <c r="A4884" t="s">
        <v>15</v>
      </c>
      <c r="B4884" t="s">
        <v>16</v>
      </c>
      <c r="C4884" t="s">
        <v>21</v>
      </c>
      <c r="D4884">
        <v>154919</v>
      </c>
      <c r="E4884">
        <v>21748</v>
      </c>
      <c r="F4884">
        <v>18802</v>
      </c>
      <c r="G4884">
        <v>-137819</v>
      </c>
      <c r="H4884">
        <v>57650</v>
      </c>
      <c r="I4884">
        <v>58327</v>
      </c>
      <c r="J4884">
        <v>777</v>
      </c>
      <c r="K4884">
        <v>477351</v>
      </c>
      <c r="L4884">
        <v>49222</v>
      </c>
      <c r="M4884">
        <v>-62959</v>
      </c>
      <c r="N4884">
        <v>57588</v>
      </c>
      <c r="O4884" t="s">
        <v>4902</v>
      </c>
      <c r="P4884" s="9">
        <v>271132</v>
      </c>
      <c r="Q4884" s="9">
        <v>23878</v>
      </c>
      <c r="R4884" s="9">
        <v>295010</v>
      </c>
      <c r="S4884" s="9">
        <v>-101756</v>
      </c>
      <c r="T4884" s="10">
        <v>136168</v>
      </c>
      <c r="U4884" s="10">
        <v>3142</v>
      </c>
    </row>
    <row r="4885" spans="1:21" x14ac:dyDescent="0.35">
      <c r="A4885" t="s">
        <v>15</v>
      </c>
      <c r="B4885" t="s">
        <v>20</v>
      </c>
      <c r="C4885" t="s">
        <v>17</v>
      </c>
      <c r="D4885">
        <v>152288</v>
      </c>
      <c r="E4885">
        <v>17521</v>
      </c>
      <c r="F4885">
        <v>23013</v>
      </c>
      <c r="G4885">
        <v>-127902</v>
      </c>
      <c r="H4885">
        <v>64920</v>
      </c>
      <c r="I4885">
        <v>63737</v>
      </c>
      <c r="J4885">
        <v>642</v>
      </c>
      <c r="K4885">
        <v>596235</v>
      </c>
      <c r="L4885">
        <v>213539</v>
      </c>
      <c r="M4885">
        <v>-188759</v>
      </c>
      <c r="N4885">
        <v>85361</v>
      </c>
      <c r="O4885" t="s">
        <v>4903</v>
      </c>
      <c r="P4885" s="9">
        <v>177965</v>
      </c>
      <c r="Q4885" s="9">
        <v>9663</v>
      </c>
      <c r="R4885" s="9">
        <v>187628</v>
      </c>
      <c r="S4885" s="9">
        <v>-58216</v>
      </c>
      <c r="T4885" s="10">
        <v>47957</v>
      </c>
      <c r="U4885" s="10">
        <v>897</v>
      </c>
    </row>
    <row r="4886" spans="1:21" x14ac:dyDescent="0.35">
      <c r="A4886" t="s">
        <v>15</v>
      </c>
      <c r="B4886" t="s">
        <v>20</v>
      </c>
      <c r="C4886" t="s">
        <v>21</v>
      </c>
      <c r="D4886">
        <v>159642</v>
      </c>
      <c r="E4886">
        <v>9113</v>
      </c>
      <c r="F4886">
        <v>16177</v>
      </c>
      <c r="G4886">
        <v>-144049</v>
      </c>
      <c r="H4886">
        <v>40883</v>
      </c>
      <c r="I4886">
        <v>38120</v>
      </c>
      <c r="J4886">
        <v>736</v>
      </c>
      <c r="K4886">
        <v>349783</v>
      </c>
      <c r="L4886">
        <v>103588</v>
      </c>
      <c r="M4886">
        <v>-57336</v>
      </c>
      <c r="N4886">
        <v>93429</v>
      </c>
      <c r="O4886" t="s">
        <v>4904</v>
      </c>
      <c r="P4886" s="9">
        <v>225743</v>
      </c>
      <c r="Q4886" s="9">
        <v>20789</v>
      </c>
      <c r="R4886" s="9">
        <v>246532</v>
      </c>
      <c r="S4886" s="9">
        <v>-115993</v>
      </c>
      <c r="T4886" s="10">
        <v>79794</v>
      </c>
      <c r="U4886" s="10">
        <v>971</v>
      </c>
    </row>
    <row r="4887" spans="1:21" x14ac:dyDescent="0.35">
      <c r="A4887" t="s">
        <v>15</v>
      </c>
      <c r="B4887" t="s">
        <v>16</v>
      </c>
      <c r="C4887" t="s">
        <v>21</v>
      </c>
      <c r="D4887">
        <v>267102</v>
      </c>
      <c r="E4887">
        <v>40279</v>
      </c>
      <c r="F4887">
        <v>61451</v>
      </c>
      <c r="G4887">
        <v>-252474</v>
      </c>
      <c r="H4887">
        <v>116358</v>
      </c>
      <c r="I4887">
        <v>118884</v>
      </c>
      <c r="J4887">
        <v>2430</v>
      </c>
      <c r="K4887">
        <v>552515</v>
      </c>
      <c r="L4887">
        <v>70702</v>
      </c>
      <c r="M4887">
        <v>-191437</v>
      </c>
      <c r="N4887">
        <v>233145</v>
      </c>
      <c r="O4887" t="s">
        <v>4905</v>
      </c>
      <c r="P4887" s="9">
        <v>279577</v>
      </c>
      <c r="Q4887" s="9">
        <v>30783</v>
      </c>
      <c r="R4887" s="9">
        <v>310360</v>
      </c>
      <c r="S4887" s="9">
        <v>-154176</v>
      </c>
      <c r="T4887" s="10">
        <v>93010</v>
      </c>
      <c r="U4887" s="10">
        <v>1009</v>
      </c>
    </row>
    <row r="4888" spans="1:21" x14ac:dyDescent="0.35">
      <c r="A4888" t="s">
        <v>15</v>
      </c>
      <c r="B4888" t="s">
        <v>16</v>
      </c>
      <c r="C4888" t="s">
        <v>17</v>
      </c>
      <c r="D4888">
        <v>172899</v>
      </c>
      <c r="E4888">
        <v>31799</v>
      </c>
      <c r="F4888">
        <v>37510</v>
      </c>
      <c r="G4888">
        <v>-172729</v>
      </c>
      <c r="H4888">
        <v>69479</v>
      </c>
      <c r="I4888">
        <v>66390</v>
      </c>
      <c r="J4888">
        <v>1919</v>
      </c>
      <c r="K4888">
        <v>424114</v>
      </c>
      <c r="L4888">
        <v>138964</v>
      </c>
      <c r="M4888">
        <v>-74640</v>
      </c>
      <c r="N4888">
        <v>135614</v>
      </c>
      <c r="O4888" t="s">
        <v>4906</v>
      </c>
      <c r="P4888" s="9">
        <v>271493</v>
      </c>
      <c r="Q4888" s="9">
        <v>34366</v>
      </c>
      <c r="R4888" s="9">
        <v>305859</v>
      </c>
      <c r="S4888" s="9">
        <v>-183080</v>
      </c>
      <c r="T4888" s="10">
        <v>131156</v>
      </c>
      <c r="U4888" s="10">
        <v>1497</v>
      </c>
    </row>
    <row r="4889" spans="1:21" x14ac:dyDescent="0.35">
      <c r="A4889" t="s">
        <v>15</v>
      </c>
      <c r="B4889" t="s">
        <v>20</v>
      </c>
      <c r="C4889" t="s">
        <v>21</v>
      </c>
      <c r="D4889">
        <v>292582</v>
      </c>
      <c r="E4889">
        <v>53101</v>
      </c>
      <c r="F4889">
        <v>72532</v>
      </c>
      <c r="G4889">
        <v>-243085</v>
      </c>
      <c r="H4889">
        <v>175130</v>
      </c>
      <c r="I4889">
        <v>172889</v>
      </c>
      <c r="J4889">
        <v>3572</v>
      </c>
      <c r="K4889">
        <v>718043</v>
      </c>
      <c r="L4889">
        <v>199571</v>
      </c>
      <c r="M4889">
        <v>-100376</v>
      </c>
      <c r="N4889">
        <v>127779</v>
      </c>
      <c r="O4889" t="s">
        <v>4907</v>
      </c>
      <c r="P4889" s="9">
        <v>293758</v>
      </c>
      <c r="Q4889" s="9">
        <v>29950</v>
      </c>
      <c r="R4889" s="9">
        <v>323708</v>
      </c>
      <c r="S4889" s="9">
        <v>-104717</v>
      </c>
      <c r="T4889" s="10">
        <v>92075</v>
      </c>
      <c r="U4889" s="10">
        <v>2447</v>
      </c>
    </row>
    <row r="4890" spans="1:21" x14ac:dyDescent="0.35">
      <c r="A4890" t="s">
        <v>15</v>
      </c>
      <c r="B4890" t="s">
        <v>20</v>
      </c>
      <c r="C4890" t="s">
        <v>21</v>
      </c>
      <c r="D4890">
        <v>222862</v>
      </c>
      <c r="E4890">
        <v>37800</v>
      </c>
      <c r="F4890">
        <v>33712</v>
      </c>
      <c r="G4890">
        <v>-218416</v>
      </c>
      <c r="H4890">
        <v>75958</v>
      </c>
      <c r="I4890">
        <v>69771</v>
      </c>
      <c r="J4890">
        <v>1071</v>
      </c>
      <c r="K4890">
        <v>776097</v>
      </c>
      <c r="L4890">
        <v>144110</v>
      </c>
      <c r="M4890">
        <v>-289681</v>
      </c>
      <c r="N4890">
        <v>144815</v>
      </c>
      <c r="O4890" t="s">
        <v>4908</v>
      </c>
      <c r="P4890" s="9">
        <v>293528</v>
      </c>
      <c r="Q4890" s="9">
        <v>32663</v>
      </c>
      <c r="R4890" s="9">
        <v>326191</v>
      </c>
      <c r="S4890" s="9">
        <v>-155438</v>
      </c>
      <c r="T4890" s="10">
        <v>106171</v>
      </c>
      <c r="U4890" s="10">
        <v>2575</v>
      </c>
    </row>
    <row r="4891" spans="1:21" x14ac:dyDescent="0.35">
      <c r="A4891" t="s">
        <v>15</v>
      </c>
      <c r="B4891" t="s">
        <v>16</v>
      </c>
      <c r="C4891" t="s">
        <v>21</v>
      </c>
      <c r="D4891">
        <v>218979</v>
      </c>
      <c r="E4891">
        <v>33687</v>
      </c>
      <c r="F4891">
        <v>38553</v>
      </c>
      <c r="G4891">
        <v>-177920</v>
      </c>
      <c r="H4891">
        <v>113299</v>
      </c>
      <c r="I4891">
        <v>118103</v>
      </c>
      <c r="J4891">
        <v>1705</v>
      </c>
      <c r="K4891">
        <v>544358</v>
      </c>
      <c r="L4891">
        <v>163931</v>
      </c>
      <c r="M4891">
        <v>-140824</v>
      </c>
      <c r="N4891">
        <v>121002</v>
      </c>
      <c r="O4891" t="s">
        <v>4909</v>
      </c>
      <c r="P4891" s="9">
        <v>273066</v>
      </c>
      <c r="Q4891" s="9">
        <v>45636</v>
      </c>
      <c r="R4891" s="9">
        <v>318702</v>
      </c>
      <c r="S4891" s="9">
        <v>-136988</v>
      </c>
      <c r="T4891" s="10">
        <v>158524</v>
      </c>
      <c r="U4891" s="10">
        <v>3334</v>
      </c>
    </row>
    <row r="4892" spans="1:21" x14ac:dyDescent="0.35">
      <c r="A4892" t="s">
        <v>15</v>
      </c>
      <c r="B4892" t="s">
        <v>20</v>
      </c>
      <c r="C4892" t="s">
        <v>17</v>
      </c>
      <c r="D4892">
        <v>277768</v>
      </c>
      <c r="E4892">
        <v>22943</v>
      </c>
      <c r="F4892">
        <v>60391</v>
      </c>
      <c r="G4892">
        <v>-274608</v>
      </c>
      <c r="H4892">
        <v>86494</v>
      </c>
      <c r="I4892">
        <v>80135</v>
      </c>
      <c r="J4892">
        <v>1358</v>
      </c>
      <c r="K4892">
        <v>1030226</v>
      </c>
      <c r="L4892">
        <v>472341</v>
      </c>
      <c r="M4892">
        <v>-310603</v>
      </c>
      <c r="N4892">
        <v>95297</v>
      </c>
      <c r="O4892" t="s">
        <v>4910</v>
      </c>
      <c r="P4892" s="9">
        <v>257281</v>
      </c>
      <c r="Q4892" s="9">
        <v>38631</v>
      </c>
      <c r="R4892" s="9">
        <v>295912</v>
      </c>
      <c r="S4892" s="9">
        <v>-95266</v>
      </c>
      <c r="T4892" s="10">
        <v>111358</v>
      </c>
      <c r="U4892" s="10">
        <v>2660</v>
      </c>
    </row>
    <row r="4893" spans="1:21" x14ac:dyDescent="0.35">
      <c r="A4893" t="s">
        <v>15</v>
      </c>
      <c r="B4893" t="s">
        <v>20</v>
      </c>
      <c r="C4893" t="s">
        <v>21</v>
      </c>
      <c r="D4893">
        <v>196488</v>
      </c>
      <c r="E4893">
        <v>30833</v>
      </c>
      <c r="F4893">
        <v>35237</v>
      </c>
      <c r="G4893">
        <v>-181021</v>
      </c>
      <c r="H4893">
        <v>81537</v>
      </c>
      <c r="I4893">
        <v>85300</v>
      </c>
      <c r="J4893">
        <v>1522</v>
      </c>
      <c r="K4893">
        <v>670069</v>
      </c>
      <c r="L4893">
        <v>154178</v>
      </c>
      <c r="M4893">
        <v>-192580</v>
      </c>
      <c r="N4893">
        <v>160049</v>
      </c>
      <c r="O4893" t="s">
        <v>4911</v>
      </c>
      <c r="P4893" s="9">
        <v>180952</v>
      </c>
      <c r="Q4893" s="9">
        <v>21225</v>
      </c>
      <c r="R4893" s="9">
        <v>202177</v>
      </c>
      <c r="S4893" s="9">
        <v>-60874</v>
      </c>
      <c r="T4893" s="10">
        <v>56154</v>
      </c>
      <c r="U4893" s="10">
        <v>1175</v>
      </c>
    </row>
    <row r="4894" spans="1:21" x14ac:dyDescent="0.35">
      <c r="A4894" t="s">
        <v>15</v>
      </c>
      <c r="B4894" t="s">
        <v>20</v>
      </c>
      <c r="C4894" t="s">
        <v>21</v>
      </c>
      <c r="D4894">
        <v>215928</v>
      </c>
      <c r="E4894">
        <v>35906</v>
      </c>
      <c r="F4894">
        <v>22707</v>
      </c>
      <c r="G4894">
        <v>-177604</v>
      </c>
      <c r="H4894">
        <v>96937</v>
      </c>
      <c r="I4894">
        <v>101483</v>
      </c>
      <c r="J4894">
        <v>1807</v>
      </c>
      <c r="K4894">
        <v>682533</v>
      </c>
      <c r="L4894">
        <v>101955</v>
      </c>
      <c r="M4894">
        <v>-112149</v>
      </c>
      <c r="N4894">
        <v>156781</v>
      </c>
      <c r="O4894" t="s">
        <v>4912</v>
      </c>
      <c r="P4894" s="9">
        <v>257451</v>
      </c>
      <c r="Q4894" s="9">
        <v>27461</v>
      </c>
      <c r="R4894" s="9">
        <v>284912</v>
      </c>
      <c r="S4894" s="9">
        <v>-128422</v>
      </c>
      <c r="T4894" s="10">
        <v>62419</v>
      </c>
      <c r="U4894" s="10">
        <v>1350</v>
      </c>
    </row>
    <row r="4895" spans="1:21" x14ac:dyDescent="0.35">
      <c r="A4895" t="s">
        <v>15</v>
      </c>
      <c r="B4895" t="s">
        <v>16</v>
      </c>
      <c r="C4895" t="s">
        <v>17</v>
      </c>
      <c r="D4895">
        <v>151109</v>
      </c>
      <c r="E4895">
        <v>21132</v>
      </c>
      <c r="F4895">
        <v>21518</v>
      </c>
      <c r="G4895">
        <v>-148698</v>
      </c>
      <c r="H4895">
        <v>45061</v>
      </c>
      <c r="I4895">
        <v>40714</v>
      </c>
      <c r="J4895">
        <v>980</v>
      </c>
      <c r="K4895">
        <v>594105</v>
      </c>
      <c r="L4895">
        <v>293339</v>
      </c>
      <c r="M4895">
        <v>-98410</v>
      </c>
      <c r="N4895">
        <v>56565</v>
      </c>
      <c r="O4895" t="s">
        <v>4913</v>
      </c>
      <c r="P4895" s="9">
        <v>225914</v>
      </c>
      <c r="Q4895" s="9">
        <v>24203</v>
      </c>
      <c r="R4895" s="9">
        <v>250117</v>
      </c>
      <c r="S4895" s="9">
        <v>-143808</v>
      </c>
      <c r="T4895" s="10">
        <v>63149</v>
      </c>
      <c r="U4895" s="10">
        <v>1867</v>
      </c>
    </row>
    <row r="4896" spans="1:21" x14ac:dyDescent="0.35">
      <c r="A4896" t="s">
        <v>15</v>
      </c>
      <c r="B4896" t="s">
        <v>20</v>
      </c>
      <c r="C4896" t="s">
        <v>21</v>
      </c>
      <c r="D4896">
        <v>269651</v>
      </c>
      <c r="E4896">
        <v>43888</v>
      </c>
      <c r="F4896">
        <v>31211</v>
      </c>
      <c r="G4896">
        <v>-226189</v>
      </c>
      <c r="H4896">
        <v>118561</v>
      </c>
      <c r="I4896">
        <v>117169</v>
      </c>
      <c r="J4896">
        <v>2466</v>
      </c>
      <c r="K4896">
        <v>854229</v>
      </c>
      <c r="L4896">
        <v>188058</v>
      </c>
      <c r="M4896">
        <v>-114405</v>
      </c>
      <c r="N4896">
        <v>145396</v>
      </c>
      <c r="O4896" t="s">
        <v>4914</v>
      </c>
      <c r="P4896" s="9">
        <v>171632</v>
      </c>
      <c r="Q4896" s="9">
        <v>16222</v>
      </c>
      <c r="R4896" s="9">
        <v>187854</v>
      </c>
      <c r="S4896" s="9">
        <v>-104929</v>
      </c>
      <c r="T4896" s="10">
        <v>39529</v>
      </c>
      <c r="U4896" s="10">
        <v>760</v>
      </c>
    </row>
    <row r="4897" spans="1:21" x14ac:dyDescent="0.35">
      <c r="A4897" t="s">
        <v>15</v>
      </c>
      <c r="B4897" t="s">
        <v>16</v>
      </c>
      <c r="C4897" t="s">
        <v>21</v>
      </c>
      <c r="D4897">
        <v>172933</v>
      </c>
      <c r="E4897">
        <v>28255</v>
      </c>
      <c r="F4897">
        <v>29495</v>
      </c>
      <c r="G4897">
        <v>-147411</v>
      </c>
      <c r="H4897">
        <v>83272</v>
      </c>
      <c r="I4897">
        <v>85975</v>
      </c>
      <c r="J4897">
        <v>2462</v>
      </c>
      <c r="K4897">
        <v>559263</v>
      </c>
      <c r="L4897">
        <v>131194</v>
      </c>
      <c r="M4897">
        <v>-213209</v>
      </c>
      <c r="N4897">
        <v>152717</v>
      </c>
      <c r="O4897" t="s">
        <v>4915</v>
      </c>
      <c r="P4897" s="9">
        <v>163670</v>
      </c>
      <c r="Q4897" s="9">
        <v>16893</v>
      </c>
      <c r="R4897" s="9">
        <v>180563</v>
      </c>
      <c r="S4897" s="9">
        <v>-89815</v>
      </c>
      <c r="T4897" s="10">
        <v>79601</v>
      </c>
      <c r="U4897" s="10">
        <v>1599</v>
      </c>
    </row>
    <row r="4898" spans="1:21" x14ac:dyDescent="0.35">
      <c r="A4898" t="s">
        <v>15</v>
      </c>
      <c r="B4898" t="s">
        <v>16</v>
      </c>
      <c r="C4898" t="s">
        <v>21</v>
      </c>
      <c r="D4898">
        <v>258532</v>
      </c>
      <c r="E4898">
        <v>17654</v>
      </c>
      <c r="F4898">
        <v>53848</v>
      </c>
      <c r="G4898">
        <v>-210052</v>
      </c>
      <c r="H4898">
        <v>119982</v>
      </c>
      <c r="I4898">
        <v>122568</v>
      </c>
      <c r="J4898">
        <v>3564</v>
      </c>
      <c r="K4898">
        <v>954393</v>
      </c>
      <c r="L4898">
        <v>130770</v>
      </c>
      <c r="M4898">
        <v>-167570</v>
      </c>
      <c r="N4898">
        <v>163778</v>
      </c>
      <c r="O4898" t="s">
        <v>4916</v>
      </c>
      <c r="P4898" s="9">
        <v>186025</v>
      </c>
      <c r="Q4898" s="9">
        <v>26814</v>
      </c>
      <c r="R4898" s="9">
        <v>212839</v>
      </c>
      <c r="S4898" s="9">
        <v>-103947</v>
      </c>
      <c r="T4898" s="10">
        <v>83477</v>
      </c>
      <c r="U4898" s="10">
        <v>2211</v>
      </c>
    </row>
    <row r="4899" spans="1:21" x14ac:dyDescent="0.35">
      <c r="A4899" t="s">
        <v>15</v>
      </c>
      <c r="B4899" t="s">
        <v>16</v>
      </c>
      <c r="C4899" t="s">
        <v>21</v>
      </c>
      <c r="D4899">
        <v>222056</v>
      </c>
      <c r="E4899">
        <v>32395</v>
      </c>
      <c r="F4899">
        <v>36473</v>
      </c>
      <c r="G4899">
        <v>-198202</v>
      </c>
      <c r="H4899">
        <v>92722</v>
      </c>
      <c r="I4899">
        <v>91890</v>
      </c>
      <c r="J4899">
        <v>1584</v>
      </c>
      <c r="K4899">
        <v>452788</v>
      </c>
      <c r="L4899">
        <v>137581</v>
      </c>
      <c r="M4899">
        <v>-128838</v>
      </c>
      <c r="N4899">
        <v>90216</v>
      </c>
      <c r="O4899" t="s">
        <v>4917</v>
      </c>
      <c r="P4899" s="9">
        <v>244270</v>
      </c>
      <c r="Q4899" s="9">
        <v>14844</v>
      </c>
      <c r="R4899" s="9">
        <v>259114</v>
      </c>
      <c r="S4899" s="9">
        <v>-118088</v>
      </c>
      <c r="T4899" s="10">
        <v>74268</v>
      </c>
      <c r="U4899" s="10">
        <v>1303</v>
      </c>
    </row>
    <row r="4900" spans="1:21" x14ac:dyDescent="0.35">
      <c r="A4900" t="s">
        <v>15</v>
      </c>
      <c r="B4900" t="s">
        <v>16</v>
      </c>
      <c r="C4900" t="s">
        <v>17</v>
      </c>
      <c r="D4900">
        <v>254575</v>
      </c>
      <c r="E4900">
        <v>23330</v>
      </c>
      <c r="F4900">
        <v>56387</v>
      </c>
      <c r="G4900">
        <v>-210878</v>
      </c>
      <c r="H4900">
        <v>123414</v>
      </c>
      <c r="I4900">
        <v>114212</v>
      </c>
      <c r="J4900">
        <v>2200</v>
      </c>
      <c r="K4900">
        <v>840014</v>
      </c>
      <c r="L4900">
        <v>273356</v>
      </c>
      <c r="M4900">
        <v>-294695</v>
      </c>
      <c r="N4900">
        <v>213771</v>
      </c>
      <c r="O4900" t="s">
        <v>4918</v>
      </c>
      <c r="P4900" s="9">
        <v>243923</v>
      </c>
      <c r="Q4900" s="9">
        <v>31851</v>
      </c>
      <c r="R4900" s="9">
        <v>275774</v>
      </c>
      <c r="S4900" s="9">
        <v>-88380</v>
      </c>
      <c r="T4900" s="10">
        <v>82643</v>
      </c>
      <c r="U4900" s="10">
        <v>1080</v>
      </c>
    </row>
    <row r="4901" spans="1:21" x14ac:dyDescent="0.35">
      <c r="A4901" t="s">
        <v>15</v>
      </c>
      <c r="B4901" t="s">
        <v>16</v>
      </c>
      <c r="C4901" t="s">
        <v>17</v>
      </c>
      <c r="D4901">
        <v>272329</v>
      </c>
      <c r="E4901">
        <v>31541</v>
      </c>
      <c r="F4901">
        <v>32777</v>
      </c>
      <c r="G4901">
        <v>-246812</v>
      </c>
      <c r="H4901">
        <v>89835</v>
      </c>
      <c r="I4901">
        <v>92554</v>
      </c>
      <c r="J4901">
        <v>2292</v>
      </c>
      <c r="K4901">
        <v>1059749</v>
      </c>
      <c r="L4901">
        <v>200578</v>
      </c>
      <c r="M4901">
        <v>-314239</v>
      </c>
      <c r="N4901">
        <v>178967</v>
      </c>
      <c r="O4901" t="s">
        <v>4919</v>
      </c>
      <c r="P4901" s="9">
        <v>188147</v>
      </c>
      <c r="Q4901" s="9">
        <v>17160</v>
      </c>
      <c r="R4901" s="9">
        <v>205307</v>
      </c>
      <c r="S4901" s="9">
        <v>-71244</v>
      </c>
      <c r="T4901" s="10">
        <v>74369</v>
      </c>
      <c r="U4901" s="10">
        <v>988</v>
      </c>
    </row>
    <row r="4902" spans="1:21" x14ac:dyDescent="0.35">
      <c r="A4902" t="s">
        <v>15</v>
      </c>
      <c r="B4902" t="s">
        <v>20</v>
      </c>
      <c r="C4902" t="s">
        <v>17</v>
      </c>
      <c r="D4902">
        <v>168688</v>
      </c>
      <c r="E4902">
        <v>22521</v>
      </c>
      <c r="F4902">
        <v>18344</v>
      </c>
      <c r="G4902">
        <v>-139482</v>
      </c>
      <c r="H4902">
        <v>70071</v>
      </c>
      <c r="I4902">
        <v>68555</v>
      </c>
      <c r="J4902">
        <v>913</v>
      </c>
      <c r="K4902">
        <v>396832</v>
      </c>
      <c r="L4902">
        <v>62016</v>
      </c>
      <c r="M4902">
        <v>-136664</v>
      </c>
      <c r="N4902">
        <v>69696</v>
      </c>
      <c r="O4902" t="s">
        <v>4920</v>
      </c>
      <c r="P4902" s="9">
        <v>286770</v>
      </c>
      <c r="Q4902" s="9">
        <v>30166</v>
      </c>
      <c r="R4902" s="9">
        <v>316936</v>
      </c>
      <c r="S4902" s="9">
        <v>-164123</v>
      </c>
      <c r="T4902" s="10">
        <v>79792</v>
      </c>
      <c r="U4902" s="10">
        <v>1822</v>
      </c>
    </row>
    <row r="4903" spans="1:21" x14ac:dyDescent="0.35">
      <c r="A4903" t="s">
        <v>15</v>
      </c>
      <c r="B4903" t="s">
        <v>16</v>
      </c>
      <c r="C4903" t="s">
        <v>21</v>
      </c>
      <c r="D4903">
        <v>251217</v>
      </c>
      <c r="E4903">
        <v>22987</v>
      </c>
      <c r="F4903">
        <v>30108</v>
      </c>
      <c r="G4903">
        <v>-223062</v>
      </c>
      <c r="H4903">
        <v>81250</v>
      </c>
      <c r="I4903">
        <v>79847</v>
      </c>
      <c r="J4903">
        <v>1197</v>
      </c>
      <c r="K4903">
        <v>843498</v>
      </c>
      <c r="L4903">
        <v>394465</v>
      </c>
      <c r="M4903">
        <v>-230205</v>
      </c>
      <c r="N4903">
        <v>139668</v>
      </c>
      <c r="O4903" t="s">
        <v>4921</v>
      </c>
      <c r="P4903" s="9">
        <v>213896</v>
      </c>
      <c r="Q4903" s="9">
        <v>28439</v>
      </c>
      <c r="R4903" s="9">
        <v>242335</v>
      </c>
      <c r="S4903" s="9">
        <v>-73412</v>
      </c>
      <c r="T4903" s="10">
        <v>75023</v>
      </c>
      <c r="U4903" s="10">
        <v>826</v>
      </c>
    </row>
    <row r="4904" spans="1:21" x14ac:dyDescent="0.35">
      <c r="A4904" t="s">
        <v>15</v>
      </c>
      <c r="B4904" t="s">
        <v>16</v>
      </c>
      <c r="C4904" t="s">
        <v>21</v>
      </c>
      <c r="D4904">
        <v>249882</v>
      </c>
      <c r="E4904">
        <v>45447</v>
      </c>
      <c r="F4904">
        <v>58223</v>
      </c>
      <c r="G4904">
        <v>-224769</v>
      </c>
      <c r="H4904">
        <v>128783</v>
      </c>
      <c r="I4904">
        <v>120170</v>
      </c>
      <c r="J4904">
        <v>3469</v>
      </c>
      <c r="K4904">
        <v>553910</v>
      </c>
      <c r="L4904">
        <v>246165</v>
      </c>
      <c r="M4904">
        <v>-105860</v>
      </c>
      <c r="N4904">
        <v>88340</v>
      </c>
      <c r="O4904" t="s">
        <v>4922</v>
      </c>
      <c r="P4904" s="9">
        <v>239002</v>
      </c>
      <c r="Q4904" s="9">
        <v>35337</v>
      </c>
      <c r="R4904" s="9">
        <v>274339</v>
      </c>
      <c r="S4904" s="9">
        <v>-155504</v>
      </c>
      <c r="T4904" s="10">
        <v>97431</v>
      </c>
      <c r="U4904" s="10">
        <v>2676</v>
      </c>
    </row>
    <row r="4905" spans="1:21" x14ac:dyDescent="0.35">
      <c r="A4905" t="s">
        <v>15</v>
      </c>
      <c r="B4905" t="s">
        <v>16</v>
      </c>
      <c r="C4905" t="s">
        <v>21</v>
      </c>
      <c r="D4905">
        <v>221504</v>
      </c>
      <c r="E4905">
        <v>40786</v>
      </c>
      <c r="F4905">
        <v>31344</v>
      </c>
      <c r="G4905">
        <v>-191985</v>
      </c>
      <c r="H4905">
        <v>101649</v>
      </c>
      <c r="I4905">
        <v>102061</v>
      </c>
      <c r="J4905">
        <v>1229</v>
      </c>
      <c r="K4905">
        <v>726908</v>
      </c>
      <c r="L4905">
        <v>137357</v>
      </c>
      <c r="M4905">
        <v>-232706</v>
      </c>
      <c r="N4905">
        <v>157486</v>
      </c>
      <c r="O4905" t="s">
        <v>4923</v>
      </c>
      <c r="P4905" s="9">
        <v>263320</v>
      </c>
      <c r="Q4905" s="9">
        <v>51012</v>
      </c>
      <c r="R4905" s="9">
        <v>314332</v>
      </c>
      <c r="S4905" s="9">
        <v>-75856</v>
      </c>
      <c r="T4905" s="10">
        <v>139114</v>
      </c>
      <c r="U4905" s="10">
        <v>1821</v>
      </c>
    </row>
    <row r="4906" spans="1:21" x14ac:dyDescent="0.35">
      <c r="A4906" t="s">
        <v>15</v>
      </c>
      <c r="B4906" t="s">
        <v>20</v>
      </c>
      <c r="C4906" t="s">
        <v>21</v>
      </c>
      <c r="D4906">
        <v>161819</v>
      </c>
      <c r="E4906">
        <v>29655</v>
      </c>
      <c r="F4906">
        <v>18424</v>
      </c>
      <c r="G4906">
        <v>-158937</v>
      </c>
      <c r="H4906">
        <v>50961</v>
      </c>
      <c r="I4906">
        <v>48048</v>
      </c>
      <c r="J4906">
        <v>666</v>
      </c>
      <c r="K4906">
        <v>640829</v>
      </c>
      <c r="L4906">
        <v>214172</v>
      </c>
      <c r="M4906">
        <v>-175491</v>
      </c>
      <c r="N4906">
        <v>120953</v>
      </c>
      <c r="O4906" t="s">
        <v>4924</v>
      </c>
      <c r="P4906" s="9">
        <v>217369</v>
      </c>
      <c r="Q4906" s="9">
        <v>18253</v>
      </c>
      <c r="R4906" s="9">
        <v>235622</v>
      </c>
      <c r="S4906" s="9">
        <v>-105944</v>
      </c>
      <c r="T4906" s="10">
        <v>107644</v>
      </c>
      <c r="U4906" s="10">
        <v>1948</v>
      </c>
    </row>
    <row r="4907" spans="1:21" x14ac:dyDescent="0.35">
      <c r="A4907" t="s">
        <v>15</v>
      </c>
      <c r="B4907" t="s">
        <v>16</v>
      </c>
      <c r="C4907" t="s">
        <v>21</v>
      </c>
      <c r="D4907">
        <v>224352</v>
      </c>
      <c r="E4907">
        <v>19916</v>
      </c>
      <c r="F4907">
        <v>50769</v>
      </c>
      <c r="G4907">
        <v>-219846</v>
      </c>
      <c r="H4907">
        <v>75191</v>
      </c>
      <c r="I4907">
        <v>77972</v>
      </c>
      <c r="J4907">
        <v>1194</v>
      </c>
      <c r="K4907">
        <v>840016</v>
      </c>
      <c r="L4907">
        <v>252237</v>
      </c>
      <c r="M4907">
        <v>-126755</v>
      </c>
      <c r="N4907">
        <v>96764</v>
      </c>
      <c r="O4907" t="s">
        <v>4925</v>
      </c>
      <c r="P4907" s="9">
        <v>283272</v>
      </c>
      <c r="Q4907" s="9">
        <v>36283</v>
      </c>
      <c r="R4907" s="9">
        <v>319555</v>
      </c>
      <c r="S4907" s="9">
        <v>-141620</v>
      </c>
      <c r="T4907" s="10">
        <v>133873</v>
      </c>
      <c r="U4907" s="10">
        <v>2178</v>
      </c>
    </row>
    <row r="4908" spans="1:21" x14ac:dyDescent="0.35">
      <c r="A4908" t="s">
        <v>15</v>
      </c>
      <c r="B4908" t="s">
        <v>16</v>
      </c>
      <c r="C4908" t="s">
        <v>21</v>
      </c>
      <c r="D4908">
        <v>202604</v>
      </c>
      <c r="E4908">
        <v>26023</v>
      </c>
      <c r="F4908">
        <v>38204</v>
      </c>
      <c r="G4908">
        <v>-182054</v>
      </c>
      <c r="H4908">
        <v>84777</v>
      </c>
      <c r="I4908">
        <v>76474</v>
      </c>
      <c r="J4908">
        <v>985</v>
      </c>
      <c r="K4908">
        <v>731678</v>
      </c>
      <c r="L4908">
        <v>237717</v>
      </c>
      <c r="M4908">
        <v>-128440</v>
      </c>
      <c r="N4908">
        <v>142237</v>
      </c>
      <c r="O4908" t="s">
        <v>4926</v>
      </c>
      <c r="P4908" s="9">
        <v>263278</v>
      </c>
      <c r="Q4908" s="9">
        <v>44494</v>
      </c>
      <c r="R4908" s="9">
        <v>307772</v>
      </c>
      <c r="S4908" s="9">
        <v>-82410</v>
      </c>
      <c r="T4908" s="10">
        <v>125404</v>
      </c>
      <c r="U4908" s="10">
        <v>2765</v>
      </c>
    </row>
    <row r="4909" spans="1:21" x14ac:dyDescent="0.35">
      <c r="A4909" t="s">
        <v>15</v>
      </c>
      <c r="B4909" t="s">
        <v>20</v>
      </c>
      <c r="C4909" t="s">
        <v>21</v>
      </c>
      <c r="D4909">
        <v>299009</v>
      </c>
      <c r="E4909">
        <v>56462</v>
      </c>
      <c r="F4909">
        <v>62734</v>
      </c>
      <c r="G4909">
        <v>-243999</v>
      </c>
      <c r="H4909">
        <v>174206</v>
      </c>
      <c r="I4909">
        <v>167246</v>
      </c>
      <c r="J4909">
        <v>1999</v>
      </c>
      <c r="K4909">
        <v>892344</v>
      </c>
      <c r="L4909">
        <v>349491</v>
      </c>
      <c r="M4909">
        <v>-247159</v>
      </c>
      <c r="N4909">
        <v>120897</v>
      </c>
      <c r="O4909" t="s">
        <v>4927</v>
      </c>
      <c r="P4909" s="9">
        <v>325713</v>
      </c>
      <c r="Q4909" s="9">
        <v>35140</v>
      </c>
      <c r="R4909" s="9">
        <v>360853</v>
      </c>
      <c r="S4909" s="9">
        <v>-151830</v>
      </c>
      <c r="T4909" s="10">
        <v>87667</v>
      </c>
      <c r="U4909" s="10">
        <v>1120</v>
      </c>
    </row>
    <row r="4910" spans="1:21" x14ac:dyDescent="0.35">
      <c r="A4910" t="s">
        <v>15</v>
      </c>
      <c r="B4910" t="s">
        <v>16</v>
      </c>
      <c r="C4910" t="s">
        <v>21</v>
      </c>
      <c r="D4910">
        <v>249920</v>
      </c>
      <c r="E4910">
        <v>48951</v>
      </c>
      <c r="F4910">
        <v>57305</v>
      </c>
      <c r="G4910">
        <v>-241141</v>
      </c>
      <c r="H4910">
        <v>115035</v>
      </c>
      <c r="I4910">
        <v>112949</v>
      </c>
      <c r="J4910">
        <v>2886</v>
      </c>
      <c r="K4910">
        <v>515537</v>
      </c>
      <c r="L4910">
        <v>208680</v>
      </c>
      <c r="M4910">
        <v>-182398</v>
      </c>
      <c r="N4910">
        <v>224717</v>
      </c>
      <c r="O4910" t="s">
        <v>4928</v>
      </c>
      <c r="P4910" s="9">
        <v>212589</v>
      </c>
      <c r="Q4910" s="9">
        <v>23613</v>
      </c>
      <c r="R4910" s="9">
        <v>236202</v>
      </c>
      <c r="S4910" s="9">
        <v>-48810</v>
      </c>
      <c r="T4910" s="10">
        <v>83414</v>
      </c>
      <c r="U4910" s="10">
        <v>2283</v>
      </c>
    </row>
    <row r="4911" spans="1:21" x14ac:dyDescent="0.35">
      <c r="A4911" t="s">
        <v>15</v>
      </c>
      <c r="B4911" t="s">
        <v>20</v>
      </c>
      <c r="C4911" t="s">
        <v>17</v>
      </c>
      <c r="D4911">
        <v>158833</v>
      </c>
      <c r="E4911">
        <v>17502</v>
      </c>
      <c r="F4911">
        <v>37773</v>
      </c>
      <c r="G4911">
        <v>-150958</v>
      </c>
      <c r="H4911">
        <v>63150</v>
      </c>
      <c r="I4911">
        <v>62918</v>
      </c>
      <c r="J4911">
        <v>989</v>
      </c>
      <c r="K4911">
        <v>336757</v>
      </c>
      <c r="L4911">
        <v>163090</v>
      </c>
      <c r="M4911">
        <v>-118511</v>
      </c>
      <c r="N4911">
        <v>137682</v>
      </c>
      <c r="O4911" t="s">
        <v>4929</v>
      </c>
      <c r="P4911" s="9">
        <v>205689</v>
      </c>
      <c r="Q4911" s="9">
        <v>34174</v>
      </c>
      <c r="R4911" s="9">
        <v>239863</v>
      </c>
      <c r="S4911" s="9">
        <v>-57348</v>
      </c>
      <c r="T4911" s="10">
        <v>87792</v>
      </c>
      <c r="U4911" s="10">
        <v>1744</v>
      </c>
    </row>
    <row r="4912" spans="1:21" x14ac:dyDescent="0.35">
      <c r="A4912" t="s">
        <v>15</v>
      </c>
      <c r="B4912" t="s">
        <v>20</v>
      </c>
      <c r="C4912" t="s">
        <v>17</v>
      </c>
      <c r="D4912">
        <v>277387</v>
      </c>
      <c r="E4912">
        <v>15286</v>
      </c>
      <c r="F4912">
        <v>41978</v>
      </c>
      <c r="G4912">
        <v>-263041</v>
      </c>
      <c r="H4912">
        <v>71610</v>
      </c>
      <c r="I4912">
        <v>69811</v>
      </c>
      <c r="J4912">
        <v>1653</v>
      </c>
      <c r="K4912">
        <v>719680</v>
      </c>
      <c r="L4912">
        <v>210981</v>
      </c>
      <c r="M4912">
        <v>-213758</v>
      </c>
      <c r="N4912">
        <v>92871</v>
      </c>
      <c r="O4912" t="s">
        <v>4930</v>
      </c>
      <c r="P4912" s="9">
        <v>202403</v>
      </c>
      <c r="Q4912" s="9">
        <v>30363</v>
      </c>
      <c r="R4912" s="9">
        <v>232766</v>
      </c>
      <c r="S4912" s="9">
        <v>-113152</v>
      </c>
      <c r="T4912" s="10">
        <v>85662</v>
      </c>
      <c r="U4912" s="10">
        <v>1281</v>
      </c>
    </row>
    <row r="4913" spans="1:21" x14ac:dyDescent="0.35">
      <c r="A4913" t="s">
        <v>15</v>
      </c>
      <c r="B4913" t="s">
        <v>16</v>
      </c>
      <c r="C4913" t="s">
        <v>21</v>
      </c>
      <c r="D4913">
        <v>241678</v>
      </c>
      <c r="E4913">
        <v>40603</v>
      </c>
      <c r="F4913">
        <v>26299</v>
      </c>
      <c r="G4913">
        <v>-226659</v>
      </c>
      <c r="H4913">
        <v>81921</v>
      </c>
      <c r="I4913">
        <v>74761</v>
      </c>
      <c r="J4913">
        <v>1941</v>
      </c>
      <c r="K4913">
        <v>673501</v>
      </c>
      <c r="L4913">
        <v>224864</v>
      </c>
      <c r="M4913">
        <v>-191660</v>
      </c>
      <c r="N4913">
        <v>119516</v>
      </c>
      <c r="O4913" t="s">
        <v>4931</v>
      </c>
      <c r="P4913" s="9">
        <v>218751</v>
      </c>
      <c r="Q4913" s="9">
        <v>36443</v>
      </c>
      <c r="R4913" s="9">
        <v>255194</v>
      </c>
      <c r="S4913" s="9">
        <v>-93485</v>
      </c>
      <c r="T4913" s="10">
        <v>97878</v>
      </c>
      <c r="U4913" s="10">
        <v>1381</v>
      </c>
    </row>
    <row r="4914" spans="1:21" x14ac:dyDescent="0.35">
      <c r="A4914" t="s">
        <v>15</v>
      </c>
      <c r="B4914" t="s">
        <v>16</v>
      </c>
      <c r="C4914" t="s">
        <v>21</v>
      </c>
      <c r="D4914">
        <v>174632</v>
      </c>
      <c r="E4914">
        <v>27279</v>
      </c>
      <c r="F4914">
        <v>20202</v>
      </c>
      <c r="G4914">
        <v>-156034</v>
      </c>
      <c r="H4914">
        <v>66079</v>
      </c>
      <c r="I4914">
        <v>63675</v>
      </c>
      <c r="J4914">
        <v>888</v>
      </c>
      <c r="K4914">
        <v>670354</v>
      </c>
      <c r="L4914">
        <v>324211</v>
      </c>
      <c r="M4914">
        <v>-215632</v>
      </c>
      <c r="N4914">
        <v>144908</v>
      </c>
      <c r="O4914" t="s">
        <v>4932</v>
      </c>
      <c r="P4914" s="9">
        <v>144061</v>
      </c>
      <c r="Q4914" s="9">
        <v>13435</v>
      </c>
      <c r="R4914" s="9">
        <v>157496</v>
      </c>
      <c r="S4914" s="9">
        <v>-42079</v>
      </c>
      <c r="T4914" s="10">
        <v>44700</v>
      </c>
      <c r="U4914" s="10">
        <v>1046</v>
      </c>
    </row>
    <row r="4915" spans="1:21" x14ac:dyDescent="0.35">
      <c r="A4915" t="s">
        <v>15</v>
      </c>
      <c r="B4915" t="s">
        <v>16</v>
      </c>
      <c r="C4915" t="s">
        <v>17</v>
      </c>
      <c r="D4915">
        <v>158986</v>
      </c>
      <c r="E4915">
        <v>21395</v>
      </c>
      <c r="F4915">
        <v>29089</v>
      </c>
      <c r="G4915">
        <v>-133762</v>
      </c>
      <c r="H4915">
        <v>75708</v>
      </c>
      <c r="I4915">
        <v>76408</v>
      </c>
      <c r="J4915">
        <v>1576</v>
      </c>
      <c r="K4915">
        <v>376711</v>
      </c>
      <c r="L4915">
        <v>144427</v>
      </c>
      <c r="M4915">
        <v>-130890</v>
      </c>
      <c r="N4915">
        <v>131410</v>
      </c>
      <c r="O4915" t="s">
        <v>4933</v>
      </c>
      <c r="P4915" s="9">
        <v>236304</v>
      </c>
      <c r="Q4915" s="9">
        <v>25288</v>
      </c>
      <c r="R4915" s="9">
        <v>261592</v>
      </c>
      <c r="S4915" s="9">
        <v>-66511</v>
      </c>
      <c r="T4915" s="10">
        <v>123357</v>
      </c>
      <c r="U4915" s="10">
        <v>1857</v>
      </c>
    </row>
    <row r="4916" spans="1:21" x14ac:dyDescent="0.35">
      <c r="A4916" t="s">
        <v>15</v>
      </c>
      <c r="B4916" t="s">
        <v>16</v>
      </c>
      <c r="C4916" t="s">
        <v>21</v>
      </c>
      <c r="D4916">
        <v>174732</v>
      </c>
      <c r="E4916">
        <v>31305</v>
      </c>
      <c r="F4916">
        <v>42565</v>
      </c>
      <c r="G4916">
        <v>-148719</v>
      </c>
      <c r="H4916">
        <v>99883</v>
      </c>
      <c r="I4916">
        <v>98784</v>
      </c>
      <c r="J4916">
        <v>1944</v>
      </c>
      <c r="K4916">
        <v>583541</v>
      </c>
      <c r="L4916">
        <v>222556</v>
      </c>
      <c r="M4916">
        <v>-102719</v>
      </c>
      <c r="N4916">
        <v>142786</v>
      </c>
      <c r="O4916" t="s">
        <v>4934</v>
      </c>
      <c r="P4916" s="9">
        <v>245331</v>
      </c>
      <c r="Q4916" s="9">
        <v>45550</v>
      </c>
      <c r="R4916" s="9">
        <v>290881</v>
      </c>
      <c r="S4916" s="9">
        <v>-105980</v>
      </c>
      <c r="T4916" s="10">
        <v>107703</v>
      </c>
      <c r="U4916" s="10">
        <v>1592</v>
      </c>
    </row>
    <row r="4917" spans="1:21" x14ac:dyDescent="0.35">
      <c r="A4917" t="s">
        <v>15</v>
      </c>
      <c r="B4917" t="s">
        <v>20</v>
      </c>
      <c r="C4917" t="s">
        <v>21</v>
      </c>
      <c r="D4917">
        <v>299997</v>
      </c>
      <c r="E4917">
        <v>23656</v>
      </c>
      <c r="F4917">
        <v>38367</v>
      </c>
      <c r="G4917">
        <v>-295069</v>
      </c>
      <c r="H4917">
        <v>66951</v>
      </c>
      <c r="I4917">
        <v>68946</v>
      </c>
      <c r="J4917">
        <v>2021</v>
      </c>
      <c r="K4917">
        <v>1159246</v>
      </c>
      <c r="L4917">
        <v>250554</v>
      </c>
      <c r="M4917">
        <v>-286677</v>
      </c>
      <c r="N4917">
        <v>150840</v>
      </c>
      <c r="O4917" t="s">
        <v>4935</v>
      </c>
      <c r="P4917" s="9">
        <v>237694</v>
      </c>
      <c r="Q4917" s="9">
        <v>31827</v>
      </c>
      <c r="R4917" s="9">
        <v>269521</v>
      </c>
      <c r="S4917" s="9">
        <v>-109517</v>
      </c>
      <c r="T4917" s="10">
        <v>81227</v>
      </c>
      <c r="U4917" s="10">
        <v>1044</v>
      </c>
    </row>
    <row r="4918" spans="1:21" x14ac:dyDescent="0.35">
      <c r="A4918" t="s">
        <v>15</v>
      </c>
      <c r="B4918" t="s">
        <v>16</v>
      </c>
      <c r="C4918" t="s">
        <v>21</v>
      </c>
      <c r="D4918">
        <v>212813</v>
      </c>
      <c r="E4918">
        <v>27789</v>
      </c>
      <c r="F4918">
        <v>40957</v>
      </c>
      <c r="G4918">
        <v>-190150</v>
      </c>
      <c r="H4918">
        <v>91409</v>
      </c>
      <c r="I4918">
        <v>90702</v>
      </c>
      <c r="J4918">
        <v>1818</v>
      </c>
      <c r="K4918">
        <v>624431</v>
      </c>
      <c r="L4918">
        <v>195093</v>
      </c>
      <c r="M4918">
        <v>-74177</v>
      </c>
      <c r="N4918">
        <v>94527</v>
      </c>
      <c r="O4918" t="s">
        <v>4936</v>
      </c>
      <c r="P4918" s="9">
        <v>262259</v>
      </c>
      <c r="Q4918" s="9">
        <v>51332</v>
      </c>
      <c r="R4918" s="9">
        <v>313591</v>
      </c>
      <c r="S4918" s="9">
        <v>-155974</v>
      </c>
      <c r="T4918" s="10">
        <v>116409</v>
      </c>
      <c r="U4918" s="10">
        <v>3349</v>
      </c>
    </row>
    <row r="4919" spans="1:21" x14ac:dyDescent="0.35">
      <c r="A4919" t="s">
        <v>15</v>
      </c>
      <c r="B4919" t="s">
        <v>16</v>
      </c>
      <c r="C4919" t="s">
        <v>21</v>
      </c>
      <c r="D4919">
        <v>156415</v>
      </c>
      <c r="E4919">
        <v>19710</v>
      </c>
      <c r="F4919">
        <v>16119</v>
      </c>
      <c r="G4919">
        <v>-134312</v>
      </c>
      <c r="H4919">
        <v>57932</v>
      </c>
      <c r="I4919">
        <v>58340</v>
      </c>
      <c r="J4919">
        <v>1486</v>
      </c>
      <c r="K4919">
        <v>532908</v>
      </c>
      <c r="L4919">
        <v>120835</v>
      </c>
      <c r="M4919">
        <v>-107819</v>
      </c>
      <c r="N4919">
        <v>106332</v>
      </c>
      <c r="O4919" t="s">
        <v>4937</v>
      </c>
      <c r="P4919" s="9">
        <v>307450</v>
      </c>
      <c r="Q4919" s="9">
        <v>51690</v>
      </c>
      <c r="R4919" s="9">
        <v>359140</v>
      </c>
      <c r="S4919" s="9">
        <v>-137464</v>
      </c>
      <c r="T4919" s="10">
        <v>131911</v>
      </c>
      <c r="U4919" s="10">
        <v>3903</v>
      </c>
    </row>
    <row r="4920" spans="1:21" x14ac:dyDescent="0.35">
      <c r="A4920" t="s">
        <v>15</v>
      </c>
      <c r="B4920" t="s">
        <v>16</v>
      </c>
      <c r="C4920" t="s">
        <v>21</v>
      </c>
      <c r="D4920">
        <v>217721</v>
      </c>
      <c r="E4920">
        <v>14602</v>
      </c>
      <c r="F4920">
        <v>26024</v>
      </c>
      <c r="G4920">
        <v>-182587</v>
      </c>
      <c r="H4920">
        <v>75760</v>
      </c>
      <c r="I4920">
        <v>68648</v>
      </c>
      <c r="J4920">
        <v>811</v>
      </c>
      <c r="K4920">
        <v>720016</v>
      </c>
      <c r="L4920">
        <v>322613</v>
      </c>
      <c r="M4920">
        <v>-80858</v>
      </c>
      <c r="N4920">
        <v>86201</v>
      </c>
      <c r="O4920" t="s">
        <v>4938</v>
      </c>
      <c r="P4920" s="9">
        <v>244430</v>
      </c>
      <c r="Q4920" s="9">
        <v>34890</v>
      </c>
      <c r="R4920" s="9">
        <v>279320</v>
      </c>
      <c r="S4920" s="9">
        <v>-135842</v>
      </c>
      <c r="T4920" s="10">
        <v>107229</v>
      </c>
      <c r="U4920" s="10">
        <v>2090</v>
      </c>
    </row>
    <row r="4921" spans="1:21" x14ac:dyDescent="0.35">
      <c r="A4921" t="s">
        <v>15</v>
      </c>
      <c r="B4921" t="s">
        <v>16</v>
      </c>
      <c r="C4921" t="s">
        <v>21</v>
      </c>
      <c r="D4921">
        <v>226796</v>
      </c>
      <c r="E4921">
        <v>16301</v>
      </c>
      <c r="F4921">
        <v>35961</v>
      </c>
      <c r="G4921">
        <v>-195451</v>
      </c>
      <c r="H4921">
        <v>83607</v>
      </c>
      <c r="I4921">
        <v>81884</v>
      </c>
      <c r="J4921">
        <v>2419</v>
      </c>
      <c r="K4921">
        <v>613697</v>
      </c>
      <c r="L4921">
        <v>289361</v>
      </c>
      <c r="M4921">
        <v>-66066</v>
      </c>
      <c r="N4921">
        <v>196112</v>
      </c>
      <c r="O4921" t="s">
        <v>4939</v>
      </c>
      <c r="P4921" s="9">
        <v>289998</v>
      </c>
      <c r="Q4921" s="9">
        <v>31723</v>
      </c>
      <c r="R4921" s="9">
        <v>321721</v>
      </c>
      <c r="S4921" s="9">
        <v>-108039</v>
      </c>
      <c r="T4921" s="10">
        <v>74335</v>
      </c>
      <c r="U4921" s="10">
        <v>1775</v>
      </c>
    </row>
    <row r="4922" spans="1:21" x14ac:dyDescent="0.35">
      <c r="A4922" t="s">
        <v>15</v>
      </c>
      <c r="B4922" t="s">
        <v>16</v>
      </c>
      <c r="C4922" t="s">
        <v>17</v>
      </c>
      <c r="D4922">
        <v>150170</v>
      </c>
      <c r="E4922">
        <v>9975</v>
      </c>
      <c r="F4922">
        <v>24489</v>
      </c>
      <c r="G4922">
        <v>-134154</v>
      </c>
      <c r="H4922">
        <v>50480</v>
      </c>
      <c r="I4922">
        <v>45785</v>
      </c>
      <c r="J4922">
        <v>1372</v>
      </c>
      <c r="K4922">
        <v>576942</v>
      </c>
      <c r="L4922">
        <v>181153</v>
      </c>
      <c r="M4922">
        <v>-227841</v>
      </c>
      <c r="N4922">
        <v>97198</v>
      </c>
      <c r="O4922" t="s">
        <v>4940</v>
      </c>
      <c r="P4922" s="9">
        <v>193215</v>
      </c>
      <c r="Q4922" s="9">
        <v>10503</v>
      </c>
      <c r="R4922" s="9">
        <v>203718</v>
      </c>
      <c r="S4922" s="9">
        <v>-78882</v>
      </c>
      <c r="T4922" s="10">
        <v>43171</v>
      </c>
      <c r="U4922" s="10">
        <v>970</v>
      </c>
    </row>
    <row r="4923" spans="1:21" x14ac:dyDescent="0.35">
      <c r="A4923" t="s">
        <v>15</v>
      </c>
      <c r="B4923" t="s">
        <v>20</v>
      </c>
      <c r="C4923" t="s">
        <v>21</v>
      </c>
      <c r="D4923">
        <v>214977</v>
      </c>
      <c r="E4923">
        <v>30394</v>
      </c>
      <c r="F4923">
        <v>44705</v>
      </c>
      <c r="G4923">
        <v>-213784</v>
      </c>
      <c r="H4923">
        <v>76292</v>
      </c>
      <c r="I4923">
        <v>70025</v>
      </c>
      <c r="J4923">
        <v>812</v>
      </c>
      <c r="K4923">
        <v>648935</v>
      </c>
      <c r="L4923">
        <v>130984</v>
      </c>
      <c r="M4923">
        <v>-215780</v>
      </c>
      <c r="N4923">
        <v>96437</v>
      </c>
      <c r="O4923" t="s">
        <v>4941</v>
      </c>
      <c r="P4923" s="9">
        <v>251727</v>
      </c>
      <c r="Q4923" s="9">
        <v>34997</v>
      </c>
      <c r="R4923" s="9">
        <v>286724</v>
      </c>
      <c r="S4923" s="9">
        <v>-85464</v>
      </c>
      <c r="T4923" s="10">
        <v>100768</v>
      </c>
      <c r="U4923" s="10">
        <v>1016</v>
      </c>
    </row>
    <row r="4924" spans="1:21" x14ac:dyDescent="0.35">
      <c r="A4924" t="s">
        <v>15</v>
      </c>
      <c r="B4924" t="s">
        <v>16</v>
      </c>
      <c r="C4924" t="s">
        <v>21</v>
      </c>
      <c r="D4924">
        <v>154547</v>
      </c>
      <c r="E4924">
        <v>15823</v>
      </c>
      <c r="F4924">
        <v>29023</v>
      </c>
      <c r="G4924">
        <v>-142574</v>
      </c>
      <c r="H4924">
        <v>56819</v>
      </c>
      <c r="I4924">
        <v>58539</v>
      </c>
      <c r="J4924">
        <v>792</v>
      </c>
      <c r="K4924">
        <v>344069</v>
      </c>
      <c r="L4924">
        <v>171678</v>
      </c>
      <c r="M4924">
        <v>-135528</v>
      </c>
      <c r="N4924">
        <v>62428</v>
      </c>
      <c r="O4924" t="s">
        <v>4942</v>
      </c>
      <c r="P4924" s="9">
        <v>170978</v>
      </c>
      <c r="Q4924" s="9">
        <v>18049</v>
      </c>
      <c r="R4924" s="9">
        <v>189027</v>
      </c>
      <c r="S4924" s="9">
        <v>-98505</v>
      </c>
      <c r="T4924" s="10">
        <v>81125</v>
      </c>
      <c r="U4924" s="10">
        <v>2157</v>
      </c>
    </row>
    <row r="4925" spans="1:21" x14ac:dyDescent="0.35">
      <c r="A4925" t="s">
        <v>15</v>
      </c>
      <c r="B4925" t="s">
        <v>20</v>
      </c>
      <c r="C4925" t="s">
        <v>21</v>
      </c>
      <c r="D4925">
        <v>237186</v>
      </c>
      <c r="E4925">
        <v>22676</v>
      </c>
      <c r="F4925">
        <v>36198</v>
      </c>
      <c r="G4925">
        <v>-230254</v>
      </c>
      <c r="H4925">
        <v>65806</v>
      </c>
      <c r="I4925">
        <v>66439</v>
      </c>
      <c r="J4925">
        <v>1348</v>
      </c>
      <c r="K4925">
        <v>848820</v>
      </c>
      <c r="L4925">
        <v>202446</v>
      </c>
      <c r="M4925">
        <v>-208951</v>
      </c>
      <c r="N4925">
        <v>174997</v>
      </c>
      <c r="O4925" t="s">
        <v>4943</v>
      </c>
      <c r="P4925" s="9">
        <v>309950</v>
      </c>
      <c r="Q4925" s="9">
        <v>31590</v>
      </c>
      <c r="R4925" s="9">
        <v>341540</v>
      </c>
      <c r="S4925" s="9">
        <v>-140653</v>
      </c>
      <c r="T4925" s="10">
        <v>142609</v>
      </c>
      <c r="U4925" s="10">
        <v>2313</v>
      </c>
    </row>
    <row r="4926" spans="1:21" x14ac:dyDescent="0.35">
      <c r="A4926" t="s">
        <v>15</v>
      </c>
      <c r="B4926" t="s">
        <v>16</v>
      </c>
      <c r="C4926" t="s">
        <v>21</v>
      </c>
      <c r="D4926">
        <v>284658</v>
      </c>
      <c r="E4926">
        <v>38426</v>
      </c>
      <c r="F4926">
        <v>58272</v>
      </c>
      <c r="G4926">
        <v>-276113</v>
      </c>
      <c r="H4926">
        <v>105243</v>
      </c>
      <c r="I4926">
        <v>101976</v>
      </c>
      <c r="J4926">
        <v>2353</v>
      </c>
      <c r="K4926">
        <v>951696</v>
      </c>
      <c r="L4926">
        <v>298965</v>
      </c>
      <c r="M4926">
        <v>-154163</v>
      </c>
      <c r="N4926">
        <v>114112</v>
      </c>
      <c r="O4926" t="s">
        <v>4944</v>
      </c>
      <c r="P4926" s="9">
        <v>274038</v>
      </c>
      <c r="Q4926" s="9">
        <v>41352</v>
      </c>
      <c r="R4926" s="9">
        <v>315390</v>
      </c>
      <c r="S4926" s="9">
        <v>-140840</v>
      </c>
      <c r="T4926" s="10">
        <v>129528</v>
      </c>
      <c r="U4926" s="10">
        <v>2144</v>
      </c>
    </row>
    <row r="4927" spans="1:21" x14ac:dyDescent="0.35">
      <c r="A4927" t="s">
        <v>15</v>
      </c>
      <c r="B4927" t="s">
        <v>16</v>
      </c>
      <c r="C4927" t="s">
        <v>17</v>
      </c>
      <c r="D4927">
        <v>252308</v>
      </c>
      <c r="E4927">
        <v>42954</v>
      </c>
      <c r="F4927">
        <v>27816</v>
      </c>
      <c r="G4927">
        <v>-232262</v>
      </c>
      <c r="H4927">
        <v>90816</v>
      </c>
      <c r="I4927">
        <v>88780</v>
      </c>
      <c r="J4927">
        <v>2643</v>
      </c>
      <c r="K4927">
        <v>688633</v>
      </c>
      <c r="L4927">
        <v>254026</v>
      </c>
      <c r="M4927">
        <v>-215367</v>
      </c>
      <c r="N4927">
        <v>132543</v>
      </c>
      <c r="O4927" t="s">
        <v>4945</v>
      </c>
      <c r="P4927" s="9">
        <v>320793</v>
      </c>
      <c r="Q4927" s="9">
        <v>41828</v>
      </c>
      <c r="R4927" s="9">
        <v>362621</v>
      </c>
      <c r="S4927" s="9">
        <v>-201447</v>
      </c>
      <c r="T4927" s="10">
        <v>139638</v>
      </c>
      <c r="U4927" s="10">
        <v>3512</v>
      </c>
    </row>
    <row r="4928" spans="1:21" x14ac:dyDescent="0.35">
      <c r="A4928" t="s">
        <v>15</v>
      </c>
      <c r="B4928" t="s">
        <v>20</v>
      </c>
      <c r="C4928" t="s">
        <v>21</v>
      </c>
      <c r="D4928">
        <v>254449</v>
      </c>
      <c r="E4928">
        <v>41667</v>
      </c>
      <c r="F4928">
        <v>25538</v>
      </c>
      <c r="G4928">
        <v>-245683</v>
      </c>
      <c r="H4928">
        <v>75971</v>
      </c>
      <c r="I4928">
        <v>72258</v>
      </c>
      <c r="J4928">
        <v>1339</v>
      </c>
      <c r="K4928">
        <v>708946</v>
      </c>
      <c r="L4928">
        <v>315714</v>
      </c>
      <c r="M4928">
        <v>-195577</v>
      </c>
      <c r="N4928">
        <v>143469</v>
      </c>
      <c r="O4928" t="s">
        <v>4946</v>
      </c>
      <c r="P4928" s="9">
        <v>234136</v>
      </c>
      <c r="Q4928" s="9">
        <v>41987</v>
      </c>
      <c r="R4928" s="9">
        <v>276123</v>
      </c>
      <c r="S4928" s="9">
        <v>-62052</v>
      </c>
      <c r="T4928" s="10">
        <v>124560</v>
      </c>
      <c r="U4928" s="10">
        <v>2514</v>
      </c>
    </row>
    <row r="4929" spans="1:21" x14ac:dyDescent="0.35">
      <c r="A4929" t="s">
        <v>15</v>
      </c>
      <c r="B4929" t="s">
        <v>20</v>
      </c>
      <c r="C4929" t="s">
        <v>17</v>
      </c>
      <c r="D4929">
        <v>167726</v>
      </c>
      <c r="E4929">
        <v>24983</v>
      </c>
      <c r="F4929">
        <v>23891</v>
      </c>
      <c r="G4929">
        <v>-151015</v>
      </c>
      <c r="H4929">
        <v>65585</v>
      </c>
      <c r="I4929">
        <v>68809</v>
      </c>
      <c r="J4929">
        <v>1368</v>
      </c>
      <c r="K4929">
        <v>620705</v>
      </c>
      <c r="L4929">
        <v>188517</v>
      </c>
      <c r="M4929">
        <v>-165496</v>
      </c>
      <c r="N4929">
        <v>78440</v>
      </c>
      <c r="O4929" t="s">
        <v>4947</v>
      </c>
      <c r="P4929" s="9">
        <v>154524</v>
      </c>
      <c r="Q4929" s="9">
        <v>28574</v>
      </c>
      <c r="R4929" s="9">
        <v>183098</v>
      </c>
      <c r="S4929" s="9">
        <v>-74687</v>
      </c>
      <c r="T4929" s="10">
        <v>72008</v>
      </c>
      <c r="U4929" s="10">
        <v>1728</v>
      </c>
    </row>
    <row r="4930" spans="1:21" x14ac:dyDescent="0.35">
      <c r="A4930" t="s">
        <v>15</v>
      </c>
      <c r="B4930" t="s">
        <v>16</v>
      </c>
      <c r="C4930" t="s">
        <v>17</v>
      </c>
      <c r="D4930">
        <v>233742</v>
      </c>
      <c r="E4930">
        <v>40887</v>
      </c>
      <c r="F4930">
        <v>42010</v>
      </c>
      <c r="G4930">
        <v>-193302</v>
      </c>
      <c r="H4930">
        <v>123337</v>
      </c>
      <c r="I4930">
        <v>112526</v>
      </c>
      <c r="J4930">
        <v>1743</v>
      </c>
      <c r="K4930">
        <v>592570</v>
      </c>
      <c r="L4930">
        <v>226808</v>
      </c>
      <c r="M4930">
        <v>-148364</v>
      </c>
      <c r="N4930">
        <v>143628</v>
      </c>
      <c r="O4930" t="s">
        <v>4948</v>
      </c>
      <c r="P4930" s="9">
        <v>263160</v>
      </c>
      <c r="Q4930" s="9">
        <v>16407</v>
      </c>
      <c r="R4930" s="9">
        <v>279567</v>
      </c>
      <c r="S4930" s="9">
        <v>-160447</v>
      </c>
      <c r="T4930" s="10">
        <v>60460</v>
      </c>
      <c r="U4930" s="10">
        <v>676</v>
      </c>
    </row>
    <row r="4931" spans="1:21" x14ac:dyDescent="0.35">
      <c r="A4931" t="s">
        <v>15</v>
      </c>
      <c r="B4931" t="s">
        <v>16</v>
      </c>
      <c r="C4931" t="s">
        <v>21</v>
      </c>
      <c r="D4931">
        <v>242149</v>
      </c>
      <c r="E4931">
        <v>16948</v>
      </c>
      <c r="F4931">
        <v>41514</v>
      </c>
      <c r="G4931">
        <v>-220874</v>
      </c>
      <c r="H4931">
        <v>79737</v>
      </c>
      <c r="I4931">
        <v>74543</v>
      </c>
      <c r="J4931">
        <v>1406</v>
      </c>
      <c r="K4931">
        <v>907296</v>
      </c>
      <c r="L4931">
        <v>91601</v>
      </c>
      <c r="M4931">
        <v>-129753</v>
      </c>
      <c r="N4931">
        <v>89473</v>
      </c>
      <c r="O4931" t="s">
        <v>4949</v>
      </c>
      <c r="P4931" s="9">
        <v>217270</v>
      </c>
      <c r="Q4931" s="9">
        <v>11579</v>
      </c>
      <c r="R4931" s="9">
        <v>228849</v>
      </c>
      <c r="S4931" s="9">
        <v>-84978</v>
      </c>
      <c r="T4931" s="10">
        <v>60796</v>
      </c>
      <c r="U4931" s="10">
        <v>1461</v>
      </c>
    </row>
    <row r="4932" spans="1:21" x14ac:dyDescent="0.35">
      <c r="A4932" t="s">
        <v>15</v>
      </c>
      <c r="B4932" t="s">
        <v>16</v>
      </c>
      <c r="C4932" t="s">
        <v>21</v>
      </c>
      <c r="D4932">
        <v>225710</v>
      </c>
      <c r="E4932">
        <v>27531</v>
      </c>
      <c r="F4932">
        <v>29001</v>
      </c>
      <c r="G4932">
        <v>-210300</v>
      </c>
      <c r="H4932">
        <v>71942</v>
      </c>
      <c r="I4932">
        <v>74926</v>
      </c>
      <c r="J4932">
        <v>1825</v>
      </c>
      <c r="K4932">
        <v>724448</v>
      </c>
      <c r="L4932">
        <v>320974</v>
      </c>
      <c r="M4932">
        <v>-283377</v>
      </c>
      <c r="N4932">
        <v>166328</v>
      </c>
      <c r="O4932" t="s">
        <v>4950</v>
      </c>
      <c r="P4932" s="9">
        <v>250696</v>
      </c>
      <c r="Q4932" s="9">
        <v>14867</v>
      </c>
      <c r="R4932" s="9">
        <v>265563</v>
      </c>
      <c r="S4932" s="9">
        <v>-84340</v>
      </c>
      <c r="T4932" s="10">
        <v>108844</v>
      </c>
      <c r="U4932" s="10">
        <v>2616</v>
      </c>
    </row>
    <row r="4933" spans="1:21" x14ac:dyDescent="0.35">
      <c r="A4933" t="s">
        <v>15</v>
      </c>
      <c r="B4933" t="s">
        <v>16</v>
      </c>
      <c r="C4933" t="s">
        <v>17</v>
      </c>
      <c r="D4933">
        <v>196585</v>
      </c>
      <c r="E4933">
        <v>29293</v>
      </c>
      <c r="F4933">
        <v>44648</v>
      </c>
      <c r="G4933">
        <v>-179984</v>
      </c>
      <c r="H4933">
        <v>90542</v>
      </c>
      <c r="I4933">
        <v>83399</v>
      </c>
      <c r="J4933">
        <v>973</v>
      </c>
      <c r="K4933">
        <v>532000</v>
      </c>
      <c r="L4933">
        <v>102191</v>
      </c>
      <c r="M4933">
        <v>-105678</v>
      </c>
      <c r="N4933">
        <v>155134</v>
      </c>
      <c r="O4933" t="s">
        <v>4951</v>
      </c>
      <c r="P4933" s="9">
        <v>244466</v>
      </c>
      <c r="Q4933" s="9">
        <v>26835</v>
      </c>
      <c r="R4933" s="9">
        <v>271301</v>
      </c>
      <c r="S4933" s="9">
        <v>-93021</v>
      </c>
      <c r="T4933" s="10">
        <v>110331</v>
      </c>
      <c r="U4933" s="10">
        <v>1981</v>
      </c>
    </row>
    <row r="4934" spans="1:21" x14ac:dyDescent="0.35">
      <c r="A4934" t="s">
        <v>15</v>
      </c>
      <c r="B4934" t="s">
        <v>16</v>
      </c>
      <c r="C4934" t="s">
        <v>17</v>
      </c>
      <c r="D4934">
        <v>246322</v>
      </c>
      <c r="E4934">
        <v>40229</v>
      </c>
      <c r="F4934">
        <v>58229</v>
      </c>
      <c r="G4934">
        <v>-238072</v>
      </c>
      <c r="H4934">
        <v>106708</v>
      </c>
      <c r="I4934">
        <v>106023</v>
      </c>
      <c r="J4934">
        <v>2081</v>
      </c>
      <c r="K4934">
        <v>616713</v>
      </c>
      <c r="L4934">
        <v>233381</v>
      </c>
      <c r="M4934">
        <v>-198038</v>
      </c>
      <c r="N4934">
        <v>101637</v>
      </c>
      <c r="O4934" t="s">
        <v>4952</v>
      </c>
      <c r="P4934" s="9">
        <v>214347</v>
      </c>
      <c r="Q4934" s="9">
        <v>35006</v>
      </c>
      <c r="R4934" s="9">
        <v>249353</v>
      </c>
      <c r="S4934" s="9">
        <v>-85238</v>
      </c>
      <c r="T4934" s="10">
        <v>88614</v>
      </c>
      <c r="U4934" s="10">
        <v>2573</v>
      </c>
    </row>
    <row r="4935" spans="1:21" x14ac:dyDescent="0.35">
      <c r="A4935" t="s">
        <v>15</v>
      </c>
      <c r="B4935" t="s">
        <v>16</v>
      </c>
      <c r="C4935" t="s">
        <v>21</v>
      </c>
      <c r="D4935">
        <v>269241</v>
      </c>
      <c r="E4935">
        <v>46731</v>
      </c>
      <c r="F4935">
        <v>38942</v>
      </c>
      <c r="G4935">
        <v>-247565</v>
      </c>
      <c r="H4935">
        <v>107349</v>
      </c>
      <c r="I4935">
        <v>100004</v>
      </c>
      <c r="J4935">
        <v>1567</v>
      </c>
      <c r="K4935">
        <v>899846</v>
      </c>
      <c r="L4935">
        <v>324927</v>
      </c>
      <c r="M4935">
        <v>-350361</v>
      </c>
      <c r="N4935">
        <v>214144</v>
      </c>
      <c r="O4935" t="s">
        <v>4953</v>
      </c>
      <c r="P4935" s="9">
        <v>188378</v>
      </c>
      <c r="Q4935" s="9">
        <v>33278</v>
      </c>
      <c r="R4935" s="9">
        <v>221656</v>
      </c>
      <c r="S4935" s="9">
        <v>-51862</v>
      </c>
      <c r="T4935" s="10">
        <v>93488</v>
      </c>
      <c r="U4935" s="10">
        <v>2178</v>
      </c>
    </row>
    <row r="4936" spans="1:21" x14ac:dyDescent="0.35">
      <c r="A4936" t="s">
        <v>15</v>
      </c>
      <c r="B4936" t="s">
        <v>20</v>
      </c>
      <c r="C4936" t="s">
        <v>21</v>
      </c>
      <c r="D4936">
        <v>229357</v>
      </c>
      <c r="E4936">
        <v>12145</v>
      </c>
      <c r="F4936">
        <v>39283</v>
      </c>
      <c r="G4936">
        <v>-198928</v>
      </c>
      <c r="H4936">
        <v>81857</v>
      </c>
      <c r="I4936">
        <v>74595</v>
      </c>
      <c r="J4936">
        <v>1873</v>
      </c>
      <c r="K4936">
        <v>493529</v>
      </c>
      <c r="L4936">
        <v>192213</v>
      </c>
      <c r="M4936">
        <v>-137853</v>
      </c>
      <c r="N4936">
        <v>112620</v>
      </c>
      <c r="O4936" t="s">
        <v>4954</v>
      </c>
      <c r="P4936" s="9">
        <v>281057</v>
      </c>
      <c r="Q4936" s="9">
        <v>20773</v>
      </c>
      <c r="R4936" s="9">
        <v>301830</v>
      </c>
      <c r="S4936" s="9">
        <v>-156678</v>
      </c>
      <c r="T4936" s="10">
        <v>114286</v>
      </c>
      <c r="U4936" s="10">
        <v>2366</v>
      </c>
    </row>
    <row r="4937" spans="1:21" x14ac:dyDescent="0.35">
      <c r="A4937" t="s">
        <v>15</v>
      </c>
      <c r="B4937" t="s">
        <v>20</v>
      </c>
      <c r="C4937" t="s">
        <v>21</v>
      </c>
      <c r="D4937">
        <v>246780</v>
      </c>
      <c r="E4937">
        <v>25954</v>
      </c>
      <c r="F4937">
        <v>50255</v>
      </c>
      <c r="G4937">
        <v>-243848</v>
      </c>
      <c r="H4937">
        <v>79141</v>
      </c>
      <c r="I4937">
        <v>79456</v>
      </c>
      <c r="J4937">
        <v>999</v>
      </c>
      <c r="K4937">
        <v>976426</v>
      </c>
      <c r="L4937">
        <v>98920</v>
      </c>
      <c r="M4937">
        <v>-380262</v>
      </c>
      <c r="N4937">
        <v>79038</v>
      </c>
      <c r="O4937" t="s">
        <v>4955</v>
      </c>
      <c r="P4937" s="9">
        <v>180224</v>
      </c>
      <c r="Q4937" s="9">
        <v>23506</v>
      </c>
      <c r="R4937" s="9">
        <v>203730</v>
      </c>
      <c r="S4937" s="9">
        <v>-121327</v>
      </c>
      <c r="T4937" s="10">
        <v>40223</v>
      </c>
      <c r="U4937" s="10">
        <v>432</v>
      </c>
    </row>
    <row r="4938" spans="1:21" x14ac:dyDescent="0.35">
      <c r="A4938" t="s">
        <v>15</v>
      </c>
      <c r="B4938" t="s">
        <v>16</v>
      </c>
      <c r="C4938" t="s">
        <v>21</v>
      </c>
      <c r="D4938">
        <v>267346</v>
      </c>
      <c r="E4938">
        <v>22126</v>
      </c>
      <c r="F4938">
        <v>36453</v>
      </c>
      <c r="G4938">
        <v>-240713</v>
      </c>
      <c r="H4938">
        <v>85212</v>
      </c>
      <c r="I4938">
        <v>77368</v>
      </c>
      <c r="J4938">
        <v>1561</v>
      </c>
      <c r="K4938">
        <v>1046470</v>
      </c>
      <c r="L4938">
        <v>350918</v>
      </c>
      <c r="M4938">
        <v>-137996</v>
      </c>
      <c r="N4938">
        <v>92016</v>
      </c>
      <c r="O4938" t="s">
        <v>4956</v>
      </c>
      <c r="P4938" s="9">
        <v>237685</v>
      </c>
      <c r="Q4938" s="9">
        <v>22773</v>
      </c>
      <c r="R4938" s="9">
        <v>260458</v>
      </c>
      <c r="S4938" s="9">
        <v>-130959</v>
      </c>
      <c r="T4938" s="10">
        <v>103052</v>
      </c>
      <c r="U4938" s="10">
        <v>1178</v>
      </c>
    </row>
    <row r="4939" spans="1:21" x14ac:dyDescent="0.35">
      <c r="A4939" t="s">
        <v>15</v>
      </c>
      <c r="B4939" t="s">
        <v>16</v>
      </c>
      <c r="C4939" t="s">
        <v>17</v>
      </c>
      <c r="D4939">
        <v>275310</v>
      </c>
      <c r="E4939">
        <v>53980</v>
      </c>
      <c r="F4939">
        <v>66042</v>
      </c>
      <c r="G4939">
        <v>-266888</v>
      </c>
      <c r="H4939">
        <v>128444</v>
      </c>
      <c r="I4939">
        <v>129840</v>
      </c>
      <c r="J4939">
        <v>3878</v>
      </c>
      <c r="K4939">
        <v>851833</v>
      </c>
      <c r="L4939">
        <v>289839</v>
      </c>
      <c r="M4939">
        <v>-283400</v>
      </c>
      <c r="N4939">
        <v>238448</v>
      </c>
      <c r="O4939" t="s">
        <v>4957</v>
      </c>
      <c r="P4939" s="9">
        <v>169800</v>
      </c>
      <c r="Q4939" s="9">
        <v>9958</v>
      </c>
      <c r="R4939" s="9">
        <v>179758</v>
      </c>
      <c r="S4939" s="9">
        <v>-62109</v>
      </c>
      <c r="T4939" s="10">
        <v>52174</v>
      </c>
      <c r="U4939" s="10">
        <v>1347</v>
      </c>
    </row>
    <row r="4940" spans="1:21" x14ac:dyDescent="0.35">
      <c r="A4940" t="s">
        <v>15</v>
      </c>
      <c r="B4940" t="s">
        <v>16</v>
      </c>
      <c r="C4940" t="s">
        <v>21</v>
      </c>
      <c r="D4940">
        <v>238816</v>
      </c>
      <c r="E4940">
        <v>32255</v>
      </c>
      <c r="F4940">
        <v>45959</v>
      </c>
      <c r="G4940">
        <v>-222672</v>
      </c>
      <c r="H4940">
        <v>94358</v>
      </c>
      <c r="I4940">
        <v>96013</v>
      </c>
      <c r="J4940">
        <v>2305</v>
      </c>
      <c r="K4940">
        <v>577620</v>
      </c>
      <c r="L4940">
        <v>220047</v>
      </c>
      <c r="M4940">
        <v>-147638</v>
      </c>
      <c r="N4940">
        <v>183919</v>
      </c>
      <c r="O4940" t="s">
        <v>4958</v>
      </c>
      <c r="P4940" s="9">
        <v>204281</v>
      </c>
      <c r="Q4940" s="9">
        <v>26662</v>
      </c>
      <c r="R4940" s="9">
        <v>230943</v>
      </c>
      <c r="S4940" s="9">
        <v>-125274</v>
      </c>
      <c r="T4940" s="10">
        <v>122607</v>
      </c>
      <c r="U4940" s="10">
        <v>2047</v>
      </c>
    </row>
    <row r="4941" spans="1:21" x14ac:dyDescent="0.35">
      <c r="A4941" t="s">
        <v>15</v>
      </c>
      <c r="B4941" t="s">
        <v>20</v>
      </c>
      <c r="C4941" t="s">
        <v>17</v>
      </c>
      <c r="D4941">
        <v>235840</v>
      </c>
      <c r="E4941">
        <v>39712</v>
      </c>
      <c r="F4941">
        <v>44599</v>
      </c>
      <c r="G4941">
        <v>-191076</v>
      </c>
      <c r="H4941">
        <v>129075</v>
      </c>
      <c r="I4941">
        <v>131779</v>
      </c>
      <c r="J4941">
        <v>2024</v>
      </c>
      <c r="K4941">
        <v>837302</v>
      </c>
      <c r="L4941">
        <v>341029</v>
      </c>
      <c r="M4941">
        <v>-195883</v>
      </c>
      <c r="N4941">
        <v>137436</v>
      </c>
      <c r="O4941" t="s">
        <v>4959</v>
      </c>
      <c r="P4941" s="9">
        <v>212489</v>
      </c>
      <c r="Q4941" s="9">
        <v>9834</v>
      </c>
      <c r="R4941" s="9">
        <v>222323</v>
      </c>
      <c r="S4941" s="9">
        <v>-48898</v>
      </c>
      <c r="T4941" s="10">
        <v>58682</v>
      </c>
      <c r="U4941" s="10">
        <v>1152</v>
      </c>
    </row>
    <row r="4942" spans="1:21" x14ac:dyDescent="0.35">
      <c r="A4942" t="s">
        <v>15</v>
      </c>
      <c r="B4942" t="s">
        <v>20</v>
      </c>
      <c r="C4942" t="s">
        <v>21</v>
      </c>
      <c r="D4942">
        <v>225376</v>
      </c>
      <c r="E4942">
        <v>26360</v>
      </c>
      <c r="F4942">
        <v>54635</v>
      </c>
      <c r="G4942">
        <v>-192864</v>
      </c>
      <c r="H4942">
        <v>113507</v>
      </c>
      <c r="I4942">
        <v>107037</v>
      </c>
      <c r="J4942">
        <v>2513</v>
      </c>
      <c r="K4942">
        <v>694550</v>
      </c>
      <c r="L4942">
        <v>330328</v>
      </c>
      <c r="M4942">
        <v>-209115</v>
      </c>
      <c r="N4942">
        <v>99727</v>
      </c>
      <c r="O4942" t="s">
        <v>4960</v>
      </c>
      <c r="P4942" s="9">
        <v>200441</v>
      </c>
      <c r="Q4942" s="9">
        <v>27334</v>
      </c>
      <c r="R4942" s="9">
        <v>227775</v>
      </c>
      <c r="S4942" s="9">
        <v>-69604</v>
      </c>
      <c r="T4942" s="10">
        <v>97438</v>
      </c>
      <c r="U4942" s="10">
        <v>1521</v>
      </c>
    </row>
    <row r="4943" spans="1:21" x14ac:dyDescent="0.35">
      <c r="A4943" t="s">
        <v>15</v>
      </c>
      <c r="B4943" t="s">
        <v>16</v>
      </c>
      <c r="C4943" t="s">
        <v>21</v>
      </c>
      <c r="D4943">
        <v>221526</v>
      </c>
      <c r="E4943">
        <v>32526</v>
      </c>
      <c r="F4943">
        <v>36760</v>
      </c>
      <c r="G4943">
        <v>-211115</v>
      </c>
      <c r="H4943">
        <v>79697</v>
      </c>
      <c r="I4943">
        <v>75999</v>
      </c>
      <c r="J4943">
        <v>1928</v>
      </c>
      <c r="K4943">
        <v>762390</v>
      </c>
      <c r="L4943">
        <v>101996</v>
      </c>
      <c r="M4943">
        <v>-260908</v>
      </c>
      <c r="N4943">
        <v>185689</v>
      </c>
      <c r="O4943" t="s">
        <v>4961</v>
      </c>
      <c r="P4943" s="9">
        <v>274851</v>
      </c>
      <c r="Q4943" s="9">
        <v>35382</v>
      </c>
      <c r="R4943" s="9">
        <v>310233</v>
      </c>
      <c r="S4943" s="9">
        <v>-175165</v>
      </c>
      <c r="T4943" s="10">
        <v>138282</v>
      </c>
      <c r="U4943" s="10">
        <v>1863</v>
      </c>
    </row>
    <row r="4944" spans="1:21" x14ac:dyDescent="0.35">
      <c r="A4944" t="s">
        <v>15</v>
      </c>
      <c r="B4944" t="s">
        <v>16</v>
      </c>
      <c r="C4944" t="s">
        <v>21</v>
      </c>
      <c r="D4944">
        <v>239996</v>
      </c>
      <c r="E4944">
        <v>28701</v>
      </c>
      <c r="F4944">
        <v>38869</v>
      </c>
      <c r="G4944">
        <v>-223202</v>
      </c>
      <c r="H4944">
        <v>84364</v>
      </c>
      <c r="I4944">
        <v>84960</v>
      </c>
      <c r="J4944">
        <v>1361</v>
      </c>
      <c r="K4944">
        <v>942194</v>
      </c>
      <c r="L4944">
        <v>200435</v>
      </c>
      <c r="M4944">
        <v>-94792</v>
      </c>
      <c r="N4944">
        <v>150485</v>
      </c>
      <c r="O4944" t="s">
        <v>4962</v>
      </c>
      <c r="P4944" s="9">
        <v>220050</v>
      </c>
      <c r="Q4944" s="9">
        <v>31491</v>
      </c>
      <c r="R4944" s="9">
        <v>251541</v>
      </c>
      <c r="S4944" s="9">
        <v>-125098</v>
      </c>
      <c r="T4944" s="10">
        <v>72200</v>
      </c>
      <c r="U4944" s="10">
        <v>1327</v>
      </c>
    </row>
    <row r="4945" spans="1:21" x14ac:dyDescent="0.35">
      <c r="A4945" t="s">
        <v>15</v>
      </c>
      <c r="B4945" t="s">
        <v>16</v>
      </c>
      <c r="C4945" t="s">
        <v>21</v>
      </c>
      <c r="D4945">
        <v>168257</v>
      </c>
      <c r="E4945">
        <v>17583</v>
      </c>
      <c r="F4945">
        <v>21782</v>
      </c>
      <c r="G4945">
        <v>-151417</v>
      </c>
      <c r="H4945">
        <v>56205</v>
      </c>
      <c r="I4945">
        <v>55146</v>
      </c>
      <c r="J4945">
        <v>1051</v>
      </c>
      <c r="K4945">
        <v>639994</v>
      </c>
      <c r="L4945">
        <v>104590</v>
      </c>
      <c r="M4945">
        <v>-217942</v>
      </c>
      <c r="N4945">
        <v>148124</v>
      </c>
      <c r="O4945" t="s">
        <v>4963</v>
      </c>
      <c r="P4945" s="9">
        <v>154082</v>
      </c>
      <c r="Q4945" s="9">
        <v>15147</v>
      </c>
      <c r="R4945" s="9">
        <v>169229</v>
      </c>
      <c r="S4945" s="9">
        <v>-73921</v>
      </c>
      <c r="T4945" s="10">
        <v>52257</v>
      </c>
      <c r="U4945" s="10">
        <v>659</v>
      </c>
    </row>
    <row r="4946" spans="1:21" x14ac:dyDescent="0.35">
      <c r="A4946" t="s">
        <v>15</v>
      </c>
      <c r="B4946" t="s">
        <v>20</v>
      </c>
      <c r="C4946" t="s">
        <v>21</v>
      </c>
      <c r="D4946">
        <v>242731</v>
      </c>
      <c r="E4946">
        <v>26423</v>
      </c>
      <c r="F4946">
        <v>31940</v>
      </c>
      <c r="G4946">
        <v>-232788</v>
      </c>
      <c r="H4946">
        <v>68306</v>
      </c>
      <c r="I4946">
        <v>68336</v>
      </c>
      <c r="J4946">
        <v>985</v>
      </c>
      <c r="K4946">
        <v>634979</v>
      </c>
      <c r="L4946">
        <v>131184</v>
      </c>
      <c r="M4946">
        <v>-169154</v>
      </c>
      <c r="N4946">
        <v>88171</v>
      </c>
      <c r="O4946" t="s">
        <v>4964</v>
      </c>
      <c r="P4946" s="9">
        <v>204929</v>
      </c>
      <c r="Q4946" s="9">
        <v>24095</v>
      </c>
      <c r="R4946" s="9">
        <v>229024</v>
      </c>
      <c r="S4946" s="9">
        <v>-127174</v>
      </c>
      <c r="T4946" s="10">
        <v>112314</v>
      </c>
      <c r="U4946" s="10">
        <v>3343</v>
      </c>
    </row>
    <row r="4947" spans="1:21" x14ac:dyDescent="0.35">
      <c r="A4947" t="s">
        <v>15</v>
      </c>
      <c r="B4947" t="s">
        <v>16</v>
      </c>
      <c r="C4947" t="s">
        <v>21</v>
      </c>
      <c r="D4947">
        <v>255614</v>
      </c>
      <c r="E4947">
        <v>31904</v>
      </c>
      <c r="F4947">
        <v>53733</v>
      </c>
      <c r="G4947">
        <v>-243769</v>
      </c>
      <c r="H4947">
        <v>97482</v>
      </c>
      <c r="I4947">
        <v>93300</v>
      </c>
      <c r="J4947">
        <v>2714</v>
      </c>
      <c r="K4947">
        <v>789903</v>
      </c>
      <c r="L4947">
        <v>240433</v>
      </c>
      <c r="M4947">
        <v>-84088</v>
      </c>
      <c r="N4947">
        <v>159526</v>
      </c>
      <c r="O4947" t="s">
        <v>4965</v>
      </c>
      <c r="P4947" s="9">
        <v>184093</v>
      </c>
      <c r="Q4947" s="9">
        <v>12814</v>
      </c>
      <c r="R4947" s="9">
        <v>196907</v>
      </c>
      <c r="S4947" s="9">
        <v>-81416</v>
      </c>
      <c r="T4947" s="10">
        <v>59945</v>
      </c>
      <c r="U4947" s="10">
        <v>995</v>
      </c>
    </row>
    <row r="4948" spans="1:21" x14ac:dyDescent="0.35">
      <c r="A4948" t="s">
        <v>15</v>
      </c>
      <c r="B4948" t="s">
        <v>20</v>
      </c>
      <c r="C4948" t="s">
        <v>21</v>
      </c>
      <c r="D4948">
        <v>217660</v>
      </c>
      <c r="E4948">
        <v>23321</v>
      </c>
      <c r="F4948">
        <v>53719</v>
      </c>
      <c r="G4948">
        <v>-182940</v>
      </c>
      <c r="H4948">
        <v>111760</v>
      </c>
      <c r="I4948">
        <v>113350</v>
      </c>
      <c r="J4948">
        <v>2254</v>
      </c>
      <c r="K4948">
        <v>547706</v>
      </c>
      <c r="L4948">
        <v>95483</v>
      </c>
      <c r="M4948">
        <v>-154465</v>
      </c>
      <c r="N4948">
        <v>118437</v>
      </c>
      <c r="O4948" t="s">
        <v>4966</v>
      </c>
      <c r="P4948" s="9">
        <v>209682</v>
      </c>
      <c r="Q4948" s="9">
        <v>18288</v>
      </c>
      <c r="R4948" s="9">
        <v>227970</v>
      </c>
      <c r="S4948" s="9">
        <v>-95526</v>
      </c>
      <c r="T4948" s="10">
        <v>68753</v>
      </c>
      <c r="U4948" s="10">
        <v>1242</v>
      </c>
    </row>
    <row r="4949" spans="1:21" x14ac:dyDescent="0.35">
      <c r="A4949" t="s">
        <v>15</v>
      </c>
      <c r="B4949" t="s">
        <v>16</v>
      </c>
      <c r="C4949" t="s">
        <v>21</v>
      </c>
      <c r="D4949">
        <v>235046</v>
      </c>
      <c r="E4949">
        <v>29293</v>
      </c>
      <c r="F4949">
        <v>41759</v>
      </c>
      <c r="G4949">
        <v>-201592</v>
      </c>
      <c r="H4949">
        <v>104506</v>
      </c>
      <c r="I4949">
        <v>109528</v>
      </c>
      <c r="J4949">
        <v>1777</v>
      </c>
      <c r="K4949">
        <v>783413</v>
      </c>
      <c r="L4949">
        <v>304359</v>
      </c>
      <c r="M4949">
        <v>-268847</v>
      </c>
      <c r="N4949">
        <v>208324</v>
      </c>
      <c r="O4949" t="s">
        <v>4967</v>
      </c>
      <c r="P4949" s="9">
        <v>205386</v>
      </c>
      <c r="Q4949" s="9">
        <v>23011</v>
      </c>
      <c r="R4949" s="9">
        <v>228397</v>
      </c>
      <c r="S4949" s="9">
        <v>-73188</v>
      </c>
      <c r="T4949" s="10">
        <v>108851</v>
      </c>
      <c r="U4949" s="10">
        <v>1382</v>
      </c>
    </row>
    <row r="4950" spans="1:21" x14ac:dyDescent="0.35">
      <c r="A4950" t="s">
        <v>15</v>
      </c>
      <c r="B4950" t="s">
        <v>20</v>
      </c>
      <c r="C4950" t="s">
        <v>17</v>
      </c>
      <c r="D4950">
        <v>221319</v>
      </c>
      <c r="E4950">
        <v>18117</v>
      </c>
      <c r="F4950">
        <v>43717</v>
      </c>
      <c r="G4950">
        <v>-181136</v>
      </c>
      <c r="H4950">
        <v>102017</v>
      </c>
      <c r="I4950">
        <v>95747</v>
      </c>
      <c r="J4950">
        <v>2083</v>
      </c>
      <c r="K4950">
        <v>738906</v>
      </c>
      <c r="L4950">
        <v>229875</v>
      </c>
      <c r="M4950">
        <v>-116800</v>
      </c>
      <c r="N4950">
        <v>105811</v>
      </c>
      <c r="O4950" t="s">
        <v>4968</v>
      </c>
      <c r="P4950" s="9">
        <v>201248</v>
      </c>
      <c r="Q4950" s="9">
        <v>15514</v>
      </c>
      <c r="R4950" s="9">
        <v>216762</v>
      </c>
      <c r="S4950" s="9">
        <v>-61383</v>
      </c>
      <c r="T4950" s="10">
        <v>63504</v>
      </c>
      <c r="U4950" s="10">
        <v>1896</v>
      </c>
    </row>
    <row r="4951" spans="1:21" x14ac:dyDescent="0.35">
      <c r="A4951" t="s">
        <v>15</v>
      </c>
      <c r="B4951" t="s">
        <v>16</v>
      </c>
      <c r="C4951" t="s">
        <v>21</v>
      </c>
      <c r="D4951">
        <v>295779</v>
      </c>
      <c r="E4951">
        <v>52669</v>
      </c>
      <c r="F4951">
        <v>67072</v>
      </c>
      <c r="G4951">
        <v>-287700</v>
      </c>
      <c r="H4951">
        <v>127820</v>
      </c>
      <c r="I4951">
        <v>130604</v>
      </c>
      <c r="J4951">
        <v>1640</v>
      </c>
      <c r="K4951">
        <v>822234</v>
      </c>
      <c r="L4951">
        <v>242924</v>
      </c>
      <c r="M4951">
        <v>-317054</v>
      </c>
      <c r="N4951">
        <v>225847</v>
      </c>
      <c r="O4951" t="s">
        <v>4969</v>
      </c>
      <c r="P4951" s="9">
        <v>277960</v>
      </c>
      <c r="Q4951" s="9">
        <v>36262</v>
      </c>
      <c r="R4951" s="9">
        <v>314222</v>
      </c>
      <c r="S4951" s="9">
        <v>-108816</v>
      </c>
      <c r="T4951" s="10">
        <v>82035</v>
      </c>
      <c r="U4951" s="10">
        <v>1892</v>
      </c>
    </row>
    <row r="4952" spans="1:21" x14ac:dyDescent="0.35">
      <c r="A4952" t="s">
        <v>15</v>
      </c>
      <c r="B4952" t="s">
        <v>16</v>
      </c>
      <c r="C4952" t="s">
        <v>21</v>
      </c>
      <c r="D4952">
        <v>162454</v>
      </c>
      <c r="E4952">
        <v>9782</v>
      </c>
      <c r="F4952">
        <v>23921</v>
      </c>
      <c r="G4952">
        <v>-157524</v>
      </c>
      <c r="H4952">
        <v>38633</v>
      </c>
      <c r="I4952">
        <v>40497</v>
      </c>
      <c r="J4952">
        <v>483</v>
      </c>
      <c r="K4952">
        <v>388761</v>
      </c>
      <c r="L4952">
        <v>178632</v>
      </c>
      <c r="M4952">
        <v>-143984</v>
      </c>
      <c r="N4952">
        <v>128448</v>
      </c>
      <c r="O4952" t="s">
        <v>4970</v>
      </c>
      <c r="P4952" s="9">
        <v>257329</v>
      </c>
      <c r="Q4952" s="9">
        <v>36370</v>
      </c>
      <c r="R4952" s="9">
        <v>293699</v>
      </c>
      <c r="S4952" s="9">
        <v>-135285</v>
      </c>
      <c r="T4952" s="10">
        <v>98790</v>
      </c>
      <c r="U4952" s="10">
        <v>1132</v>
      </c>
    </row>
    <row r="4953" spans="1:21" x14ac:dyDescent="0.35">
      <c r="A4953" t="s">
        <v>15</v>
      </c>
      <c r="B4953" t="s">
        <v>16</v>
      </c>
      <c r="C4953" t="s">
        <v>21</v>
      </c>
      <c r="D4953">
        <v>190026</v>
      </c>
      <c r="E4953">
        <v>15690</v>
      </c>
      <c r="F4953">
        <v>45914</v>
      </c>
      <c r="G4953">
        <v>-188987</v>
      </c>
      <c r="H4953">
        <v>62643</v>
      </c>
      <c r="I4953">
        <v>62829</v>
      </c>
      <c r="J4953">
        <v>736</v>
      </c>
      <c r="K4953">
        <v>668176</v>
      </c>
      <c r="L4953">
        <v>308985</v>
      </c>
      <c r="M4953">
        <v>-173753</v>
      </c>
      <c r="N4953">
        <v>169144</v>
      </c>
      <c r="O4953" t="s">
        <v>4971</v>
      </c>
      <c r="P4953" s="9">
        <v>243924</v>
      </c>
      <c r="Q4953" s="9">
        <v>33031</v>
      </c>
      <c r="R4953" s="9">
        <v>276955</v>
      </c>
      <c r="S4953" s="9">
        <v>-162569</v>
      </c>
      <c r="T4953" s="10">
        <v>112943</v>
      </c>
      <c r="U4953" s="10">
        <v>2521</v>
      </c>
    </row>
    <row r="4954" spans="1:21" x14ac:dyDescent="0.35">
      <c r="A4954" t="s">
        <v>15</v>
      </c>
      <c r="B4954" t="s">
        <v>16</v>
      </c>
      <c r="C4954" t="s">
        <v>17</v>
      </c>
      <c r="D4954">
        <v>187269</v>
      </c>
      <c r="E4954">
        <v>10008</v>
      </c>
      <c r="F4954">
        <v>21793</v>
      </c>
      <c r="G4954">
        <v>-160227</v>
      </c>
      <c r="H4954">
        <v>58843</v>
      </c>
      <c r="I4954">
        <v>59862</v>
      </c>
      <c r="J4954">
        <v>1408</v>
      </c>
      <c r="K4954">
        <v>731306</v>
      </c>
      <c r="L4954">
        <v>91806</v>
      </c>
      <c r="M4954">
        <v>-257910</v>
      </c>
      <c r="N4954">
        <v>102317</v>
      </c>
      <c r="O4954" t="s">
        <v>4972</v>
      </c>
      <c r="P4954" s="9">
        <v>164739</v>
      </c>
      <c r="Q4954" s="9">
        <v>19312</v>
      </c>
      <c r="R4954" s="9">
        <v>184051</v>
      </c>
      <c r="S4954" s="9">
        <v>-57897</v>
      </c>
      <c r="T4954" s="10">
        <v>68946</v>
      </c>
      <c r="U4954" s="10">
        <v>1262</v>
      </c>
    </row>
    <row r="4955" spans="1:21" x14ac:dyDescent="0.35">
      <c r="A4955" t="s">
        <v>15</v>
      </c>
      <c r="B4955" t="s">
        <v>16</v>
      </c>
      <c r="C4955" t="s">
        <v>17</v>
      </c>
      <c r="D4955">
        <v>264608</v>
      </c>
      <c r="E4955">
        <v>49484</v>
      </c>
      <c r="F4955">
        <v>28826</v>
      </c>
      <c r="G4955">
        <v>-245755</v>
      </c>
      <c r="H4955">
        <v>97163</v>
      </c>
      <c r="I4955">
        <v>87563</v>
      </c>
      <c r="J4955">
        <v>1833</v>
      </c>
      <c r="K4955">
        <v>688120</v>
      </c>
      <c r="L4955">
        <v>280535</v>
      </c>
      <c r="M4955">
        <v>-255390</v>
      </c>
      <c r="N4955">
        <v>105360</v>
      </c>
      <c r="O4955" t="s">
        <v>4973</v>
      </c>
      <c r="P4955" s="9">
        <v>185996</v>
      </c>
      <c r="Q4955" s="9">
        <v>8779</v>
      </c>
      <c r="R4955" s="9">
        <v>194775</v>
      </c>
      <c r="S4955" s="9">
        <v>-76766</v>
      </c>
      <c r="T4955" s="10">
        <v>45966</v>
      </c>
      <c r="U4955" s="10">
        <v>938</v>
      </c>
    </row>
    <row r="4956" spans="1:21" x14ac:dyDescent="0.35">
      <c r="A4956" t="s">
        <v>15</v>
      </c>
      <c r="B4956" t="s">
        <v>16</v>
      </c>
      <c r="C4956" t="s">
        <v>21</v>
      </c>
      <c r="D4956">
        <v>294741</v>
      </c>
      <c r="E4956">
        <v>49904</v>
      </c>
      <c r="F4956">
        <v>36429</v>
      </c>
      <c r="G4956">
        <v>-255243</v>
      </c>
      <c r="H4956">
        <v>125831</v>
      </c>
      <c r="I4956">
        <v>125364</v>
      </c>
      <c r="J4956">
        <v>3165</v>
      </c>
      <c r="K4956">
        <v>668679</v>
      </c>
      <c r="L4956">
        <v>96012</v>
      </c>
      <c r="M4956">
        <v>-110912</v>
      </c>
      <c r="N4956">
        <v>173028</v>
      </c>
      <c r="O4956" t="s">
        <v>4974</v>
      </c>
      <c r="P4956" s="9">
        <v>241502</v>
      </c>
      <c r="Q4956" s="9">
        <v>16680</v>
      </c>
      <c r="R4956" s="9">
        <v>258182</v>
      </c>
      <c r="S4956" s="9">
        <v>-57869</v>
      </c>
      <c r="T4956" s="10">
        <v>81282</v>
      </c>
      <c r="U4956" s="10">
        <v>2246</v>
      </c>
    </row>
    <row r="4957" spans="1:21" x14ac:dyDescent="0.35">
      <c r="A4957" t="s">
        <v>15</v>
      </c>
      <c r="B4957" t="s">
        <v>20</v>
      </c>
      <c r="C4957" t="s">
        <v>21</v>
      </c>
      <c r="D4957">
        <v>166254</v>
      </c>
      <c r="E4957">
        <v>28432</v>
      </c>
      <c r="F4957">
        <v>26980</v>
      </c>
      <c r="G4957">
        <v>-150086</v>
      </c>
      <c r="H4957">
        <v>71580</v>
      </c>
      <c r="I4957">
        <v>65553</v>
      </c>
      <c r="J4957">
        <v>1917</v>
      </c>
      <c r="K4957">
        <v>632452</v>
      </c>
      <c r="L4957">
        <v>286832</v>
      </c>
      <c r="M4957">
        <v>-237585</v>
      </c>
      <c r="N4957">
        <v>66841</v>
      </c>
      <c r="O4957" t="s">
        <v>4975</v>
      </c>
      <c r="P4957" s="9">
        <v>157755</v>
      </c>
      <c r="Q4957" s="9">
        <v>24124</v>
      </c>
      <c r="R4957" s="9">
        <v>181879</v>
      </c>
      <c r="S4957" s="9">
        <v>-78359</v>
      </c>
      <c r="T4957" s="10">
        <v>73348</v>
      </c>
      <c r="U4957" s="10">
        <v>1017</v>
      </c>
    </row>
    <row r="4958" spans="1:21" x14ac:dyDescent="0.35">
      <c r="A4958" t="s">
        <v>15</v>
      </c>
      <c r="B4958" t="s">
        <v>16</v>
      </c>
      <c r="C4958" t="s">
        <v>21</v>
      </c>
      <c r="D4958">
        <v>171967</v>
      </c>
      <c r="E4958">
        <v>21131</v>
      </c>
      <c r="F4958">
        <v>18887</v>
      </c>
      <c r="G4958">
        <v>-157212</v>
      </c>
      <c r="H4958">
        <v>54773</v>
      </c>
      <c r="I4958">
        <v>51229</v>
      </c>
      <c r="J4958">
        <v>549</v>
      </c>
      <c r="K4958">
        <v>558870</v>
      </c>
      <c r="L4958">
        <v>179769</v>
      </c>
      <c r="M4958">
        <v>-133454</v>
      </c>
      <c r="N4958">
        <v>82184</v>
      </c>
      <c r="O4958" t="s">
        <v>4976</v>
      </c>
      <c r="P4958" s="9">
        <v>227391</v>
      </c>
      <c r="Q4958" s="9">
        <v>11667</v>
      </c>
      <c r="R4958" s="9">
        <v>239058</v>
      </c>
      <c r="S4958" s="9">
        <v>-94773</v>
      </c>
      <c r="T4958" s="10">
        <v>62386</v>
      </c>
      <c r="U4958" s="10">
        <v>1787</v>
      </c>
    </row>
    <row r="4959" spans="1:21" x14ac:dyDescent="0.35">
      <c r="A4959" t="s">
        <v>15</v>
      </c>
      <c r="B4959" t="s">
        <v>16</v>
      </c>
      <c r="C4959" t="s">
        <v>21</v>
      </c>
      <c r="D4959">
        <v>266723</v>
      </c>
      <c r="E4959">
        <v>24118</v>
      </c>
      <c r="F4959">
        <v>64422</v>
      </c>
      <c r="G4959">
        <v>-229276</v>
      </c>
      <c r="H4959">
        <v>125987</v>
      </c>
      <c r="I4959">
        <v>120308</v>
      </c>
      <c r="J4959">
        <v>2238</v>
      </c>
      <c r="K4959">
        <v>981111</v>
      </c>
      <c r="L4959">
        <v>295929</v>
      </c>
      <c r="M4959">
        <v>-250607</v>
      </c>
      <c r="N4959">
        <v>181919</v>
      </c>
      <c r="O4959" t="s">
        <v>4977</v>
      </c>
      <c r="P4959" s="9">
        <v>253518</v>
      </c>
      <c r="Q4959" s="9">
        <v>18610</v>
      </c>
      <c r="R4959" s="9">
        <v>272128</v>
      </c>
      <c r="S4959" s="9">
        <v>-111239</v>
      </c>
      <c r="T4959" s="10">
        <v>96428</v>
      </c>
      <c r="U4959" s="10">
        <v>2128</v>
      </c>
    </row>
    <row r="4960" spans="1:21" x14ac:dyDescent="0.35">
      <c r="A4960" t="s">
        <v>15</v>
      </c>
      <c r="B4960" t="s">
        <v>20</v>
      </c>
      <c r="C4960" t="s">
        <v>21</v>
      </c>
      <c r="D4960">
        <v>279715</v>
      </c>
      <c r="E4960">
        <v>45537</v>
      </c>
      <c r="F4960">
        <v>52837</v>
      </c>
      <c r="G4960">
        <v>-247550</v>
      </c>
      <c r="H4960">
        <v>130539</v>
      </c>
      <c r="I4960">
        <v>136931</v>
      </c>
      <c r="J4960">
        <v>3401</v>
      </c>
      <c r="K4960">
        <v>1051220</v>
      </c>
      <c r="L4960">
        <v>194500</v>
      </c>
      <c r="M4960">
        <v>-326069</v>
      </c>
      <c r="N4960">
        <v>130015</v>
      </c>
      <c r="O4960" t="s">
        <v>4978</v>
      </c>
      <c r="P4960" s="9">
        <v>304177</v>
      </c>
      <c r="Q4960" s="9">
        <v>31705</v>
      </c>
      <c r="R4960" s="9">
        <v>335882</v>
      </c>
      <c r="S4960" s="9">
        <v>-107488</v>
      </c>
      <c r="T4960" s="10">
        <v>91485</v>
      </c>
      <c r="U4960" s="10">
        <v>1414</v>
      </c>
    </row>
    <row r="4961" spans="1:21" x14ac:dyDescent="0.35">
      <c r="A4961" t="s">
        <v>15</v>
      </c>
      <c r="B4961" t="s">
        <v>16</v>
      </c>
      <c r="C4961" t="s">
        <v>21</v>
      </c>
      <c r="D4961">
        <v>208487</v>
      </c>
      <c r="E4961">
        <v>19575</v>
      </c>
      <c r="F4961">
        <v>39159</v>
      </c>
      <c r="G4961">
        <v>-186756</v>
      </c>
      <c r="H4961">
        <v>80465</v>
      </c>
      <c r="I4961">
        <v>82547</v>
      </c>
      <c r="J4961">
        <v>926</v>
      </c>
      <c r="K4961">
        <v>623323</v>
      </c>
      <c r="L4961">
        <v>311422</v>
      </c>
      <c r="M4961">
        <v>-91493</v>
      </c>
      <c r="N4961">
        <v>186710</v>
      </c>
      <c r="O4961" t="s">
        <v>4979</v>
      </c>
      <c r="P4961" s="9">
        <v>192420</v>
      </c>
      <c r="Q4961" s="9">
        <v>12594</v>
      </c>
      <c r="R4961" s="9">
        <v>205014</v>
      </c>
      <c r="S4961" s="9">
        <v>-100886</v>
      </c>
      <c r="T4961" s="10">
        <v>66682</v>
      </c>
      <c r="U4961" s="10">
        <v>1597</v>
      </c>
    </row>
    <row r="4962" spans="1:21" x14ac:dyDescent="0.35">
      <c r="A4962" t="s">
        <v>15</v>
      </c>
      <c r="B4962" t="s">
        <v>20</v>
      </c>
      <c r="C4962" t="s">
        <v>21</v>
      </c>
      <c r="D4962">
        <v>208535</v>
      </c>
      <c r="E4962">
        <v>16918</v>
      </c>
      <c r="F4962">
        <v>41133</v>
      </c>
      <c r="G4962">
        <v>-173602</v>
      </c>
      <c r="H4962">
        <v>92984</v>
      </c>
      <c r="I4962">
        <v>87481</v>
      </c>
      <c r="J4962">
        <v>1115</v>
      </c>
      <c r="K4962">
        <v>507417</v>
      </c>
      <c r="L4962">
        <v>53585</v>
      </c>
      <c r="M4962">
        <v>-193102</v>
      </c>
      <c r="N4962">
        <v>84302</v>
      </c>
      <c r="O4962" t="s">
        <v>4980</v>
      </c>
      <c r="P4962" s="9">
        <v>198419</v>
      </c>
      <c r="Q4962" s="9">
        <v>30054</v>
      </c>
      <c r="R4962" s="9">
        <v>228473</v>
      </c>
      <c r="S4962" s="9">
        <v>-85493</v>
      </c>
      <c r="T4962" s="10">
        <v>79827</v>
      </c>
      <c r="U4962" s="10">
        <v>1292</v>
      </c>
    </row>
    <row r="4963" spans="1:21" x14ac:dyDescent="0.35">
      <c r="A4963" t="s">
        <v>15</v>
      </c>
      <c r="B4963" t="s">
        <v>16</v>
      </c>
      <c r="C4963" t="s">
        <v>21</v>
      </c>
      <c r="D4963">
        <v>275297</v>
      </c>
      <c r="E4963">
        <v>32370</v>
      </c>
      <c r="F4963">
        <v>35864</v>
      </c>
      <c r="G4963">
        <v>-225060</v>
      </c>
      <c r="H4963">
        <v>118471</v>
      </c>
      <c r="I4963">
        <v>121256</v>
      </c>
      <c r="J4963">
        <v>3220</v>
      </c>
      <c r="K4963">
        <v>672789</v>
      </c>
      <c r="L4963">
        <v>253942</v>
      </c>
      <c r="M4963">
        <v>-113204</v>
      </c>
      <c r="N4963">
        <v>196041</v>
      </c>
      <c r="O4963" t="s">
        <v>4981</v>
      </c>
      <c r="P4963" s="9">
        <v>258897</v>
      </c>
      <c r="Q4963" s="9">
        <v>20380</v>
      </c>
      <c r="R4963" s="9">
        <v>279277</v>
      </c>
      <c r="S4963" s="9">
        <v>-86211</v>
      </c>
      <c r="T4963" s="10">
        <v>92239</v>
      </c>
      <c r="U4963" s="10">
        <v>1635</v>
      </c>
    </row>
    <row r="4964" spans="1:21" x14ac:dyDescent="0.35">
      <c r="A4964" t="s">
        <v>15</v>
      </c>
      <c r="B4964" t="s">
        <v>16</v>
      </c>
      <c r="C4964" t="s">
        <v>21</v>
      </c>
      <c r="D4964">
        <v>235306</v>
      </c>
      <c r="E4964">
        <v>40173</v>
      </c>
      <c r="F4964">
        <v>53817</v>
      </c>
      <c r="G4964">
        <v>-209398</v>
      </c>
      <c r="H4964">
        <v>119898</v>
      </c>
      <c r="I4964">
        <v>113841</v>
      </c>
      <c r="J4964">
        <v>1586</v>
      </c>
      <c r="K4964">
        <v>714789</v>
      </c>
      <c r="L4964">
        <v>211170</v>
      </c>
      <c r="M4964">
        <v>-90644</v>
      </c>
      <c r="N4964">
        <v>99844</v>
      </c>
      <c r="O4964" t="s">
        <v>4982</v>
      </c>
      <c r="P4964" s="9">
        <v>268080</v>
      </c>
      <c r="Q4964" s="9">
        <v>28781</v>
      </c>
      <c r="R4964" s="9">
        <v>296861</v>
      </c>
      <c r="S4964" s="9">
        <v>-170710</v>
      </c>
      <c r="T4964" s="10">
        <v>87901</v>
      </c>
      <c r="U4964" s="10">
        <v>1675</v>
      </c>
    </row>
    <row r="4965" spans="1:21" x14ac:dyDescent="0.35">
      <c r="A4965" t="s">
        <v>15</v>
      </c>
      <c r="B4965" t="s">
        <v>20</v>
      </c>
      <c r="C4965" t="s">
        <v>21</v>
      </c>
      <c r="D4965">
        <v>161975</v>
      </c>
      <c r="E4965">
        <v>21893</v>
      </c>
      <c r="F4965">
        <v>18738</v>
      </c>
      <c r="G4965">
        <v>-150825</v>
      </c>
      <c r="H4965">
        <v>51781</v>
      </c>
      <c r="I4965">
        <v>49251</v>
      </c>
      <c r="J4965">
        <v>1047</v>
      </c>
      <c r="K4965">
        <v>379071</v>
      </c>
      <c r="L4965">
        <v>134090</v>
      </c>
      <c r="M4965">
        <v>-47424</v>
      </c>
      <c r="N4965">
        <v>144524</v>
      </c>
      <c r="O4965" t="s">
        <v>4983</v>
      </c>
      <c r="P4965" s="9">
        <v>271544</v>
      </c>
      <c r="Q4965" s="9">
        <v>55362</v>
      </c>
      <c r="R4965" s="9">
        <v>326906</v>
      </c>
      <c r="S4965" s="9">
        <v>-88406</v>
      </c>
      <c r="T4965" s="10">
        <v>166369</v>
      </c>
      <c r="U4965" s="10">
        <v>3212</v>
      </c>
    </row>
    <row r="4966" spans="1:21" x14ac:dyDescent="0.35">
      <c r="A4966" t="s">
        <v>15</v>
      </c>
      <c r="B4966" t="s">
        <v>16</v>
      </c>
      <c r="C4966" t="s">
        <v>21</v>
      </c>
      <c r="D4966">
        <v>169028</v>
      </c>
      <c r="E4966">
        <v>23004</v>
      </c>
      <c r="F4966">
        <v>39503</v>
      </c>
      <c r="G4966">
        <v>-137924</v>
      </c>
      <c r="H4966">
        <v>93611</v>
      </c>
      <c r="I4966">
        <v>94299</v>
      </c>
      <c r="J4966">
        <v>1133</v>
      </c>
      <c r="K4966">
        <v>603714</v>
      </c>
      <c r="L4966">
        <v>258470</v>
      </c>
      <c r="M4966">
        <v>-112596</v>
      </c>
      <c r="N4966">
        <v>141887</v>
      </c>
      <c r="O4966" t="s">
        <v>4984</v>
      </c>
      <c r="P4966" s="9">
        <v>282493</v>
      </c>
      <c r="Q4966" s="9">
        <v>42548</v>
      </c>
      <c r="R4966" s="9">
        <v>325041</v>
      </c>
      <c r="S4966" s="9">
        <v>-68108</v>
      </c>
      <c r="T4966" s="10">
        <v>142347</v>
      </c>
      <c r="U4966" s="10">
        <v>3917</v>
      </c>
    </row>
    <row r="4967" spans="1:21" x14ac:dyDescent="0.35">
      <c r="A4967" t="s">
        <v>15</v>
      </c>
      <c r="B4967" t="s">
        <v>16</v>
      </c>
      <c r="C4967" t="s">
        <v>17</v>
      </c>
      <c r="D4967">
        <v>267531</v>
      </c>
      <c r="E4967">
        <v>52583</v>
      </c>
      <c r="F4967">
        <v>59109</v>
      </c>
      <c r="G4967">
        <v>-223515</v>
      </c>
      <c r="H4967">
        <v>155708</v>
      </c>
      <c r="I4967">
        <v>155977</v>
      </c>
      <c r="J4967">
        <v>2844</v>
      </c>
      <c r="K4967">
        <v>676909</v>
      </c>
      <c r="L4967">
        <v>145681</v>
      </c>
      <c r="M4967">
        <v>-212053</v>
      </c>
      <c r="N4967">
        <v>156024</v>
      </c>
      <c r="O4967" t="s">
        <v>4985</v>
      </c>
      <c r="P4967" s="9">
        <v>224878</v>
      </c>
      <c r="Q4967" s="9">
        <v>21775</v>
      </c>
      <c r="R4967" s="9">
        <v>246653</v>
      </c>
      <c r="S4967" s="9">
        <v>-142531</v>
      </c>
      <c r="T4967" s="10">
        <v>55937</v>
      </c>
      <c r="U4967" s="10">
        <v>1339</v>
      </c>
    </row>
    <row r="4968" spans="1:21" x14ac:dyDescent="0.35">
      <c r="A4968" t="s">
        <v>15</v>
      </c>
      <c r="B4968" t="s">
        <v>20</v>
      </c>
      <c r="C4968" t="s">
        <v>21</v>
      </c>
      <c r="D4968">
        <v>288059</v>
      </c>
      <c r="E4968">
        <v>23656</v>
      </c>
      <c r="F4968">
        <v>31172</v>
      </c>
      <c r="G4968">
        <v>-282128</v>
      </c>
      <c r="H4968">
        <v>60759</v>
      </c>
      <c r="I4968">
        <v>62858</v>
      </c>
      <c r="J4968">
        <v>1703</v>
      </c>
      <c r="K4968">
        <v>880174</v>
      </c>
      <c r="L4968">
        <v>208410</v>
      </c>
      <c r="M4968">
        <v>-298506</v>
      </c>
      <c r="N4968">
        <v>94274</v>
      </c>
      <c r="O4968" t="s">
        <v>4986</v>
      </c>
      <c r="P4968" s="9">
        <v>221175</v>
      </c>
      <c r="Q4968" s="9">
        <v>9716</v>
      </c>
      <c r="R4968" s="9">
        <v>230891</v>
      </c>
      <c r="S4968" s="9">
        <v>-84076</v>
      </c>
      <c r="T4968" s="10">
        <v>65245</v>
      </c>
      <c r="U4968" s="10">
        <v>956</v>
      </c>
    </row>
    <row r="4969" spans="1:21" x14ac:dyDescent="0.35">
      <c r="A4969" t="s">
        <v>15</v>
      </c>
      <c r="B4969" t="s">
        <v>16</v>
      </c>
      <c r="C4969" t="s">
        <v>21</v>
      </c>
      <c r="D4969">
        <v>168559</v>
      </c>
      <c r="E4969">
        <v>21779</v>
      </c>
      <c r="F4969">
        <v>28646</v>
      </c>
      <c r="G4969">
        <v>-160185</v>
      </c>
      <c r="H4969">
        <v>58799</v>
      </c>
      <c r="I4969">
        <v>57657</v>
      </c>
      <c r="J4969">
        <v>986</v>
      </c>
      <c r="K4969">
        <v>508900</v>
      </c>
      <c r="L4969">
        <v>133696</v>
      </c>
      <c r="M4969">
        <v>-116041</v>
      </c>
      <c r="N4969">
        <v>141185</v>
      </c>
      <c r="O4969" t="s">
        <v>4987</v>
      </c>
      <c r="P4969" s="9">
        <v>179372</v>
      </c>
      <c r="Q4969" s="9">
        <v>30814</v>
      </c>
      <c r="R4969" s="9">
        <v>210186</v>
      </c>
      <c r="S4969" s="9">
        <v>-123179</v>
      </c>
      <c r="T4969" s="10">
        <v>67052</v>
      </c>
      <c r="U4969" s="10">
        <v>764</v>
      </c>
    </row>
    <row r="4970" spans="1:21" x14ac:dyDescent="0.35">
      <c r="A4970" t="s">
        <v>15</v>
      </c>
      <c r="B4970" t="s">
        <v>16</v>
      </c>
      <c r="C4970" t="s">
        <v>21</v>
      </c>
      <c r="D4970">
        <v>162947</v>
      </c>
      <c r="E4970">
        <v>14054</v>
      </c>
      <c r="F4970">
        <v>36717</v>
      </c>
      <c r="G4970">
        <v>-150375</v>
      </c>
      <c r="H4970">
        <v>63343</v>
      </c>
      <c r="I4970">
        <v>57765</v>
      </c>
      <c r="J4970">
        <v>1572</v>
      </c>
      <c r="K4970">
        <v>597822</v>
      </c>
      <c r="L4970">
        <v>255832</v>
      </c>
      <c r="M4970">
        <v>-154875</v>
      </c>
      <c r="N4970">
        <v>99584</v>
      </c>
      <c r="O4970" t="s">
        <v>4988</v>
      </c>
      <c r="P4970" s="9">
        <v>231140</v>
      </c>
      <c r="Q4970" s="9">
        <v>24006</v>
      </c>
      <c r="R4970" s="9">
        <v>255146</v>
      </c>
      <c r="S4970" s="9">
        <v>-72084</v>
      </c>
      <c r="T4970" s="10">
        <v>87116</v>
      </c>
      <c r="U4970" s="10">
        <v>1142</v>
      </c>
    </row>
    <row r="4971" spans="1:21" x14ac:dyDescent="0.35">
      <c r="A4971" t="s">
        <v>15</v>
      </c>
      <c r="B4971" t="s">
        <v>16</v>
      </c>
      <c r="C4971" t="s">
        <v>21</v>
      </c>
      <c r="D4971">
        <v>276200</v>
      </c>
      <c r="E4971">
        <v>18176</v>
      </c>
      <c r="F4971">
        <v>63605</v>
      </c>
      <c r="G4971">
        <v>-241278</v>
      </c>
      <c r="H4971">
        <v>116703</v>
      </c>
      <c r="I4971">
        <v>120365</v>
      </c>
      <c r="J4971">
        <v>3606</v>
      </c>
      <c r="K4971">
        <v>903782</v>
      </c>
      <c r="L4971">
        <v>196263</v>
      </c>
      <c r="M4971">
        <v>-124296</v>
      </c>
      <c r="N4971">
        <v>84720</v>
      </c>
      <c r="O4971" t="s">
        <v>4989</v>
      </c>
      <c r="P4971" s="9">
        <v>198672</v>
      </c>
      <c r="Q4971" s="9">
        <v>19836</v>
      </c>
      <c r="R4971" s="9">
        <v>218508</v>
      </c>
      <c r="S4971" s="9">
        <v>-102739</v>
      </c>
      <c r="T4971" s="10">
        <v>77276</v>
      </c>
      <c r="U4971" s="10">
        <v>1298</v>
      </c>
    </row>
    <row r="4972" spans="1:21" x14ac:dyDescent="0.35">
      <c r="A4972" t="s">
        <v>15</v>
      </c>
      <c r="B4972" t="s">
        <v>20</v>
      </c>
      <c r="C4972" t="s">
        <v>17</v>
      </c>
      <c r="D4972">
        <v>161984</v>
      </c>
      <c r="E4972">
        <v>16609</v>
      </c>
      <c r="F4972">
        <v>37748</v>
      </c>
      <c r="G4972">
        <v>-131606</v>
      </c>
      <c r="H4972">
        <v>84735</v>
      </c>
      <c r="I4972">
        <v>77293</v>
      </c>
      <c r="J4972">
        <v>2133</v>
      </c>
      <c r="K4972">
        <v>434378</v>
      </c>
      <c r="L4972">
        <v>214857</v>
      </c>
      <c r="M4972">
        <v>-59201</v>
      </c>
      <c r="N4972">
        <v>111322</v>
      </c>
      <c r="O4972" t="s">
        <v>4990</v>
      </c>
      <c r="P4972" s="9">
        <v>275856</v>
      </c>
      <c r="Q4972" s="9">
        <v>48302</v>
      </c>
      <c r="R4972" s="9">
        <v>324158</v>
      </c>
      <c r="S4972" s="9">
        <v>-143956</v>
      </c>
      <c r="T4972" s="10">
        <v>121654</v>
      </c>
      <c r="U4972" s="10">
        <v>1256</v>
      </c>
    </row>
    <row r="4973" spans="1:21" x14ac:dyDescent="0.35">
      <c r="A4973" t="s">
        <v>15</v>
      </c>
      <c r="B4973" t="s">
        <v>16</v>
      </c>
      <c r="C4973" t="s">
        <v>21</v>
      </c>
      <c r="D4973">
        <v>231949</v>
      </c>
      <c r="E4973">
        <v>31571</v>
      </c>
      <c r="F4973">
        <v>55791</v>
      </c>
      <c r="G4973">
        <v>-198558</v>
      </c>
      <c r="H4973">
        <v>120753</v>
      </c>
      <c r="I4973">
        <v>114427</v>
      </c>
      <c r="J4973">
        <v>1268</v>
      </c>
      <c r="K4973">
        <v>732566</v>
      </c>
      <c r="L4973">
        <v>357768</v>
      </c>
      <c r="M4973">
        <v>-286468</v>
      </c>
      <c r="N4973">
        <v>166701</v>
      </c>
      <c r="O4973" t="s">
        <v>4991</v>
      </c>
      <c r="P4973" s="9">
        <v>289486</v>
      </c>
      <c r="Q4973" s="9">
        <v>54216</v>
      </c>
      <c r="R4973" s="9">
        <v>343702</v>
      </c>
      <c r="S4973" s="9">
        <v>-171791</v>
      </c>
      <c r="T4973" s="10">
        <v>86736</v>
      </c>
      <c r="U4973" s="10">
        <v>2446</v>
      </c>
    </row>
    <row r="4974" spans="1:21" x14ac:dyDescent="0.35">
      <c r="A4974" t="s">
        <v>15</v>
      </c>
      <c r="B4974" t="s">
        <v>20</v>
      </c>
      <c r="C4974" t="s">
        <v>17</v>
      </c>
      <c r="D4974">
        <v>187565</v>
      </c>
      <c r="E4974">
        <v>35443</v>
      </c>
      <c r="F4974">
        <v>28247</v>
      </c>
      <c r="G4974">
        <v>-184622</v>
      </c>
      <c r="H4974">
        <v>66633</v>
      </c>
      <c r="I4974">
        <v>66936</v>
      </c>
      <c r="J4974">
        <v>1697</v>
      </c>
      <c r="K4974">
        <v>471827</v>
      </c>
      <c r="L4974">
        <v>142364</v>
      </c>
      <c r="M4974">
        <v>-165742</v>
      </c>
      <c r="N4974">
        <v>168082</v>
      </c>
      <c r="O4974" t="s">
        <v>4992</v>
      </c>
      <c r="P4974" s="9">
        <v>158214</v>
      </c>
      <c r="Q4974" s="9">
        <v>30850</v>
      </c>
      <c r="R4974" s="9">
        <v>189064</v>
      </c>
      <c r="S4974" s="9">
        <v>-77073</v>
      </c>
      <c r="T4974" s="10">
        <v>94780</v>
      </c>
      <c r="U4974" s="10">
        <v>1227</v>
      </c>
    </row>
    <row r="4975" spans="1:21" x14ac:dyDescent="0.35">
      <c r="A4975" t="s">
        <v>15</v>
      </c>
      <c r="B4975" t="s">
        <v>16</v>
      </c>
      <c r="C4975" t="s">
        <v>17</v>
      </c>
      <c r="D4975">
        <v>196103</v>
      </c>
      <c r="E4975">
        <v>22416</v>
      </c>
      <c r="F4975">
        <v>41917</v>
      </c>
      <c r="G4975">
        <v>-181351</v>
      </c>
      <c r="H4975">
        <v>79085</v>
      </c>
      <c r="I4975">
        <v>80348</v>
      </c>
      <c r="J4975">
        <v>2000</v>
      </c>
      <c r="K4975">
        <v>415510</v>
      </c>
      <c r="L4975">
        <v>94748</v>
      </c>
      <c r="M4975">
        <v>-60630</v>
      </c>
      <c r="N4975">
        <v>172335</v>
      </c>
      <c r="O4975" t="s">
        <v>4993</v>
      </c>
      <c r="P4975" s="9">
        <v>216737</v>
      </c>
      <c r="Q4975" s="9">
        <v>26599</v>
      </c>
      <c r="R4975" s="9">
        <v>243336</v>
      </c>
      <c r="S4975" s="9">
        <v>-86792</v>
      </c>
      <c r="T4975" s="10">
        <v>75865</v>
      </c>
      <c r="U4975" s="10">
        <v>846</v>
      </c>
    </row>
    <row r="4976" spans="1:21" x14ac:dyDescent="0.35">
      <c r="A4976" t="s">
        <v>15</v>
      </c>
      <c r="B4976" t="s">
        <v>16</v>
      </c>
      <c r="C4976" t="s">
        <v>21</v>
      </c>
      <c r="D4976">
        <v>265212</v>
      </c>
      <c r="E4976">
        <v>50258</v>
      </c>
      <c r="F4976">
        <v>63517</v>
      </c>
      <c r="G4976">
        <v>-230717</v>
      </c>
      <c r="H4976">
        <v>148270</v>
      </c>
      <c r="I4976">
        <v>142363</v>
      </c>
      <c r="J4976">
        <v>2622</v>
      </c>
      <c r="K4976">
        <v>760826</v>
      </c>
      <c r="L4976">
        <v>295751</v>
      </c>
      <c r="M4976">
        <v>-302147</v>
      </c>
      <c r="N4976">
        <v>143370</v>
      </c>
      <c r="O4976" t="s">
        <v>4994</v>
      </c>
      <c r="P4976" s="9">
        <v>264859</v>
      </c>
      <c r="Q4976" s="9">
        <v>33933</v>
      </c>
      <c r="R4976" s="9">
        <v>298792</v>
      </c>
      <c r="S4976" s="9">
        <v>-121899</v>
      </c>
      <c r="T4976" s="10">
        <v>145939</v>
      </c>
      <c r="U4976" s="10">
        <v>3534</v>
      </c>
    </row>
    <row r="4977" spans="1:21" x14ac:dyDescent="0.35">
      <c r="A4977" t="s">
        <v>15</v>
      </c>
      <c r="B4977" t="s">
        <v>20</v>
      </c>
      <c r="C4977" t="s">
        <v>17</v>
      </c>
      <c r="D4977">
        <v>164618</v>
      </c>
      <c r="E4977">
        <v>15061</v>
      </c>
      <c r="F4977">
        <v>30040</v>
      </c>
      <c r="G4977">
        <v>-154585</v>
      </c>
      <c r="H4977">
        <v>55134</v>
      </c>
      <c r="I4977">
        <v>57550</v>
      </c>
      <c r="J4977">
        <v>795</v>
      </c>
      <c r="K4977">
        <v>619290</v>
      </c>
      <c r="L4977">
        <v>114460</v>
      </c>
      <c r="M4977">
        <v>-222399</v>
      </c>
      <c r="N4977">
        <v>143706</v>
      </c>
      <c r="O4977" t="s">
        <v>4995</v>
      </c>
      <c r="P4977" s="9">
        <v>272492</v>
      </c>
      <c r="Q4977" s="9">
        <v>18261</v>
      </c>
      <c r="R4977" s="9">
        <v>290753</v>
      </c>
      <c r="S4977" s="9">
        <v>-119102</v>
      </c>
      <c r="T4977" s="10">
        <v>89579</v>
      </c>
      <c r="U4977" s="10">
        <v>2622</v>
      </c>
    </row>
    <row r="4978" spans="1:21" x14ac:dyDescent="0.35">
      <c r="A4978" t="s">
        <v>15</v>
      </c>
      <c r="B4978" t="s">
        <v>20</v>
      </c>
      <c r="C4978" t="s">
        <v>17</v>
      </c>
      <c r="D4978">
        <v>194609</v>
      </c>
      <c r="E4978">
        <v>30274</v>
      </c>
      <c r="F4978">
        <v>21646</v>
      </c>
      <c r="G4978">
        <v>-188882</v>
      </c>
      <c r="H4978">
        <v>57647</v>
      </c>
      <c r="I4978">
        <v>56056</v>
      </c>
      <c r="J4978">
        <v>926</v>
      </c>
      <c r="K4978">
        <v>568030</v>
      </c>
      <c r="L4978">
        <v>181793</v>
      </c>
      <c r="M4978">
        <v>-92228</v>
      </c>
      <c r="N4978">
        <v>163704</v>
      </c>
      <c r="O4978" t="s">
        <v>4996</v>
      </c>
      <c r="P4978" s="9">
        <v>239301</v>
      </c>
      <c r="Q4978" s="9">
        <v>46760</v>
      </c>
      <c r="R4978" s="9">
        <v>286061</v>
      </c>
      <c r="S4978" s="9">
        <v>-97594</v>
      </c>
      <c r="T4978" s="10">
        <v>93550</v>
      </c>
      <c r="U4978" s="10">
        <v>2722</v>
      </c>
    </row>
    <row r="4979" spans="1:21" x14ac:dyDescent="0.35">
      <c r="A4979" t="s">
        <v>15</v>
      </c>
      <c r="B4979" t="s">
        <v>16</v>
      </c>
      <c r="C4979" t="s">
        <v>17</v>
      </c>
      <c r="D4979">
        <v>191500</v>
      </c>
      <c r="E4979">
        <v>20252</v>
      </c>
      <c r="F4979">
        <v>41211</v>
      </c>
      <c r="G4979">
        <v>-180456</v>
      </c>
      <c r="H4979">
        <v>72507</v>
      </c>
      <c r="I4979">
        <v>74476</v>
      </c>
      <c r="J4979">
        <v>1373</v>
      </c>
      <c r="K4979">
        <v>665399</v>
      </c>
      <c r="L4979">
        <v>259284</v>
      </c>
      <c r="M4979">
        <v>-147601</v>
      </c>
      <c r="N4979">
        <v>135840</v>
      </c>
      <c r="O4979" t="s">
        <v>4997</v>
      </c>
      <c r="P4979" s="9">
        <v>227648</v>
      </c>
      <c r="Q4979" s="9">
        <v>31764</v>
      </c>
      <c r="R4979" s="9">
        <v>259412</v>
      </c>
      <c r="S4979" s="9">
        <v>-129777</v>
      </c>
      <c r="T4979" s="10">
        <v>118684</v>
      </c>
      <c r="U4979" s="10">
        <v>1819</v>
      </c>
    </row>
    <row r="4980" spans="1:21" x14ac:dyDescent="0.35">
      <c r="A4980" t="s">
        <v>15</v>
      </c>
      <c r="B4980" t="s">
        <v>16</v>
      </c>
      <c r="C4980" t="s">
        <v>21</v>
      </c>
      <c r="D4980">
        <v>162325</v>
      </c>
      <c r="E4980">
        <v>20058</v>
      </c>
      <c r="F4980">
        <v>38683</v>
      </c>
      <c r="G4980">
        <v>-129862</v>
      </c>
      <c r="H4980">
        <v>91204</v>
      </c>
      <c r="I4980">
        <v>94934</v>
      </c>
      <c r="J4980">
        <v>2053</v>
      </c>
      <c r="K4980">
        <v>380320</v>
      </c>
      <c r="L4980">
        <v>110255</v>
      </c>
      <c r="M4980">
        <v>-137238</v>
      </c>
      <c r="N4980">
        <v>53970</v>
      </c>
      <c r="O4980" t="s">
        <v>4998</v>
      </c>
      <c r="P4980" s="9">
        <v>263233</v>
      </c>
      <c r="Q4980" s="9">
        <v>28037</v>
      </c>
      <c r="R4980" s="9">
        <v>291270</v>
      </c>
      <c r="S4980" s="9">
        <v>-96297</v>
      </c>
      <c r="T4980" s="10">
        <v>101926</v>
      </c>
      <c r="U4980" s="10">
        <v>2680</v>
      </c>
    </row>
    <row r="4981" spans="1:21" x14ac:dyDescent="0.35">
      <c r="A4981" t="s">
        <v>15</v>
      </c>
      <c r="B4981" t="s">
        <v>20</v>
      </c>
      <c r="C4981" t="s">
        <v>17</v>
      </c>
      <c r="D4981">
        <v>160895</v>
      </c>
      <c r="E4981">
        <v>15858</v>
      </c>
      <c r="F4981">
        <v>29087</v>
      </c>
      <c r="G4981">
        <v>-139467</v>
      </c>
      <c r="H4981">
        <v>66373</v>
      </c>
      <c r="I4981">
        <v>61197</v>
      </c>
      <c r="J4981">
        <v>919</v>
      </c>
      <c r="K4981">
        <v>421372</v>
      </c>
      <c r="L4981">
        <v>70929</v>
      </c>
      <c r="M4981">
        <v>-139498</v>
      </c>
      <c r="N4981">
        <v>83610</v>
      </c>
      <c r="O4981" t="s">
        <v>4999</v>
      </c>
      <c r="P4981" s="9">
        <v>205133</v>
      </c>
      <c r="Q4981" s="9">
        <v>23379</v>
      </c>
      <c r="R4981" s="9">
        <v>228512</v>
      </c>
      <c r="S4981" s="9">
        <v>-66894</v>
      </c>
      <c r="T4981" s="10">
        <v>95525</v>
      </c>
      <c r="U4981" s="10">
        <v>1570</v>
      </c>
    </row>
    <row r="4982" spans="1:21" x14ac:dyDescent="0.35">
      <c r="A4982" t="s">
        <v>15</v>
      </c>
      <c r="B4982" t="s">
        <v>20</v>
      </c>
      <c r="C4982" t="s">
        <v>17</v>
      </c>
      <c r="D4982">
        <v>173886</v>
      </c>
      <c r="E4982">
        <v>27162</v>
      </c>
      <c r="F4982">
        <v>30391</v>
      </c>
      <c r="G4982">
        <v>-161121</v>
      </c>
      <c r="H4982">
        <v>70318</v>
      </c>
      <c r="I4982">
        <v>70339</v>
      </c>
      <c r="J4982">
        <v>1512</v>
      </c>
      <c r="K4982">
        <v>484563</v>
      </c>
      <c r="L4982">
        <v>90936</v>
      </c>
      <c r="M4982">
        <v>-134678</v>
      </c>
      <c r="N4982">
        <v>73094</v>
      </c>
      <c r="O4982" t="s">
        <v>5000</v>
      </c>
      <c r="P4982" s="9">
        <v>211306</v>
      </c>
      <c r="Q4982" s="9">
        <v>11555</v>
      </c>
      <c r="R4982" s="9">
        <v>222861</v>
      </c>
      <c r="S4982" s="9">
        <v>-108049</v>
      </c>
      <c r="T4982" s="10">
        <v>68833</v>
      </c>
      <c r="U4982" s="10">
        <v>875</v>
      </c>
    </row>
    <row r="4983" spans="1:21" x14ac:dyDescent="0.35">
      <c r="A4983" t="s">
        <v>15</v>
      </c>
      <c r="B4983" t="s">
        <v>16</v>
      </c>
      <c r="C4983" t="s">
        <v>21</v>
      </c>
      <c r="D4983">
        <v>288346</v>
      </c>
      <c r="E4983">
        <v>54568</v>
      </c>
      <c r="F4983">
        <v>50465</v>
      </c>
      <c r="G4983">
        <v>-270196</v>
      </c>
      <c r="H4983">
        <v>123183</v>
      </c>
      <c r="I4983">
        <v>117655</v>
      </c>
      <c r="J4983">
        <v>2695</v>
      </c>
      <c r="K4983">
        <v>1029251</v>
      </c>
      <c r="L4983">
        <v>298496</v>
      </c>
      <c r="M4983">
        <v>-390645</v>
      </c>
      <c r="N4983">
        <v>216710</v>
      </c>
      <c r="O4983" t="s">
        <v>5001</v>
      </c>
      <c r="P4983" s="9">
        <v>260546</v>
      </c>
      <c r="Q4983" s="9">
        <v>39141</v>
      </c>
      <c r="R4983" s="9">
        <v>299687</v>
      </c>
      <c r="S4983" s="9">
        <v>-166123</v>
      </c>
      <c r="T4983" s="10">
        <v>110328</v>
      </c>
      <c r="U4983" s="10">
        <v>1845</v>
      </c>
    </row>
    <row r="4984" spans="1:21" x14ac:dyDescent="0.35">
      <c r="A4984" t="s">
        <v>15</v>
      </c>
      <c r="B4984" t="s">
        <v>20</v>
      </c>
      <c r="C4984" t="s">
        <v>17</v>
      </c>
      <c r="D4984">
        <v>218556</v>
      </c>
      <c r="E4984">
        <v>42912</v>
      </c>
      <c r="F4984">
        <v>28212</v>
      </c>
      <c r="G4984">
        <v>-207167</v>
      </c>
      <c r="H4984">
        <v>82513</v>
      </c>
      <c r="I4984">
        <v>76374</v>
      </c>
      <c r="J4984">
        <v>1131</v>
      </c>
      <c r="K4984">
        <v>602377</v>
      </c>
      <c r="L4984">
        <v>159009</v>
      </c>
      <c r="M4984">
        <v>-192744</v>
      </c>
      <c r="N4984">
        <v>94477</v>
      </c>
      <c r="O4984" t="s">
        <v>5002</v>
      </c>
      <c r="P4984" s="9">
        <v>180268</v>
      </c>
      <c r="Q4984" s="9">
        <v>38599</v>
      </c>
      <c r="R4984" s="9">
        <v>218867</v>
      </c>
      <c r="S4984" s="9">
        <v>-44126</v>
      </c>
      <c r="T4984" s="10">
        <v>61890</v>
      </c>
      <c r="U4984" s="10">
        <v>1400</v>
      </c>
    </row>
    <row r="4985" spans="1:21" x14ac:dyDescent="0.35">
      <c r="A4985" t="s">
        <v>15</v>
      </c>
      <c r="B4985" t="s">
        <v>16</v>
      </c>
      <c r="C4985" t="s">
        <v>17</v>
      </c>
      <c r="D4985">
        <v>197408</v>
      </c>
      <c r="E4985">
        <v>16560</v>
      </c>
      <c r="F4985">
        <v>27904</v>
      </c>
      <c r="G4985">
        <v>-186322</v>
      </c>
      <c r="H4985">
        <v>55550</v>
      </c>
      <c r="I4985">
        <v>57469</v>
      </c>
      <c r="J4985">
        <v>1432</v>
      </c>
      <c r="K4985">
        <v>630649</v>
      </c>
      <c r="L4985">
        <v>275971</v>
      </c>
      <c r="M4985">
        <v>-103649</v>
      </c>
      <c r="N4985">
        <v>155632</v>
      </c>
      <c r="O4985" t="s">
        <v>5003</v>
      </c>
      <c r="P4985" s="9">
        <v>185750</v>
      </c>
      <c r="Q4985" s="9">
        <v>28207</v>
      </c>
      <c r="R4985" s="9">
        <v>213957</v>
      </c>
      <c r="S4985" s="9">
        <v>-92349</v>
      </c>
      <c r="T4985" s="10">
        <v>103099</v>
      </c>
      <c r="U4985" s="10">
        <v>3029</v>
      </c>
    </row>
    <row r="4986" spans="1:21" x14ac:dyDescent="0.35">
      <c r="A4986" t="s">
        <v>15</v>
      </c>
      <c r="B4986" t="s">
        <v>20</v>
      </c>
      <c r="C4986" t="s">
        <v>17</v>
      </c>
      <c r="D4986">
        <v>182625</v>
      </c>
      <c r="E4986">
        <v>9196</v>
      </c>
      <c r="F4986">
        <v>21451</v>
      </c>
      <c r="G4986">
        <v>-147165</v>
      </c>
      <c r="H4986">
        <v>66107</v>
      </c>
      <c r="I4986">
        <v>60433</v>
      </c>
      <c r="J4986">
        <v>1002</v>
      </c>
      <c r="K4986">
        <v>500695</v>
      </c>
      <c r="L4986">
        <v>181871</v>
      </c>
      <c r="M4986">
        <v>-200132</v>
      </c>
      <c r="N4986">
        <v>102151</v>
      </c>
      <c r="O4986" t="s">
        <v>5004</v>
      </c>
      <c r="P4986" s="9">
        <v>155630</v>
      </c>
      <c r="Q4986" s="9">
        <v>12545</v>
      </c>
      <c r="R4986" s="9">
        <v>168175</v>
      </c>
      <c r="S4986" s="9">
        <v>-89018</v>
      </c>
      <c r="T4986" s="10">
        <v>42985</v>
      </c>
      <c r="U4986" s="10">
        <v>870</v>
      </c>
    </row>
    <row r="4987" spans="1:21" x14ac:dyDescent="0.35">
      <c r="A4987" t="s">
        <v>15</v>
      </c>
      <c r="B4987" t="s">
        <v>16</v>
      </c>
      <c r="C4987" t="s">
        <v>17</v>
      </c>
      <c r="D4987">
        <v>244363</v>
      </c>
      <c r="E4987">
        <v>12870</v>
      </c>
      <c r="F4987">
        <v>55926</v>
      </c>
      <c r="G4987">
        <v>-204246</v>
      </c>
      <c r="H4987">
        <v>108913</v>
      </c>
      <c r="I4987">
        <v>113965</v>
      </c>
      <c r="J4987">
        <v>3145</v>
      </c>
      <c r="K4987">
        <v>583949</v>
      </c>
      <c r="L4987">
        <v>117722</v>
      </c>
      <c r="M4987">
        <v>-121852</v>
      </c>
      <c r="N4987">
        <v>148674</v>
      </c>
      <c r="O4987" t="s">
        <v>5005</v>
      </c>
      <c r="P4987" s="9">
        <v>192654</v>
      </c>
      <c r="Q4987" s="9">
        <v>16641</v>
      </c>
      <c r="R4987" s="9">
        <v>209295</v>
      </c>
      <c r="S4987" s="9">
        <v>-46735</v>
      </c>
      <c r="T4987" s="10">
        <v>90787</v>
      </c>
      <c r="U4987" s="10">
        <v>2429</v>
      </c>
    </row>
    <row r="4988" spans="1:21" x14ac:dyDescent="0.35">
      <c r="A4988" t="s">
        <v>15</v>
      </c>
      <c r="B4988" t="s">
        <v>20</v>
      </c>
      <c r="C4988" t="s">
        <v>21</v>
      </c>
      <c r="D4988">
        <v>237011</v>
      </c>
      <c r="E4988">
        <v>17079</v>
      </c>
      <c r="F4988">
        <v>34114</v>
      </c>
      <c r="G4988">
        <v>-202950</v>
      </c>
      <c r="H4988">
        <v>85254</v>
      </c>
      <c r="I4988">
        <v>78604</v>
      </c>
      <c r="J4988">
        <v>1961</v>
      </c>
      <c r="K4988">
        <v>792250</v>
      </c>
      <c r="L4988">
        <v>131442</v>
      </c>
      <c r="M4988">
        <v>-316859</v>
      </c>
      <c r="N4988">
        <v>178097</v>
      </c>
      <c r="O4988" t="s">
        <v>5006</v>
      </c>
      <c r="P4988" s="9">
        <v>263754</v>
      </c>
      <c r="Q4988" s="9">
        <v>35136</v>
      </c>
      <c r="R4988" s="9">
        <v>298890</v>
      </c>
      <c r="S4988" s="9">
        <v>-138374</v>
      </c>
      <c r="T4988" s="10">
        <v>111009</v>
      </c>
      <c r="U4988" s="10">
        <v>3105</v>
      </c>
    </row>
    <row r="4989" spans="1:21" x14ac:dyDescent="0.35">
      <c r="A4989" t="s">
        <v>15</v>
      </c>
      <c r="B4989" t="s">
        <v>20</v>
      </c>
      <c r="C4989" t="s">
        <v>21</v>
      </c>
      <c r="D4989">
        <v>241334</v>
      </c>
      <c r="E4989">
        <v>26778</v>
      </c>
      <c r="F4989">
        <v>34266</v>
      </c>
      <c r="G4989">
        <v>-235345</v>
      </c>
      <c r="H4989">
        <v>67033</v>
      </c>
      <c r="I4989">
        <v>65537</v>
      </c>
      <c r="J4989">
        <v>1279</v>
      </c>
      <c r="K4989">
        <v>660299</v>
      </c>
      <c r="L4989">
        <v>233646</v>
      </c>
      <c r="M4989">
        <v>-189978</v>
      </c>
      <c r="N4989">
        <v>94110</v>
      </c>
      <c r="O4989" t="s">
        <v>5007</v>
      </c>
      <c r="P4989" s="9">
        <v>168693</v>
      </c>
      <c r="Q4989" s="9">
        <v>18055</v>
      </c>
      <c r="R4989" s="9">
        <v>186748</v>
      </c>
      <c r="S4989" s="9">
        <v>-85226</v>
      </c>
      <c r="T4989" s="10">
        <v>75103</v>
      </c>
      <c r="U4989" s="10">
        <v>1142</v>
      </c>
    </row>
    <row r="4990" spans="1:21" x14ac:dyDescent="0.35">
      <c r="A4990" t="s">
        <v>15</v>
      </c>
      <c r="B4990" t="s">
        <v>16</v>
      </c>
      <c r="C4990" t="s">
        <v>21</v>
      </c>
      <c r="D4990">
        <v>195432</v>
      </c>
      <c r="E4990">
        <v>33943</v>
      </c>
      <c r="F4990">
        <v>24381</v>
      </c>
      <c r="G4990">
        <v>-167838</v>
      </c>
      <c r="H4990">
        <v>85918</v>
      </c>
      <c r="I4990">
        <v>88039</v>
      </c>
      <c r="J4990">
        <v>2403</v>
      </c>
      <c r="K4990">
        <v>663523</v>
      </c>
      <c r="L4990">
        <v>148866</v>
      </c>
      <c r="M4990">
        <v>-230094</v>
      </c>
      <c r="N4990">
        <v>106707</v>
      </c>
      <c r="O4990" t="s">
        <v>5008</v>
      </c>
      <c r="P4990" s="9">
        <v>188489</v>
      </c>
      <c r="Q4990" s="9">
        <v>19754</v>
      </c>
      <c r="R4990" s="9">
        <v>208243</v>
      </c>
      <c r="S4990" s="9">
        <v>-109981</v>
      </c>
      <c r="T4990" s="10">
        <v>88363</v>
      </c>
      <c r="U4990" s="10">
        <v>1491</v>
      </c>
    </row>
    <row r="4991" spans="1:21" x14ac:dyDescent="0.35">
      <c r="A4991" t="s">
        <v>15</v>
      </c>
      <c r="B4991" t="s">
        <v>16</v>
      </c>
      <c r="C4991" t="s">
        <v>21</v>
      </c>
      <c r="D4991">
        <v>295505</v>
      </c>
      <c r="E4991">
        <v>21499</v>
      </c>
      <c r="F4991">
        <v>54006</v>
      </c>
      <c r="G4991">
        <v>-250023</v>
      </c>
      <c r="H4991">
        <v>120987</v>
      </c>
      <c r="I4991">
        <v>121413</v>
      </c>
      <c r="J4991">
        <v>1288</v>
      </c>
      <c r="K4991">
        <v>711199</v>
      </c>
      <c r="L4991">
        <v>165542</v>
      </c>
      <c r="M4991">
        <v>-143533</v>
      </c>
      <c r="N4991">
        <v>244306</v>
      </c>
      <c r="O4991" t="s">
        <v>5009</v>
      </c>
      <c r="P4991" s="9">
        <v>242189</v>
      </c>
      <c r="Q4991" s="9">
        <v>14721</v>
      </c>
      <c r="R4991" s="9">
        <v>256910</v>
      </c>
      <c r="S4991" s="9">
        <v>-112873</v>
      </c>
      <c r="T4991" s="10">
        <v>74535</v>
      </c>
      <c r="U4991" s="10">
        <v>2046</v>
      </c>
    </row>
    <row r="4992" spans="1:21" x14ac:dyDescent="0.35">
      <c r="A4992" t="s">
        <v>15</v>
      </c>
      <c r="B4992" t="s">
        <v>16</v>
      </c>
      <c r="C4992" t="s">
        <v>21</v>
      </c>
      <c r="D4992">
        <v>183386</v>
      </c>
      <c r="E4992">
        <v>32381</v>
      </c>
      <c r="F4992">
        <v>20291</v>
      </c>
      <c r="G4992">
        <v>-171089</v>
      </c>
      <c r="H4992">
        <v>64969</v>
      </c>
      <c r="I4992">
        <v>67568</v>
      </c>
      <c r="J4992">
        <v>1696</v>
      </c>
      <c r="K4992">
        <v>692499</v>
      </c>
      <c r="L4992">
        <v>244473</v>
      </c>
      <c r="M4992">
        <v>-201120</v>
      </c>
      <c r="N4992">
        <v>67451</v>
      </c>
      <c r="O4992" t="s">
        <v>5010</v>
      </c>
      <c r="P4992" s="9">
        <v>274940</v>
      </c>
      <c r="Q4992" s="9">
        <v>17787</v>
      </c>
      <c r="R4992" s="9">
        <v>292727</v>
      </c>
      <c r="S4992" s="9">
        <v>-64698</v>
      </c>
      <c r="T4992" s="10">
        <v>100750</v>
      </c>
      <c r="U4992" s="10">
        <v>2009</v>
      </c>
    </row>
    <row r="4993" spans="1:21" x14ac:dyDescent="0.35">
      <c r="A4993" t="s">
        <v>15</v>
      </c>
      <c r="B4993" t="s">
        <v>20</v>
      </c>
      <c r="C4993" t="s">
        <v>21</v>
      </c>
      <c r="D4993">
        <v>298985</v>
      </c>
      <c r="E4993">
        <v>48334</v>
      </c>
      <c r="F4993">
        <v>46578</v>
      </c>
      <c r="G4993">
        <v>-272435</v>
      </c>
      <c r="H4993">
        <v>121462</v>
      </c>
      <c r="I4993">
        <v>121056</v>
      </c>
      <c r="J4993">
        <v>3028</v>
      </c>
      <c r="K4993">
        <v>946309</v>
      </c>
      <c r="L4993">
        <v>396788</v>
      </c>
      <c r="M4993">
        <v>-361740</v>
      </c>
      <c r="N4993">
        <v>172007</v>
      </c>
      <c r="O4993" t="s">
        <v>5011</v>
      </c>
      <c r="P4993" s="9">
        <v>228085</v>
      </c>
      <c r="Q4993" s="9">
        <v>49365</v>
      </c>
      <c r="R4993" s="9">
        <v>277450</v>
      </c>
      <c r="S4993" s="9">
        <v>-116458</v>
      </c>
      <c r="T4993" s="10">
        <v>129180</v>
      </c>
      <c r="U4993" s="10">
        <v>1331</v>
      </c>
    </row>
    <row r="4994" spans="1:21" x14ac:dyDescent="0.35">
      <c r="A4994" t="s">
        <v>15</v>
      </c>
      <c r="B4994" t="s">
        <v>20</v>
      </c>
      <c r="C4994" t="s">
        <v>17</v>
      </c>
      <c r="D4994">
        <v>165334</v>
      </c>
      <c r="E4994">
        <v>23337</v>
      </c>
      <c r="F4994">
        <v>31159</v>
      </c>
      <c r="G4994">
        <v>-142945</v>
      </c>
      <c r="H4994">
        <v>76885</v>
      </c>
      <c r="I4994">
        <v>79868</v>
      </c>
      <c r="J4994">
        <v>1130</v>
      </c>
      <c r="K4994">
        <v>544927</v>
      </c>
      <c r="L4994">
        <v>128904</v>
      </c>
      <c r="M4994">
        <v>-108087</v>
      </c>
      <c r="N4994">
        <v>60754</v>
      </c>
      <c r="O4994" t="s">
        <v>5012</v>
      </c>
      <c r="P4994" s="9">
        <v>231699</v>
      </c>
      <c r="Q4994" s="9">
        <v>25717</v>
      </c>
      <c r="R4994" s="9">
        <v>257416</v>
      </c>
      <c r="S4994" s="9">
        <v>-81711</v>
      </c>
      <c r="T4994" s="10">
        <v>73159</v>
      </c>
      <c r="U4994" s="10">
        <v>1242</v>
      </c>
    </row>
    <row r="4995" spans="1:21" x14ac:dyDescent="0.35">
      <c r="A4995" t="s">
        <v>15</v>
      </c>
      <c r="B4995" t="s">
        <v>16</v>
      </c>
      <c r="C4995" t="s">
        <v>17</v>
      </c>
      <c r="D4995">
        <v>191158</v>
      </c>
      <c r="E4995">
        <v>33450</v>
      </c>
      <c r="F4995">
        <v>27325</v>
      </c>
      <c r="G4995">
        <v>-168185</v>
      </c>
      <c r="H4995">
        <v>83748</v>
      </c>
      <c r="I4995">
        <v>87680</v>
      </c>
      <c r="J4995">
        <v>2163</v>
      </c>
      <c r="K4995">
        <v>492298</v>
      </c>
      <c r="L4995">
        <v>56011</v>
      </c>
      <c r="M4995">
        <v>-152842</v>
      </c>
      <c r="N4995">
        <v>88231</v>
      </c>
      <c r="O4995" t="s">
        <v>5013</v>
      </c>
      <c r="P4995" s="9">
        <v>315263</v>
      </c>
      <c r="Q4995" s="9">
        <v>18316</v>
      </c>
      <c r="R4995" s="9">
        <v>333579</v>
      </c>
      <c r="S4995" s="9">
        <v>-116989</v>
      </c>
      <c r="T4995" s="10">
        <v>85316</v>
      </c>
      <c r="U4995" s="10">
        <v>2383</v>
      </c>
    </row>
    <row r="4996" spans="1:21" x14ac:dyDescent="0.35">
      <c r="A4996" t="s">
        <v>15</v>
      </c>
      <c r="B4996" t="s">
        <v>20</v>
      </c>
      <c r="C4996" t="s">
        <v>17</v>
      </c>
      <c r="D4996">
        <v>182135</v>
      </c>
      <c r="E4996">
        <v>22372</v>
      </c>
      <c r="F4996">
        <v>29592</v>
      </c>
      <c r="G4996">
        <v>-164223</v>
      </c>
      <c r="H4996">
        <v>69876</v>
      </c>
      <c r="I4996">
        <v>64208</v>
      </c>
      <c r="J4996">
        <v>1688</v>
      </c>
      <c r="K4996">
        <v>698613</v>
      </c>
      <c r="L4996">
        <v>185987</v>
      </c>
      <c r="M4996">
        <v>-216164</v>
      </c>
      <c r="N4996">
        <v>159767</v>
      </c>
      <c r="O4996" t="s">
        <v>5014</v>
      </c>
      <c r="P4996" s="9">
        <v>160660</v>
      </c>
      <c r="Q4996" s="9">
        <v>28464</v>
      </c>
      <c r="R4996" s="9">
        <v>189124</v>
      </c>
      <c r="S4996" s="9">
        <v>-61962</v>
      </c>
      <c r="T4996" s="10">
        <v>77120</v>
      </c>
      <c r="U4996" s="10">
        <v>1597</v>
      </c>
    </row>
    <row r="4997" spans="1:21" x14ac:dyDescent="0.35">
      <c r="A4997" t="s">
        <v>15</v>
      </c>
      <c r="B4997" t="s">
        <v>20</v>
      </c>
      <c r="C4997" t="s">
        <v>17</v>
      </c>
      <c r="D4997">
        <v>175500</v>
      </c>
      <c r="E4997">
        <v>17633</v>
      </c>
      <c r="F4997">
        <v>27962</v>
      </c>
      <c r="G4997">
        <v>-152627</v>
      </c>
      <c r="H4997">
        <v>68468</v>
      </c>
      <c r="I4997">
        <v>70309</v>
      </c>
      <c r="J4997">
        <v>1663</v>
      </c>
      <c r="K4997">
        <v>475483</v>
      </c>
      <c r="L4997">
        <v>110383</v>
      </c>
      <c r="M4997">
        <v>-170958</v>
      </c>
      <c r="N4997">
        <v>148484</v>
      </c>
      <c r="O4997" t="s">
        <v>5015</v>
      </c>
      <c r="P4997" s="9">
        <v>188582</v>
      </c>
      <c r="Q4997" s="9">
        <v>29449</v>
      </c>
      <c r="R4997" s="9">
        <v>218031</v>
      </c>
      <c r="S4997" s="9">
        <v>-75429</v>
      </c>
      <c r="T4997" s="10">
        <v>64006</v>
      </c>
      <c r="U4997" s="10">
        <v>1866</v>
      </c>
    </row>
    <row r="4998" spans="1:21" x14ac:dyDescent="0.35">
      <c r="A4998" t="s">
        <v>15</v>
      </c>
      <c r="B4998" t="s">
        <v>16</v>
      </c>
      <c r="C4998" t="s">
        <v>21</v>
      </c>
      <c r="D4998">
        <v>233091</v>
      </c>
      <c r="E4998">
        <v>42934</v>
      </c>
      <c r="F4998">
        <v>32563</v>
      </c>
      <c r="G4998">
        <v>-188352</v>
      </c>
      <c r="H4998">
        <v>120236</v>
      </c>
      <c r="I4998">
        <v>121372</v>
      </c>
      <c r="J4998">
        <v>1772</v>
      </c>
      <c r="K4998">
        <v>564527</v>
      </c>
      <c r="L4998">
        <v>237058</v>
      </c>
      <c r="M4998">
        <v>-167066</v>
      </c>
      <c r="N4998">
        <v>125054</v>
      </c>
      <c r="O4998" t="s">
        <v>5016</v>
      </c>
      <c r="P4998" s="9">
        <v>202182</v>
      </c>
      <c r="Q4998" s="9">
        <v>19652</v>
      </c>
      <c r="R4998" s="9">
        <v>221834</v>
      </c>
      <c r="S4998" s="9">
        <v>-88742</v>
      </c>
      <c r="T4998" s="10">
        <v>96666</v>
      </c>
      <c r="U4998" s="10">
        <v>1185</v>
      </c>
    </row>
    <row r="4999" spans="1:21" x14ac:dyDescent="0.35">
      <c r="A4999" t="s">
        <v>15</v>
      </c>
      <c r="B4999" t="s">
        <v>16</v>
      </c>
      <c r="C4999" t="s">
        <v>21</v>
      </c>
      <c r="D4999">
        <v>162688</v>
      </c>
      <c r="E4999">
        <v>16479</v>
      </c>
      <c r="F4999">
        <v>18279</v>
      </c>
      <c r="G4999">
        <v>-158299</v>
      </c>
      <c r="H4999">
        <v>39147</v>
      </c>
      <c r="I4999">
        <v>35672</v>
      </c>
      <c r="J4999">
        <v>1011</v>
      </c>
      <c r="K4999">
        <v>531113</v>
      </c>
      <c r="L4999">
        <v>158038</v>
      </c>
      <c r="M4999">
        <v>-192991</v>
      </c>
      <c r="N4999">
        <v>55746</v>
      </c>
      <c r="O4999" t="s">
        <v>5017</v>
      </c>
      <c r="P4999" s="9">
        <v>251819</v>
      </c>
      <c r="Q4999" s="9">
        <v>43886</v>
      </c>
      <c r="R4999" s="9">
        <v>295705</v>
      </c>
      <c r="S4999" s="9">
        <v>-99967</v>
      </c>
      <c r="T4999" s="10">
        <v>138247</v>
      </c>
      <c r="U4999" s="10">
        <v>2754</v>
      </c>
    </row>
    <row r="5000" spans="1:21" x14ac:dyDescent="0.35">
      <c r="A5000" t="s">
        <v>15</v>
      </c>
      <c r="B5000" t="s">
        <v>16</v>
      </c>
      <c r="C5000" t="s">
        <v>17</v>
      </c>
      <c r="D5000">
        <v>152571</v>
      </c>
      <c r="E5000">
        <v>11365</v>
      </c>
      <c r="F5000">
        <v>33939</v>
      </c>
      <c r="G5000">
        <v>-144529</v>
      </c>
      <c r="H5000">
        <v>53346</v>
      </c>
      <c r="I5000">
        <v>55464</v>
      </c>
      <c r="J5000">
        <v>1157</v>
      </c>
      <c r="K5000">
        <v>346644</v>
      </c>
      <c r="L5000">
        <v>107390</v>
      </c>
      <c r="M5000">
        <v>-92788</v>
      </c>
      <c r="N5000">
        <v>48410</v>
      </c>
      <c r="O5000" t="s">
        <v>5018</v>
      </c>
      <c r="P5000" s="9">
        <v>220016</v>
      </c>
      <c r="Q5000" s="9">
        <v>37144</v>
      </c>
      <c r="R5000" s="9">
        <v>257160</v>
      </c>
      <c r="S5000" s="9">
        <v>-113860</v>
      </c>
      <c r="T5000" s="10">
        <v>83942</v>
      </c>
      <c r="U5000" s="10">
        <v>2044</v>
      </c>
    </row>
    <row r="5001" spans="1:21" x14ac:dyDescent="0.35">
      <c r="A5001" t="s">
        <v>15</v>
      </c>
      <c r="B5001" t="s">
        <v>20</v>
      </c>
      <c r="C5001" t="s">
        <v>21</v>
      </c>
      <c r="D5001">
        <v>226670</v>
      </c>
      <c r="E5001">
        <v>14494</v>
      </c>
      <c r="F5001">
        <v>27126</v>
      </c>
      <c r="G5001">
        <v>-210710</v>
      </c>
      <c r="H5001">
        <v>57580</v>
      </c>
      <c r="I5001">
        <v>59468</v>
      </c>
      <c r="J5001">
        <v>799</v>
      </c>
      <c r="K5001">
        <v>575596</v>
      </c>
      <c r="L5001">
        <v>136387</v>
      </c>
      <c r="M5001">
        <v>-186214</v>
      </c>
      <c r="N5001">
        <v>169155</v>
      </c>
      <c r="O5001" t="s">
        <v>5019</v>
      </c>
      <c r="P5001" s="9">
        <v>270002</v>
      </c>
      <c r="Q5001" s="9">
        <v>22734</v>
      </c>
      <c r="R5001" s="9">
        <v>292736</v>
      </c>
      <c r="S5001" s="9">
        <v>-96142</v>
      </c>
      <c r="T5001" s="10">
        <v>77654</v>
      </c>
      <c r="U5001" s="10">
        <v>1636</v>
      </c>
    </row>
    <row r="5002" spans="1:21" x14ac:dyDescent="0.35">
      <c r="A5002" t="s">
        <v>15</v>
      </c>
      <c r="B5002" t="s">
        <v>16</v>
      </c>
      <c r="C5002" t="s">
        <v>21</v>
      </c>
      <c r="D5002">
        <v>248878</v>
      </c>
      <c r="E5002">
        <v>34627</v>
      </c>
      <c r="F5002">
        <v>42422</v>
      </c>
      <c r="G5002">
        <v>-228606</v>
      </c>
      <c r="H5002">
        <v>97321</v>
      </c>
      <c r="I5002">
        <v>94110</v>
      </c>
      <c r="J5002">
        <v>1079</v>
      </c>
      <c r="K5002">
        <v>608957</v>
      </c>
      <c r="L5002">
        <v>275699</v>
      </c>
      <c r="M5002">
        <v>-163145</v>
      </c>
      <c r="N5002">
        <v>126430</v>
      </c>
      <c r="O5002" t="s">
        <v>5020</v>
      </c>
      <c r="P5002" s="9">
        <v>190054</v>
      </c>
      <c r="Q5002" s="9">
        <v>24951</v>
      </c>
      <c r="R5002" s="9">
        <v>215005</v>
      </c>
      <c r="S5002" s="9">
        <v>-88099</v>
      </c>
      <c r="T5002" s="10">
        <v>86101</v>
      </c>
      <c r="U5002" s="10">
        <v>1982</v>
      </c>
    </row>
    <row r="5003" spans="1:21" x14ac:dyDescent="0.35">
      <c r="A5003" t="s">
        <v>15</v>
      </c>
      <c r="B5003" t="s">
        <v>16</v>
      </c>
      <c r="C5003" t="s">
        <v>17</v>
      </c>
      <c r="D5003">
        <v>213416</v>
      </c>
      <c r="E5003">
        <v>40059</v>
      </c>
      <c r="F5003">
        <v>24239</v>
      </c>
      <c r="G5003">
        <v>-182306</v>
      </c>
      <c r="H5003">
        <v>95408</v>
      </c>
      <c r="I5003">
        <v>95469</v>
      </c>
      <c r="J5003">
        <v>2071</v>
      </c>
      <c r="K5003">
        <v>465276</v>
      </c>
      <c r="L5003">
        <v>146361</v>
      </c>
      <c r="M5003">
        <v>-130620</v>
      </c>
      <c r="N5003">
        <v>150121</v>
      </c>
      <c r="O5003" t="s">
        <v>5021</v>
      </c>
      <c r="P5003" s="9">
        <v>260633</v>
      </c>
      <c r="Q5003" s="9">
        <v>16799</v>
      </c>
      <c r="R5003" s="9">
        <v>277432</v>
      </c>
      <c r="S5003" s="9">
        <v>-151818</v>
      </c>
      <c r="T5003" s="10">
        <v>109718</v>
      </c>
      <c r="U5003" s="10">
        <v>2178</v>
      </c>
    </row>
    <row r="5004" spans="1:21" x14ac:dyDescent="0.35">
      <c r="A5004" t="s">
        <v>15</v>
      </c>
      <c r="B5004" t="s">
        <v>20</v>
      </c>
      <c r="C5004" t="s">
        <v>21</v>
      </c>
      <c r="D5004">
        <v>180780</v>
      </c>
      <c r="E5004">
        <v>27857</v>
      </c>
      <c r="F5004">
        <v>25953</v>
      </c>
      <c r="G5004">
        <v>-163149</v>
      </c>
      <c r="H5004">
        <v>71441</v>
      </c>
      <c r="I5004">
        <v>68990</v>
      </c>
      <c r="J5004">
        <v>1018</v>
      </c>
      <c r="K5004">
        <v>510141</v>
      </c>
      <c r="L5004">
        <v>185024</v>
      </c>
      <c r="M5004">
        <v>-125967</v>
      </c>
      <c r="N5004">
        <v>69980</v>
      </c>
      <c r="O5004" t="s">
        <v>5022</v>
      </c>
      <c r="P5004" s="9">
        <v>154257</v>
      </c>
      <c r="Q5004" s="9">
        <v>8377</v>
      </c>
      <c r="R5004" s="9">
        <v>162634</v>
      </c>
      <c r="S5004" s="9">
        <v>-58359</v>
      </c>
      <c r="T5004" s="10">
        <v>46892</v>
      </c>
      <c r="U5004" s="10">
        <v>1117</v>
      </c>
    </row>
    <row r="5005" spans="1:21" x14ac:dyDescent="0.35">
      <c r="A5005" t="s">
        <v>15</v>
      </c>
      <c r="B5005" t="s">
        <v>16</v>
      </c>
      <c r="C5005" t="s">
        <v>21</v>
      </c>
      <c r="D5005">
        <v>212360</v>
      </c>
      <c r="E5005">
        <v>17674</v>
      </c>
      <c r="F5005">
        <v>23692</v>
      </c>
      <c r="G5005">
        <v>-202733</v>
      </c>
      <c r="H5005">
        <v>50993</v>
      </c>
      <c r="I5005">
        <v>50768</v>
      </c>
      <c r="J5005">
        <v>1378</v>
      </c>
      <c r="K5005">
        <v>486481</v>
      </c>
      <c r="L5005">
        <v>76888</v>
      </c>
      <c r="M5005">
        <v>-122178</v>
      </c>
      <c r="N5005">
        <v>66478</v>
      </c>
      <c r="O5005" t="s">
        <v>5023</v>
      </c>
      <c r="P5005" s="9">
        <v>290035</v>
      </c>
      <c r="Q5005" s="9">
        <v>34300</v>
      </c>
      <c r="R5005" s="9">
        <v>324335</v>
      </c>
      <c r="S5005" s="9">
        <v>-166169</v>
      </c>
      <c r="T5005" s="10">
        <v>104755</v>
      </c>
      <c r="U5005" s="10">
        <v>2309</v>
      </c>
    </row>
    <row r="5006" spans="1:21" x14ac:dyDescent="0.35">
      <c r="A5006" t="s">
        <v>15</v>
      </c>
      <c r="B5006" t="s">
        <v>20</v>
      </c>
      <c r="C5006" t="s">
        <v>17</v>
      </c>
      <c r="D5006">
        <v>208564</v>
      </c>
      <c r="E5006">
        <v>21798</v>
      </c>
      <c r="F5006">
        <v>34721</v>
      </c>
      <c r="G5006">
        <v>-169647</v>
      </c>
      <c r="H5006">
        <v>95436</v>
      </c>
      <c r="I5006">
        <v>92275</v>
      </c>
      <c r="J5006">
        <v>2389</v>
      </c>
      <c r="K5006">
        <v>767935</v>
      </c>
      <c r="L5006">
        <v>103232</v>
      </c>
      <c r="M5006">
        <v>-156384</v>
      </c>
      <c r="N5006">
        <v>176963</v>
      </c>
      <c r="O5006" t="s">
        <v>5024</v>
      </c>
      <c r="P5006" s="9">
        <v>187792</v>
      </c>
      <c r="Q5006" s="9">
        <v>12396</v>
      </c>
      <c r="R5006" s="9">
        <v>200188</v>
      </c>
      <c r="S5006" s="9">
        <v>-53539</v>
      </c>
      <c r="T5006" s="10">
        <v>46839</v>
      </c>
      <c r="U5006" s="10">
        <v>528</v>
      </c>
    </row>
    <row r="5007" spans="1:21" x14ac:dyDescent="0.35">
      <c r="A5007" t="s">
        <v>15</v>
      </c>
      <c r="B5007" t="s">
        <v>20</v>
      </c>
      <c r="C5007" t="s">
        <v>17</v>
      </c>
      <c r="D5007">
        <v>192578</v>
      </c>
      <c r="E5007">
        <v>28513</v>
      </c>
      <c r="F5007">
        <v>39763</v>
      </c>
      <c r="G5007">
        <v>-171160</v>
      </c>
      <c r="H5007">
        <v>89694</v>
      </c>
      <c r="I5007">
        <v>85040</v>
      </c>
      <c r="J5007">
        <v>2379</v>
      </c>
      <c r="K5007">
        <v>508577</v>
      </c>
      <c r="L5007">
        <v>87039</v>
      </c>
      <c r="M5007">
        <v>-83825</v>
      </c>
      <c r="N5007">
        <v>135077</v>
      </c>
      <c r="O5007" t="s">
        <v>5025</v>
      </c>
      <c r="P5007" s="9">
        <v>234917</v>
      </c>
      <c r="Q5007" s="9">
        <v>12118</v>
      </c>
      <c r="R5007" s="9">
        <v>247035</v>
      </c>
      <c r="S5007" s="9">
        <v>-63834</v>
      </c>
      <c r="T5007" s="10">
        <v>64777</v>
      </c>
      <c r="U5007" s="10">
        <v>1345</v>
      </c>
    </row>
    <row r="5008" spans="1:21" x14ac:dyDescent="0.35">
      <c r="A5008" t="s">
        <v>15</v>
      </c>
      <c r="B5008" t="s">
        <v>16</v>
      </c>
      <c r="C5008" t="s">
        <v>17</v>
      </c>
      <c r="D5008">
        <v>248787</v>
      </c>
      <c r="E5008">
        <v>17079</v>
      </c>
      <c r="F5008">
        <v>37210</v>
      </c>
      <c r="G5008">
        <v>-240787</v>
      </c>
      <c r="H5008">
        <v>62289</v>
      </c>
      <c r="I5008">
        <v>56301</v>
      </c>
      <c r="J5008">
        <v>711</v>
      </c>
      <c r="K5008">
        <v>896562</v>
      </c>
      <c r="L5008">
        <v>329685</v>
      </c>
      <c r="M5008">
        <v>-225548</v>
      </c>
      <c r="N5008">
        <v>196268</v>
      </c>
      <c r="O5008" t="s">
        <v>5026</v>
      </c>
      <c r="P5008" s="9">
        <v>282531</v>
      </c>
      <c r="Q5008" s="9">
        <v>26520</v>
      </c>
      <c r="R5008" s="9">
        <v>309051</v>
      </c>
      <c r="S5008" s="9">
        <v>-88657</v>
      </c>
      <c r="T5008" s="10">
        <v>101742</v>
      </c>
      <c r="U5008" s="10">
        <v>2256</v>
      </c>
    </row>
    <row r="5009" spans="1:21" x14ac:dyDescent="0.35">
      <c r="A5009" t="s">
        <v>15</v>
      </c>
      <c r="B5009" t="s">
        <v>16</v>
      </c>
      <c r="C5009" t="s">
        <v>21</v>
      </c>
      <c r="D5009">
        <v>207553</v>
      </c>
      <c r="E5009">
        <v>20298</v>
      </c>
      <c r="F5009">
        <v>42589</v>
      </c>
      <c r="G5009">
        <v>-188588</v>
      </c>
      <c r="H5009">
        <v>81852</v>
      </c>
      <c r="I5009">
        <v>85599</v>
      </c>
      <c r="J5009">
        <v>2175</v>
      </c>
      <c r="K5009">
        <v>516665</v>
      </c>
      <c r="L5009">
        <v>257177</v>
      </c>
      <c r="M5009">
        <v>-56067</v>
      </c>
      <c r="N5009">
        <v>177329</v>
      </c>
      <c r="O5009" t="s">
        <v>5027</v>
      </c>
      <c r="P5009" s="9">
        <v>242279</v>
      </c>
      <c r="Q5009" s="9">
        <v>45827</v>
      </c>
      <c r="R5009" s="9">
        <v>288106</v>
      </c>
      <c r="S5009" s="9">
        <v>-149080</v>
      </c>
      <c r="T5009" s="10">
        <v>105312</v>
      </c>
      <c r="U5009" s="10">
        <v>1684</v>
      </c>
    </row>
    <row r="5010" spans="1:21" x14ac:dyDescent="0.35">
      <c r="A5010" t="s">
        <v>15</v>
      </c>
      <c r="B5010" t="s">
        <v>16</v>
      </c>
      <c r="C5010" t="s">
        <v>17</v>
      </c>
      <c r="D5010">
        <v>173157</v>
      </c>
      <c r="E5010">
        <v>28920</v>
      </c>
      <c r="F5010">
        <v>24317</v>
      </c>
      <c r="G5010">
        <v>-148443</v>
      </c>
      <c r="H5010">
        <v>77951</v>
      </c>
      <c r="I5010">
        <v>74910</v>
      </c>
      <c r="J5010">
        <v>1652</v>
      </c>
      <c r="K5010">
        <v>558585</v>
      </c>
      <c r="L5010">
        <v>278751</v>
      </c>
      <c r="M5010">
        <v>-212063</v>
      </c>
      <c r="N5010">
        <v>102047</v>
      </c>
      <c r="O5010" t="s">
        <v>5028</v>
      </c>
      <c r="P5010" s="9">
        <v>175062</v>
      </c>
      <c r="Q5010" s="9">
        <v>33881</v>
      </c>
      <c r="R5010" s="9">
        <v>208943</v>
      </c>
      <c r="S5010" s="9">
        <v>-60748</v>
      </c>
      <c r="T5010" s="10">
        <v>63161</v>
      </c>
      <c r="U5010" s="10">
        <v>1047</v>
      </c>
    </row>
    <row r="5011" spans="1:21" x14ac:dyDescent="0.35">
      <c r="A5011" t="s">
        <v>15</v>
      </c>
      <c r="B5011" t="s">
        <v>20</v>
      </c>
      <c r="C5011" t="s">
        <v>21</v>
      </c>
      <c r="D5011">
        <v>251176</v>
      </c>
      <c r="E5011">
        <v>29345</v>
      </c>
      <c r="F5011">
        <v>50233</v>
      </c>
      <c r="G5011">
        <v>-244965</v>
      </c>
      <c r="H5011">
        <v>85789</v>
      </c>
      <c r="I5011">
        <v>85458</v>
      </c>
      <c r="J5011">
        <v>879</v>
      </c>
      <c r="K5011">
        <v>537705</v>
      </c>
      <c r="L5011">
        <v>59664</v>
      </c>
      <c r="M5011">
        <v>-150790</v>
      </c>
      <c r="N5011">
        <v>105675</v>
      </c>
      <c r="O5011" t="s">
        <v>5029</v>
      </c>
      <c r="P5011" s="9">
        <v>229227</v>
      </c>
      <c r="Q5011" s="9">
        <v>31854</v>
      </c>
      <c r="R5011" s="9">
        <v>261081</v>
      </c>
      <c r="S5011" s="9">
        <v>-112162</v>
      </c>
      <c r="T5011" s="10">
        <v>72962</v>
      </c>
      <c r="U5011" s="10">
        <v>1025</v>
      </c>
    </row>
    <row r="5012" spans="1:21" x14ac:dyDescent="0.35">
      <c r="A5012" t="s">
        <v>15</v>
      </c>
      <c r="B5012" t="s">
        <v>20</v>
      </c>
      <c r="C5012" t="s">
        <v>21</v>
      </c>
      <c r="D5012">
        <v>171703</v>
      </c>
      <c r="E5012">
        <v>29364</v>
      </c>
      <c r="F5012">
        <v>29022</v>
      </c>
      <c r="G5012">
        <v>-144908</v>
      </c>
      <c r="H5012">
        <v>85181</v>
      </c>
      <c r="I5012">
        <v>80365</v>
      </c>
      <c r="J5012">
        <v>1971</v>
      </c>
      <c r="K5012">
        <v>620510</v>
      </c>
      <c r="L5012">
        <v>294334</v>
      </c>
      <c r="M5012">
        <v>-115637</v>
      </c>
      <c r="N5012">
        <v>152828</v>
      </c>
      <c r="O5012" t="s">
        <v>5030</v>
      </c>
      <c r="P5012" s="9">
        <v>271687</v>
      </c>
      <c r="Q5012" s="9">
        <v>37703</v>
      </c>
      <c r="R5012" s="9">
        <v>309390</v>
      </c>
      <c r="S5012" s="9">
        <v>-131207</v>
      </c>
      <c r="T5012" s="10">
        <v>109270</v>
      </c>
      <c r="U5012" s="10">
        <v>1995</v>
      </c>
    </row>
    <row r="5013" spans="1:21" x14ac:dyDescent="0.35">
      <c r="A5013" t="s">
        <v>15</v>
      </c>
      <c r="B5013" t="s">
        <v>20</v>
      </c>
      <c r="C5013" t="s">
        <v>21</v>
      </c>
      <c r="D5013">
        <v>158453</v>
      </c>
      <c r="E5013">
        <v>22171</v>
      </c>
      <c r="F5013">
        <v>34768</v>
      </c>
      <c r="G5013">
        <v>-140362</v>
      </c>
      <c r="H5013">
        <v>75030</v>
      </c>
      <c r="I5013">
        <v>69080</v>
      </c>
      <c r="J5013">
        <v>1455</v>
      </c>
      <c r="K5013">
        <v>609131</v>
      </c>
      <c r="L5013">
        <v>175914</v>
      </c>
      <c r="M5013">
        <v>-150503</v>
      </c>
      <c r="N5013">
        <v>92819</v>
      </c>
      <c r="O5013" t="s">
        <v>5031</v>
      </c>
      <c r="P5013" s="9">
        <v>221719</v>
      </c>
      <c r="Q5013" s="9">
        <v>23813</v>
      </c>
      <c r="R5013" s="9">
        <v>245532</v>
      </c>
      <c r="S5013" s="9">
        <v>-65579</v>
      </c>
      <c r="T5013" s="10">
        <v>115388</v>
      </c>
      <c r="U5013" s="10">
        <v>3013</v>
      </c>
    </row>
    <row r="5014" spans="1:21" x14ac:dyDescent="0.35">
      <c r="A5014" t="s">
        <v>15</v>
      </c>
      <c r="B5014" t="s">
        <v>20</v>
      </c>
      <c r="C5014" t="s">
        <v>21</v>
      </c>
      <c r="D5014">
        <v>183133</v>
      </c>
      <c r="E5014">
        <v>16334</v>
      </c>
      <c r="F5014">
        <v>44780</v>
      </c>
      <c r="G5014">
        <v>-167692</v>
      </c>
      <c r="H5014">
        <v>76555</v>
      </c>
      <c r="I5014">
        <v>77946</v>
      </c>
      <c r="J5014">
        <v>1836</v>
      </c>
      <c r="K5014">
        <v>497184</v>
      </c>
      <c r="L5014">
        <v>106831</v>
      </c>
      <c r="M5014">
        <v>-105998</v>
      </c>
      <c r="N5014">
        <v>73299</v>
      </c>
      <c r="O5014" t="s">
        <v>5032</v>
      </c>
      <c r="P5014" s="9">
        <v>208104</v>
      </c>
      <c r="Q5014" s="9">
        <v>30242</v>
      </c>
      <c r="R5014" s="9">
        <v>238346</v>
      </c>
      <c r="S5014" s="9">
        <v>-140691</v>
      </c>
      <c r="T5014" s="10">
        <v>80270</v>
      </c>
      <c r="U5014" s="10">
        <v>2197</v>
      </c>
    </row>
    <row r="5015" spans="1:21" x14ac:dyDescent="0.35">
      <c r="A5015" t="s">
        <v>15</v>
      </c>
      <c r="B5015" t="s">
        <v>20</v>
      </c>
      <c r="C5015" t="s">
        <v>17</v>
      </c>
      <c r="D5015">
        <v>211006</v>
      </c>
      <c r="E5015">
        <v>40894</v>
      </c>
      <c r="F5015">
        <v>50810</v>
      </c>
      <c r="G5015">
        <v>-183215</v>
      </c>
      <c r="H5015">
        <v>119495</v>
      </c>
      <c r="I5015">
        <v>117712</v>
      </c>
      <c r="J5015">
        <v>3012</v>
      </c>
      <c r="K5015">
        <v>637933</v>
      </c>
      <c r="L5015">
        <v>303589</v>
      </c>
      <c r="M5015">
        <v>-187738</v>
      </c>
      <c r="N5015">
        <v>179949</v>
      </c>
      <c r="O5015" t="s">
        <v>5033</v>
      </c>
      <c r="P5015" s="9">
        <v>160875</v>
      </c>
      <c r="Q5015" s="9">
        <v>30295</v>
      </c>
      <c r="R5015" s="9">
        <v>191170</v>
      </c>
      <c r="S5015" s="9">
        <v>-109962</v>
      </c>
      <c r="T5015" s="10">
        <v>70572</v>
      </c>
      <c r="U5015" s="10">
        <v>943</v>
      </c>
    </row>
    <row r="5016" spans="1:21" x14ac:dyDescent="0.35">
      <c r="A5016" t="s">
        <v>15</v>
      </c>
      <c r="B5016" t="s">
        <v>16</v>
      </c>
      <c r="C5016" t="s">
        <v>21</v>
      </c>
      <c r="D5016">
        <v>274080</v>
      </c>
      <c r="E5016">
        <v>52536</v>
      </c>
      <c r="F5016">
        <v>40756</v>
      </c>
      <c r="G5016">
        <v>-234165</v>
      </c>
      <c r="H5016">
        <v>133207</v>
      </c>
      <c r="I5016">
        <v>130739</v>
      </c>
      <c r="J5016">
        <v>1477</v>
      </c>
      <c r="K5016">
        <v>636926</v>
      </c>
      <c r="L5016">
        <v>215692</v>
      </c>
      <c r="M5016">
        <v>-96990</v>
      </c>
      <c r="N5016">
        <v>203660</v>
      </c>
      <c r="O5016" t="s">
        <v>5034</v>
      </c>
      <c r="P5016" s="9">
        <v>239768</v>
      </c>
      <c r="Q5016" s="9">
        <v>25647</v>
      </c>
      <c r="R5016" s="9">
        <v>265415</v>
      </c>
      <c r="S5016" s="9">
        <v>-87241</v>
      </c>
      <c r="T5016" s="10">
        <v>103205</v>
      </c>
      <c r="U5016" s="10">
        <v>1117</v>
      </c>
    </row>
    <row r="5017" spans="1:21" x14ac:dyDescent="0.35">
      <c r="A5017" t="s">
        <v>15</v>
      </c>
      <c r="B5017" t="s">
        <v>16</v>
      </c>
      <c r="C5017" t="s">
        <v>17</v>
      </c>
      <c r="D5017">
        <v>172703</v>
      </c>
      <c r="E5017">
        <v>14774</v>
      </c>
      <c r="F5017">
        <v>36102</v>
      </c>
      <c r="G5017">
        <v>-167198</v>
      </c>
      <c r="H5017">
        <v>56381</v>
      </c>
      <c r="I5017">
        <v>55354</v>
      </c>
      <c r="J5017">
        <v>1390</v>
      </c>
      <c r="K5017">
        <v>628328</v>
      </c>
      <c r="L5017">
        <v>140593</v>
      </c>
      <c r="M5017">
        <v>-141484</v>
      </c>
      <c r="N5017">
        <v>58613</v>
      </c>
      <c r="O5017" t="s">
        <v>5035</v>
      </c>
      <c r="P5017" s="9">
        <v>178469</v>
      </c>
      <c r="Q5017" s="9">
        <v>29464</v>
      </c>
      <c r="R5017" s="9">
        <v>207933</v>
      </c>
      <c r="S5017" s="9">
        <v>-57074</v>
      </c>
      <c r="T5017" s="10">
        <v>62440</v>
      </c>
      <c r="U5017" s="10">
        <v>1191</v>
      </c>
    </row>
    <row r="5018" spans="1:21" x14ac:dyDescent="0.35">
      <c r="A5018" t="s">
        <v>15</v>
      </c>
      <c r="B5018" t="s">
        <v>20</v>
      </c>
      <c r="C5018" t="s">
        <v>21</v>
      </c>
      <c r="D5018">
        <v>247828</v>
      </c>
      <c r="E5018">
        <v>27639</v>
      </c>
      <c r="F5018">
        <v>33811</v>
      </c>
      <c r="G5018">
        <v>-231940</v>
      </c>
      <c r="H5018">
        <v>77338</v>
      </c>
      <c r="I5018">
        <v>78346</v>
      </c>
      <c r="J5018">
        <v>1139</v>
      </c>
      <c r="K5018">
        <v>788563</v>
      </c>
      <c r="L5018">
        <v>303284</v>
      </c>
      <c r="M5018">
        <v>-223663</v>
      </c>
      <c r="N5018">
        <v>219006</v>
      </c>
      <c r="O5018" t="s">
        <v>5036</v>
      </c>
      <c r="P5018" s="9">
        <v>175340</v>
      </c>
      <c r="Q5018" s="9">
        <v>22090</v>
      </c>
      <c r="R5018" s="9">
        <v>197430</v>
      </c>
      <c r="S5018" s="9">
        <v>-77885</v>
      </c>
      <c r="T5018" s="10">
        <v>80833</v>
      </c>
      <c r="U5018" s="10">
        <v>1417</v>
      </c>
    </row>
    <row r="5019" spans="1:21" x14ac:dyDescent="0.35">
      <c r="A5019" t="s">
        <v>15</v>
      </c>
      <c r="B5019" t="s">
        <v>16</v>
      </c>
      <c r="C5019" t="s">
        <v>17</v>
      </c>
      <c r="D5019">
        <v>233176</v>
      </c>
      <c r="E5019">
        <v>41112</v>
      </c>
      <c r="F5019">
        <v>35807</v>
      </c>
      <c r="G5019">
        <v>-225203</v>
      </c>
      <c r="H5019">
        <v>84892</v>
      </c>
      <c r="I5019">
        <v>83052</v>
      </c>
      <c r="J5019">
        <v>1645</v>
      </c>
      <c r="K5019">
        <v>469723</v>
      </c>
      <c r="L5019">
        <v>126280</v>
      </c>
      <c r="M5019">
        <v>-178798</v>
      </c>
      <c r="N5019">
        <v>167134</v>
      </c>
      <c r="O5019" t="s">
        <v>5037</v>
      </c>
      <c r="P5019" s="9">
        <v>226777</v>
      </c>
      <c r="Q5019" s="9">
        <v>19588</v>
      </c>
      <c r="R5019" s="9">
        <v>246365</v>
      </c>
      <c r="S5019" s="9">
        <v>-113832</v>
      </c>
      <c r="T5019" s="10">
        <v>89260</v>
      </c>
      <c r="U5019" s="10">
        <v>1941</v>
      </c>
    </row>
    <row r="5020" spans="1:21" x14ac:dyDescent="0.35">
      <c r="A5020" t="s">
        <v>15</v>
      </c>
      <c r="B5020" t="s">
        <v>16</v>
      </c>
      <c r="C5020" t="s">
        <v>21</v>
      </c>
      <c r="D5020">
        <v>191085</v>
      </c>
      <c r="E5020">
        <v>29381</v>
      </c>
      <c r="F5020">
        <v>21345</v>
      </c>
      <c r="G5020">
        <v>-172496</v>
      </c>
      <c r="H5020">
        <v>69315</v>
      </c>
      <c r="I5020">
        <v>71067</v>
      </c>
      <c r="J5020">
        <v>1015</v>
      </c>
      <c r="K5020">
        <v>395888</v>
      </c>
      <c r="L5020">
        <v>126256</v>
      </c>
      <c r="M5020">
        <v>-50143</v>
      </c>
      <c r="N5020">
        <v>67454</v>
      </c>
      <c r="O5020" t="s">
        <v>5038</v>
      </c>
      <c r="P5020" s="9">
        <v>239115</v>
      </c>
      <c r="Q5020" s="9">
        <v>19868</v>
      </c>
      <c r="R5020" s="9">
        <v>258983</v>
      </c>
      <c r="S5020" s="9">
        <v>-87573</v>
      </c>
      <c r="T5020" s="10">
        <v>84474</v>
      </c>
      <c r="U5020" s="10">
        <v>2221</v>
      </c>
    </row>
    <row r="5021" spans="1:21" x14ac:dyDescent="0.35">
      <c r="A5021" t="s">
        <v>15</v>
      </c>
      <c r="B5021" t="s">
        <v>16</v>
      </c>
      <c r="C5021" t="s">
        <v>21</v>
      </c>
      <c r="D5021">
        <v>193219</v>
      </c>
      <c r="E5021">
        <v>24269</v>
      </c>
      <c r="F5021">
        <v>29304</v>
      </c>
      <c r="G5021">
        <v>-189142</v>
      </c>
      <c r="H5021">
        <v>57650</v>
      </c>
      <c r="I5021">
        <v>54504</v>
      </c>
      <c r="J5021">
        <v>1259</v>
      </c>
      <c r="K5021">
        <v>420241</v>
      </c>
      <c r="L5021">
        <v>131142</v>
      </c>
      <c r="M5021">
        <v>-55107</v>
      </c>
      <c r="N5021">
        <v>74188</v>
      </c>
      <c r="O5021" t="s">
        <v>5039</v>
      </c>
      <c r="P5021" s="9">
        <v>176105</v>
      </c>
      <c r="Q5021" s="9">
        <v>25866</v>
      </c>
      <c r="R5021" s="9">
        <v>201971</v>
      </c>
      <c r="S5021" s="9">
        <v>-54487</v>
      </c>
      <c r="T5021" s="10">
        <v>77542</v>
      </c>
      <c r="U5021" s="10">
        <v>2245</v>
      </c>
    </row>
    <row r="5022" spans="1:21" x14ac:dyDescent="0.35">
      <c r="A5022" t="s">
        <v>15</v>
      </c>
      <c r="B5022" t="s">
        <v>20</v>
      </c>
      <c r="C5022" t="s">
        <v>17</v>
      </c>
      <c r="D5022">
        <v>176885</v>
      </c>
      <c r="E5022">
        <v>12355</v>
      </c>
      <c r="F5022">
        <v>26203</v>
      </c>
      <c r="G5022">
        <v>-176567</v>
      </c>
      <c r="H5022">
        <v>38876</v>
      </c>
      <c r="I5022">
        <v>35905</v>
      </c>
      <c r="J5022">
        <v>722</v>
      </c>
      <c r="K5022">
        <v>379688</v>
      </c>
      <c r="L5022">
        <v>83992</v>
      </c>
      <c r="M5022">
        <v>-101463</v>
      </c>
      <c r="N5022">
        <v>88963</v>
      </c>
      <c r="O5022" t="s">
        <v>5040</v>
      </c>
      <c r="P5022" s="9">
        <v>229876</v>
      </c>
      <c r="Q5022" s="9">
        <v>26645</v>
      </c>
      <c r="R5022" s="9">
        <v>256521</v>
      </c>
      <c r="S5022" s="9">
        <v>-51939</v>
      </c>
      <c r="T5022" s="10">
        <v>68541</v>
      </c>
      <c r="U5022" s="10">
        <v>1824</v>
      </c>
    </row>
    <row r="5023" spans="1:21" x14ac:dyDescent="0.35">
      <c r="A5023" t="s">
        <v>15</v>
      </c>
      <c r="B5023" t="s">
        <v>20</v>
      </c>
      <c r="C5023" t="s">
        <v>21</v>
      </c>
      <c r="D5023">
        <v>168048</v>
      </c>
      <c r="E5023">
        <v>20510</v>
      </c>
      <c r="F5023">
        <v>26802</v>
      </c>
      <c r="G5023">
        <v>-146986</v>
      </c>
      <c r="H5023">
        <v>68374</v>
      </c>
      <c r="I5023">
        <v>69540</v>
      </c>
      <c r="J5023">
        <v>925</v>
      </c>
      <c r="K5023">
        <v>668496</v>
      </c>
      <c r="L5023">
        <v>207222</v>
      </c>
      <c r="M5023">
        <v>-76709</v>
      </c>
      <c r="N5023">
        <v>55220</v>
      </c>
      <c r="O5023" t="s">
        <v>5041</v>
      </c>
      <c r="P5023" s="9">
        <v>277581</v>
      </c>
      <c r="Q5023" s="9">
        <v>41324</v>
      </c>
      <c r="R5023" s="9">
        <v>318905</v>
      </c>
      <c r="S5023" s="9">
        <v>-76905</v>
      </c>
      <c r="T5023" s="10">
        <v>132565</v>
      </c>
      <c r="U5023" s="10">
        <v>2631</v>
      </c>
    </row>
    <row r="5024" spans="1:21" x14ac:dyDescent="0.35">
      <c r="A5024" t="s">
        <v>15</v>
      </c>
      <c r="B5024" t="s">
        <v>20</v>
      </c>
      <c r="C5024" t="s">
        <v>17</v>
      </c>
      <c r="D5024">
        <v>221336</v>
      </c>
      <c r="E5024">
        <v>11989</v>
      </c>
      <c r="F5024">
        <v>26414</v>
      </c>
      <c r="G5024">
        <v>-190071</v>
      </c>
      <c r="H5024">
        <v>69668</v>
      </c>
      <c r="I5024">
        <v>70988</v>
      </c>
      <c r="J5024">
        <v>805</v>
      </c>
      <c r="K5024">
        <v>567439</v>
      </c>
      <c r="L5024">
        <v>271412</v>
      </c>
      <c r="M5024">
        <v>-127454</v>
      </c>
      <c r="N5024">
        <v>159171</v>
      </c>
      <c r="O5024" t="s">
        <v>5042</v>
      </c>
      <c r="P5024" s="9">
        <v>215845</v>
      </c>
      <c r="Q5024" s="9">
        <v>15428</v>
      </c>
      <c r="R5024" s="9">
        <v>231273</v>
      </c>
      <c r="S5024" s="9">
        <v>-119259</v>
      </c>
      <c r="T5024" s="10">
        <v>66325</v>
      </c>
      <c r="U5024" s="10">
        <v>1267</v>
      </c>
    </row>
    <row r="5025" spans="1:21" x14ac:dyDescent="0.35">
      <c r="A5025" t="s">
        <v>15</v>
      </c>
      <c r="B5025" t="s">
        <v>16</v>
      </c>
      <c r="C5025" t="s">
        <v>17</v>
      </c>
      <c r="D5025">
        <v>152594</v>
      </c>
      <c r="E5025">
        <v>10424</v>
      </c>
      <c r="F5025">
        <v>15583</v>
      </c>
      <c r="G5025">
        <v>-145537</v>
      </c>
      <c r="H5025">
        <v>33064</v>
      </c>
      <c r="I5025">
        <v>32235</v>
      </c>
      <c r="J5025">
        <v>752</v>
      </c>
      <c r="K5025">
        <v>412891</v>
      </c>
      <c r="L5025">
        <v>178698</v>
      </c>
      <c r="M5025">
        <v>-153120</v>
      </c>
      <c r="N5025">
        <v>127417</v>
      </c>
      <c r="O5025" t="s">
        <v>5043</v>
      </c>
      <c r="P5025" s="9">
        <v>298836</v>
      </c>
      <c r="Q5025" s="9">
        <v>37024</v>
      </c>
      <c r="R5025" s="9">
        <v>335860</v>
      </c>
      <c r="S5025" s="9">
        <v>-172221</v>
      </c>
      <c r="T5025" s="10">
        <v>104107</v>
      </c>
      <c r="U5025" s="10">
        <v>1557</v>
      </c>
    </row>
    <row r="5026" spans="1:21" x14ac:dyDescent="0.35">
      <c r="A5026" t="s">
        <v>15</v>
      </c>
      <c r="B5026" t="s">
        <v>20</v>
      </c>
      <c r="C5026" t="s">
        <v>17</v>
      </c>
      <c r="D5026">
        <v>252194</v>
      </c>
      <c r="E5026">
        <v>34642</v>
      </c>
      <c r="F5026">
        <v>60954</v>
      </c>
      <c r="G5026">
        <v>-237109</v>
      </c>
      <c r="H5026">
        <v>110681</v>
      </c>
      <c r="I5026">
        <v>115574</v>
      </c>
      <c r="J5026">
        <v>2148</v>
      </c>
      <c r="K5026">
        <v>946607</v>
      </c>
      <c r="L5026">
        <v>208987</v>
      </c>
      <c r="M5026">
        <v>-182435</v>
      </c>
      <c r="N5026">
        <v>205155</v>
      </c>
      <c r="O5026" t="s">
        <v>5044</v>
      </c>
      <c r="P5026" s="9">
        <v>174828</v>
      </c>
      <c r="Q5026" s="9">
        <v>22037</v>
      </c>
      <c r="R5026" s="9">
        <v>196865</v>
      </c>
      <c r="S5026" s="9">
        <v>-81509</v>
      </c>
      <c r="T5026" s="10">
        <v>53551</v>
      </c>
      <c r="U5026" s="10">
        <v>620</v>
      </c>
    </row>
    <row r="5027" spans="1:21" x14ac:dyDescent="0.35">
      <c r="A5027" t="s">
        <v>15</v>
      </c>
      <c r="B5027" t="s">
        <v>16</v>
      </c>
      <c r="C5027" t="s">
        <v>17</v>
      </c>
      <c r="D5027">
        <v>222193</v>
      </c>
      <c r="E5027">
        <v>35373</v>
      </c>
      <c r="F5027">
        <v>45529</v>
      </c>
      <c r="G5027">
        <v>-197232</v>
      </c>
      <c r="H5027">
        <v>105863</v>
      </c>
      <c r="I5027">
        <v>100641</v>
      </c>
      <c r="J5027">
        <v>1732</v>
      </c>
      <c r="K5027">
        <v>703542</v>
      </c>
      <c r="L5027">
        <v>169475</v>
      </c>
      <c r="M5027">
        <v>-245003</v>
      </c>
      <c r="N5027">
        <v>141343</v>
      </c>
      <c r="O5027" t="s">
        <v>5045</v>
      </c>
      <c r="P5027" s="9">
        <v>173720</v>
      </c>
      <c r="Q5027" s="9">
        <v>20169</v>
      </c>
      <c r="R5027" s="9">
        <v>193889</v>
      </c>
      <c r="S5027" s="9">
        <v>-108347</v>
      </c>
      <c r="T5027" s="10">
        <v>43834</v>
      </c>
      <c r="U5027" s="10">
        <v>1037</v>
      </c>
    </row>
    <row r="5028" spans="1:21" x14ac:dyDescent="0.35">
      <c r="A5028" t="s">
        <v>15</v>
      </c>
      <c r="B5028" t="s">
        <v>20</v>
      </c>
      <c r="C5028" t="s">
        <v>21</v>
      </c>
      <c r="D5028">
        <v>288319</v>
      </c>
      <c r="E5028">
        <v>48578</v>
      </c>
      <c r="F5028">
        <v>49706</v>
      </c>
      <c r="G5028">
        <v>-248184</v>
      </c>
      <c r="H5028">
        <v>138419</v>
      </c>
      <c r="I5028">
        <v>132400</v>
      </c>
      <c r="J5028">
        <v>2790</v>
      </c>
      <c r="K5028">
        <v>757525</v>
      </c>
      <c r="L5028">
        <v>190544</v>
      </c>
      <c r="M5028">
        <v>-128007</v>
      </c>
      <c r="N5028">
        <v>181331</v>
      </c>
      <c r="O5028" t="s">
        <v>5046</v>
      </c>
      <c r="P5028" s="9">
        <v>279249</v>
      </c>
      <c r="Q5028" s="9">
        <v>54506</v>
      </c>
      <c r="R5028" s="9">
        <v>333755</v>
      </c>
      <c r="S5028" s="9">
        <v>-180731</v>
      </c>
      <c r="T5028" s="10">
        <v>102733</v>
      </c>
      <c r="U5028" s="10">
        <v>2506</v>
      </c>
    </row>
    <row r="5029" spans="1:21" x14ac:dyDescent="0.35">
      <c r="A5029" t="s">
        <v>15</v>
      </c>
      <c r="B5029" t="s">
        <v>20</v>
      </c>
      <c r="C5029" t="s">
        <v>17</v>
      </c>
      <c r="D5029">
        <v>294532</v>
      </c>
      <c r="E5029">
        <v>20659</v>
      </c>
      <c r="F5029">
        <v>31795</v>
      </c>
      <c r="G5029">
        <v>-272405</v>
      </c>
      <c r="H5029">
        <v>74581</v>
      </c>
      <c r="I5029">
        <v>70241</v>
      </c>
      <c r="J5029">
        <v>1793</v>
      </c>
      <c r="K5029">
        <v>984583</v>
      </c>
      <c r="L5029">
        <v>430410</v>
      </c>
      <c r="M5029">
        <v>-295870</v>
      </c>
      <c r="N5029">
        <v>190772</v>
      </c>
      <c r="O5029" t="s">
        <v>5047</v>
      </c>
      <c r="P5029" s="9">
        <v>229114</v>
      </c>
      <c r="Q5029" s="9">
        <v>17194</v>
      </c>
      <c r="R5029" s="9">
        <v>246308</v>
      </c>
      <c r="S5029" s="9">
        <v>-95287</v>
      </c>
      <c r="T5029" s="10">
        <v>61826</v>
      </c>
      <c r="U5029" s="10">
        <v>1149</v>
      </c>
    </row>
    <row r="5030" spans="1:21" x14ac:dyDescent="0.35">
      <c r="A5030" t="s">
        <v>15</v>
      </c>
      <c r="B5030" t="s">
        <v>20</v>
      </c>
      <c r="C5030" t="s">
        <v>21</v>
      </c>
      <c r="D5030">
        <v>201869</v>
      </c>
      <c r="E5030">
        <v>35155</v>
      </c>
      <c r="F5030">
        <v>42241</v>
      </c>
      <c r="G5030">
        <v>-178958</v>
      </c>
      <c r="H5030">
        <v>100307</v>
      </c>
      <c r="I5030">
        <v>100883</v>
      </c>
      <c r="J5030">
        <v>1277</v>
      </c>
      <c r="K5030">
        <v>513333</v>
      </c>
      <c r="L5030">
        <v>238223</v>
      </c>
      <c r="M5030">
        <v>-78130</v>
      </c>
      <c r="N5030">
        <v>104961</v>
      </c>
      <c r="O5030" t="s">
        <v>5048</v>
      </c>
      <c r="P5030" s="9">
        <v>176233</v>
      </c>
      <c r="Q5030" s="9">
        <v>27774</v>
      </c>
      <c r="R5030" s="9">
        <v>204007</v>
      </c>
      <c r="S5030" s="9">
        <v>-114689</v>
      </c>
      <c r="T5030" s="10">
        <v>63186</v>
      </c>
      <c r="U5030" s="10">
        <v>1359</v>
      </c>
    </row>
    <row r="5031" spans="1:21" x14ac:dyDescent="0.35">
      <c r="A5031" t="s">
        <v>15</v>
      </c>
      <c r="B5031" t="s">
        <v>16</v>
      </c>
      <c r="C5031" t="s">
        <v>21</v>
      </c>
      <c r="D5031">
        <v>187142</v>
      </c>
      <c r="E5031">
        <v>24111</v>
      </c>
      <c r="F5031">
        <v>28008</v>
      </c>
      <c r="G5031">
        <v>-184440</v>
      </c>
      <c r="H5031">
        <v>54821</v>
      </c>
      <c r="I5031">
        <v>55073</v>
      </c>
      <c r="J5031">
        <v>996</v>
      </c>
      <c r="K5031">
        <v>441901</v>
      </c>
      <c r="L5031">
        <v>59000</v>
      </c>
      <c r="M5031">
        <v>-49440</v>
      </c>
      <c r="N5031">
        <v>133942</v>
      </c>
      <c r="O5031" t="s">
        <v>5049</v>
      </c>
      <c r="P5031" s="9">
        <v>253210</v>
      </c>
      <c r="Q5031" s="9">
        <v>29641</v>
      </c>
      <c r="R5031" s="9">
        <v>282851</v>
      </c>
      <c r="S5031" s="9">
        <v>-98888</v>
      </c>
      <c r="T5031" s="10">
        <v>89645</v>
      </c>
      <c r="U5031" s="10">
        <v>1691</v>
      </c>
    </row>
    <row r="5032" spans="1:21" x14ac:dyDescent="0.35">
      <c r="A5032" t="s">
        <v>15</v>
      </c>
      <c r="B5032" t="s">
        <v>20</v>
      </c>
      <c r="C5032" t="s">
        <v>21</v>
      </c>
      <c r="D5032">
        <v>200081</v>
      </c>
      <c r="E5032">
        <v>15759</v>
      </c>
      <c r="F5032">
        <v>35070</v>
      </c>
      <c r="G5032">
        <v>-179396</v>
      </c>
      <c r="H5032">
        <v>71514</v>
      </c>
      <c r="I5032">
        <v>64455</v>
      </c>
      <c r="J5032">
        <v>843</v>
      </c>
      <c r="K5032">
        <v>491979</v>
      </c>
      <c r="L5032">
        <v>140599</v>
      </c>
      <c r="M5032">
        <v>-100622</v>
      </c>
      <c r="N5032">
        <v>66889</v>
      </c>
      <c r="O5032" t="s">
        <v>5050</v>
      </c>
      <c r="P5032" s="9">
        <v>296964</v>
      </c>
      <c r="Q5032" s="9">
        <v>40088</v>
      </c>
      <c r="R5032" s="9">
        <v>337052</v>
      </c>
      <c r="S5032" s="9">
        <v>-77116</v>
      </c>
      <c r="T5032" s="10">
        <v>69582</v>
      </c>
      <c r="U5032" s="10">
        <v>1163</v>
      </c>
    </row>
    <row r="5033" spans="1:21" x14ac:dyDescent="0.35">
      <c r="A5033" t="s">
        <v>15</v>
      </c>
      <c r="B5033" t="s">
        <v>16</v>
      </c>
      <c r="C5033" t="s">
        <v>17</v>
      </c>
      <c r="D5033">
        <v>207656</v>
      </c>
      <c r="E5033">
        <v>35979</v>
      </c>
      <c r="F5033">
        <v>34533</v>
      </c>
      <c r="G5033">
        <v>-193706</v>
      </c>
      <c r="H5033">
        <v>84462</v>
      </c>
      <c r="I5033">
        <v>79707</v>
      </c>
      <c r="J5033">
        <v>859</v>
      </c>
      <c r="K5033">
        <v>600978</v>
      </c>
      <c r="L5033">
        <v>107540</v>
      </c>
      <c r="M5033">
        <v>-79114</v>
      </c>
      <c r="N5033">
        <v>129870</v>
      </c>
      <c r="O5033" t="s">
        <v>5051</v>
      </c>
      <c r="P5033" s="9">
        <v>154736</v>
      </c>
      <c r="Q5033" s="9">
        <v>19276</v>
      </c>
      <c r="R5033" s="9">
        <v>174012</v>
      </c>
      <c r="S5033" s="9">
        <v>-59012</v>
      </c>
      <c r="T5033" s="10">
        <v>78815</v>
      </c>
      <c r="U5033" s="10">
        <v>1151</v>
      </c>
    </row>
    <row r="5034" spans="1:21" x14ac:dyDescent="0.35">
      <c r="A5034" t="s">
        <v>15</v>
      </c>
      <c r="B5034" t="s">
        <v>16</v>
      </c>
      <c r="C5034" t="s">
        <v>17</v>
      </c>
      <c r="D5034">
        <v>250198</v>
      </c>
      <c r="E5034">
        <v>24019</v>
      </c>
      <c r="F5034">
        <v>41821</v>
      </c>
      <c r="G5034">
        <v>-237063</v>
      </c>
      <c r="H5034">
        <v>78975</v>
      </c>
      <c r="I5034">
        <v>74368</v>
      </c>
      <c r="J5034">
        <v>752</v>
      </c>
      <c r="K5034">
        <v>546403</v>
      </c>
      <c r="L5034">
        <v>81681</v>
      </c>
      <c r="M5034">
        <v>-214119</v>
      </c>
      <c r="N5034">
        <v>192322</v>
      </c>
      <c r="O5034" t="s">
        <v>5052</v>
      </c>
      <c r="P5034" s="9">
        <v>273440</v>
      </c>
      <c r="Q5034" s="9">
        <v>51383</v>
      </c>
      <c r="R5034" s="9">
        <v>324823</v>
      </c>
      <c r="S5034" s="9">
        <v>-71392</v>
      </c>
      <c r="T5034" s="10">
        <v>152997</v>
      </c>
      <c r="U5034" s="10">
        <v>2533</v>
      </c>
    </row>
    <row r="5035" spans="1:21" x14ac:dyDescent="0.35">
      <c r="A5035" t="s">
        <v>15</v>
      </c>
      <c r="B5035" t="s">
        <v>16</v>
      </c>
      <c r="C5035" t="s">
        <v>17</v>
      </c>
      <c r="D5035">
        <v>287902</v>
      </c>
      <c r="E5035">
        <v>24416</v>
      </c>
      <c r="F5035">
        <v>56824</v>
      </c>
      <c r="G5035">
        <v>-254991</v>
      </c>
      <c r="H5035">
        <v>114151</v>
      </c>
      <c r="I5035">
        <v>119767</v>
      </c>
      <c r="J5035">
        <v>3211</v>
      </c>
      <c r="K5035">
        <v>1069132</v>
      </c>
      <c r="L5035">
        <v>344607</v>
      </c>
      <c r="M5035">
        <v>-132547</v>
      </c>
      <c r="N5035">
        <v>172386</v>
      </c>
      <c r="O5035" t="s">
        <v>5053</v>
      </c>
      <c r="P5035" s="9">
        <v>245689</v>
      </c>
      <c r="Q5035" s="9">
        <v>42752</v>
      </c>
      <c r="R5035" s="9">
        <v>288441</v>
      </c>
      <c r="S5035" s="9">
        <v>-167639</v>
      </c>
      <c r="T5035" s="10">
        <v>114453</v>
      </c>
      <c r="U5035" s="10">
        <v>3139</v>
      </c>
    </row>
    <row r="5036" spans="1:21" x14ac:dyDescent="0.35">
      <c r="A5036" t="s">
        <v>15</v>
      </c>
      <c r="B5036" t="s">
        <v>20</v>
      </c>
      <c r="C5036" t="s">
        <v>21</v>
      </c>
      <c r="D5036">
        <v>227052</v>
      </c>
      <c r="E5036">
        <v>42960</v>
      </c>
      <c r="F5036">
        <v>26224</v>
      </c>
      <c r="G5036">
        <v>-192987</v>
      </c>
      <c r="H5036">
        <v>103249</v>
      </c>
      <c r="I5036">
        <v>101901</v>
      </c>
      <c r="J5036">
        <v>1169</v>
      </c>
      <c r="K5036">
        <v>831422</v>
      </c>
      <c r="L5036">
        <v>97102</v>
      </c>
      <c r="M5036">
        <v>-255392</v>
      </c>
      <c r="N5036">
        <v>148597</v>
      </c>
      <c r="O5036" t="s">
        <v>5054</v>
      </c>
      <c r="P5036" s="9">
        <v>155589</v>
      </c>
      <c r="Q5036" s="9">
        <v>26290</v>
      </c>
      <c r="R5036" s="9">
        <v>181879</v>
      </c>
      <c r="S5036" s="9">
        <v>-83223</v>
      </c>
      <c r="T5036" s="10">
        <v>82994</v>
      </c>
      <c r="U5036" s="10">
        <v>1839</v>
      </c>
    </row>
    <row r="5037" spans="1:21" x14ac:dyDescent="0.35">
      <c r="A5037" t="s">
        <v>15</v>
      </c>
      <c r="B5037" t="s">
        <v>16</v>
      </c>
      <c r="C5037" t="s">
        <v>21</v>
      </c>
      <c r="D5037">
        <v>206717</v>
      </c>
      <c r="E5037">
        <v>29465</v>
      </c>
      <c r="F5037">
        <v>31741</v>
      </c>
      <c r="G5037">
        <v>-202479</v>
      </c>
      <c r="H5037">
        <v>65444</v>
      </c>
      <c r="I5037">
        <v>67011</v>
      </c>
      <c r="J5037">
        <v>1685</v>
      </c>
      <c r="K5037">
        <v>798200</v>
      </c>
      <c r="L5037">
        <v>152596</v>
      </c>
      <c r="M5037">
        <v>-250722</v>
      </c>
      <c r="N5037">
        <v>136851</v>
      </c>
      <c r="O5037" t="s">
        <v>5055</v>
      </c>
      <c r="P5037" s="9">
        <v>268507</v>
      </c>
      <c r="Q5037" s="9">
        <v>12574</v>
      </c>
      <c r="R5037" s="9">
        <v>281081</v>
      </c>
      <c r="S5037" s="9">
        <v>-157529</v>
      </c>
      <c r="T5037" s="10">
        <v>81555</v>
      </c>
      <c r="U5037" s="10">
        <v>2103</v>
      </c>
    </row>
    <row r="5038" spans="1:21" x14ac:dyDescent="0.35">
      <c r="A5038" t="s">
        <v>15</v>
      </c>
      <c r="B5038" t="s">
        <v>20</v>
      </c>
      <c r="C5038" t="s">
        <v>21</v>
      </c>
      <c r="D5038">
        <v>155914</v>
      </c>
      <c r="E5038">
        <v>20517</v>
      </c>
      <c r="F5038">
        <v>19526</v>
      </c>
      <c r="G5038">
        <v>-132853</v>
      </c>
      <c r="H5038">
        <v>63104</v>
      </c>
      <c r="I5038">
        <v>62924</v>
      </c>
      <c r="J5038">
        <v>1698</v>
      </c>
      <c r="K5038">
        <v>603327</v>
      </c>
      <c r="L5038">
        <v>185157</v>
      </c>
      <c r="M5038">
        <v>-110465</v>
      </c>
      <c r="N5038">
        <v>79181</v>
      </c>
      <c r="O5038" t="s">
        <v>5056</v>
      </c>
      <c r="P5038" s="9">
        <v>222665</v>
      </c>
      <c r="Q5038" s="9">
        <v>40152</v>
      </c>
      <c r="R5038" s="9">
        <v>262817</v>
      </c>
      <c r="S5038" s="9">
        <v>-111567</v>
      </c>
      <c r="T5038" s="10">
        <v>130231</v>
      </c>
      <c r="U5038" s="10">
        <v>1459</v>
      </c>
    </row>
    <row r="5039" spans="1:21" x14ac:dyDescent="0.35">
      <c r="A5039" t="s">
        <v>15</v>
      </c>
      <c r="B5039" t="s">
        <v>16</v>
      </c>
      <c r="C5039" t="s">
        <v>17</v>
      </c>
      <c r="D5039">
        <v>228326</v>
      </c>
      <c r="E5039">
        <v>19101</v>
      </c>
      <c r="F5039">
        <v>25618</v>
      </c>
      <c r="G5039">
        <v>-194045</v>
      </c>
      <c r="H5039">
        <v>79000</v>
      </c>
      <c r="I5039">
        <v>77467</v>
      </c>
      <c r="J5039">
        <v>2272</v>
      </c>
      <c r="K5039">
        <v>618457</v>
      </c>
      <c r="L5039">
        <v>142605</v>
      </c>
      <c r="M5039">
        <v>-73219</v>
      </c>
      <c r="N5039">
        <v>122488</v>
      </c>
      <c r="O5039" t="s">
        <v>5057</v>
      </c>
      <c r="P5039" s="9">
        <v>171785</v>
      </c>
      <c r="Q5039" s="9">
        <v>22223</v>
      </c>
      <c r="R5039" s="9">
        <v>194008</v>
      </c>
      <c r="S5039" s="9">
        <v>-64804</v>
      </c>
      <c r="T5039" s="10">
        <v>67010</v>
      </c>
      <c r="U5039" s="10">
        <v>1619</v>
      </c>
    </row>
    <row r="5040" spans="1:21" x14ac:dyDescent="0.35">
      <c r="A5040" t="s">
        <v>15</v>
      </c>
      <c r="B5040" t="s">
        <v>20</v>
      </c>
      <c r="C5040" t="s">
        <v>21</v>
      </c>
      <c r="D5040">
        <v>217043</v>
      </c>
      <c r="E5040">
        <v>31883</v>
      </c>
      <c r="F5040">
        <v>33092</v>
      </c>
      <c r="G5040">
        <v>-216345</v>
      </c>
      <c r="H5040">
        <v>65673</v>
      </c>
      <c r="I5040">
        <v>60816</v>
      </c>
      <c r="J5040">
        <v>808</v>
      </c>
      <c r="K5040">
        <v>792868</v>
      </c>
      <c r="L5040">
        <v>362813</v>
      </c>
      <c r="M5040">
        <v>-237939</v>
      </c>
      <c r="N5040">
        <v>144014</v>
      </c>
      <c r="O5040" t="s">
        <v>5058</v>
      </c>
      <c r="P5040" s="9">
        <v>155093</v>
      </c>
      <c r="Q5040" s="9">
        <v>18825</v>
      </c>
      <c r="R5040" s="9">
        <v>173918</v>
      </c>
      <c r="S5040" s="9">
        <v>-43910</v>
      </c>
      <c r="T5040" s="10">
        <v>61014</v>
      </c>
      <c r="U5040" s="10">
        <v>674</v>
      </c>
    </row>
    <row r="5041" spans="1:21" x14ac:dyDescent="0.35">
      <c r="A5041" t="s">
        <v>15</v>
      </c>
      <c r="B5041" t="s">
        <v>16</v>
      </c>
      <c r="C5041" t="s">
        <v>17</v>
      </c>
      <c r="D5041">
        <v>169213</v>
      </c>
      <c r="E5041">
        <v>28225</v>
      </c>
      <c r="F5041">
        <v>35347</v>
      </c>
      <c r="G5041">
        <v>-136263</v>
      </c>
      <c r="H5041">
        <v>96522</v>
      </c>
      <c r="I5041">
        <v>94885</v>
      </c>
      <c r="J5041">
        <v>2810</v>
      </c>
      <c r="K5041">
        <v>619608</v>
      </c>
      <c r="L5041">
        <v>155271</v>
      </c>
      <c r="M5041">
        <v>-153786</v>
      </c>
      <c r="N5041">
        <v>73561</v>
      </c>
      <c r="O5041" t="s">
        <v>5059</v>
      </c>
      <c r="P5041" s="9">
        <v>277048</v>
      </c>
      <c r="Q5041" s="9">
        <v>20242</v>
      </c>
      <c r="R5041" s="9">
        <v>297290</v>
      </c>
      <c r="S5041" s="9">
        <v>-100213</v>
      </c>
      <c r="T5041" s="10">
        <v>102214</v>
      </c>
      <c r="U5041" s="10">
        <v>2335</v>
      </c>
    </row>
    <row r="5042" spans="1:21" x14ac:dyDescent="0.35">
      <c r="A5042" t="s">
        <v>15</v>
      </c>
      <c r="B5042" t="s">
        <v>20</v>
      </c>
      <c r="C5042" t="s">
        <v>21</v>
      </c>
      <c r="D5042">
        <v>179595</v>
      </c>
      <c r="E5042">
        <v>11886</v>
      </c>
      <c r="F5042">
        <v>25216</v>
      </c>
      <c r="G5042">
        <v>-178251</v>
      </c>
      <c r="H5042">
        <v>38446</v>
      </c>
      <c r="I5042">
        <v>37253</v>
      </c>
      <c r="J5042">
        <v>384</v>
      </c>
      <c r="K5042">
        <v>591492</v>
      </c>
      <c r="L5042">
        <v>125838</v>
      </c>
      <c r="M5042">
        <v>-228950</v>
      </c>
      <c r="N5042">
        <v>119122</v>
      </c>
      <c r="O5042" t="s">
        <v>5060</v>
      </c>
      <c r="P5042" s="9">
        <v>170858</v>
      </c>
      <c r="Q5042" s="9">
        <v>20998</v>
      </c>
      <c r="R5042" s="9">
        <v>191856</v>
      </c>
      <c r="S5042" s="9">
        <v>-92362</v>
      </c>
      <c r="T5042" s="10">
        <v>58044</v>
      </c>
      <c r="U5042" s="10">
        <v>978</v>
      </c>
    </row>
    <row r="5043" spans="1:21" x14ac:dyDescent="0.35">
      <c r="A5043" t="s">
        <v>15</v>
      </c>
      <c r="B5043" t="s">
        <v>16</v>
      </c>
      <c r="C5043" t="s">
        <v>17</v>
      </c>
      <c r="D5043">
        <v>164766</v>
      </c>
      <c r="E5043">
        <v>24184</v>
      </c>
      <c r="F5043">
        <v>26932</v>
      </c>
      <c r="G5043">
        <v>-151298</v>
      </c>
      <c r="H5043">
        <v>64584</v>
      </c>
      <c r="I5043">
        <v>61389</v>
      </c>
      <c r="J5043">
        <v>949</v>
      </c>
      <c r="K5043">
        <v>370237</v>
      </c>
      <c r="L5043">
        <v>183548</v>
      </c>
      <c r="M5043">
        <v>-66759</v>
      </c>
      <c r="N5043">
        <v>131324</v>
      </c>
      <c r="O5043" t="s">
        <v>5061</v>
      </c>
      <c r="P5043" s="9">
        <v>194809</v>
      </c>
      <c r="Q5043" s="9">
        <v>12350</v>
      </c>
      <c r="R5043" s="9">
        <v>207159</v>
      </c>
      <c r="S5043" s="9">
        <v>-54572</v>
      </c>
      <c r="T5043" s="10">
        <v>40497</v>
      </c>
      <c r="U5043" s="10">
        <v>542</v>
      </c>
    </row>
    <row r="5044" spans="1:21" x14ac:dyDescent="0.35">
      <c r="A5044" t="s">
        <v>15</v>
      </c>
      <c r="B5044" t="s">
        <v>16</v>
      </c>
      <c r="C5044" t="s">
        <v>21</v>
      </c>
      <c r="D5044">
        <v>257976</v>
      </c>
      <c r="E5044">
        <v>26134</v>
      </c>
      <c r="F5044">
        <v>56698</v>
      </c>
      <c r="G5044">
        <v>-252529</v>
      </c>
      <c r="H5044">
        <v>88279</v>
      </c>
      <c r="I5044">
        <v>88456</v>
      </c>
      <c r="J5044">
        <v>1456</v>
      </c>
      <c r="K5044">
        <v>942741</v>
      </c>
      <c r="L5044">
        <v>398726</v>
      </c>
      <c r="M5044">
        <v>-288516</v>
      </c>
      <c r="N5044">
        <v>111775</v>
      </c>
      <c r="O5044" t="s">
        <v>5062</v>
      </c>
      <c r="P5044" s="9">
        <v>196293</v>
      </c>
      <c r="Q5044" s="9">
        <v>30609</v>
      </c>
      <c r="R5044" s="9">
        <v>226902</v>
      </c>
      <c r="S5044" s="9">
        <v>-126075</v>
      </c>
      <c r="T5044" s="10">
        <v>91316</v>
      </c>
      <c r="U5044" s="10">
        <v>2408</v>
      </c>
    </row>
    <row r="5045" spans="1:21" x14ac:dyDescent="0.35">
      <c r="A5045" t="s">
        <v>15</v>
      </c>
      <c r="B5045" t="s">
        <v>16</v>
      </c>
      <c r="C5045" t="s">
        <v>21</v>
      </c>
      <c r="D5045">
        <v>200012</v>
      </c>
      <c r="E5045">
        <v>18700</v>
      </c>
      <c r="F5045">
        <v>45305</v>
      </c>
      <c r="G5045">
        <v>-176129</v>
      </c>
      <c r="H5045">
        <v>87888</v>
      </c>
      <c r="I5045">
        <v>91663</v>
      </c>
      <c r="J5045">
        <v>1251</v>
      </c>
      <c r="K5045">
        <v>691371</v>
      </c>
      <c r="L5045">
        <v>319261</v>
      </c>
      <c r="M5045">
        <v>-122165</v>
      </c>
      <c r="N5045">
        <v>67797</v>
      </c>
      <c r="O5045" t="s">
        <v>5063</v>
      </c>
      <c r="P5045" s="9">
        <v>262755</v>
      </c>
      <c r="Q5045" s="9">
        <v>25138</v>
      </c>
      <c r="R5045" s="9">
        <v>287893</v>
      </c>
      <c r="S5045" s="9">
        <v>-136945</v>
      </c>
      <c r="T5045" s="10">
        <v>91415</v>
      </c>
      <c r="U5045" s="10">
        <v>2037</v>
      </c>
    </row>
    <row r="5046" spans="1:21" x14ac:dyDescent="0.35">
      <c r="A5046" t="s">
        <v>15</v>
      </c>
      <c r="B5046" t="s">
        <v>20</v>
      </c>
      <c r="C5046" t="s">
        <v>17</v>
      </c>
      <c r="D5046">
        <v>291437</v>
      </c>
      <c r="E5046">
        <v>52207</v>
      </c>
      <c r="F5046">
        <v>42506</v>
      </c>
      <c r="G5046">
        <v>-267580</v>
      </c>
      <c r="H5046">
        <v>118570</v>
      </c>
      <c r="I5046">
        <v>121801</v>
      </c>
      <c r="J5046">
        <v>2325</v>
      </c>
      <c r="K5046">
        <v>861853</v>
      </c>
      <c r="L5046">
        <v>270258</v>
      </c>
      <c r="M5046">
        <v>-139512</v>
      </c>
      <c r="N5046">
        <v>99297</v>
      </c>
      <c r="O5046" t="s">
        <v>5064</v>
      </c>
      <c r="P5046" s="9">
        <v>165713</v>
      </c>
      <c r="Q5046" s="9">
        <v>8985</v>
      </c>
      <c r="R5046" s="9">
        <v>174698</v>
      </c>
      <c r="S5046" s="9">
        <v>-80752</v>
      </c>
      <c r="T5046" s="10">
        <v>39219</v>
      </c>
      <c r="U5046" s="10">
        <v>667</v>
      </c>
    </row>
    <row r="5047" spans="1:21" x14ac:dyDescent="0.35">
      <c r="A5047" t="s">
        <v>15</v>
      </c>
      <c r="B5047" t="s">
        <v>16</v>
      </c>
      <c r="C5047" t="s">
        <v>21</v>
      </c>
      <c r="D5047">
        <v>297493</v>
      </c>
      <c r="E5047">
        <v>15385</v>
      </c>
      <c r="F5047">
        <v>67114</v>
      </c>
      <c r="G5047">
        <v>-292473</v>
      </c>
      <c r="H5047">
        <v>87519</v>
      </c>
      <c r="I5047">
        <v>86369</v>
      </c>
      <c r="J5047">
        <v>1266</v>
      </c>
      <c r="K5047">
        <v>887045</v>
      </c>
      <c r="L5047">
        <v>299252</v>
      </c>
      <c r="M5047">
        <v>-281801</v>
      </c>
      <c r="N5047">
        <v>246550</v>
      </c>
      <c r="O5047" t="s">
        <v>5065</v>
      </c>
      <c r="P5047" s="9">
        <v>268717</v>
      </c>
      <c r="Q5047" s="9">
        <v>31813</v>
      </c>
      <c r="R5047" s="9">
        <v>300530</v>
      </c>
      <c r="S5047" s="9">
        <v>-136431</v>
      </c>
      <c r="T5047" s="10">
        <v>111050</v>
      </c>
      <c r="U5047" s="10">
        <v>2977</v>
      </c>
    </row>
    <row r="5048" spans="1:21" x14ac:dyDescent="0.35">
      <c r="A5048" t="s">
        <v>15</v>
      </c>
      <c r="B5048" t="s">
        <v>20</v>
      </c>
      <c r="C5048" t="s">
        <v>17</v>
      </c>
      <c r="D5048">
        <v>235199</v>
      </c>
      <c r="E5048">
        <v>20502</v>
      </c>
      <c r="F5048">
        <v>55168</v>
      </c>
      <c r="G5048">
        <v>-227738</v>
      </c>
      <c r="H5048">
        <v>83131</v>
      </c>
      <c r="I5048">
        <v>75038</v>
      </c>
      <c r="J5048">
        <v>1552</v>
      </c>
      <c r="K5048">
        <v>804416</v>
      </c>
      <c r="L5048">
        <v>330802</v>
      </c>
      <c r="M5048">
        <v>-100996</v>
      </c>
      <c r="N5048">
        <v>108691</v>
      </c>
      <c r="O5048" t="s">
        <v>5066</v>
      </c>
      <c r="P5048" s="9">
        <v>293046</v>
      </c>
      <c r="Q5048" s="9">
        <v>34334</v>
      </c>
      <c r="R5048" s="9">
        <v>327380</v>
      </c>
      <c r="S5048" s="9">
        <v>-86663</v>
      </c>
      <c r="T5048" s="10">
        <v>73875</v>
      </c>
      <c r="U5048" s="10">
        <v>1657</v>
      </c>
    </row>
    <row r="5049" spans="1:21" x14ac:dyDescent="0.35">
      <c r="A5049" t="s">
        <v>15</v>
      </c>
      <c r="B5049" t="s">
        <v>20</v>
      </c>
      <c r="C5049" t="s">
        <v>21</v>
      </c>
      <c r="D5049">
        <v>297791</v>
      </c>
      <c r="E5049">
        <v>28038</v>
      </c>
      <c r="F5049">
        <v>56822</v>
      </c>
      <c r="G5049">
        <v>-271439</v>
      </c>
      <c r="H5049">
        <v>111212</v>
      </c>
      <c r="I5049">
        <v>110078</v>
      </c>
      <c r="J5049">
        <v>2118</v>
      </c>
      <c r="K5049">
        <v>624814</v>
      </c>
      <c r="L5049">
        <v>249231</v>
      </c>
      <c r="M5049">
        <v>-192478</v>
      </c>
      <c r="N5049">
        <v>221436</v>
      </c>
      <c r="O5049" t="s">
        <v>5067</v>
      </c>
      <c r="P5049" s="9">
        <v>178367</v>
      </c>
      <c r="Q5049" s="9">
        <v>24212</v>
      </c>
      <c r="R5049" s="9">
        <v>202579</v>
      </c>
      <c r="S5049" s="9">
        <v>-116594</v>
      </c>
      <c r="T5049" s="10">
        <v>63545</v>
      </c>
      <c r="U5049" s="10">
        <v>846</v>
      </c>
    </row>
    <row r="5050" spans="1:21" x14ac:dyDescent="0.35">
      <c r="A5050" t="s">
        <v>15</v>
      </c>
      <c r="B5050" t="s">
        <v>16</v>
      </c>
      <c r="C5050" t="s">
        <v>17</v>
      </c>
      <c r="D5050">
        <v>157023</v>
      </c>
      <c r="E5050">
        <v>15158</v>
      </c>
      <c r="F5050">
        <v>19623</v>
      </c>
      <c r="G5050">
        <v>-128734</v>
      </c>
      <c r="H5050">
        <v>63070</v>
      </c>
      <c r="I5050">
        <v>62510</v>
      </c>
      <c r="J5050">
        <v>1418</v>
      </c>
      <c r="K5050">
        <v>329212</v>
      </c>
      <c r="L5050">
        <v>98112</v>
      </c>
      <c r="M5050">
        <v>-90977</v>
      </c>
      <c r="N5050">
        <v>104527</v>
      </c>
      <c r="O5050" t="s">
        <v>5068</v>
      </c>
      <c r="P5050" s="9">
        <v>259347</v>
      </c>
      <c r="Q5050" s="9">
        <v>22992</v>
      </c>
      <c r="R5050" s="9">
        <v>282339</v>
      </c>
      <c r="S5050" s="9">
        <v>-60650</v>
      </c>
      <c r="T5050" s="10">
        <v>102194</v>
      </c>
      <c r="U5050" s="10">
        <v>2893</v>
      </c>
    </row>
    <row r="5051" spans="1:21" x14ac:dyDescent="0.35">
      <c r="A5051" t="s">
        <v>15</v>
      </c>
      <c r="B5051" t="s">
        <v>20</v>
      </c>
      <c r="C5051" t="s">
        <v>21</v>
      </c>
      <c r="D5051">
        <v>193112</v>
      </c>
      <c r="E5051">
        <v>17876</v>
      </c>
      <c r="F5051">
        <v>43208</v>
      </c>
      <c r="G5051">
        <v>-177056</v>
      </c>
      <c r="H5051">
        <v>77140</v>
      </c>
      <c r="I5051">
        <v>74841</v>
      </c>
      <c r="J5051">
        <v>943</v>
      </c>
      <c r="K5051">
        <v>539733</v>
      </c>
      <c r="L5051">
        <v>67868</v>
      </c>
      <c r="M5051">
        <v>-77487</v>
      </c>
      <c r="N5051">
        <v>170804</v>
      </c>
      <c r="O5051" t="s">
        <v>5069</v>
      </c>
      <c r="P5051" s="9">
        <v>194802</v>
      </c>
      <c r="Q5051" s="9">
        <v>25261</v>
      </c>
      <c r="R5051" s="9">
        <v>220063</v>
      </c>
      <c r="S5051" s="9">
        <v>-49983</v>
      </c>
      <c r="T5051" s="10">
        <v>69831</v>
      </c>
      <c r="U5051" s="10">
        <v>2059</v>
      </c>
    </row>
    <row r="5052" spans="1:21" x14ac:dyDescent="0.35">
      <c r="A5052" t="s">
        <v>15</v>
      </c>
      <c r="B5052" t="s">
        <v>20</v>
      </c>
      <c r="C5052" t="s">
        <v>17</v>
      </c>
      <c r="D5052">
        <v>204066</v>
      </c>
      <c r="E5052">
        <v>40086</v>
      </c>
      <c r="F5052">
        <v>31518</v>
      </c>
      <c r="G5052">
        <v>-189676</v>
      </c>
      <c r="H5052">
        <v>85994</v>
      </c>
      <c r="I5052">
        <v>82173</v>
      </c>
      <c r="J5052">
        <v>1877</v>
      </c>
      <c r="K5052">
        <v>680553</v>
      </c>
      <c r="L5052">
        <v>283442</v>
      </c>
      <c r="M5052">
        <v>-79956</v>
      </c>
      <c r="N5052">
        <v>150463</v>
      </c>
      <c r="O5052" t="s">
        <v>5070</v>
      </c>
      <c r="P5052" s="9">
        <v>322342</v>
      </c>
      <c r="Q5052" s="9">
        <v>48762</v>
      </c>
      <c r="R5052" s="9">
        <v>371104</v>
      </c>
      <c r="S5052" s="9">
        <v>-180618</v>
      </c>
      <c r="T5052" s="10">
        <v>131780</v>
      </c>
      <c r="U5052" s="10">
        <v>3095</v>
      </c>
    </row>
    <row r="5053" spans="1:21" x14ac:dyDescent="0.35">
      <c r="A5053" t="s">
        <v>15</v>
      </c>
      <c r="B5053" t="s">
        <v>16</v>
      </c>
      <c r="C5053" t="s">
        <v>21</v>
      </c>
      <c r="D5053">
        <v>289804</v>
      </c>
      <c r="E5053">
        <v>29354</v>
      </c>
      <c r="F5053">
        <v>39653</v>
      </c>
      <c r="G5053">
        <v>-285963</v>
      </c>
      <c r="H5053">
        <v>72848</v>
      </c>
      <c r="I5053">
        <v>75673</v>
      </c>
      <c r="J5053">
        <v>2080</v>
      </c>
      <c r="K5053">
        <v>953831</v>
      </c>
      <c r="L5053">
        <v>271742</v>
      </c>
      <c r="M5053">
        <v>-311369</v>
      </c>
      <c r="N5053">
        <v>100696</v>
      </c>
      <c r="O5053" t="s">
        <v>5071</v>
      </c>
      <c r="P5053" s="9">
        <v>192972</v>
      </c>
      <c r="Q5053" s="9">
        <v>24441</v>
      </c>
      <c r="R5053" s="9">
        <v>217413</v>
      </c>
      <c r="S5053" s="9">
        <v>-47386</v>
      </c>
      <c r="T5053" s="10">
        <v>67687</v>
      </c>
      <c r="U5053" s="10">
        <v>1781</v>
      </c>
    </row>
    <row r="5054" spans="1:21" x14ac:dyDescent="0.35">
      <c r="A5054" t="s">
        <v>15</v>
      </c>
      <c r="B5054" t="s">
        <v>16</v>
      </c>
      <c r="C5054" t="s">
        <v>17</v>
      </c>
      <c r="D5054">
        <v>195553</v>
      </c>
      <c r="E5054">
        <v>32186</v>
      </c>
      <c r="F5054">
        <v>40779</v>
      </c>
      <c r="G5054">
        <v>-176195</v>
      </c>
      <c r="H5054">
        <v>92323</v>
      </c>
      <c r="I5054">
        <v>93638</v>
      </c>
      <c r="J5054">
        <v>2113</v>
      </c>
      <c r="K5054">
        <v>474391</v>
      </c>
      <c r="L5054">
        <v>58691</v>
      </c>
      <c r="M5054">
        <v>-58570</v>
      </c>
      <c r="N5054">
        <v>171520</v>
      </c>
      <c r="O5054" t="s">
        <v>5072</v>
      </c>
      <c r="P5054" s="9">
        <v>183543</v>
      </c>
      <c r="Q5054" s="9">
        <v>16198</v>
      </c>
      <c r="R5054" s="9">
        <v>199741</v>
      </c>
      <c r="S5054" s="9">
        <v>-90369</v>
      </c>
      <c r="T5054" s="10">
        <v>81422</v>
      </c>
      <c r="U5054" s="10">
        <v>2163</v>
      </c>
    </row>
    <row r="5055" spans="1:21" x14ac:dyDescent="0.35">
      <c r="A5055" t="s">
        <v>15</v>
      </c>
      <c r="B5055" t="s">
        <v>20</v>
      </c>
      <c r="C5055" t="s">
        <v>21</v>
      </c>
      <c r="D5055">
        <v>209288</v>
      </c>
      <c r="E5055">
        <v>11721</v>
      </c>
      <c r="F5055">
        <v>43679</v>
      </c>
      <c r="G5055">
        <v>-200956</v>
      </c>
      <c r="H5055">
        <v>63732</v>
      </c>
      <c r="I5055">
        <v>61489</v>
      </c>
      <c r="J5055">
        <v>888</v>
      </c>
      <c r="K5055">
        <v>552486</v>
      </c>
      <c r="L5055">
        <v>135072</v>
      </c>
      <c r="M5055">
        <v>-114806</v>
      </c>
      <c r="N5055">
        <v>124478</v>
      </c>
      <c r="O5055" t="s">
        <v>5073</v>
      </c>
      <c r="P5055" s="9">
        <v>215377</v>
      </c>
      <c r="Q5055" s="9">
        <v>22771</v>
      </c>
      <c r="R5055" s="9">
        <v>238148</v>
      </c>
      <c r="S5055" s="9">
        <v>-118814</v>
      </c>
      <c r="T5055" s="10">
        <v>96402</v>
      </c>
      <c r="U5055" s="10">
        <v>1851</v>
      </c>
    </row>
    <row r="5056" spans="1:21" x14ac:dyDescent="0.35">
      <c r="A5056" t="s">
        <v>15</v>
      </c>
      <c r="B5056" t="s">
        <v>20</v>
      </c>
      <c r="C5056" t="s">
        <v>21</v>
      </c>
      <c r="D5056">
        <v>227493</v>
      </c>
      <c r="E5056">
        <v>17781</v>
      </c>
      <c r="F5056">
        <v>47698</v>
      </c>
      <c r="G5056">
        <v>-192285</v>
      </c>
      <c r="H5056">
        <v>100687</v>
      </c>
      <c r="I5056">
        <v>93087</v>
      </c>
      <c r="J5056">
        <v>1660</v>
      </c>
      <c r="K5056">
        <v>498365</v>
      </c>
      <c r="L5056">
        <v>115879</v>
      </c>
      <c r="M5056">
        <v>-182104</v>
      </c>
      <c r="N5056">
        <v>93185</v>
      </c>
      <c r="O5056" t="s">
        <v>5074</v>
      </c>
      <c r="P5056" s="9">
        <v>275240</v>
      </c>
      <c r="Q5056" s="9">
        <v>35811</v>
      </c>
      <c r="R5056" s="9">
        <v>311051</v>
      </c>
      <c r="S5056" s="9">
        <v>-111312</v>
      </c>
      <c r="T5056" s="10">
        <v>105403</v>
      </c>
      <c r="U5056" s="10">
        <v>1757</v>
      </c>
    </row>
    <row r="5057" spans="1:21" x14ac:dyDescent="0.35">
      <c r="A5057" t="s">
        <v>15</v>
      </c>
      <c r="B5057" t="s">
        <v>20</v>
      </c>
      <c r="C5057" t="s">
        <v>21</v>
      </c>
      <c r="D5057">
        <v>299204</v>
      </c>
      <c r="E5057">
        <v>25402</v>
      </c>
      <c r="F5057">
        <v>73112</v>
      </c>
      <c r="G5057">
        <v>-277593</v>
      </c>
      <c r="H5057">
        <v>120125</v>
      </c>
      <c r="I5057">
        <v>117997</v>
      </c>
      <c r="J5057">
        <v>1893</v>
      </c>
      <c r="K5057">
        <v>968377</v>
      </c>
      <c r="L5057">
        <v>395111</v>
      </c>
      <c r="M5057">
        <v>-384602</v>
      </c>
      <c r="N5057">
        <v>135606</v>
      </c>
      <c r="O5057" t="s">
        <v>5075</v>
      </c>
      <c r="P5057" s="9">
        <v>275502</v>
      </c>
      <c r="Q5057" s="9">
        <v>46081</v>
      </c>
      <c r="R5057" s="9">
        <v>321583</v>
      </c>
      <c r="S5057" s="9">
        <v>-136533</v>
      </c>
      <c r="T5057" s="10">
        <v>116277</v>
      </c>
      <c r="U5057" s="10">
        <v>2349</v>
      </c>
    </row>
    <row r="5058" spans="1:21" x14ac:dyDescent="0.35">
      <c r="A5058" t="s">
        <v>15</v>
      </c>
      <c r="B5058" t="s">
        <v>20</v>
      </c>
      <c r="C5058" t="s">
        <v>21</v>
      </c>
      <c r="D5058">
        <v>284778</v>
      </c>
      <c r="E5058">
        <v>22709</v>
      </c>
      <c r="F5058">
        <v>45793</v>
      </c>
      <c r="G5058">
        <v>-271688</v>
      </c>
      <c r="H5058">
        <v>81592</v>
      </c>
      <c r="I5058">
        <v>80481</v>
      </c>
      <c r="J5058">
        <v>1551</v>
      </c>
      <c r="K5058">
        <v>673314</v>
      </c>
      <c r="L5058">
        <v>298794</v>
      </c>
      <c r="M5058">
        <v>-130008</v>
      </c>
      <c r="N5058">
        <v>156942</v>
      </c>
      <c r="O5058" t="s">
        <v>5076</v>
      </c>
      <c r="P5058" s="9">
        <v>223346</v>
      </c>
      <c r="Q5058" s="9">
        <v>17344</v>
      </c>
      <c r="R5058" s="9">
        <v>240690</v>
      </c>
      <c r="S5058" s="9">
        <v>-122802</v>
      </c>
      <c r="T5058" s="10">
        <v>92453</v>
      </c>
      <c r="U5058" s="10">
        <v>1545</v>
      </c>
    </row>
    <row r="5059" spans="1:21" x14ac:dyDescent="0.35">
      <c r="A5059" t="s">
        <v>15</v>
      </c>
      <c r="B5059" t="s">
        <v>20</v>
      </c>
      <c r="C5059" t="s">
        <v>21</v>
      </c>
      <c r="D5059">
        <v>241092</v>
      </c>
      <c r="E5059">
        <v>33157</v>
      </c>
      <c r="F5059">
        <v>31952</v>
      </c>
      <c r="G5059">
        <v>-192939</v>
      </c>
      <c r="H5059">
        <v>113262</v>
      </c>
      <c r="I5059">
        <v>108242</v>
      </c>
      <c r="J5059">
        <v>2484</v>
      </c>
      <c r="K5059">
        <v>900982</v>
      </c>
      <c r="L5059">
        <v>117559</v>
      </c>
      <c r="M5059">
        <v>-354831</v>
      </c>
      <c r="N5059">
        <v>139103</v>
      </c>
      <c r="O5059" t="s">
        <v>5077</v>
      </c>
      <c r="P5059" s="9">
        <v>318476</v>
      </c>
      <c r="Q5059" s="9">
        <v>34161</v>
      </c>
      <c r="R5059" s="9">
        <v>352637</v>
      </c>
      <c r="S5059" s="9">
        <v>-142073</v>
      </c>
      <c r="T5059" s="10">
        <v>150484</v>
      </c>
      <c r="U5059" s="10">
        <v>2281</v>
      </c>
    </row>
    <row r="5060" spans="1:21" x14ac:dyDescent="0.35">
      <c r="A5060" t="s">
        <v>15</v>
      </c>
      <c r="B5060" t="s">
        <v>20</v>
      </c>
      <c r="C5060" t="s">
        <v>17</v>
      </c>
      <c r="D5060">
        <v>219221</v>
      </c>
      <c r="E5060">
        <v>42879</v>
      </c>
      <c r="F5060">
        <v>48215</v>
      </c>
      <c r="G5060">
        <v>-195598</v>
      </c>
      <c r="H5060">
        <v>114717</v>
      </c>
      <c r="I5060">
        <v>104027</v>
      </c>
      <c r="J5060">
        <v>2367</v>
      </c>
      <c r="K5060">
        <v>641783</v>
      </c>
      <c r="L5060">
        <v>188091</v>
      </c>
      <c r="M5060">
        <v>-107419</v>
      </c>
      <c r="N5060">
        <v>175092</v>
      </c>
      <c r="O5060" t="s">
        <v>5078</v>
      </c>
      <c r="P5060" s="9">
        <v>157684</v>
      </c>
      <c r="Q5060" s="9">
        <v>21728</v>
      </c>
      <c r="R5060" s="9">
        <v>179412</v>
      </c>
      <c r="S5060" s="9">
        <v>-77146</v>
      </c>
      <c r="T5060" s="10">
        <v>73033</v>
      </c>
      <c r="U5060" s="10">
        <v>2005</v>
      </c>
    </row>
    <row r="5061" spans="1:21" x14ac:dyDescent="0.35">
      <c r="A5061" t="s">
        <v>15</v>
      </c>
      <c r="B5061" t="s">
        <v>20</v>
      </c>
      <c r="C5061" t="s">
        <v>17</v>
      </c>
      <c r="D5061">
        <v>170345</v>
      </c>
      <c r="E5061">
        <v>26779</v>
      </c>
      <c r="F5061">
        <v>30844</v>
      </c>
      <c r="G5061">
        <v>-168236</v>
      </c>
      <c r="H5061">
        <v>59732</v>
      </c>
      <c r="I5061">
        <v>56382</v>
      </c>
      <c r="J5061">
        <v>1430</v>
      </c>
      <c r="K5061">
        <v>353127</v>
      </c>
      <c r="L5061">
        <v>39073</v>
      </c>
      <c r="M5061">
        <v>-81498</v>
      </c>
      <c r="N5061">
        <v>79620</v>
      </c>
      <c r="O5061" t="s">
        <v>5079</v>
      </c>
      <c r="P5061" s="9">
        <v>225168</v>
      </c>
      <c r="Q5061" s="9">
        <v>15298</v>
      </c>
      <c r="R5061" s="9">
        <v>240466</v>
      </c>
      <c r="S5061" s="9">
        <v>-55663</v>
      </c>
      <c r="T5061" s="10">
        <v>94651</v>
      </c>
      <c r="U5061" s="10">
        <v>2219</v>
      </c>
    </row>
    <row r="5062" spans="1:21" x14ac:dyDescent="0.35">
      <c r="A5062" t="s">
        <v>15</v>
      </c>
      <c r="B5062" t="s">
        <v>16</v>
      </c>
      <c r="C5062" t="s">
        <v>17</v>
      </c>
      <c r="D5062">
        <v>215090</v>
      </c>
      <c r="E5062">
        <v>27144</v>
      </c>
      <c r="F5062">
        <v>51451</v>
      </c>
      <c r="G5062">
        <v>-193278</v>
      </c>
      <c r="H5062">
        <v>100407</v>
      </c>
      <c r="I5062">
        <v>100066</v>
      </c>
      <c r="J5062">
        <v>1506</v>
      </c>
      <c r="K5062">
        <v>687418</v>
      </c>
      <c r="L5062">
        <v>143933</v>
      </c>
      <c r="M5062">
        <v>-178034</v>
      </c>
      <c r="N5062">
        <v>120307</v>
      </c>
      <c r="O5062" t="s">
        <v>5080</v>
      </c>
      <c r="P5062" s="9">
        <v>221221</v>
      </c>
      <c r="Q5062" s="9">
        <v>37878</v>
      </c>
      <c r="R5062" s="9">
        <v>259099</v>
      </c>
      <c r="S5062" s="9">
        <v>-148007</v>
      </c>
      <c r="T5062" s="10">
        <v>82718</v>
      </c>
      <c r="U5062" s="10">
        <v>2421</v>
      </c>
    </row>
    <row r="5063" spans="1:21" x14ac:dyDescent="0.35">
      <c r="A5063" t="s">
        <v>15</v>
      </c>
      <c r="B5063" t="s">
        <v>16</v>
      </c>
      <c r="C5063" t="s">
        <v>21</v>
      </c>
      <c r="D5063">
        <v>167357</v>
      </c>
      <c r="E5063">
        <v>22018</v>
      </c>
      <c r="F5063">
        <v>32246</v>
      </c>
      <c r="G5063">
        <v>-158816</v>
      </c>
      <c r="H5063">
        <v>62805</v>
      </c>
      <c r="I5063">
        <v>58186</v>
      </c>
      <c r="J5063">
        <v>1202</v>
      </c>
      <c r="K5063">
        <v>477514</v>
      </c>
      <c r="L5063">
        <v>85004</v>
      </c>
      <c r="M5063">
        <v>-180745</v>
      </c>
      <c r="N5063">
        <v>150539</v>
      </c>
      <c r="O5063" t="s">
        <v>5081</v>
      </c>
      <c r="P5063" s="9">
        <v>235174</v>
      </c>
      <c r="Q5063" s="9">
        <v>13916</v>
      </c>
      <c r="R5063" s="9">
        <v>249090</v>
      </c>
      <c r="S5063" s="9">
        <v>-116060</v>
      </c>
      <c r="T5063" s="10">
        <v>96303</v>
      </c>
      <c r="U5063" s="10">
        <v>2806</v>
      </c>
    </row>
    <row r="5064" spans="1:21" x14ac:dyDescent="0.35">
      <c r="A5064" t="s">
        <v>15</v>
      </c>
      <c r="B5064" t="s">
        <v>16</v>
      </c>
      <c r="C5064" t="s">
        <v>21</v>
      </c>
      <c r="D5064">
        <v>155249</v>
      </c>
      <c r="E5064">
        <v>16843</v>
      </c>
      <c r="F5064">
        <v>33053</v>
      </c>
      <c r="G5064">
        <v>-134454</v>
      </c>
      <c r="H5064">
        <v>70691</v>
      </c>
      <c r="I5064">
        <v>65273</v>
      </c>
      <c r="J5064">
        <v>989</v>
      </c>
      <c r="K5064">
        <v>380782</v>
      </c>
      <c r="L5064">
        <v>113602</v>
      </c>
      <c r="M5064">
        <v>-102608</v>
      </c>
      <c r="N5064">
        <v>71710</v>
      </c>
      <c r="O5064" t="s">
        <v>5082</v>
      </c>
      <c r="P5064" s="9">
        <v>265071</v>
      </c>
      <c r="Q5064" s="9">
        <v>51243</v>
      </c>
      <c r="R5064" s="9">
        <v>316314</v>
      </c>
      <c r="S5064" s="9">
        <v>-124434</v>
      </c>
      <c r="T5064" s="10">
        <v>112702</v>
      </c>
      <c r="U5064" s="10">
        <v>2037</v>
      </c>
    </row>
    <row r="5065" spans="1:21" x14ac:dyDescent="0.35">
      <c r="A5065" t="s">
        <v>15</v>
      </c>
      <c r="B5065" t="s">
        <v>16</v>
      </c>
      <c r="C5065" t="s">
        <v>21</v>
      </c>
      <c r="D5065">
        <v>294310</v>
      </c>
      <c r="E5065">
        <v>28165</v>
      </c>
      <c r="F5065">
        <v>39860</v>
      </c>
      <c r="G5065">
        <v>-264908</v>
      </c>
      <c r="H5065">
        <v>97427</v>
      </c>
      <c r="I5065">
        <v>89052</v>
      </c>
      <c r="J5065">
        <v>1319</v>
      </c>
      <c r="K5065">
        <v>1083810</v>
      </c>
      <c r="L5065">
        <v>239459</v>
      </c>
      <c r="M5065">
        <v>-411589</v>
      </c>
      <c r="N5065">
        <v>261838</v>
      </c>
      <c r="O5065" t="s">
        <v>5083</v>
      </c>
      <c r="P5065" s="9">
        <v>241982</v>
      </c>
      <c r="Q5065" s="9">
        <v>39951</v>
      </c>
      <c r="R5065" s="9">
        <v>281933</v>
      </c>
      <c r="S5065" s="9">
        <v>-58299</v>
      </c>
      <c r="T5065" s="10">
        <v>86518</v>
      </c>
      <c r="U5065" s="10">
        <v>2576</v>
      </c>
    </row>
    <row r="5066" spans="1:21" x14ac:dyDescent="0.35">
      <c r="A5066" t="s">
        <v>15</v>
      </c>
      <c r="B5066" t="s">
        <v>16</v>
      </c>
      <c r="C5066" t="s">
        <v>21</v>
      </c>
      <c r="D5066">
        <v>274304</v>
      </c>
      <c r="E5066">
        <v>21511</v>
      </c>
      <c r="F5066">
        <v>53569</v>
      </c>
      <c r="G5066">
        <v>-245925</v>
      </c>
      <c r="H5066">
        <v>103459</v>
      </c>
      <c r="I5066">
        <v>96349</v>
      </c>
      <c r="J5066">
        <v>1696</v>
      </c>
      <c r="K5066">
        <v>580194</v>
      </c>
      <c r="L5066">
        <v>235599</v>
      </c>
      <c r="M5066">
        <v>-170252</v>
      </c>
      <c r="N5066">
        <v>171521</v>
      </c>
      <c r="O5066" t="s">
        <v>5084</v>
      </c>
      <c r="P5066" s="9">
        <v>144954</v>
      </c>
      <c r="Q5066" s="9">
        <v>23933</v>
      </c>
      <c r="R5066" s="9">
        <v>168887</v>
      </c>
      <c r="S5066" s="9">
        <v>-69659</v>
      </c>
      <c r="T5066" s="10">
        <v>46890</v>
      </c>
      <c r="U5066" s="10">
        <v>1022</v>
      </c>
    </row>
    <row r="5067" spans="1:21" x14ac:dyDescent="0.35">
      <c r="A5067" t="s">
        <v>15</v>
      </c>
      <c r="B5067" t="s">
        <v>20</v>
      </c>
      <c r="C5067" t="s">
        <v>17</v>
      </c>
      <c r="D5067">
        <v>271486</v>
      </c>
      <c r="E5067">
        <v>26810</v>
      </c>
      <c r="F5067">
        <v>36169</v>
      </c>
      <c r="G5067">
        <v>-231577</v>
      </c>
      <c r="H5067">
        <v>102888</v>
      </c>
      <c r="I5067">
        <v>107245</v>
      </c>
      <c r="J5067">
        <v>1515</v>
      </c>
      <c r="K5067">
        <v>893038</v>
      </c>
      <c r="L5067">
        <v>167187</v>
      </c>
      <c r="M5067">
        <v>-262757</v>
      </c>
      <c r="N5067">
        <v>160976</v>
      </c>
      <c r="O5067" t="s">
        <v>5085</v>
      </c>
      <c r="P5067" s="9">
        <v>160677</v>
      </c>
      <c r="Q5067" s="9">
        <v>15635</v>
      </c>
      <c r="R5067" s="9">
        <v>176312</v>
      </c>
      <c r="S5067" s="9">
        <v>-63480</v>
      </c>
      <c r="T5067" s="10">
        <v>70516</v>
      </c>
      <c r="U5067" s="10">
        <v>1733</v>
      </c>
    </row>
    <row r="5068" spans="1:21" x14ac:dyDescent="0.35">
      <c r="A5068" t="s">
        <v>15</v>
      </c>
      <c r="B5068" t="s">
        <v>16</v>
      </c>
      <c r="C5068" t="s">
        <v>21</v>
      </c>
      <c r="D5068">
        <v>274328</v>
      </c>
      <c r="E5068">
        <v>33560</v>
      </c>
      <c r="F5068">
        <v>67985</v>
      </c>
      <c r="G5068">
        <v>-272389</v>
      </c>
      <c r="H5068">
        <v>103484</v>
      </c>
      <c r="I5068">
        <v>100194</v>
      </c>
      <c r="J5068">
        <v>1131</v>
      </c>
      <c r="K5068">
        <v>761249</v>
      </c>
      <c r="L5068">
        <v>254325</v>
      </c>
      <c r="M5068">
        <v>-169526</v>
      </c>
      <c r="N5068">
        <v>239750</v>
      </c>
      <c r="O5068" t="s">
        <v>5086</v>
      </c>
      <c r="P5068" s="9">
        <v>224995</v>
      </c>
      <c r="Q5068" s="9">
        <v>47361</v>
      </c>
      <c r="R5068" s="9">
        <v>272356</v>
      </c>
      <c r="S5068" s="9">
        <v>-75729</v>
      </c>
      <c r="T5068" s="10">
        <v>96127</v>
      </c>
      <c r="U5068" s="10">
        <v>1838</v>
      </c>
    </row>
    <row r="5069" spans="1:21" x14ac:dyDescent="0.35">
      <c r="A5069" t="s">
        <v>15</v>
      </c>
      <c r="B5069" t="s">
        <v>16</v>
      </c>
      <c r="C5069" t="s">
        <v>21</v>
      </c>
      <c r="D5069">
        <v>213121</v>
      </c>
      <c r="E5069">
        <v>26737</v>
      </c>
      <c r="F5069">
        <v>24307</v>
      </c>
      <c r="G5069">
        <v>-176626</v>
      </c>
      <c r="H5069">
        <v>87539</v>
      </c>
      <c r="I5069">
        <v>80727</v>
      </c>
      <c r="J5069">
        <v>1161</v>
      </c>
      <c r="K5069">
        <v>690400</v>
      </c>
      <c r="L5069">
        <v>137503</v>
      </c>
      <c r="M5069">
        <v>-116903</v>
      </c>
      <c r="N5069">
        <v>179603</v>
      </c>
      <c r="O5069" t="s">
        <v>5087</v>
      </c>
      <c r="P5069" s="9">
        <v>213237</v>
      </c>
      <c r="Q5069" s="9">
        <v>42517</v>
      </c>
      <c r="R5069" s="9">
        <v>255754</v>
      </c>
      <c r="S5069" s="9">
        <v>-87420</v>
      </c>
      <c r="T5069" s="10">
        <v>131233</v>
      </c>
      <c r="U5069" s="10">
        <v>2553</v>
      </c>
    </row>
    <row r="5070" spans="1:21" x14ac:dyDescent="0.35">
      <c r="A5070" t="s">
        <v>15</v>
      </c>
      <c r="B5070" t="s">
        <v>16</v>
      </c>
      <c r="C5070" t="s">
        <v>21</v>
      </c>
      <c r="D5070">
        <v>291267</v>
      </c>
      <c r="E5070">
        <v>25232</v>
      </c>
      <c r="F5070">
        <v>56597</v>
      </c>
      <c r="G5070">
        <v>-289038</v>
      </c>
      <c r="H5070">
        <v>84058</v>
      </c>
      <c r="I5070">
        <v>87628</v>
      </c>
      <c r="J5070">
        <v>2115</v>
      </c>
      <c r="K5070">
        <v>661191</v>
      </c>
      <c r="L5070">
        <v>133018</v>
      </c>
      <c r="M5070">
        <v>-255255</v>
      </c>
      <c r="N5070">
        <v>149090</v>
      </c>
      <c r="O5070" t="s">
        <v>5088</v>
      </c>
      <c r="P5070" s="9">
        <v>280277</v>
      </c>
      <c r="Q5070" s="9">
        <v>38958</v>
      </c>
      <c r="R5070" s="9">
        <v>319235</v>
      </c>
      <c r="S5070" s="9">
        <v>-94512</v>
      </c>
      <c r="T5070" s="10">
        <v>101449</v>
      </c>
      <c r="U5070" s="10">
        <v>1729</v>
      </c>
    </row>
    <row r="5071" spans="1:21" x14ac:dyDescent="0.35">
      <c r="A5071" t="s">
        <v>15</v>
      </c>
      <c r="B5071" t="s">
        <v>16</v>
      </c>
      <c r="C5071" t="s">
        <v>21</v>
      </c>
      <c r="D5071">
        <v>207732</v>
      </c>
      <c r="E5071">
        <v>15896</v>
      </c>
      <c r="F5071">
        <v>30289</v>
      </c>
      <c r="G5071">
        <v>-202951</v>
      </c>
      <c r="H5071">
        <v>50966</v>
      </c>
      <c r="I5071">
        <v>49041</v>
      </c>
      <c r="J5071">
        <v>551</v>
      </c>
      <c r="K5071">
        <v>450686</v>
      </c>
      <c r="L5071">
        <v>217828</v>
      </c>
      <c r="M5071">
        <v>-55135</v>
      </c>
      <c r="N5071">
        <v>104351</v>
      </c>
      <c r="O5071" t="s">
        <v>5089</v>
      </c>
      <c r="P5071" s="9">
        <v>237471</v>
      </c>
      <c r="Q5071" s="9">
        <v>13896</v>
      </c>
      <c r="R5071" s="9">
        <v>251367</v>
      </c>
      <c r="S5071" s="9">
        <v>-69976</v>
      </c>
      <c r="T5071" s="10">
        <v>87547</v>
      </c>
      <c r="U5071" s="10">
        <v>1699</v>
      </c>
    </row>
    <row r="5072" spans="1:21" x14ac:dyDescent="0.35">
      <c r="A5072" t="s">
        <v>15</v>
      </c>
      <c r="B5072" t="s">
        <v>16</v>
      </c>
      <c r="C5072" t="s">
        <v>21</v>
      </c>
      <c r="D5072">
        <v>281799</v>
      </c>
      <c r="E5072">
        <v>53867</v>
      </c>
      <c r="F5072">
        <v>45764</v>
      </c>
      <c r="G5072">
        <v>-279671</v>
      </c>
      <c r="H5072">
        <v>101759</v>
      </c>
      <c r="I5072">
        <v>96918</v>
      </c>
      <c r="J5072">
        <v>1942</v>
      </c>
      <c r="K5072">
        <v>1059387</v>
      </c>
      <c r="L5072">
        <v>138098</v>
      </c>
      <c r="M5072">
        <v>-183373</v>
      </c>
      <c r="N5072">
        <v>242283</v>
      </c>
      <c r="O5072" t="s">
        <v>5090</v>
      </c>
      <c r="P5072" s="9">
        <v>252652</v>
      </c>
      <c r="Q5072" s="9">
        <v>36786</v>
      </c>
      <c r="R5072" s="9">
        <v>289438</v>
      </c>
      <c r="S5072" s="9">
        <v>-157664</v>
      </c>
      <c r="T5072" s="10">
        <v>138129</v>
      </c>
      <c r="U5072" s="10">
        <v>2704</v>
      </c>
    </row>
    <row r="5073" spans="1:21" x14ac:dyDescent="0.35">
      <c r="A5073" t="s">
        <v>15</v>
      </c>
      <c r="B5073" t="s">
        <v>16</v>
      </c>
      <c r="C5073" t="s">
        <v>21</v>
      </c>
      <c r="D5073">
        <v>231781</v>
      </c>
      <c r="E5073">
        <v>14105</v>
      </c>
      <c r="F5073">
        <v>44388</v>
      </c>
      <c r="G5073">
        <v>-198707</v>
      </c>
      <c r="H5073">
        <v>91567</v>
      </c>
      <c r="I5073">
        <v>88806</v>
      </c>
      <c r="J5073">
        <v>1317</v>
      </c>
      <c r="K5073">
        <v>920197</v>
      </c>
      <c r="L5073">
        <v>426863</v>
      </c>
      <c r="M5073">
        <v>-115788</v>
      </c>
      <c r="N5073">
        <v>177454</v>
      </c>
      <c r="O5073" t="s">
        <v>5091</v>
      </c>
      <c r="P5073" s="9">
        <v>267235</v>
      </c>
      <c r="Q5073" s="9">
        <v>12982</v>
      </c>
      <c r="R5073" s="9">
        <v>280217</v>
      </c>
      <c r="S5073" s="9">
        <v>-76204</v>
      </c>
      <c r="T5073" s="10">
        <v>67223</v>
      </c>
      <c r="U5073" s="10">
        <v>1978</v>
      </c>
    </row>
    <row r="5074" spans="1:21" x14ac:dyDescent="0.35">
      <c r="A5074" t="s">
        <v>15</v>
      </c>
      <c r="B5074" t="s">
        <v>16</v>
      </c>
      <c r="C5074" t="s">
        <v>21</v>
      </c>
      <c r="D5074">
        <v>265104</v>
      </c>
      <c r="E5074">
        <v>20961</v>
      </c>
      <c r="F5074">
        <v>41469</v>
      </c>
      <c r="G5074">
        <v>-233747</v>
      </c>
      <c r="H5074">
        <v>93787</v>
      </c>
      <c r="I5074">
        <v>87588</v>
      </c>
      <c r="J5074">
        <v>1922</v>
      </c>
      <c r="K5074">
        <v>591395</v>
      </c>
      <c r="L5074">
        <v>80626</v>
      </c>
      <c r="M5074">
        <v>-192537</v>
      </c>
      <c r="N5074">
        <v>203860</v>
      </c>
      <c r="O5074" t="s">
        <v>5092</v>
      </c>
      <c r="P5074" s="9">
        <v>190175</v>
      </c>
      <c r="Q5074" s="9">
        <v>13300</v>
      </c>
      <c r="R5074" s="9">
        <v>203475</v>
      </c>
      <c r="S5074" s="9">
        <v>-72919</v>
      </c>
      <c r="T5074" s="10">
        <v>76925</v>
      </c>
      <c r="U5074" s="10">
        <v>2036</v>
      </c>
    </row>
    <row r="5075" spans="1:21" x14ac:dyDescent="0.35">
      <c r="A5075" t="s">
        <v>15</v>
      </c>
      <c r="B5075" t="s">
        <v>16</v>
      </c>
      <c r="C5075" t="s">
        <v>21</v>
      </c>
      <c r="D5075">
        <v>297072</v>
      </c>
      <c r="E5075">
        <v>36437</v>
      </c>
      <c r="F5075">
        <v>74217</v>
      </c>
      <c r="G5075">
        <v>-265992</v>
      </c>
      <c r="H5075">
        <v>141734</v>
      </c>
      <c r="I5075">
        <v>148138</v>
      </c>
      <c r="J5075">
        <v>2681</v>
      </c>
      <c r="K5075">
        <v>1008286</v>
      </c>
      <c r="L5075">
        <v>498462</v>
      </c>
      <c r="M5075">
        <v>-334946</v>
      </c>
      <c r="N5075">
        <v>241430</v>
      </c>
      <c r="O5075" t="s">
        <v>5093</v>
      </c>
      <c r="P5075" s="9">
        <v>214109</v>
      </c>
      <c r="Q5075" s="9">
        <v>41466</v>
      </c>
      <c r="R5075" s="9">
        <v>255575</v>
      </c>
      <c r="S5075" s="9">
        <v>-83015</v>
      </c>
      <c r="T5075" s="10">
        <v>66041</v>
      </c>
      <c r="U5075" s="10">
        <v>1372</v>
      </c>
    </row>
    <row r="5076" spans="1:21" x14ac:dyDescent="0.35">
      <c r="A5076" t="s">
        <v>15</v>
      </c>
      <c r="B5076" t="s">
        <v>20</v>
      </c>
      <c r="C5076" t="s">
        <v>17</v>
      </c>
      <c r="D5076">
        <v>172726</v>
      </c>
      <c r="E5076">
        <v>14572</v>
      </c>
      <c r="F5076">
        <v>18829</v>
      </c>
      <c r="G5076">
        <v>-139069</v>
      </c>
      <c r="H5076">
        <v>67058</v>
      </c>
      <c r="I5076">
        <v>66650</v>
      </c>
      <c r="J5076">
        <v>909</v>
      </c>
      <c r="K5076">
        <v>474966</v>
      </c>
      <c r="L5076">
        <v>84067</v>
      </c>
      <c r="M5076">
        <v>-104834</v>
      </c>
      <c r="N5076">
        <v>122615</v>
      </c>
      <c r="O5076" t="s">
        <v>5094</v>
      </c>
      <c r="P5076" s="9">
        <v>209717</v>
      </c>
      <c r="Q5076" s="9">
        <v>33256</v>
      </c>
      <c r="R5076" s="9">
        <v>242973</v>
      </c>
      <c r="S5076" s="9">
        <v>-78281</v>
      </c>
      <c r="T5076" s="10">
        <v>103035</v>
      </c>
      <c r="U5076" s="10">
        <v>2817</v>
      </c>
    </row>
    <row r="5077" spans="1:21" x14ac:dyDescent="0.35">
      <c r="A5077" t="s">
        <v>15</v>
      </c>
      <c r="B5077" t="s">
        <v>16</v>
      </c>
      <c r="C5077" t="s">
        <v>17</v>
      </c>
      <c r="D5077">
        <v>186669</v>
      </c>
      <c r="E5077">
        <v>26414</v>
      </c>
      <c r="F5077">
        <v>25801</v>
      </c>
      <c r="G5077">
        <v>-177927</v>
      </c>
      <c r="H5077">
        <v>60957</v>
      </c>
      <c r="I5077">
        <v>63990</v>
      </c>
      <c r="J5077">
        <v>1169</v>
      </c>
      <c r="K5077">
        <v>465737</v>
      </c>
      <c r="L5077">
        <v>123246</v>
      </c>
      <c r="M5077">
        <v>-112186</v>
      </c>
      <c r="N5077">
        <v>110190</v>
      </c>
      <c r="O5077" t="s">
        <v>5095</v>
      </c>
      <c r="P5077" s="9">
        <v>323689</v>
      </c>
      <c r="Q5077" s="9">
        <v>30098</v>
      </c>
      <c r="R5077" s="9">
        <v>353787</v>
      </c>
      <c r="S5077" s="9">
        <v>-113536</v>
      </c>
      <c r="T5077" s="10">
        <v>122298</v>
      </c>
      <c r="U5077" s="10">
        <v>2996</v>
      </c>
    </row>
    <row r="5078" spans="1:21" x14ac:dyDescent="0.35">
      <c r="A5078" t="s">
        <v>15</v>
      </c>
      <c r="B5078" t="s">
        <v>20</v>
      </c>
      <c r="C5078" t="s">
        <v>17</v>
      </c>
      <c r="D5078">
        <v>201964</v>
      </c>
      <c r="E5078">
        <v>14566</v>
      </c>
      <c r="F5078">
        <v>28476</v>
      </c>
      <c r="G5078">
        <v>-165944</v>
      </c>
      <c r="H5078">
        <v>79062</v>
      </c>
      <c r="I5078">
        <v>74873</v>
      </c>
      <c r="J5078">
        <v>1938</v>
      </c>
      <c r="K5078">
        <v>446340</v>
      </c>
      <c r="L5078">
        <v>134598</v>
      </c>
      <c r="M5078">
        <v>-71464</v>
      </c>
      <c r="N5078">
        <v>73890</v>
      </c>
      <c r="O5078" t="s">
        <v>5096</v>
      </c>
      <c r="P5078" s="9">
        <v>266530</v>
      </c>
      <c r="Q5078" s="9">
        <v>36604</v>
      </c>
      <c r="R5078" s="9">
        <v>303134</v>
      </c>
      <c r="S5078" s="9">
        <v>-157729</v>
      </c>
      <c r="T5078" s="10">
        <v>106669</v>
      </c>
      <c r="U5078" s="10">
        <v>1787</v>
      </c>
    </row>
    <row r="5079" spans="1:21" x14ac:dyDescent="0.35">
      <c r="A5079" t="s">
        <v>15</v>
      </c>
      <c r="B5079" t="s">
        <v>20</v>
      </c>
      <c r="C5079" t="s">
        <v>21</v>
      </c>
      <c r="D5079">
        <v>254304</v>
      </c>
      <c r="E5079">
        <v>43552</v>
      </c>
      <c r="F5079">
        <v>49869</v>
      </c>
      <c r="G5079">
        <v>-218253</v>
      </c>
      <c r="H5079">
        <v>129472</v>
      </c>
      <c r="I5079">
        <v>132982</v>
      </c>
      <c r="J5079">
        <v>3652</v>
      </c>
      <c r="K5079">
        <v>909881</v>
      </c>
      <c r="L5079">
        <v>328960</v>
      </c>
      <c r="M5079">
        <v>-155729</v>
      </c>
      <c r="N5079">
        <v>129368</v>
      </c>
      <c r="O5079" t="s">
        <v>5097</v>
      </c>
      <c r="P5079" s="9">
        <v>240396</v>
      </c>
      <c r="Q5079" s="9">
        <v>18508</v>
      </c>
      <c r="R5079" s="9">
        <v>258904</v>
      </c>
      <c r="S5079" s="9">
        <v>-62226</v>
      </c>
      <c r="T5079" s="10">
        <v>128053</v>
      </c>
      <c r="U5079" s="10">
        <v>3531</v>
      </c>
    </row>
    <row r="5080" spans="1:21" x14ac:dyDescent="0.35">
      <c r="A5080" t="s">
        <v>15</v>
      </c>
      <c r="B5080" t="s">
        <v>20</v>
      </c>
      <c r="C5080" t="s">
        <v>17</v>
      </c>
      <c r="D5080">
        <v>294425</v>
      </c>
      <c r="E5080">
        <v>54956</v>
      </c>
      <c r="F5080">
        <v>67511</v>
      </c>
      <c r="G5080">
        <v>-246786</v>
      </c>
      <c r="H5080">
        <v>170106</v>
      </c>
      <c r="I5080">
        <v>177122</v>
      </c>
      <c r="J5080">
        <v>2273</v>
      </c>
      <c r="K5080">
        <v>700388</v>
      </c>
      <c r="L5080">
        <v>272212</v>
      </c>
      <c r="M5080">
        <v>-93343</v>
      </c>
      <c r="N5080">
        <v>231867</v>
      </c>
      <c r="O5080" t="s">
        <v>5098</v>
      </c>
      <c r="P5080" s="9">
        <v>265878</v>
      </c>
      <c r="Q5080" s="9">
        <v>35425</v>
      </c>
      <c r="R5080" s="9">
        <v>301303</v>
      </c>
      <c r="S5080" s="9">
        <v>-91893</v>
      </c>
      <c r="T5080" s="10">
        <v>124830</v>
      </c>
      <c r="U5080" s="10">
        <v>3497</v>
      </c>
    </row>
    <row r="5081" spans="1:21" x14ac:dyDescent="0.35">
      <c r="A5081" t="s">
        <v>15</v>
      </c>
      <c r="B5081" t="s">
        <v>20</v>
      </c>
      <c r="C5081" t="s">
        <v>21</v>
      </c>
      <c r="D5081">
        <v>265441</v>
      </c>
      <c r="E5081">
        <v>30452</v>
      </c>
      <c r="F5081">
        <v>59418</v>
      </c>
      <c r="G5081">
        <v>-230292</v>
      </c>
      <c r="H5081">
        <v>125019</v>
      </c>
      <c r="I5081">
        <v>127059</v>
      </c>
      <c r="J5081">
        <v>3743</v>
      </c>
      <c r="K5081">
        <v>824416</v>
      </c>
      <c r="L5081">
        <v>308947</v>
      </c>
      <c r="M5081">
        <v>-104535</v>
      </c>
      <c r="N5081">
        <v>120233</v>
      </c>
      <c r="O5081" t="s">
        <v>5099</v>
      </c>
      <c r="P5081" s="9">
        <v>264950</v>
      </c>
      <c r="Q5081" s="9">
        <v>29505</v>
      </c>
      <c r="R5081" s="9">
        <v>294455</v>
      </c>
      <c r="S5081" s="9">
        <v>-95439</v>
      </c>
      <c r="T5081" s="10">
        <v>86758</v>
      </c>
      <c r="U5081" s="10">
        <v>1281</v>
      </c>
    </row>
    <row r="5082" spans="1:21" x14ac:dyDescent="0.35">
      <c r="A5082" t="s">
        <v>15</v>
      </c>
      <c r="B5082" t="s">
        <v>20</v>
      </c>
      <c r="C5082" t="s">
        <v>17</v>
      </c>
      <c r="D5082">
        <v>296348</v>
      </c>
      <c r="E5082">
        <v>30033</v>
      </c>
      <c r="F5082">
        <v>36824</v>
      </c>
      <c r="G5082">
        <v>-287383</v>
      </c>
      <c r="H5082">
        <v>75822</v>
      </c>
      <c r="I5082">
        <v>75927</v>
      </c>
      <c r="J5082">
        <v>1782</v>
      </c>
      <c r="K5082">
        <v>1160633</v>
      </c>
      <c r="L5082">
        <v>557164</v>
      </c>
      <c r="M5082">
        <v>-232383</v>
      </c>
      <c r="N5082">
        <v>130039</v>
      </c>
      <c r="O5082" t="s">
        <v>5100</v>
      </c>
      <c r="P5082" s="9">
        <v>253668</v>
      </c>
      <c r="Q5082" s="9">
        <v>20985</v>
      </c>
      <c r="R5082" s="9">
        <v>274653</v>
      </c>
      <c r="S5082" s="9">
        <v>-120466</v>
      </c>
      <c r="T5082" s="10">
        <v>92215</v>
      </c>
      <c r="U5082" s="10">
        <v>1325</v>
      </c>
    </row>
    <row r="5083" spans="1:21" x14ac:dyDescent="0.35">
      <c r="A5083" t="s">
        <v>15</v>
      </c>
      <c r="B5083" t="s">
        <v>16</v>
      </c>
      <c r="C5083" t="s">
        <v>21</v>
      </c>
      <c r="D5083">
        <v>202264</v>
      </c>
      <c r="E5083">
        <v>39308</v>
      </c>
      <c r="F5083">
        <v>41808</v>
      </c>
      <c r="G5083">
        <v>-188827</v>
      </c>
      <c r="H5083">
        <v>94553</v>
      </c>
      <c r="I5083">
        <v>97623</v>
      </c>
      <c r="J5083">
        <v>1008</v>
      </c>
      <c r="K5083">
        <v>590806</v>
      </c>
      <c r="L5083">
        <v>61401</v>
      </c>
      <c r="M5083">
        <v>-94853</v>
      </c>
      <c r="N5083">
        <v>152019</v>
      </c>
      <c r="O5083" t="s">
        <v>5101</v>
      </c>
      <c r="P5083" s="9">
        <v>218158</v>
      </c>
      <c r="Q5083" s="9">
        <v>45868</v>
      </c>
      <c r="R5083" s="9">
        <v>264026</v>
      </c>
      <c r="S5083" s="9">
        <v>-65670</v>
      </c>
      <c r="T5083" s="10">
        <v>109963</v>
      </c>
      <c r="U5083" s="10">
        <v>1116</v>
      </c>
    </row>
    <row r="5084" spans="1:21" x14ac:dyDescent="0.35">
      <c r="A5084" t="s">
        <v>15</v>
      </c>
      <c r="B5084" t="s">
        <v>16</v>
      </c>
      <c r="C5084" t="s">
        <v>21</v>
      </c>
      <c r="D5084">
        <v>202950</v>
      </c>
      <c r="E5084">
        <v>40181</v>
      </c>
      <c r="F5084">
        <v>32659</v>
      </c>
      <c r="G5084">
        <v>-163277</v>
      </c>
      <c r="H5084">
        <v>112513</v>
      </c>
      <c r="I5084">
        <v>116129</v>
      </c>
      <c r="J5084">
        <v>1680</v>
      </c>
      <c r="K5084">
        <v>578286</v>
      </c>
      <c r="L5084">
        <v>172595</v>
      </c>
      <c r="M5084">
        <v>-183379</v>
      </c>
      <c r="N5084">
        <v>158757</v>
      </c>
      <c r="O5084" t="s">
        <v>5102</v>
      </c>
      <c r="P5084" s="9">
        <v>234937</v>
      </c>
      <c r="Q5084" s="9">
        <v>20105</v>
      </c>
      <c r="R5084" s="9">
        <v>255042</v>
      </c>
      <c r="S5084" s="9">
        <v>-56141</v>
      </c>
      <c r="T5084" s="10">
        <v>56872</v>
      </c>
      <c r="U5084" s="10">
        <v>1400</v>
      </c>
    </row>
    <row r="5085" spans="1:21" x14ac:dyDescent="0.35">
      <c r="A5085" t="s">
        <v>15</v>
      </c>
      <c r="B5085" t="s">
        <v>20</v>
      </c>
      <c r="C5085" t="s">
        <v>21</v>
      </c>
      <c r="D5085">
        <v>182326</v>
      </c>
      <c r="E5085">
        <v>26459</v>
      </c>
      <c r="F5085">
        <v>40038</v>
      </c>
      <c r="G5085">
        <v>-180678</v>
      </c>
      <c r="H5085">
        <v>68145</v>
      </c>
      <c r="I5085">
        <v>63219</v>
      </c>
      <c r="J5085">
        <v>742</v>
      </c>
      <c r="K5085">
        <v>469861</v>
      </c>
      <c r="L5085">
        <v>114705</v>
      </c>
      <c r="M5085">
        <v>-57855</v>
      </c>
      <c r="N5085">
        <v>156058</v>
      </c>
      <c r="O5085" t="s">
        <v>5103</v>
      </c>
      <c r="P5085" s="9">
        <v>236087</v>
      </c>
      <c r="Q5085" s="9">
        <v>18915</v>
      </c>
      <c r="R5085" s="9">
        <v>255002</v>
      </c>
      <c r="S5085" s="9">
        <v>-83808</v>
      </c>
      <c r="T5085" s="10">
        <v>102143</v>
      </c>
      <c r="U5085" s="10">
        <v>1693</v>
      </c>
    </row>
    <row r="5086" spans="1:21" x14ac:dyDescent="0.35">
      <c r="A5086" t="s">
        <v>15</v>
      </c>
      <c r="B5086" t="s">
        <v>16</v>
      </c>
      <c r="C5086" t="s">
        <v>21</v>
      </c>
      <c r="D5086">
        <v>213117</v>
      </c>
      <c r="E5086">
        <v>12630</v>
      </c>
      <c r="F5086">
        <v>24362</v>
      </c>
      <c r="G5086">
        <v>-210943</v>
      </c>
      <c r="H5086">
        <v>39166</v>
      </c>
      <c r="I5086">
        <v>37171</v>
      </c>
      <c r="J5086">
        <v>969</v>
      </c>
      <c r="K5086">
        <v>544220</v>
      </c>
      <c r="L5086">
        <v>189576</v>
      </c>
      <c r="M5086">
        <v>-199947</v>
      </c>
      <c r="N5086">
        <v>75233</v>
      </c>
      <c r="O5086" t="s">
        <v>5104</v>
      </c>
      <c r="P5086" s="9">
        <v>202109</v>
      </c>
      <c r="Q5086" s="9">
        <v>31767</v>
      </c>
      <c r="R5086" s="9">
        <v>233876</v>
      </c>
      <c r="S5086" s="9">
        <v>-132943</v>
      </c>
      <c r="T5086" s="10">
        <v>61591</v>
      </c>
      <c r="U5086" s="10">
        <v>702</v>
      </c>
    </row>
    <row r="5087" spans="1:21" x14ac:dyDescent="0.35">
      <c r="A5087" t="s">
        <v>15</v>
      </c>
      <c r="B5087" t="s">
        <v>16</v>
      </c>
      <c r="C5087" t="s">
        <v>21</v>
      </c>
      <c r="D5087">
        <v>254786</v>
      </c>
      <c r="E5087">
        <v>24680</v>
      </c>
      <c r="F5087">
        <v>36765</v>
      </c>
      <c r="G5087">
        <v>-214360</v>
      </c>
      <c r="H5087">
        <v>101871</v>
      </c>
      <c r="I5087">
        <v>99301</v>
      </c>
      <c r="J5087">
        <v>2909</v>
      </c>
      <c r="K5087">
        <v>591235</v>
      </c>
      <c r="L5087">
        <v>102580</v>
      </c>
      <c r="M5087">
        <v>-161972</v>
      </c>
      <c r="N5087">
        <v>163508</v>
      </c>
      <c r="O5087" t="s">
        <v>5105</v>
      </c>
      <c r="P5087" s="9">
        <v>188602</v>
      </c>
      <c r="Q5087" s="9">
        <v>16948</v>
      </c>
      <c r="R5087" s="9">
        <v>205550</v>
      </c>
      <c r="S5087" s="9">
        <v>-112395</v>
      </c>
      <c r="T5087" s="10">
        <v>68929</v>
      </c>
      <c r="U5087" s="10">
        <v>1844</v>
      </c>
    </row>
    <row r="5088" spans="1:21" x14ac:dyDescent="0.35">
      <c r="A5088" t="s">
        <v>15</v>
      </c>
      <c r="B5088" t="s">
        <v>16</v>
      </c>
      <c r="C5088" t="s">
        <v>17</v>
      </c>
      <c r="D5088">
        <v>292122</v>
      </c>
      <c r="E5088">
        <v>17509</v>
      </c>
      <c r="F5088">
        <v>52342</v>
      </c>
      <c r="G5088">
        <v>-288274</v>
      </c>
      <c r="H5088">
        <v>73699</v>
      </c>
      <c r="I5088">
        <v>76612</v>
      </c>
      <c r="J5088">
        <v>1367</v>
      </c>
      <c r="K5088">
        <v>1030776</v>
      </c>
      <c r="L5088">
        <v>306243</v>
      </c>
      <c r="M5088">
        <v>-404021</v>
      </c>
      <c r="N5088">
        <v>90138</v>
      </c>
      <c r="O5088" t="s">
        <v>5106</v>
      </c>
      <c r="P5088" s="9">
        <v>231376</v>
      </c>
      <c r="Q5088" s="9">
        <v>28745</v>
      </c>
      <c r="R5088" s="9">
        <v>260121</v>
      </c>
      <c r="S5088" s="9">
        <v>-135286</v>
      </c>
      <c r="T5088" s="10">
        <v>92229</v>
      </c>
      <c r="U5088" s="10">
        <v>1619</v>
      </c>
    </row>
    <row r="5089" spans="1:21" x14ac:dyDescent="0.35">
      <c r="A5089" t="s">
        <v>15</v>
      </c>
      <c r="B5089" t="s">
        <v>20</v>
      </c>
      <c r="C5089" t="s">
        <v>17</v>
      </c>
      <c r="D5089">
        <v>212513</v>
      </c>
      <c r="E5089">
        <v>18117</v>
      </c>
      <c r="F5089">
        <v>47100</v>
      </c>
      <c r="G5089">
        <v>-174252</v>
      </c>
      <c r="H5089">
        <v>103478</v>
      </c>
      <c r="I5089">
        <v>100307</v>
      </c>
      <c r="J5089">
        <v>1375</v>
      </c>
      <c r="K5089">
        <v>607443</v>
      </c>
      <c r="L5089">
        <v>181344</v>
      </c>
      <c r="M5089">
        <v>-128847</v>
      </c>
      <c r="N5089">
        <v>172522</v>
      </c>
      <c r="O5089" t="s">
        <v>5107</v>
      </c>
      <c r="P5089" s="9">
        <v>197249</v>
      </c>
      <c r="Q5089" s="9">
        <v>12877</v>
      </c>
      <c r="R5089" s="9">
        <v>210126</v>
      </c>
      <c r="S5089" s="9">
        <v>-116290</v>
      </c>
      <c r="T5089" s="10">
        <v>75104</v>
      </c>
      <c r="U5089" s="10">
        <v>1166</v>
      </c>
    </row>
    <row r="5090" spans="1:21" x14ac:dyDescent="0.35">
      <c r="A5090" t="s">
        <v>15</v>
      </c>
      <c r="B5090" t="s">
        <v>16</v>
      </c>
      <c r="C5090" t="s">
        <v>21</v>
      </c>
      <c r="D5090">
        <v>179994</v>
      </c>
      <c r="E5090">
        <v>17837</v>
      </c>
      <c r="F5090">
        <v>27075</v>
      </c>
      <c r="G5090">
        <v>-160937</v>
      </c>
      <c r="H5090">
        <v>63969</v>
      </c>
      <c r="I5090">
        <v>59471</v>
      </c>
      <c r="J5090">
        <v>966</v>
      </c>
      <c r="K5090">
        <v>450570</v>
      </c>
      <c r="L5090">
        <v>86786</v>
      </c>
      <c r="M5090">
        <v>-163077</v>
      </c>
      <c r="N5090">
        <v>103141</v>
      </c>
      <c r="O5090" t="s">
        <v>5108</v>
      </c>
      <c r="P5090" s="9">
        <v>284762</v>
      </c>
      <c r="Q5090" s="9">
        <v>30014</v>
      </c>
      <c r="R5090" s="9">
        <v>314776</v>
      </c>
      <c r="S5090" s="9">
        <v>-87480</v>
      </c>
      <c r="T5090" s="10">
        <v>72152</v>
      </c>
      <c r="U5090" s="10">
        <v>1776</v>
      </c>
    </row>
    <row r="5091" spans="1:21" x14ac:dyDescent="0.35">
      <c r="A5091" t="s">
        <v>15</v>
      </c>
      <c r="B5091" t="s">
        <v>16</v>
      </c>
      <c r="C5091" t="s">
        <v>17</v>
      </c>
      <c r="D5091">
        <v>262249</v>
      </c>
      <c r="E5091">
        <v>28853</v>
      </c>
      <c r="F5091">
        <v>35565</v>
      </c>
      <c r="G5091">
        <v>-237910</v>
      </c>
      <c r="H5091">
        <v>88757</v>
      </c>
      <c r="I5091">
        <v>83249</v>
      </c>
      <c r="J5091">
        <v>2120</v>
      </c>
      <c r="K5091">
        <v>902374</v>
      </c>
      <c r="L5091">
        <v>305658</v>
      </c>
      <c r="M5091">
        <v>-192197</v>
      </c>
      <c r="N5091">
        <v>177201</v>
      </c>
      <c r="O5091" t="s">
        <v>5109</v>
      </c>
      <c r="P5091" s="9">
        <v>146657</v>
      </c>
      <c r="Q5091" s="9">
        <v>10112</v>
      </c>
      <c r="R5091" s="9">
        <v>156769</v>
      </c>
      <c r="S5091" s="9">
        <v>-35079</v>
      </c>
      <c r="T5091" s="10">
        <v>50542</v>
      </c>
      <c r="U5091" s="10">
        <v>1048</v>
      </c>
    </row>
    <row r="5092" spans="1:21" x14ac:dyDescent="0.35">
      <c r="A5092" t="s">
        <v>15</v>
      </c>
      <c r="B5092" t="s">
        <v>20</v>
      </c>
      <c r="C5092" t="s">
        <v>21</v>
      </c>
      <c r="D5092">
        <v>283020</v>
      </c>
      <c r="E5092">
        <v>53035</v>
      </c>
      <c r="F5092">
        <v>47990</v>
      </c>
      <c r="G5092">
        <v>-232140</v>
      </c>
      <c r="H5092">
        <v>151905</v>
      </c>
      <c r="I5092">
        <v>142333</v>
      </c>
      <c r="J5092">
        <v>2683</v>
      </c>
      <c r="K5092">
        <v>598418</v>
      </c>
      <c r="L5092">
        <v>115264</v>
      </c>
      <c r="M5092">
        <v>-206893</v>
      </c>
      <c r="N5092">
        <v>240466</v>
      </c>
      <c r="O5092" t="s">
        <v>5110</v>
      </c>
      <c r="P5092" s="9">
        <v>325328</v>
      </c>
      <c r="Q5092" s="9">
        <v>27821</v>
      </c>
      <c r="R5092" s="9">
        <v>353149</v>
      </c>
      <c r="S5092" s="9">
        <v>-165358</v>
      </c>
      <c r="T5092" s="10">
        <v>112241</v>
      </c>
      <c r="U5092" s="10">
        <v>1385</v>
      </c>
    </row>
    <row r="5093" spans="1:21" x14ac:dyDescent="0.35">
      <c r="A5093" t="s">
        <v>15</v>
      </c>
      <c r="B5093" t="s">
        <v>16</v>
      </c>
      <c r="C5093" t="s">
        <v>21</v>
      </c>
      <c r="D5093">
        <v>289011</v>
      </c>
      <c r="E5093">
        <v>15082</v>
      </c>
      <c r="F5093">
        <v>68455</v>
      </c>
      <c r="G5093">
        <v>-288437</v>
      </c>
      <c r="H5093">
        <v>84111</v>
      </c>
      <c r="I5093">
        <v>85375</v>
      </c>
      <c r="J5093">
        <v>1385</v>
      </c>
      <c r="K5093">
        <v>596025</v>
      </c>
      <c r="L5093">
        <v>284256</v>
      </c>
      <c r="M5093">
        <v>-155418</v>
      </c>
      <c r="N5093">
        <v>230476</v>
      </c>
      <c r="O5093" t="s">
        <v>5111</v>
      </c>
      <c r="P5093" s="9">
        <v>258580</v>
      </c>
      <c r="Q5093" s="9">
        <v>46605</v>
      </c>
      <c r="R5093" s="9">
        <v>305185</v>
      </c>
      <c r="S5093" s="9">
        <v>-104464</v>
      </c>
      <c r="T5093" s="10">
        <v>105011</v>
      </c>
      <c r="U5093" s="10">
        <v>2607</v>
      </c>
    </row>
    <row r="5094" spans="1:21" x14ac:dyDescent="0.35">
      <c r="A5094" t="s">
        <v>15</v>
      </c>
      <c r="B5094" t="s">
        <v>16</v>
      </c>
      <c r="C5094" t="s">
        <v>21</v>
      </c>
      <c r="D5094">
        <v>270141</v>
      </c>
      <c r="E5094">
        <v>19786</v>
      </c>
      <c r="F5094">
        <v>32665</v>
      </c>
      <c r="G5094">
        <v>-220329</v>
      </c>
      <c r="H5094">
        <v>102263</v>
      </c>
      <c r="I5094">
        <v>100767</v>
      </c>
      <c r="J5094">
        <v>1471</v>
      </c>
      <c r="K5094">
        <v>738653</v>
      </c>
      <c r="L5094">
        <v>167303</v>
      </c>
      <c r="M5094">
        <v>-156389</v>
      </c>
      <c r="N5094">
        <v>165522</v>
      </c>
      <c r="O5094" t="s">
        <v>5112</v>
      </c>
      <c r="P5094" s="9">
        <v>187077</v>
      </c>
      <c r="Q5094" s="9">
        <v>22758</v>
      </c>
      <c r="R5094" s="9">
        <v>209835</v>
      </c>
      <c r="S5094" s="9">
        <v>-100239</v>
      </c>
      <c r="T5094" s="10">
        <v>55405</v>
      </c>
      <c r="U5094" s="10">
        <v>1147</v>
      </c>
    </row>
    <row r="5095" spans="1:21" x14ac:dyDescent="0.35">
      <c r="A5095" t="s">
        <v>15</v>
      </c>
      <c r="B5095" t="s">
        <v>20</v>
      </c>
      <c r="C5095" t="s">
        <v>21</v>
      </c>
      <c r="D5095">
        <v>196166</v>
      </c>
      <c r="E5095">
        <v>26150</v>
      </c>
      <c r="F5095">
        <v>48975</v>
      </c>
      <c r="G5095">
        <v>-167207</v>
      </c>
      <c r="H5095">
        <v>104084</v>
      </c>
      <c r="I5095">
        <v>95133</v>
      </c>
      <c r="J5095">
        <v>1247</v>
      </c>
      <c r="K5095">
        <v>556814</v>
      </c>
      <c r="L5095">
        <v>212906</v>
      </c>
      <c r="M5095">
        <v>-144249</v>
      </c>
      <c r="N5095">
        <v>104809</v>
      </c>
      <c r="O5095" t="s">
        <v>5113</v>
      </c>
      <c r="P5095" s="9">
        <v>154398</v>
      </c>
      <c r="Q5095" s="9">
        <v>22895</v>
      </c>
      <c r="R5095" s="9">
        <v>177293</v>
      </c>
      <c r="S5095" s="9">
        <v>-80306</v>
      </c>
      <c r="T5095" s="10">
        <v>73349</v>
      </c>
      <c r="U5095" s="10">
        <v>1704</v>
      </c>
    </row>
    <row r="5096" spans="1:21" x14ac:dyDescent="0.35">
      <c r="A5096" t="s">
        <v>15</v>
      </c>
      <c r="B5096" t="s">
        <v>16</v>
      </c>
      <c r="C5096" t="s">
        <v>21</v>
      </c>
      <c r="D5096">
        <v>156655</v>
      </c>
      <c r="E5096">
        <v>10842</v>
      </c>
      <c r="F5096">
        <v>23957</v>
      </c>
      <c r="G5096">
        <v>-126494</v>
      </c>
      <c r="H5096">
        <v>64960</v>
      </c>
      <c r="I5096">
        <v>66205</v>
      </c>
      <c r="J5096">
        <v>1938</v>
      </c>
      <c r="K5096">
        <v>566431</v>
      </c>
      <c r="L5096">
        <v>194647</v>
      </c>
      <c r="M5096">
        <v>-137319</v>
      </c>
      <c r="N5096">
        <v>140718</v>
      </c>
      <c r="O5096" t="s">
        <v>5114</v>
      </c>
      <c r="P5096" s="9">
        <v>247831</v>
      </c>
      <c r="Q5096" s="9">
        <v>30024</v>
      </c>
      <c r="R5096" s="9">
        <v>277855</v>
      </c>
      <c r="S5096" s="9">
        <v>-74299</v>
      </c>
      <c r="T5096" s="10">
        <v>60664</v>
      </c>
      <c r="U5096" s="10">
        <v>717</v>
      </c>
    </row>
    <row r="5097" spans="1:21" x14ac:dyDescent="0.35">
      <c r="A5097" t="s">
        <v>15</v>
      </c>
      <c r="B5097" t="s">
        <v>16</v>
      </c>
      <c r="C5097" t="s">
        <v>17</v>
      </c>
      <c r="D5097">
        <v>245446</v>
      </c>
      <c r="E5097">
        <v>27671</v>
      </c>
      <c r="F5097">
        <v>41089</v>
      </c>
      <c r="G5097">
        <v>-242299</v>
      </c>
      <c r="H5097">
        <v>71907</v>
      </c>
      <c r="I5097">
        <v>74507</v>
      </c>
      <c r="J5097">
        <v>1593</v>
      </c>
      <c r="K5097">
        <v>538730</v>
      </c>
      <c r="L5097">
        <v>167264</v>
      </c>
      <c r="M5097">
        <v>-189705</v>
      </c>
      <c r="N5097">
        <v>177147</v>
      </c>
      <c r="O5097" t="s">
        <v>5115</v>
      </c>
      <c r="P5097" s="9">
        <v>150091</v>
      </c>
      <c r="Q5097" s="9">
        <v>20347</v>
      </c>
      <c r="R5097" s="9">
        <v>170438</v>
      </c>
      <c r="S5097" s="9">
        <v>-73059</v>
      </c>
      <c r="T5097" s="10">
        <v>68782</v>
      </c>
      <c r="U5097" s="10">
        <v>1828</v>
      </c>
    </row>
    <row r="5098" spans="1:21" x14ac:dyDescent="0.35">
      <c r="A5098" t="s">
        <v>15</v>
      </c>
      <c r="B5098" t="s">
        <v>20</v>
      </c>
      <c r="C5098" t="s">
        <v>21</v>
      </c>
      <c r="D5098">
        <v>181193</v>
      </c>
      <c r="E5098">
        <v>20517</v>
      </c>
      <c r="F5098">
        <v>24941</v>
      </c>
      <c r="G5098">
        <v>-171466</v>
      </c>
      <c r="H5098">
        <v>55185</v>
      </c>
      <c r="I5098">
        <v>57007</v>
      </c>
      <c r="J5098">
        <v>1642</v>
      </c>
      <c r="K5098">
        <v>459240</v>
      </c>
      <c r="L5098">
        <v>157562</v>
      </c>
      <c r="M5098">
        <v>-71890</v>
      </c>
      <c r="N5098">
        <v>108858</v>
      </c>
      <c r="O5098" t="s">
        <v>5116</v>
      </c>
      <c r="P5098" s="9">
        <v>263660</v>
      </c>
      <c r="Q5098" s="9">
        <v>17661</v>
      </c>
      <c r="R5098" s="9">
        <v>281321</v>
      </c>
      <c r="S5098" s="9">
        <v>-113635</v>
      </c>
      <c r="T5098" s="10">
        <v>57923</v>
      </c>
      <c r="U5098" s="10">
        <v>1024</v>
      </c>
    </row>
    <row r="5099" spans="1:21" x14ac:dyDescent="0.35">
      <c r="A5099" t="s">
        <v>15</v>
      </c>
      <c r="B5099" t="s">
        <v>20</v>
      </c>
      <c r="C5099" t="s">
        <v>17</v>
      </c>
      <c r="D5099">
        <v>250844</v>
      </c>
      <c r="E5099">
        <v>22895</v>
      </c>
      <c r="F5099">
        <v>39402</v>
      </c>
      <c r="G5099">
        <v>-224716</v>
      </c>
      <c r="H5099">
        <v>88425</v>
      </c>
      <c r="I5099">
        <v>88173</v>
      </c>
      <c r="J5099">
        <v>1294</v>
      </c>
      <c r="K5099">
        <v>664955</v>
      </c>
      <c r="L5099">
        <v>145877</v>
      </c>
      <c r="M5099">
        <v>-140202</v>
      </c>
      <c r="N5099">
        <v>221567</v>
      </c>
      <c r="O5099" t="s">
        <v>5117</v>
      </c>
      <c r="P5099" s="9">
        <v>293834</v>
      </c>
      <c r="Q5099" s="9">
        <v>49003</v>
      </c>
      <c r="R5099" s="9">
        <v>342837</v>
      </c>
      <c r="S5099" s="9">
        <v>-141270</v>
      </c>
      <c r="T5099" s="10">
        <v>153195</v>
      </c>
      <c r="U5099" s="10">
        <v>1725</v>
      </c>
    </row>
    <row r="5100" spans="1:21" x14ac:dyDescent="0.35">
      <c r="A5100" t="s">
        <v>15</v>
      </c>
      <c r="B5100" t="s">
        <v>20</v>
      </c>
      <c r="C5100" t="s">
        <v>17</v>
      </c>
      <c r="D5100">
        <v>194140</v>
      </c>
      <c r="E5100">
        <v>33065</v>
      </c>
      <c r="F5100">
        <v>30792</v>
      </c>
      <c r="G5100">
        <v>-158034</v>
      </c>
      <c r="H5100">
        <v>99963</v>
      </c>
      <c r="I5100">
        <v>99574</v>
      </c>
      <c r="J5100">
        <v>2658</v>
      </c>
      <c r="K5100">
        <v>776278</v>
      </c>
      <c r="L5100">
        <v>294414</v>
      </c>
      <c r="M5100">
        <v>-84553</v>
      </c>
      <c r="N5100">
        <v>129229</v>
      </c>
      <c r="O5100" t="s">
        <v>5118</v>
      </c>
      <c r="P5100" s="9">
        <v>178294</v>
      </c>
      <c r="Q5100" s="9">
        <v>31938</v>
      </c>
      <c r="R5100" s="9">
        <v>210232</v>
      </c>
      <c r="S5100" s="9">
        <v>-123105</v>
      </c>
      <c r="T5100" s="10">
        <v>97167</v>
      </c>
      <c r="U5100" s="10">
        <v>1828</v>
      </c>
    </row>
    <row r="5101" spans="1:21" x14ac:dyDescent="0.35">
      <c r="A5101" t="s">
        <v>15</v>
      </c>
      <c r="B5101" t="s">
        <v>16</v>
      </c>
      <c r="C5101" t="s">
        <v>21</v>
      </c>
      <c r="D5101">
        <v>252696</v>
      </c>
      <c r="E5101">
        <v>38874</v>
      </c>
      <c r="F5101">
        <v>40600</v>
      </c>
      <c r="G5101">
        <v>-231366</v>
      </c>
      <c r="H5101">
        <v>100804</v>
      </c>
      <c r="I5101">
        <v>96873</v>
      </c>
      <c r="J5101">
        <v>1171</v>
      </c>
      <c r="K5101">
        <v>886148</v>
      </c>
      <c r="L5101">
        <v>122093</v>
      </c>
      <c r="M5101">
        <v>-182092</v>
      </c>
      <c r="N5101">
        <v>110409</v>
      </c>
      <c r="O5101" t="s">
        <v>5119</v>
      </c>
      <c r="P5101" s="9">
        <v>173646</v>
      </c>
      <c r="Q5101" s="9">
        <v>14712</v>
      </c>
      <c r="R5101" s="9">
        <v>188358</v>
      </c>
      <c r="S5101" s="9">
        <v>-70066</v>
      </c>
      <c r="T5101" s="10">
        <v>55406</v>
      </c>
      <c r="U5101" s="10">
        <v>597</v>
      </c>
    </row>
    <row r="5102" spans="1:21" x14ac:dyDescent="0.35">
      <c r="A5102" t="s">
        <v>15</v>
      </c>
      <c r="B5102" t="s">
        <v>20</v>
      </c>
      <c r="C5102" t="s">
        <v>21</v>
      </c>
      <c r="D5102">
        <v>198001</v>
      </c>
      <c r="E5102">
        <v>35896</v>
      </c>
      <c r="F5102">
        <v>24949</v>
      </c>
      <c r="G5102">
        <v>-168847</v>
      </c>
      <c r="H5102">
        <v>89999</v>
      </c>
      <c r="I5102">
        <v>84083</v>
      </c>
      <c r="J5102">
        <v>1252</v>
      </c>
      <c r="K5102">
        <v>722523</v>
      </c>
      <c r="L5102">
        <v>175337</v>
      </c>
      <c r="M5102">
        <v>-204693</v>
      </c>
      <c r="N5102">
        <v>170517</v>
      </c>
      <c r="O5102" t="s">
        <v>5120</v>
      </c>
      <c r="P5102" s="9">
        <v>203594</v>
      </c>
      <c r="Q5102" s="9">
        <v>23209</v>
      </c>
      <c r="R5102" s="9">
        <v>226803</v>
      </c>
      <c r="S5102" s="9">
        <v>-131317</v>
      </c>
      <c r="T5102" s="10">
        <v>90749</v>
      </c>
      <c r="U5102" s="10">
        <v>1224</v>
      </c>
    </row>
    <row r="5103" spans="1:21" x14ac:dyDescent="0.35">
      <c r="A5103" t="s">
        <v>15</v>
      </c>
      <c r="B5103" t="s">
        <v>20</v>
      </c>
      <c r="C5103" t="s">
        <v>17</v>
      </c>
      <c r="D5103">
        <v>279711</v>
      </c>
      <c r="E5103">
        <v>51044</v>
      </c>
      <c r="F5103">
        <v>61535</v>
      </c>
      <c r="G5103">
        <v>-258602</v>
      </c>
      <c r="H5103">
        <v>133688</v>
      </c>
      <c r="I5103">
        <v>135562</v>
      </c>
      <c r="J5103">
        <v>2487</v>
      </c>
      <c r="K5103">
        <v>853620</v>
      </c>
      <c r="L5103">
        <v>245731</v>
      </c>
      <c r="M5103">
        <v>-211694</v>
      </c>
      <c r="N5103">
        <v>220766</v>
      </c>
      <c r="O5103" t="s">
        <v>5121</v>
      </c>
      <c r="P5103" s="9">
        <v>270868</v>
      </c>
      <c r="Q5103" s="9">
        <v>26994</v>
      </c>
      <c r="R5103" s="9">
        <v>297862</v>
      </c>
      <c r="S5103" s="9">
        <v>-69094</v>
      </c>
      <c r="T5103" s="10">
        <v>117161</v>
      </c>
      <c r="U5103" s="10">
        <v>2038</v>
      </c>
    </row>
    <row r="5104" spans="1:21" x14ac:dyDescent="0.35">
      <c r="A5104" t="s">
        <v>15</v>
      </c>
      <c r="B5104" t="s">
        <v>16</v>
      </c>
      <c r="C5104" t="s">
        <v>21</v>
      </c>
      <c r="D5104">
        <v>243346</v>
      </c>
      <c r="E5104">
        <v>44725</v>
      </c>
      <c r="F5104">
        <v>40451</v>
      </c>
      <c r="G5104">
        <v>-199923</v>
      </c>
      <c r="H5104">
        <v>128599</v>
      </c>
      <c r="I5104">
        <v>127573</v>
      </c>
      <c r="J5104">
        <v>2819</v>
      </c>
      <c r="K5104">
        <v>954354</v>
      </c>
      <c r="L5104">
        <v>233233</v>
      </c>
      <c r="M5104">
        <v>-211087</v>
      </c>
      <c r="N5104">
        <v>146934</v>
      </c>
      <c r="O5104" t="s">
        <v>5122</v>
      </c>
      <c r="P5104" s="9">
        <v>264376</v>
      </c>
      <c r="Q5104" s="9">
        <v>27593</v>
      </c>
      <c r="R5104" s="9">
        <v>291969</v>
      </c>
      <c r="S5104" s="9">
        <v>-131188</v>
      </c>
      <c r="T5104" s="10">
        <v>93023</v>
      </c>
      <c r="U5104" s="10">
        <v>1981</v>
      </c>
    </row>
    <row r="5105" spans="1:21" x14ac:dyDescent="0.35">
      <c r="A5105" t="s">
        <v>15</v>
      </c>
      <c r="B5105" t="s">
        <v>16</v>
      </c>
      <c r="C5105" t="s">
        <v>17</v>
      </c>
      <c r="D5105">
        <v>150280</v>
      </c>
      <c r="E5105">
        <v>11781</v>
      </c>
      <c r="F5105">
        <v>37499</v>
      </c>
      <c r="G5105">
        <v>-121170</v>
      </c>
      <c r="H5105">
        <v>78390</v>
      </c>
      <c r="I5105">
        <v>72062</v>
      </c>
      <c r="J5105">
        <v>2087</v>
      </c>
      <c r="K5105">
        <v>336072</v>
      </c>
      <c r="L5105">
        <v>75107</v>
      </c>
      <c r="M5105">
        <v>-82599</v>
      </c>
      <c r="N5105">
        <v>66249</v>
      </c>
      <c r="O5105" t="s">
        <v>5123</v>
      </c>
      <c r="P5105" s="9">
        <v>260794</v>
      </c>
      <c r="Q5105" s="9">
        <v>29253</v>
      </c>
      <c r="R5105" s="9">
        <v>290047</v>
      </c>
      <c r="S5105" s="9">
        <v>-163695</v>
      </c>
      <c r="T5105" s="10">
        <v>137270</v>
      </c>
      <c r="U5105" s="10">
        <v>3317</v>
      </c>
    </row>
    <row r="5106" spans="1:21" x14ac:dyDescent="0.35">
      <c r="A5106" t="s">
        <v>15</v>
      </c>
      <c r="B5106" t="s">
        <v>16</v>
      </c>
      <c r="C5106" t="s">
        <v>21</v>
      </c>
      <c r="D5106">
        <v>199274</v>
      </c>
      <c r="E5106">
        <v>18540</v>
      </c>
      <c r="F5106">
        <v>31644</v>
      </c>
      <c r="G5106">
        <v>-167169</v>
      </c>
      <c r="H5106">
        <v>82289</v>
      </c>
      <c r="I5106">
        <v>85673</v>
      </c>
      <c r="J5106">
        <v>899</v>
      </c>
      <c r="K5106">
        <v>647673</v>
      </c>
      <c r="L5106">
        <v>112941</v>
      </c>
      <c r="M5106">
        <v>-79364</v>
      </c>
      <c r="N5106">
        <v>175126</v>
      </c>
      <c r="O5106" t="s">
        <v>5124</v>
      </c>
      <c r="P5106" s="9">
        <v>226207</v>
      </c>
      <c r="Q5106" s="9">
        <v>25386</v>
      </c>
      <c r="R5106" s="9">
        <v>251593</v>
      </c>
      <c r="S5106" s="9">
        <v>-94908</v>
      </c>
      <c r="T5106" s="10">
        <v>76091</v>
      </c>
      <c r="U5106" s="10">
        <v>1956</v>
      </c>
    </row>
    <row r="5107" spans="1:21" x14ac:dyDescent="0.35">
      <c r="A5107" t="s">
        <v>15</v>
      </c>
      <c r="B5107" t="s">
        <v>16</v>
      </c>
      <c r="C5107" t="s">
        <v>17</v>
      </c>
      <c r="D5107">
        <v>279763</v>
      </c>
      <c r="E5107">
        <v>50287</v>
      </c>
      <c r="F5107">
        <v>54058</v>
      </c>
      <c r="G5107">
        <v>-268451</v>
      </c>
      <c r="H5107">
        <v>115657</v>
      </c>
      <c r="I5107">
        <v>117623</v>
      </c>
      <c r="J5107">
        <v>3075</v>
      </c>
      <c r="K5107">
        <v>1044803</v>
      </c>
      <c r="L5107">
        <v>502711</v>
      </c>
      <c r="M5107">
        <v>-139051</v>
      </c>
      <c r="N5107">
        <v>116060</v>
      </c>
      <c r="O5107" t="s">
        <v>5125</v>
      </c>
      <c r="P5107" s="9">
        <v>159966</v>
      </c>
      <c r="Q5107" s="9">
        <v>34724</v>
      </c>
      <c r="R5107" s="9">
        <v>194690</v>
      </c>
      <c r="S5107" s="9">
        <v>-95427</v>
      </c>
      <c r="T5107" s="10">
        <v>86561</v>
      </c>
      <c r="U5107" s="10">
        <v>1440</v>
      </c>
    </row>
    <row r="5108" spans="1:21" x14ac:dyDescent="0.35">
      <c r="A5108" t="s">
        <v>15</v>
      </c>
      <c r="B5108" t="s">
        <v>16</v>
      </c>
      <c r="C5108" t="s">
        <v>21</v>
      </c>
      <c r="D5108">
        <v>270061</v>
      </c>
      <c r="E5108">
        <v>22684</v>
      </c>
      <c r="F5108">
        <v>52108</v>
      </c>
      <c r="G5108">
        <v>-254191</v>
      </c>
      <c r="H5108">
        <v>90662</v>
      </c>
      <c r="I5108">
        <v>84280</v>
      </c>
      <c r="J5108">
        <v>2488</v>
      </c>
      <c r="K5108">
        <v>599723</v>
      </c>
      <c r="L5108">
        <v>169009</v>
      </c>
      <c r="M5108">
        <v>-177317</v>
      </c>
      <c r="N5108">
        <v>204901</v>
      </c>
      <c r="O5108" t="s">
        <v>5126</v>
      </c>
      <c r="P5108" s="9">
        <v>235743</v>
      </c>
      <c r="Q5108" s="9">
        <v>15786</v>
      </c>
      <c r="R5108" s="9">
        <v>251529</v>
      </c>
      <c r="S5108" s="9">
        <v>-111386</v>
      </c>
      <c r="T5108" s="10">
        <v>67621</v>
      </c>
      <c r="U5108" s="10">
        <v>691</v>
      </c>
    </row>
    <row r="5109" spans="1:21" x14ac:dyDescent="0.35">
      <c r="A5109" t="s">
        <v>15</v>
      </c>
      <c r="B5109" t="s">
        <v>16</v>
      </c>
      <c r="C5109" t="s">
        <v>21</v>
      </c>
      <c r="D5109">
        <v>229163</v>
      </c>
      <c r="E5109">
        <v>40700</v>
      </c>
      <c r="F5109">
        <v>26688</v>
      </c>
      <c r="G5109">
        <v>-192873</v>
      </c>
      <c r="H5109">
        <v>103678</v>
      </c>
      <c r="I5109">
        <v>103742</v>
      </c>
      <c r="J5109">
        <v>1764</v>
      </c>
      <c r="K5109">
        <v>548924</v>
      </c>
      <c r="L5109">
        <v>174424</v>
      </c>
      <c r="M5109">
        <v>-123731</v>
      </c>
      <c r="N5109">
        <v>172482</v>
      </c>
      <c r="O5109" t="s">
        <v>5127</v>
      </c>
      <c r="P5109" s="9">
        <v>170197</v>
      </c>
      <c r="Q5109" s="9">
        <v>15990</v>
      </c>
      <c r="R5109" s="9">
        <v>186187</v>
      </c>
      <c r="S5109" s="9">
        <v>-44997</v>
      </c>
      <c r="T5109" s="10">
        <v>72823</v>
      </c>
      <c r="U5109" s="10">
        <v>1074</v>
      </c>
    </row>
    <row r="5110" spans="1:21" x14ac:dyDescent="0.35">
      <c r="A5110" t="s">
        <v>15</v>
      </c>
      <c r="B5110" t="s">
        <v>20</v>
      </c>
      <c r="C5110" t="s">
        <v>21</v>
      </c>
      <c r="D5110">
        <v>212789</v>
      </c>
      <c r="E5110">
        <v>23384</v>
      </c>
      <c r="F5110">
        <v>53013</v>
      </c>
      <c r="G5110">
        <v>-187685</v>
      </c>
      <c r="H5110">
        <v>101501</v>
      </c>
      <c r="I5110">
        <v>96761</v>
      </c>
      <c r="J5110">
        <v>1598</v>
      </c>
      <c r="K5110">
        <v>515916</v>
      </c>
      <c r="L5110">
        <v>129901</v>
      </c>
      <c r="M5110">
        <v>-202350</v>
      </c>
      <c r="N5110">
        <v>140636</v>
      </c>
      <c r="O5110" t="s">
        <v>5128</v>
      </c>
      <c r="P5110" s="9">
        <v>255874</v>
      </c>
      <c r="Q5110" s="9">
        <v>44539</v>
      </c>
      <c r="R5110" s="9">
        <v>300413</v>
      </c>
      <c r="S5110" s="9">
        <v>-161284</v>
      </c>
      <c r="T5110" s="10">
        <v>107008</v>
      </c>
      <c r="U5110" s="10">
        <v>3122</v>
      </c>
    </row>
    <row r="5111" spans="1:21" x14ac:dyDescent="0.35">
      <c r="A5111" t="s">
        <v>15</v>
      </c>
      <c r="B5111" t="s">
        <v>20</v>
      </c>
      <c r="C5111" t="s">
        <v>17</v>
      </c>
      <c r="D5111">
        <v>170697</v>
      </c>
      <c r="E5111">
        <v>18297</v>
      </c>
      <c r="F5111">
        <v>42639</v>
      </c>
      <c r="G5111">
        <v>-170592</v>
      </c>
      <c r="H5111">
        <v>61041</v>
      </c>
      <c r="I5111">
        <v>63010</v>
      </c>
      <c r="J5111">
        <v>979</v>
      </c>
      <c r="K5111">
        <v>347328</v>
      </c>
      <c r="L5111">
        <v>39543</v>
      </c>
      <c r="M5111">
        <v>-39578</v>
      </c>
      <c r="N5111">
        <v>133239</v>
      </c>
      <c r="O5111" t="s">
        <v>5129</v>
      </c>
      <c r="P5111" s="9">
        <v>260535</v>
      </c>
      <c r="Q5111" s="9">
        <v>21982</v>
      </c>
      <c r="R5111" s="9">
        <v>282517</v>
      </c>
      <c r="S5111" s="9">
        <v>-59050</v>
      </c>
      <c r="T5111" s="10">
        <v>72661</v>
      </c>
      <c r="U5111" s="10">
        <v>1591</v>
      </c>
    </row>
    <row r="5112" spans="1:21" x14ac:dyDescent="0.35">
      <c r="A5112" t="s">
        <v>15</v>
      </c>
      <c r="B5112" t="s">
        <v>20</v>
      </c>
      <c r="C5112" t="s">
        <v>21</v>
      </c>
      <c r="D5112">
        <v>244647</v>
      </c>
      <c r="E5112">
        <v>39609</v>
      </c>
      <c r="F5112">
        <v>39940</v>
      </c>
      <c r="G5112">
        <v>-231620</v>
      </c>
      <c r="H5112">
        <v>92576</v>
      </c>
      <c r="I5112">
        <v>89742</v>
      </c>
      <c r="J5112">
        <v>2218</v>
      </c>
      <c r="K5112">
        <v>489751</v>
      </c>
      <c r="L5112">
        <v>172916</v>
      </c>
      <c r="M5112">
        <v>-179123</v>
      </c>
      <c r="N5112">
        <v>109526</v>
      </c>
      <c r="O5112" t="s">
        <v>5130</v>
      </c>
      <c r="P5112" s="9">
        <v>227314</v>
      </c>
      <c r="Q5112" s="9">
        <v>52359</v>
      </c>
      <c r="R5112" s="9">
        <v>279673</v>
      </c>
      <c r="S5112" s="9">
        <v>-121747</v>
      </c>
      <c r="T5112" s="10">
        <v>123950</v>
      </c>
      <c r="U5112" s="10">
        <v>3569</v>
      </c>
    </row>
    <row r="5113" spans="1:21" x14ac:dyDescent="0.35">
      <c r="A5113" t="s">
        <v>15</v>
      </c>
      <c r="B5113" t="s">
        <v>20</v>
      </c>
      <c r="C5113" t="s">
        <v>21</v>
      </c>
      <c r="D5113">
        <v>222827</v>
      </c>
      <c r="E5113">
        <v>41881</v>
      </c>
      <c r="F5113">
        <v>54378</v>
      </c>
      <c r="G5113">
        <v>-196605</v>
      </c>
      <c r="H5113">
        <v>122481</v>
      </c>
      <c r="I5113">
        <v>114774</v>
      </c>
      <c r="J5113">
        <v>2702</v>
      </c>
      <c r="K5113">
        <v>597922</v>
      </c>
      <c r="L5113">
        <v>94548</v>
      </c>
      <c r="M5113">
        <v>-67629</v>
      </c>
      <c r="N5113">
        <v>108543</v>
      </c>
      <c r="O5113" t="s">
        <v>5131</v>
      </c>
      <c r="P5113" s="9">
        <v>211258</v>
      </c>
      <c r="Q5113" s="9">
        <v>17984</v>
      </c>
      <c r="R5113" s="9">
        <v>229242</v>
      </c>
      <c r="S5113" s="9">
        <v>-121880</v>
      </c>
      <c r="T5113" s="10">
        <v>89623</v>
      </c>
      <c r="U5113" s="10">
        <v>961</v>
      </c>
    </row>
    <row r="5114" spans="1:21" x14ac:dyDescent="0.35">
      <c r="A5114" t="s">
        <v>15</v>
      </c>
      <c r="B5114" t="s">
        <v>20</v>
      </c>
      <c r="C5114" t="s">
        <v>21</v>
      </c>
      <c r="D5114">
        <v>215662</v>
      </c>
      <c r="E5114">
        <v>42218</v>
      </c>
      <c r="F5114">
        <v>23308</v>
      </c>
      <c r="G5114">
        <v>-195671</v>
      </c>
      <c r="H5114">
        <v>85517</v>
      </c>
      <c r="I5114">
        <v>78751</v>
      </c>
      <c r="J5114">
        <v>890</v>
      </c>
      <c r="K5114">
        <v>593589</v>
      </c>
      <c r="L5114">
        <v>250844</v>
      </c>
      <c r="M5114">
        <v>-204973</v>
      </c>
      <c r="N5114">
        <v>175200</v>
      </c>
      <c r="O5114" t="s">
        <v>5132</v>
      </c>
      <c r="P5114" s="9">
        <v>323869</v>
      </c>
      <c r="Q5114" s="9">
        <v>15904</v>
      </c>
      <c r="R5114" s="9">
        <v>339773</v>
      </c>
      <c r="S5114" s="9">
        <v>-185478</v>
      </c>
      <c r="T5114" s="10">
        <v>109015</v>
      </c>
      <c r="U5114" s="10">
        <v>1162</v>
      </c>
    </row>
    <row r="5115" spans="1:21" x14ac:dyDescent="0.35">
      <c r="A5115" t="s">
        <v>15</v>
      </c>
      <c r="B5115" t="s">
        <v>16</v>
      </c>
      <c r="C5115" t="s">
        <v>21</v>
      </c>
      <c r="D5115">
        <v>185052</v>
      </c>
      <c r="E5115">
        <v>14747</v>
      </c>
      <c r="F5115">
        <v>27428</v>
      </c>
      <c r="G5115">
        <v>-178398</v>
      </c>
      <c r="H5115">
        <v>48829</v>
      </c>
      <c r="I5115">
        <v>46522</v>
      </c>
      <c r="J5115">
        <v>994</v>
      </c>
      <c r="K5115">
        <v>507311</v>
      </c>
      <c r="L5115">
        <v>123563</v>
      </c>
      <c r="M5115">
        <v>-81610</v>
      </c>
      <c r="N5115">
        <v>155980</v>
      </c>
      <c r="O5115" t="s">
        <v>5133</v>
      </c>
      <c r="P5115" s="9">
        <v>244428</v>
      </c>
      <c r="Q5115" s="9">
        <v>20354</v>
      </c>
      <c r="R5115" s="9">
        <v>264782</v>
      </c>
      <c r="S5115" s="9">
        <v>-141229</v>
      </c>
      <c r="T5115" s="10">
        <v>79455</v>
      </c>
      <c r="U5115" s="10">
        <v>935</v>
      </c>
    </row>
    <row r="5116" spans="1:21" x14ac:dyDescent="0.35">
      <c r="A5116" t="s">
        <v>15</v>
      </c>
      <c r="B5116" t="s">
        <v>20</v>
      </c>
      <c r="C5116" t="s">
        <v>17</v>
      </c>
      <c r="D5116">
        <v>178918</v>
      </c>
      <c r="E5116">
        <v>34819</v>
      </c>
      <c r="F5116">
        <v>20288</v>
      </c>
      <c r="G5116">
        <v>-143560</v>
      </c>
      <c r="H5116">
        <v>90465</v>
      </c>
      <c r="I5116">
        <v>84427</v>
      </c>
      <c r="J5116">
        <v>1087</v>
      </c>
      <c r="K5116">
        <v>607578</v>
      </c>
      <c r="L5116">
        <v>174483</v>
      </c>
      <c r="M5116">
        <v>-114699</v>
      </c>
      <c r="N5116">
        <v>114203</v>
      </c>
      <c r="O5116" t="s">
        <v>5134</v>
      </c>
      <c r="P5116" s="9">
        <v>217609</v>
      </c>
      <c r="Q5116" s="9">
        <v>39287</v>
      </c>
      <c r="R5116" s="9">
        <v>256896</v>
      </c>
      <c r="S5116" s="9">
        <v>-115690</v>
      </c>
      <c r="T5116" s="10">
        <v>100335</v>
      </c>
      <c r="U5116" s="10">
        <v>2544</v>
      </c>
    </row>
    <row r="5117" spans="1:21" x14ac:dyDescent="0.35">
      <c r="A5117" t="s">
        <v>15</v>
      </c>
      <c r="B5117" t="s">
        <v>20</v>
      </c>
      <c r="C5117" t="s">
        <v>17</v>
      </c>
      <c r="D5117">
        <v>166902</v>
      </c>
      <c r="E5117">
        <v>15721</v>
      </c>
      <c r="F5117">
        <v>39304</v>
      </c>
      <c r="G5117">
        <v>-138702</v>
      </c>
      <c r="H5117">
        <v>83225</v>
      </c>
      <c r="I5117">
        <v>81826</v>
      </c>
      <c r="J5117">
        <v>2146</v>
      </c>
      <c r="K5117">
        <v>433447</v>
      </c>
      <c r="L5117">
        <v>100199</v>
      </c>
      <c r="M5117">
        <v>-139716</v>
      </c>
      <c r="N5117">
        <v>101520</v>
      </c>
      <c r="O5117" t="s">
        <v>5135</v>
      </c>
      <c r="P5117" s="9">
        <v>247162</v>
      </c>
      <c r="Q5117" s="9">
        <v>14906</v>
      </c>
      <c r="R5117" s="9">
        <v>262068</v>
      </c>
      <c r="S5117" s="9">
        <v>-116954</v>
      </c>
      <c r="T5117" s="10">
        <v>55622</v>
      </c>
      <c r="U5117" s="10">
        <v>1118</v>
      </c>
    </row>
    <row r="5118" spans="1:21" x14ac:dyDescent="0.35">
      <c r="A5118" t="s">
        <v>15</v>
      </c>
      <c r="B5118" t="s">
        <v>16</v>
      </c>
      <c r="C5118" t="s">
        <v>17</v>
      </c>
      <c r="D5118">
        <v>217839</v>
      </c>
      <c r="E5118">
        <v>21519</v>
      </c>
      <c r="F5118">
        <v>51537</v>
      </c>
      <c r="G5118">
        <v>-190222</v>
      </c>
      <c r="H5118">
        <v>100673</v>
      </c>
      <c r="I5118">
        <v>95971</v>
      </c>
      <c r="J5118">
        <v>2811</v>
      </c>
      <c r="K5118">
        <v>762450</v>
      </c>
      <c r="L5118">
        <v>198007</v>
      </c>
      <c r="M5118">
        <v>-143613</v>
      </c>
      <c r="N5118">
        <v>80863</v>
      </c>
      <c r="O5118" t="s">
        <v>5136</v>
      </c>
      <c r="P5118" s="9">
        <v>201607</v>
      </c>
      <c r="Q5118" s="9">
        <v>23291</v>
      </c>
      <c r="R5118" s="9">
        <v>224898</v>
      </c>
      <c r="S5118" s="9">
        <v>-124981</v>
      </c>
      <c r="T5118" s="10">
        <v>103969</v>
      </c>
      <c r="U5118" s="10">
        <v>1790</v>
      </c>
    </row>
    <row r="5119" spans="1:21" x14ac:dyDescent="0.35">
      <c r="A5119" t="s">
        <v>15</v>
      </c>
      <c r="B5119" t="s">
        <v>16</v>
      </c>
      <c r="C5119" t="s">
        <v>21</v>
      </c>
      <c r="D5119">
        <v>260149</v>
      </c>
      <c r="E5119">
        <v>41139</v>
      </c>
      <c r="F5119">
        <v>63076</v>
      </c>
      <c r="G5119">
        <v>-240877</v>
      </c>
      <c r="H5119">
        <v>123487</v>
      </c>
      <c r="I5119">
        <v>117462</v>
      </c>
      <c r="J5119">
        <v>1349</v>
      </c>
      <c r="K5119">
        <v>1006247</v>
      </c>
      <c r="L5119">
        <v>188972</v>
      </c>
      <c r="M5119">
        <v>-304840</v>
      </c>
      <c r="N5119">
        <v>135687</v>
      </c>
      <c r="O5119" t="s">
        <v>5137</v>
      </c>
      <c r="P5119" s="9">
        <v>227917</v>
      </c>
      <c r="Q5119" s="9">
        <v>46590</v>
      </c>
      <c r="R5119" s="9">
        <v>274507</v>
      </c>
      <c r="S5119" s="9">
        <v>-133282</v>
      </c>
      <c r="T5119" s="10">
        <v>129286</v>
      </c>
      <c r="U5119" s="10">
        <v>2422</v>
      </c>
    </row>
    <row r="5120" spans="1:21" x14ac:dyDescent="0.35">
      <c r="A5120" t="s">
        <v>15</v>
      </c>
      <c r="B5120" t="s">
        <v>20</v>
      </c>
      <c r="C5120" t="s">
        <v>17</v>
      </c>
      <c r="D5120">
        <v>182983</v>
      </c>
      <c r="E5120">
        <v>36194</v>
      </c>
      <c r="F5120">
        <v>35599</v>
      </c>
      <c r="G5120">
        <v>-175030</v>
      </c>
      <c r="H5120">
        <v>79746</v>
      </c>
      <c r="I5120">
        <v>74661</v>
      </c>
      <c r="J5120">
        <v>1697</v>
      </c>
      <c r="K5120">
        <v>687387</v>
      </c>
      <c r="L5120">
        <v>272902</v>
      </c>
      <c r="M5120">
        <v>-229065</v>
      </c>
      <c r="N5120">
        <v>97867</v>
      </c>
      <c r="O5120" t="s">
        <v>5138</v>
      </c>
      <c r="P5120" s="9">
        <v>257388</v>
      </c>
      <c r="Q5120" s="9">
        <v>13017</v>
      </c>
      <c r="R5120" s="9">
        <v>270405</v>
      </c>
      <c r="S5120" s="9">
        <v>-88304</v>
      </c>
      <c r="T5120" s="10">
        <v>62762</v>
      </c>
      <c r="U5120" s="10">
        <v>948</v>
      </c>
    </row>
    <row r="5121" spans="1:21" x14ac:dyDescent="0.35">
      <c r="A5121" t="s">
        <v>15</v>
      </c>
      <c r="B5121" t="s">
        <v>20</v>
      </c>
      <c r="C5121" t="s">
        <v>17</v>
      </c>
      <c r="D5121">
        <v>255324</v>
      </c>
      <c r="E5121">
        <v>46363</v>
      </c>
      <c r="F5121">
        <v>59345</v>
      </c>
      <c r="G5121">
        <v>-250795</v>
      </c>
      <c r="H5121">
        <v>110237</v>
      </c>
      <c r="I5121">
        <v>112738</v>
      </c>
      <c r="J5121">
        <v>2384</v>
      </c>
      <c r="K5121">
        <v>781272</v>
      </c>
      <c r="L5121">
        <v>171379</v>
      </c>
      <c r="M5121">
        <v>-250043</v>
      </c>
      <c r="N5121">
        <v>154809</v>
      </c>
      <c r="O5121" t="s">
        <v>5139</v>
      </c>
      <c r="P5121" s="9">
        <v>255847</v>
      </c>
      <c r="Q5121" s="9">
        <v>27982</v>
      </c>
      <c r="R5121" s="9">
        <v>283829</v>
      </c>
      <c r="S5121" s="9">
        <v>-146343</v>
      </c>
      <c r="T5121" s="10">
        <v>88074</v>
      </c>
      <c r="U5121" s="10">
        <v>1045</v>
      </c>
    </row>
    <row r="5122" spans="1:21" x14ac:dyDescent="0.35">
      <c r="A5122" t="s">
        <v>15</v>
      </c>
      <c r="B5122" t="s">
        <v>20</v>
      </c>
      <c r="C5122" t="s">
        <v>21</v>
      </c>
      <c r="D5122">
        <v>171723</v>
      </c>
      <c r="E5122">
        <v>11225</v>
      </c>
      <c r="F5122">
        <v>32709</v>
      </c>
      <c r="G5122">
        <v>-165477</v>
      </c>
      <c r="H5122">
        <v>50180</v>
      </c>
      <c r="I5122">
        <v>49270</v>
      </c>
      <c r="J5122">
        <v>525</v>
      </c>
      <c r="K5122">
        <v>618876</v>
      </c>
      <c r="L5122">
        <v>206058</v>
      </c>
      <c r="M5122">
        <v>-76306</v>
      </c>
      <c r="N5122">
        <v>96517</v>
      </c>
      <c r="O5122" t="s">
        <v>5140</v>
      </c>
      <c r="P5122" s="9">
        <v>182407</v>
      </c>
      <c r="Q5122" s="9">
        <v>17484</v>
      </c>
      <c r="R5122" s="9">
        <v>199891</v>
      </c>
      <c r="S5122" s="9">
        <v>-83545</v>
      </c>
      <c r="T5122" s="10">
        <v>52515</v>
      </c>
      <c r="U5122" s="10">
        <v>868</v>
      </c>
    </row>
    <row r="5123" spans="1:21" x14ac:dyDescent="0.35">
      <c r="A5123" t="s">
        <v>15</v>
      </c>
      <c r="B5123" t="s">
        <v>16</v>
      </c>
      <c r="C5123" t="s">
        <v>17</v>
      </c>
      <c r="D5123">
        <v>187620</v>
      </c>
      <c r="E5123">
        <v>20845</v>
      </c>
      <c r="F5123">
        <v>20241</v>
      </c>
      <c r="G5123">
        <v>-178739</v>
      </c>
      <c r="H5123">
        <v>49967</v>
      </c>
      <c r="I5123">
        <v>46330</v>
      </c>
      <c r="J5123">
        <v>597</v>
      </c>
      <c r="K5123">
        <v>565185</v>
      </c>
      <c r="L5123">
        <v>77747</v>
      </c>
      <c r="M5123">
        <v>-150580</v>
      </c>
      <c r="N5123">
        <v>68664</v>
      </c>
      <c r="O5123" t="s">
        <v>5141</v>
      </c>
      <c r="P5123" s="9">
        <v>265651</v>
      </c>
      <c r="Q5123" s="9">
        <v>30022</v>
      </c>
      <c r="R5123" s="9">
        <v>295673</v>
      </c>
      <c r="S5123" s="9">
        <v>-119194</v>
      </c>
      <c r="T5123" s="10">
        <v>93906</v>
      </c>
      <c r="U5123" s="10">
        <v>2502</v>
      </c>
    </row>
    <row r="5124" spans="1:21" x14ac:dyDescent="0.35">
      <c r="A5124" t="s">
        <v>15</v>
      </c>
      <c r="B5124" t="s">
        <v>16</v>
      </c>
      <c r="C5124" t="s">
        <v>21</v>
      </c>
      <c r="D5124">
        <v>161205</v>
      </c>
      <c r="E5124">
        <v>12378</v>
      </c>
      <c r="F5124">
        <v>26083</v>
      </c>
      <c r="G5124">
        <v>-141890</v>
      </c>
      <c r="H5124">
        <v>57776</v>
      </c>
      <c r="I5124">
        <v>57191</v>
      </c>
      <c r="J5124">
        <v>1371</v>
      </c>
      <c r="K5124">
        <v>414306</v>
      </c>
      <c r="L5124">
        <v>135144</v>
      </c>
      <c r="M5124">
        <v>-99714</v>
      </c>
      <c r="N5124">
        <v>106187</v>
      </c>
      <c r="O5124" t="s">
        <v>5142</v>
      </c>
      <c r="P5124" s="9">
        <v>201592</v>
      </c>
      <c r="Q5124" s="9">
        <v>17046</v>
      </c>
      <c r="R5124" s="9">
        <v>218638</v>
      </c>
      <c r="S5124" s="9">
        <v>-97958</v>
      </c>
      <c r="T5124" s="10">
        <v>57693</v>
      </c>
      <c r="U5124" s="10">
        <v>1152</v>
      </c>
    </row>
    <row r="5125" spans="1:21" x14ac:dyDescent="0.35">
      <c r="A5125" t="s">
        <v>15</v>
      </c>
      <c r="B5125" t="s">
        <v>20</v>
      </c>
      <c r="C5125" t="s">
        <v>21</v>
      </c>
      <c r="D5125">
        <v>185228</v>
      </c>
      <c r="E5125">
        <v>27119</v>
      </c>
      <c r="F5125">
        <v>33231</v>
      </c>
      <c r="G5125">
        <v>-150126</v>
      </c>
      <c r="H5125">
        <v>95452</v>
      </c>
      <c r="I5125">
        <v>94532</v>
      </c>
      <c r="J5125">
        <v>2251</v>
      </c>
      <c r="K5125">
        <v>457121</v>
      </c>
      <c r="L5125">
        <v>220922</v>
      </c>
      <c r="M5125">
        <v>-62963</v>
      </c>
      <c r="N5125">
        <v>146297</v>
      </c>
      <c r="O5125" t="s">
        <v>5143</v>
      </c>
      <c r="P5125" s="9">
        <v>285232</v>
      </c>
      <c r="Q5125" s="9">
        <v>32164</v>
      </c>
      <c r="R5125" s="9">
        <v>317396</v>
      </c>
      <c r="S5125" s="9">
        <v>-123656</v>
      </c>
      <c r="T5125" s="10">
        <v>116418</v>
      </c>
      <c r="U5125" s="10">
        <v>2898</v>
      </c>
    </row>
    <row r="5126" spans="1:21" x14ac:dyDescent="0.35">
      <c r="A5126" t="s">
        <v>15</v>
      </c>
      <c r="B5126" t="s">
        <v>16</v>
      </c>
      <c r="C5126" t="s">
        <v>21</v>
      </c>
      <c r="D5126">
        <v>267467</v>
      </c>
      <c r="E5126">
        <v>44732</v>
      </c>
      <c r="F5126">
        <v>43103</v>
      </c>
      <c r="G5126">
        <v>-249694</v>
      </c>
      <c r="H5126">
        <v>105608</v>
      </c>
      <c r="I5126">
        <v>101399</v>
      </c>
      <c r="J5126">
        <v>1961</v>
      </c>
      <c r="K5126">
        <v>919035</v>
      </c>
      <c r="L5126">
        <v>110181</v>
      </c>
      <c r="M5126">
        <v>-92739</v>
      </c>
      <c r="N5126">
        <v>124294</v>
      </c>
      <c r="O5126" t="s">
        <v>5144</v>
      </c>
      <c r="P5126" s="9">
        <v>218630</v>
      </c>
      <c r="Q5126" s="9">
        <v>44201</v>
      </c>
      <c r="R5126" s="9">
        <v>262831</v>
      </c>
      <c r="S5126" s="9">
        <v>-144262</v>
      </c>
      <c r="T5126" s="10">
        <v>93519</v>
      </c>
      <c r="U5126" s="10">
        <v>2463</v>
      </c>
    </row>
    <row r="5127" spans="1:21" x14ac:dyDescent="0.35">
      <c r="A5127" t="s">
        <v>15</v>
      </c>
      <c r="B5127" t="s">
        <v>20</v>
      </c>
      <c r="C5127" t="s">
        <v>17</v>
      </c>
      <c r="D5127">
        <v>183368</v>
      </c>
      <c r="E5127">
        <v>14159</v>
      </c>
      <c r="F5127">
        <v>34164</v>
      </c>
      <c r="G5127">
        <v>-153657</v>
      </c>
      <c r="H5127">
        <v>78034</v>
      </c>
      <c r="I5127">
        <v>75156</v>
      </c>
      <c r="J5127">
        <v>1585</v>
      </c>
      <c r="K5127">
        <v>458616</v>
      </c>
      <c r="L5127">
        <v>214255</v>
      </c>
      <c r="M5127">
        <v>-51328</v>
      </c>
      <c r="N5127">
        <v>148170</v>
      </c>
      <c r="O5127" t="s">
        <v>5145</v>
      </c>
      <c r="P5127" s="9">
        <v>185776</v>
      </c>
      <c r="Q5127" s="9">
        <v>13506</v>
      </c>
      <c r="R5127" s="9">
        <v>199282</v>
      </c>
      <c r="S5127" s="9">
        <v>-90492</v>
      </c>
      <c r="T5127" s="10">
        <v>49170</v>
      </c>
      <c r="U5127" s="10">
        <v>578</v>
      </c>
    </row>
    <row r="5128" spans="1:21" x14ac:dyDescent="0.35">
      <c r="A5128" t="s">
        <v>15</v>
      </c>
      <c r="B5128" t="s">
        <v>16</v>
      </c>
      <c r="C5128" t="s">
        <v>21</v>
      </c>
      <c r="D5128">
        <v>165781</v>
      </c>
      <c r="E5128">
        <v>28908</v>
      </c>
      <c r="F5128">
        <v>40229</v>
      </c>
      <c r="G5128">
        <v>-154005</v>
      </c>
      <c r="H5128">
        <v>80913</v>
      </c>
      <c r="I5128">
        <v>79374</v>
      </c>
      <c r="J5128">
        <v>2000</v>
      </c>
      <c r="K5128">
        <v>471617</v>
      </c>
      <c r="L5128">
        <v>120473</v>
      </c>
      <c r="M5128">
        <v>-113915</v>
      </c>
      <c r="N5128">
        <v>88462</v>
      </c>
      <c r="O5128" t="s">
        <v>5146</v>
      </c>
      <c r="P5128" s="9">
        <v>211707</v>
      </c>
      <c r="Q5128" s="9">
        <v>34934</v>
      </c>
      <c r="R5128" s="9">
        <v>246641</v>
      </c>
      <c r="S5128" s="9">
        <v>-59881</v>
      </c>
      <c r="T5128" s="10">
        <v>73014</v>
      </c>
      <c r="U5128" s="10">
        <v>2061</v>
      </c>
    </row>
    <row r="5129" spans="1:21" x14ac:dyDescent="0.35">
      <c r="A5129" t="s">
        <v>15</v>
      </c>
      <c r="B5129" t="s">
        <v>16</v>
      </c>
      <c r="C5129" t="s">
        <v>21</v>
      </c>
      <c r="D5129">
        <v>283011</v>
      </c>
      <c r="E5129">
        <v>19525</v>
      </c>
      <c r="F5129">
        <v>56856</v>
      </c>
      <c r="G5129">
        <v>-282428</v>
      </c>
      <c r="H5129">
        <v>76964</v>
      </c>
      <c r="I5129">
        <v>72211</v>
      </c>
      <c r="J5129">
        <v>1348</v>
      </c>
      <c r="K5129">
        <v>813147</v>
      </c>
      <c r="L5129">
        <v>360493</v>
      </c>
      <c r="M5129">
        <v>-150880</v>
      </c>
      <c r="N5129">
        <v>160590</v>
      </c>
      <c r="O5129" t="s">
        <v>5147</v>
      </c>
      <c r="P5129" s="9">
        <v>244315</v>
      </c>
      <c r="Q5129" s="9">
        <v>16468</v>
      </c>
      <c r="R5129" s="9">
        <v>260783</v>
      </c>
      <c r="S5129" s="9">
        <v>-128647</v>
      </c>
      <c r="T5129" s="10">
        <v>80966</v>
      </c>
      <c r="U5129" s="10">
        <v>1734</v>
      </c>
    </row>
    <row r="5130" spans="1:21" x14ac:dyDescent="0.35">
      <c r="A5130" t="s">
        <v>15</v>
      </c>
      <c r="B5130" t="s">
        <v>20</v>
      </c>
      <c r="C5130" t="s">
        <v>17</v>
      </c>
      <c r="D5130">
        <v>159101</v>
      </c>
      <c r="E5130">
        <v>10042</v>
      </c>
      <c r="F5130">
        <v>16157</v>
      </c>
      <c r="G5130">
        <v>-128410</v>
      </c>
      <c r="H5130">
        <v>56890</v>
      </c>
      <c r="I5130">
        <v>55376</v>
      </c>
      <c r="J5130">
        <v>566</v>
      </c>
      <c r="K5130">
        <v>551936</v>
      </c>
      <c r="L5130">
        <v>220195</v>
      </c>
      <c r="M5130">
        <v>-216048</v>
      </c>
      <c r="N5130">
        <v>108368</v>
      </c>
      <c r="O5130" t="s">
        <v>5148</v>
      </c>
      <c r="P5130" s="9">
        <v>165634</v>
      </c>
      <c r="Q5130" s="9">
        <v>18572</v>
      </c>
      <c r="R5130" s="9">
        <v>184206</v>
      </c>
      <c r="S5130" s="9">
        <v>-92895</v>
      </c>
      <c r="T5130" s="10">
        <v>81311</v>
      </c>
      <c r="U5130" s="10">
        <v>1980</v>
      </c>
    </row>
    <row r="5131" spans="1:21" x14ac:dyDescent="0.35">
      <c r="A5131" t="s">
        <v>15</v>
      </c>
      <c r="B5131" t="s">
        <v>20</v>
      </c>
      <c r="C5131" t="s">
        <v>17</v>
      </c>
      <c r="D5131">
        <v>251384</v>
      </c>
      <c r="E5131">
        <v>22230</v>
      </c>
      <c r="F5131">
        <v>44697</v>
      </c>
      <c r="G5131">
        <v>-212020</v>
      </c>
      <c r="H5131">
        <v>106291</v>
      </c>
      <c r="I5131">
        <v>105071</v>
      </c>
      <c r="J5131">
        <v>2178</v>
      </c>
      <c r="K5131">
        <v>905834</v>
      </c>
      <c r="L5131">
        <v>120659</v>
      </c>
      <c r="M5131">
        <v>-98644</v>
      </c>
      <c r="N5131">
        <v>219603</v>
      </c>
      <c r="O5131" t="s">
        <v>5149</v>
      </c>
      <c r="P5131" s="9">
        <v>192267</v>
      </c>
      <c r="Q5131" s="9">
        <v>23436</v>
      </c>
      <c r="R5131" s="9">
        <v>215703</v>
      </c>
      <c r="S5131" s="9">
        <v>-72770</v>
      </c>
      <c r="T5131" s="10">
        <v>63916</v>
      </c>
      <c r="U5131" s="10">
        <v>1508</v>
      </c>
    </row>
    <row r="5132" spans="1:21" x14ac:dyDescent="0.35">
      <c r="A5132" t="s">
        <v>15</v>
      </c>
      <c r="B5132" t="s">
        <v>16</v>
      </c>
      <c r="C5132" t="s">
        <v>17</v>
      </c>
      <c r="D5132">
        <v>262795</v>
      </c>
      <c r="E5132">
        <v>41657</v>
      </c>
      <c r="F5132">
        <v>43745</v>
      </c>
      <c r="G5132">
        <v>-261690</v>
      </c>
      <c r="H5132">
        <v>86507</v>
      </c>
      <c r="I5132">
        <v>89693</v>
      </c>
      <c r="J5132">
        <v>1255</v>
      </c>
      <c r="K5132">
        <v>833834</v>
      </c>
      <c r="L5132">
        <v>384889</v>
      </c>
      <c r="M5132">
        <v>-321248</v>
      </c>
      <c r="N5132">
        <v>85971</v>
      </c>
      <c r="O5132" t="s">
        <v>5150</v>
      </c>
      <c r="P5132" s="9">
        <v>182448</v>
      </c>
      <c r="Q5132" s="9">
        <v>39819</v>
      </c>
      <c r="R5132" s="9">
        <v>222267</v>
      </c>
      <c r="S5132" s="9">
        <v>-110379</v>
      </c>
      <c r="T5132" s="10">
        <v>102915</v>
      </c>
      <c r="U5132" s="10">
        <v>2560</v>
      </c>
    </row>
    <row r="5133" spans="1:21" x14ac:dyDescent="0.35">
      <c r="A5133" t="s">
        <v>15</v>
      </c>
      <c r="B5133" t="s">
        <v>20</v>
      </c>
      <c r="C5133" t="s">
        <v>21</v>
      </c>
      <c r="D5133">
        <v>170733</v>
      </c>
      <c r="E5133">
        <v>28809</v>
      </c>
      <c r="F5133">
        <v>30599</v>
      </c>
      <c r="G5133">
        <v>-147902</v>
      </c>
      <c r="H5133">
        <v>82239</v>
      </c>
      <c r="I5133">
        <v>85691</v>
      </c>
      <c r="J5133">
        <v>2310</v>
      </c>
      <c r="K5133">
        <v>452372</v>
      </c>
      <c r="L5133">
        <v>174335</v>
      </c>
      <c r="M5133">
        <v>-151153</v>
      </c>
      <c r="N5133">
        <v>53049</v>
      </c>
      <c r="O5133" t="s">
        <v>5151</v>
      </c>
      <c r="P5133" s="9">
        <v>184702</v>
      </c>
      <c r="Q5133" s="9">
        <v>27227</v>
      </c>
      <c r="R5133" s="9">
        <v>211929</v>
      </c>
      <c r="S5133" s="9">
        <v>-112719</v>
      </c>
      <c r="T5133" s="10">
        <v>69657</v>
      </c>
      <c r="U5133" s="10">
        <v>1684</v>
      </c>
    </row>
    <row r="5134" spans="1:21" x14ac:dyDescent="0.35">
      <c r="A5134" t="s">
        <v>15</v>
      </c>
      <c r="B5134" t="s">
        <v>16</v>
      </c>
      <c r="C5134" t="s">
        <v>17</v>
      </c>
      <c r="D5134">
        <v>182001</v>
      </c>
      <c r="E5134">
        <v>30677</v>
      </c>
      <c r="F5134">
        <v>31049</v>
      </c>
      <c r="G5134">
        <v>-158440</v>
      </c>
      <c r="H5134">
        <v>85287</v>
      </c>
      <c r="I5134">
        <v>78830</v>
      </c>
      <c r="J5134">
        <v>2289</v>
      </c>
      <c r="K5134">
        <v>681997</v>
      </c>
      <c r="L5134">
        <v>157576</v>
      </c>
      <c r="M5134">
        <v>-181566</v>
      </c>
      <c r="N5134">
        <v>151953</v>
      </c>
      <c r="O5134" t="s">
        <v>5152</v>
      </c>
      <c r="P5134" s="9">
        <v>148128</v>
      </c>
      <c r="Q5134" s="9">
        <v>24553</v>
      </c>
      <c r="R5134" s="9">
        <v>172681</v>
      </c>
      <c r="S5134" s="9">
        <v>-69399</v>
      </c>
      <c r="T5134" s="10">
        <v>61420</v>
      </c>
      <c r="U5134" s="10">
        <v>982</v>
      </c>
    </row>
    <row r="5135" spans="1:21" x14ac:dyDescent="0.35">
      <c r="A5135" t="s">
        <v>15</v>
      </c>
      <c r="B5135" t="s">
        <v>16</v>
      </c>
      <c r="C5135" t="s">
        <v>17</v>
      </c>
      <c r="D5135">
        <v>260793</v>
      </c>
      <c r="E5135">
        <v>43673</v>
      </c>
      <c r="F5135">
        <v>46274</v>
      </c>
      <c r="G5135">
        <v>-255574</v>
      </c>
      <c r="H5135">
        <v>95166</v>
      </c>
      <c r="I5135">
        <v>87808</v>
      </c>
      <c r="J5135">
        <v>1499</v>
      </c>
      <c r="K5135">
        <v>687379</v>
      </c>
      <c r="L5135">
        <v>144061</v>
      </c>
      <c r="M5135">
        <v>-84936</v>
      </c>
      <c r="N5135">
        <v>78885</v>
      </c>
      <c r="O5135" t="s">
        <v>5153</v>
      </c>
      <c r="P5135" s="9">
        <v>285243</v>
      </c>
      <c r="Q5135" s="9">
        <v>18161</v>
      </c>
      <c r="R5135" s="9">
        <v>303404</v>
      </c>
      <c r="S5135" s="9">
        <v>-141954</v>
      </c>
      <c r="T5135" s="10">
        <v>136457</v>
      </c>
      <c r="U5135" s="10">
        <v>2182</v>
      </c>
    </row>
    <row r="5136" spans="1:21" x14ac:dyDescent="0.35">
      <c r="A5136" t="s">
        <v>15</v>
      </c>
      <c r="B5136" t="s">
        <v>16</v>
      </c>
      <c r="C5136" t="s">
        <v>17</v>
      </c>
      <c r="D5136">
        <v>221164</v>
      </c>
      <c r="E5136">
        <v>24069</v>
      </c>
      <c r="F5136">
        <v>22725</v>
      </c>
      <c r="G5136">
        <v>-178805</v>
      </c>
      <c r="H5136">
        <v>89153</v>
      </c>
      <c r="I5136">
        <v>89793</v>
      </c>
      <c r="J5136">
        <v>1346</v>
      </c>
      <c r="K5136">
        <v>463553</v>
      </c>
      <c r="L5136">
        <v>87653</v>
      </c>
      <c r="M5136">
        <v>-113390</v>
      </c>
      <c r="N5136">
        <v>160730</v>
      </c>
      <c r="O5136" t="s">
        <v>5154</v>
      </c>
      <c r="P5136" s="9">
        <v>219626</v>
      </c>
      <c r="Q5136" s="9">
        <v>29558</v>
      </c>
      <c r="R5136" s="9">
        <v>249184</v>
      </c>
      <c r="S5136" s="9">
        <v>-144617</v>
      </c>
      <c r="T5136" s="10">
        <v>80403</v>
      </c>
      <c r="U5136" s="10">
        <v>1279</v>
      </c>
    </row>
    <row r="5137" spans="1:21" x14ac:dyDescent="0.35">
      <c r="A5137" t="s">
        <v>15</v>
      </c>
      <c r="B5137" t="s">
        <v>20</v>
      </c>
      <c r="C5137" t="s">
        <v>17</v>
      </c>
      <c r="D5137">
        <v>257299</v>
      </c>
      <c r="E5137">
        <v>27775</v>
      </c>
      <c r="F5137">
        <v>63474</v>
      </c>
      <c r="G5137">
        <v>-231875</v>
      </c>
      <c r="H5137">
        <v>116673</v>
      </c>
      <c r="I5137">
        <v>121260</v>
      </c>
      <c r="J5137">
        <v>2751</v>
      </c>
      <c r="K5137">
        <v>662088</v>
      </c>
      <c r="L5137">
        <v>233697</v>
      </c>
      <c r="M5137">
        <v>-159638</v>
      </c>
      <c r="N5137">
        <v>203756</v>
      </c>
      <c r="O5137" t="s">
        <v>5155</v>
      </c>
      <c r="P5137" s="9">
        <v>281914</v>
      </c>
      <c r="Q5137" s="9">
        <v>26564</v>
      </c>
      <c r="R5137" s="9">
        <v>308478</v>
      </c>
      <c r="S5137" s="9">
        <v>-158745</v>
      </c>
      <c r="T5137" s="10">
        <v>137923</v>
      </c>
      <c r="U5137" s="10">
        <v>3779</v>
      </c>
    </row>
    <row r="5138" spans="1:21" x14ac:dyDescent="0.35">
      <c r="A5138" t="s">
        <v>15</v>
      </c>
      <c r="B5138" t="s">
        <v>20</v>
      </c>
      <c r="C5138" t="s">
        <v>21</v>
      </c>
      <c r="D5138">
        <v>228692</v>
      </c>
      <c r="E5138">
        <v>34609</v>
      </c>
      <c r="F5138">
        <v>39214</v>
      </c>
      <c r="G5138">
        <v>-206008</v>
      </c>
      <c r="H5138">
        <v>96507</v>
      </c>
      <c r="I5138">
        <v>101168</v>
      </c>
      <c r="J5138">
        <v>1025</v>
      </c>
      <c r="K5138">
        <v>808207</v>
      </c>
      <c r="L5138">
        <v>389162</v>
      </c>
      <c r="M5138">
        <v>-272359</v>
      </c>
      <c r="N5138">
        <v>86806</v>
      </c>
      <c r="O5138" t="s">
        <v>5156</v>
      </c>
      <c r="P5138" s="9">
        <v>260318</v>
      </c>
      <c r="Q5138" s="9">
        <v>29119</v>
      </c>
      <c r="R5138" s="9">
        <v>289437</v>
      </c>
      <c r="S5138" s="9">
        <v>-125383</v>
      </c>
      <c r="T5138" s="10">
        <v>69772</v>
      </c>
      <c r="U5138" s="10">
        <v>1608</v>
      </c>
    </row>
    <row r="5139" spans="1:21" x14ac:dyDescent="0.35">
      <c r="A5139" t="s">
        <v>15</v>
      </c>
      <c r="B5139" t="s">
        <v>16</v>
      </c>
      <c r="C5139" t="s">
        <v>17</v>
      </c>
      <c r="D5139">
        <v>166272</v>
      </c>
      <c r="E5139">
        <v>13927</v>
      </c>
      <c r="F5139">
        <v>18644</v>
      </c>
      <c r="G5139">
        <v>-143798</v>
      </c>
      <c r="H5139">
        <v>55045</v>
      </c>
      <c r="I5139">
        <v>49711</v>
      </c>
      <c r="J5139">
        <v>1050</v>
      </c>
      <c r="K5139">
        <v>344224</v>
      </c>
      <c r="L5139">
        <v>163743</v>
      </c>
      <c r="M5139">
        <v>-59375</v>
      </c>
      <c r="N5139">
        <v>127019</v>
      </c>
      <c r="O5139" t="s">
        <v>5157</v>
      </c>
      <c r="P5139" s="9">
        <v>302847</v>
      </c>
      <c r="Q5139" s="9">
        <v>47860</v>
      </c>
      <c r="R5139" s="9">
        <v>350707</v>
      </c>
      <c r="S5139" s="9">
        <v>-83547</v>
      </c>
      <c r="T5139" s="10">
        <v>84752</v>
      </c>
      <c r="U5139" s="10">
        <v>2457</v>
      </c>
    </row>
    <row r="5140" spans="1:21" x14ac:dyDescent="0.35">
      <c r="A5140" t="s">
        <v>15</v>
      </c>
      <c r="B5140" t="s">
        <v>20</v>
      </c>
      <c r="C5140" t="s">
        <v>21</v>
      </c>
      <c r="D5140">
        <v>294056</v>
      </c>
      <c r="E5140">
        <v>56460</v>
      </c>
      <c r="F5140">
        <v>55668</v>
      </c>
      <c r="G5140">
        <v>-274153</v>
      </c>
      <c r="H5140">
        <v>132031</v>
      </c>
      <c r="I5140">
        <v>130240</v>
      </c>
      <c r="J5140">
        <v>3601</v>
      </c>
      <c r="K5140">
        <v>996847</v>
      </c>
      <c r="L5140">
        <v>138734</v>
      </c>
      <c r="M5140">
        <v>-129744</v>
      </c>
      <c r="N5140">
        <v>184426</v>
      </c>
      <c r="O5140" t="s">
        <v>5158</v>
      </c>
      <c r="P5140" s="9">
        <v>165385</v>
      </c>
      <c r="Q5140" s="9">
        <v>18280</v>
      </c>
      <c r="R5140" s="9">
        <v>183665</v>
      </c>
      <c r="S5140" s="9">
        <v>-66027</v>
      </c>
      <c r="T5140" s="10">
        <v>57939</v>
      </c>
      <c r="U5140" s="10">
        <v>625</v>
      </c>
    </row>
    <row r="5141" spans="1:21" x14ac:dyDescent="0.35">
      <c r="A5141" t="s">
        <v>15</v>
      </c>
      <c r="B5141" t="s">
        <v>20</v>
      </c>
      <c r="C5141" t="s">
        <v>21</v>
      </c>
      <c r="D5141">
        <v>206562</v>
      </c>
      <c r="E5141">
        <v>17924</v>
      </c>
      <c r="F5141">
        <v>40756</v>
      </c>
      <c r="G5141">
        <v>-192999</v>
      </c>
      <c r="H5141">
        <v>72243</v>
      </c>
      <c r="I5141">
        <v>69772</v>
      </c>
      <c r="J5141">
        <v>1810</v>
      </c>
      <c r="K5141">
        <v>748978</v>
      </c>
      <c r="L5141">
        <v>131633</v>
      </c>
      <c r="M5141">
        <v>-129336</v>
      </c>
      <c r="N5141">
        <v>114114</v>
      </c>
      <c r="O5141" t="s">
        <v>5159</v>
      </c>
      <c r="P5141" s="9">
        <v>170857</v>
      </c>
      <c r="Q5141" s="9">
        <v>9868</v>
      </c>
      <c r="R5141" s="9">
        <v>180725</v>
      </c>
      <c r="S5141" s="9">
        <v>-100428</v>
      </c>
      <c r="T5141" s="10">
        <v>44897</v>
      </c>
      <c r="U5141" s="10">
        <v>884</v>
      </c>
    </row>
    <row r="5142" spans="1:21" x14ac:dyDescent="0.35">
      <c r="A5142" t="s">
        <v>15</v>
      </c>
      <c r="B5142" t="s">
        <v>20</v>
      </c>
      <c r="C5142" t="s">
        <v>21</v>
      </c>
      <c r="D5142">
        <v>254739</v>
      </c>
      <c r="E5142">
        <v>22406</v>
      </c>
      <c r="F5142">
        <v>43708</v>
      </c>
      <c r="G5142">
        <v>-224582</v>
      </c>
      <c r="H5142">
        <v>96271</v>
      </c>
      <c r="I5142">
        <v>93354</v>
      </c>
      <c r="J5142">
        <v>2706</v>
      </c>
      <c r="K5142">
        <v>556716</v>
      </c>
      <c r="L5142">
        <v>206165</v>
      </c>
      <c r="M5142">
        <v>-176999</v>
      </c>
      <c r="N5142">
        <v>126967</v>
      </c>
      <c r="O5142" t="s">
        <v>5160</v>
      </c>
      <c r="P5142" s="9">
        <v>245892</v>
      </c>
      <c r="Q5142" s="9">
        <v>20657</v>
      </c>
      <c r="R5142" s="9">
        <v>266549</v>
      </c>
      <c r="S5142" s="9">
        <v>-72062</v>
      </c>
      <c r="T5142" s="10">
        <v>107514</v>
      </c>
      <c r="U5142" s="10">
        <v>1233</v>
      </c>
    </row>
    <row r="5143" spans="1:21" x14ac:dyDescent="0.35">
      <c r="A5143" t="s">
        <v>15</v>
      </c>
      <c r="B5143" t="s">
        <v>16</v>
      </c>
      <c r="C5143" t="s">
        <v>17</v>
      </c>
      <c r="D5143">
        <v>266131</v>
      </c>
      <c r="E5143">
        <v>17585</v>
      </c>
      <c r="F5143">
        <v>45322</v>
      </c>
      <c r="G5143">
        <v>-245131</v>
      </c>
      <c r="H5143">
        <v>83907</v>
      </c>
      <c r="I5143">
        <v>80741</v>
      </c>
      <c r="J5143">
        <v>911</v>
      </c>
      <c r="K5143">
        <v>609898</v>
      </c>
      <c r="L5143">
        <v>189718</v>
      </c>
      <c r="M5143">
        <v>-120446</v>
      </c>
      <c r="N5143">
        <v>219151</v>
      </c>
      <c r="O5143" t="s">
        <v>5161</v>
      </c>
      <c r="P5143" s="9">
        <v>161777</v>
      </c>
      <c r="Q5143" s="9">
        <v>12548</v>
      </c>
      <c r="R5143" s="9">
        <v>174325</v>
      </c>
      <c r="S5143" s="9">
        <v>-101730</v>
      </c>
      <c r="T5143" s="10">
        <v>73719</v>
      </c>
      <c r="U5143" s="10">
        <v>1143</v>
      </c>
    </row>
    <row r="5144" spans="1:21" x14ac:dyDescent="0.35">
      <c r="A5144" t="s">
        <v>15</v>
      </c>
      <c r="B5144" t="s">
        <v>16</v>
      </c>
      <c r="C5144" t="s">
        <v>17</v>
      </c>
      <c r="D5144">
        <v>236433</v>
      </c>
      <c r="E5144">
        <v>35839</v>
      </c>
      <c r="F5144">
        <v>24575</v>
      </c>
      <c r="G5144">
        <v>-230736</v>
      </c>
      <c r="H5144">
        <v>66111</v>
      </c>
      <c r="I5144">
        <v>62835</v>
      </c>
      <c r="J5144">
        <v>742</v>
      </c>
      <c r="K5144">
        <v>790179</v>
      </c>
      <c r="L5144">
        <v>341778</v>
      </c>
      <c r="M5144">
        <v>-209324</v>
      </c>
      <c r="N5144">
        <v>169632</v>
      </c>
      <c r="O5144" t="s">
        <v>5162</v>
      </c>
      <c r="P5144" s="9">
        <v>278776</v>
      </c>
      <c r="Q5144" s="9">
        <v>14825</v>
      </c>
      <c r="R5144" s="9">
        <v>293601</v>
      </c>
      <c r="S5144" s="9">
        <v>-148355</v>
      </c>
      <c r="T5144" s="10">
        <v>84004</v>
      </c>
      <c r="U5144" s="10">
        <v>2051</v>
      </c>
    </row>
    <row r="5145" spans="1:21" x14ac:dyDescent="0.35">
      <c r="A5145" t="s">
        <v>15</v>
      </c>
      <c r="B5145" t="s">
        <v>20</v>
      </c>
      <c r="C5145" t="s">
        <v>17</v>
      </c>
      <c r="D5145">
        <v>195114</v>
      </c>
      <c r="E5145">
        <v>23942</v>
      </c>
      <c r="F5145">
        <v>24126</v>
      </c>
      <c r="G5145">
        <v>-190473</v>
      </c>
      <c r="H5145">
        <v>52709</v>
      </c>
      <c r="I5145">
        <v>50516</v>
      </c>
      <c r="J5145">
        <v>819</v>
      </c>
      <c r="K5145">
        <v>600939</v>
      </c>
      <c r="L5145">
        <v>204309</v>
      </c>
      <c r="M5145">
        <v>-223859</v>
      </c>
      <c r="N5145">
        <v>59567</v>
      </c>
      <c r="O5145" t="s">
        <v>5163</v>
      </c>
      <c r="P5145" s="9">
        <v>172941</v>
      </c>
      <c r="Q5145" s="9">
        <v>15282</v>
      </c>
      <c r="R5145" s="9">
        <v>188223</v>
      </c>
      <c r="S5145" s="9">
        <v>-86252</v>
      </c>
      <c r="T5145" s="10">
        <v>82955</v>
      </c>
      <c r="U5145" s="10">
        <v>2034</v>
      </c>
    </row>
    <row r="5146" spans="1:21" x14ac:dyDescent="0.35">
      <c r="A5146" t="s">
        <v>15</v>
      </c>
      <c r="B5146" t="s">
        <v>16</v>
      </c>
      <c r="C5146" t="s">
        <v>21</v>
      </c>
      <c r="D5146">
        <v>195954</v>
      </c>
      <c r="E5146">
        <v>18696</v>
      </c>
      <c r="F5146">
        <v>38898</v>
      </c>
      <c r="G5146">
        <v>-171285</v>
      </c>
      <c r="H5146">
        <v>82263</v>
      </c>
      <c r="I5146">
        <v>82581</v>
      </c>
      <c r="J5146">
        <v>1961</v>
      </c>
      <c r="K5146">
        <v>590269</v>
      </c>
      <c r="L5146">
        <v>108614</v>
      </c>
      <c r="M5146">
        <v>-232332</v>
      </c>
      <c r="N5146">
        <v>91163</v>
      </c>
      <c r="O5146" t="s">
        <v>5164</v>
      </c>
      <c r="P5146" s="9">
        <v>249866</v>
      </c>
      <c r="Q5146" s="9">
        <v>15760</v>
      </c>
      <c r="R5146" s="9">
        <v>265626</v>
      </c>
      <c r="S5146" s="9">
        <v>-139102</v>
      </c>
      <c r="T5146" s="10">
        <v>76168</v>
      </c>
      <c r="U5146" s="10">
        <v>1792</v>
      </c>
    </row>
    <row r="5147" spans="1:21" x14ac:dyDescent="0.35">
      <c r="A5147" t="s">
        <v>15</v>
      </c>
      <c r="B5147" t="s">
        <v>16</v>
      </c>
      <c r="C5147" t="s">
        <v>17</v>
      </c>
      <c r="D5147">
        <v>239556</v>
      </c>
      <c r="E5147">
        <v>26131</v>
      </c>
      <c r="F5147">
        <v>46857</v>
      </c>
      <c r="G5147">
        <v>-231318</v>
      </c>
      <c r="H5147">
        <v>81226</v>
      </c>
      <c r="I5147">
        <v>83893</v>
      </c>
      <c r="J5147">
        <v>1039</v>
      </c>
      <c r="K5147">
        <v>839497</v>
      </c>
      <c r="L5147">
        <v>341318</v>
      </c>
      <c r="M5147">
        <v>-221216</v>
      </c>
      <c r="N5147">
        <v>205848</v>
      </c>
      <c r="O5147" t="s">
        <v>5165</v>
      </c>
      <c r="P5147" s="9">
        <v>235138</v>
      </c>
      <c r="Q5147" s="9">
        <v>31440</v>
      </c>
      <c r="R5147" s="9">
        <v>266578</v>
      </c>
      <c r="S5147" s="9">
        <v>-124625</v>
      </c>
      <c r="T5147" s="10">
        <v>71969</v>
      </c>
      <c r="U5147" s="10">
        <v>1359</v>
      </c>
    </row>
    <row r="5148" spans="1:21" x14ac:dyDescent="0.35">
      <c r="A5148" t="s">
        <v>15</v>
      </c>
      <c r="B5148" t="s">
        <v>16</v>
      </c>
      <c r="C5148" t="s">
        <v>21</v>
      </c>
      <c r="D5148">
        <v>180366</v>
      </c>
      <c r="E5148">
        <v>13717</v>
      </c>
      <c r="F5148">
        <v>34691</v>
      </c>
      <c r="G5148">
        <v>-166007</v>
      </c>
      <c r="H5148">
        <v>62767</v>
      </c>
      <c r="I5148">
        <v>62368</v>
      </c>
      <c r="J5148">
        <v>1837</v>
      </c>
      <c r="K5148">
        <v>712707</v>
      </c>
      <c r="L5148">
        <v>187069</v>
      </c>
      <c r="M5148">
        <v>-164421</v>
      </c>
      <c r="N5148">
        <v>82862</v>
      </c>
      <c r="O5148" t="s">
        <v>5166</v>
      </c>
      <c r="P5148" s="9">
        <v>179403</v>
      </c>
      <c r="Q5148" s="9">
        <v>28854</v>
      </c>
      <c r="R5148" s="9">
        <v>208257</v>
      </c>
      <c r="S5148" s="9">
        <v>-124373</v>
      </c>
      <c r="T5148" s="10">
        <v>62144</v>
      </c>
      <c r="U5148" s="10">
        <v>755</v>
      </c>
    </row>
    <row r="5149" spans="1:21" x14ac:dyDescent="0.35">
      <c r="A5149" t="s">
        <v>15</v>
      </c>
      <c r="B5149" t="s">
        <v>16</v>
      </c>
      <c r="C5149" t="s">
        <v>21</v>
      </c>
      <c r="D5149">
        <v>228800</v>
      </c>
      <c r="E5149">
        <v>14446</v>
      </c>
      <c r="F5149">
        <v>37651</v>
      </c>
      <c r="G5149">
        <v>-219723</v>
      </c>
      <c r="H5149">
        <v>61174</v>
      </c>
      <c r="I5149">
        <v>58294</v>
      </c>
      <c r="J5149">
        <v>1126</v>
      </c>
      <c r="K5149">
        <v>819129</v>
      </c>
      <c r="L5149">
        <v>140282</v>
      </c>
      <c r="M5149">
        <v>-267207</v>
      </c>
      <c r="N5149">
        <v>97776</v>
      </c>
      <c r="O5149" t="s">
        <v>5167</v>
      </c>
      <c r="P5149" s="9">
        <v>195493</v>
      </c>
      <c r="Q5149" s="9">
        <v>28497</v>
      </c>
      <c r="R5149" s="9">
        <v>223990</v>
      </c>
      <c r="S5149" s="9">
        <v>-121060</v>
      </c>
      <c r="T5149" s="10">
        <v>102765</v>
      </c>
      <c r="U5149" s="10">
        <v>2995</v>
      </c>
    </row>
    <row r="5150" spans="1:21" x14ac:dyDescent="0.35">
      <c r="A5150" t="s">
        <v>15</v>
      </c>
      <c r="B5150" t="s">
        <v>16</v>
      </c>
      <c r="C5150" t="s">
        <v>21</v>
      </c>
      <c r="D5150">
        <v>263850</v>
      </c>
      <c r="E5150">
        <v>36372</v>
      </c>
      <c r="F5150">
        <v>56700</v>
      </c>
      <c r="G5150">
        <v>-211463</v>
      </c>
      <c r="H5150">
        <v>145459</v>
      </c>
      <c r="I5150">
        <v>139764</v>
      </c>
      <c r="J5150">
        <v>2758</v>
      </c>
      <c r="K5150">
        <v>530770</v>
      </c>
      <c r="L5150">
        <v>124916</v>
      </c>
      <c r="M5150">
        <v>-130082</v>
      </c>
      <c r="N5150">
        <v>104607</v>
      </c>
      <c r="O5150" t="s">
        <v>5168</v>
      </c>
      <c r="P5150" s="9">
        <v>289674</v>
      </c>
      <c r="Q5150" s="9">
        <v>27218</v>
      </c>
      <c r="R5150" s="9">
        <v>316892</v>
      </c>
      <c r="S5150" s="9">
        <v>-107457</v>
      </c>
      <c r="T5150" s="10">
        <v>95146</v>
      </c>
      <c r="U5150" s="10">
        <v>2466</v>
      </c>
    </row>
    <row r="5151" spans="1:21" x14ac:dyDescent="0.35">
      <c r="A5151" t="s">
        <v>15</v>
      </c>
      <c r="B5151" t="s">
        <v>16</v>
      </c>
      <c r="C5151" t="s">
        <v>17</v>
      </c>
      <c r="D5151">
        <v>161015</v>
      </c>
      <c r="E5151">
        <v>10205</v>
      </c>
      <c r="F5151">
        <v>33533</v>
      </c>
      <c r="G5151">
        <v>-139471</v>
      </c>
      <c r="H5151">
        <v>65282</v>
      </c>
      <c r="I5151">
        <v>67437</v>
      </c>
      <c r="J5151">
        <v>1919</v>
      </c>
      <c r="K5151">
        <v>436312</v>
      </c>
      <c r="L5151">
        <v>204174</v>
      </c>
      <c r="M5151">
        <v>-168365</v>
      </c>
      <c r="N5151">
        <v>131806</v>
      </c>
      <c r="O5151" t="s">
        <v>5169</v>
      </c>
      <c r="P5151" s="9">
        <v>214533</v>
      </c>
      <c r="Q5151" s="9">
        <v>13984</v>
      </c>
      <c r="R5151" s="9">
        <v>228517</v>
      </c>
      <c r="S5151" s="9">
        <v>-56430</v>
      </c>
      <c r="T5151" s="10">
        <v>49711</v>
      </c>
      <c r="U5151" s="10">
        <v>895</v>
      </c>
    </row>
    <row r="5152" spans="1:21" x14ac:dyDescent="0.35">
      <c r="A5152" t="s">
        <v>15</v>
      </c>
      <c r="B5152" t="s">
        <v>20</v>
      </c>
      <c r="C5152" t="s">
        <v>17</v>
      </c>
      <c r="D5152">
        <v>189756</v>
      </c>
      <c r="E5152">
        <v>27985</v>
      </c>
      <c r="F5152">
        <v>40921</v>
      </c>
      <c r="G5152">
        <v>-164065</v>
      </c>
      <c r="H5152">
        <v>94597</v>
      </c>
      <c r="I5152">
        <v>87210</v>
      </c>
      <c r="J5152">
        <v>999</v>
      </c>
      <c r="K5152">
        <v>745353</v>
      </c>
      <c r="L5152">
        <v>295406</v>
      </c>
      <c r="M5152">
        <v>-289114</v>
      </c>
      <c r="N5152">
        <v>168440</v>
      </c>
      <c r="O5152" t="s">
        <v>5170</v>
      </c>
      <c r="P5152" s="9">
        <v>179830</v>
      </c>
      <c r="Q5152" s="9">
        <v>23517</v>
      </c>
      <c r="R5152" s="9">
        <v>203347</v>
      </c>
      <c r="S5152" s="9">
        <v>-63055</v>
      </c>
      <c r="T5152" s="10">
        <v>70202</v>
      </c>
      <c r="U5152" s="10">
        <v>775</v>
      </c>
    </row>
    <row r="5153" spans="1:21" x14ac:dyDescent="0.35">
      <c r="A5153" t="s">
        <v>15</v>
      </c>
      <c r="B5153" t="s">
        <v>20</v>
      </c>
      <c r="C5153" t="s">
        <v>21</v>
      </c>
      <c r="D5153">
        <v>245226</v>
      </c>
      <c r="E5153">
        <v>14326</v>
      </c>
      <c r="F5153">
        <v>43943</v>
      </c>
      <c r="G5153">
        <v>-244078</v>
      </c>
      <c r="H5153">
        <v>59417</v>
      </c>
      <c r="I5153">
        <v>62310</v>
      </c>
      <c r="J5153">
        <v>878</v>
      </c>
      <c r="K5153">
        <v>822106</v>
      </c>
      <c r="L5153">
        <v>256316</v>
      </c>
      <c r="M5153">
        <v>-243491</v>
      </c>
      <c r="N5153">
        <v>169443</v>
      </c>
      <c r="O5153" t="s">
        <v>5171</v>
      </c>
      <c r="P5153" s="9">
        <v>304702</v>
      </c>
      <c r="Q5153" s="9">
        <v>50410</v>
      </c>
      <c r="R5153" s="9">
        <v>355112</v>
      </c>
      <c r="S5153" s="9">
        <v>-111529</v>
      </c>
      <c r="T5153" s="10">
        <v>114790</v>
      </c>
      <c r="U5153" s="10">
        <v>3026</v>
      </c>
    </row>
    <row r="5154" spans="1:21" x14ac:dyDescent="0.35">
      <c r="A5154" t="s">
        <v>15</v>
      </c>
      <c r="B5154" t="s">
        <v>16</v>
      </c>
      <c r="C5154" t="s">
        <v>21</v>
      </c>
      <c r="D5154">
        <v>271477</v>
      </c>
      <c r="E5154">
        <v>24755</v>
      </c>
      <c r="F5154">
        <v>29403</v>
      </c>
      <c r="G5154">
        <v>-256979</v>
      </c>
      <c r="H5154">
        <v>68656</v>
      </c>
      <c r="I5154">
        <v>63842</v>
      </c>
      <c r="J5154">
        <v>1796</v>
      </c>
      <c r="K5154">
        <v>1041363</v>
      </c>
      <c r="L5154">
        <v>166082</v>
      </c>
      <c r="M5154">
        <v>-166494</v>
      </c>
      <c r="N5154">
        <v>140515</v>
      </c>
      <c r="O5154" t="s">
        <v>5172</v>
      </c>
      <c r="P5154" s="9">
        <v>151372</v>
      </c>
      <c r="Q5154" s="9">
        <v>19167</v>
      </c>
      <c r="R5154" s="9">
        <v>170539</v>
      </c>
      <c r="S5154" s="9">
        <v>-52022</v>
      </c>
      <c r="T5154" s="10">
        <v>68708</v>
      </c>
      <c r="U5154" s="10">
        <v>1657</v>
      </c>
    </row>
    <row r="5155" spans="1:21" x14ac:dyDescent="0.35">
      <c r="A5155" t="s">
        <v>15</v>
      </c>
      <c r="B5155" t="s">
        <v>16</v>
      </c>
      <c r="C5155" t="s">
        <v>21</v>
      </c>
      <c r="D5155">
        <v>155710</v>
      </c>
      <c r="E5155">
        <v>14751</v>
      </c>
      <c r="F5155">
        <v>29159</v>
      </c>
      <c r="G5155">
        <v>-127966</v>
      </c>
      <c r="H5155">
        <v>71654</v>
      </c>
      <c r="I5155">
        <v>71480</v>
      </c>
      <c r="J5155">
        <v>1798</v>
      </c>
      <c r="K5155">
        <v>324474</v>
      </c>
      <c r="L5155">
        <v>38160</v>
      </c>
      <c r="M5155">
        <v>-107147</v>
      </c>
      <c r="N5155">
        <v>87327</v>
      </c>
      <c r="O5155" t="s">
        <v>5173</v>
      </c>
      <c r="P5155" s="9">
        <v>219129</v>
      </c>
      <c r="Q5155" s="9">
        <v>25249</v>
      </c>
      <c r="R5155" s="9">
        <v>244378</v>
      </c>
      <c r="S5155" s="9">
        <v>-51832</v>
      </c>
      <c r="T5155" s="10">
        <v>76089</v>
      </c>
      <c r="U5155" s="10">
        <v>1103</v>
      </c>
    </row>
    <row r="5156" spans="1:21" x14ac:dyDescent="0.35">
      <c r="A5156" t="s">
        <v>15</v>
      </c>
      <c r="B5156" t="s">
        <v>16</v>
      </c>
      <c r="C5156" t="s">
        <v>17</v>
      </c>
      <c r="D5156">
        <v>282339</v>
      </c>
      <c r="E5156">
        <v>32151</v>
      </c>
      <c r="F5156">
        <v>66065</v>
      </c>
      <c r="G5156">
        <v>-276678</v>
      </c>
      <c r="H5156">
        <v>103877</v>
      </c>
      <c r="I5156">
        <v>108370</v>
      </c>
      <c r="J5156">
        <v>1143</v>
      </c>
      <c r="K5156">
        <v>640170</v>
      </c>
      <c r="L5156">
        <v>126875</v>
      </c>
      <c r="M5156">
        <v>-171400</v>
      </c>
      <c r="N5156">
        <v>181702</v>
      </c>
      <c r="O5156" t="s">
        <v>5174</v>
      </c>
      <c r="P5156" s="9">
        <v>293727</v>
      </c>
      <c r="Q5156" s="9">
        <v>19463</v>
      </c>
      <c r="R5156" s="9">
        <v>313190</v>
      </c>
      <c r="S5156" s="9">
        <v>-174960</v>
      </c>
      <c r="T5156" s="10">
        <v>110096</v>
      </c>
      <c r="U5156" s="10">
        <v>1749</v>
      </c>
    </row>
    <row r="5157" spans="1:21" x14ac:dyDescent="0.35">
      <c r="A5157" t="s">
        <v>15</v>
      </c>
      <c r="B5157" t="s">
        <v>20</v>
      </c>
      <c r="C5157" t="s">
        <v>17</v>
      </c>
      <c r="D5157">
        <v>181723</v>
      </c>
      <c r="E5157">
        <v>35405</v>
      </c>
      <c r="F5157">
        <v>27975</v>
      </c>
      <c r="G5157">
        <v>-175648</v>
      </c>
      <c r="H5157">
        <v>69455</v>
      </c>
      <c r="I5157">
        <v>64417</v>
      </c>
      <c r="J5157">
        <v>880</v>
      </c>
      <c r="K5157">
        <v>450532</v>
      </c>
      <c r="L5157">
        <v>133142</v>
      </c>
      <c r="M5157">
        <v>-52481</v>
      </c>
      <c r="N5157">
        <v>158909</v>
      </c>
      <c r="O5157" t="s">
        <v>5175</v>
      </c>
      <c r="P5157" s="9">
        <v>227720</v>
      </c>
      <c r="Q5157" s="9">
        <v>13923</v>
      </c>
      <c r="R5157" s="9">
        <v>241643</v>
      </c>
      <c r="S5157" s="9">
        <v>-56408</v>
      </c>
      <c r="T5157" s="10">
        <v>59833</v>
      </c>
      <c r="U5157" s="10">
        <v>1279</v>
      </c>
    </row>
    <row r="5158" spans="1:21" x14ac:dyDescent="0.35">
      <c r="A5158" t="s">
        <v>15</v>
      </c>
      <c r="B5158" t="s">
        <v>20</v>
      </c>
      <c r="C5158" t="s">
        <v>17</v>
      </c>
      <c r="D5158">
        <v>253257</v>
      </c>
      <c r="E5158">
        <v>19536</v>
      </c>
      <c r="F5158">
        <v>33197</v>
      </c>
      <c r="G5158">
        <v>-207205</v>
      </c>
      <c r="H5158">
        <v>98785</v>
      </c>
      <c r="I5158">
        <v>91434</v>
      </c>
      <c r="J5158">
        <v>1595</v>
      </c>
      <c r="K5158">
        <v>581278</v>
      </c>
      <c r="L5158">
        <v>193609</v>
      </c>
      <c r="M5158">
        <v>-159344</v>
      </c>
      <c r="N5158">
        <v>96335</v>
      </c>
      <c r="O5158" t="s">
        <v>5176</v>
      </c>
      <c r="P5158" s="9">
        <v>284066</v>
      </c>
      <c r="Q5158" s="9">
        <v>52435</v>
      </c>
      <c r="R5158" s="9">
        <v>336501</v>
      </c>
      <c r="S5158" s="9">
        <v>-84237</v>
      </c>
      <c r="T5158" s="10">
        <v>121012</v>
      </c>
      <c r="U5158" s="10">
        <v>3327</v>
      </c>
    </row>
    <row r="5159" spans="1:21" x14ac:dyDescent="0.35">
      <c r="A5159" t="s">
        <v>15</v>
      </c>
      <c r="B5159" t="s">
        <v>16</v>
      </c>
      <c r="C5159" t="s">
        <v>21</v>
      </c>
      <c r="D5159">
        <v>242968</v>
      </c>
      <c r="E5159">
        <v>30892</v>
      </c>
      <c r="F5159">
        <v>28899</v>
      </c>
      <c r="G5159">
        <v>-229408</v>
      </c>
      <c r="H5159">
        <v>73351</v>
      </c>
      <c r="I5159">
        <v>76893</v>
      </c>
      <c r="J5159">
        <v>1568</v>
      </c>
      <c r="K5159">
        <v>912856</v>
      </c>
      <c r="L5159">
        <v>227858</v>
      </c>
      <c r="M5159">
        <v>-322021</v>
      </c>
      <c r="N5159">
        <v>97480</v>
      </c>
      <c r="O5159" t="s">
        <v>5177</v>
      </c>
      <c r="P5159" s="9">
        <v>158525</v>
      </c>
      <c r="Q5159" s="9">
        <v>24109</v>
      </c>
      <c r="R5159" s="9">
        <v>182634</v>
      </c>
      <c r="S5159" s="9">
        <v>-44392</v>
      </c>
      <c r="T5159" s="10">
        <v>68988</v>
      </c>
      <c r="U5159" s="10">
        <v>866</v>
      </c>
    </row>
    <row r="5160" spans="1:21" x14ac:dyDescent="0.35">
      <c r="A5160" t="s">
        <v>15</v>
      </c>
      <c r="B5160" t="s">
        <v>16</v>
      </c>
      <c r="C5160" t="s">
        <v>17</v>
      </c>
      <c r="D5160">
        <v>298775</v>
      </c>
      <c r="E5160">
        <v>43354</v>
      </c>
      <c r="F5160">
        <v>57068</v>
      </c>
      <c r="G5160">
        <v>-264741</v>
      </c>
      <c r="H5160">
        <v>134456</v>
      </c>
      <c r="I5160">
        <v>136149</v>
      </c>
      <c r="J5160">
        <v>2759</v>
      </c>
      <c r="K5160">
        <v>910665</v>
      </c>
      <c r="L5160">
        <v>290815</v>
      </c>
      <c r="M5160">
        <v>-126243</v>
      </c>
      <c r="N5160">
        <v>206409</v>
      </c>
      <c r="O5160" t="s">
        <v>5178</v>
      </c>
      <c r="P5160" s="9">
        <v>296639</v>
      </c>
      <c r="Q5160" s="9">
        <v>57027</v>
      </c>
      <c r="R5160" s="9">
        <v>353666</v>
      </c>
      <c r="S5160" s="9">
        <v>-75920</v>
      </c>
      <c r="T5160" s="10">
        <v>125834</v>
      </c>
      <c r="U5160" s="10">
        <v>2331</v>
      </c>
    </row>
    <row r="5161" spans="1:21" x14ac:dyDescent="0.35">
      <c r="A5161" t="s">
        <v>15</v>
      </c>
      <c r="B5161" t="s">
        <v>16</v>
      </c>
      <c r="C5161" t="s">
        <v>17</v>
      </c>
      <c r="D5161">
        <v>225947</v>
      </c>
      <c r="E5161">
        <v>22192</v>
      </c>
      <c r="F5161">
        <v>24154</v>
      </c>
      <c r="G5161">
        <v>-191429</v>
      </c>
      <c r="H5161">
        <v>80864</v>
      </c>
      <c r="I5161">
        <v>82132</v>
      </c>
      <c r="J5161">
        <v>2199</v>
      </c>
      <c r="K5161">
        <v>618332</v>
      </c>
      <c r="L5161">
        <v>161880</v>
      </c>
      <c r="M5161">
        <v>-103189</v>
      </c>
      <c r="N5161">
        <v>160415</v>
      </c>
      <c r="O5161" t="s">
        <v>5179</v>
      </c>
      <c r="P5161" s="9">
        <v>194610</v>
      </c>
      <c r="Q5161" s="9">
        <v>13387</v>
      </c>
      <c r="R5161" s="9">
        <v>207997</v>
      </c>
      <c r="S5161" s="9">
        <v>-122535</v>
      </c>
      <c r="T5161" s="10">
        <v>63054</v>
      </c>
      <c r="U5161" s="10">
        <v>1014</v>
      </c>
    </row>
    <row r="5162" spans="1:21" x14ac:dyDescent="0.35">
      <c r="A5162" t="s">
        <v>15</v>
      </c>
      <c r="B5162" t="s">
        <v>20</v>
      </c>
      <c r="C5162" t="s">
        <v>21</v>
      </c>
      <c r="D5162">
        <v>247468</v>
      </c>
      <c r="E5162">
        <v>32009</v>
      </c>
      <c r="F5162">
        <v>31254</v>
      </c>
      <c r="G5162">
        <v>-200285</v>
      </c>
      <c r="H5162">
        <v>110446</v>
      </c>
      <c r="I5162">
        <v>101199</v>
      </c>
      <c r="J5162">
        <v>2467</v>
      </c>
      <c r="K5162">
        <v>927262</v>
      </c>
      <c r="L5162">
        <v>222012</v>
      </c>
      <c r="M5162">
        <v>-235945</v>
      </c>
      <c r="N5162">
        <v>81607</v>
      </c>
      <c r="O5162" t="s">
        <v>5180</v>
      </c>
      <c r="P5162" s="9">
        <v>194280</v>
      </c>
      <c r="Q5162" s="9">
        <v>31289</v>
      </c>
      <c r="R5162" s="9">
        <v>225569</v>
      </c>
      <c r="S5162" s="9">
        <v>-84877</v>
      </c>
      <c r="T5162" s="10">
        <v>75975</v>
      </c>
      <c r="U5162" s="10">
        <v>1518</v>
      </c>
    </row>
    <row r="5163" spans="1:21" x14ac:dyDescent="0.35">
      <c r="A5163" t="s">
        <v>15</v>
      </c>
      <c r="B5163" t="s">
        <v>16</v>
      </c>
      <c r="C5163" t="s">
        <v>21</v>
      </c>
      <c r="D5163">
        <v>285436</v>
      </c>
      <c r="E5163">
        <v>40576</v>
      </c>
      <c r="F5163">
        <v>40837</v>
      </c>
      <c r="G5163">
        <v>-264038</v>
      </c>
      <c r="H5163">
        <v>102811</v>
      </c>
      <c r="I5163">
        <v>104729</v>
      </c>
      <c r="J5163">
        <v>1934</v>
      </c>
      <c r="K5163">
        <v>614199</v>
      </c>
      <c r="L5163">
        <v>304224</v>
      </c>
      <c r="M5163">
        <v>-186281</v>
      </c>
      <c r="N5163">
        <v>172834</v>
      </c>
      <c r="O5163" t="s">
        <v>5181</v>
      </c>
      <c r="P5163" s="9">
        <v>233783</v>
      </c>
      <c r="Q5163" s="9">
        <v>38844</v>
      </c>
      <c r="R5163" s="9">
        <v>272627</v>
      </c>
      <c r="S5163" s="9">
        <v>-148147</v>
      </c>
      <c r="T5163" s="10">
        <v>115462</v>
      </c>
      <c r="U5163" s="10">
        <v>1536</v>
      </c>
    </row>
    <row r="5164" spans="1:21" x14ac:dyDescent="0.35">
      <c r="A5164" t="s">
        <v>15</v>
      </c>
      <c r="B5164" t="s">
        <v>16</v>
      </c>
      <c r="C5164" t="s">
        <v>21</v>
      </c>
      <c r="D5164">
        <v>218407</v>
      </c>
      <c r="E5164">
        <v>21870</v>
      </c>
      <c r="F5164">
        <v>46988</v>
      </c>
      <c r="G5164">
        <v>-209166</v>
      </c>
      <c r="H5164">
        <v>78099</v>
      </c>
      <c r="I5164">
        <v>81409</v>
      </c>
      <c r="J5164">
        <v>1032</v>
      </c>
      <c r="K5164">
        <v>453044</v>
      </c>
      <c r="L5164">
        <v>179717</v>
      </c>
      <c r="M5164">
        <v>-145849</v>
      </c>
      <c r="N5164">
        <v>181954</v>
      </c>
      <c r="O5164" t="s">
        <v>5182</v>
      </c>
      <c r="P5164" s="9">
        <v>217963</v>
      </c>
      <c r="Q5164" s="9">
        <v>22242</v>
      </c>
      <c r="R5164" s="9">
        <v>240205</v>
      </c>
      <c r="S5164" s="9">
        <v>-75255</v>
      </c>
      <c r="T5164" s="10">
        <v>66952</v>
      </c>
      <c r="U5164" s="10">
        <v>1229</v>
      </c>
    </row>
    <row r="5165" spans="1:21" x14ac:dyDescent="0.35">
      <c r="A5165" t="s">
        <v>15</v>
      </c>
      <c r="B5165" t="s">
        <v>20</v>
      </c>
      <c r="C5165" t="s">
        <v>17</v>
      </c>
      <c r="D5165">
        <v>278023</v>
      </c>
      <c r="E5165">
        <v>38340</v>
      </c>
      <c r="F5165">
        <v>39381</v>
      </c>
      <c r="G5165">
        <v>-260314</v>
      </c>
      <c r="H5165">
        <v>95430</v>
      </c>
      <c r="I5165">
        <v>97382</v>
      </c>
      <c r="J5165">
        <v>2243</v>
      </c>
      <c r="K5165">
        <v>700091</v>
      </c>
      <c r="L5165">
        <v>200626</v>
      </c>
      <c r="M5165">
        <v>-99353</v>
      </c>
      <c r="N5165">
        <v>239505</v>
      </c>
      <c r="O5165" t="s">
        <v>5183</v>
      </c>
      <c r="P5165" s="9">
        <v>255208</v>
      </c>
      <c r="Q5165" s="9">
        <v>30669</v>
      </c>
      <c r="R5165" s="9">
        <v>285877</v>
      </c>
      <c r="S5165" s="9">
        <v>-64238</v>
      </c>
      <c r="T5165" s="10">
        <v>116845</v>
      </c>
      <c r="U5165" s="10">
        <v>1616</v>
      </c>
    </row>
    <row r="5166" spans="1:21" x14ac:dyDescent="0.35">
      <c r="A5166" t="s">
        <v>15</v>
      </c>
      <c r="B5166" t="s">
        <v>20</v>
      </c>
      <c r="C5166" t="s">
        <v>17</v>
      </c>
      <c r="D5166">
        <v>207193</v>
      </c>
      <c r="E5166">
        <v>11155</v>
      </c>
      <c r="F5166">
        <v>40327</v>
      </c>
      <c r="G5166">
        <v>-194290</v>
      </c>
      <c r="H5166">
        <v>64385</v>
      </c>
      <c r="I5166">
        <v>65728</v>
      </c>
      <c r="J5166">
        <v>1799</v>
      </c>
      <c r="K5166">
        <v>694365</v>
      </c>
      <c r="L5166">
        <v>210498</v>
      </c>
      <c r="M5166">
        <v>-184038</v>
      </c>
      <c r="N5166">
        <v>169074</v>
      </c>
      <c r="O5166" t="s">
        <v>5184</v>
      </c>
      <c r="P5166" s="9">
        <v>305621</v>
      </c>
      <c r="Q5166" s="9">
        <v>17471</v>
      </c>
      <c r="R5166" s="9">
        <v>323092</v>
      </c>
      <c r="S5166" s="9">
        <v>-113324</v>
      </c>
      <c r="T5166" s="10">
        <v>122019</v>
      </c>
      <c r="U5166" s="10">
        <v>2113</v>
      </c>
    </row>
    <row r="5167" spans="1:21" x14ac:dyDescent="0.35">
      <c r="A5167" t="s">
        <v>15</v>
      </c>
      <c r="B5167" t="s">
        <v>20</v>
      </c>
      <c r="C5167" t="s">
        <v>21</v>
      </c>
      <c r="D5167">
        <v>269821</v>
      </c>
      <c r="E5167">
        <v>25345</v>
      </c>
      <c r="F5167">
        <v>52299</v>
      </c>
      <c r="G5167">
        <v>-263734</v>
      </c>
      <c r="H5167">
        <v>83731</v>
      </c>
      <c r="I5167">
        <v>76740</v>
      </c>
      <c r="J5167">
        <v>824</v>
      </c>
      <c r="K5167">
        <v>801961</v>
      </c>
      <c r="L5167">
        <v>387965</v>
      </c>
      <c r="M5167">
        <v>-174724</v>
      </c>
      <c r="N5167">
        <v>211917</v>
      </c>
      <c r="O5167" t="s">
        <v>5185</v>
      </c>
      <c r="P5167" s="9">
        <v>243196</v>
      </c>
      <c r="Q5167" s="9">
        <v>37265</v>
      </c>
      <c r="R5167" s="9">
        <v>280461</v>
      </c>
      <c r="S5167" s="9">
        <v>-157126</v>
      </c>
      <c r="T5167" s="10">
        <v>94109</v>
      </c>
      <c r="U5167" s="10">
        <v>2023</v>
      </c>
    </row>
    <row r="5168" spans="1:21" x14ac:dyDescent="0.35">
      <c r="A5168" t="s">
        <v>15</v>
      </c>
      <c r="B5168" t="s">
        <v>16</v>
      </c>
      <c r="C5168" t="s">
        <v>21</v>
      </c>
      <c r="D5168">
        <v>191441</v>
      </c>
      <c r="E5168">
        <v>21186</v>
      </c>
      <c r="F5168">
        <v>25004</v>
      </c>
      <c r="G5168">
        <v>-160045</v>
      </c>
      <c r="H5168">
        <v>77586</v>
      </c>
      <c r="I5168">
        <v>81258</v>
      </c>
      <c r="J5168">
        <v>1380</v>
      </c>
      <c r="K5168">
        <v>441133</v>
      </c>
      <c r="L5168">
        <v>52710</v>
      </c>
      <c r="M5168">
        <v>-83880</v>
      </c>
      <c r="N5168">
        <v>106655</v>
      </c>
      <c r="O5168" t="s">
        <v>5186</v>
      </c>
      <c r="P5168" s="9">
        <v>228891</v>
      </c>
      <c r="Q5168" s="9">
        <v>27968</v>
      </c>
      <c r="R5168" s="9">
        <v>256859</v>
      </c>
      <c r="S5168" s="9">
        <v>-136540</v>
      </c>
      <c r="T5168" s="10">
        <v>94345</v>
      </c>
      <c r="U5168" s="10">
        <v>2037</v>
      </c>
    </row>
    <row r="5169" spans="1:21" x14ac:dyDescent="0.35">
      <c r="A5169" t="s">
        <v>15</v>
      </c>
      <c r="B5169" t="s">
        <v>16</v>
      </c>
      <c r="C5169" t="s">
        <v>17</v>
      </c>
      <c r="D5169">
        <v>204841</v>
      </c>
      <c r="E5169">
        <v>27778</v>
      </c>
      <c r="F5169">
        <v>37447</v>
      </c>
      <c r="G5169">
        <v>-166066</v>
      </c>
      <c r="H5169">
        <v>104000</v>
      </c>
      <c r="I5169">
        <v>96092</v>
      </c>
      <c r="J5169">
        <v>2742</v>
      </c>
      <c r="K5169">
        <v>600069</v>
      </c>
      <c r="L5169">
        <v>102524</v>
      </c>
      <c r="M5169">
        <v>-143047</v>
      </c>
      <c r="N5169">
        <v>111591</v>
      </c>
      <c r="O5169" t="s">
        <v>5187</v>
      </c>
      <c r="P5169" s="9">
        <v>204721</v>
      </c>
      <c r="Q5169" s="9">
        <v>33932</v>
      </c>
      <c r="R5169" s="9">
        <v>238653</v>
      </c>
      <c r="S5169" s="9">
        <v>-60148</v>
      </c>
      <c r="T5169" s="10">
        <v>115165</v>
      </c>
      <c r="U5169" s="10">
        <v>1634</v>
      </c>
    </row>
    <row r="5170" spans="1:21" x14ac:dyDescent="0.35">
      <c r="A5170" t="s">
        <v>15</v>
      </c>
      <c r="B5170" t="s">
        <v>16</v>
      </c>
      <c r="C5170" t="s">
        <v>21</v>
      </c>
      <c r="D5170">
        <v>166914</v>
      </c>
      <c r="E5170">
        <v>33112</v>
      </c>
      <c r="F5170">
        <v>25004</v>
      </c>
      <c r="G5170">
        <v>-146907</v>
      </c>
      <c r="H5170">
        <v>78123</v>
      </c>
      <c r="I5170">
        <v>75115</v>
      </c>
      <c r="J5170">
        <v>876</v>
      </c>
      <c r="K5170">
        <v>419308</v>
      </c>
      <c r="L5170">
        <v>101733</v>
      </c>
      <c r="M5170">
        <v>-100639</v>
      </c>
      <c r="N5170">
        <v>108470</v>
      </c>
      <c r="O5170" t="s">
        <v>5188</v>
      </c>
      <c r="P5170" s="9">
        <v>224849</v>
      </c>
      <c r="Q5170" s="9">
        <v>13288</v>
      </c>
      <c r="R5170" s="9">
        <v>238137</v>
      </c>
      <c r="S5170" s="9">
        <v>-86764</v>
      </c>
      <c r="T5170" s="10">
        <v>51411</v>
      </c>
      <c r="U5170" s="10">
        <v>874</v>
      </c>
    </row>
    <row r="5171" spans="1:21" x14ac:dyDescent="0.35">
      <c r="A5171" t="s">
        <v>15</v>
      </c>
      <c r="B5171" t="s">
        <v>20</v>
      </c>
      <c r="C5171" t="s">
        <v>17</v>
      </c>
      <c r="D5171">
        <v>266298</v>
      </c>
      <c r="E5171">
        <v>30663</v>
      </c>
      <c r="F5171">
        <v>43898</v>
      </c>
      <c r="G5171">
        <v>-231890</v>
      </c>
      <c r="H5171">
        <v>108969</v>
      </c>
      <c r="I5171">
        <v>113245</v>
      </c>
      <c r="J5171">
        <v>2751</v>
      </c>
      <c r="K5171">
        <v>847164</v>
      </c>
      <c r="L5171">
        <v>393665</v>
      </c>
      <c r="M5171">
        <v>-86727</v>
      </c>
      <c r="N5171">
        <v>171942</v>
      </c>
      <c r="O5171" t="s">
        <v>5189</v>
      </c>
      <c r="P5171" s="9">
        <v>245260</v>
      </c>
      <c r="Q5171" s="9">
        <v>29950</v>
      </c>
      <c r="R5171" s="9">
        <v>275210</v>
      </c>
      <c r="S5171" s="9">
        <v>-105232</v>
      </c>
      <c r="T5171" s="10">
        <v>72892</v>
      </c>
      <c r="U5171" s="10">
        <v>1449</v>
      </c>
    </row>
    <row r="5172" spans="1:21" x14ac:dyDescent="0.35">
      <c r="A5172" t="s">
        <v>15</v>
      </c>
      <c r="B5172" t="s">
        <v>20</v>
      </c>
      <c r="C5172" t="s">
        <v>21</v>
      </c>
      <c r="D5172">
        <v>278241</v>
      </c>
      <c r="E5172">
        <v>46118</v>
      </c>
      <c r="F5172">
        <v>61022</v>
      </c>
      <c r="G5172">
        <v>-225539</v>
      </c>
      <c r="H5172">
        <v>159842</v>
      </c>
      <c r="I5172">
        <v>151653</v>
      </c>
      <c r="J5172">
        <v>1887</v>
      </c>
      <c r="K5172">
        <v>853018</v>
      </c>
      <c r="L5172">
        <v>234792</v>
      </c>
      <c r="M5172">
        <v>-324141</v>
      </c>
      <c r="N5172">
        <v>216176</v>
      </c>
      <c r="O5172" t="s">
        <v>5190</v>
      </c>
      <c r="P5172" s="9">
        <v>210327</v>
      </c>
      <c r="Q5172" s="9">
        <v>10925</v>
      </c>
      <c r="R5172" s="9">
        <v>221252</v>
      </c>
      <c r="S5172" s="9">
        <v>-76865</v>
      </c>
      <c r="T5172" s="10">
        <v>63505</v>
      </c>
      <c r="U5172" s="10">
        <v>1627</v>
      </c>
    </row>
    <row r="5173" spans="1:21" x14ac:dyDescent="0.35">
      <c r="A5173" t="s">
        <v>15</v>
      </c>
      <c r="B5173" t="s">
        <v>16</v>
      </c>
      <c r="C5173" t="s">
        <v>17</v>
      </c>
      <c r="D5173">
        <v>151643</v>
      </c>
      <c r="E5173">
        <v>22073</v>
      </c>
      <c r="F5173">
        <v>19738</v>
      </c>
      <c r="G5173">
        <v>-143709</v>
      </c>
      <c r="H5173">
        <v>49745</v>
      </c>
      <c r="I5173">
        <v>49721</v>
      </c>
      <c r="J5173">
        <v>1013</v>
      </c>
      <c r="K5173">
        <v>509921</v>
      </c>
      <c r="L5173">
        <v>71994</v>
      </c>
      <c r="M5173">
        <v>-169667</v>
      </c>
      <c r="N5173">
        <v>108760</v>
      </c>
      <c r="O5173" t="s">
        <v>5191</v>
      </c>
      <c r="P5173" s="9">
        <v>191989</v>
      </c>
      <c r="Q5173" s="9">
        <v>33683</v>
      </c>
      <c r="R5173" s="9">
        <v>225672</v>
      </c>
      <c r="S5173" s="9">
        <v>-90610</v>
      </c>
      <c r="T5173" s="10">
        <v>75705</v>
      </c>
      <c r="U5173" s="10">
        <v>1038</v>
      </c>
    </row>
    <row r="5174" spans="1:21" x14ac:dyDescent="0.35">
      <c r="A5174" t="s">
        <v>15</v>
      </c>
      <c r="B5174" t="s">
        <v>16</v>
      </c>
      <c r="C5174" t="s">
        <v>21</v>
      </c>
      <c r="D5174">
        <v>184002</v>
      </c>
      <c r="E5174">
        <v>31007</v>
      </c>
      <c r="F5174">
        <v>30021</v>
      </c>
      <c r="G5174">
        <v>-169890</v>
      </c>
      <c r="H5174">
        <v>75140</v>
      </c>
      <c r="I5174">
        <v>75437</v>
      </c>
      <c r="J5174">
        <v>2073</v>
      </c>
      <c r="K5174">
        <v>711310</v>
      </c>
      <c r="L5174">
        <v>290045</v>
      </c>
      <c r="M5174">
        <v>-130626</v>
      </c>
      <c r="N5174">
        <v>119101</v>
      </c>
      <c r="O5174" t="s">
        <v>5192</v>
      </c>
      <c r="P5174" s="9">
        <v>181017</v>
      </c>
      <c r="Q5174" s="9">
        <v>12715</v>
      </c>
      <c r="R5174" s="9">
        <v>193732</v>
      </c>
      <c r="S5174" s="9">
        <v>-70200</v>
      </c>
      <c r="T5174" s="10">
        <v>42746</v>
      </c>
      <c r="U5174" s="10">
        <v>724</v>
      </c>
    </row>
    <row r="5175" spans="1:21" x14ac:dyDescent="0.35">
      <c r="A5175" t="s">
        <v>15</v>
      </c>
      <c r="B5175" t="s">
        <v>20</v>
      </c>
      <c r="C5175" t="s">
        <v>21</v>
      </c>
      <c r="D5175">
        <v>238152</v>
      </c>
      <c r="E5175">
        <v>14044</v>
      </c>
      <c r="F5175">
        <v>39146</v>
      </c>
      <c r="G5175">
        <v>-233364</v>
      </c>
      <c r="H5175">
        <v>57978</v>
      </c>
      <c r="I5175">
        <v>53422</v>
      </c>
      <c r="J5175">
        <v>776</v>
      </c>
      <c r="K5175">
        <v>840461</v>
      </c>
      <c r="L5175">
        <v>311717</v>
      </c>
      <c r="M5175">
        <v>-216723</v>
      </c>
      <c r="N5175">
        <v>139291</v>
      </c>
      <c r="O5175" t="s">
        <v>5193</v>
      </c>
      <c r="P5175" s="9">
        <v>223754</v>
      </c>
      <c r="Q5175" s="9">
        <v>31825</v>
      </c>
      <c r="R5175" s="9">
        <v>255579</v>
      </c>
      <c r="S5175" s="9">
        <v>-75592</v>
      </c>
      <c r="T5175" s="10">
        <v>121096</v>
      </c>
      <c r="U5175" s="10">
        <v>2318</v>
      </c>
    </row>
    <row r="5176" spans="1:21" x14ac:dyDescent="0.35">
      <c r="A5176" t="s">
        <v>15</v>
      </c>
      <c r="B5176" t="s">
        <v>16</v>
      </c>
      <c r="C5176" t="s">
        <v>21</v>
      </c>
      <c r="D5176">
        <v>281285</v>
      </c>
      <c r="E5176">
        <v>54635</v>
      </c>
      <c r="F5176">
        <v>36719</v>
      </c>
      <c r="G5176">
        <v>-239123</v>
      </c>
      <c r="H5176">
        <v>133516</v>
      </c>
      <c r="I5176">
        <v>135907</v>
      </c>
      <c r="J5176">
        <v>3197</v>
      </c>
      <c r="K5176">
        <v>691629</v>
      </c>
      <c r="L5176">
        <v>237279</v>
      </c>
      <c r="M5176">
        <v>-150644</v>
      </c>
      <c r="N5176">
        <v>137112</v>
      </c>
      <c r="O5176" t="s">
        <v>5194</v>
      </c>
      <c r="P5176" s="9">
        <v>258389</v>
      </c>
      <c r="Q5176" s="9">
        <v>34871</v>
      </c>
      <c r="R5176" s="9">
        <v>293260</v>
      </c>
      <c r="S5176" s="9">
        <v>-166334</v>
      </c>
      <c r="T5176" s="10">
        <v>113637</v>
      </c>
      <c r="U5176" s="10">
        <v>1864</v>
      </c>
    </row>
    <row r="5177" spans="1:21" x14ac:dyDescent="0.35">
      <c r="A5177" t="s">
        <v>15</v>
      </c>
      <c r="B5177" t="s">
        <v>16</v>
      </c>
      <c r="C5177" t="s">
        <v>21</v>
      </c>
      <c r="D5177">
        <v>292745</v>
      </c>
      <c r="E5177">
        <v>40057</v>
      </c>
      <c r="F5177">
        <v>67976</v>
      </c>
      <c r="G5177">
        <v>-258776</v>
      </c>
      <c r="H5177">
        <v>142002</v>
      </c>
      <c r="I5177">
        <v>145646</v>
      </c>
      <c r="J5177">
        <v>1462</v>
      </c>
      <c r="K5177">
        <v>956776</v>
      </c>
      <c r="L5177">
        <v>139464</v>
      </c>
      <c r="M5177">
        <v>-214711</v>
      </c>
      <c r="N5177">
        <v>101476</v>
      </c>
      <c r="O5177" t="s">
        <v>5195</v>
      </c>
      <c r="P5177" s="9">
        <v>163084</v>
      </c>
      <c r="Q5177" s="9">
        <v>32466</v>
      </c>
      <c r="R5177" s="9">
        <v>195550</v>
      </c>
      <c r="S5177" s="9">
        <v>-53087</v>
      </c>
      <c r="T5177" s="10">
        <v>46765</v>
      </c>
      <c r="U5177" s="10">
        <v>1301</v>
      </c>
    </row>
    <row r="5178" spans="1:21" x14ac:dyDescent="0.35">
      <c r="A5178" t="s">
        <v>15</v>
      </c>
      <c r="B5178" t="s">
        <v>16</v>
      </c>
      <c r="C5178" t="s">
        <v>17</v>
      </c>
      <c r="D5178">
        <v>273746</v>
      </c>
      <c r="E5178">
        <v>17857</v>
      </c>
      <c r="F5178">
        <v>56230</v>
      </c>
      <c r="G5178">
        <v>-227721</v>
      </c>
      <c r="H5178">
        <v>120112</v>
      </c>
      <c r="I5178">
        <v>121489</v>
      </c>
      <c r="J5178">
        <v>3338</v>
      </c>
      <c r="K5178">
        <v>719373</v>
      </c>
      <c r="L5178">
        <v>130763</v>
      </c>
      <c r="M5178">
        <v>-186937</v>
      </c>
      <c r="N5178">
        <v>94702</v>
      </c>
      <c r="O5178" t="s">
        <v>5196</v>
      </c>
      <c r="P5178" s="9">
        <v>206756</v>
      </c>
      <c r="Q5178" s="9">
        <v>23587</v>
      </c>
      <c r="R5178" s="9">
        <v>230343</v>
      </c>
      <c r="S5178" s="9">
        <v>-66396</v>
      </c>
      <c r="T5178" s="10">
        <v>71539</v>
      </c>
      <c r="U5178" s="10">
        <v>1985</v>
      </c>
    </row>
    <row r="5179" spans="1:21" x14ac:dyDescent="0.35">
      <c r="A5179" t="s">
        <v>15</v>
      </c>
      <c r="B5179" t="s">
        <v>20</v>
      </c>
      <c r="C5179" t="s">
        <v>21</v>
      </c>
      <c r="D5179">
        <v>194739</v>
      </c>
      <c r="E5179">
        <v>24110</v>
      </c>
      <c r="F5179">
        <v>40158</v>
      </c>
      <c r="G5179">
        <v>-162963</v>
      </c>
      <c r="H5179">
        <v>96044</v>
      </c>
      <c r="I5179">
        <v>89620</v>
      </c>
      <c r="J5179">
        <v>2260</v>
      </c>
      <c r="K5179">
        <v>633399</v>
      </c>
      <c r="L5179">
        <v>134641</v>
      </c>
      <c r="M5179">
        <v>-151198</v>
      </c>
      <c r="N5179">
        <v>79651</v>
      </c>
      <c r="O5179" t="s">
        <v>5197</v>
      </c>
      <c r="P5179" s="9">
        <v>226045</v>
      </c>
      <c r="Q5179" s="9">
        <v>31022</v>
      </c>
      <c r="R5179" s="9">
        <v>257067</v>
      </c>
      <c r="S5179" s="9">
        <v>-87348</v>
      </c>
      <c r="T5179" s="10">
        <v>113266</v>
      </c>
      <c r="U5179" s="10">
        <v>1827</v>
      </c>
    </row>
    <row r="5180" spans="1:21" x14ac:dyDescent="0.35">
      <c r="A5180" t="s">
        <v>15</v>
      </c>
      <c r="B5180" t="s">
        <v>16</v>
      </c>
      <c r="C5180" t="s">
        <v>17</v>
      </c>
      <c r="D5180">
        <v>278982</v>
      </c>
      <c r="E5180">
        <v>14006</v>
      </c>
      <c r="F5180">
        <v>57125</v>
      </c>
      <c r="G5180">
        <v>-252955</v>
      </c>
      <c r="H5180">
        <v>97158</v>
      </c>
      <c r="I5180">
        <v>96357</v>
      </c>
      <c r="J5180">
        <v>1645</v>
      </c>
      <c r="K5180">
        <v>985340</v>
      </c>
      <c r="L5180">
        <v>376704</v>
      </c>
      <c r="M5180">
        <v>-156262</v>
      </c>
      <c r="N5180">
        <v>97000</v>
      </c>
      <c r="O5180" t="s">
        <v>5198</v>
      </c>
      <c r="P5180" s="9">
        <v>268865</v>
      </c>
      <c r="Q5180" s="9">
        <v>38233</v>
      </c>
      <c r="R5180" s="9">
        <v>307098</v>
      </c>
      <c r="S5180" s="9">
        <v>-114408</v>
      </c>
      <c r="T5180" s="10">
        <v>124379</v>
      </c>
      <c r="U5180" s="10">
        <v>3608</v>
      </c>
    </row>
    <row r="5181" spans="1:21" x14ac:dyDescent="0.35">
      <c r="A5181" t="s">
        <v>15</v>
      </c>
      <c r="B5181" t="s">
        <v>16</v>
      </c>
      <c r="C5181" t="s">
        <v>17</v>
      </c>
      <c r="D5181">
        <v>162599</v>
      </c>
      <c r="E5181">
        <v>29328</v>
      </c>
      <c r="F5181">
        <v>35169</v>
      </c>
      <c r="G5181">
        <v>-139687</v>
      </c>
      <c r="H5181">
        <v>87409</v>
      </c>
      <c r="I5181">
        <v>82844</v>
      </c>
      <c r="J5181">
        <v>1482</v>
      </c>
      <c r="K5181">
        <v>476677</v>
      </c>
      <c r="L5181">
        <v>133248</v>
      </c>
      <c r="M5181">
        <v>-89023</v>
      </c>
      <c r="N5181">
        <v>69539</v>
      </c>
      <c r="O5181" t="s">
        <v>5199</v>
      </c>
      <c r="P5181" s="9">
        <v>178783</v>
      </c>
      <c r="Q5181" s="9">
        <v>33692</v>
      </c>
      <c r="R5181" s="9">
        <v>212475</v>
      </c>
      <c r="S5181" s="9">
        <v>-121072</v>
      </c>
      <c r="T5181" s="10">
        <v>84602</v>
      </c>
      <c r="U5181" s="10">
        <v>859</v>
      </c>
    </row>
    <row r="5182" spans="1:21" x14ac:dyDescent="0.35">
      <c r="A5182" t="s">
        <v>15</v>
      </c>
      <c r="B5182" t="s">
        <v>20</v>
      </c>
      <c r="C5182" t="s">
        <v>17</v>
      </c>
      <c r="D5182">
        <v>216112</v>
      </c>
      <c r="E5182">
        <v>33744</v>
      </c>
      <c r="F5182">
        <v>42234</v>
      </c>
      <c r="G5182">
        <v>-211822</v>
      </c>
      <c r="H5182">
        <v>80268</v>
      </c>
      <c r="I5182">
        <v>80018</v>
      </c>
      <c r="J5182">
        <v>1607</v>
      </c>
      <c r="K5182">
        <v>499363</v>
      </c>
      <c r="L5182">
        <v>173287</v>
      </c>
      <c r="M5182">
        <v>-106186</v>
      </c>
      <c r="N5182">
        <v>137067</v>
      </c>
      <c r="O5182" t="s">
        <v>5200</v>
      </c>
      <c r="P5182" s="9">
        <v>180005</v>
      </c>
      <c r="Q5182" s="9">
        <v>23676</v>
      </c>
      <c r="R5182" s="9">
        <v>203681</v>
      </c>
      <c r="S5182" s="9">
        <v>-119545</v>
      </c>
      <c r="T5182" s="10">
        <v>95603</v>
      </c>
      <c r="U5182" s="10">
        <v>1639</v>
      </c>
    </row>
    <row r="5183" spans="1:21" x14ac:dyDescent="0.35">
      <c r="A5183" t="s">
        <v>15</v>
      </c>
      <c r="B5183" t="s">
        <v>20</v>
      </c>
      <c r="C5183" t="s">
        <v>21</v>
      </c>
      <c r="D5183">
        <v>208460</v>
      </c>
      <c r="E5183">
        <v>11234</v>
      </c>
      <c r="F5183">
        <v>22188</v>
      </c>
      <c r="G5183">
        <v>-192239</v>
      </c>
      <c r="H5183">
        <v>49643</v>
      </c>
      <c r="I5183">
        <v>46216</v>
      </c>
      <c r="J5183">
        <v>871</v>
      </c>
      <c r="K5183">
        <v>681435</v>
      </c>
      <c r="L5183">
        <v>273872</v>
      </c>
      <c r="M5183">
        <v>-164755</v>
      </c>
      <c r="N5183">
        <v>74263</v>
      </c>
      <c r="O5183" t="s">
        <v>5201</v>
      </c>
      <c r="P5183" s="9">
        <v>270049</v>
      </c>
      <c r="Q5183" s="9">
        <v>32420</v>
      </c>
      <c r="R5183" s="9">
        <v>302469</v>
      </c>
      <c r="S5183" s="9">
        <v>-179157</v>
      </c>
      <c r="T5183" s="10">
        <v>63983</v>
      </c>
      <c r="U5183" s="10">
        <v>1426</v>
      </c>
    </row>
    <row r="5184" spans="1:21" x14ac:dyDescent="0.35">
      <c r="A5184" t="s">
        <v>15</v>
      </c>
      <c r="B5184" t="s">
        <v>16</v>
      </c>
      <c r="C5184" t="s">
        <v>17</v>
      </c>
      <c r="D5184">
        <v>169126</v>
      </c>
      <c r="E5184">
        <v>12211</v>
      </c>
      <c r="F5184">
        <v>34076</v>
      </c>
      <c r="G5184">
        <v>-164198</v>
      </c>
      <c r="H5184">
        <v>51215</v>
      </c>
      <c r="I5184">
        <v>49292</v>
      </c>
      <c r="J5184">
        <v>617</v>
      </c>
      <c r="K5184">
        <v>474351</v>
      </c>
      <c r="L5184">
        <v>215723</v>
      </c>
      <c r="M5184">
        <v>-156942</v>
      </c>
      <c r="N5184">
        <v>120663</v>
      </c>
      <c r="O5184" t="s">
        <v>5202</v>
      </c>
      <c r="P5184" s="9">
        <v>235862</v>
      </c>
      <c r="Q5184" s="9">
        <v>21441</v>
      </c>
      <c r="R5184" s="9">
        <v>257303</v>
      </c>
      <c r="S5184" s="9">
        <v>-110564</v>
      </c>
      <c r="T5184" s="10">
        <v>90256</v>
      </c>
      <c r="U5184" s="10">
        <v>1946</v>
      </c>
    </row>
    <row r="5185" spans="1:21" x14ac:dyDescent="0.35">
      <c r="A5185" t="s">
        <v>15</v>
      </c>
      <c r="B5185" t="s">
        <v>20</v>
      </c>
      <c r="C5185" t="s">
        <v>21</v>
      </c>
      <c r="D5185">
        <v>245610</v>
      </c>
      <c r="E5185">
        <v>17407</v>
      </c>
      <c r="F5185">
        <v>25748</v>
      </c>
      <c r="G5185">
        <v>-200082</v>
      </c>
      <c r="H5185">
        <v>88683</v>
      </c>
      <c r="I5185">
        <v>88697</v>
      </c>
      <c r="J5185">
        <v>1738</v>
      </c>
      <c r="K5185">
        <v>627471</v>
      </c>
      <c r="L5185">
        <v>109594</v>
      </c>
      <c r="M5185">
        <v>-74355</v>
      </c>
      <c r="N5185">
        <v>175633</v>
      </c>
      <c r="O5185" t="s">
        <v>5203</v>
      </c>
      <c r="P5185" s="9">
        <v>246279</v>
      </c>
      <c r="Q5185" s="9">
        <v>48528</v>
      </c>
      <c r="R5185" s="9">
        <v>294807</v>
      </c>
      <c r="S5185" s="9">
        <v>-102093</v>
      </c>
      <c r="T5185" s="10">
        <v>137579</v>
      </c>
      <c r="U5185" s="10">
        <v>3020</v>
      </c>
    </row>
    <row r="5186" spans="1:21" x14ac:dyDescent="0.35">
      <c r="A5186" t="s">
        <v>15</v>
      </c>
      <c r="B5186" t="s">
        <v>16</v>
      </c>
      <c r="C5186" t="s">
        <v>21</v>
      </c>
      <c r="D5186">
        <v>234858</v>
      </c>
      <c r="E5186">
        <v>35487</v>
      </c>
      <c r="F5186">
        <v>49841</v>
      </c>
      <c r="G5186">
        <v>-214390</v>
      </c>
      <c r="H5186">
        <v>105796</v>
      </c>
      <c r="I5186">
        <v>99942</v>
      </c>
      <c r="J5186">
        <v>1155</v>
      </c>
      <c r="K5186">
        <v>493606</v>
      </c>
      <c r="L5186">
        <v>74840</v>
      </c>
      <c r="M5186">
        <v>-86837</v>
      </c>
      <c r="N5186">
        <v>84144</v>
      </c>
      <c r="O5186" t="s">
        <v>5204</v>
      </c>
      <c r="P5186" s="9">
        <v>261845</v>
      </c>
      <c r="Q5186" s="9">
        <v>20675</v>
      </c>
      <c r="R5186" s="9">
        <v>282520</v>
      </c>
      <c r="S5186" s="9">
        <v>-87460</v>
      </c>
      <c r="T5186" s="10">
        <v>94484</v>
      </c>
      <c r="U5186" s="10">
        <v>1687</v>
      </c>
    </row>
    <row r="5187" spans="1:21" x14ac:dyDescent="0.35">
      <c r="A5187" t="s">
        <v>15</v>
      </c>
      <c r="B5187" t="s">
        <v>16</v>
      </c>
      <c r="C5187" t="s">
        <v>21</v>
      </c>
      <c r="D5187">
        <v>271746</v>
      </c>
      <c r="E5187">
        <v>49893</v>
      </c>
      <c r="F5187">
        <v>44625</v>
      </c>
      <c r="G5187">
        <v>-268730</v>
      </c>
      <c r="H5187">
        <v>97534</v>
      </c>
      <c r="I5187">
        <v>94900</v>
      </c>
      <c r="J5187">
        <v>1294</v>
      </c>
      <c r="K5187">
        <v>798240</v>
      </c>
      <c r="L5187">
        <v>363757</v>
      </c>
      <c r="M5187">
        <v>-243601</v>
      </c>
      <c r="N5187">
        <v>173188</v>
      </c>
      <c r="O5187" t="s">
        <v>5205</v>
      </c>
      <c r="P5187" s="9">
        <v>194922</v>
      </c>
      <c r="Q5187" s="9">
        <v>29085</v>
      </c>
      <c r="R5187" s="9">
        <v>224007</v>
      </c>
      <c r="S5187" s="9">
        <v>-111650</v>
      </c>
      <c r="T5187" s="10">
        <v>84640</v>
      </c>
      <c r="U5187" s="10">
        <v>870</v>
      </c>
    </row>
    <row r="5188" spans="1:21" x14ac:dyDescent="0.35">
      <c r="A5188" t="s">
        <v>15</v>
      </c>
      <c r="B5188" t="s">
        <v>20</v>
      </c>
      <c r="C5188" t="s">
        <v>21</v>
      </c>
      <c r="D5188">
        <v>195494</v>
      </c>
      <c r="E5188">
        <v>21671</v>
      </c>
      <c r="F5188">
        <v>20372</v>
      </c>
      <c r="G5188">
        <v>-181082</v>
      </c>
      <c r="H5188">
        <v>56455</v>
      </c>
      <c r="I5188">
        <v>54427</v>
      </c>
      <c r="J5188">
        <v>1607</v>
      </c>
      <c r="K5188">
        <v>741231</v>
      </c>
      <c r="L5188">
        <v>99586</v>
      </c>
      <c r="M5188">
        <v>-74501</v>
      </c>
      <c r="N5188">
        <v>124976</v>
      </c>
      <c r="O5188" t="s">
        <v>5206</v>
      </c>
      <c r="P5188" s="9">
        <v>150514</v>
      </c>
      <c r="Q5188" s="9">
        <v>24411</v>
      </c>
      <c r="R5188" s="9">
        <v>174925</v>
      </c>
      <c r="S5188" s="9">
        <v>-89161</v>
      </c>
      <c r="T5188" s="10">
        <v>47570</v>
      </c>
      <c r="U5188" s="10">
        <v>905</v>
      </c>
    </row>
    <row r="5189" spans="1:21" x14ac:dyDescent="0.35">
      <c r="A5189" t="s">
        <v>15</v>
      </c>
      <c r="B5189" t="s">
        <v>20</v>
      </c>
      <c r="C5189" t="s">
        <v>17</v>
      </c>
      <c r="D5189">
        <v>289298</v>
      </c>
      <c r="E5189">
        <v>53795</v>
      </c>
      <c r="F5189">
        <v>57935</v>
      </c>
      <c r="G5189">
        <v>-275731</v>
      </c>
      <c r="H5189">
        <v>125297</v>
      </c>
      <c r="I5189">
        <v>131264</v>
      </c>
      <c r="J5189">
        <v>1584</v>
      </c>
      <c r="K5189">
        <v>609460</v>
      </c>
      <c r="L5189">
        <v>84387</v>
      </c>
      <c r="M5189">
        <v>-162700</v>
      </c>
      <c r="N5189">
        <v>145158</v>
      </c>
      <c r="O5189" t="s">
        <v>5207</v>
      </c>
      <c r="P5189" s="9">
        <v>240851</v>
      </c>
      <c r="Q5189" s="9">
        <v>32357</v>
      </c>
      <c r="R5189" s="9">
        <v>273208</v>
      </c>
      <c r="S5189" s="9">
        <v>-152819</v>
      </c>
      <c r="T5189" s="10">
        <v>89580</v>
      </c>
      <c r="U5189" s="10">
        <v>1949</v>
      </c>
    </row>
    <row r="5190" spans="1:21" x14ac:dyDescent="0.35">
      <c r="A5190" t="s">
        <v>15</v>
      </c>
      <c r="B5190" t="s">
        <v>20</v>
      </c>
      <c r="C5190" t="s">
        <v>17</v>
      </c>
      <c r="D5190">
        <v>229106</v>
      </c>
      <c r="E5190">
        <v>23642</v>
      </c>
      <c r="F5190">
        <v>39352</v>
      </c>
      <c r="G5190">
        <v>-193972</v>
      </c>
      <c r="H5190">
        <v>98128</v>
      </c>
      <c r="I5190">
        <v>96372</v>
      </c>
      <c r="J5190">
        <v>1594</v>
      </c>
      <c r="K5190">
        <v>612747</v>
      </c>
      <c r="L5190">
        <v>207888</v>
      </c>
      <c r="M5190">
        <v>-109248</v>
      </c>
      <c r="N5190">
        <v>106805</v>
      </c>
      <c r="O5190" t="s">
        <v>5208</v>
      </c>
      <c r="P5190" s="9">
        <v>293932</v>
      </c>
      <c r="Q5190" s="9">
        <v>40624</v>
      </c>
      <c r="R5190" s="9">
        <v>334556</v>
      </c>
      <c r="S5190" s="9">
        <v>-112303</v>
      </c>
      <c r="T5190" s="10">
        <v>102537</v>
      </c>
      <c r="U5190" s="10">
        <v>1036</v>
      </c>
    </row>
    <row r="5191" spans="1:21" x14ac:dyDescent="0.35">
      <c r="A5191" t="s">
        <v>15</v>
      </c>
      <c r="B5191" t="s">
        <v>16</v>
      </c>
      <c r="C5191" t="s">
        <v>17</v>
      </c>
      <c r="D5191">
        <v>161723</v>
      </c>
      <c r="E5191">
        <v>31271</v>
      </c>
      <c r="F5191">
        <v>24778</v>
      </c>
      <c r="G5191">
        <v>-149197</v>
      </c>
      <c r="H5191">
        <v>68575</v>
      </c>
      <c r="I5191">
        <v>62395</v>
      </c>
      <c r="J5191">
        <v>1540</v>
      </c>
      <c r="K5191">
        <v>397366</v>
      </c>
      <c r="L5191">
        <v>155760</v>
      </c>
      <c r="M5191">
        <v>-79664</v>
      </c>
      <c r="N5191">
        <v>61389</v>
      </c>
      <c r="O5191" t="s">
        <v>5209</v>
      </c>
      <c r="P5191" s="9">
        <v>216408</v>
      </c>
      <c r="Q5191" s="9">
        <v>35604</v>
      </c>
      <c r="R5191" s="9">
        <v>252012</v>
      </c>
      <c r="S5191" s="9">
        <v>-53828</v>
      </c>
      <c r="T5191" s="10">
        <v>99061</v>
      </c>
      <c r="U5191" s="10">
        <v>2835</v>
      </c>
    </row>
    <row r="5192" spans="1:21" x14ac:dyDescent="0.35">
      <c r="A5192" t="s">
        <v>15</v>
      </c>
      <c r="B5192" t="s">
        <v>16</v>
      </c>
      <c r="C5192" t="s">
        <v>21</v>
      </c>
      <c r="D5192">
        <v>188975</v>
      </c>
      <c r="E5192">
        <v>26663</v>
      </c>
      <c r="F5192">
        <v>33394</v>
      </c>
      <c r="G5192">
        <v>-175239</v>
      </c>
      <c r="H5192">
        <v>73793</v>
      </c>
      <c r="I5192">
        <v>66912</v>
      </c>
      <c r="J5192">
        <v>1184</v>
      </c>
      <c r="K5192">
        <v>449097</v>
      </c>
      <c r="L5192">
        <v>196506</v>
      </c>
      <c r="M5192">
        <v>-175158</v>
      </c>
      <c r="N5192">
        <v>115509</v>
      </c>
      <c r="O5192" t="s">
        <v>5210</v>
      </c>
      <c r="P5192" s="9">
        <v>204417</v>
      </c>
      <c r="Q5192" s="9">
        <v>12209</v>
      </c>
      <c r="R5192" s="9">
        <v>216626</v>
      </c>
      <c r="S5192" s="9">
        <v>-88380</v>
      </c>
      <c r="T5192" s="10">
        <v>45037</v>
      </c>
      <c r="U5192" s="10">
        <v>1234</v>
      </c>
    </row>
    <row r="5193" spans="1:21" x14ac:dyDescent="0.35">
      <c r="A5193" t="s">
        <v>15</v>
      </c>
      <c r="B5193" t="s">
        <v>16</v>
      </c>
      <c r="C5193" t="s">
        <v>21</v>
      </c>
      <c r="D5193">
        <v>272787</v>
      </c>
      <c r="E5193">
        <v>28035</v>
      </c>
      <c r="F5193">
        <v>55478</v>
      </c>
      <c r="G5193">
        <v>-249711</v>
      </c>
      <c r="H5193">
        <v>106589</v>
      </c>
      <c r="I5193">
        <v>102086</v>
      </c>
      <c r="J5193">
        <v>1149</v>
      </c>
      <c r="K5193">
        <v>668053</v>
      </c>
      <c r="L5193">
        <v>109806</v>
      </c>
      <c r="M5193">
        <v>-114150</v>
      </c>
      <c r="N5193">
        <v>111293</v>
      </c>
      <c r="O5193" t="s">
        <v>5211</v>
      </c>
      <c r="P5193" s="9">
        <v>211916</v>
      </c>
      <c r="Q5193" s="9">
        <v>35162</v>
      </c>
      <c r="R5193" s="9">
        <v>247078</v>
      </c>
      <c r="S5193" s="9">
        <v>-68079</v>
      </c>
      <c r="T5193" s="10">
        <v>64165</v>
      </c>
      <c r="U5193" s="10">
        <v>1821</v>
      </c>
    </row>
    <row r="5194" spans="1:21" x14ac:dyDescent="0.35">
      <c r="A5194" t="s">
        <v>15</v>
      </c>
      <c r="B5194" t="s">
        <v>20</v>
      </c>
      <c r="C5194" t="s">
        <v>21</v>
      </c>
      <c r="D5194">
        <v>251573</v>
      </c>
      <c r="E5194">
        <v>42045</v>
      </c>
      <c r="F5194">
        <v>61455</v>
      </c>
      <c r="G5194">
        <v>-205378</v>
      </c>
      <c r="H5194">
        <v>149695</v>
      </c>
      <c r="I5194">
        <v>147318</v>
      </c>
      <c r="J5194">
        <v>2765</v>
      </c>
      <c r="K5194">
        <v>622383</v>
      </c>
      <c r="L5194">
        <v>95675</v>
      </c>
      <c r="M5194">
        <v>-176436</v>
      </c>
      <c r="N5194">
        <v>177485</v>
      </c>
      <c r="O5194" t="s">
        <v>5212</v>
      </c>
      <c r="P5194" s="9">
        <v>240904</v>
      </c>
      <c r="Q5194" s="9">
        <v>30163</v>
      </c>
      <c r="R5194" s="9">
        <v>271067</v>
      </c>
      <c r="S5194" s="9">
        <v>-60204</v>
      </c>
      <c r="T5194" s="10">
        <v>111277</v>
      </c>
      <c r="U5194" s="10">
        <v>2314</v>
      </c>
    </row>
    <row r="5195" spans="1:21" x14ac:dyDescent="0.35">
      <c r="A5195" t="s">
        <v>15</v>
      </c>
      <c r="B5195" t="s">
        <v>16</v>
      </c>
      <c r="C5195" t="s">
        <v>21</v>
      </c>
      <c r="D5195">
        <v>178458</v>
      </c>
      <c r="E5195">
        <v>12012</v>
      </c>
      <c r="F5195">
        <v>20671</v>
      </c>
      <c r="G5195">
        <v>-158834</v>
      </c>
      <c r="H5195">
        <v>52307</v>
      </c>
      <c r="I5195">
        <v>51597</v>
      </c>
      <c r="J5195">
        <v>680</v>
      </c>
      <c r="K5195">
        <v>552611</v>
      </c>
      <c r="L5195">
        <v>185472</v>
      </c>
      <c r="M5195">
        <v>-124864</v>
      </c>
      <c r="N5195">
        <v>77916</v>
      </c>
      <c r="O5195" t="s">
        <v>5213</v>
      </c>
      <c r="P5195" s="9">
        <v>177833</v>
      </c>
      <c r="Q5195" s="9">
        <v>16397</v>
      </c>
      <c r="R5195" s="9">
        <v>194230</v>
      </c>
      <c r="S5195" s="9">
        <v>-63262</v>
      </c>
      <c r="T5195" s="10">
        <v>76885</v>
      </c>
      <c r="U5195" s="10">
        <v>1542</v>
      </c>
    </row>
    <row r="5196" spans="1:21" x14ac:dyDescent="0.35">
      <c r="A5196" t="s">
        <v>15</v>
      </c>
      <c r="B5196" t="s">
        <v>16</v>
      </c>
      <c r="C5196" t="s">
        <v>21</v>
      </c>
      <c r="D5196">
        <v>214645</v>
      </c>
      <c r="E5196">
        <v>37325</v>
      </c>
      <c r="F5196">
        <v>33584</v>
      </c>
      <c r="G5196">
        <v>-189593</v>
      </c>
      <c r="H5196">
        <v>95961</v>
      </c>
      <c r="I5196">
        <v>96566</v>
      </c>
      <c r="J5196">
        <v>1825</v>
      </c>
      <c r="K5196">
        <v>503344</v>
      </c>
      <c r="L5196">
        <v>90384</v>
      </c>
      <c r="M5196">
        <v>-142030</v>
      </c>
      <c r="N5196">
        <v>100498</v>
      </c>
      <c r="O5196" t="s">
        <v>5214</v>
      </c>
      <c r="P5196" s="9">
        <v>184965</v>
      </c>
      <c r="Q5196" s="9">
        <v>24478</v>
      </c>
      <c r="R5196" s="9">
        <v>209443</v>
      </c>
      <c r="S5196" s="9">
        <v>-63554</v>
      </c>
      <c r="T5196" s="10">
        <v>72062</v>
      </c>
      <c r="U5196" s="10">
        <v>1698</v>
      </c>
    </row>
    <row r="5197" spans="1:21" x14ac:dyDescent="0.35">
      <c r="A5197" t="s">
        <v>15</v>
      </c>
      <c r="B5197" t="s">
        <v>16</v>
      </c>
      <c r="C5197" t="s">
        <v>17</v>
      </c>
      <c r="D5197">
        <v>183274</v>
      </c>
      <c r="E5197">
        <v>22427</v>
      </c>
      <c r="F5197">
        <v>39916</v>
      </c>
      <c r="G5197">
        <v>-156984</v>
      </c>
      <c r="H5197">
        <v>88633</v>
      </c>
      <c r="I5197">
        <v>81625</v>
      </c>
      <c r="J5197">
        <v>1158</v>
      </c>
      <c r="K5197">
        <v>527578</v>
      </c>
      <c r="L5197">
        <v>167656</v>
      </c>
      <c r="M5197">
        <v>-101981</v>
      </c>
      <c r="N5197">
        <v>157201</v>
      </c>
      <c r="O5197" t="s">
        <v>5215</v>
      </c>
      <c r="P5197" s="9">
        <v>276217</v>
      </c>
      <c r="Q5197" s="9">
        <v>31840</v>
      </c>
      <c r="R5197" s="9">
        <v>308057</v>
      </c>
      <c r="S5197" s="9">
        <v>-120977</v>
      </c>
      <c r="T5197" s="10">
        <v>91546</v>
      </c>
      <c r="U5197" s="10">
        <v>2649</v>
      </c>
    </row>
    <row r="5198" spans="1:21" x14ac:dyDescent="0.35">
      <c r="A5198" t="s">
        <v>15</v>
      </c>
      <c r="B5198" t="s">
        <v>20</v>
      </c>
      <c r="C5198" t="s">
        <v>21</v>
      </c>
      <c r="D5198">
        <v>224528</v>
      </c>
      <c r="E5198">
        <v>29398</v>
      </c>
      <c r="F5198">
        <v>33695</v>
      </c>
      <c r="G5198">
        <v>-189731</v>
      </c>
      <c r="H5198">
        <v>97890</v>
      </c>
      <c r="I5198">
        <v>95320</v>
      </c>
      <c r="J5198">
        <v>1318</v>
      </c>
      <c r="K5198">
        <v>489434</v>
      </c>
      <c r="L5198">
        <v>231472</v>
      </c>
      <c r="M5198">
        <v>-70695</v>
      </c>
      <c r="N5198">
        <v>118937</v>
      </c>
      <c r="O5198" t="s">
        <v>5216</v>
      </c>
      <c r="P5198" s="9">
        <v>190911</v>
      </c>
      <c r="Q5198" s="9">
        <v>19262</v>
      </c>
      <c r="R5198" s="9">
        <v>210173</v>
      </c>
      <c r="S5198" s="9">
        <v>-54399</v>
      </c>
      <c r="T5198" s="10">
        <v>83868</v>
      </c>
      <c r="U5198" s="10">
        <v>1375</v>
      </c>
    </row>
    <row r="5199" spans="1:21" x14ac:dyDescent="0.35">
      <c r="A5199" t="s">
        <v>15</v>
      </c>
      <c r="B5199" t="s">
        <v>16</v>
      </c>
      <c r="C5199" t="s">
        <v>21</v>
      </c>
      <c r="D5199">
        <v>183508</v>
      </c>
      <c r="E5199">
        <v>31397</v>
      </c>
      <c r="F5199">
        <v>31325</v>
      </c>
      <c r="G5199">
        <v>-180889</v>
      </c>
      <c r="H5199">
        <v>65341</v>
      </c>
      <c r="I5199">
        <v>65194</v>
      </c>
      <c r="J5199">
        <v>1042</v>
      </c>
      <c r="K5199">
        <v>389694</v>
      </c>
      <c r="L5199">
        <v>54761</v>
      </c>
      <c r="M5199">
        <v>-123085</v>
      </c>
      <c r="N5199">
        <v>122010</v>
      </c>
      <c r="O5199" t="s">
        <v>5217</v>
      </c>
      <c r="P5199" s="9">
        <v>175908</v>
      </c>
      <c r="Q5199" s="9">
        <v>16113</v>
      </c>
      <c r="R5199" s="9">
        <v>192021</v>
      </c>
      <c r="S5199" s="9">
        <v>-59238</v>
      </c>
      <c r="T5199" s="10">
        <v>56885</v>
      </c>
      <c r="U5199" s="10">
        <v>1104</v>
      </c>
    </row>
    <row r="5200" spans="1:21" x14ac:dyDescent="0.35">
      <c r="A5200" t="s">
        <v>15</v>
      </c>
      <c r="B5200" t="s">
        <v>20</v>
      </c>
      <c r="C5200" t="s">
        <v>21</v>
      </c>
      <c r="D5200">
        <v>244466</v>
      </c>
      <c r="E5200">
        <v>27917</v>
      </c>
      <c r="F5200">
        <v>38315</v>
      </c>
      <c r="G5200">
        <v>-201511</v>
      </c>
      <c r="H5200">
        <v>109187</v>
      </c>
      <c r="I5200">
        <v>109151</v>
      </c>
      <c r="J5200">
        <v>2609</v>
      </c>
      <c r="K5200">
        <v>953982</v>
      </c>
      <c r="L5200">
        <v>412928</v>
      </c>
      <c r="M5200">
        <v>-154774</v>
      </c>
      <c r="N5200">
        <v>169992</v>
      </c>
      <c r="O5200" t="s">
        <v>5218</v>
      </c>
      <c r="P5200" s="9">
        <v>194649</v>
      </c>
      <c r="Q5200" s="9">
        <v>23317</v>
      </c>
      <c r="R5200" s="9">
        <v>217966</v>
      </c>
      <c r="S5200" s="9">
        <v>-56937</v>
      </c>
      <c r="T5200" s="10">
        <v>97516</v>
      </c>
      <c r="U5200" s="10">
        <v>1142</v>
      </c>
    </row>
    <row r="5201" spans="1:21" x14ac:dyDescent="0.35">
      <c r="A5201" t="s">
        <v>15</v>
      </c>
      <c r="B5201" t="s">
        <v>16</v>
      </c>
      <c r="C5201" t="s">
        <v>21</v>
      </c>
      <c r="D5201">
        <v>274088</v>
      </c>
      <c r="E5201">
        <v>41648</v>
      </c>
      <c r="F5201">
        <v>65675</v>
      </c>
      <c r="G5201">
        <v>-221795</v>
      </c>
      <c r="H5201">
        <v>159616</v>
      </c>
      <c r="I5201">
        <v>163559</v>
      </c>
      <c r="J5201">
        <v>4712</v>
      </c>
      <c r="K5201">
        <v>840092</v>
      </c>
      <c r="L5201">
        <v>361322</v>
      </c>
      <c r="M5201">
        <v>-262279</v>
      </c>
      <c r="N5201">
        <v>210308</v>
      </c>
      <c r="O5201" t="s">
        <v>5219</v>
      </c>
      <c r="P5201" s="9">
        <v>178392</v>
      </c>
      <c r="Q5201" s="9">
        <v>13047</v>
      </c>
      <c r="R5201" s="9">
        <v>191439</v>
      </c>
      <c r="S5201" s="9">
        <v>-81085</v>
      </c>
      <c r="T5201" s="10">
        <v>83452</v>
      </c>
      <c r="U5201" s="10">
        <v>2328</v>
      </c>
    </row>
    <row r="5202" spans="1:21" x14ac:dyDescent="0.35">
      <c r="A5202" t="s">
        <v>15</v>
      </c>
      <c r="B5202" t="s">
        <v>16</v>
      </c>
      <c r="C5202" t="s">
        <v>17</v>
      </c>
      <c r="D5202">
        <v>152629</v>
      </c>
      <c r="E5202">
        <v>30008</v>
      </c>
      <c r="F5202">
        <v>29332</v>
      </c>
      <c r="G5202">
        <v>-122634</v>
      </c>
      <c r="H5202">
        <v>89335</v>
      </c>
      <c r="I5202">
        <v>85278</v>
      </c>
      <c r="J5202">
        <v>1100</v>
      </c>
      <c r="K5202">
        <v>508495</v>
      </c>
      <c r="L5202">
        <v>107375</v>
      </c>
      <c r="M5202">
        <v>-75807</v>
      </c>
      <c r="N5202">
        <v>65931</v>
      </c>
      <c r="O5202" t="s">
        <v>5220</v>
      </c>
      <c r="P5202" s="9">
        <v>245789</v>
      </c>
      <c r="Q5202" s="9">
        <v>45044</v>
      </c>
      <c r="R5202" s="9">
        <v>290833</v>
      </c>
      <c r="S5202" s="9">
        <v>-145454</v>
      </c>
      <c r="T5202" s="10">
        <v>120443</v>
      </c>
      <c r="U5202" s="10">
        <v>2314</v>
      </c>
    </row>
    <row r="5203" spans="1:21" x14ac:dyDescent="0.35">
      <c r="A5203" t="s">
        <v>15</v>
      </c>
      <c r="B5203" t="s">
        <v>16</v>
      </c>
      <c r="C5203" t="s">
        <v>21</v>
      </c>
      <c r="D5203">
        <v>169085</v>
      </c>
      <c r="E5203">
        <v>8785</v>
      </c>
      <c r="F5203">
        <v>38041</v>
      </c>
      <c r="G5203">
        <v>-146707</v>
      </c>
      <c r="H5203">
        <v>69204</v>
      </c>
      <c r="I5203">
        <v>66324</v>
      </c>
      <c r="J5203">
        <v>733</v>
      </c>
      <c r="K5203">
        <v>360133</v>
      </c>
      <c r="L5203">
        <v>60429</v>
      </c>
      <c r="M5203">
        <v>-74658</v>
      </c>
      <c r="N5203">
        <v>85084</v>
      </c>
      <c r="O5203" t="s">
        <v>5221</v>
      </c>
      <c r="P5203" s="9">
        <v>174399</v>
      </c>
      <c r="Q5203" s="9">
        <v>10468</v>
      </c>
      <c r="R5203" s="9">
        <v>184867</v>
      </c>
      <c r="S5203" s="9">
        <v>-90692</v>
      </c>
      <c r="T5203" s="10">
        <v>78328</v>
      </c>
      <c r="U5203" s="10">
        <v>1258</v>
      </c>
    </row>
    <row r="5204" spans="1:21" x14ac:dyDescent="0.35">
      <c r="A5204" t="s">
        <v>15</v>
      </c>
      <c r="B5204" t="s">
        <v>20</v>
      </c>
      <c r="C5204" t="s">
        <v>17</v>
      </c>
      <c r="D5204">
        <v>218256</v>
      </c>
      <c r="E5204">
        <v>24062</v>
      </c>
      <c r="F5204">
        <v>26077</v>
      </c>
      <c r="G5204">
        <v>-191305</v>
      </c>
      <c r="H5204">
        <v>77090</v>
      </c>
      <c r="I5204">
        <v>79881</v>
      </c>
      <c r="J5204">
        <v>2384</v>
      </c>
      <c r="K5204">
        <v>721002</v>
      </c>
      <c r="L5204">
        <v>248154</v>
      </c>
      <c r="M5204">
        <v>-98185</v>
      </c>
      <c r="N5204">
        <v>120301</v>
      </c>
      <c r="O5204" t="s">
        <v>5222</v>
      </c>
      <c r="P5204" s="9">
        <v>260051</v>
      </c>
      <c r="Q5204" s="9">
        <v>22362</v>
      </c>
      <c r="R5204" s="9">
        <v>282413</v>
      </c>
      <c r="S5204" s="9">
        <v>-101627</v>
      </c>
      <c r="T5204" s="10">
        <v>83003</v>
      </c>
      <c r="U5204" s="10">
        <v>1056</v>
      </c>
    </row>
    <row r="5205" spans="1:21" x14ac:dyDescent="0.35">
      <c r="A5205" t="s">
        <v>15</v>
      </c>
      <c r="B5205" t="s">
        <v>16</v>
      </c>
      <c r="C5205" t="s">
        <v>21</v>
      </c>
      <c r="D5205">
        <v>193668</v>
      </c>
      <c r="E5205">
        <v>29074</v>
      </c>
      <c r="F5205">
        <v>34338</v>
      </c>
      <c r="G5205">
        <v>-157614</v>
      </c>
      <c r="H5205">
        <v>99466</v>
      </c>
      <c r="I5205">
        <v>93538</v>
      </c>
      <c r="J5205">
        <v>1131</v>
      </c>
      <c r="K5205">
        <v>646152</v>
      </c>
      <c r="L5205">
        <v>189394</v>
      </c>
      <c r="M5205">
        <v>-170538</v>
      </c>
      <c r="N5205">
        <v>120662</v>
      </c>
      <c r="O5205" t="s">
        <v>5223</v>
      </c>
      <c r="P5205" s="9">
        <v>279209</v>
      </c>
      <c r="Q5205" s="9">
        <v>31298</v>
      </c>
      <c r="R5205" s="9">
        <v>310507</v>
      </c>
      <c r="S5205" s="9">
        <v>-179429</v>
      </c>
      <c r="T5205" s="10">
        <v>139061</v>
      </c>
      <c r="U5205" s="10">
        <v>1799</v>
      </c>
    </row>
    <row r="5206" spans="1:21" x14ac:dyDescent="0.35">
      <c r="A5206" t="s">
        <v>15</v>
      </c>
      <c r="B5206" t="s">
        <v>16</v>
      </c>
      <c r="C5206" t="s">
        <v>21</v>
      </c>
      <c r="D5206">
        <v>191443</v>
      </c>
      <c r="E5206">
        <v>13513</v>
      </c>
      <c r="F5206">
        <v>33149</v>
      </c>
      <c r="G5206">
        <v>-183150</v>
      </c>
      <c r="H5206">
        <v>54955</v>
      </c>
      <c r="I5206">
        <v>57127</v>
      </c>
      <c r="J5206">
        <v>1612</v>
      </c>
      <c r="K5206">
        <v>402054</v>
      </c>
      <c r="L5206">
        <v>78507</v>
      </c>
      <c r="M5206">
        <v>-63433</v>
      </c>
      <c r="N5206">
        <v>62772</v>
      </c>
      <c r="O5206" t="s">
        <v>5224</v>
      </c>
      <c r="P5206" s="9">
        <v>159874</v>
      </c>
      <c r="Q5206" s="9">
        <v>28923</v>
      </c>
      <c r="R5206" s="9">
        <v>188797</v>
      </c>
      <c r="S5206" s="9">
        <v>-74933</v>
      </c>
      <c r="T5206" s="10">
        <v>50918</v>
      </c>
      <c r="U5206" s="10">
        <v>1339</v>
      </c>
    </row>
    <row r="5207" spans="1:21" x14ac:dyDescent="0.35">
      <c r="A5207" t="s">
        <v>15</v>
      </c>
      <c r="B5207" t="s">
        <v>16</v>
      </c>
      <c r="C5207" t="s">
        <v>21</v>
      </c>
      <c r="D5207">
        <v>223951</v>
      </c>
      <c r="E5207">
        <v>16795</v>
      </c>
      <c r="F5207">
        <v>42674</v>
      </c>
      <c r="G5207">
        <v>-208124</v>
      </c>
      <c r="H5207">
        <v>75296</v>
      </c>
      <c r="I5207">
        <v>74721</v>
      </c>
      <c r="J5207">
        <v>1797</v>
      </c>
      <c r="K5207">
        <v>692896</v>
      </c>
      <c r="L5207">
        <v>71624</v>
      </c>
      <c r="M5207">
        <v>-160957</v>
      </c>
      <c r="N5207">
        <v>142557</v>
      </c>
      <c r="O5207" t="s">
        <v>5225</v>
      </c>
      <c r="P5207" s="9">
        <v>213647</v>
      </c>
      <c r="Q5207" s="9">
        <v>43408</v>
      </c>
      <c r="R5207" s="9">
        <v>257055</v>
      </c>
      <c r="S5207" s="9">
        <v>-136942</v>
      </c>
      <c r="T5207" s="10">
        <v>105431</v>
      </c>
      <c r="U5207" s="10">
        <v>3040</v>
      </c>
    </row>
    <row r="5208" spans="1:21" x14ac:dyDescent="0.35">
      <c r="A5208" t="s">
        <v>15</v>
      </c>
      <c r="B5208" t="s">
        <v>16</v>
      </c>
      <c r="C5208" t="s">
        <v>17</v>
      </c>
      <c r="D5208">
        <v>279144</v>
      </c>
      <c r="E5208">
        <v>46175</v>
      </c>
      <c r="F5208">
        <v>41768</v>
      </c>
      <c r="G5208">
        <v>-226766</v>
      </c>
      <c r="H5208">
        <v>140321</v>
      </c>
      <c r="I5208">
        <v>137626</v>
      </c>
      <c r="J5208">
        <v>2221</v>
      </c>
      <c r="K5208">
        <v>647525</v>
      </c>
      <c r="L5208">
        <v>174574</v>
      </c>
      <c r="M5208">
        <v>-135043</v>
      </c>
      <c r="N5208">
        <v>95206</v>
      </c>
      <c r="O5208" t="s">
        <v>5226</v>
      </c>
      <c r="P5208" s="9">
        <v>193861</v>
      </c>
      <c r="Q5208" s="9">
        <v>30482</v>
      </c>
      <c r="R5208" s="9">
        <v>224343</v>
      </c>
      <c r="S5208" s="9">
        <v>-53897</v>
      </c>
      <c r="T5208" s="10">
        <v>100897</v>
      </c>
      <c r="U5208" s="10">
        <v>1386</v>
      </c>
    </row>
    <row r="5209" spans="1:21" x14ac:dyDescent="0.35">
      <c r="A5209" t="s">
        <v>15</v>
      </c>
      <c r="B5209" t="s">
        <v>16</v>
      </c>
      <c r="C5209" t="s">
        <v>21</v>
      </c>
      <c r="D5209">
        <v>230697</v>
      </c>
      <c r="E5209">
        <v>27615</v>
      </c>
      <c r="F5209">
        <v>32296</v>
      </c>
      <c r="G5209">
        <v>-209114</v>
      </c>
      <c r="H5209">
        <v>81494</v>
      </c>
      <c r="I5209">
        <v>76808</v>
      </c>
      <c r="J5209">
        <v>1589</v>
      </c>
      <c r="K5209">
        <v>471425</v>
      </c>
      <c r="L5209">
        <v>218588</v>
      </c>
      <c r="M5209">
        <v>-65816</v>
      </c>
      <c r="N5209">
        <v>114374</v>
      </c>
      <c r="O5209" t="s">
        <v>5227</v>
      </c>
      <c r="P5209" s="9">
        <v>249441</v>
      </c>
      <c r="Q5209" s="9">
        <v>32439</v>
      </c>
      <c r="R5209" s="9">
        <v>281880</v>
      </c>
      <c r="S5209" s="9">
        <v>-81399</v>
      </c>
      <c r="T5209" s="10">
        <v>80187</v>
      </c>
      <c r="U5209" s="10">
        <v>2086</v>
      </c>
    </row>
    <row r="5210" spans="1:21" x14ac:dyDescent="0.35">
      <c r="A5210" t="s">
        <v>15</v>
      </c>
      <c r="B5210" t="s">
        <v>16</v>
      </c>
      <c r="C5210" t="s">
        <v>21</v>
      </c>
      <c r="D5210">
        <v>227897</v>
      </c>
      <c r="E5210">
        <v>11666</v>
      </c>
      <c r="F5210">
        <v>46993</v>
      </c>
      <c r="G5210">
        <v>-226823</v>
      </c>
      <c r="H5210">
        <v>59733</v>
      </c>
      <c r="I5210">
        <v>54479</v>
      </c>
      <c r="J5210">
        <v>1025</v>
      </c>
      <c r="K5210">
        <v>483699</v>
      </c>
      <c r="L5210">
        <v>184871</v>
      </c>
      <c r="M5210">
        <v>-181616</v>
      </c>
      <c r="N5210">
        <v>174387</v>
      </c>
      <c r="O5210" t="s">
        <v>5228</v>
      </c>
      <c r="P5210" s="9">
        <v>317592</v>
      </c>
      <c r="Q5210" s="9">
        <v>33676</v>
      </c>
      <c r="R5210" s="9">
        <v>351268</v>
      </c>
      <c r="S5210" s="9">
        <v>-172728</v>
      </c>
      <c r="T5210" s="10">
        <v>87086</v>
      </c>
      <c r="U5210" s="10">
        <v>2381</v>
      </c>
    </row>
    <row r="5211" spans="1:21" x14ac:dyDescent="0.35">
      <c r="A5211" t="s">
        <v>15</v>
      </c>
      <c r="B5211" t="s">
        <v>16</v>
      </c>
      <c r="C5211" t="s">
        <v>21</v>
      </c>
      <c r="D5211">
        <v>152597</v>
      </c>
      <c r="E5211">
        <v>15266</v>
      </c>
      <c r="F5211">
        <v>19098</v>
      </c>
      <c r="G5211">
        <v>-145853</v>
      </c>
      <c r="H5211">
        <v>41108</v>
      </c>
      <c r="I5211">
        <v>38517</v>
      </c>
      <c r="J5211">
        <v>766</v>
      </c>
      <c r="K5211">
        <v>481407</v>
      </c>
      <c r="L5211">
        <v>109741</v>
      </c>
      <c r="M5211">
        <v>-69371</v>
      </c>
      <c r="N5211">
        <v>86981</v>
      </c>
      <c r="O5211" t="s">
        <v>5229</v>
      </c>
      <c r="P5211" s="9">
        <v>201540</v>
      </c>
      <c r="Q5211" s="9">
        <v>11054</v>
      </c>
      <c r="R5211" s="9">
        <v>212594</v>
      </c>
      <c r="S5211" s="9">
        <v>-87108</v>
      </c>
      <c r="T5211" s="10">
        <v>76745</v>
      </c>
      <c r="U5211" s="10">
        <v>1739</v>
      </c>
    </row>
    <row r="5212" spans="1:21" x14ac:dyDescent="0.35">
      <c r="A5212" t="s">
        <v>15</v>
      </c>
      <c r="B5212" t="s">
        <v>20</v>
      </c>
      <c r="C5212" t="s">
        <v>21</v>
      </c>
      <c r="D5212">
        <v>242987</v>
      </c>
      <c r="E5212">
        <v>23681</v>
      </c>
      <c r="F5212">
        <v>29393</v>
      </c>
      <c r="G5212">
        <v>-231479</v>
      </c>
      <c r="H5212">
        <v>64582</v>
      </c>
      <c r="I5212">
        <v>58277</v>
      </c>
      <c r="J5212">
        <v>1483</v>
      </c>
      <c r="K5212">
        <v>556714</v>
      </c>
      <c r="L5212">
        <v>68993</v>
      </c>
      <c r="M5212">
        <v>-205818</v>
      </c>
      <c r="N5212">
        <v>121257</v>
      </c>
      <c r="O5212" t="s">
        <v>5230</v>
      </c>
      <c r="P5212" s="9">
        <v>195621</v>
      </c>
      <c r="Q5212" s="9">
        <v>36424</v>
      </c>
      <c r="R5212" s="9">
        <v>232045</v>
      </c>
      <c r="S5212" s="9">
        <v>-64575</v>
      </c>
      <c r="T5212" s="10">
        <v>82950</v>
      </c>
      <c r="U5212" s="10">
        <v>1736</v>
      </c>
    </row>
    <row r="5213" spans="1:21" x14ac:dyDescent="0.35">
      <c r="A5213" t="s">
        <v>15</v>
      </c>
      <c r="B5213" t="s">
        <v>20</v>
      </c>
      <c r="C5213" t="s">
        <v>17</v>
      </c>
      <c r="D5213">
        <v>237104</v>
      </c>
      <c r="E5213">
        <v>14197</v>
      </c>
      <c r="F5213">
        <v>47776</v>
      </c>
      <c r="G5213">
        <v>-189938</v>
      </c>
      <c r="H5213">
        <v>109139</v>
      </c>
      <c r="I5213">
        <v>99037</v>
      </c>
      <c r="J5213">
        <v>1147</v>
      </c>
      <c r="K5213">
        <v>713471</v>
      </c>
      <c r="L5213">
        <v>278539</v>
      </c>
      <c r="M5213">
        <v>-156611</v>
      </c>
      <c r="N5213">
        <v>195616</v>
      </c>
      <c r="O5213" t="s">
        <v>5231</v>
      </c>
      <c r="P5213" s="9">
        <v>272848</v>
      </c>
      <c r="Q5213" s="9">
        <v>38590</v>
      </c>
      <c r="R5213" s="9">
        <v>311438</v>
      </c>
      <c r="S5213" s="9">
        <v>-155905</v>
      </c>
      <c r="T5213" s="10">
        <v>71560</v>
      </c>
      <c r="U5213" s="10">
        <v>1280</v>
      </c>
    </row>
    <row r="5214" spans="1:21" x14ac:dyDescent="0.35">
      <c r="A5214" t="s">
        <v>15</v>
      </c>
      <c r="B5214" t="s">
        <v>16</v>
      </c>
      <c r="C5214" t="s">
        <v>21</v>
      </c>
      <c r="D5214">
        <v>182019</v>
      </c>
      <c r="E5214">
        <v>36165</v>
      </c>
      <c r="F5214">
        <v>30631</v>
      </c>
      <c r="G5214">
        <v>-174738</v>
      </c>
      <c r="H5214">
        <v>74077</v>
      </c>
      <c r="I5214">
        <v>68695</v>
      </c>
      <c r="J5214">
        <v>1980</v>
      </c>
      <c r="K5214">
        <v>465787</v>
      </c>
      <c r="L5214">
        <v>115200</v>
      </c>
      <c r="M5214">
        <v>-67952</v>
      </c>
      <c r="N5214">
        <v>59652</v>
      </c>
      <c r="O5214" t="s">
        <v>5232</v>
      </c>
      <c r="P5214" s="9">
        <v>180731</v>
      </c>
      <c r="Q5214" s="9">
        <v>8254</v>
      </c>
      <c r="R5214" s="9">
        <v>188985</v>
      </c>
      <c r="S5214" s="9">
        <v>-50703</v>
      </c>
      <c r="T5214" s="10">
        <v>77024</v>
      </c>
      <c r="U5214" s="10">
        <v>2089</v>
      </c>
    </row>
    <row r="5215" spans="1:21" x14ac:dyDescent="0.35">
      <c r="A5215" t="s">
        <v>15</v>
      </c>
      <c r="B5215" t="s">
        <v>20</v>
      </c>
      <c r="C5215" t="s">
        <v>21</v>
      </c>
      <c r="D5215">
        <v>276437</v>
      </c>
      <c r="E5215">
        <v>16706</v>
      </c>
      <c r="F5215">
        <v>64100</v>
      </c>
      <c r="G5215">
        <v>-231222</v>
      </c>
      <c r="H5215">
        <v>126021</v>
      </c>
      <c r="I5215">
        <v>128721</v>
      </c>
      <c r="J5215">
        <v>3408</v>
      </c>
      <c r="K5215">
        <v>874064</v>
      </c>
      <c r="L5215">
        <v>279339</v>
      </c>
      <c r="M5215">
        <v>-115464</v>
      </c>
      <c r="N5215">
        <v>172132</v>
      </c>
      <c r="O5215" t="s">
        <v>5233</v>
      </c>
      <c r="P5215" s="9">
        <v>232517</v>
      </c>
      <c r="Q5215" s="9">
        <v>17700</v>
      </c>
      <c r="R5215" s="9">
        <v>250217</v>
      </c>
      <c r="S5215" s="9">
        <v>-149313</v>
      </c>
      <c r="T5215" s="10">
        <v>85918</v>
      </c>
      <c r="U5215" s="10">
        <v>1696</v>
      </c>
    </row>
    <row r="5216" spans="1:21" x14ac:dyDescent="0.35">
      <c r="A5216" t="s">
        <v>15</v>
      </c>
      <c r="B5216" t="s">
        <v>20</v>
      </c>
      <c r="C5216" t="s">
        <v>21</v>
      </c>
      <c r="D5216">
        <v>224836</v>
      </c>
      <c r="E5216">
        <v>42773</v>
      </c>
      <c r="F5216">
        <v>31632</v>
      </c>
      <c r="G5216">
        <v>-206617</v>
      </c>
      <c r="H5216">
        <v>92624</v>
      </c>
      <c r="I5216">
        <v>88040</v>
      </c>
      <c r="J5216">
        <v>2200</v>
      </c>
      <c r="K5216">
        <v>519704</v>
      </c>
      <c r="L5216">
        <v>98295</v>
      </c>
      <c r="M5216">
        <v>-139752</v>
      </c>
      <c r="N5216">
        <v>107053</v>
      </c>
      <c r="O5216" t="s">
        <v>5234</v>
      </c>
      <c r="P5216" s="9">
        <v>206076</v>
      </c>
      <c r="Q5216" s="9">
        <v>30861</v>
      </c>
      <c r="R5216" s="9">
        <v>236937</v>
      </c>
      <c r="S5216" s="9">
        <v>-120674</v>
      </c>
      <c r="T5216" s="10">
        <v>106806</v>
      </c>
      <c r="U5216" s="10">
        <v>2408</v>
      </c>
    </row>
    <row r="5217" spans="1:21" x14ac:dyDescent="0.35">
      <c r="A5217" t="s">
        <v>15</v>
      </c>
      <c r="B5217" t="s">
        <v>20</v>
      </c>
      <c r="C5217" t="s">
        <v>21</v>
      </c>
      <c r="D5217">
        <v>268034</v>
      </c>
      <c r="E5217">
        <v>50284</v>
      </c>
      <c r="F5217">
        <v>36347</v>
      </c>
      <c r="G5217">
        <v>-249913</v>
      </c>
      <c r="H5217">
        <v>104752</v>
      </c>
      <c r="I5217">
        <v>97116</v>
      </c>
      <c r="J5217">
        <v>2121</v>
      </c>
      <c r="K5217">
        <v>693156</v>
      </c>
      <c r="L5217">
        <v>216093</v>
      </c>
      <c r="M5217">
        <v>-240586</v>
      </c>
      <c r="N5217">
        <v>107793</v>
      </c>
      <c r="O5217" t="s">
        <v>5235</v>
      </c>
      <c r="P5217" s="9">
        <v>163312</v>
      </c>
      <c r="Q5217" s="9">
        <v>16466</v>
      </c>
      <c r="R5217" s="9">
        <v>179778</v>
      </c>
      <c r="S5217" s="9">
        <v>-98309</v>
      </c>
      <c r="T5217" s="10">
        <v>49533</v>
      </c>
      <c r="U5217" s="10">
        <v>636</v>
      </c>
    </row>
    <row r="5218" spans="1:21" x14ac:dyDescent="0.35">
      <c r="A5218" t="s">
        <v>15</v>
      </c>
      <c r="B5218" t="s">
        <v>16</v>
      </c>
      <c r="C5218" t="s">
        <v>21</v>
      </c>
      <c r="D5218">
        <v>255572</v>
      </c>
      <c r="E5218">
        <v>34114</v>
      </c>
      <c r="F5218">
        <v>63241</v>
      </c>
      <c r="G5218">
        <v>-220654</v>
      </c>
      <c r="H5218">
        <v>132273</v>
      </c>
      <c r="I5218">
        <v>121056</v>
      </c>
      <c r="J5218">
        <v>1677</v>
      </c>
      <c r="K5218">
        <v>619041</v>
      </c>
      <c r="L5218">
        <v>147346</v>
      </c>
      <c r="M5218">
        <v>-153418</v>
      </c>
      <c r="N5218">
        <v>157093</v>
      </c>
      <c r="O5218" t="s">
        <v>5236</v>
      </c>
      <c r="P5218" s="9">
        <v>158020</v>
      </c>
      <c r="Q5218" s="9">
        <v>14875</v>
      </c>
      <c r="R5218" s="9">
        <v>172895</v>
      </c>
      <c r="S5218" s="9">
        <v>-100722</v>
      </c>
      <c r="T5218" s="10">
        <v>64724</v>
      </c>
      <c r="U5218" s="10">
        <v>805</v>
      </c>
    </row>
    <row r="5219" spans="1:21" x14ac:dyDescent="0.35">
      <c r="A5219" t="s">
        <v>15</v>
      </c>
      <c r="B5219" t="s">
        <v>16</v>
      </c>
      <c r="C5219" t="s">
        <v>17</v>
      </c>
      <c r="D5219">
        <v>199752</v>
      </c>
      <c r="E5219">
        <v>10274</v>
      </c>
      <c r="F5219">
        <v>21637</v>
      </c>
      <c r="G5219">
        <v>-162924</v>
      </c>
      <c r="H5219">
        <v>68739</v>
      </c>
      <c r="I5219">
        <v>71150</v>
      </c>
      <c r="J5219">
        <v>762</v>
      </c>
      <c r="K5219">
        <v>665881</v>
      </c>
      <c r="L5219">
        <v>263141</v>
      </c>
      <c r="M5219">
        <v>-237287</v>
      </c>
      <c r="N5219">
        <v>73701</v>
      </c>
      <c r="O5219" t="s">
        <v>5237</v>
      </c>
      <c r="P5219" s="9">
        <v>233638</v>
      </c>
      <c r="Q5219" s="9">
        <v>30147</v>
      </c>
      <c r="R5219" s="9">
        <v>263785</v>
      </c>
      <c r="S5219" s="9">
        <v>-87142</v>
      </c>
      <c r="T5219" s="10">
        <v>112647</v>
      </c>
      <c r="U5219" s="10">
        <v>1550</v>
      </c>
    </row>
    <row r="5220" spans="1:21" x14ac:dyDescent="0.35">
      <c r="A5220" t="s">
        <v>15</v>
      </c>
      <c r="B5220" t="s">
        <v>20</v>
      </c>
      <c r="C5220" t="s">
        <v>21</v>
      </c>
      <c r="D5220">
        <v>179942</v>
      </c>
      <c r="E5220">
        <v>30777</v>
      </c>
      <c r="F5220">
        <v>34572</v>
      </c>
      <c r="G5220">
        <v>-168825</v>
      </c>
      <c r="H5220">
        <v>76466</v>
      </c>
      <c r="I5220">
        <v>72261</v>
      </c>
      <c r="J5220">
        <v>2155</v>
      </c>
      <c r="K5220">
        <v>650413</v>
      </c>
      <c r="L5220">
        <v>244157</v>
      </c>
      <c r="M5220">
        <v>-146085</v>
      </c>
      <c r="N5220">
        <v>62993</v>
      </c>
      <c r="O5220" t="s">
        <v>5238</v>
      </c>
      <c r="P5220" s="9">
        <v>242896</v>
      </c>
      <c r="Q5220" s="9">
        <v>45316</v>
      </c>
      <c r="R5220" s="9">
        <v>288212</v>
      </c>
      <c r="S5220" s="9">
        <v>-76809</v>
      </c>
      <c r="T5220" s="10">
        <v>106711</v>
      </c>
      <c r="U5220" s="10">
        <v>1661</v>
      </c>
    </row>
    <row r="5221" spans="1:21" x14ac:dyDescent="0.35">
      <c r="A5221" t="s">
        <v>15</v>
      </c>
      <c r="B5221" t="s">
        <v>20</v>
      </c>
      <c r="C5221" t="s">
        <v>21</v>
      </c>
      <c r="D5221">
        <v>252244</v>
      </c>
      <c r="E5221">
        <v>14516</v>
      </c>
      <c r="F5221">
        <v>45698</v>
      </c>
      <c r="G5221">
        <v>-236483</v>
      </c>
      <c r="H5221">
        <v>75975</v>
      </c>
      <c r="I5221">
        <v>75627</v>
      </c>
      <c r="J5221">
        <v>1868</v>
      </c>
      <c r="K5221">
        <v>878581</v>
      </c>
      <c r="L5221">
        <v>415110</v>
      </c>
      <c r="M5221">
        <v>-337428</v>
      </c>
      <c r="N5221">
        <v>171796</v>
      </c>
      <c r="O5221" t="s">
        <v>5239</v>
      </c>
      <c r="P5221" s="9">
        <v>202189</v>
      </c>
      <c r="Q5221" s="9">
        <v>28272</v>
      </c>
      <c r="R5221" s="9">
        <v>230461</v>
      </c>
      <c r="S5221" s="9">
        <v>-126021</v>
      </c>
      <c r="T5221" s="10">
        <v>91610</v>
      </c>
      <c r="U5221" s="10">
        <v>1520</v>
      </c>
    </row>
    <row r="5222" spans="1:21" x14ac:dyDescent="0.35">
      <c r="A5222" t="s">
        <v>15</v>
      </c>
      <c r="B5222" t="s">
        <v>20</v>
      </c>
      <c r="C5222" t="s">
        <v>17</v>
      </c>
      <c r="D5222">
        <v>205063</v>
      </c>
      <c r="E5222">
        <v>30972</v>
      </c>
      <c r="F5222">
        <v>49094</v>
      </c>
      <c r="G5222">
        <v>-178127</v>
      </c>
      <c r="H5222">
        <v>107002</v>
      </c>
      <c r="I5222">
        <v>97606</v>
      </c>
      <c r="J5222">
        <v>1262</v>
      </c>
      <c r="K5222">
        <v>795512</v>
      </c>
      <c r="L5222">
        <v>353333</v>
      </c>
      <c r="M5222">
        <v>-188605</v>
      </c>
      <c r="N5222">
        <v>97408</v>
      </c>
      <c r="O5222" t="s">
        <v>5240</v>
      </c>
      <c r="P5222" s="9">
        <v>271173</v>
      </c>
      <c r="Q5222" s="9">
        <v>48230</v>
      </c>
      <c r="R5222" s="9">
        <v>319403</v>
      </c>
      <c r="S5222" s="9">
        <v>-173337</v>
      </c>
      <c r="T5222" s="10">
        <v>115173</v>
      </c>
      <c r="U5222" s="10">
        <v>3426</v>
      </c>
    </row>
    <row r="5223" spans="1:21" x14ac:dyDescent="0.35">
      <c r="A5223" t="s">
        <v>15</v>
      </c>
      <c r="B5223" t="s">
        <v>16</v>
      </c>
      <c r="C5223" t="s">
        <v>21</v>
      </c>
      <c r="D5223">
        <v>210011</v>
      </c>
      <c r="E5223">
        <v>25816</v>
      </c>
      <c r="F5223">
        <v>47473</v>
      </c>
      <c r="G5223">
        <v>-207681</v>
      </c>
      <c r="H5223">
        <v>75619</v>
      </c>
      <c r="I5223">
        <v>73362</v>
      </c>
      <c r="J5223">
        <v>2039</v>
      </c>
      <c r="K5223">
        <v>579704</v>
      </c>
      <c r="L5223">
        <v>185934</v>
      </c>
      <c r="M5223">
        <v>-141325</v>
      </c>
      <c r="N5223">
        <v>107907</v>
      </c>
      <c r="O5223" t="s">
        <v>5241</v>
      </c>
      <c r="P5223" s="9">
        <v>322140</v>
      </c>
      <c r="Q5223" s="9">
        <v>25390</v>
      </c>
      <c r="R5223" s="9">
        <v>347530</v>
      </c>
      <c r="S5223" s="9">
        <v>-200282</v>
      </c>
      <c r="T5223" s="10">
        <v>98689</v>
      </c>
      <c r="U5223" s="10">
        <v>1283</v>
      </c>
    </row>
    <row r="5224" spans="1:21" x14ac:dyDescent="0.35">
      <c r="A5224" t="s">
        <v>15</v>
      </c>
      <c r="B5224" t="s">
        <v>20</v>
      </c>
      <c r="C5224" t="s">
        <v>17</v>
      </c>
      <c r="D5224">
        <v>222618</v>
      </c>
      <c r="E5224">
        <v>17112</v>
      </c>
      <c r="F5224">
        <v>24899</v>
      </c>
      <c r="G5224">
        <v>-202403</v>
      </c>
      <c r="H5224">
        <v>62226</v>
      </c>
      <c r="I5224">
        <v>56950</v>
      </c>
      <c r="J5224">
        <v>850</v>
      </c>
      <c r="K5224">
        <v>672249</v>
      </c>
      <c r="L5224">
        <v>304794</v>
      </c>
      <c r="M5224">
        <v>-154324</v>
      </c>
      <c r="N5224">
        <v>153723</v>
      </c>
      <c r="O5224" t="s">
        <v>5242</v>
      </c>
      <c r="P5224" s="9">
        <v>267525</v>
      </c>
      <c r="Q5224" s="9">
        <v>48893</v>
      </c>
      <c r="R5224" s="9">
        <v>316418</v>
      </c>
      <c r="S5224" s="9">
        <v>-95924</v>
      </c>
      <c r="T5224" s="10">
        <v>102900</v>
      </c>
      <c r="U5224" s="10">
        <v>2282</v>
      </c>
    </row>
    <row r="5225" spans="1:21" x14ac:dyDescent="0.35">
      <c r="A5225" t="s">
        <v>15</v>
      </c>
      <c r="B5225" t="s">
        <v>16</v>
      </c>
      <c r="C5225" t="s">
        <v>21</v>
      </c>
      <c r="D5225">
        <v>291444</v>
      </c>
      <c r="E5225">
        <v>17152</v>
      </c>
      <c r="F5225">
        <v>33784</v>
      </c>
      <c r="G5225">
        <v>-270163</v>
      </c>
      <c r="H5225">
        <v>72217</v>
      </c>
      <c r="I5225">
        <v>74183</v>
      </c>
      <c r="J5225">
        <v>1997</v>
      </c>
      <c r="K5225">
        <v>958003</v>
      </c>
      <c r="L5225">
        <v>291757</v>
      </c>
      <c r="M5225">
        <v>-331882</v>
      </c>
      <c r="N5225">
        <v>124011</v>
      </c>
      <c r="O5225" t="s">
        <v>5243</v>
      </c>
      <c r="P5225" s="9">
        <v>285647</v>
      </c>
      <c r="Q5225" s="9">
        <v>43445</v>
      </c>
      <c r="R5225" s="9">
        <v>329092</v>
      </c>
      <c r="S5225" s="9">
        <v>-174489</v>
      </c>
      <c r="T5225" s="10">
        <v>125449</v>
      </c>
      <c r="U5225" s="10">
        <v>3583</v>
      </c>
    </row>
    <row r="5226" spans="1:21" x14ac:dyDescent="0.35">
      <c r="A5226" t="s">
        <v>15</v>
      </c>
      <c r="B5226" t="s">
        <v>20</v>
      </c>
      <c r="C5226" t="s">
        <v>17</v>
      </c>
      <c r="D5226">
        <v>216075</v>
      </c>
      <c r="E5226">
        <v>29703</v>
      </c>
      <c r="F5226">
        <v>26327</v>
      </c>
      <c r="G5226">
        <v>-192852</v>
      </c>
      <c r="H5226">
        <v>79253</v>
      </c>
      <c r="I5226">
        <v>77930</v>
      </c>
      <c r="J5226">
        <v>1423</v>
      </c>
      <c r="K5226">
        <v>729965</v>
      </c>
      <c r="L5226">
        <v>344414</v>
      </c>
      <c r="M5226">
        <v>-160181</v>
      </c>
      <c r="N5226">
        <v>128732</v>
      </c>
      <c r="O5226" t="s">
        <v>5244</v>
      </c>
      <c r="P5226" s="9">
        <v>255467</v>
      </c>
      <c r="Q5226" s="9">
        <v>15861</v>
      </c>
      <c r="R5226" s="9">
        <v>271328</v>
      </c>
      <c r="S5226" s="9">
        <v>-147081</v>
      </c>
      <c r="T5226" s="10">
        <v>47320</v>
      </c>
      <c r="U5226" s="10">
        <v>1128</v>
      </c>
    </row>
    <row r="5227" spans="1:21" x14ac:dyDescent="0.35">
      <c r="A5227" t="s">
        <v>15</v>
      </c>
      <c r="B5227" t="s">
        <v>20</v>
      </c>
      <c r="C5227" t="s">
        <v>17</v>
      </c>
      <c r="D5227">
        <v>235201</v>
      </c>
      <c r="E5227">
        <v>13341</v>
      </c>
      <c r="F5227">
        <v>41005</v>
      </c>
      <c r="G5227">
        <v>-192031</v>
      </c>
      <c r="H5227">
        <v>97516</v>
      </c>
      <c r="I5227">
        <v>92097</v>
      </c>
      <c r="J5227">
        <v>1230</v>
      </c>
      <c r="K5227">
        <v>470682</v>
      </c>
      <c r="L5227">
        <v>98059</v>
      </c>
      <c r="M5227">
        <v>-62298</v>
      </c>
      <c r="N5227">
        <v>133313</v>
      </c>
      <c r="O5227" t="s">
        <v>5245</v>
      </c>
      <c r="P5227" s="9">
        <v>186714</v>
      </c>
      <c r="Q5227" s="9">
        <v>38600</v>
      </c>
      <c r="R5227" s="9">
        <v>225314</v>
      </c>
      <c r="S5227" s="9">
        <v>-106294</v>
      </c>
      <c r="T5227" s="10">
        <v>71142</v>
      </c>
      <c r="U5227" s="10">
        <v>2111</v>
      </c>
    </row>
    <row r="5228" spans="1:21" x14ac:dyDescent="0.35">
      <c r="A5228" t="s">
        <v>15</v>
      </c>
      <c r="B5228" t="s">
        <v>20</v>
      </c>
      <c r="C5228" t="s">
        <v>21</v>
      </c>
      <c r="D5228">
        <v>173672</v>
      </c>
      <c r="E5228">
        <v>29005</v>
      </c>
      <c r="F5228">
        <v>34120</v>
      </c>
      <c r="G5228">
        <v>-145790</v>
      </c>
      <c r="H5228">
        <v>91007</v>
      </c>
      <c r="I5228">
        <v>91431</v>
      </c>
      <c r="J5228">
        <v>2463</v>
      </c>
      <c r="K5228">
        <v>450069</v>
      </c>
      <c r="L5228">
        <v>52094</v>
      </c>
      <c r="M5228">
        <v>-78581</v>
      </c>
      <c r="N5228">
        <v>67915</v>
      </c>
      <c r="O5228" t="s">
        <v>5246</v>
      </c>
      <c r="P5228" s="9">
        <v>277156</v>
      </c>
      <c r="Q5228" s="9">
        <v>32227</v>
      </c>
      <c r="R5228" s="9">
        <v>309383</v>
      </c>
      <c r="S5228" s="9">
        <v>-172470</v>
      </c>
      <c r="T5228" s="10">
        <v>75521</v>
      </c>
      <c r="U5228" s="10">
        <v>1991</v>
      </c>
    </row>
    <row r="5229" spans="1:21" x14ac:dyDescent="0.35">
      <c r="A5229" t="s">
        <v>15</v>
      </c>
      <c r="B5229" t="s">
        <v>20</v>
      </c>
      <c r="C5229" t="s">
        <v>21</v>
      </c>
      <c r="D5229">
        <v>261490</v>
      </c>
      <c r="E5229">
        <v>19873</v>
      </c>
      <c r="F5229">
        <v>35513</v>
      </c>
      <c r="G5229">
        <v>-248154</v>
      </c>
      <c r="H5229">
        <v>68722</v>
      </c>
      <c r="I5229">
        <v>70660</v>
      </c>
      <c r="J5229">
        <v>862</v>
      </c>
      <c r="K5229">
        <v>814868</v>
      </c>
      <c r="L5229">
        <v>386965</v>
      </c>
      <c r="M5229">
        <v>-143966</v>
      </c>
      <c r="N5229">
        <v>234022</v>
      </c>
      <c r="O5229" t="s">
        <v>5247</v>
      </c>
      <c r="P5229" s="9">
        <v>249104</v>
      </c>
      <c r="Q5229" s="9">
        <v>23903</v>
      </c>
      <c r="R5229" s="9">
        <v>273007</v>
      </c>
      <c r="S5229" s="9">
        <v>-111315</v>
      </c>
      <c r="T5229" s="10">
        <v>94309</v>
      </c>
      <c r="U5229" s="10">
        <v>1393</v>
      </c>
    </row>
    <row r="5230" spans="1:21" x14ac:dyDescent="0.35">
      <c r="A5230" t="s">
        <v>15</v>
      </c>
      <c r="B5230" t="s">
        <v>20</v>
      </c>
      <c r="C5230" t="s">
        <v>21</v>
      </c>
      <c r="D5230">
        <v>234053</v>
      </c>
      <c r="E5230">
        <v>21042</v>
      </c>
      <c r="F5230">
        <v>24710</v>
      </c>
      <c r="G5230">
        <v>-200214</v>
      </c>
      <c r="H5230">
        <v>79591</v>
      </c>
      <c r="I5230">
        <v>74993</v>
      </c>
      <c r="J5230">
        <v>893</v>
      </c>
      <c r="K5230">
        <v>743272</v>
      </c>
      <c r="L5230">
        <v>364918</v>
      </c>
      <c r="M5230">
        <v>-290915</v>
      </c>
      <c r="N5230">
        <v>73802</v>
      </c>
      <c r="O5230" t="s">
        <v>5248</v>
      </c>
      <c r="P5230" s="9">
        <v>167707</v>
      </c>
      <c r="Q5230" s="9">
        <v>9066</v>
      </c>
      <c r="R5230" s="9">
        <v>176773</v>
      </c>
      <c r="S5230" s="9">
        <v>-76136</v>
      </c>
      <c r="T5230" s="10">
        <v>56954</v>
      </c>
      <c r="U5230" s="10">
        <v>1530</v>
      </c>
    </row>
    <row r="5231" spans="1:21" x14ac:dyDescent="0.35">
      <c r="A5231" t="s">
        <v>15</v>
      </c>
      <c r="B5231" t="s">
        <v>20</v>
      </c>
      <c r="C5231" t="s">
        <v>21</v>
      </c>
      <c r="D5231">
        <v>189081</v>
      </c>
      <c r="E5231">
        <v>11693</v>
      </c>
      <c r="F5231">
        <v>30237</v>
      </c>
      <c r="G5231">
        <v>-174587</v>
      </c>
      <c r="H5231">
        <v>56424</v>
      </c>
      <c r="I5231">
        <v>54900</v>
      </c>
      <c r="J5231">
        <v>1029</v>
      </c>
      <c r="K5231">
        <v>511614</v>
      </c>
      <c r="L5231">
        <v>97363</v>
      </c>
      <c r="M5231">
        <v>-172407</v>
      </c>
      <c r="N5231">
        <v>168511</v>
      </c>
      <c r="O5231" t="s">
        <v>5249</v>
      </c>
      <c r="P5231" s="9">
        <v>207044</v>
      </c>
      <c r="Q5231" s="9">
        <v>18597</v>
      </c>
      <c r="R5231" s="9">
        <v>225641</v>
      </c>
      <c r="S5231" s="9">
        <v>-78366</v>
      </c>
      <c r="T5231" s="10">
        <v>77533</v>
      </c>
      <c r="U5231" s="10">
        <v>1801</v>
      </c>
    </row>
    <row r="5232" spans="1:21" x14ac:dyDescent="0.35">
      <c r="A5232" t="s">
        <v>15</v>
      </c>
      <c r="B5232" t="s">
        <v>16</v>
      </c>
      <c r="C5232" t="s">
        <v>21</v>
      </c>
      <c r="D5232">
        <v>183316</v>
      </c>
      <c r="E5232">
        <v>29836</v>
      </c>
      <c r="F5232">
        <v>38292</v>
      </c>
      <c r="G5232">
        <v>-156697</v>
      </c>
      <c r="H5232">
        <v>94747</v>
      </c>
      <c r="I5232">
        <v>85648</v>
      </c>
      <c r="J5232">
        <v>1006</v>
      </c>
      <c r="K5232">
        <v>671375</v>
      </c>
      <c r="L5232">
        <v>309990</v>
      </c>
      <c r="M5232">
        <v>-167923</v>
      </c>
      <c r="N5232">
        <v>160020</v>
      </c>
      <c r="O5232" t="s">
        <v>5250</v>
      </c>
      <c r="P5232" s="9">
        <v>150578</v>
      </c>
      <c r="Q5232" s="9">
        <v>18259</v>
      </c>
      <c r="R5232" s="9">
        <v>168837</v>
      </c>
      <c r="S5232" s="9">
        <v>-92934</v>
      </c>
      <c r="T5232" s="10">
        <v>75755</v>
      </c>
      <c r="U5232" s="10">
        <v>1458</v>
      </c>
    </row>
    <row r="5233" spans="1:21" x14ac:dyDescent="0.35">
      <c r="A5233" t="s">
        <v>15</v>
      </c>
      <c r="B5233" t="s">
        <v>20</v>
      </c>
      <c r="C5233" t="s">
        <v>21</v>
      </c>
      <c r="D5233">
        <v>262620</v>
      </c>
      <c r="E5233">
        <v>23616</v>
      </c>
      <c r="F5233">
        <v>50492</v>
      </c>
      <c r="G5233">
        <v>-242138</v>
      </c>
      <c r="H5233">
        <v>94590</v>
      </c>
      <c r="I5233">
        <v>86200</v>
      </c>
      <c r="J5233">
        <v>2040</v>
      </c>
      <c r="K5233">
        <v>1011546</v>
      </c>
      <c r="L5233">
        <v>231328</v>
      </c>
      <c r="M5233">
        <v>-271540</v>
      </c>
      <c r="N5233">
        <v>184973</v>
      </c>
      <c r="O5233" t="s">
        <v>5251</v>
      </c>
      <c r="P5233" s="9">
        <v>292228</v>
      </c>
      <c r="Q5233" s="9">
        <v>35510</v>
      </c>
      <c r="R5233" s="9">
        <v>327738</v>
      </c>
      <c r="S5233" s="9">
        <v>-82615</v>
      </c>
      <c r="T5233" s="10">
        <v>130527</v>
      </c>
      <c r="U5233" s="10">
        <v>1887</v>
      </c>
    </row>
    <row r="5234" spans="1:21" x14ac:dyDescent="0.35">
      <c r="A5234" t="s">
        <v>15</v>
      </c>
      <c r="B5234" t="s">
        <v>16</v>
      </c>
      <c r="C5234" t="s">
        <v>21</v>
      </c>
      <c r="D5234">
        <v>216000</v>
      </c>
      <c r="E5234">
        <v>35902</v>
      </c>
      <c r="F5234">
        <v>48378</v>
      </c>
      <c r="G5234">
        <v>-211853</v>
      </c>
      <c r="H5234">
        <v>88427</v>
      </c>
      <c r="I5234">
        <v>89388</v>
      </c>
      <c r="J5234">
        <v>984</v>
      </c>
      <c r="K5234">
        <v>459731</v>
      </c>
      <c r="L5234">
        <v>188533</v>
      </c>
      <c r="M5234">
        <v>-174267</v>
      </c>
      <c r="N5234">
        <v>116637</v>
      </c>
      <c r="O5234" t="s">
        <v>5252</v>
      </c>
      <c r="P5234" s="9">
        <v>230971</v>
      </c>
      <c r="Q5234" s="9">
        <v>26974</v>
      </c>
      <c r="R5234" s="9">
        <v>257945</v>
      </c>
      <c r="S5234" s="9">
        <v>-153479</v>
      </c>
      <c r="T5234" s="10">
        <v>87097</v>
      </c>
      <c r="U5234" s="10">
        <v>2141</v>
      </c>
    </row>
    <row r="5235" spans="1:21" x14ac:dyDescent="0.35">
      <c r="A5235" t="s">
        <v>15</v>
      </c>
      <c r="B5235" t="s">
        <v>16</v>
      </c>
      <c r="C5235" t="s">
        <v>17</v>
      </c>
      <c r="D5235">
        <v>212423</v>
      </c>
      <c r="E5235">
        <v>34903</v>
      </c>
      <c r="F5235">
        <v>53054</v>
      </c>
      <c r="G5235">
        <v>-171048</v>
      </c>
      <c r="H5235">
        <v>129332</v>
      </c>
      <c r="I5235">
        <v>133572</v>
      </c>
      <c r="J5235">
        <v>3331</v>
      </c>
      <c r="K5235">
        <v>532943</v>
      </c>
      <c r="L5235">
        <v>198474</v>
      </c>
      <c r="M5235">
        <v>-186847</v>
      </c>
      <c r="N5235">
        <v>156241</v>
      </c>
      <c r="O5235" t="s">
        <v>5253</v>
      </c>
      <c r="P5235" s="9">
        <v>160830</v>
      </c>
      <c r="Q5235" s="9">
        <v>16653</v>
      </c>
      <c r="R5235" s="9">
        <v>177483</v>
      </c>
      <c r="S5235" s="9">
        <v>-68256</v>
      </c>
      <c r="T5235" s="10">
        <v>60460</v>
      </c>
      <c r="U5235" s="10">
        <v>1359</v>
      </c>
    </row>
    <row r="5236" spans="1:21" x14ac:dyDescent="0.35">
      <c r="A5236" t="s">
        <v>15</v>
      </c>
      <c r="B5236" t="s">
        <v>16</v>
      </c>
      <c r="C5236" t="s">
        <v>21</v>
      </c>
      <c r="D5236">
        <v>200919</v>
      </c>
      <c r="E5236">
        <v>20708</v>
      </c>
      <c r="F5236">
        <v>40572</v>
      </c>
      <c r="G5236">
        <v>-161264</v>
      </c>
      <c r="H5236">
        <v>100935</v>
      </c>
      <c r="I5236">
        <v>98073</v>
      </c>
      <c r="J5236">
        <v>1359</v>
      </c>
      <c r="K5236">
        <v>475995</v>
      </c>
      <c r="L5236">
        <v>235811</v>
      </c>
      <c r="M5236">
        <v>-120319</v>
      </c>
      <c r="N5236">
        <v>111327</v>
      </c>
      <c r="O5236" t="s">
        <v>5254</v>
      </c>
      <c r="P5236" s="9">
        <v>211640</v>
      </c>
      <c r="Q5236" s="9">
        <v>15545</v>
      </c>
      <c r="R5236" s="9">
        <v>227185</v>
      </c>
      <c r="S5236" s="9">
        <v>-46433</v>
      </c>
      <c r="T5236" s="10">
        <v>53997</v>
      </c>
      <c r="U5236" s="10">
        <v>649</v>
      </c>
    </row>
    <row r="5237" spans="1:21" x14ac:dyDescent="0.35">
      <c r="A5237" t="s">
        <v>15</v>
      </c>
      <c r="B5237" t="s">
        <v>16</v>
      </c>
      <c r="C5237" t="s">
        <v>21</v>
      </c>
      <c r="D5237">
        <v>258702</v>
      </c>
      <c r="E5237">
        <v>14930</v>
      </c>
      <c r="F5237">
        <v>30878</v>
      </c>
      <c r="G5237">
        <v>-253101</v>
      </c>
      <c r="H5237">
        <v>51409</v>
      </c>
      <c r="I5237">
        <v>49206</v>
      </c>
      <c r="J5237">
        <v>1070</v>
      </c>
      <c r="K5237">
        <v>778376</v>
      </c>
      <c r="L5237">
        <v>249061</v>
      </c>
      <c r="M5237">
        <v>-184562</v>
      </c>
      <c r="N5237">
        <v>232003</v>
      </c>
      <c r="O5237" t="s">
        <v>5255</v>
      </c>
      <c r="P5237" s="9">
        <v>204427</v>
      </c>
      <c r="Q5237" s="9">
        <v>38959</v>
      </c>
      <c r="R5237" s="9">
        <v>243386</v>
      </c>
      <c r="S5237" s="9">
        <v>-88418</v>
      </c>
      <c r="T5237" s="10">
        <v>96767</v>
      </c>
      <c r="U5237" s="10">
        <v>1666</v>
      </c>
    </row>
    <row r="5238" spans="1:21" x14ac:dyDescent="0.35">
      <c r="A5238" t="s">
        <v>15</v>
      </c>
      <c r="B5238" t="s">
        <v>16</v>
      </c>
      <c r="C5238" t="s">
        <v>21</v>
      </c>
      <c r="D5238">
        <v>282896</v>
      </c>
      <c r="E5238">
        <v>37544</v>
      </c>
      <c r="F5238">
        <v>32719</v>
      </c>
      <c r="G5238">
        <v>-270258</v>
      </c>
      <c r="H5238">
        <v>82901</v>
      </c>
      <c r="I5238">
        <v>81820</v>
      </c>
      <c r="J5238">
        <v>1626</v>
      </c>
      <c r="K5238">
        <v>919556</v>
      </c>
      <c r="L5238">
        <v>327567</v>
      </c>
      <c r="M5238">
        <v>-248232</v>
      </c>
      <c r="N5238">
        <v>179397</v>
      </c>
      <c r="O5238" t="s">
        <v>5256</v>
      </c>
      <c r="P5238" s="9">
        <v>285316</v>
      </c>
      <c r="Q5238" s="9">
        <v>44827</v>
      </c>
      <c r="R5238" s="9">
        <v>330143</v>
      </c>
      <c r="S5238" s="9">
        <v>-126176</v>
      </c>
      <c r="T5238" s="10">
        <v>134965</v>
      </c>
      <c r="U5238" s="10">
        <v>2441</v>
      </c>
    </row>
    <row r="5239" spans="1:21" x14ac:dyDescent="0.35">
      <c r="A5239" t="s">
        <v>15</v>
      </c>
      <c r="B5239" t="s">
        <v>20</v>
      </c>
      <c r="C5239" t="s">
        <v>21</v>
      </c>
      <c r="D5239">
        <v>239415</v>
      </c>
      <c r="E5239">
        <v>38938</v>
      </c>
      <c r="F5239">
        <v>49610</v>
      </c>
      <c r="G5239">
        <v>-222295</v>
      </c>
      <c r="H5239">
        <v>105668</v>
      </c>
      <c r="I5239">
        <v>109074</v>
      </c>
      <c r="J5239">
        <v>1711</v>
      </c>
      <c r="K5239">
        <v>548310</v>
      </c>
      <c r="L5239">
        <v>140766</v>
      </c>
      <c r="M5239">
        <v>-71344</v>
      </c>
      <c r="N5239">
        <v>104180</v>
      </c>
      <c r="O5239" t="s">
        <v>5257</v>
      </c>
      <c r="P5239" s="9">
        <v>212449</v>
      </c>
      <c r="Q5239" s="9">
        <v>21441</v>
      </c>
      <c r="R5239" s="9">
        <v>233890</v>
      </c>
      <c r="S5239" s="9">
        <v>-58388</v>
      </c>
      <c r="T5239" s="10">
        <v>115775</v>
      </c>
      <c r="U5239" s="10">
        <v>2803</v>
      </c>
    </row>
    <row r="5240" spans="1:21" x14ac:dyDescent="0.35">
      <c r="A5240" t="s">
        <v>15</v>
      </c>
      <c r="B5240" t="s">
        <v>16</v>
      </c>
      <c r="C5240" t="s">
        <v>21</v>
      </c>
      <c r="D5240">
        <v>171769</v>
      </c>
      <c r="E5240">
        <v>9893</v>
      </c>
      <c r="F5240">
        <v>31154</v>
      </c>
      <c r="G5240">
        <v>-138926</v>
      </c>
      <c r="H5240">
        <v>73890</v>
      </c>
      <c r="I5240">
        <v>70300</v>
      </c>
      <c r="J5240">
        <v>2030</v>
      </c>
      <c r="K5240">
        <v>499006</v>
      </c>
      <c r="L5240">
        <v>240608</v>
      </c>
      <c r="M5240">
        <v>-157020</v>
      </c>
      <c r="N5240">
        <v>141877</v>
      </c>
      <c r="O5240" t="s">
        <v>5258</v>
      </c>
      <c r="P5240" s="9">
        <v>171807</v>
      </c>
      <c r="Q5240" s="9">
        <v>24837</v>
      </c>
      <c r="R5240" s="9">
        <v>196644</v>
      </c>
      <c r="S5240" s="9">
        <v>-97620</v>
      </c>
      <c r="T5240" s="10">
        <v>68509</v>
      </c>
      <c r="U5240" s="10">
        <v>1436</v>
      </c>
    </row>
    <row r="5241" spans="1:21" x14ac:dyDescent="0.35">
      <c r="A5241" t="s">
        <v>15</v>
      </c>
      <c r="B5241" t="s">
        <v>20</v>
      </c>
      <c r="C5241" t="s">
        <v>21</v>
      </c>
      <c r="D5241">
        <v>218614</v>
      </c>
      <c r="E5241">
        <v>29752</v>
      </c>
      <c r="F5241">
        <v>50851</v>
      </c>
      <c r="G5241">
        <v>-216299</v>
      </c>
      <c r="H5241">
        <v>82918</v>
      </c>
      <c r="I5241">
        <v>82522</v>
      </c>
      <c r="J5241">
        <v>1535</v>
      </c>
      <c r="K5241">
        <v>604696</v>
      </c>
      <c r="L5241">
        <v>183693</v>
      </c>
      <c r="M5241">
        <v>-196172</v>
      </c>
      <c r="N5241">
        <v>138585</v>
      </c>
      <c r="O5241" t="s">
        <v>5259</v>
      </c>
      <c r="P5241" s="9">
        <v>194397</v>
      </c>
      <c r="Q5241" s="9">
        <v>40459</v>
      </c>
      <c r="R5241" s="9">
        <v>234856</v>
      </c>
      <c r="S5241" s="9">
        <v>-64175</v>
      </c>
      <c r="T5241" s="10">
        <v>94043</v>
      </c>
      <c r="U5241" s="10">
        <v>2819</v>
      </c>
    </row>
    <row r="5242" spans="1:21" x14ac:dyDescent="0.35">
      <c r="A5242" t="s">
        <v>15</v>
      </c>
      <c r="B5242" t="s">
        <v>20</v>
      </c>
      <c r="C5242" t="s">
        <v>17</v>
      </c>
      <c r="D5242">
        <v>287682</v>
      </c>
      <c r="E5242">
        <v>29718</v>
      </c>
      <c r="F5242">
        <v>32344</v>
      </c>
      <c r="G5242">
        <v>-238486</v>
      </c>
      <c r="H5242">
        <v>111258</v>
      </c>
      <c r="I5242">
        <v>101579</v>
      </c>
      <c r="J5242">
        <v>2173</v>
      </c>
      <c r="K5242">
        <v>820549</v>
      </c>
      <c r="L5242">
        <v>189985</v>
      </c>
      <c r="M5242">
        <v>-320760</v>
      </c>
      <c r="N5242">
        <v>191093</v>
      </c>
      <c r="O5242" t="s">
        <v>5260</v>
      </c>
      <c r="P5242" s="9">
        <v>283934</v>
      </c>
      <c r="Q5242" s="9">
        <v>47026</v>
      </c>
      <c r="R5242" s="9">
        <v>330960</v>
      </c>
      <c r="S5242" s="9">
        <v>-197697</v>
      </c>
      <c r="T5242" s="10">
        <v>116103</v>
      </c>
      <c r="U5242" s="10">
        <v>2645</v>
      </c>
    </row>
    <row r="5243" spans="1:21" x14ac:dyDescent="0.35">
      <c r="A5243" t="s">
        <v>15</v>
      </c>
      <c r="B5243" t="s">
        <v>16</v>
      </c>
      <c r="C5243" t="s">
        <v>21</v>
      </c>
      <c r="D5243">
        <v>151936</v>
      </c>
      <c r="E5243">
        <v>23487</v>
      </c>
      <c r="F5243">
        <v>30415</v>
      </c>
      <c r="G5243">
        <v>-126011</v>
      </c>
      <c r="H5243">
        <v>79827</v>
      </c>
      <c r="I5243">
        <v>72049</v>
      </c>
      <c r="J5243">
        <v>1105</v>
      </c>
      <c r="K5243">
        <v>429588</v>
      </c>
      <c r="L5243">
        <v>116062</v>
      </c>
      <c r="M5243">
        <v>-154576</v>
      </c>
      <c r="N5243">
        <v>111362</v>
      </c>
      <c r="O5243" t="s">
        <v>5261</v>
      </c>
      <c r="P5243" s="9">
        <v>160169</v>
      </c>
      <c r="Q5243" s="9">
        <v>15849</v>
      </c>
      <c r="R5243" s="9">
        <v>176018</v>
      </c>
      <c r="S5243" s="9">
        <v>-56452</v>
      </c>
      <c r="T5243" s="10">
        <v>52357</v>
      </c>
      <c r="U5243" s="10">
        <v>568</v>
      </c>
    </row>
    <row r="5244" spans="1:21" x14ac:dyDescent="0.35">
      <c r="A5244" t="s">
        <v>15</v>
      </c>
      <c r="B5244" t="s">
        <v>16</v>
      </c>
      <c r="C5244" t="s">
        <v>17</v>
      </c>
      <c r="D5244">
        <v>175331</v>
      </c>
      <c r="E5244">
        <v>11583</v>
      </c>
      <c r="F5244">
        <v>39084</v>
      </c>
      <c r="G5244">
        <v>-161673</v>
      </c>
      <c r="H5244">
        <v>64325</v>
      </c>
      <c r="I5244">
        <v>62192</v>
      </c>
      <c r="J5244">
        <v>1567</v>
      </c>
      <c r="K5244">
        <v>399078</v>
      </c>
      <c r="L5244">
        <v>85186</v>
      </c>
      <c r="M5244">
        <v>-54199</v>
      </c>
      <c r="N5244">
        <v>90247</v>
      </c>
      <c r="O5244" t="s">
        <v>5262</v>
      </c>
      <c r="P5244" s="9">
        <v>197194</v>
      </c>
      <c r="Q5244" s="9">
        <v>17024</v>
      </c>
      <c r="R5244" s="9">
        <v>214218</v>
      </c>
      <c r="S5244" s="9">
        <v>-76584</v>
      </c>
      <c r="T5244" s="10">
        <v>62775</v>
      </c>
      <c r="U5244" s="10">
        <v>1479</v>
      </c>
    </row>
    <row r="5245" spans="1:21" x14ac:dyDescent="0.35">
      <c r="A5245" t="s">
        <v>15</v>
      </c>
      <c r="B5245" t="s">
        <v>16</v>
      </c>
      <c r="C5245" t="s">
        <v>17</v>
      </c>
      <c r="D5245">
        <v>162990</v>
      </c>
      <c r="E5245">
        <v>31725</v>
      </c>
      <c r="F5245">
        <v>23130</v>
      </c>
      <c r="G5245">
        <v>-133559</v>
      </c>
      <c r="H5245">
        <v>84286</v>
      </c>
      <c r="I5245">
        <v>77470</v>
      </c>
      <c r="J5245">
        <v>1343</v>
      </c>
      <c r="K5245">
        <v>505818</v>
      </c>
      <c r="L5245">
        <v>65714</v>
      </c>
      <c r="M5245">
        <v>-114611</v>
      </c>
      <c r="N5245">
        <v>73755</v>
      </c>
      <c r="O5245" t="s">
        <v>5263</v>
      </c>
      <c r="P5245" s="9">
        <v>178951</v>
      </c>
      <c r="Q5245" s="9">
        <v>22620</v>
      </c>
      <c r="R5245" s="9">
        <v>201571</v>
      </c>
      <c r="S5245" s="9">
        <v>-82941</v>
      </c>
      <c r="T5245" s="10">
        <v>68433</v>
      </c>
      <c r="U5245" s="10">
        <v>1062</v>
      </c>
    </row>
    <row r="5246" spans="1:21" x14ac:dyDescent="0.35">
      <c r="A5246" t="s">
        <v>15</v>
      </c>
      <c r="B5246" t="s">
        <v>16</v>
      </c>
      <c r="C5246" t="s">
        <v>17</v>
      </c>
      <c r="D5246">
        <v>283854</v>
      </c>
      <c r="E5246">
        <v>43876</v>
      </c>
      <c r="F5246">
        <v>40590</v>
      </c>
      <c r="G5246">
        <v>-264819</v>
      </c>
      <c r="H5246">
        <v>103501</v>
      </c>
      <c r="I5246">
        <v>102549</v>
      </c>
      <c r="J5246">
        <v>1379</v>
      </c>
      <c r="K5246">
        <v>1033987</v>
      </c>
      <c r="L5246">
        <v>223719</v>
      </c>
      <c r="M5246">
        <v>-224733</v>
      </c>
      <c r="N5246">
        <v>151660</v>
      </c>
      <c r="O5246" t="s">
        <v>5264</v>
      </c>
      <c r="P5246" s="9">
        <v>281401</v>
      </c>
      <c r="Q5246" s="9">
        <v>63619</v>
      </c>
      <c r="R5246" s="9">
        <v>345020</v>
      </c>
      <c r="S5246" s="9">
        <v>-73028</v>
      </c>
      <c r="T5246" s="10">
        <v>173263</v>
      </c>
      <c r="U5246" s="10">
        <v>1982</v>
      </c>
    </row>
    <row r="5247" spans="1:21" x14ac:dyDescent="0.35">
      <c r="A5247" t="s">
        <v>15</v>
      </c>
      <c r="B5247" t="s">
        <v>16</v>
      </c>
      <c r="C5247" t="s">
        <v>21</v>
      </c>
      <c r="D5247">
        <v>262496</v>
      </c>
      <c r="E5247">
        <v>30287</v>
      </c>
      <c r="F5247">
        <v>41311</v>
      </c>
      <c r="G5247">
        <v>-240028</v>
      </c>
      <c r="H5247">
        <v>94066</v>
      </c>
      <c r="I5247">
        <v>98362</v>
      </c>
      <c r="J5247">
        <v>1513</v>
      </c>
      <c r="K5247">
        <v>934628</v>
      </c>
      <c r="L5247">
        <v>224269</v>
      </c>
      <c r="M5247">
        <v>-277327</v>
      </c>
      <c r="N5247">
        <v>135060</v>
      </c>
      <c r="O5247" t="s">
        <v>5265</v>
      </c>
      <c r="P5247" s="9">
        <v>150600</v>
      </c>
      <c r="Q5247" s="9">
        <v>11943</v>
      </c>
      <c r="R5247" s="9">
        <v>162543</v>
      </c>
      <c r="S5247" s="9">
        <v>-65045</v>
      </c>
      <c r="T5247" s="10">
        <v>54655</v>
      </c>
      <c r="U5247" s="10">
        <v>630</v>
      </c>
    </row>
    <row r="5248" spans="1:21" x14ac:dyDescent="0.35">
      <c r="A5248" t="s">
        <v>15</v>
      </c>
      <c r="B5248" t="s">
        <v>16</v>
      </c>
      <c r="C5248" t="s">
        <v>21</v>
      </c>
      <c r="D5248">
        <v>241199</v>
      </c>
      <c r="E5248">
        <v>30053</v>
      </c>
      <c r="F5248">
        <v>46083</v>
      </c>
      <c r="G5248">
        <v>-233492</v>
      </c>
      <c r="H5248">
        <v>83843</v>
      </c>
      <c r="I5248">
        <v>76505</v>
      </c>
      <c r="J5248">
        <v>771</v>
      </c>
      <c r="K5248">
        <v>636050</v>
      </c>
      <c r="L5248">
        <v>139452</v>
      </c>
      <c r="M5248">
        <v>-191973</v>
      </c>
      <c r="N5248">
        <v>174478</v>
      </c>
      <c r="O5248" t="s">
        <v>5266</v>
      </c>
      <c r="P5248" s="9">
        <v>207632</v>
      </c>
      <c r="Q5248" s="9">
        <v>23684</v>
      </c>
      <c r="R5248" s="9">
        <v>231316</v>
      </c>
      <c r="S5248" s="9">
        <v>-123229</v>
      </c>
      <c r="T5248" s="10">
        <v>109022</v>
      </c>
      <c r="U5248" s="10">
        <v>1881</v>
      </c>
    </row>
    <row r="5249" spans="1:21" x14ac:dyDescent="0.35">
      <c r="A5249" t="s">
        <v>15</v>
      </c>
      <c r="B5249" t="s">
        <v>20</v>
      </c>
      <c r="C5249" t="s">
        <v>21</v>
      </c>
      <c r="D5249">
        <v>247252</v>
      </c>
      <c r="E5249">
        <v>24893</v>
      </c>
      <c r="F5249">
        <v>28905</v>
      </c>
      <c r="G5249">
        <v>-233191</v>
      </c>
      <c r="H5249">
        <v>67859</v>
      </c>
      <c r="I5249">
        <v>65175</v>
      </c>
      <c r="J5249">
        <v>1366</v>
      </c>
      <c r="K5249">
        <v>884447</v>
      </c>
      <c r="L5249">
        <v>346269</v>
      </c>
      <c r="M5249">
        <v>-279634</v>
      </c>
      <c r="N5249">
        <v>155589</v>
      </c>
      <c r="O5249" t="s">
        <v>5267</v>
      </c>
      <c r="P5249" s="9">
        <v>276213</v>
      </c>
      <c r="Q5249" s="9">
        <v>15521</v>
      </c>
      <c r="R5249" s="9">
        <v>291734</v>
      </c>
      <c r="S5249" s="9">
        <v>-84077</v>
      </c>
      <c r="T5249" s="10">
        <v>104863</v>
      </c>
      <c r="U5249" s="10">
        <v>2170</v>
      </c>
    </row>
    <row r="5250" spans="1:21" x14ac:dyDescent="0.35">
      <c r="A5250" t="s">
        <v>15</v>
      </c>
      <c r="B5250" t="s">
        <v>16</v>
      </c>
      <c r="C5250" t="s">
        <v>21</v>
      </c>
      <c r="D5250">
        <v>151326</v>
      </c>
      <c r="E5250">
        <v>25632</v>
      </c>
      <c r="F5250">
        <v>25074</v>
      </c>
      <c r="G5250">
        <v>-125504</v>
      </c>
      <c r="H5250">
        <v>76528</v>
      </c>
      <c r="I5250">
        <v>77210</v>
      </c>
      <c r="J5250">
        <v>952</v>
      </c>
      <c r="K5250">
        <v>564068</v>
      </c>
      <c r="L5250">
        <v>135636</v>
      </c>
      <c r="M5250">
        <v>-124261</v>
      </c>
      <c r="N5250">
        <v>98802</v>
      </c>
      <c r="O5250" t="s">
        <v>5268</v>
      </c>
      <c r="P5250" s="9">
        <v>145309</v>
      </c>
      <c r="Q5250" s="9">
        <v>20466</v>
      </c>
      <c r="R5250" s="9">
        <v>165775</v>
      </c>
      <c r="S5250" s="9">
        <v>-38813</v>
      </c>
      <c r="T5250" s="10">
        <v>80406</v>
      </c>
      <c r="U5250" s="10">
        <v>2191</v>
      </c>
    </row>
    <row r="5251" spans="1:21" x14ac:dyDescent="0.35">
      <c r="A5251" t="s">
        <v>15</v>
      </c>
      <c r="B5251" t="s">
        <v>20</v>
      </c>
      <c r="C5251" t="s">
        <v>21</v>
      </c>
      <c r="D5251">
        <v>190630</v>
      </c>
      <c r="E5251">
        <v>13418</v>
      </c>
      <c r="F5251">
        <v>33390</v>
      </c>
      <c r="G5251">
        <v>-157801</v>
      </c>
      <c r="H5251">
        <v>79637</v>
      </c>
      <c r="I5251">
        <v>72119</v>
      </c>
      <c r="J5251">
        <v>1580</v>
      </c>
      <c r="K5251">
        <v>750299</v>
      </c>
      <c r="L5251">
        <v>172899</v>
      </c>
      <c r="M5251">
        <v>-293021</v>
      </c>
      <c r="N5251">
        <v>123354</v>
      </c>
      <c r="O5251" t="s">
        <v>5269</v>
      </c>
      <c r="P5251" s="9">
        <v>173008</v>
      </c>
      <c r="Q5251" s="9">
        <v>23589</v>
      </c>
      <c r="R5251" s="9">
        <v>196597</v>
      </c>
      <c r="S5251" s="9">
        <v>-58855</v>
      </c>
      <c r="T5251" s="10">
        <v>66173</v>
      </c>
      <c r="U5251" s="10">
        <v>903</v>
      </c>
    </row>
    <row r="5252" spans="1:21" x14ac:dyDescent="0.35">
      <c r="A5252" t="s">
        <v>15</v>
      </c>
      <c r="B5252" t="s">
        <v>20</v>
      </c>
      <c r="C5252" t="s">
        <v>21</v>
      </c>
      <c r="D5252">
        <v>196489</v>
      </c>
      <c r="E5252">
        <v>39261</v>
      </c>
      <c r="F5252">
        <v>39615</v>
      </c>
      <c r="G5252">
        <v>-186676</v>
      </c>
      <c r="H5252">
        <v>88689</v>
      </c>
      <c r="I5252">
        <v>87250</v>
      </c>
      <c r="J5252">
        <v>1561</v>
      </c>
      <c r="K5252">
        <v>495787</v>
      </c>
      <c r="L5252">
        <v>212931</v>
      </c>
      <c r="M5252">
        <v>-66702</v>
      </c>
      <c r="N5252">
        <v>105833</v>
      </c>
      <c r="O5252" t="s">
        <v>5270</v>
      </c>
      <c r="P5252" s="9">
        <v>244998</v>
      </c>
      <c r="Q5252" s="9">
        <v>38427</v>
      </c>
      <c r="R5252" s="9">
        <v>283425</v>
      </c>
      <c r="S5252" s="9">
        <v>-119278</v>
      </c>
      <c r="T5252" s="10">
        <v>113855</v>
      </c>
      <c r="U5252" s="10">
        <v>2683</v>
      </c>
    </row>
    <row r="5253" spans="1:21" x14ac:dyDescent="0.35">
      <c r="A5253" t="s">
        <v>15</v>
      </c>
      <c r="B5253" t="s">
        <v>16</v>
      </c>
      <c r="C5253" t="s">
        <v>21</v>
      </c>
      <c r="D5253">
        <v>219174</v>
      </c>
      <c r="E5253">
        <v>19134</v>
      </c>
      <c r="F5253">
        <v>46051</v>
      </c>
      <c r="G5253">
        <v>-191398</v>
      </c>
      <c r="H5253">
        <v>92961</v>
      </c>
      <c r="I5253">
        <v>96316</v>
      </c>
      <c r="J5253">
        <v>2250</v>
      </c>
      <c r="K5253">
        <v>465479</v>
      </c>
      <c r="L5253">
        <v>113474</v>
      </c>
      <c r="M5253">
        <v>-62337</v>
      </c>
      <c r="N5253">
        <v>114992</v>
      </c>
      <c r="O5253" t="s">
        <v>5271</v>
      </c>
      <c r="P5253" s="9">
        <v>246434</v>
      </c>
      <c r="Q5253" s="9">
        <v>18915</v>
      </c>
      <c r="R5253" s="9">
        <v>265349</v>
      </c>
      <c r="S5253" s="9">
        <v>-96276</v>
      </c>
      <c r="T5253" s="10">
        <v>99240</v>
      </c>
      <c r="U5253" s="10">
        <v>2043</v>
      </c>
    </row>
    <row r="5254" spans="1:21" x14ac:dyDescent="0.35">
      <c r="A5254" t="s">
        <v>15</v>
      </c>
      <c r="B5254" t="s">
        <v>16</v>
      </c>
      <c r="C5254" t="s">
        <v>17</v>
      </c>
      <c r="D5254">
        <v>223022</v>
      </c>
      <c r="E5254">
        <v>37282</v>
      </c>
      <c r="F5254">
        <v>40069</v>
      </c>
      <c r="G5254">
        <v>-202060</v>
      </c>
      <c r="H5254">
        <v>98313</v>
      </c>
      <c r="I5254">
        <v>100688</v>
      </c>
      <c r="J5254">
        <v>2190</v>
      </c>
      <c r="K5254">
        <v>517853</v>
      </c>
      <c r="L5254">
        <v>121047</v>
      </c>
      <c r="M5254">
        <v>-172406</v>
      </c>
      <c r="N5254">
        <v>70328</v>
      </c>
      <c r="O5254" t="s">
        <v>5272</v>
      </c>
      <c r="P5254" s="9">
        <v>148709</v>
      </c>
      <c r="Q5254" s="9">
        <v>15890</v>
      </c>
      <c r="R5254" s="9">
        <v>164599</v>
      </c>
      <c r="S5254" s="9">
        <v>-76337</v>
      </c>
      <c r="T5254" s="10">
        <v>46462</v>
      </c>
      <c r="U5254" s="10">
        <v>577</v>
      </c>
    </row>
    <row r="5255" spans="1:21" x14ac:dyDescent="0.35">
      <c r="A5255" t="s">
        <v>15</v>
      </c>
      <c r="B5255" t="s">
        <v>16</v>
      </c>
      <c r="C5255" t="s">
        <v>21</v>
      </c>
      <c r="D5255">
        <v>191615</v>
      </c>
      <c r="E5255">
        <v>29051</v>
      </c>
      <c r="F5255">
        <v>38278</v>
      </c>
      <c r="G5255">
        <v>-172067</v>
      </c>
      <c r="H5255">
        <v>86877</v>
      </c>
      <c r="I5255">
        <v>80362</v>
      </c>
      <c r="J5255">
        <v>856</v>
      </c>
      <c r="K5255">
        <v>706152</v>
      </c>
      <c r="L5255">
        <v>162990</v>
      </c>
      <c r="M5255">
        <v>-266969</v>
      </c>
      <c r="N5255">
        <v>104003</v>
      </c>
      <c r="O5255" t="s">
        <v>5273</v>
      </c>
      <c r="P5255" s="9">
        <v>233498</v>
      </c>
      <c r="Q5255" s="9">
        <v>16637</v>
      </c>
      <c r="R5255" s="9">
        <v>250135</v>
      </c>
      <c r="S5255" s="9">
        <v>-64865</v>
      </c>
      <c r="T5255" s="10">
        <v>82265</v>
      </c>
      <c r="U5255" s="10">
        <v>2300</v>
      </c>
    </row>
    <row r="5256" spans="1:21" x14ac:dyDescent="0.35">
      <c r="A5256" t="s">
        <v>15</v>
      </c>
      <c r="B5256" t="s">
        <v>16</v>
      </c>
      <c r="C5256" t="s">
        <v>21</v>
      </c>
      <c r="D5256">
        <v>282124</v>
      </c>
      <c r="E5256">
        <v>47855</v>
      </c>
      <c r="F5256">
        <v>68023</v>
      </c>
      <c r="G5256">
        <v>-279069</v>
      </c>
      <c r="H5256">
        <v>118933</v>
      </c>
      <c r="I5256">
        <v>123321</v>
      </c>
      <c r="J5256">
        <v>2006</v>
      </c>
      <c r="K5256">
        <v>728193</v>
      </c>
      <c r="L5256">
        <v>151911</v>
      </c>
      <c r="M5256">
        <v>-221817</v>
      </c>
      <c r="N5256">
        <v>88419</v>
      </c>
      <c r="O5256" t="s">
        <v>5274</v>
      </c>
      <c r="P5256" s="9">
        <v>187430</v>
      </c>
      <c r="Q5256" s="9">
        <v>28536</v>
      </c>
      <c r="R5256" s="9">
        <v>215966</v>
      </c>
      <c r="S5256" s="9">
        <v>-94655</v>
      </c>
      <c r="T5256" s="10">
        <v>86057</v>
      </c>
      <c r="U5256" s="10">
        <v>1583</v>
      </c>
    </row>
    <row r="5257" spans="1:21" x14ac:dyDescent="0.35">
      <c r="A5257" t="s">
        <v>15</v>
      </c>
      <c r="B5257" t="s">
        <v>16</v>
      </c>
      <c r="C5257" t="s">
        <v>17</v>
      </c>
      <c r="D5257">
        <v>294234</v>
      </c>
      <c r="E5257">
        <v>29976</v>
      </c>
      <c r="F5257">
        <v>53181</v>
      </c>
      <c r="G5257">
        <v>-240344</v>
      </c>
      <c r="H5257">
        <v>137047</v>
      </c>
      <c r="I5257">
        <v>126325</v>
      </c>
      <c r="J5257">
        <v>3017</v>
      </c>
      <c r="K5257">
        <v>1004284</v>
      </c>
      <c r="L5257">
        <v>269921</v>
      </c>
      <c r="M5257">
        <v>-339147</v>
      </c>
      <c r="N5257">
        <v>221955</v>
      </c>
      <c r="O5257" t="s">
        <v>5275</v>
      </c>
      <c r="P5257" s="9">
        <v>196352</v>
      </c>
      <c r="Q5257" s="9">
        <v>22830</v>
      </c>
      <c r="R5257" s="9">
        <v>219182</v>
      </c>
      <c r="S5257" s="9">
        <v>-76191</v>
      </c>
      <c r="T5257" s="10">
        <v>72031</v>
      </c>
      <c r="U5257" s="10">
        <v>1431</v>
      </c>
    </row>
    <row r="5258" spans="1:21" x14ac:dyDescent="0.35">
      <c r="A5258" t="s">
        <v>15</v>
      </c>
      <c r="B5258" t="s">
        <v>16</v>
      </c>
      <c r="C5258" t="s">
        <v>17</v>
      </c>
      <c r="D5258">
        <v>202028</v>
      </c>
      <c r="E5258">
        <v>31228</v>
      </c>
      <c r="F5258">
        <v>48004</v>
      </c>
      <c r="G5258">
        <v>-188856</v>
      </c>
      <c r="H5258">
        <v>92404</v>
      </c>
      <c r="I5258">
        <v>85045</v>
      </c>
      <c r="J5258">
        <v>1760</v>
      </c>
      <c r="K5258">
        <v>773474</v>
      </c>
      <c r="L5258">
        <v>316833</v>
      </c>
      <c r="M5258">
        <v>-209312</v>
      </c>
      <c r="N5258">
        <v>128298</v>
      </c>
      <c r="O5258" t="s">
        <v>5276</v>
      </c>
      <c r="P5258" s="9">
        <v>251713</v>
      </c>
      <c r="Q5258" s="9">
        <v>20554</v>
      </c>
      <c r="R5258" s="9">
        <v>272267</v>
      </c>
      <c r="S5258" s="9">
        <v>-147014</v>
      </c>
      <c r="T5258" s="10">
        <v>86092</v>
      </c>
      <c r="U5258" s="10">
        <v>1263</v>
      </c>
    </row>
    <row r="5259" spans="1:21" x14ac:dyDescent="0.35">
      <c r="A5259" t="s">
        <v>15</v>
      </c>
      <c r="B5259" t="s">
        <v>20</v>
      </c>
      <c r="C5259" t="s">
        <v>21</v>
      </c>
      <c r="D5259">
        <v>268139</v>
      </c>
      <c r="E5259">
        <v>20403</v>
      </c>
      <c r="F5259">
        <v>56618</v>
      </c>
      <c r="G5259">
        <v>-223072</v>
      </c>
      <c r="H5259">
        <v>122088</v>
      </c>
      <c r="I5259">
        <v>120509</v>
      </c>
      <c r="J5259">
        <v>3601</v>
      </c>
      <c r="K5259">
        <v>977823</v>
      </c>
      <c r="L5259">
        <v>158592</v>
      </c>
      <c r="M5259">
        <v>-314142</v>
      </c>
      <c r="N5259">
        <v>194107</v>
      </c>
      <c r="O5259" t="s">
        <v>5277</v>
      </c>
      <c r="P5259" s="9">
        <v>245902</v>
      </c>
      <c r="Q5259" s="9">
        <v>20715</v>
      </c>
      <c r="R5259" s="9">
        <v>266617</v>
      </c>
      <c r="S5259" s="9">
        <v>-63554</v>
      </c>
      <c r="T5259" s="10">
        <v>104842</v>
      </c>
      <c r="U5259" s="10">
        <v>1210</v>
      </c>
    </row>
    <row r="5260" spans="1:21" x14ac:dyDescent="0.35">
      <c r="A5260" t="s">
        <v>15</v>
      </c>
      <c r="B5260" t="s">
        <v>20</v>
      </c>
      <c r="C5260" t="s">
        <v>17</v>
      </c>
      <c r="D5260">
        <v>215429</v>
      </c>
      <c r="E5260">
        <v>29305</v>
      </c>
      <c r="F5260">
        <v>25165</v>
      </c>
      <c r="G5260">
        <v>-183271</v>
      </c>
      <c r="H5260">
        <v>86628</v>
      </c>
      <c r="I5260">
        <v>85210</v>
      </c>
      <c r="J5260">
        <v>1685</v>
      </c>
      <c r="K5260">
        <v>739387</v>
      </c>
      <c r="L5260">
        <v>319888</v>
      </c>
      <c r="M5260">
        <v>-188249</v>
      </c>
      <c r="N5260">
        <v>161595</v>
      </c>
      <c r="O5260" t="s">
        <v>5278</v>
      </c>
      <c r="P5260" s="9">
        <v>139167</v>
      </c>
      <c r="Q5260" s="9">
        <v>26046</v>
      </c>
      <c r="R5260" s="9">
        <v>165213</v>
      </c>
      <c r="S5260" s="9">
        <v>-97434</v>
      </c>
      <c r="T5260" s="10">
        <v>48742</v>
      </c>
      <c r="U5260" s="10">
        <v>1327</v>
      </c>
    </row>
    <row r="5261" spans="1:21" x14ac:dyDescent="0.35">
      <c r="A5261" t="s">
        <v>15</v>
      </c>
      <c r="B5261" t="s">
        <v>20</v>
      </c>
      <c r="C5261" t="s">
        <v>21</v>
      </c>
      <c r="D5261">
        <v>254736</v>
      </c>
      <c r="E5261">
        <v>17930</v>
      </c>
      <c r="F5261">
        <v>49667</v>
      </c>
      <c r="G5261">
        <v>-207733</v>
      </c>
      <c r="H5261">
        <v>114600</v>
      </c>
      <c r="I5261">
        <v>114330</v>
      </c>
      <c r="J5261">
        <v>1306</v>
      </c>
      <c r="K5261">
        <v>631588</v>
      </c>
      <c r="L5261">
        <v>178864</v>
      </c>
      <c r="M5261">
        <v>-69846</v>
      </c>
      <c r="N5261">
        <v>78304</v>
      </c>
      <c r="O5261" t="s">
        <v>5279</v>
      </c>
      <c r="P5261" s="9">
        <v>262067</v>
      </c>
      <c r="Q5261" s="9">
        <v>38572</v>
      </c>
      <c r="R5261" s="9">
        <v>300639</v>
      </c>
      <c r="S5261" s="9">
        <v>-134560</v>
      </c>
      <c r="T5261" s="10">
        <v>116032</v>
      </c>
      <c r="U5261" s="10">
        <v>2478</v>
      </c>
    </row>
    <row r="5262" spans="1:21" x14ac:dyDescent="0.35">
      <c r="A5262" t="s">
        <v>15</v>
      </c>
      <c r="B5262" t="s">
        <v>16</v>
      </c>
      <c r="C5262" t="s">
        <v>21</v>
      </c>
      <c r="D5262">
        <v>202848</v>
      </c>
      <c r="E5262">
        <v>39184</v>
      </c>
      <c r="F5262">
        <v>30773</v>
      </c>
      <c r="G5262">
        <v>-169621</v>
      </c>
      <c r="H5262">
        <v>103184</v>
      </c>
      <c r="I5262">
        <v>108300</v>
      </c>
      <c r="J5262">
        <v>2986</v>
      </c>
      <c r="K5262">
        <v>655491</v>
      </c>
      <c r="L5262">
        <v>207637</v>
      </c>
      <c r="M5262">
        <v>-75348</v>
      </c>
      <c r="N5262">
        <v>153535</v>
      </c>
      <c r="O5262" t="s">
        <v>5280</v>
      </c>
      <c r="P5262" s="9">
        <v>167810</v>
      </c>
      <c r="Q5262" s="9">
        <v>25862</v>
      </c>
      <c r="R5262" s="9">
        <v>193672</v>
      </c>
      <c r="S5262" s="9">
        <v>-83167</v>
      </c>
      <c r="T5262" s="10">
        <v>84568</v>
      </c>
      <c r="U5262" s="10">
        <v>2082</v>
      </c>
    </row>
    <row r="5263" spans="1:21" x14ac:dyDescent="0.35">
      <c r="A5263" t="s">
        <v>15</v>
      </c>
      <c r="B5263" t="s">
        <v>16</v>
      </c>
      <c r="C5263" t="s">
        <v>17</v>
      </c>
      <c r="D5263">
        <v>259572</v>
      </c>
      <c r="E5263">
        <v>49820</v>
      </c>
      <c r="F5263">
        <v>63764</v>
      </c>
      <c r="G5263">
        <v>-225625</v>
      </c>
      <c r="H5263">
        <v>147531</v>
      </c>
      <c r="I5263">
        <v>140991</v>
      </c>
      <c r="J5263">
        <v>1464</v>
      </c>
      <c r="K5263">
        <v>695134</v>
      </c>
      <c r="L5263">
        <v>116585</v>
      </c>
      <c r="M5263">
        <v>-126729</v>
      </c>
      <c r="N5263">
        <v>127292</v>
      </c>
      <c r="O5263" t="s">
        <v>5281</v>
      </c>
      <c r="P5263" s="9">
        <v>256494</v>
      </c>
      <c r="Q5263" s="9">
        <v>46945</v>
      </c>
      <c r="R5263" s="9">
        <v>303439</v>
      </c>
      <c r="S5263" s="9">
        <v>-134951</v>
      </c>
      <c r="T5263" s="10">
        <v>120656</v>
      </c>
      <c r="U5263" s="10">
        <v>1792</v>
      </c>
    </row>
    <row r="5264" spans="1:21" x14ac:dyDescent="0.35">
      <c r="A5264" t="s">
        <v>15</v>
      </c>
      <c r="B5264" t="s">
        <v>16</v>
      </c>
      <c r="C5264" t="s">
        <v>21</v>
      </c>
      <c r="D5264">
        <v>248922</v>
      </c>
      <c r="E5264">
        <v>36086</v>
      </c>
      <c r="F5264">
        <v>25419</v>
      </c>
      <c r="G5264">
        <v>-233874</v>
      </c>
      <c r="H5264">
        <v>76553</v>
      </c>
      <c r="I5264">
        <v>77482</v>
      </c>
      <c r="J5264">
        <v>975</v>
      </c>
      <c r="K5264">
        <v>598024</v>
      </c>
      <c r="L5264">
        <v>92206</v>
      </c>
      <c r="M5264">
        <v>-178509</v>
      </c>
      <c r="N5264">
        <v>116305</v>
      </c>
      <c r="O5264" t="s">
        <v>5282</v>
      </c>
      <c r="P5264" s="9">
        <v>182836</v>
      </c>
      <c r="Q5264" s="9">
        <v>21128</v>
      </c>
      <c r="R5264" s="9">
        <v>203964</v>
      </c>
      <c r="S5264" s="9">
        <v>-53964</v>
      </c>
      <c r="T5264" s="10">
        <v>78697</v>
      </c>
      <c r="U5264" s="10">
        <v>981</v>
      </c>
    </row>
    <row r="5265" spans="1:21" x14ac:dyDescent="0.35">
      <c r="A5265" t="s">
        <v>15</v>
      </c>
      <c r="B5265" t="s">
        <v>20</v>
      </c>
      <c r="C5265" t="s">
        <v>21</v>
      </c>
      <c r="D5265">
        <v>229463</v>
      </c>
      <c r="E5265">
        <v>13520</v>
      </c>
      <c r="F5265">
        <v>42941</v>
      </c>
      <c r="G5265">
        <v>-196242</v>
      </c>
      <c r="H5265">
        <v>89682</v>
      </c>
      <c r="I5265">
        <v>87350</v>
      </c>
      <c r="J5265">
        <v>1987</v>
      </c>
      <c r="K5265">
        <v>758524</v>
      </c>
      <c r="L5265">
        <v>378284</v>
      </c>
      <c r="M5265">
        <v>-115900</v>
      </c>
      <c r="N5265">
        <v>146349</v>
      </c>
      <c r="O5265" t="s">
        <v>5283</v>
      </c>
      <c r="P5265" s="9">
        <v>162920</v>
      </c>
      <c r="Q5265" s="9">
        <v>22519</v>
      </c>
      <c r="R5265" s="9">
        <v>185439</v>
      </c>
      <c r="S5265" s="9">
        <v>-102716</v>
      </c>
      <c r="T5265" s="10">
        <v>75598</v>
      </c>
      <c r="U5265" s="10">
        <v>1234</v>
      </c>
    </row>
    <row r="5266" spans="1:21" x14ac:dyDescent="0.35">
      <c r="A5266" t="s">
        <v>15</v>
      </c>
      <c r="B5266" t="s">
        <v>20</v>
      </c>
      <c r="C5266" t="s">
        <v>17</v>
      </c>
      <c r="D5266">
        <v>157198</v>
      </c>
      <c r="E5266">
        <v>13538</v>
      </c>
      <c r="F5266">
        <v>19690</v>
      </c>
      <c r="G5266">
        <v>-136199</v>
      </c>
      <c r="H5266">
        <v>54227</v>
      </c>
      <c r="I5266">
        <v>53727</v>
      </c>
      <c r="J5266">
        <v>1421</v>
      </c>
      <c r="K5266">
        <v>506129</v>
      </c>
      <c r="L5266">
        <v>192261</v>
      </c>
      <c r="M5266">
        <v>-61822</v>
      </c>
      <c r="N5266">
        <v>79831</v>
      </c>
      <c r="O5266" t="s">
        <v>5284</v>
      </c>
      <c r="P5266" s="9">
        <v>296481</v>
      </c>
      <c r="Q5266" s="9">
        <v>50934</v>
      </c>
      <c r="R5266" s="9">
        <v>347415</v>
      </c>
      <c r="S5266" s="9">
        <v>-109270</v>
      </c>
      <c r="T5266" s="10">
        <v>150486</v>
      </c>
      <c r="U5266" s="10">
        <v>2881</v>
      </c>
    </row>
    <row r="5267" spans="1:21" x14ac:dyDescent="0.35">
      <c r="A5267" t="s">
        <v>15</v>
      </c>
      <c r="B5267" t="s">
        <v>16</v>
      </c>
      <c r="C5267" t="s">
        <v>21</v>
      </c>
      <c r="D5267">
        <v>198594</v>
      </c>
      <c r="E5267">
        <v>35723</v>
      </c>
      <c r="F5267">
        <v>45601</v>
      </c>
      <c r="G5267">
        <v>-172801</v>
      </c>
      <c r="H5267">
        <v>107117</v>
      </c>
      <c r="I5267">
        <v>97105</v>
      </c>
      <c r="J5267">
        <v>1712</v>
      </c>
      <c r="K5267">
        <v>495959</v>
      </c>
      <c r="L5267">
        <v>138706</v>
      </c>
      <c r="M5267">
        <v>-175938</v>
      </c>
      <c r="N5267">
        <v>151365</v>
      </c>
      <c r="O5267" t="s">
        <v>5285</v>
      </c>
      <c r="P5267" s="9">
        <v>208628</v>
      </c>
      <c r="Q5267" s="9">
        <v>21718</v>
      </c>
      <c r="R5267" s="9">
        <v>230346</v>
      </c>
      <c r="S5267" s="9">
        <v>-127139</v>
      </c>
      <c r="T5267" s="10">
        <v>74222</v>
      </c>
      <c r="U5267" s="10">
        <v>1903</v>
      </c>
    </row>
    <row r="5268" spans="1:21" x14ac:dyDescent="0.35">
      <c r="A5268" t="s">
        <v>15</v>
      </c>
      <c r="B5268" t="s">
        <v>16</v>
      </c>
      <c r="C5268" t="s">
        <v>17</v>
      </c>
      <c r="D5268">
        <v>264901</v>
      </c>
      <c r="E5268">
        <v>44413</v>
      </c>
      <c r="F5268">
        <v>58116</v>
      </c>
      <c r="G5268">
        <v>-258317</v>
      </c>
      <c r="H5268">
        <v>109113</v>
      </c>
      <c r="I5268">
        <v>104825</v>
      </c>
      <c r="J5268">
        <v>2555</v>
      </c>
      <c r="K5268">
        <v>879791</v>
      </c>
      <c r="L5268">
        <v>427946</v>
      </c>
      <c r="M5268">
        <v>-153116</v>
      </c>
      <c r="N5268">
        <v>130867</v>
      </c>
      <c r="O5268" t="s">
        <v>5286</v>
      </c>
      <c r="P5268" s="9">
        <v>298005</v>
      </c>
      <c r="Q5268" s="9">
        <v>26873</v>
      </c>
      <c r="R5268" s="9">
        <v>324878</v>
      </c>
      <c r="S5268" s="9">
        <v>-103737</v>
      </c>
      <c r="T5268" s="10">
        <v>92923</v>
      </c>
      <c r="U5268" s="10">
        <v>2414</v>
      </c>
    </row>
    <row r="5269" spans="1:21" x14ac:dyDescent="0.35">
      <c r="A5269" t="s">
        <v>15</v>
      </c>
      <c r="B5269" t="s">
        <v>16</v>
      </c>
      <c r="C5269" t="s">
        <v>21</v>
      </c>
      <c r="D5269">
        <v>205793</v>
      </c>
      <c r="E5269">
        <v>36196</v>
      </c>
      <c r="F5269">
        <v>50199</v>
      </c>
      <c r="G5269">
        <v>-191835</v>
      </c>
      <c r="H5269">
        <v>100353</v>
      </c>
      <c r="I5269">
        <v>91501</v>
      </c>
      <c r="J5269">
        <v>1299</v>
      </c>
      <c r="K5269">
        <v>739901</v>
      </c>
      <c r="L5269">
        <v>333317</v>
      </c>
      <c r="M5269">
        <v>-272609</v>
      </c>
      <c r="N5269">
        <v>155873</v>
      </c>
      <c r="O5269" t="s">
        <v>5287</v>
      </c>
      <c r="P5269" s="9">
        <v>224583</v>
      </c>
      <c r="Q5269" s="9">
        <v>32853</v>
      </c>
      <c r="R5269" s="9">
        <v>257436</v>
      </c>
      <c r="S5269" s="9">
        <v>-141983</v>
      </c>
      <c r="T5269" s="10">
        <v>87471</v>
      </c>
      <c r="U5269" s="10">
        <v>2295</v>
      </c>
    </row>
    <row r="5270" spans="1:21" x14ac:dyDescent="0.35">
      <c r="A5270" t="s">
        <v>15</v>
      </c>
      <c r="B5270" t="s">
        <v>16</v>
      </c>
      <c r="C5270" t="s">
        <v>17</v>
      </c>
      <c r="D5270">
        <v>243936</v>
      </c>
      <c r="E5270">
        <v>17897</v>
      </c>
      <c r="F5270">
        <v>38696</v>
      </c>
      <c r="G5270">
        <v>-211390</v>
      </c>
      <c r="H5270">
        <v>89139</v>
      </c>
      <c r="I5270">
        <v>91745</v>
      </c>
      <c r="J5270">
        <v>1931</v>
      </c>
      <c r="K5270">
        <v>714516</v>
      </c>
      <c r="L5270">
        <v>312483</v>
      </c>
      <c r="M5270">
        <v>-229831</v>
      </c>
      <c r="N5270">
        <v>195988</v>
      </c>
      <c r="O5270" t="s">
        <v>5288</v>
      </c>
      <c r="P5270" s="9">
        <v>205701</v>
      </c>
      <c r="Q5270" s="9">
        <v>33700</v>
      </c>
      <c r="R5270" s="9">
        <v>239401</v>
      </c>
      <c r="S5270" s="9">
        <v>-73058</v>
      </c>
      <c r="T5270" s="10">
        <v>97806</v>
      </c>
      <c r="U5270" s="10">
        <v>2843</v>
      </c>
    </row>
    <row r="5271" spans="1:21" x14ac:dyDescent="0.35">
      <c r="A5271" t="s">
        <v>15</v>
      </c>
      <c r="B5271" t="s">
        <v>16</v>
      </c>
      <c r="C5271" t="s">
        <v>17</v>
      </c>
      <c r="D5271">
        <v>222323</v>
      </c>
      <c r="E5271">
        <v>43610</v>
      </c>
      <c r="F5271">
        <v>35148</v>
      </c>
      <c r="G5271">
        <v>-214028</v>
      </c>
      <c r="H5271">
        <v>87053</v>
      </c>
      <c r="I5271">
        <v>86528</v>
      </c>
      <c r="J5271">
        <v>2540</v>
      </c>
      <c r="K5271">
        <v>570879</v>
      </c>
      <c r="L5271">
        <v>190829</v>
      </c>
      <c r="M5271">
        <v>-184518</v>
      </c>
      <c r="N5271">
        <v>133675</v>
      </c>
      <c r="O5271" t="s">
        <v>5289</v>
      </c>
      <c r="P5271" s="9">
        <v>160115</v>
      </c>
      <c r="Q5271" s="9">
        <v>32664</v>
      </c>
      <c r="R5271" s="9">
        <v>192779</v>
      </c>
      <c r="S5271" s="9">
        <v>-55145</v>
      </c>
      <c r="T5271" s="10">
        <v>67879</v>
      </c>
      <c r="U5271" s="10">
        <v>699</v>
      </c>
    </row>
    <row r="5272" spans="1:21" x14ac:dyDescent="0.35">
      <c r="A5272" t="s">
        <v>15</v>
      </c>
      <c r="B5272" t="s">
        <v>16</v>
      </c>
      <c r="C5272" t="s">
        <v>17</v>
      </c>
      <c r="D5272">
        <v>241120</v>
      </c>
      <c r="E5272">
        <v>38546</v>
      </c>
      <c r="F5272">
        <v>25128</v>
      </c>
      <c r="G5272">
        <v>-224288</v>
      </c>
      <c r="H5272">
        <v>80506</v>
      </c>
      <c r="I5272">
        <v>83471</v>
      </c>
      <c r="J5272">
        <v>1860</v>
      </c>
      <c r="K5272">
        <v>720654</v>
      </c>
      <c r="L5272">
        <v>195392</v>
      </c>
      <c r="M5272">
        <v>-98389</v>
      </c>
      <c r="N5272">
        <v>104024</v>
      </c>
      <c r="O5272" t="s">
        <v>5290</v>
      </c>
      <c r="P5272" s="9">
        <v>193844</v>
      </c>
      <c r="Q5272" s="9">
        <v>29765</v>
      </c>
      <c r="R5272" s="9">
        <v>223609</v>
      </c>
      <c r="S5272" s="9">
        <v>-53646</v>
      </c>
      <c r="T5272" s="10">
        <v>90505</v>
      </c>
      <c r="U5272" s="10">
        <v>1472</v>
      </c>
    </row>
    <row r="5273" spans="1:21" x14ac:dyDescent="0.35">
      <c r="A5273" t="s">
        <v>15</v>
      </c>
      <c r="B5273" t="s">
        <v>16</v>
      </c>
      <c r="C5273" t="s">
        <v>21</v>
      </c>
      <c r="D5273">
        <v>199046</v>
      </c>
      <c r="E5273">
        <v>24858</v>
      </c>
      <c r="F5273">
        <v>47013</v>
      </c>
      <c r="G5273">
        <v>-178454</v>
      </c>
      <c r="H5273">
        <v>92463</v>
      </c>
      <c r="I5273">
        <v>90384</v>
      </c>
      <c r="J5273">
        <v>1430</v>
      </c>
      <c r="K5273">
        <v>408756</v>
      </c>
      <c r="L5273">
        <v>168094</v>
      </c>
      <c r="M5273">
        <v>-66564</v>
      </c>
      <c r="N5273">
        <v>65429</v>
      </c>
      <c r="O5273" t="s">
        <v>5291</v>
      </c>
      <c r="P5273" s="9">
        <v>203299</v>
      </c>
      <c r="Q5273" s="9">
        <v>34621</v>
      </c>
      <c r="R5273" s="9">
        <v>237920</v>
      </c>
      <c r="S5273" s="9">
        <v>-58565</v>
      </c>
      <c r="T5273" s="10">
        <v>95452</v>
      </c>
      <c r="U5273" s="10">
        <v>1127</v>
      </c>
    </row>
    <row r="5274" spans="1:21" x14ac:dyDescent="0.35">
      <c r="A5274" t="s">
        <v>15</v>
      </c>
      <c r="B5274" t="s">
        <v>16</v>
      </c>
      <c r="C5274" t="s">
        <v>21</v>
      </c>
      <c r="D5274">
        <v>179726</v>
      </c>
      <c r="E5274">
        <v>24806</v>
      </c>
      <c r="F5274">
        <v>19779</v>
      </c>
      <c r="G5274">
        <v>-145393</v>
      </c>
      <c r="H5274">
        <v>78918</v>
      </c>
      <c r="I5274">
        <v>80233</v>
      </c>
      <c r="J5274">
        <v>1940</v>
      </c>
      <c r="K5274">
        <v>682299</v>
      </c>
      <c r="L5274">
        <v>98306</v>
      </c>
      <c r="M5274">
        <v>-233651</v>
      </c>
      <c r="N5274">
        <v>86606</v>
      </c>
      <c r="O5274" t="s">
        <v>5292</v>
      </c>
      <c r="P5274" s="9">
        <v>300725</v>
      </c>
      <c r="Q5274" s="9">
        <v>33039</v>
      </c>
      <c r="R5274" s="9">
        <v>333764</v>
      </c>
      <c r="S5274" s="9">
        <v>-134842</v>
      </c>
      <c r="T5274" s="10">
        <v>138664</v>
      </c>
      <c r="U5274" s="10">
        <v>1567</v>
      </c>
    </row>
    <row r="5275" spans="1:21" x14ac:dyDescent="0.35">
      <c r="A5275" t="s">
        <v>15</v>
      </c>
      <c r="B5275" t="s">
        <v>16</v>
      </c>
      <c r="C5275" t="s">
        <v>21</v>
      </c>
      <c r="D5275">
        <v>178806</v>
      </c>
      <c r="E5275">
        <v>29768</v>
      </c>
      <c r="F5275">
        <v>19073</v>
      </c>
      <c r="G5275">
        <v>-164498</v>
      </c>
      <c r="H5275">
        <v>63149</v>
      </c>
      <c r="I5275">
        <v>64659</v>
      </c>
      <c r="J5275">
        <v>1280</v>
      </c>
      <c r="K5275">
        <v>427729</v>
      </c>
      <c r="L5275">
        <v>72804</v>
      </c>
      <c r="M5275">
        <v>-161911</v>
      </c>
      <c r="N5275">
        <v>144848</v>
      </c>
      <c r="O5275" t="s">
        <v>5293</v>
      </c>
      <c r="P5275" s="9">
        <v>260629</v>
      </c>
      <c r="Q5275" s="9">
        <v>48037</v>
      </c>
      <c r="R5275" s="9">
        <v>308666</v>
      </c>
      <c r="S5275" s="9">
        <v>-140926</v>
      </c>
      <c r="T5275" s="10">
        <v>98342</v>
      </c>
      <c r="U5275" s="10">
        <v>1234</v>
      </c>
    </row>
    <row r="5276" spans="1:21" x14ac:dyDescent="0.35">
      <c r="A5276" t="s">
        <v>15</v>
      </c>
      <c r="B5276" t="s">
        <v>16</v>
      </c>
      <c r="C5276" t="s">
        <v>21</v>
      </c>
      <c r="D5276">
        <v>273420</v>
      </c>
      <c r="E5276">
        <v>22650</v>
      </c>
      <c r="F5276">
        <v>43746</v>
      </c>
      <c r="G5276">
        <v>-269264</v>
      </c>
      <c r="H5276">
        <v>70552</v>
      </c>
      <c r="I5276">
        <v>63732</v>
      </c>
      <c r="J5276">
        <v>639</v>
      </c>
      <c r="K5276">
        <v>1069076</v>
      </c>
      <c r="L5276">
        <v>480183</v>
      </c>
      <c r="M5276">
        <v>-364840</v>
      </c>
      <c r="N5276">
        <v>192422</v>
      </c>
      <c r="O5276" t="s">
        <v>5294</v>
      </c>
      <c r="P5276" s="9">
        <v>169226</v>
      </c>
      <c r="Q5276" s="9">
        <v>26210</v>
      </c>
      <c r="R5276" s="9">
        <v>195436</v>
      </c>
      <c r="S5276" s="9">
        <v>-88345</v>
      </c>
      <c r="T5276" s="10">
        <v>78124</v>
      </c>
      <c r="U5276" s="10">
        <v>1482</v>
      </c>
    </row>
    <row r="5277" spans="1:21" x14ac:dyDescent="0.35">
      <c r="A5277" t="s">
        <v>15</v>
      </c>
      <c r="B5277" t="s">
        <v>20</v>
      </c>
      <c r="C5277" t="s">
        <v>21</v>
      </c>
      <c r="D5277">
        <v>151540</v>
      </c>
      <c r="E5277">
        <v>29111</v>
      </c>
      <c r="F5277">
        <v>21121</v>
      </c>
      <c r="G5277">
        <v>-147115</v>
      </c>
      <c r="H5277">
        <v>54657</v>
      </c>
      <c r="I5277">
        <v>49801</v>
      </c>
      <c r="J5277">
        <v>1473</v>
      </c>
      <c r="K5277">
        <v>567904</v>
      </c>
      <c r="L5277">
        <v>281358</v>
      </c>
      <c r="M5277">
        <v>-68299</v>
      </c>
      <c r="N5277">
        <v>118835</v>
      </c>
      <c r="O5277" t="s">
        <v>5295</v>
      </c>
      <c r="P5277" s="9">
        <v>143826</v>
      </c>
      <c r="Q5277" s="9">
        <v>11418</v>
      </c>
      <c r="R5277" s="9">
        <v>155244</v>
      </c>
      <c r="S5277" s="9">
        <v>-65786</v>
      </c>
      <c r="T5277" s="10">
        <v>59662</v>
      </c>
      <c r="U5277" s="10">
        <v>689</v>
      </c>
    </row>
    <row r="5278" spans="1:21" x14ac:dyDescent="0.35">
      <c r="A5278" t="s">
        <v>15</v>
      </c>
      <c r="B5278" t="s">
        <v>16</v>
      </c>
      <c r="C5278" t="s">
        <v>17</v>
      </c>
      <c r="D5278">
        <v>187210</v>
      </c>
      <c r="E5278">
        <v>37118</v>
      </c>
      <c r="F5278">
        <v>23663</v>
      </c>
      <c r="G5278">
        <v>-159122</v>
      </c>
      <c r="H5278">
        <v>88869</v>
      </c>
      <c r="I5278">
        <v>83572</v>
      </c>
      <c r="J5278">
        <v>2276</v>
      </c>
      <c r="K5278">
        <v>413862</v>
      </c>
      <c r="L5278">
        <v>140484</v>
      </c>
      <c r="M5278">
        <v>-148526</v>
      </c>
      <c r="N5278">
        <v>155409</v>
      </c>
      <c r="O5278" t="s">
        <v>5296</v>
      </c>
      <c r="P5278" s="9">
        <v>268710</v>
      </c>
      <c r="Q5278" s="9">
        <v>23445</v>
      </c>
      <c r="R5278" s="9">
        <v>292155</v>
      </c>
      <c r="S5278" s="9">
        <v>-111057</v>
      </c>
      <c r="T5278" s="10">
        <v>93144</v>
      </c>
      <c r="U5278" s="10">
        <v>1022</v>
      </c>
    </row>
    <row r="5279" spans="1:21" x14ac:dyDescent="0.35">
      <c r="A5279" t="s">
        <v>15</v>
      </c>
      <c r="B5279" t="s">
        <v>20</v>
      </c>
      <c r="C5279" t="s">
        <v>21</v>
      </c>
      <c r="D5279">
        <v>292524</v>
      </c>
      <c r="E5279">
        <v>45380</v>
      </c>
      <c r="F5279">
        <v>60701</v>
      </c>
      <c r="G5279">
        <v>-249609</v>
      </c>
      <c r="H5279">
        <v>148996</v>
      </c>
      <c r="I5279">
        <v>141769</v>
      </c>
      <c r="J5279">
        <v>3538</v>
      </c>
      <c r="K5279">
        <v>1150373</v>
      </c>
      <c r="L5279">
        <v>221034</v>
      </c>
      <c r="M5279">
        <v>-208489</v>
      </c>
      <c r="N5279">
        <v>190444</v>
      </c>
      <c r="O5279" t="s">
        <v>5297</v>
      </c>
      <c r="P5279" s="9">
        <v>278215</v>
      </c>
      <c r="Q5279" s="9">
        <v>32987</v>
      </c>
      <c r="R5279" s="9">
        <v>311202</v>
      </c>
      <c r="S5279" s="9">
        <v>-172595</v>
      </c>
      <c r="T5279" s="10">
        <v>101179</v>
      </c>
      <c r="U5279" s="10">
        <v>2067</v>
      </c>
    </row>
    <row r="5280" spans="1:21" x14ac:dyDescent="0.35">
      <c r="A5280" t="s">
        <v>15</v>
      </c>
      <c r="B5280" t="s">
        <v>16</v>
      </c>
      <c r="C5280" t="s">
        <v>17</v>
      </c>
      <c r="D5280">
        <v>196384</v>
      </c>
      <c r="E5280">
        <v>19110</v>
      </c>
      <c r="F5280">
        <v>39841</v>
      </c>
      <c r="G5280">
        <v>-190459</v>
      </c>
      <c r="H5280">
        <v>64876</v>
      </c>
      <c r="I5280">
        <v>62525</v>
      </c>
      <c r="J5280">
        <v>810</v>
      </c>
      <c r="K5280">
        <v>746224</v>
      </c>
      <c r="L5280">
        <v>355406</v>
      </c>
      <c r="M5280">
        <v>-272948</v>
      </c>
      <c r="N5280">
        <v>59639</v>
      </c>
      <c r="O5280" t="s">
        <v>5298</v>
      </c>
      <c r="P5280" s="9">
        <v>224606</v>
      </c>
      <c r="Q5280" s="9">
        <v>10671</v>
      </c>
      <c r="R5280" s="9">
        <v>235277</v>
      </c>
      <c r="S5280" s="9">
        <v>-134292</v>
      </c>
      <c r="T5280" s="10">
        <v>66556</v>
      </c>
      <c r="U5280" s="10">
        <v>826</v>
      </c>
    </row>
    <row r="5281" spans="1:21" x14ac:dyDescent="0.35">
      <c r="A5281" t="s">
        <v>15</v>
      </c>
      <c r="B5281" t="s">
        <v>20</v>
      </c>
      <c r="C5281" t="s">
        <v>21</v>
      </c>
      <c r="D5281">
        <v>189692</v>
      </c>
      <c r="E5281">
        <v>28346</v>
      </c>
      <c r="F5281">
        <v>27542</v>
      </c>
      <c r="G5281">
        <v>-160355</v>
      </c>
      <c r="H5281">
        <v>85225</v>
      </c>
      <c r="I5281">
        <v>88027</v>
      </c>
      <c r="J5281">
        <v>2442</v>
      </c>
      <c r="K5281">
        <v>543736</v>
      </c>
      <c r="L5281">
        <v>227600</v>
      </c>
      <c r="M5281">
        <v>-89849</v>
      </c>
      <c r="N5281">
        <v>83496</v>
      </c>
      <c r="O5281" t="s">
        <v>5299</v>
      </c>
      <c r="P5281" s="9">
        <v>261414</v>
      </c>
      <c r="Q5281" s="9">
        <v>18427</v>
      </c>
      <c r="R5281" s="9">
        <v>279841</v>
      </c>
      <c r="S5281" s="9">
        <v>-100809</v>
      </c>
      <c r="T5281" s="10">
        <v>93894</v>
      </c>
      <c r="U5281" s="10">
        <v>2473</v>
      </c>
    </row>
    <row r="5282" spans="1:21" x14ac:dyDescent="0.35">
      <c r="A5282" t="s">
        <v>15</v>
      </c>
      <c r="B5282" t="s">
        <v>16</v>
      </c>
      <c r="C5282" t="s">
        <v>21</v>
      </c>
      <c r="D5282">
        <v>269820</v>
      </c>
      <c r="E5282">
        <v>37675</v>
      </c>
      <c r="F5282">
        <v>39286</v>
      </c>
      <c r="G5282">
        <v>-264613</v>
      </c>
      <c r="H5282">
        <v>82168</v>
      </c>
      <c r="I5282">
        <v>83960</v>
      </c>
      <c r="J5282">
        <v>1852</v>
      </c>
      <c r="K5282">
        <v>741790</v>
      </c>
      <c r="L5282">
        <v>321168</v>
      </c>
      <c r="M5282">
        <v>-115126</v>
      </c>
      <c r="N5282">
        <v>206050</v>
      </c>
      <c r="O5282" t="s">
        <v>5300</v>
      </c>
      <c r="P5282" s="9">
        <v>159418</v>
      </c>
      <c r="Q5282" s="9">
        <v>20236</v>
      </c>
      <c r="R5282" s="9">
        <v>179654</v>
      </c>
      <c r="S5282" s="9">
        <v>-54317</v>
      </c>
      <c r="T5282" s="10">
        <v>64876</v>
      </c>
      <c r="U5282" s="10">
        <v>815</v>
      </c>
    </row>
    <row r="5283" spans="1:21" x14ac:dyDescent="0.35">
      <c r="A5283" t="s">
        <v>15</v>
      </c>
      <c r="B5283" t="s">
        <v>20</v>
      </c>
      <c r="C5283" t="s">
        <v>21</v>
      </c>
      <c r="D5283">
        <v>179473</v>
      </c>
      <c r="E5283">
        <v>26378</v>
      </c>
      <c r="F5283">
        <v>32083</v>
      </c>
      <c r="G5283">
        <v>-173845</v>
      </c>
      <c r="H5283">
        <v>64089</v>
      </c>
      <c r="I5283">
        <v>58916</v>
      </c>
      <c r="J5283">
        <v>1427</v>
      </c>
      <c r="K5283">
        <v>480205</v>
      </c>
      <c r="L5283">
        <v>61504</v>
      </c>
      <c r="M5283">
        <v>-165146</v>
      </c>
      <c r="N5283">
        <v>59481</v>
      </c>
      <c r="O5283" t="s">
        <v>5301</v>
      </c>
      <c r="P5283" s="9">
        <v>276979</v>
      </c>
      <c r="Q5283" s="9">
        <v>32671</v>
      </c>
      <c r="R5283" s="9">
        <v>309650</v>
      </c>
      <c r="S5283" s="9">
        <v>-102553</v>
      </c>
      <c r="T5283" s="10">
        <v>119044</v>
      </c>
      <c r="U5283" s="10">
        <v>1937</v>
      </c>
    </row>
    <row r="5284" spans="1:21" x14ac:dyDescent="0.35">
      <c r="A5284" t="s">
        <v>15</v>
      </c>
      <c r="B5284" t="s">
        <v>16</v>
      </c>
      <c r="C5284" t="s">
        <v>21</v>
      </c>
      <c r="D5284">
        <v>155464</v>
      </c>
      <c r="E5284">
        <v>18675</v>
      </c>
      <c r="F5284">
        <v>26693</v>
      </c>
      <c r="G5284">
        <v>-131383</v>
      </c>
      <c r="H5284">
        <v>69449</v>
      </c>
      <c r="I5284">
        <v>70970</v>
      </c>
      <c r="J5284">
        <v>1065</v>
      </c>
      <c r="K5284">
        <v>413983</v>
      </c>
      <c r="L5284">
        <v>124591</v>
      </c>
      <c r="M5284">
        <v>-61475</v>
      </c>
      <c r="N5284">
        <v>113487</v>
      </c>
      <c r="O5284" t="s">
        <v>5302</v>
      </c>
      <c r="P5284" s="9">
        <v>267625</v>
      </c>
      <c r="Q5284" s="9">
        <v>17726</v>
      </c>
      <c r="R5284" s="9">
        <v>285351</v>
      </c>
      <c r="S5284" s="9">
        <v>-75518</v>
      </c>
      <c r="T5284" s="10">
        <v>116553</v>
      </c>
      <c r="U5284" s="10">
        <v>3042</v>
      </c>
    </row>
    <row r="5285" spans="1:21" x14ac:dyDescent="0.35">
      <c r="A5285" t="s">
        <v>15</v>
      </c>
      <c r="B5285" t="s">
        <v>16</v>
      </c>
      <c r="C5285" t="s">
        <v>17</v>
      </c>
      <c r="D5285">
        <v>218287</v>
      </c>
      <c r="E5285">
        <v>27432</v>
      </c>
      <c r="F5285">
        <v>51634</v>
      </c>
      <c r="G5285">
        <v>-175488</v>
      </c>
      <c r="H5285">
        <v>121865</v>
      </c>
      <c r="I5285">
        <v>111035</v>
      </c>
      <c r="J5285">
        <v>2018</v>
      </c>
      <c r="K5285">
        <v>705519</v>
      </c>
      <c r="L5285">
        <v>243205</v>
      </c>
      <c r="M5285">
        <v>-137157</v>
      </c>
      <c r="N5285">
        <v>152074</v>
      </c>
      <c r="O5285" t="s">
        <v>5303</v>
      </c>
      <c r="P5285" s="9">
        <v>267444</v>
      </c>
      <c r="Q5285" s="9">
        <v>38395</v>
      </c>
      <c r="R5285" s="9">
        <v>305839</v>
      </c>
      <c r="S5285" s="9">
        <v>-179544</v>
      </c>
      <c r="T5285" s="10">
        <v>111444</v>
      </c>
      <c r="U5285" s="10">
        <v>2379</v>
      </c>
    </row>
    <row r="5286" spans="1:21" x14ac:dyDescent="0.35">
      <c r="A5286" t="s">
        <v>15</v>
      </c>
      <c r="B5286" t="s">
        <v>16</v>
      </c>
      <c r="C5286" t="s">
        <v>21</v>
      </c>
      <c r="D5286">
        <v>178120</v>
      </c>
      <c r="E5286">
        <v>17992</v>
      </c>
      <c r="F5286">
        <v>27252</v>
      </c>
      <c r="G5286">
        <v>-143567</v>
      </c>
      <c r="H5286">
        <v>79797</v>
      </c>
      <c r="I5286">
        <v>80476</v>
      </c>
      <c r="J5286">
        <v>1819</v>
      </c>
      <c r="K5286">
        <v>386903</v>
      </c>
      <c r="L5286">
        <v>130908</v>
      </c>
      <c r="M5286">
        <v>-64923</v>
      </c>
      <c r="N5286">
        <v>140192</v>
      </c>
      <c r="O5286" t="s">
        <v>5304</v>
      </c>
      <c r="P5286" s="9">
        <v>175819</v>
      </c>
      <c r="Q5286" s="9">
        <v>32309</v>
      </c>
      <c r="R5286" s="9">
        <v>208128</v>
      </c>
      <c r="S5286" s="9">
        <v>-114302</v>
      </c>
      <c r="T5286" s="10">
        <v>45068</v>
      </c>
      <c r="U5286" s="10">
        <v>1094</v>
      </c>
    </row>
    <row r="5287" spans="1:21" x14ac:dyDescent="0.35">
      <c r="A5287" t="s">
        <v>15</v>
      </c>
      <c r="B5287" t="s">
        <v>16</v>
      </c>
      <c r="C5287" t="s">
        <v>21</v>
      </c>
      <c r="D5287">
        <v>226517</v>
      </c>
      <c r="E5287">
        <v>15331</v>
      </c>
      <c r="F5287">
        <v>27279</v>
      </c>
      <c r="G5287">
        <v>-215508</v>
      </c>
      <c r="H5287">
        <v>53619</v>
      </c>
      <c r="I5287">
        <v>48570</v>
      </c>
      <c r="J5287">
        <v>1279</v>
      </c>
      <c r="K5287">
        <v>581974</v>
      </c>
      <c r="L5287">
        <v>142705</v>
      </c>
      <c r="M5287">
        <v>-160037</v>
      </c>
      <c r="N5287">
        <v>124882</v>
      </c>
      <c r="O5287" t="s">
        <v>5305</v>
      </c>
      <c r="P5287" s="9">
        <v>174865</v>
      </c>
      <c r="Q5287" s="9">
        <v>31006</v>
      </c>
      <c r="R5287" s="9">
        <v>205871</v>
      </c>
      <c r="S5287" s="9">
        <v>-99838</v>
      </c>
      <c r="T5287" s="10">
        <v>72908</v>
      </c>
      <c r="U5287" s="10">
        <v>1467</v>
      </c>
    </row>
    <row r="5288" spans="1:21" x14ac:dyDescent="0.35">
      <c r="A5288" t="s">
        <v>15</v>
      </c>
      <c r="B5288" t="s">
        <v>20</v>
      </c>
      <c r="C5288" t="s">
        <v>21</v>
      </c>
      <c r="D5288">
        <v>192656</v>
      </c>
      <c r="E5288">
        <v>10406</v>
      </c>
      <c r="F5288">
        <v>31327</v>
      </c>
      <c r="G5288">
        <v>-190655</v>
      </c>
      <c r="H5288">
        <v>43734</v>
      </c>
      <c r="I5288">
        <v>40399</v>
      </c>
      <c r="J5288">
        <v>769</v>
      </c>
      <c r="K5288">
        <v>721487</v>
      </c>
      <c r="L5288">
        <v>283585</v>
      </c>
      <c r="M5288">
        <v>-116348</v>
      </c>
      <c r="N5288">
        <v>165858</v>
      </c>
      <c r="O5288" t="s">
        <v>5306</v>
      </c>
      <c r="P5288" s="9">
        <v>235816</v>
      </c>
      <c r="Q5288" s="9">
        <v>35064</v>
      </c>
      <c r="R5288" s="9">
        <v>270880</v>
      </c>
      <c r="S5288" s="9">
        <v>-87218</v>
      </c>
      <c r="T5288" s="10">
        <v>109459</v>
      </c>
      <c r="U5288" s="10">
        <v>1157</v>
      </c>
    </row>
    <row r="5289" spans="1:21" x14ac:dyDescent="0.35">
      <c r="A5289" t="s">
        <v>15</v>
      </c>
      <c r="B5289" t="s">
        <v>16</v>
      </c>
      <c r="C5289" t="s">
        <v>21</v>
      </c>
      <c r="D5289">
        <v>177484</v>
      </c>
      <c r="E5289">
        <v>34177</v>
      </c>
      <c r="F5289">
        <v>28385</v>
      </c>
      <c r="G5289">
        <v>-142683</v>
      </c>
      <c r="H5289">
        <v>97363</v>
      </c>
      <c r="I5289">
        <v>92995</v>
      </c>
      <c r="J5289">
        <v>2730</v>
      </c>
      <c r="K5289">
        <v>490194</v>
      </c>
      <c r="L5289">
        <v>143964</v>
      </c>
      <c r="M5289">
        <v>-123390</v>
      </c>
      <c r="N5289">
        <v>67534</v>
      </c>
      <c r="O5289" t="s">
        <v>5307</v>
      </c>
      <c r="P5289" s="9">
        <v>170555</v>
      </c>
      <c r="Q5289" s="9">
        <v>18971</v>
      </c>
      <c r="R5289" s="9">
        <v>189526</v>
      </c>
      <c r="S5289" s="9">
        <v>-102954</v>
      </c>
      <c r="T5289" s="10">
        <v>62765</v>
      </c>
      <c r="U5289" s="10">
        <v>1362</v>
      </c>
    </row>
    <row r="5290" spans="1:21" x14ac:dyDescent="0.35">
      <c r="A5290" t="s">
        <v>15</v>
      </c>
      <c r="B5290" t="s">
        <v>20</v>
      </c>
      <c r="C5290" t="s">
        <v>21</v>
      </c>
      <c r="D5290">
        <v>284521</v>
      </c>
      <c r="E5290">
        <v>44440</v>
      </c>
      <c r="F5290">
        <v>50095</v>
      </c>
      <c r="G5290">
        <v>-268528</v>
      </c>
      <c r="H5290">
        <v>110528</v>
      </c>
      <c r="I5290">
        <v>113360</v>
      </c>
      <c r="J5290">
        <v>1318</v>
      </c>
      <c r="K5290">
        <v>984604</v>
      </c>
      <c r="L5290">
        <v>270455</v>
      </c>
      <c r="M5290">
        <v>-104521</v>
      </c>
      <c r="N5290">
        <v>153611</v>
      </c>
      <c r="O5290" t="s">
        <v>5308</v>
      </c>
      <c r="P5290" s="9">
        <v>269558</v>
      </c>
      <c r="Q5290" s="9">
        <v>24721</v>
      </c>
      <c r="R5290" s="9">
        <v>294279</v>
      </c>
      <c r="S5290" s="9">
        <v>-62340</v>
      </c>
      <c r="T5290" s="10">
        <v>98655</v>
      </c>
      <c r="U5290" s="10">
        <v>1880</v>
      </c>
    </row>
    <row r="5291" spans="1:21" x14ac:dyDescent="0.35">
      <c r="A5291" t="s">
        <v>15</v>
      </c>
      <c r="B5291" t="s">
        <v>16</v>
      </c>
      <c r="C5291" t="s">
        <v>21</v>
      </c>
      <c r="D5291">
        <v>178329</v>
      </c>
      <c r="E5291">
        <v>23691</v>
      </c>
      <c r="F5291">
        <v>38150</v>
      </c>
      <c r="G5291">
        <v>-147466</v>
      </c>
      <c r="H5291">
        <v>92704</v>
      </c>
      <c r="I5291">
        <v>90254</v>
      </c>
      <c r="J5291">
        <v>1693</v>
      </c>
      <c r="K5291">
        <v>447356</v>
      </c>
      <c r="L5291">
        <v>222076</v>
      </c>
      <c r="M5291">
        <v>-162353</v>
      </c>
      <c r="N5291">
        <v>58672</v>
      </c>
      <c r="O5291" t="s">
        <v>5309</v>
      </c>
      <c r="P5291" s="9">
        <v>243552</v>
      </c>
      <c r="Q5291" s="9">
        <v>16805</v>
      </c>
      <c r="R5291" s="9">
        <v>260357</v>
      </c>
      <c r="S5291" s="9">
        <v>-90030</v>
      </c>
      <c r="T5291" s="10">
        <v>49681</v>
      </c>
      <c r="U5291" s="10">
        <v>1470</v>
      </c>
    </row>
    <row r="5292" spans="1:21" x14ac:dyDescent="0.35">
      <c r="A5292" t="s">
        <v>15</v>
      </c>
      <c r="B5292" t="s">
        <v>16</v>
      </c>
      <c r="C5292" t="s">
        <v>17</v>
      </c>
      <c r="D5292">
        <v>212187</v>
      </c>
      <c r="E5292">
        <v>13743</v>
      </c>
      <c r="F5292">
        <v>52701</v>
      </c>
      <c r="G5292">
        <v>-209182</v>
      </c>
      <c r="H5292">
        <v>69449</v>
      </c>
      <c r="I5292">
        <v>71388</v>
      </c>
      <c r="J5292">
        <v>1331</v>
      </c>
      <c r="K5292">
        <v>552142</v>
      </c>
      <c r="L5292">
        <v>63711</v>
      </c>
      <c r="M5292">
        <v>-118859</v>
      </c>
      <c r="N5292">
        <v>116966</v>
      </c>
      <c r="O5292" t="s">
        <v>5310</v>
      </c>
      <c r="P5292" s="9">
        <v>195170</v>
      </c>
      <c r="Q5292" s="9">
        <v>11526</v>
      </c>
      <c r="R5292" s="9">
        <v>206696</v>
      </c>
      <c r="S5292" s="9">
        <v>-74807</v>
      </c>
      <c r="T5292" s="10">
        <v>31837</v>
      </c>
      <c r="U5292" s="10">
        <v>712</v>
      </c>
    </row>
    <row r="5293" spans="1:21" x14ac:dyDescent="0.35">
      <c r="A5293" t="s">
        <v>15</v>
      </c>
      <c r="B5293" t="s">
        <v>16</v>
      </c>
      <c r="C5293" t="s">
        <v>21</v>
      </c>
      <c r="D5293">
        <v>181857</v>
      </c>
      <c r="E5293">
        <v>22957</v>
      </c>
      <c r="F5293">
        <v>29202</v>
      </c>
      <c r="G5293">
        <v>-180449</v>
      </c>
      <c r="H5293">
        <v>53567</v>
      </c>
      <c r="I5293">
        <v>51064</v>
      </c>
      <c r="J5293">
        <v>629</v>
      </c>
      <c r="K5293">
        <v>716654</v>
      </c>
      <c r="L5293">
        <v>356179</v>
      </c>
      <c r="M5293">
        <v>-195546</v>
      </c>
      <c r="N5293">
        <v>128314</v>
      </c>
      <c r="O5293" t="s">
        <v>5311</v>
      </c>
      <c r="P5293" s="9">
        <v>167711</v>
      </c>
      <c r="Q5293" s="9">
        <v>19196</v>
      </c>
      <c r="R5293" s="9">
        <v>186907</v>
      </c>
      <c r="S5293" s="9">
        <v>-56817</v>
      </c>
      <c r="T5293" s="10">
        <v>54709</v>
      </c>
      <c r="U5293" s="10">
        <v>1032</v>
      </c>
    </row>
    <row r="5294" spans="1:21" x14ac:dyDescent="0.35">
      <c r="A5294" t="s">
        <v>15</v>
      </c>
      <c r="B5294" t="s">
        <v>16</v>
      </c>
      <c r="C5294" t="s">
        <v>17</v>
      </c>
      <c r="D5294">
        <v>207062</v>
      </c>
      <c r="E5294">
        <v>35728</v>
      </c>
      <c r="F5294">
        <v>49511</v>
      </c>
      <c r="G5294">
        <v>-182040</v>
      </c>
      <c r="H5294">
        <v>110261</v>
      </c>
      <c r="I5294">
        <v>110850</v>
      </c>
      <c r="J5294">
        <v>3116</v>
      </c>
      <c r="K5294">
        <v>528434</v>
      </c>
      <c r="L5294">
        <v>134262</v>
      </c>
      <c r="M5294">
        <v>-206804</v>
      </c>
      <c r="N5294">
        <v>104095</v>
      </c>
      <c r="O5294" t="s">
        <v>5312</v>
      </c>
      <c r="P5294" s="9">
        <v>284099</v>
      </c>
      <c r="Q5294" s="9">
        <v>18855</v>
      </c>
      <c r="R5294" s="9">
        <v>302954</v>
      </c>
      <c r="S5294" s="9">
        <v>-160615</v>
      </c>
      <c r="T5294" s="10">
        <v>98511</v>
      </c>
      <c r="U5294" s="10">
        <v>2303</v>
      </c>
    </row>
    <row r="5295" spans="1:21" x14ac:dyDescent="0.35">
      <c r="A5295" t="s">
        <v>15</v>
      </c>
      <c r="B5295" t="s">
        <v>16</v>
      </c>
      <c r="C5295" t="s">
        <v>21</v>
      </c>
      <c r="D5295">
        <v>290294</v>
      </c>
      <c r="E5295">
        <v>30086</v>
      </c>
      <c r="F5295">
        <v>58806</v>
      </c>
      <c r="G5295">
        <v>-238225</v>
      </c>
      <c r="H5295">
        <v>140961</v>
      </c>
      <c r="I5295">
        <v>136707</v>
      </c>
      <c r="J5295">
        <v>3090</v>
      </c>
      <c r="K5295">
        <v>1096467</v>
      </c>
      <c r="L5295">
        <v>417090</v>
      </c>
      <c r="M5295">
        <v>-179663</v>
      </c>
      <c r="N5295">
        <v>151556</v>
      </c>
      <c r="O5295" t="s">
        <v>5313</v>
      </c>
      <c r="P5295" s="9">
        <v>232294</v>
      </c>
      <c r="Q5295" s="9">
        <v>23022</v>
      </c>
      <c r="R5295" s="9">
        <v>255316</v>
      </c>
      <c r="S5295" s="9">
        <v>-83358</v>
      </c>
      <c r="T5295" s="10">
        <v>80951</v>
      </c>
      <c r="U5295" s="10">
        <v>1472</v>
      </c>
    </row>
    <row r="5296" spans="1:21" x14ac:dyDescent="0.35">
      <c r="A5296" t="s">
        <v>15</v>
      </c>
      <c r="B5296" t="s">
        <v>16</v>
      </c>
      <c r="C5296" t="s">
        <v>21</v>
      </c>
      <c r="D5296">
        <v>273014</v>
      </c>
      <c r="E5296">
        <v>46612</v>
      </c>
      <c r="F5296">
        <v>63747</v>
      </c>
      <c r="G5296">
        <v>-220352</v>
      </c>
      <c r="H5296">
        <v>163021</v>
      </c>
      <c r="I5296">
        <v>164692</v>
      </c>
      <c r="J5296">
        <v>3011</v>
      </c>
      <c r="K5296">
        <v>1066008</v>
      </c>
      <c r="L5296">
        <v>463775</v>
      </c>
      <c r="M5296">
        <v>-258303</v>
      </c>
      <c r="N5296">
        <v>222529</v>
      </c>
      <c r="O5296" t="s">
        <v>5314</v>
      </c>
      <c r="P5296" s="9">
        <v>227435</v>
      </c>
      <c r="Q5296" s="9">
        <v>13764</v>
      </c>
      <c r="R5296" s="9">
        <v>241199</v>
      </c>
      <c r="S5296" s="9">
        <v>-66668</v>
      </c>
      <c r="T5296" s="10">
        <v>88643</v>
      </c>
      <c r="U5296" s="10">
        <v>1440</v>
      </c>
    </row>
    <row r="5297" spans="1:21" x14ac:dyDescent="0.35">
      <c r="A5297" t="s">
        <v>15</v>
      </c>
      <c r="B5297" t="s">
        <v>16</v>
      </c>
      <c r="C5297" t="s">
        <v>21</v>
      </c>
      <c r="D5297">
        <v>179359</v>
      </c>
      <c r="E5297">
        <v>14706</v>
      </c>
      <c r="F5297">
        <v>22068</v>
      </c>
      <c r="G5297">
        <v>-168431</v>
      </c>
      <c r="H5297">
        <v>47702</v>
      </c>
      <c r="I5297">
        <v>47329</v>
      </c>
      <c r="J5297">
        <v>1064</v>
      </c>
      <c r="K5297">
        <v>512204</v>
      </c>
      <c r="L5297">
        <v>154850</v>
      </c>
      <c r="M5297">
        <v>-55707</v>
      </c>
      <c r="N5297">
        <v>127537</v>
      </c>
      <c r="O5297" t="s">
        <v>5315</v>
      </c>
      <c r="P5297" s="9">
        <v>198255</v>
      </c>
      <c r="Q5297" s="9">
        <v>25024</v>
      </c>
      <c r="R5297" s="9">
        <v>223279</v>
      </c>
      <c r="S5297" s="9">
        <v>-118385</v>
      </c>
      <c r="T5297" s="10">
        <v>81417</v>
      </c>
      <c r="U5297" s="10">
        <v>2414</v>
      </c>
    </row>
    <row r="5298" spans="1:21" x14ac:dyDescent="0.35">
      <c r="A5298" t="s">
        <v>15</v>
      </c>
      <c r="B5298" t="s">
        <v>16</v>
      </c>
      <c r="C5298" t="s">
        <v>21</v>
      </c>
      <c r="D5298">
        <v>233546</v>
      </c>
      <c r="E5298">
        <v>42568</v>
      </c>
      <c r="F5298">
        <v>33558</v>
      </c>
      <c r="G5298">
        <v>-208896</v>
      </c>
      <c r="H5298">
        <v>100776</v>
      </c>
      <c r="I5298">
        <v>100779</v>
      </c>
      <c r="J5298">
        <v>2265</v>
      </c>
      <c r="K5298">
        <v>837619</v>
      </c>
      <c r="L5298">
        <v>279722</v>
      </c>
      <c r="M5298">
        <v>-156950</v>
      </c>
      <c r="N5298">
        <v>135005</v>
      </c>
      <c r="O5298" t="s">
        <v>5316</v>
      </c>
      <c r="P5298" s="9">
        <v>272256</v>
      </c>
      <c r="Q5298" s="9">
        <v>28796</v>
      </c>
      <c r="R5298" s="9">
        <v>301052</v>
      </c>
      <c r="S5298" s="9">
        <v>-129134</v>
      </c>
      <c r="T5298" s="10">
        <v>126886</v>
      </c>
      <c r="U5298" s="10">
        <v>2821</v>
      </c>
    </row>
    <row r="5299" spans="1:21" x14ac:dyDescent="0.35">
      <c r="A5299" t="s">
        <v>15</v>
      </c>
      <c r="B5299" t="s">
        <v>16</v>
      </c>
      <c r="C5299" t="s">
        <v>21</v>
      </c>
      <c r="D5299">
        <v>235074</v>
      </c>
      <c r="E5299">
        <v>19967</v>
      </c>
      <c r="F5299">
        <v>56477</v>
      </c>
      <c r="G5299">
        <v>-201516</v>
      </c>
      <c r="H5299">
        <v>110002</v>
      </c>
      <c r="I5299">
        <v>108325</v>
      </c>
      <c r="J5299">
        <v>1841</v>
      </c>
      <c r="K5299">
        <v>638399</v>
      </c>
      <c r="L5299">
        <v>191233</v>
      </c>
      <c r="M5299">
        <v>-223196</v>
      </c>
      <c r="N5299">
        <v>205749</v>
      </c>
      <c r="O5299" t="s">
        <v>5317</v>
      </c>
      <c r="P5299" s="9">
        <v>200020</v>
      </c>
      <c r="Q5299" s="9">
        <v>18058</v>
      </c>
      <c r="R5299" s="9">
        <v>218078</v>
      </c>
      <c r="S5299" s="9">
        <v>-85005</v>
      </c>
      <c r="T5299" s="10">
        <v>81115</v>
      </c>
      <c r="U5299" s="10">
        <v>2091</v>
      </c>
    </row>
    <row r="5300" spans="1:21" x14ac:dyDescent="0.35">
      <c r="A5300" t="s">
        <v>15</v>
      </c>
      <c r="B5300" t="s">
        <v>20</v>
      </c>
      <c r="C5300" t="s">
        <v>17</v>
      </c>
      <c r="D5300">
        <v>220686</v>
      </c>
      <c r="E5300">
        <v>40764</v>
      </c>
      <c r="F5300">
        <v>35301</v>
      </c>
      <c r="G5300">
        <v>-185144</v>
      </c>
      <c r="H5300">
        <v>111607</v>
      </c>
      <c r="I5300">
        <v>113784</v>
      </c>
      <c r="J5300">
        <v>2193</v>
      </c>
      <c r="K5300">
        <v>484137</v>
      </c>
      <c r="L5300">
        <v>200556</v>
      </c>
      <c r="M5300">
        <v>-179222</v>
      </c>
      <c r="N5300">
        <v>82214</v>
      </c>
      <c r="O5300" t="s">
        <v>5318</v>
      </c>
      <c r="P5300" s="9">
        <v>187006</v>
      </c>
      <c r="Q5300" s="9">
        <v>41026</v>
      </c>
      <c r="R5300" s="9">
        <v>228032</v>
      </c>
      <c r="S5300" s="9">
        <v>-48656</v>
      </c>
      <c r="T5300" s="10">
        <v>75579</v>
      </c>
      <c r="U5300" s="10">
        <v>890</v>
      </c>
    </row>
    <row r="5301" spans="1:21" x14ac:dyDescent="0.35">
      <c r="A5301" t="s">
        <v>15</v>
      </c>
      <c r="B5301" t="s">
        <v>20</v>
      </c>
      <c r="C5301" t="s">
        <v>21</v>
      </c>
      <c r="D5301">
        <v>240965</v>
      </c>
      <c r="E5301">
        <v>15062</v>
      </c>
      <c r="F5301">
        <v>24331</v>
      </c>
      <c r="G5301">
        <v>-198851</v>
      </c>
      <c r="H5301">
        <v>81507</v>
      </c>
      <c r="I5301">
        <v>77021</v>
      </c>
      <c r="J5301">
        <v>1809</v>
      </c>
      <c r="K5301">
        <v>647853</v>
      </c>
      <c r="L5301">
        <v>142767</v>
      </c>
      <c r="M5301">
        <v>-121692</v>
      </c>
      <c r="N5301">
        <v>75541</v>
      </c>
      <c r="O5301" t="s">
        <v>5319</v>
      </c>
      <c r="P5301" s="9">
        <v>228758</v>
      </c>
      <c r="Q5301" s="9">
        <v>16789</v>
      </c>
      <c r="R5301" s="9">
        <v>245547</v>
      </c>
      <c r="S5301" s="9">
        <v>-112136</v>
      </c>
      <c r="T5301" s="10">
        <v>55710</v>
      </c>
      <c r="U5301" s="10">
        <v>1656</v>
      </c>
    </row>
    <row r="5302" spans="1:21" x14ac:dyDescent="0.35">
      <c r="A5302" t="s">
        <v>15</v>
      </c>
      <c r="B5302" t="s">
        <v>20</v>
      </c>
      <c r="C5302" t="s">
        <v>21</v>
      </c>
      <c r="D5302">
        <v>158991</v>
      </c>
      <c r="E5302">
        <v>8515</v>
      </c>
      <c r="F5302">
        <v>18660</v>
      </c>
      <c r="G5302">
        <v>-127739</v>
      </c>
      <c r="H5302">
        <v>58427</v>
      </c>
      <c r="I5302">
        <v>58465</v>
      </c>
      <c r="J5302">
        <v>1312</v>
      </c>
      <c r="K5302">
        <v>606104</v>
      </c>
      <c r="L5302">
        <v>66157</v>
      </c>
      <c r="M5302">
        <v>-148472</v>
      </c>
      <c r="N5302">
        <v>111962</v>
      </c>
      <c r="O5302" t="s">
        <v>5320</v>
      </c>
      <c r="P5302" s="9">
        <v>235442</v>
      </c>
      <c r="Q5302" s="9">
        <v>30645</v>
      </c>
      <c r="R5302" s="9">
        <v>266087</v>
      </c>
      <c r="S5302" s="9">
        <v>-156616</v>
      </c>
      <c r="T5302" s="10">
        <v>80244</v>
      </c>
      <c r="U5302" s="10">
        <v>846</v>
      </c>
    </row>
    <row r="5303" spans="1:21" x14ac:dyDescent="0.35">
      <c r="A5303" t="s">
        <v>15</v>
      </c>
      <c r="B5303" t="s">
        <v>20</v>
      </c>
      <c r="C5303" t="s">
        <v>17</v>
      </c>
      <c r="D5303">
        <v>240530</v>
      </c>
      <c r="E5303">
        <v>35639</v>
      </c>
      <c r="F5303">
        <v>38999</v>
      </c>
      <c r="G5303">
        <v>-232749</v>
      </c>
      <c r="H5303">
        <v>82419</v>
      </c>
      <c r="I5303">
        <v>86184</v>
      </c>
      <c r="J5303">
        <v>1335</v>
      </c>
      <c r="K5303">
        <v>596145</v>
      </c>
      <c r="L5303">
        <v>282943</v>
      </c>
      <c r="M5303">
        <v>-119810</v>
      </c>
      <c r="N5303">
        <v>145278</v>
      </c>
      <c r="O5303" t="s">
        <v>5321</v>
      </c>
      <c r="P5303" s="9">
        <v>267411</v>
      </c>
      <c r="Q5303" s="9">
        <v>50525</v>
      </c>
      <c r="R5303" s="9">
        <v>317936</v>
      </c>
      <c r="S5303" s="9">
        <v>-75809</v>
      </c>
      <c r="T5303" s="10">
        <v>103168</v>
      </c>
      <c r="U5303" s="10">
        <v>1969</v>
      </c>
    </row>
    <row r="5304" spans="1:21" x14ac:dyDescent="0.35">
      <c r="A5304" t="s">
        <v>15</v>
      </c>
      <c r="B5304" t="s">
        <v>16</v>
      </c>
      <c r="C5304" t="s">
        <v>17</v>
      </c>
      <c r="D5304">
        <v>170659</v>
      </c>
      <c r="E5304">
        <v>21895</v>
      </c>
      <c r="F5304">
        <v>25440</v>
      </c>
      <c r="G5304">
        <v>-151775</v>
      </c>
      <c r="H5304">
        <v>66219</v>
      </c>
      <c r="I5304">
        <v>61999</v>
      </c>
      <c r="J5304">
        <v>1696</v>
      </c>
      <c r="K5304">
        <v>451368</v>
      </c>
      <c r="L5304">
        <v>62307</v>
      </c>
      <c r="M5304">
        <v>-125231</v>
      </c>
      <c r="N5304">
        <v>129947</v>
      </c>
      <c r="O5304" t="s">
        <v>5322</v>
      </c>
      <c r="P5304" s="9">
        <v>319801</v>
      </c>
      <c r="Q5304" s="9">
        <v>23334</v>
      </c>
      <c r="R5304" s="9">
        <v>343135</v>
      </c>
      <c r="S5304" s="9">
        <v>-135632</v>
      </c>
      <c r="T5304" s="10">
        <v>79230</v>
      </c>
      <c r="U5304" s="10">
        <v>1645</v>
      </c>
    </row>
    <row r="5305" spans="1:21" x14ac:dyDescent="0.35">
      <c r="A5305" t="s">
        <v>15</v>
      </c>
      <c r="B5305" t="s">
        <v>20</v>
      </c>
      <c r="C5305" t="s">
        <v>21</v>
      </c>
      <c r="D5305">
        <v>208693</v>
      </c>
      <c r="E5305">
        <v>14802</v>
      </c>
      <c r="F5305">
        <v>31832</v>
      </c>
      <c r="G5305">
        <v>-178847</v>
      </c>
      <c r="H5305">
        <v>76480</v>
      </c>
      <c r="I5305">
        <v>80020</v>
      </c>
      <c r="J5305">
        <v>1793</v>
      </c>
      <c r="K5305">
        <v>619873</v>
      </c>
      <c r="L5305">
        <v>88111</v>
      </c>
      <c r="M5305">
        <v>-204953</v>
      </c>
      <c r="N5305">
        <v>115683</v>
      </c>
      <c r="O5305" t="s">
        <v>5323</v>
      </c>
      <c r="P5305" s="9">
        <v>290985</v>
      </c>
      <c r="Q5305" s="9">
        <v>16835</v>
      </c>
      <c r="R5305" s="9">
        <v>307820</v>
      </c>
      <c r="S5305" s="9">
        <v>-137119</v>
      </c>
      <c r="T5305" s="10">
        <v>130993</v>
      </c>
      <c r="U5305" s="10">
        <v>3651</v>
      </c>
    </row>
    <row r="5306" spans="1:21" x14ac:dyDescent="0.35">
      <c r="A5306" t="s">
        <v>15</v>
      </c>
      <c r="B5306" t="s">
        <v>20</v>
      </c>
      <c r="C5306" t="s">
        <v>21</v>
      </c>
      <c r="D5306">
        <v>165461</v>
      </c>
      <c r="E5306">
        <v>22382</v>
      </c>
      <c r="F5306">
        <v>33624</v>
      </c>
      <c r="G5306">
        <v>-148024</v>
      </c>
      <c r="H5306">
        <v>73443</v>
      </c>
      <c r="I5306">
        <v>72877</v>
      </c>
      <c r="J5306">
        <v>1538</v>
      </c>
      <c r="K5306">
        <v>568248</v>
      </c>
      <c r="L5306">
        <v>143417</v>
      </c>
      <c r="M5306">
        <v>-134241</v>
      </c>
      <c r="N5306">
        <v>114875</v>
      </c>
      <c r="O5306" t="s">
        <v>5324</v>
      </c>
      <c r="P5306" s="9">
        <v>239654</v>
      </c>
      <c r="Q5306" s="9">
        <v>15950</v>
      </c>
      <c r="R5306" s="9">
        <v>255604</v>
      </c>
      <c r="S5306" s="9">
        <v>-93879</v>
      </c>
      <c r="T5306" s="10">
        <v>52882</v>
      </c>
      <c r="U5306" s="10">
        <v>1015</v>
      </c>
    </row>
    <row r="5307" spans="1:21" x14ac:dyDescent="0.35">
      <c r="A5307" t="s">
        <v>15</v>
      </c>
      <c r="B5307" t="s">
        <v>16</v>
      </c>
      <c r="C5307" t="s">
        <v>17</v>
      </c>
      <c r="D5307">
        <v>186164</v>
      </c>
      <c r="E5307">
        <v>22445</v>
      </c>
      <c r="F5307">
        <v>40598</v>
      </c>
      <c r="G5307">
        <v>-168971</v>
      </c>
      <c r="H5307">
        <v>80236</v>
      </c>
      <c r="I5307">
        <v>75670</v>
      </c>
      <c r="J5307">
        <v>1010</v>
      </c>
      <c r="K5307">
        <v>548900</v>
      </c>
      <c r="L5307">
        <v>126076</v>
      </c>
      <c r="M5307">
        <v>-169016</v>
      </c>
      <c r="N5307">
        <v>86614</v>
      </c>
      <c r="O5307" t="s">
        <v>5325</v>
      </c>
      <c r="P5307" s="9">
        <v>228211</v>
      </c>
      <c r="Q5307" s="9">
        <v>32578</v>
      </c>
      <c r="R5307" s="9">
        <v>260789</v>
      </c>
      <c r="S5307" s="9">
        <v>-86630</v>
      </c>
      <c r="T5307" s="10">
        <v>101496</v>
      </c>
      <c r="U5307" s="10">
        <v>1702</v>
      </c>
    </row>
    <row r="5308" spans="1:21" x14ac:dyDescent="0.35">
      <c r="A5308" t="s">
        <v>15</v>
      </c>
      <c r="B5308" t="s">
        <v>16</v>
      </c>
      <c r="C5308" t="s">
        <v>21</v>
      </c>
      <c r="D5308">
        <v>251544</v>
      </c>
      <c r="E5308">
        <v>13516</v>
      </c>
      <c r="F5308">
        <v>57867</v>
      </c>
      <c r="G5308">
        <v>-204278</v>
      </c>
      <c r="H5308">
        <v>118649</v>
      </c>
      <c r="I5308">
        <v>119113</v>
      </c>
      <c r="J5308">
        <v>3245</v>
      </c>
      <c r="K5308">
        <v>645815</v>
      </c>
      <c r="L5308">
        <v>288807</v>
      </c>
      <c r="M5308">
        <v>-195557</v>
      </c>
      <c r="N5308">
        <v>226116</v>
      </c>
      <c r="O5308" t="s">
        <v>5326</v>
      </c>
      <c r="P5308" s="9">
        <v>277592</v>
      </c>
      <c r="Q5308" s="9">
        <v>32415</v>
      </c>
      <c r="R5308" s="9">
        <v>310007</v>
      </c>
      <c r="S5308" s="9">
        <v>-151543</v>
      </c>
      <c r="T5308" s="10">
        <v>67854</v>
      </c>
      <c r="U5308" s="10">
        <v>1965</v>
      </c>
    </row>
    <row r="5309" spans="1:21" x14ac:dyDescent="0.35">
      <c r="A5309" t="s">
        <v>15</v>
      </c>
      <c r="B5309" t="s">
        <v>16</v>
      </c>
      <c r="C5309" t="s">
        <v>21</v>
      </c>
      <c r="D5309">
        <v>288017</v>
      </c>
      <c r="E5309">
        <v>39623</v>
      </c>
      <c r="F5309">
        <v>51109</v>
      </c>
      <c r="G5309">
        <v>-257778</v>
      </c>
      <c r="H5309">
        <v>120971</v>
      </c>
      <c r="I5309">
        <v>125050</v>
      </c>
      <c r="J5309">
        <v>1368</v>
      </c>
      <c r="K5309">
        <v>822563</v>
      </c>
      <c r="L5309">
        <v>286734</v>
      </c>
      <c r="M5309">
        <v>-135212</v>
      </c>
      <c r="N5309">
        <v>207294</v>
      </c>
      <c r="O5309" t="s">
        <v>5327</v>
      </c>
      <c r="P5309" s="9">
        <v>162882</v>
      </c>
      <c r="Q5309" s="9">
        <v>9914</v>
      </c>
      <c r="R5309" s="9">
        <v>172796</v>
      </c>
      <c r="S5309" s="9">
        <v>-56224</v>
      </c>
      <c r="T5309" s="10">
        <v>46581</v>
      </c>
      <c r="U5309" s="10">
        <v>1268</v>
      </c>
    </row>
    <row r="5310" spans="1:21" x14ac:dyDescent="0.35">
      <c r="A5310" t="s">
        <v>15</v>
      </c>
      <c r="B5310" t="s">
        <v>16</v>
      </c>
      <c r="C5310" t="s">
        <v>21</v>
      </c>
      <c r="D5310">
        <v>209196</v>
      </c>
      <c r="E5310">
        <v>25200</v>
      </c>
      <c r="F5310">
        <v>28455</v>
      </c>
      <c r="G5310">
        <v>-200426</v>
      </c>
      <c r="H5310">
        <v>62425</v>
      </c>
      <c r="I5310">
        <v>61844</v>
      </c>
      <c r="J5310">
        <v>1209</v>
      </c>
      <c r="K5310">
        <v>661025</v>
      </c>
      <c r="L5310">
        <v>91016</v>
      </c>
      <c r="M5310">
        <v>-75348</v>
      </c>
      <c r="N5310">
        <v>68072</v>
      </c>
      <c r="O5310" t="s">
        <v>5328</v>
      </c>
      <c r="P5310" s="9">
        <v>269321</v>
      </c>
      <c r="Q5310" s="9">
        <v>11234</v>
      </c>
      <c r="R5310" s="9">
        <v>280555</v>
      </c>
      <c r="S5310" s="9">
        <v>-99697</v>
      </c>
      <c r="T5310" s="10">
        <v>76952</v>
      </c>
      <c r="U5310" s="10">
        <v>986</v>
      </c>
    </row>
    <row r="5311" spans="1:21" x14ac:dyDescent="0.35">
      <c r="A5311" t="s">
        <v>15</v>
      </c>
      <c r="B5311" t="s">
        <v>16</v>
      </c>
      <c r="C5311" t="s">
        <v>21</v>
      </c>
      <c r="D5311">
        <v>168197</v>
      </c>
      <c r="E5311">
        <v>20869</v>
      </c>
      <c r="F5311">
        <v>33442</v>
      </c>
      <c r="G5311">
        <v>-167891</v>
      </c>
      <c r="H5311">
        <v>54617</v>
      </c>
      <c r="I5311">
        <v>50833</v>
      </c>
      <c r="J5311">
        <v>1265</v>
      </c>
      <c r="K5311">
        <v>504422</v>
      </c>
      <c r="L5311">
        <v>243108</v>
      </c>
      <c r="M5311">
        <v>-184179</v>
      </c>
      <c r="N5311">
        <v>53198</v>
      </c>
      <c r="O5311" t="s">
        <v>5329</v>
      </c>
      <c r="P5311" s="9">
        <v>278803</v>
      </c>
      <c r="Q5311" s="9">
        <v>51510</v>
      </c>
      <c r="R5311" s="9">
        <v>330313</v>
      </c>
      <c r="S5311" s="9">
        <v>-91717</v>
      </c>
      <c r="T5311" s="10">
        <v>134329</v>
      </c>
      <c r="U5311" s="10">
        <v>2823</v>
      </c>
    </row>
    <row r="5312" spans="1:21" x14ac:dyDescent="0.35">
      <c r="A5312" t="s">
        <v>15</v>
      </c>
      <c r="B5312" t="s">
        <v>16</v>
      </c>
      <c r="C5312" t="s">
        <v>21</v>
      </c>
      <c r="D5312">
        <v>196466</v>
      </c>
      <c r="E5312">
        <v>18476</v>
      </c>
      <c r="F5312">
        <v>32921</v>
      </c>
      <c r="G5312">
        <v>-166535</v>
      </c>
      <c r="H5312">
        <v>81328</v>
      </c>
      <c r="I5312">
        <v>80553</v>
      </c>
      <c r="J5312">
        <v>1493</v>
      </c>
      <c r="K5312">
        <v>698770</v>
      </c>
      <c r="L5312">
        <v>209351</v>
      </c>
      <c r="M5312">
        <v>-70704</v>
      </c>
      <c r="N5312">
        <v>176362</v>
      </c>
      <c r="O5312" t="s">
        <v>5330</v>
      </c>
      <c r="P5312" s="9">
        <v>284569</v>
      </c>
      <c r="Q5312" s="9">
        <v>29035</v>
      </c>
      <c r="R5312" s="9">
        <v>313604</v>
      </c>
      <c r="S5312" s="9">
        <v>-133388</v>
      </c>
      <c r="T5312" s="10">
        <v>90089</v>
      </c>
      <c r="U5312" s="10">
        <v>1340</v>
      </c>
    </row>
    <row r="5313" spans="1:21" x14ac:dyDescent="0.35">
      <c r="A5313" t="s">
        <v>15</v>
      </c>
      <c r="B5313" t="s">
        <v>20</v>
      </c>
      <c r="C5313" t="s">
        <v>17</v>
      </c>
      <c r="D5313">
        <v>190427</v>
      </c>
      <c r="E5313">
        <v>24656</v>
      </c>
      <c r="F5313">
        <v>36664</v>
      </c>
      <c r="G5313">
        <v>-189628</v>
      </c>
      <c r="H5313">
        <v>62119</v>
      </c>
      <c r="I5313">
        <v>56099</v>
      </c>
      <c r="J5313">
        <v>1458</v>
      </c>
      <c r="K5313">
        <v>672745</v>
      </c>
      <c r="L5313">
        <v>286327</v>
      </c>
      <c r="M5313">
        <v>-230017</v>
      </c>
      <c r="N5313">
        <v>149657</v>
      </c>
      <c r="O5313" t="s">
        <v>5331</v>
      </c>
      <c r="P5313" s="9">
        <v>257509</v>
      </c>
      <c r="Q5313" s="9">
        <v>50357</v>
      </c>
      <c r="R5313" s="9">
        <v>307866</v>
      </c>
      <c r="S5313" s="9">
        <v>-113139</v>
      </c>
      <c r="T5313" s="10">
        <v>114465</v>
      </c>
      <c r="U5313" s="10">
        <v>1164</v>
      </c>
    </row>
    <row r="5314" spans="1:21" x14ac:dyDescent="0.35">
      <c r="A5314" t="s">
        <v>15</v>
      </c>
      <c r="B5314" t="s">
        <v>20</v>
      </c>
      <c r="C5314" t="s">
        <v>21</v>
      </c>
      <c r="D5314">
        <v>253192</v>
      </c>
      <c r="E5314">
        <v>21125</v>
      </c>
      <c r="F5314">
        <v>32913</v>
      </c>
      <c r="G5314">
        <v>-228193</v>
      </c>
      <c r="H5314">
        <v>79037</v>
      </c>
      <c r="I5314">
        <v>72353</v>
      </c>
      <c r="J5314">
        <v>2136</v>
      </c>
      <c r="K5314">
        <v>916965</v>
      </c>
      <c r="L5314">
        <v>327620</v>
      </c>
      <c r="M5314">
        <v>-223599</v>
      </c>
      <c r="N5314">
        <v>179810</v>
      </c>
      <c r="O5314" t="s">
        <v>5332</v>
      </c>
      <c r="P5314" s="9">
        <v>151259</v>
      </c>
      <c r="Q5314" s="9">
        <v>13410</v>
      </c>
      <c r="R5314" s="9">
        <v>164669</v>
      </c>
      <c r="S5314" s="9">
        <v>-38078</v>
      </c>
      <c r="T5314" s="10">
        <v>78336</v>
      </c>
      <c r="U5314" s="10">
        <v>1675</v>
      </c>
    </row>
    <row r="5315" spans="1:21" x14ac:dyDescent="0.35">
      <c r="A5315" t="s">
        <v>15</v>
      </c>
      <c r="B5315" t="s">
        <v>20</v>
      </c>
      <c r="C5315" t="s">
        <v>17</v>
      </c>
      <c r="D5315">
        <v>206699</v>
      </c>
      <c r="E5315">
        <v>32421</v>
      </c>
      <c r="F5315">
        <v>32794</v>
      </c>
      <c r="G5315">
        <v>-176185</v>
      </c>
      <c r="H5315">
        <v>95729</v>
      </c>
      <c r="I5315">
        <v>91215</v>
      </c>
      <c r="J5315">
        <v>2246</v>
      </c>
      <c r="K5315">
        <v>652807</v>
      </c>
      <c r="L5315">
        <v>303356</v>
      </c>
      <c r="M5315">
        <v>-192129</v>
      </c>
      <c r="N5315">
        <v>88223</v>
      </c>
      <c r="O5315" t="s">
        <v>5333</v>
      </c>
      <c r="P5315" s="9">
        <v>198362</v>
      </c>
      <c r="Q5315" s="9">
        <v>17464</v>
      </c>
      <c r="R5315" s="9">
        <v>215826</v>
      </c>
      <c r="S5315" s="9">
        <v>-45941</v>
      </c>
      <c r="T5315" s="10">
        <v>63419</v>
      </c>
      <c r="U5315" s="10">
        <v>1105</v>
      </c>
    </row>
    <row r="5316" spans="1:21" x14ac:dyDescent="0.35">
      <c r="A5316" t="s">
        <v>15</v>
      </c>
      <c r="B5316" t="s">
        <v>20</v>
      </c>
      <c r="C5316" t="s">
        <v>17</v>
      </c>
      <c r="D5316">
        <v>273927</v>
      </c>
      <c r="E5316">
        <v>41890</v>
      </c>
      <c r="F5316">
        <v>36289</v>
      </c>
      <c r="G5316">
        <v>-244227</v>
      </c>
      <c r="H5316">
        <v>107879</v>
      </c>
      <c r="I5316">
        <v>110342</v>
      </c>
      <c r="J5316">
        <v>2896</v>
      </c>
      <c r="K5316">
        <v>680123</v>
      </c>
      <c r="L5316">
        <v>294008</v>
      </c>
      <c r="M5316">
        <v>-179221</v>
      </c>
      <c r="N5316">
        <v>230655</v>
      </c>
      <c r="O5316" t="s">
        <v>5334</v>
      </c>
      <c r="P5316" s="9">
        <v>245233</v>
      </c>
      <c r="Q5316" s="9">
        <v>54630</v>
      </c>
      <c r="R5316" s="9">
        <v>299863</v>
      </c>
      <c r="S5316" s="9">
        <v>-149666</v>
      </c>
      <c r="T5316" s="10">
        <v>136181</v>
      </c>
      <c r="U5316" s="10">
        <v>1546</v>
      </c>
    </row>
    <row r="5317" spans="1:21" x14ac:dyDescent="0.35">
      <c r="A5317" t="s">
        <v>15</v>
      </c>
      <c r="B5317" t="s">
        <v>16</v>
      </c>
      <c r="C5317" t="s">
        <v>21</v>
      </c>
      <c r="D5317">
        <v>263887</v>
      </c>
      <c r="E5317">
        <v>36046</v>
      </c>
      <c r="F5317">
        <v>30131</v>
      </c>
      <c r="G5317">
        <v>-237294</v>
      </c>
      <c r="H5317">
        <v>92770</v>
      </c>
      <c r="I5317">
        <v>93568</v>
      </c>
      <c r="J5317">
        <v>2003</v>
      </c>
      <c r="K5317">
        <v>811969</v>
      </c>
      <c r="L5317">
        <v>288561</v>
      </c>
      <c r="M5317">
        <v>-166948</v>
      </c>
      <c r="N5317">
        <v>119897</v>
      </c>
      <c r="O5317" t="s">
        <v>5335</v>
      </c>
      <c r="P5317" s="9">
        <v>162766</v>
      </c>
      <c r="Q5317" s="9">
        <v>33886</v>
      </c>
      <c r="R5317" s="9">
        <v>196652</v>
      </c>
      <c r="S5317" s="9">
        <v>-45700</v>
      </c>
      <c r="T5317" s="10">
        <v>86510</v>
      </c>
      <c r="U5317" s="10">
        <v>1775</v>
      </c>
    </row>
    <row r="5318" spans="1:21" x14ac:dyDescent="0.35">
      <c r="A5318" t="s">
        <v>15</v>
      </c>
      <c r="B5318" t="s">
        <v>16</v>
      </c>
      <c r="C5318" t="s">
        <v>21</v>
      </c>
      <c r="D5318">
        <v>155037</v>
      </c>
      <c r="E5318">
        <v>13842</v>
      </c>
      <c r="F5318">
        <v>27111</v>
      </c>
      <c r="G5318">
        <v>-129906</v>
      </c>
      <c r="H5318">
        <v>66084</v>
      </c>
      <c r="I5318">
        <v>65973</v>
      </c>
      <c r="J5318">
        <v>1099</v>
      </c>
      <c r="K5318">
        <v>385716</v>
      </c>
      <c r="L5318">
        <v>170188</v>
      </c>
      <c r="M5318">
        <v>-91244</v>
      </c>
      <c r="N5318">
        <v>81483</v>
      </c>
      <c r="O5318" t="s">
        <v>5336</v>
      </c>
      <c r="P5318" s="9">
        <v>226821</v>
      </c>
      <c r="Q5318" s="9">
        <v>19810</v>
      </c>
      <c r="R5318" s="9">
        <v>246631</v>
      </c>
      <c r="S5318" s="9">
        <v>-66662</v>
      </c>
      <c r="T5318" s="10">
        <v>81257</v>
      </c>
      <c r="U5318" s="10">
        <v>2071</v>
      </c>
    </row>
    <row r="5319" spans="1:21" x14ac:dyDescent="0.35">
      <c r="A5319" t="s">
        <v>15</v>
      </c>
      <c r="B5319" t="s">
        <v>16</v>
      </c>
      <c r="C5319" t="s">
        <v>21</v>
      </c>
      <c r="D5319">
        <v>151680</v>
      </c>
      <c r="E5319">
        <v>15571</v>
      </c>
      <c r="F5319">
        <v>16601</v>
      </c>
      <c r="G5319">
        <v>-127402</v>
      </c>
      <c r="H5319">
        <v>56450</v>
      </c>
      <c r="I5319">
        <v>52446</v>
      </c>
      <c r="J5319">
        <v>1473</v>
      </c>
      <c r="K5319">
        <v>458814</v>
      </c>
      <c r="L5319">
        <v>139390</v>
      </c>
      <c r="M5319">
        <v>-82519</v>
      </c>
      <c r="N5319">
        <v>104570</v>
      </c>
      <c r="O5319" t="s">
        <v>5337</v>
      </c>
      <c r="P5319" s="9">
        <v>176193</v>
      </c>
      <c r="Q5319" s="9">
        <v>14392</v>
      </c>
      <c r="R5319" s="9">
        <v>190585</v>
      </c>
      <c r="S5319" s="9">
        <v>-101957</v>
      </c>
      <c r="T5319" s="10">
        <v>64672</v>
      </c>
      <c r="U5319" s="10">
        <v>1113</v>
      </c>
    </row>
    <row r="5320" spans="1:21" x14ac:dyDescent="0.35">
      <c r="A5320" t="s">
        <v>15</v>
      </c>
      <c r="B5320" t="s">
        <v>20</v>
      </c>
      <c r="C5320" t="s">
        <v>17</v>
      </c>
      <c r="D5320">
        <v>265846</v>
      </c>
      <c r="E5320">
        <v>22751</v>
      </c>
      <c r="F5320">
        <v>59439</v>
      </c>
      <c r="G5320">
        <v>-216433</v>
      </c>
      <c r="H5320">
        <v>131603</v>
      </c>
      <c r="I5320">
        <v>119871</v>
      </c>
      <c r="J5320">
        <v>2571</v>
      </c>
      <c r="K5320">
        <v>725439</v>
      </c>
      <c r="L5320">
        <v>171219</v>
      </c>
      <c r="M5320">
        <v>-74806</v>
      </c>
      <c r="N5320">
        <v>225775</v>
      </c>
      <c r="O5320" t="s">
        <v>5338</v>
      </c>
      <c r="P5320" s="9">
        <v>220883</v>
      </c>
      <c r="Q5320" s="9">
        <v>43749</v>
      </c>
      <c r="R5320" s="9">
        <v>264632</v>
      </c>
      <c r="S5320" s="9">
        <v>-58130</v>
      </c>
      <c r="T5320" s="10">
        <v>111376</v>
      </c>
      <c r="U5320" s="10">
        <v>1172</v>
      </c>
    </row>
    <row r="5321" spans="1:21" x14ac:dyDescent="0.35">
      <c r="A5321" t="s">
        <v>15</v>
      </c>
      <c r="B5321" t="s">
        <v>20</v>
      </c>
      <c r="C5321" t="s">
        <v>21</v>
      </c>
      <c r="D5321">
        <v>282733</v>
      </c>
      <c r="E5321">
        <v>56260</v>
      </c>
      <c r="F5321">
        <v>50532</v>
      </c>
      <c r="G5321">
        <v>-249608</v>
      </c>
      <c r="H5321">
        <v>139917</v>
      </c>
      <c r="I5321">
        <v>135132</v>
      </c>
      <c r="J5321">
        <v>2519</v>
      </c>
      <c r="K5321">
        <v>734792</v>
      </c>
      <c r="L5321">
        <v>246207</v>
      </c>
      <c r="M5321">
        <v>-103050</v>
      </c>
      <c r="N5321">
        <v>124111</v>
      </c>
      <c r="O5321" t="s">
        <v>5339</v>
      </c>
      <c r="P5321" s="9">
        <v>215699</v>
      </c>
      <c r="Q5321" s="9">
        <v>14703</v>
      </c>
      <c r="R5321" s="9">
        <v>230402</v>
      </c>
      <c r="S5321" s="9">
        <v>-137167</v>
      </c>
      <c r="T5321" s="10">
        <v>88048</v>
      </c>
      <c r="U5321" s="10">
        <v>1693</v>
      </c>
    </row>
    <row r="5322" spans="1:21" x14ac:dyDescent="0.35">
      <c r="A5322" t="s">
        <v>15</v>
      </c>
      <c r="B5322" t="s">
        <v>20</v>
      </c>
      <c r="C5322" t="s">
        <v>21</v>
      </c>
      <c r="D5322">
        <v>230343</v>
      </c>
      <c r="E5322">
        <v>36693</v>
      </c>
      <c r="F5322">
        <v>31905</v>
      </c>
      <c r="G5322">
        <v>-215138</v>
      </c>
      <c r="H5322">
        <v>83803</v>
      </c>
      <c r="I5322">
        <v>82164</v>
      </c>
      <c r="J5322">
        <v>1673</v>
      </c>
      <c r="K5322">
        <v>542191</v>
      </c>
      <c r="L5322">
        <v>83874</v>
      </c>
      <c r="M5322">
        <v>-119278</v>
      </c>
      <c r="N5322">
        <v>203772</v>
      </c>
      <c r="O5322" t="s">
        <v>5340</v>
      </c>
      <c r="P5322" s="9">
        <v>269268</v>
      </c>
      <c r="Q5322" s="9">
        <v>17063</v>
      </c>
      <c r="R5322" s="9">
        <v>286331</v>
      </c>
      <c r="S5322" s="9">
        <v>-153694</v>
      </c>
      <c r="T5322" s="10">
        <v>90512</v>
      </c>
      <c r="U5322" s="10">
        <v>1896</v>
      </c>
    </row>
    <row r="5323" spans="1:21" x14ac:dyDescent="0.35">
      <c r="A5323" t="s">
        <v>15</v>
      </c>
      <c r="B5323" t="s">
        <v>20</v>
      </c>
      <c r="C5323" t="s">
        <v>21</v>
      </c>
      <c r="D5323">
        <v>255203</v>
      </c>
      <c r="E5323">
        <v>13229</v>
      </c>
      <c r="F5323">
        <v>50733</v>
      </c>
      <c r="G5323">
        <v>-231863</v>
      </c>
      <c r="H5323">
        <v>87302</v>
      </c>
      <c r="I5323">
        <v>84984</v>
      </c>
      <c r="J5323">
        <v>2118</v>
      </c>
      <c r="K5323">
        <v>613968</v>
      </c>
      <c r="L5323">
        <v>112941</v>
      </c>
      <c r="M5323">
        <v>-136554</v>
      </c>
      <c r="N5323">
        <v>154081</v>
      </c>
      <c r="O5323" t="s">
        <v>5341</v>
      </c>
      <c r="P5323" s="9">
        <v>218744</v>
      </c>
      <c r="Q5323" s="9">
        <v>12209</v>
      </c>
      <c r="R5323" s="9">
        <v>230953</v>
      </c>
      <c r="S5323" s="9">
        <v>-113561</v>
      </c>
      <c r="T5323" s="10">
        <v>68494</v>
      </c>
      <c r="U5323" s="10">
        <v>1592</v>
      </c>
    </row>
    <row r="5324" spans="1:21" x14ac:dyDescent="0.35">
      <c r="A5324" t="s">
        <v>15</v>
      </c>
      <c r="B5324" t="s">
        <v>16</v>
      </c>
      <c r="C5324" t="s">
        <v>21</v>
      </c>
      <c r="D5324">
        <v>203599</v>
      </c>
      <c r="E5324">
        <v>13374</v>
      </c>
      <c r="F5324">
        <v>45482</v>
      </c>
      <c r="G5324">
        <v>-172817</v>
      </c>
      <c r="H5324">
        <v>89638</v>
      </c>
      <c r="I5324">
        <v>81784</v>
      </c>
      <c r="J5324">
        <v>2351</v>
      </c>
      <c r="K5324">
        <v>529916</v>
      </c>
      <c r="L5324">
        <v>190961</v>
      </c>
      <c r="M5324">
        <v>-151841</v>
      </c>
      <c r="N5324">
        <v>141046</v>
      </c>
      <c r="O5324" t="s">
        <v>5342</v>
      </c>
      <c r="P5324" s="9">
        <v>252094</v>
      </c>
      <c r="Q5324" s="9">
        <v>37328</v>
      </c>
      <c r="R5324" s="9">
        <v>289422</v>
      </c>
      <c r="S5324" s="9">
        <v>-84321</v>
      </c>
      <c r="T5324" s="10">
        <v>120260</v>
      </c>
      <c r="U5324" s="10">
        <v>3176</v>
      </c>
    </row>
    <row r="5325" spans="1:21" x14ac:dyDescent="0.35">
      <c r="A5325" t="s">
        <v>15</v>
      </c>
      <c r="B5325" t="s">
        <v>20</v>
      </c>
      <c r="C5325" t="s">
        <v>17</v>
      </c>
      <c r="D5325">
        <v>261934</v>
      </c>
      <c r="E5325">
        <v>51016</v>
      </c>
      <c r="F5325">
        <v>32411</v>
      </c>
      <c r="G5325">
        <v>-209880</v>
      </c>
      <c r="H5325">
        <v>135481</v>
      </c>
      <c r="I5325">
        <v>137448</v>
      </c>
      <c r="J5325">
        <v>3643</v>
      </c>
      <c r="K5325">
        <v>969575</v>
      </c>
      <c r="L5325">
        <v>481844</v>
      </c>
      <c r="M5325">
        <v>-355654</v>
      </c>
      <c r="N5325">
        <v>95690</v>
      </c>
      <c r="O5325" t="s">
        <v>5343</v>
      </c>
      <c r="P5325" s="9">
        <v>271330</v>
      </c>
      <c r="Q5325" s="9">
        <v>30629</v>
      </c>
      <c r="R5325" s="9">
        <v>301959</v>
      </c>
      <c r="S5325" s="9">
        <v>-178320</v>
      </c>
      <c r="T5325" s="10">
        <v>136841</v>
      </c>
      <c r="U5325" s="10">
        <v>3214</v>
      </c>
    </row>
    <row r="5326" spans="1:21" x14ac:dyDescent="0.35">
      <c r="A5326" t="s">
        <v>15</v>
      </c>
      <c r="B5326" t="s">
        <v>16</v>
      </c>
      <c r="C5326" t="s">
        <v>21</v>
      </c>
      <c r="D5326">
        <v>283838</v>
      </c>
      <c r="E5326">
        <v>51030</v>
      </c>
      <c r="F5326">
        <v>40146</v>
      </c>
      <c r="G5326">
        <v>-283007</v>
      </c>
      <c r="H5326">
        <v>92007</v>
      </c>
      <c r="I5326">
        <v>87190</v>
      </c>
      <c r="J5326">
        <v>1124</v>
      </c>
      <c r="K5326">
        <v>914442</v>
      </c>
      <c r="L5326">
        <v>92378</v>
      </c>
      <c r="M5326">
        <v>-208342</v>
      </c>
      <c r="N5326">
        <v>92656</v>
      </c>
      <c r="O5326" t="s">
        <v>5344</v>
      </c>
      <c r="P5326" s="9">
        <v>243220</v>
      </c>
      <c r="Q5326" s="9">
        <v>23045</v>
      </c>
      <c r="R5326" s="9">
        <v>266265</v>
      </c>
      <c r="S5326" s="9">
        <v>-78418</v>
      </c>
      <c r="T5326" s="10">
        <v>91217</v>
      </c>
      <c r="U5326" s="10">
        <v>1798</v>
      </c>
    </row>
    <row r="5327" spans="1:21" x14ac:dyDescent="0.35">
      <c r="A5327" t="s">
        <v>15</v>
      </c>
      <c r="B5327" t="s">
        <v>20</v>
      </c>
      <c r="C5327" t="s">
        <v>17</v>
      </c>
      <c r="D5327">
        <v>165009</v>
      </c>
      <c r="E5327">
        <v>21764</v>
      </c>
      <c r="F5327">
        <v>26260</v>
      </c>
      <c r="G5327">
        <v>-157019</v>
      </c>
      <c r="H5327">
        <v>56014</v>
      </c>
      <c r="I5327">
        <v>50916</v>
      </c>
      <c r="J5327">
        <v>761</v>
      </c>
      <c r="K5327">
        <v>408607</v>
      </c>
      <c r="L5327">
        <v>119775</v>
      </c>
      <c r="M5327">
        <v>-104865</v>
      </c>
      <c r="N5327">
        <v>60667</v>
      </c>
      <c r="O5327" t="s">
        <v>5345</v>
      </c>
      <c r="P5327" s="9">
        <v>249720</v>
      </c>
      <c r="Q5327" s="9">
        <v>36470</v>
      </c>
      <c r="R5327" s="9">
        <v>286190</v>
      </c>
      <c r="S5327" s="9">
        <v>-125530</v>
      </c>
      <c r="T5327" s="10">
        <v>122668</v>
      </c>
      <c r="U5327" s="10">
        <v>2085</v>
      </c>
    </row>
    <row r="5328" spans="1:21" x14ac:dyDescent="0.35">
      <c r="A5328" t="s">
        <v>15</v>
      </c>
      <c r="B5328" t="s">
        <v>16</v>
      </c>
      <c r="C5328" t="s">
        <v>21</v>
      </c>
      <c r="D5328">
        <v>282927</v>
      </c>
      <c r="E5328">
        <v>37137</v>
      </c>
      <c r="F5328">
        <v>54300</v>
      </c>
      <c r="G5328">
        <v>-238629</v>
      </c>
      <c r="H5328">
        <v>135735</v>
      </c>
      <c r="I5328">
        <v>133785</v>
      </c>
      <c r="J5328">
        <v>2495</v>
      </c>
      <c r="K5328">
        <v>764034</v>
      </c>
      <c r="L5328">
        <v>168180</v>
      </c>
      <c r="M5328">
        <v>-106407</v>
      </c>
      <c r="N5328">
        <v>217398</v>
      </c>
      <c r="O5328" t="s">
        <v>5346</v>
      </c>
      <c r="P5328" s="9">
        <v>232896</v>
      </c>
      <c r="Q5328" s="9">
        <v>14940</v>
      </c>
      <c r="R5328" s="9">
        <v>247836</v>
      </c>
      <c r="S5328" s="9">
        <v>-118868</v>
      </c>
      <c r="T5328" s="10">
        <v>96048</v>
      </c>
      <c r="U5328" s="10">
        <v>1816</v>
      </c>
    </row>
    <row r="5329" spans="1:21" x14ac:dyDescent="0.35">
      <c r="A5329" t="s">
        <v>15</v>
      </c>
      <c r="B5329" t="s">
        <v>16</v>
      </c>
      <c r="C5329" t="s">
        <v>21</v>
      </c>
      <c r="D5329">
        <v>151273</v>
      </c>
      <c r="E5329">
        <v>27014</v>
      </c>
      <c r="F5329">
        <v>24052</v>
      </c>
      <c r="G5329">
        <v>-133680</v>
      </c>
      <c r="H5329">
        <v>68659</v>
      </c>
      <c r="I5329">
        <v>71581</v>
      </c>
      <c r="J5329">
        <v>1715</v>
      </c>
      <c r="K5329">
        <v>422181</v>
      </c>
      <c r="L5329">
        <v>141983</v>
      </c>
      <c r="M5329">
        <v>-96315</v>
      </c>
      <c r="N5329">
        <v>64715</v>
      </c>
      <c r="O5329" t="s">
        <v>5347</v>
      </c>
      <c r="P5329" s="9">
        <v>223142</v>
      </c>
      <c r="Q5329" s="9">
        <v>39211</v>
      </c>
      <c r="R5329" s="9">
        <v>262353</v>
      </c>
      <c r="S5329" s="9">
        <v>-116169</v>
      </c>
      <c r="T5329" s="10">
        <v>70304</v>
      </c>
      <c r="U5329" s="10">
        <v>1681</v>
      </c>
    </row>
    <row r="5330" spans="1:21" x14ac:dyDescent="0.35">
      <c r="A5330" t="s">
        <v>15</v>
      </c>
      <c r="B5330" t="s">
        <v>20</v>
      </c>
      <c r="C5330" t="s">
        <v>17</v>
      </c>
      <c r="D5330">
        <v>210583</v>
      </c>
      <c r="E5330">
        <v>26322</v>
      </c>
      <c r="F5330">
        <v>46676</v>
      </c>
      <c r="G5330">
        <v>-207329</v>
      </c>
      <c r="H5330">
        <v>76252</v>
      </c>
      <c r="I5330">
        <v>71337</v>
      </c>
      <c r="J5330">
        <v>746</v>
      </c>
      <c r="K5330">
        <v>678219</v>
      </c>
      <c r="L5330">
        <v>317966</v>
      </c>
      <c r="M5330">
        <v>-203453</v>
      </c>
      <c r="N5330">
        <v>175525</v>
      </c>
      <c r="O5330" t="s">
        <v>5348</v>
      </c>
      <c r="P5330" s="9">
        <v>214912</v>
      </c>
      <c r="Q5330" s="9">
        <v>13885</v>
      </c>
      <c r="R5330" s="9">
        <v>228797</v>
      </c>
      <c r="S5330" s="9">
        <v>-59320</v>
      </c>
      <c r="T5330" s="10">
        <v>67380</v>
      </c>
      <c r="U5330" s="10">
        <v>1638</v>
      </c>
    </row>
    <row r="5331" spans="1:21" x14ac:dyDescent="0.35">
      <c r="A5331" t="s">
        <v>15</v>
      </c>
      <c r="B5331" t="s">
        <v>16</v>
      </c>
      <c r="C5331" t="s">
        <v>21</v>
      </c>
      <c r="D5331">
        <v>190821</v>
      </c>
      <c r="E5331">
        <v>15954</v>
      </c>
      <c r="F5331">
        <v>34424</v>
      </c>
      <c r="G5331">
        <v>-173051</v>
      </c>
      <c r="H5331">
        <v>68148</v>
      </c>
      <c r="I5331">
        <v>63900</v>
      </c>
      <c r="J5331">
        <v>1479</v>
      </c>
      <c r="K5331">
        <v>683719</v>
      </c>
      <c r="L5331">
        <v>147449</v>
      </c>
      <c r="M5331">
        <v>-264891</v>
      </c>
      <c r="N5331">
        <v>158610</v>
      </c>
      <c r="O5331" t="s">
        <v>5349</v>
      </c>
      <c r="P5331" s="9">
        <v>200253</v>
      </c>
      <c r="Q5331" s="9">
        <v>19096</v>
      </c>
      <c r="R5331" s="9">
        <v>219349</v>
      </c>
      <c r="S5331" s="9">
        <v>-118834</v>
      </c>
      <c r="T5331" s="10">
        <v>104695</v>
      </c>
      <c r="U5331" s="10">
        <v>1184</v>
      </c>
    </row>
    <row r="5332" spans="1:21" x14ac:dyDescent="0.35">
      <c r="A5332" t="s">
        <v>15</v>
      </c>
      <c r="B5332" t="s">
        <v>20</v>
      </c>
      <c r="C5332" t="s">
        <v>17</v>
      </c>
      <c r="D5332">
        <v>171714</v>
      </c>
      <c r="E5332">
        <v>28216</v>
      </c>
      <c r="F5332">
        <v>29991</v>
      </c>
      <c r="G5332">
        <v>-163707</v>
      </c>
      <c r="H5332">
        <v>66214</v>
      </c>
      <c r="I5332">
        <v>62784</v>
      </c>
      <c r="J5332">
        <v>854</v>
      </c>
      <c r="K5332">
        <v>435121</v>
      </c>
      <c r="L5332">
        <v>144507</v>
      </c>
      <c r="M5332">
        <v>-61058</v>
      </c>
      <c r="N5332">
        <v>51915</v>
      </c>
      <c r="O5332" t="s">
        <v>5350</v>
      </c>
      <c r="P5332" s="9">
        <v>211239</v>
      </c>
      <c r="Q5332" s="9">
        <v>34603</v>
      </c>
      <c r="R5332" s="9">
        <v>245842</v>
      </c>
      <c r="S5332" s="9">
        <v>-51884</v>
      </c>
      <c r="T5332" s="10">
        <v>72655</v>
      </c>
      <c r="U5332" s="10">
        <v>1276</v>
      </c>
    </row>
    <row r="5333" spans="1:21" x14ac:dyDescent="0.35">
      <c r="A5333" t="s">
        <v>15</v>
      </c>
      <c r="B5333" t="s">
        <v>20</v>
      </c>
      <c r="C5333" t="s">
        <v>21</v>
      </c>
      <c r="D5333">
        <v>248280</v>
      </c>
      <c r="E5333">
        <v>48121</v>
      </c>
      <c r="F5333">
        <v>43714</v>
      </c>
      <c r="G5333">
        <v>-231790</v>
      </c>
      <c r="H5333">
        <v>108325</v>
      </c>
      <c r="I5333">
        <v>112885</v>
      </c>
      <c r="J5333">
        <v>2779</v>
      </c>
      <c r="K5333">
        <v>721218</v>
      </c>
      <c r="L5333">
        <v>329884</v>
      </c>
      <c r="M5333">
        <v>-80368</v>
      </c>
      <c r="N5333">
        <v>82461</v>
      </c>
      <c r="O5333" t="s">
        <v>5351</v>
      </c>
      <c r="P5333" s="9">
        <v>240028</v>
      </c>
      <c r="Q5333" s="9">
        <v>24073</v>
      </c>
      <c r="R5333" s="9">
        <v>264101</v>
      </c>
      <c r="S5333" s="9">
        <v>-158014</v>
      </c>
      <c r="T5333" s="10">
        <v>69933</v>
      </c>
      <c r="U5333" s="10">
        <v>1049</v>
      </c>
    </row>
    <row r="5334" spans="1:21" x14ac:dyDescent="0.35">
      <c r="A5334" t="s">
        <v>15</v>
      </c>
      <c r="B5334" t="s">
        <v>16</v>
      </c>
      <c r="C5334" t="s">
        <v>21</v>
      </c>
      <c r="D5334">
        <v>177533</v>
      </c>
      <c r="E5334">
        <v>21457</v>
      </c>
      <c r="F5334">
        <v>28749</v>
      </c>
      <c r="G5334">
        <v>-145745</v>
      </c>
      <c r="H5334">
        <v>81994</v>
      </c>
      <c r="I5334">
        <v>81185</v>
      </c>
      <c r="J5334">
        <v>1605</v>
      </c>
      <c r="K5334">
        <v>543885</v>
      </c>
      <c r="L5334">
        <v>102000</v>
      </c>
      <c r="M5334">
        <v>-200428</v>
      </c>
      <c r="N5334">
        <v>80923</v>
      </c>
      <c r="O5334" t="s">
        <v>5352</v>
      </c>
      <c r="P5334" s="9">
        <v>166795</v>
      </c>
      <c r="Q5334" s="9">
        <v>15702</v>
      </c>
      <c r="R5334" s="9">
        <v>182497</v>
      </c>
      <c r="S5334" s="9">
        <v>-77414</v>
      </c>
      <c r="T5334" s="10">
        <v>60916</v>
      </c>
      <c r="U5334" s="10">
        <v>1451</v>
      </c>
    </row>
    <row r="5335" spans="1:21" x14ac:dyDescent="0.35">
      <c r="A5335" t="s">
        <v>15</v>
      </c>
      <c r="B5335" t="s">
        <v>16</v>
      </c>
      <c r="C5335" t="s">
        <v>21</v>
      </c>
      <c r="D5335">
        <v>243942</v>
      </c>
      <c r="E5335">
        <v>18635</v>
      </c>
      <c r="F5335">
        <v>42449</v>
      </c>
      <c r="G5335">
        <v>-197448</v>
      </c>
      <c r="H5335">
        <v>107578</v>
      </c>
      <c r="I5335">
        <v>105690</v>
      </c>
      <c r="J5335">
        <v>1487</v>
      </c>
      <c r="K5335">
        <v>666449</v>
      </c>
      <c r="L5335">
        <v>77098</v>
      </c>
      <c r="M5335">
        <v>-247426</v>
      </c>
      <c r="N5335">
        <v>155658</v>
      </c>
      <c r="O5335" t="s">
        <v>5353</v>
      </c>
      <c r="P5335" s="9">
        <v>250114</v>
      </c>
      <c r="Q5335" s="9">
        <v>15342</v>
      </c>
      <c r="R5335" s="9">
        <v>265456</v>
      </c>
      <c r="S5335" s="9">
        <v>-155735</v>
      </c>
      <c r="T5335" s="10">
        <v>56967</v>
      </c>
      <c r="U5335" s="10">
        <v>1387</v>
      </c>
    </row>
    <row r="5336" spans="1:21" x14ac:dyDescent="0.35">
      <c r="A5336" t="s">
        <v>15</v>
      </c>
      <c r="B5336" t="s">
        <v>16</v>
      </c>
      <c r="C5336" t="s">
        <v>21</v>
      </c>
      <c r="D5336">
        <v>153943</v>
      </c>
      <c r="E5336">
        <v>13320</v>
      </c>
      <c r="F5336">
        <v>19339</v>
      </c>
      <c r="G5336">
        <v>-143209</v>
      </c>
      <c r="H5336">
        <v>43393</v>
      </c>
      <c r="I5336">
        <v>41634</v>
      </c>
      <c r="J5336">
        <v>441</v>
      </c>
      <c r="K5336">
        <v>518412</v>
      </c>
      <c r="L5336">
        <v>135412</v>
      </c>
      <c r="M5336">
        <v>-123956</v>
      </c>
      <c r="N5336">
        <v>81762</v>
      </c>
      <c r="O5336" t="s">
        <v>5354</v>
      </c>
      <c r="P5336" s="9">
        <v>241200</v>
      </c>
      <c r="Q5336" s="9">
        <v>20523</v>
      </c>
      <c r="R5336" s="9">
        <v>261723</v>
      </c>
      <c r="S5336" s="9">
        <v>-152145</v>
      </c>
      <c r="T5336" s="10">
        <v>68322</v>
      </c>
      <c r="U5336" s="10">
        <v>775</v>
      </c>
    </row>
    <row r="5337" spans="1:21" x14ac:dyDescent="0.35">
      <c r="A5337" t="s">
        <v>15</v>
      </c>
      <c r="B5337" t="s">
        <v>20</v>
      </c>
      <c r="C5337" t="s">
        <v>21</v>
      </c>
      <c r="D5337">
        <v>289570</v>
      </c>
      <c r="E5337">
        <v>22403</v>
      </c>
      <c r="F5337">
        <v>61245</v>
      </c>
      <c r="G5337">
        <v>-281316</v>
      </c>
      <c r="H5337">
        <v>91902</v>
      </c>
      <c r="I5337">
        <v>84531</v>
      </c>
      <c r="J5337">
        <v>1268</v>
      </c>
      <c r="K5337">
        <v>810664</v>
      </c>
      <c r="L5337">
        <v>195660</v>
      </c>
      <c r="M5337">
        <v>-105765</v>
      </c>
      <c r="N5337">
        <v>188078</v>
      </c>
      <c r="O5337" t="s">
        <v>5355</v>
      </c>
      <c r="P5337" s="9">
        <v>307785</v>
      </c>
      <c r="Q5337" s="9">
        <v>14883</v>
      </c>
      <c r="R5337" s="9">
        <v>322668</v>
      </c>
      <c r="S5337" s="9">
        <v>-177737</v>
      </c>
      <c r="T5337" s="10">
        <v>76276</v>
      </c>
      <c r="U5337" s="10">
        <v>1018</v>
      </c>
    </row>
    <row r="5338" spans="1:21" x14ac:dyDescent="0.35">
      <c r="A5338" t="s">
        <v>15</v>
      </c>
      <c r="B5338" t="s">
        <v>16</v>
      </c>
      <c r="C5338" t="s">
        <v>21</v>
      </c>
      <c r="D5338">
        <v>280300</v>
      </c>
      <c r="E5338">
        <v>55294</v>
      </c>
      <c r="F5338">
        <v>33816</v>
      </c>
      <c r="G5338">
        <v>-265879</v>
      </c>
      <c r="H5338">
        <v>103531</v>
      </c>
      <c r="I5338">
        <v>106167</v>
      </c>
      <c r="J5338">
        <v>1485</v>
      </c>
      <c r="K5338">
        <v>645869</v>
      </c>
      <c r="L5338">
        <v>156647</v>
      </c>
      <c r="M5338">
        <v>-233285</v>
      </c>
      <c r="N5338">
        <v>98945</v>
      </c>
      <c r="O5338" t="s">
        <v>5356</v>
      </c>
      <c r="P5338" s="9">
        <v>174739</v>
      </c>
      <c r="Q5338" s="9">
        <v>16016</v>
      </c>
      <c r="R5338" s="9">
        <v>190755</v>
      </c>
      <c r="S5338" s="9">
        <v>-110727</v>
      </c>
      <c r="T5338" s="10">
        <v>45783</v>
      </c>
      <c r="U5338" s="10">
        <v>1126</v>
      </c>
    </row>
    <row r="5339" spans="1:21" x14ac:dyDescent="0.35">
      <c r="A5339" t="s">
        <v>15</v>
      </c>
      <c r="B5339" t="s">
        <v>16</v>
      </c>
      <c r="C5339" t="s">
        <v>17</v>
      </c>
      <c r="D5339">
        <v>155407</v>
      </c>
      <c r="E5339">
        <v>17718</v>
      </c>
      <c r="F5339">
        <v>33835</v>
      </c>
      <c r="G5339">
        <v>-135367</v>
      </c>
      <c r="H5339">
        <v>71593</v>
      </c>
      <c r="I5339">
        <v>72627</v>
      </c>
      <c r="J5339">
        <v>880</v>
      </c>
      <c r="K5339">
        <v>401655</v>
      </c>
      <c r="L5339">
        <v>141985</v>
      </c>
      <c r="M5339">
        <v>-100063</v>
      </c>
      <c r="N5339">
        <v>120359</v>
      </c>
      <c r="O5339" t="s">
        <v>5357</v>
      </c>
      <c r="P5339" s="9">
        <v>193385</v>
      </c>
      <c r="Q5339" s="9">
        <v>27337</v>
      </c>
      <c r="R5339" s="9">
        <v>220722</v>
      </c>
      <c r="S5339" s="9">
        <v>-71698</v>
      </c>
      <c r="T5339" s="10">
        <v>70478</v>
      </c>
      <c r="U5339" s="10">
        <v>2001</v>
      </c>
    </row>
    <row r="5340" spans="1:21" x14ac:dyDescent="0.35">
      <c r="A5340" t="s">
        <v>15</v>
      </c>
      <c r="B5340" t="s">
        <v>16</v>
      </c>
      <c r="C5340" t="s">
        <v>21</v>
      </c>
      <c r="D5340">
        <v>270412</v>
      </c>
      <c r="E5340">
        <v>43421</v>
      </c>
      <c r="F5340">
        <v>41921</v>
      </c>
      <c r="G5340">
        <v>-264393</v>
      </c>
      <c r="H5340">
        <v>91361</v>
      </c>
      <c r="I5340">
        <v>88681</v>
      </c>
      <c r="J5340">
        <v>1245</v>
      </c>
      <c r="K5340">
        <v>1068767</v>
      </c>
      <c r="L5340">
        <v>193459</v>
      </c>
      <c r="M5340">
        <v>-346884</v>
      </c>
      <c r="N5340">
        <v>124503</v>
      </c>
      <c r="O5340" t="s">
        <v>5358</v>
      </c>
      <c r="P5340" s="9">
        <v>191817</v>
      </c>
      <c r="Q5340" s="9">
        <v>33762</v>
      </c>
      <c r="R5340" s="9">
        <v>225579</v>
      </c>
      <c r="S5340" s="9">
        <v>-61897</v>
      </c>
      <c r="T5340" s="10">
        <v>107153</v>
      </c>
      <c r="U5340" s="10">
        <v>1789</v>
      </c>
    </row>
    <row r="5341" spans="1:21" x14ac:dyDescent="0.35">
      <c r="A5341" t="s">
        <v>15</v>
      </c>
      <c r="B5341" t="s">
        <v>16</v>
      </c>
      <c r="C5341" t="s">
        <v>17</v>
      </c>
      <c r="D5341">
        <v>234255</v>
      </c>
      <c r="E5341">
        <v>20799</v>
      </c>
      <c r="F5341">
        <v>41097</v>
      </c>
      <c r="G5341">
        <v>-190007</v>
      </c>
      <c r="H5341">
        <v>106144</v>
      </c>
      <c r="I5341">
        <v>95757</v>
      </c>
      <c r="J5341">
        <v>2444</v>
      </c>
      <c r="K5341">
        <v>796455</v>
      </c>
      <c r="L5341">
        <v>240562</v>
      </c>
      <c r="M5341">
        <v>-220611</v>
      </c>
      <c r="N5341">
        <v>84294</v>
      </c>
      <c r="O5341" t="s">
        <v>5359</v>
      </c>
      <c r="P5341" s="9">
        <v>210561</v>
      </c>
      <c r="Q5341" s="9">
        <v>24218</v>
      </c>
      <c r="R5341" s="9">
        <v>234779</v>
      </c>
      <c r="S5341" s="9">
        <v>-89514</v>
      </c>
      <c r="T5341" s="10">
        <v>66972</v>
      </c>
      <c r="U5341" s="10">
        <v>1355</v>
      </c>
    </row>
    <row r="5342" spans="1:21" x14ac:dyDescent="0.35">
      <c r="A5342" t="s">
        <v>15</v>
      </c>
      <c r="B5342" t="s">
        <v>20</v>
      </c>
      <c r="C5342" t="s">
        <v>21</v>
      </c>
      <c r="D5342">
        <v>261916</v>
      </c>
      <c r="E5342">
        <v>46667</v>
      </c>
      <c r="F5342">
        <v>32824</v>
      </c>
      <c r="G5342">
        <v>-244089</v>
      </c>
      <c r="H5342">
        <v>97318</v>
      </c>
      <c r="I5342">
        <v>93313</v>
      </c>
      <c r="J5342">
        <v>2283</v>
      </c>
      <c r="K5342">
        <v>1014214</v>
      </c>
      <c r="L5342">
        <v>267632</v>
      </c>
      <c r="M5342">
        <v>-361116</v>
      </c>
      <c r="N5342">
        <v>224550</v>
      </c>
      <c r="O5342" t="s">
        <v>5360</v>
      </c>
      <c r="P5342" s="9">
        <v>201324</v>
      </c>
      <c r="Q5342" s="9">
        <v>37892</v>
      </c>
      <c r="R5342" s="9">
        <v>239216</v>
      </c>
      <c r="S5342" s="9">
        <v>-127765</v>
      </c>
      <c r="T5342" s="10">
        <v>80374</v>
      </c>
      <c r="U5342" s="10">
        <v>2305</v>
      </c>
    </row>
    <row r="5343" spans="1:21" x14ac:dyDescent="0.35">
      <c r="A5343" t="s">
        <v>15</v>
      </c>
      <c r="B5343" t="s">
        <v>16</v>
      </c>
      <c r="C5343" t="s">
        <v>17</v>
      </c>
      <c r="D5343">
        <v>282270</v>
      </c>
      <c r="E5343">
        <v>39038</v>
      </c>
      <c r="F5343">
        <v>44970</v>
      </c>
      <c r="G5343">
        <v>-252486</v>
      </c>
      <c r="H5343">
        <v>113792</v>
      </c>
      <c r="I5343">
        <v>103057</v>
      </c>
      <c r="J5343">
        <v>1699</v>
      </c>
      <c r="K5343">
        <v>1091826</v>
      </c>
      <c r="L5343">
        <v>505661</v>
      </c>
      <c r="M5343">
        <v>-110075</v>
      </c>
      <c r="N5343">
        <v>202764</v>
      </c>
      <c r="O5343" t="s">
        <v>5361</v>
      </c>
      <c r="P5343" s="9">
        <v>279946</v>
      </c>
      <c r="Q5343" s="9">
        <v>29059</v>
      </c>
      <c r="R5343" s="9">
        <v>309005</v>
      </c>
      <c r="S5343" s="9">
        <v>-109851</v>
      </c>
      <c r="T5343" s="10">
        <v>133981</v>
      </c>
      <c r="U5343" s="10">
        <v>3143</v>
      </c>
    </row>
    <row r="5344" spans="1:21" x14ac:dyDescent="0.35">
      <c r="A5344" t="s">
        <v>15</v>
      </c>
      <c r="B5344" t="s">
        <v>16</v>
      </c>
      <c r="C5344" t="s">
        <v>21</v>
      </c>
      <c r="D5344">
        <v>188451</v>
      </c>
      <c r="E5344">
        <v>10072</v>
      </c>
      <c r="F5344">
        <v>39843</v>
      </c>
      <c r="G5344">
        <v>-151522</v>
      </c>
      <c r="H5344">
        <v>86844</v>
      </c>
      <c r="I5344">
        <v>90042</v>
      </c>
      <c r="J5344">
        <v>1383</v>
      </c>
      <c r="K5344">
        <v>618493</v>
      </c>
      <c r="L5344">
        <v>200818</v>
      </c>
      <c r="M5344">
        <v>-202204</v>
      </c>
      <c r="N5344">
        <v>127676</v>
      </c>
      <c r="O5344" t="s">
        <v>5362</v>
      </c>
      <c r="P5344" s="9">
        <v>259426</v>
      </c>
      <c r="Q5344" s="9">
        <v>15495</v>
      </c>
      <c r="R5344" s="9">
        <v>274921</v>
      </c>
      <c r="S5344" s="9">
        <v>-79321</v>
      </c>
      <c r="T5344" s="10">
        <v>65348</v>
      </c>
      <c r="U5344" s="10">
        <v>1406</v>
      </c>
    </row>
    <row r="5345" spans="1:21" x14ac:dyDescent="0.35">
      <c r="A5345" t="s">
        <v>15</v>
      </c>
      <c r="B5345" t="s">
        <v>20</v>
      </c>
      <c r="C5345" t="s">
        <v>21</v>
      </c>
      <c r="D5345">
        <v>257958</v>
      </c>
      <c r="E5345">
        <v>24400</v>
      </c>
      <c r="F5345">
        <v>37949</v>
      </c>
      <c r="G5345">
        <v>-213219</v>
      </c>
      <c r="H5345">
        <v>107088</v>
      </c>
      <c r="I5345">
        <v>98121</v>
      </c>
      <c r="J5345">
        <v>2179</v>
      </c>
      <c r="K5345">
        <v>605276</v>
      </c>
      <c r="L5345">
        <v>114936</v>
      </c>
      <c r="M5345">
        <v>-93419</v>
      </c>
      <c r="N5345">
        <v>86497</v>
      </c>
      <c r="O5345" t="s">
        <v>5363</v>
      </c>
      <c r="P5345" s="9">
        <v>319251</v>
      </c>
      <c r="Q5345" s="9">
        <v>28384</v>
      </c>
      <c r="R5345" s="9">
        <v>347635</v>
      </c>
      <c r="S5345" s="9">
        <v>-90134</v>
      </c>
      <c r="T5345" s="10">
        <v>135306</v>
      </c>
      <c r="U5345" s="10">
        <v>3951</v>
      </c>
    </row>
    <row r="5346" spans="1:21" x14ac:dyDescent="0.35">
      <c r="A5346" t="s">
        <v>15</v>
      </c>
      <c r="B5346" t="s">
        <v>16</v>
      </c>
      <c r="C5346" t="s">
        <v>17</v>
      </c>
      <c r="D5346">
        <v>180353</v>
      </c>
      <c r="E5346">
        <v>15524</v>
      </c>
      <c r="F5346">
        <v>27468</v>
      </c>
      <c r="G5346">
        <v>-146267</v>
      </c>
      <c r="H5346">
        <v>77078</v>
      </c>
      <c r="I5346">
        <v>73099</v>
      </c>
      <c r="J5346">
        <v>954</v>
      </c>
      <c r="K5346">
        <v>570105</v>
      </c>
      <c r="L5346">
        <v>61735</v>
      </c>
      <c r="M5346">
        <v>-212939</v>
      </c>
      <c r="N5346">
        <v>92061</v>
      </c>
      <c r="O5346" t="s">
        <v>5364</v>
      </c>
      <c r="P5346" s="9">
        <v>197653</v>
      </c>
      <c r="Q5346" s="9">
        <v>21870</v>
      </c>
      <c r="R5346" s="9">
        <v>219523</v>
      </c>
      <c r="S5346" s="9">
        <v>-125766</v>
      </c>
      <c r="T5346" s="10">
        <v>80602</v>
      </c>
      <c r="U5346" s="10">
        <v>1946</v>
      </c>
    </row>
    <row r="5347" spans="1:21" x14ac:dyDescent="0.35">
      <c r="A5347" t="s">
        <v>15</v>
      </c>
      <c r="B5347" t="s">
        <v>16</v>
      </c>
      <c r="C5347" t="s">
        <v>21</v>
      </c>
      <c r="D5347">
        <v>189906</v>
      </c>
      <c r="E5347">
        <v>20464</v>
      </c>
      <c r="F5347">
        <v>22547</v>
      </c>
      <c r="G5347">
        <v>-166417</v>
      </c>
      <c r="H5347">
        <v>66500</v>
      </c>
      <c r="I5347">
        <v>67334</v>
      </c>
      <c r="J5347">
        <v>1053</v>
      </c>
      <c r="K5347">
        <v>754750</v>
      </c>
      <c r="L5347">
        <v>302976</v>
      </c>
      <c r="M5347">
        <v>-203296</v>
      </c>
      <c r="N5347">
        <v>124020</v>
      </c>
      <c r="O5347" t="s">
        <v>5365</v>
      </c>
      <c r="P5347" s="9">
        <v>252671</v>
      </c>
      <c r="Q5347" s="9">
        <v>31873</v>
      </c>
      <c r="R5347" s="9">
        <v>284544</v>
      </c>
      <c r="S5347" s="9">
        <v>-155396</v>
      </c>
      <c r="T5347" s="10">
        <v>107486</v>
      </c>
      <c r="U5347" s="10">
        <v>2624</v>
      </c>
    </row>
    <row r="5348" spans="1:21" x14ac:dyDescent="0.35">
      <c r="A5348" t="s">
        <v>15</v>
      </c>
      <c r="B5348" t="s">
        <v>16</v>
      </c>
      <c r="C5348" t="s">
        <v>17</v>
      </c>
      <c r="D5348">
        <v>286522</v>
      </c>
      <c r="E5348">
        <v>47599</v>
      </c>
      <c r="F5348">
        <v>42838</v>
      </c>
      <c r="G5348">
        <v>-261838</v>
      </c>
      <c r="H5348">
        <v>115121</v>
      </c>
      <c r="I5348">
        <v>114814</v>
      </c>
      <c r="J5348">
        <v>2630</v>
      </c>
      <c r="K5348">
        <v>899973</v>
      </c>
      <c r="L5348">
        <v>201468</v>
      </c>
      <c r="M5348">
        <v>-109596</v>
      </c>
      <c r="N5348">
        <v>177920</v>
      </c>
      <c r="O5348" t="s">
        <v>5366</v>
      </c>
      <c r="P5348" s="9">
        <v>276339</v>
      </c>
      <c r="Q5348" s="9">
        <v>14864</v>
      </c>
      <c r="R5348" s="9">
        <v>291203</v>
      </c>
      <c r="S5348" s="9">
        <v>-107733</v>
      </c>
      <c r="T5348" s="10">
        <v>84395</v>
      </c>
      <c r="U5348" s="10">
        <v>1697</v>
      </c>
    </row>
    <row r="5349" spans="1:21" x14ac:dyDescent="0.35">
      <c r="A5349" t="s">
        <v>15</v>
      </c>
      <c r="B5349" t="s">
        <v>16</v>
      </c>
      <c r="C5349" t="s">
        <v>21</v>
      </c>
      <c r="D5349">
        <v>151427</v>
      </c>
      <c r="E5349">
        <v>18893</v>
      </c>
      <c r="F5349">
        <v>34983</v>
      </c>
      <c r="G5349">
        <v>-139711</v>
      </c>
      <c r="H5349">
        <v>65592</v>
      </c>
      <c r="I5349">
        <v>66209</v>
      </c>
      <c r="J5349">
        <v>1178</v>
      </c>
      <c r="K5349">
        <v>567378</v>
      </c>
      <c r="L5349">
        <v>189709</v>
      </c>
      <c r="M5349">
        <v>-110951</v>
      </c>
      <c r="N5349">
        <v>79339</v>
      </c>
      <c r="O5349" t="s">
        <v>5367</v>
      </c>
      <c r="P5349" s="9">
        <v>231985</v>
      </c>
      <c r="Q5349" s="9">
        <v>11820</v>
      </c>
      <c r="R5349" s="9">
        <v>243805</v>
      </c>
      <c r="S5349" s="9">
        <v>-54943</v>
      </c>
      <c r="T5349" s="10">
        <v>72299</v>
      </c>
      <c r="U5349" s="10">
        <v>1006</v>
      </c>
    </row>
    <row r="5350" spans="1:21" x14ac:dyDescent="0.35">
      <c r="A5350" t="s">
        <v>15</v>
      </c>
      <c r="B5350" t="s">
        <v>20</v>
      </c>
      <c r="C5350" t="s">
        <v>21</v>
      </c>
      <c r="D5350">
        <v>193459</v>
      </c>
      <c r="E5350">
        <v>23574</v>
      </c>
      <c r="F5350">
        <v>43564</v>
      </c>
      <c r="G5350">
        <v>-192951</v>
      </c>
      <c r="H5350">
        <v>67646</v>
      </c>
      <c r="I5350">
        <v>66519</v>
      </c>
      <c r="J5350">
        <v>1399</v>
      </c>
      <c r="K5350">
        <v>453805</v>
      </c>
      <c r="L5350">
        <v>153292</v>
      </c>
      <c r="M5350">
        <v>-54228</v>
      </c>
      <c r="N5350">
        <v>117689</v>
      </c>
      <c r="O5350" t="s">
        <v>5368</v>
      </c>
      <c r="P5350" s="9">
        <v>285070</v>
      </c>
      <c r="Q5350" s="9">
        <v>40302</v>
      </c>
      <c r="R5350" s="9">
        <v>325372</v>
      </c>
      <c r="S5350" s="9">
        <v>-171412</v>
      </c>
      <c r="T5350" s="10">
        <v>73549</v>
      </c>
      <c r="U5350" s="10">
        <v>856</v>
      </c>
    </row>
    <row r="5351" spans="1:21" x14ac:dyDescent="0.35">
      <c r="A5351" t="s">
        <v>15</v>
      </c>
      <c r="B5351" t="s">
        <v>20</v>
      </c>
      <c r="C5351" t="s">
        <v>17</v>
      </c>
      <c r="D5351">
        <v>291594</v>
      </c>
      <c r="E5351">
        <v>31993</v>
      </c>
      <c r="F5351">
        <v>54841</v>
      </c>
      <c r="G5351">
        <v>-243005</v>
      </c>
      <c r="H5351">
        <v>135423</v>
      </c>
      <c r="I5351">
        <v>139461</v>
      </c>
      <c r="J5351">
        <v>3415</v>
      </c>
      <c r="K5351">
        <v>692699</v>
      </c>
      <c r="L5351">
        <v>164622</v>
      </c>
      <c r="M5351">
        <v>-95034</v>
      </c>
      <c r="N5351">
        <v>243152</v>
      </c>
      <c r="O5351" t="s">
        <v>5369</v>
      </c>
      <c r="P5351" s="9">
        <v>143445</v>
      </c>
      <c r="Q5351" s="9">
        <v>12858</v>
      </c>
      <c r="R5351" s="9">
        <v>156303</v>
      </c>
      <c r="S5351" s="9">
        <v>-83832</v>
      </c>
      <c r="T5351" s="10">
        <v>68484</v>
      </c>
      <c r="U5351" s="10">
        <v>914</v>
      </c>
    </row>
    <row r="5352" spans="1:21" x14ac:dyDescent="0.35">
      <c r="A5352" t="s">
        <v>15</v>
      </c>
      <c r="B5352" t="s">
        <v>20</v>
      </c>
      <c r="C5352" t="s">
        <v>21</v>
      </c>
      <c r="D5352">
        <v>151082</v>
      </c>
      <c r="E5352">
        <v>16913</v>
      </c>
      <c r="F5352">
        <v>15496</v>
      </c>
      <c r="G5352">
        <v>-131976</v>
      </c>
      <c r="H5352">
        <v>51515</v>
      </c>
      <c r="I5352">
        <v>53955</v>
      </c>
      <c r="J5352">
        <v>1109</v>
      </c>
      <c r="K5352">
        <v>364200</v>
      </c>
      <c r="L5352">
        <v>177635</v>
      </c>
      <c r="M5352">
        <v>-141623</v>
      </c>
      <c r="N5352">
        <v>67202</v>
      </c>
      <c r="O5352" t="s">
        <v>5370</v>
      </c>
      <c r="P5352" s="9">
        <v>217531</v>
      </c>
      <c r="Q5352" s="9">
        <v>40813</v>
      </c>
      <c r="R5352" s="9">
        <v>258344</v>
      </c>
      <c r="S5352" s="9">
        <v>-116311</v>
      </c>
      <c r="T5352" s="10">
        <v>106832</v>
      </c>
      <c r="U5352" s="10">
        <v>3101</v>
      </c>
    </row>
    <row r="5353" spans="1:21" x14ac:dyDescent="0.35">
      <c r="A5353" t="s">
        <v>15</v>
      </c>
      <c r="B5353" t="s">
        <v>16</v>
      </c>
      <c r="C5353" t="s">
        <v>21</v>
      </c>
      <c r="D5353">
        <v>283248</v>
      </c>
      <c r="E5353">
        <v>38097</v>
      </c>
      <c r="F5353">
        <v>28416</v>
      </c>
      <c r="G5353">
        <v>-259323</v>
      </c>
      <c r="H5353">
        <v>90438</v>
      </c>
      <c r="I5353">
        <v>88103</v>
      </c>
      <c r="J5353">
        <v>1401</v>
      </c>
      <c r="K5353">
        <v>573960</v>
      </c>
      <c r="L5353">
        <v>249364</v>
      </c>
      <c r="M5353">
        <v>-164737</v>
      </c>
      <c r="N5353">
        <v>122038</v>
      </c>
      <c r="O5353" t="s">
        <v>5371</v>
      </c>
      <c r="P5353" s="9">
        <v>226119</v>
      </c>
      <c r="Q5353" s="9">
        <v>29752</v>
      </c>
      <c r="R5353" s="9">
        <v>255871</v>
      </c>
      <c r="S5353" s="9">
        <v>-124348</v>
      </c>
      <c r="T5353" s="10">
        <v>97584</v>
      </c>
      <c r="U5353" s="10">
        <v>1225</v>
      </c>
    </row>
    <row r="5354" spans="1:21" x14ac:dyDescent="0.35">
      <c r="A5354" t="s">
        <v>15</v>
      </c>
      <c r="B5354" t="s">
        <v>16</v>
      </c>
      <c r="C5354" t="s">
        <v>21</v>
      </c>
      <c r="D5354">
        <v>193867</v>
      </c>
      <c r="E5354">
        <v>37503</v>
      </c>
      <c r="F5354">
        <v>32136</v>
      </c>
      <c r="G5354">
        <v>-180116</v>
      </c>
      <c r="H5354">
        <v>83390</v>
      </c>
      <c r="I5354">
        <v>84559</v>
      </c>
      <c r="J5354">
        <v>1966</v>
      </c>
      <c r="K5354">
        <v>512232</v>
      </c>
      <c r="L5354">
        <v>193127</v>
      </c>
      <c r="M5354">
        <v>-100436</v>
      </c>
      <c r="N5354">
        <v>146693</v>
      </c>
      <c r="O5354" t="s">
        <v>5372</v>
      </c>
      <c r="P5354" s="9">
        <v>172691</v>
      </c>
      <c r="Q5354" s="9">
        <v>23592</v>
      </c>
      <c r="R5354" s="9">
        <v>196283</v>
      </c>
      <c r="S5354" s="9">
        <v>-91535</v>
      </c>
      <c r="T5354" s="10">
        <v>73557</v>
      </c>
      <c r="U5354" s="10">
        <v>1593</v>
      </c>
    </row>
    <row r="5355" spans="1:21" x14ac:dyDescent="0.35">
      <c r="A5355" t="s">
        <v>15</v>
      </c>
      <c r="B5355" t="s">
        <v>16</v>
      </c>
      <c r="C5355" t="s">
        <v>21</v>
      </c>
      <c r="D5355">
        <v>186201</v>
      </c>
      <c r="E5355">
        <v>33644</v>
      </c>
      <c r="F5355">
        <v>35934</v>
      </c>
      <c r="G5355">
        <v>-184024</v>
      </c>
      <c r="H5355">
        <v>71755</v>
      </c>
      <c r="I5355">
        <v>72316</v>
      </c>
      <c r="J5355">
        <v>1463</v>
      </c>
      <c r="K5355">
        <v>581835</v>
      </c>
      <c r="L5355">
        <v>128106</v>
      </c>
      <c r="M5355">
        <v>-106295</v>
      </c>
      <c r="N5355">
        <v>69210</v>
      </c>
      <c r="O5355" t="s">
        <v>5373</v>
      </c>
      <c r="P5355" s="9">
        <v>230753</v>
      </c>
      <c r="Q5355" s="9">
        <v>35811</v>
      </c>
      <c r="R5355" s="9">
        <v>266564</v>
      </c>
      <c r="S5355" s="9">
        <v>-122848</v>
      </c>
      <c r="T5355" s="10">
        <v>107127</v>
      </c>
      <c r="U5355" s="10">
        <v>1527</v>
      </c>
    </row>
    <row r="5356" spans="1:21" x14ac:dyDescent="0.35">
      <c r="A5356" t="s">
        <v>15</v>
      </c>
      <c r="B5356" t="s">
        <v>16</v>
      </c>
      <c r="C5356" t="s">
        <v>21</v>
      </c>
      <c r="D5356">
        <v>190230</v>
      </c>
      <c r="E5356">
        <v>33274</v>
      </c>
      <c r="F5356">
        <v>38546</v>
      </c>
      <c r="G5356">
        <v>-168312</v>
      </c>
      <c r="H5356">
        <v>93738</v>
      </c>
      <c r="I5356">
        <v>95141</v>
      </c>
      <c r="J5356">
        <v>2680</v>
      </c>
      <c r="K5356">
        <v>737765</v>
      </c>
      <c r="L5356">
        <v>212903</v>
      </c>
      <c r="M5356">
        <v>-238366</v>
      </c>
      <c r="N5356">
        <v>66304</v>
      </c>
      <c r="O5356" t="s">
        <v>5374</v>
      </c>
      <c r="P5356" s="9">
        <v>271471</v>
      </c>
      <c r="Q5356" s="9">
        <v>40479</v>
      </c>
      <c r="R5356" s="9">
        <v>311950</v>
      </c>
      <c r="S5356" s="9">
        <v>-120942</v>
      </c>
      <c r="T5356" s="10">
        <v>87040</v>
      </c>
      <c r="U5356" s="10">
        <v>1044</v>
      </c>
    </row>
    <row r="5357" spans="1:21" x14ac:dyDescent="0.35">
      <c r="A5357" t="s">
        <v>15</v>
      </c>
      <c r="B5357" t="s">
        <v>20</v>
      </c>
      <c r="C5357" t="s">
        <v>21</v>
      </c>
      <c r="D5357">
        <v>253601</v>
      </c>
      <c r="E5357">
        <v>50071</v>
      </c>
      <c r="F5357">
        <v>26623</v>
      </c>
      <c r="G5357">
        <v>-215148</v>
      </c>
      <c r="H5357">
        <v>115147</v>
      </c>
      <c r="I5357">
        <v>115929</v>
      </c>
      <c r="J5357">
        <v>1763</v>
      </c>
      <c r="K5357">
        <v>921657</v>
      </c>
      <c r="L5357">
        <v>97232</v>
      </c>
      <c r="M5357">
        <v>-282249</v>
      </c>
      <c r="N5357">
        <v>81847</v>
      </c>
      <c r="O5357" t="s">
        <v>5375</v>
      </c>
      <c r="P5357" s="9">
        <v>313203</v>
      </c>
      <c r="Q5357" s="9">
        <v>54717</v>
      </c>
      <c r="R5357" s="9">
        <v>367920</v>
      </c>
      <c r="S5357" s="9">
        <v>-209770</v>
      </c>
      <c r="T5357" s="10">
        <v>105673</v>
      </c>
      <c r="U5357" s="10">
        <v>1122</v>
      </c>
    </row>
    <row r="5358" spans="1:21" x14ac:dyDescent="0.35">
      <c r="A5358" t="s">
        <v>15</v>
      </c>
      <c r="B5358" t="s">
        <v>16</v>
      </c>
      <c r="C5358" t="s">
        <v>21</v>
      </c>
      <c r="D5358">
        <v>278878</v>
      </c>
      <c r="E5358">
        <v>20912</v>
      </c>
      <c r="F5358">
        <v>54107</v>
      </c>
      <c r="G5358">
        <v>-255757</v>
      </c>
      <c r="H5358">
        <v>98140</v>
      </c>
      <c r="I5358">
        <v>95595</v>
      </c>
      <c r="J5358">
        <v>2691</v>
      </c>
      <c r="K5358">
        <v>1052052</v>
      </c>
      <c r="L5358">
        <v>218810</v>
      </c>
      <c r="M5358">
        <v>-134147</v>
      </c>
      <c r="N5358">
        <v>176187</v>
      </c>
      <c r="O5358" t="s">
        <v>5376</v>
      </c>
      <c r="P5358" s="9">
        <v>248559</v>
      </c>
      <c r="Q5358" s="9">
        <v>34594</v>
      </c>
      <c r="R5358" s="9">
        <v>283153</v>
      </c>
      <c r="S5358" s="9">
        <v>-61104</v>
      </c>
      <c r="T5358" s="10">
        <v>149675</v>
      </c>
      <c r="U5358" s="10">
        <v>4467</v>
      </c>
    </row>
    <row r="5359" spans="1:21" x14ac:dyDescent="0.35">
      <c r="A5359" t="s">
        <v>15</v>
      </c>
      <c r="B5359" t="s">
        <v>20</v>
      </c>
      <c r="C5359" t="s">
        <v>21</v>
      </c>
      <c r="D5359">
        <v>183799</v>
      </c>
      <c r="E5359">
        <v>15829</v>
      </c>
      <c r="F5359">
        <v>38846</v>
      </c>
      <c r="G5359">
        <v>-172444</v>
      </c>
      <c r="H5359">
        <v>66030</v>
      </c>
      <c r="I5359">
        <v>62106</v>
      </c>
      <c r="J5359">
        <v>1766</v>
      </c>
      <c r="K5359">
        <v>680862</v>
      </c>
      <c r="L5359">
        <v>254825</v>
      </c>
      <c r="M5359">
        <v>-119879</v>
      </c>
      <c r="N5359">
        <v>135890</v>
      </c>
      <c r="O5359" t="s">
        <v>5377</v>
      </c>
      <c r="P5359" s="9">
        <v>275107</v>
      </c>
      <c r="Q5359" s="9">
        <v>26939</v>
      </c>
      <c r="R5359" s="9">
        <v>302046</v>
      </c>
      <c r="S5359" s="9">
        <v>-173778</v>
      </c>
      <c r="T5359" s="10">
        <v>117361</v>
      </c>
      <c r="U5359" s="10">
        <v>2998</v>
      </c>
    </row>
    <row r="5360" spans="1:21" x14ac:dyDescent="0.35">
      <c r="A5360" t="s">
        <v>15</v>
      </c>
      <c r="B5360" t="s">
        <v>20</v>
      </c>
      <c r="C5360" t="s">
        <v>21</v>
      </c>
      <c r="D5360">
        <v>154465</v>
      </c>
      <c r="E5360">
        <v>15077</v>
      </c>
      <c r="F5360">
        <v>32738</v>
      </c>
      <c r="G5360">
        <v>-126972</v>
      </c>
      <c r="H5360">
        <v>75308</v>
      </c>
      <c r="I5360">
        <v>73499</v>
      </c>
      <c r="J5360">
        <v>1128</v>
      </c>
      <c r="K5360">
        <v>337932</v>
      </c>
      <c r="L5360">
        <v>129747</v>
      </c>
      <c r="M5360">
        <v>-43652</v>
      </c>
      <c r="N5360">
        <v>91316</v>
      </c>
      <c r="O5360" t="s">
        <v>5378</v>
      </c>
      <c r="P5360" s="9">
        <v>285669</v>
      </c>
      <c r="Q5360" s="9">
        <v>24480</v>
      </c>
      <c r="R5360" s="9">
        <v>310149</v>
      </c>
      <c r="S5360" s="9">
        <v>-91424</v>
      </c>
      <c r="T5360" s="10">
        <v>101402</v>
      </c>
      <c r="U5360" s="10">
        <v>2753</v>
      </c>
    </row>
    <row r="5361" spans="1:21" x14ac:dyDescent="0.35">
      <c r="A5361" t="s">
        <v>15</v>
      </c>
      <c r="B5361" t="s">
        <v>20</v>
      </c>
      <c r="C5361" t="s">
        <v>21</v>
      </c>
      <c r="D5361">
        <v>178446</v>
      </c>
      <c r="E5361">
        <v>33827</v>
      </c>
      <c r="F5361">
        <v>29698</v>
      </c>
      <c r="G5361">
        <v>-146917</v>
      </c>
      <c r="H5361">
        <v>95054</v>
      </c>
      <c r="I5361">
        <v>87382</v>
      </c>
      <c r="J5361">
        <v>986</v>
      </c>
      <c r="K5361">
        <v>534334</v>
      </c>
      <c r="L5361">
        <v>83773</v>
      </c>
      <c r="M5361">
        <v>-135337</v>
      </c>
      <c r="N5361">
        <v>160331</v>
      </c>
      <c r="O5361" t="s">
        <v>5379</v>
      </c>
      <c r="P5361" s="9">
        <v>211840</v>
      </c>
      <c r="Q5361" s="9">
        <v>43963</v>
      </c>
      <c r="R5361" s="9">
        <v>255803</v>
      </c>
      <c r="S5361" s="9">
        <v>-107877</v>
      </c>
      <c r="T5361" s="10">
        <v>106667</v>
      </c>
      <c r="U5361" s="10">
        <v>2929</v>
      </c>
    </row>
    <row r="5362" spans="1:21" x14ac:dyDescent="0.35">
      <c r="A5362" t="s">
        <v>15</v>
      </c>
      <c r="B5362" t="s">
        <v>16</v>
      </c>
      <c r="C5362" t="s">
        <v>17</v>
      </c>
      <c r="D5362">
        <v>253168</v>
      </c>
      <c r="E5362">
        <v>40463</v>
      </c>
      <c r="F5362">
        <v>41063</v>
      </c>
      <c r="G5362">
        <v>-219718</v>
      </c>
      <c r="H5362">
        <v>114976</v>
      </c>
      <c r="I5362">
        <v>112174</v>
      </c>
      <c r="J5362">
        <v>2226</v>
      </c>
      <c r="K5362">
        <v>761197</v>
      </c>
      <c r="L5362">
        <v>176669</v>
      </c>
      <c r="M5362">
        <v>-138613</v>
      </c>
      <c r="N5362">
        <v>126468</v>
      </c>
      <c r="O5362" t="s">
        <v>5380</v>
      </c>
      <c r="P5362" s="9">
        <v>211496</v>
      </c>
      <c r="Q5362" s="9">
        <v>31530</v>
      </c>
      <c r="R5362" s="9">
        <v>243026</v>
      </c>
      <c r="S5362" s="9">
        <v>-69610</v>
      </c>
      <c r="T5362" s="10">
        <v>107245</v>
      </c>
      <c r="U5362" s="10">
        <v>2455</v>
      </c>
    </row>
    <row r="5363" spans="1:21" x14ac:dyDescent="0.35">
      <c r="A5363" t="s">
        <v>15</v>
      </c>
      <c r="B5363" t="s">
        <v>16</v>
      </c>
      <c r="C5363" t="s">
        <v>21</v>
      </c>
      <c r="D5363">
        <v>265807</v>
      </c>
      <c r="E5363">
        <v>13452</v>
      </c>
      <c r="F5363">
        <v>36461</v>
      </c>
      <c r="G5363">
        <v>-264646</v>
      </c>
      <c r="H5363">
        <v>51074</v>
      </c>
      <c r="I5363">
        <v>47421</v>
      </c>
      <c r="J5363">
        <v>961</v>
      </c>
      <c r="K5363">
        <v>1051328</v>
      </c>
      <c r="L5363">
        <v>322288</v>
      </c>
      <c r="M5363">
        <v>-411669</v>
      </c>
      <c r="N5363">
        <v>227670</v>
      </c>
      <c r="O5363" t="s">
        <v>5381</v>
      </c>
      <c r="P5363" s="9">
        <v>162587</v>
      </c>
      <c r="Q5363" s="9">
        <v>26662</v>
      </c>
      <c r="R5363" s="9">
        <v>189249</v>
      </c>
      <c r="S5363" s="9">
        <v>-54297</v>
      </c>
      <c r="T5363" s="10">
        <v>77224</v>
      </c>
      <c r="U5363" s="10">
        <v>798</v>
      </c>
    </row>
    <row r="5364" spans="1:21" x14ac:dyDescent="0.35">
      <c r="A5364" t="s">
        <v>15</v>
      </c>
      <c r="B5364" t="s">
        <v>16</v>
      </c>
      <c r="C5364" t="s">
        <v>17</v>
      </c>
      <c r="D5364">
        <v>184620</v>
      </c>
      <c r="E5364">
        <v>31207</v>
      </c>
      <c r="F5364">
        <v>18997</v>
      </c>
      <c r="G5364">
        <v>-176959</v>
      </c>
      <c r="H5364">
        <v>57865</v>
      </c>
      <c r="I5364">
        <v>54883</v>
      </c>
      <c r="J5364">
        <v>761</v>
      </c>
      <c r="K5364">
        <v>472368</v>
      </c>
      <c r="L5364">
        <v>200301</v>
      </c>
      <c r="M5364">
        <v>-183893</v>
      </c>
      <c r="N5364">
        <v>93427</v>
      </c>
      <c r="O5364" t="s">
        <v>5382</v>
      </c>
      <c r="P5364" s="9">
        <v>255187</v>
      </c>
      <c r="Q5364" s="9">
        <v>32550</v>
      </c>
      <c r="R5364" s="9">
        <v>287737</v>
      </c>
      <c r="S5364" s="9">
        <v>-154323</v>
      </c>
      <c r="T5364" s="10">
        <v>109919</v>
      </c>
      <c r="U5364" s="10">
        <v>1307</v>
      </c>
    </row>
    <row r="5365" spans="1:21" x14ac:dyDescent="0.35">
      <c r="A5365" t="s">
        <v>15</v>
      </c>
      <c r="B5365" t="s">
        <v>20</v>
      </c>
      <c r="C5365" t="s">
        <v>21</v>
      </c>
      <c r="D5365">
        <v>269331</v>
      </c>
      <c r="E5365">
        <v>50435</v>
      </c>
      <c r="F5365">
        <v>65339</v>
      </c>
      <c r="G5365">
        <v>-252856</v>
      </c>
      <c r="H5365">
        <v>132249</v>
      </c>
      <c r="I5365">
        <v>138396</v>
      </c>
      <c r="J5365">
        <v>2436</v>
      </c>
      <c r="K5365">
        <v>890015</v>
      </c>
      <c r="L5365">
        <v>276083</v>
      </c>
      <c r="M5365">
        <v>-173992</v>
      </c>
      <c r="N5365">
        <v>232074</v>
      </c>
      <c r="O5365" t="s">
        <v>5383</v>
      </c>
      <c r="P5365" s="9">
        <v>226834</v>
      </c>
      <c r="Q5365" s="9">
        <v>13072</v>
      </c>
      <c r="R5365" s="9">
        <v>239906</v>
      </c>
      <c r="S5365" s="9">
        <v>-95448</v>
      </c>
      <c r="T5365" s="10">
        <v>52919</v>
      </c>
      <c r="U5365" s="10">
        <v>1543</v>
      </c>
    </row>
    <row r="5366" spans="1:21" x14ac:dyDescent="0.35">
      <c r="A5366" t="s">
        <v>15</v>
      </c>
      <c r="B5366" t="s">
        <v>16</v>
      </c>
      <c r="C5366" t="s">
        <v>21</v>
      </c>
      <c r="D5366">
        <v>287916</v>
      </c>
      <c r="E5366">
        <v>42368</v>
      </c>
      <c r="F5366">
        <v>35992</v>
      </c>
      <c r="G5366">
        <v>-264720</v>
      </c>
      <c r="H5366">
        <v>101556</v>
      </c>
      <c r="I5366">
        <v>102366</v>
      </c>
      <c r="J5366">
        <v>1122</v>
      </c>
      <c r="K5366">
        <v>581697</v>
      </c>
      <c r="L5366">
        <v>209362</v>
      </c>
      <c r="M5366">
        <v>-96579</v>
      </c>
      <c r="N5366">
        <v>113952</v>
      </c>
      <c r="O5366" t="s">
        <v>5384</v>
      </c>
      <c r="P5366" s="9">
        <v>211145</v>
      </c>
      <c r="Q5366" s="9">
        <v>40053</v>
      </c>
      <c r="R5366" s="9">
        <v>251198</v>
      </c>
      <c r="S5366" s="9">
        <v>-109717</v>
      </c>
      <c r="T5366" s="10">
        <v>97855</v>
      </c>
      <c r="U5366" s="10">
        <v>2441</v>
      </c>
    </row>
    <row r="5367" spans="1:21" x14ac:dyDescent="0.35">
      <c r="A5367" t="s">
        <v>15</v>
      </c>
      <c r="B5367" t="s">
        <v>16</v>
      </c>
      <c r="C5367" t="s">
        <v>21</v>
      </c>
      <c r="D5367">
        <v>212216</v>
      </c>
      <c r="E5367">
        <v>32347</v>
      </c>
      <c r="F5367">
        <v>40368</v>
      </c>
      <c r="G5367">
        <v>-198117</v>
      </c>
      <c r="H5367">
        <v>86814</v>
      </c>
      <c r="I5367">
        <v>82798</v>
      </c>
      <c r="J5367">
        <v>1396</v>
      </c>
      <c r="K5367">
        <v>546742</v>
      </c>
      <c r="L5367">
        <v>192092</v>
      </c>
      <c r="M5367">
        <v>-72291</v>
      </c>
      <c r="N5367">
        <v>123433</v>
      </c>
      <c r="O5367" t="s">
        <v>5385</v>
      </c>
      <c r="P5367" s="9">
        <v>254655</v>
      </c>
      <c r="Q5367" s="9">
        <v>18080</v>
      </c>
      <c r="R5367" s="9">
        <v>272735</v>
      </c>
      <c r="S5367" s="9">
        <v>-96178</v>
      </c>
      <c r="T5367" s="10">
        <v>110594</v>
      </c>
      <c r="U5367" s="10">
        <v>1377</v>
      </c>
    </row>
    <row r="5368" spans="1:21" x14ac:dyDescent="0.35">
      <c r="A5368" t="s">
        <v>15</v>
      </c>
      <c r="B5368" t="s">
        <v>16</v>
      </c>
      <c r="C5368" t="s">
        <v>17</v>
      </c>
      <c r="D5368">
        <v>220204</v>
      </c>
      <c r="E5368">
        <v>34430</v>
      </c>
      <c r="F5368">
        <v>41808</v>
      </c>
      <c r="G5368">
        <v>-211579</v>
      </c>
      <c r="H5368">
        <v>84863</v>
      </c>
      <c r="I5368">
        <v>79553</v>
      </c>
      <c r="J5368">
        <v>2361</v>
      </c>
      <c r="K5368">
        <v>546618</v>
      </c>
      <c r="L5368">
        <v>155471</v>
      </c>
      <c r="M5368">
        <v>-114442</v>
      </c>
      <c r="N5368">
        <v>78943</v>
      </c>
      <c r="O5368" t="s">
        <v>5386</v>
      </c>
      <c r="P5368" s="9">
        <v>288252</v>
      </c>
      <c r="Q5368" s="9">
        <v>32290</v>
      </c>
      <c r="R5368" s="9">
        <v>320542</v>
      </c>
      <c r="S5368" s="9">
        <v>-113939</v>
      </c>
      <c r="T5368" s="10">
        <v>127671</v>
      </c>
      <c r="U5368" s="10">
        <v>3097</v>
      </c>
    </row>
    <row r="5369" spans="1:21" x14ac:dyDescent="0.35">
      <c r="A5369" t="s">
        <v>15</v>
      </c>
      <c r="B5369" t="s">
        <v>16</v>
      </c>
      <c r="C5369" t="s">
        <v>21</v>
      </c>
      <c r="D5369">
        <v>265640</v>
      </c>
      <c r="E5369">
        <v>35998</v>
      </c>
      <c r="F5369">
        <v>34813</v>
      </c>
      <c r="G5369">
        <v>-253415</v>
      </c>
      <c r="H5369">
        <v>83036</v>
      </c>
      <c r="I5369">
        <v>86450</v>
      </c>
      <c r="J5369">
        <v>1382</v>
      </c>
      <c r="K5369">
        <v>649951</v>
      </c>
      <c r="L5369">
        <v>281434</v>
      </c>
      <c r="M5369">
        <v>-218832</v>
      </c>
      <c r="N5369">
        <v>237825</v>
      </c>
      <c r="O5369" t="s">
        <v>5387</v>
      </c>
      <c r="P5369" s="9">
        <v>208867</v>
      </c>
      <c r="Q5369" s="9">
        <v>30696</v>
      </c>
      <c r="R5369" s="9">
        <v>239563</v>
      </c>
      <c r="S5369" s="9">
        <v>-88824</v>
      </c>
      <c r="T5369" s="10">
        <v>86940</v>
      </c>
      <c r="U5369" s="10">
        <v>2367</v>
      </c>
    </row>
    <row r="5370" spans="1:21" x14ac:dyDescent="0.35">
      <c r="A5370" t="s">
        <v>15</v>
      </c>
      <c r="B5370" t="s">
        <v>20</v>
      </c>
      <c r="C5370" t="s">
        <v>21</v>
      </c>
      <c r="D5370">
        <v>219688</v>
      </c>
      <c r="E5370">
        <v>21074</v>
      </c>
      <c r="F5370">
        <v>36015</v>
      </c>
      <c r="G5370">
        <v>-196565</v>
      </c>
      <c r="H5370">
        <v>80212</v>
      </c>
      <c r="I5370">
        <v>78196</v>
      </c>
      <c r="J5370">
        <v>2223</v>
      </c>
      <c r="K5370">
        <v>815199</v>
      </c>
      <c r="L5370">
        <v>235479</v>
      </c>
      <c r="M5370">
        <v>-184761</v>
      </c>
      <c r="N5370">
        <v>120911</v>
      </c>
      <c r="O5370" t="s">
        <v>5388</v>
      </c>
      <c r="P5370" s="9">
        <v>241289</v>
      </c>
      <c r="Q5370" s="9">
        <v>45860</v>
      </c>
      <c r="R5370" s="9">
        <v>287149</v>
      </c>
      <c r="S5370" s="9">
        <v>-100454</v>
      </c>
      <c r="T5370" s="10">
        <v>106419</v>
      </c>
      <c r="U5370" s="10">
        <v>2155</v>
      </c>
    </row>
    <row r="5371" spans="1:21" x14ac:dyDescent="0.35">
      <c r="A5371" t="s">
        <v>15</v>
      </c>
      <c r="B5371" t="s">
        <v>20</v>
      </c>
      <c r="C5371" t="s">
        <v>17</v>
      </c>
      <c r="D5371">
        <v>190397</v>
      </c>
      <c r="E5371">
        <v>19975</v>
      </c>
      <c r="F5371">
        <v>28157</v>
      </c>
      <c r="G5371">
        <v>-179967</v>
      </c>
      <c r="H5371">
        <v>58562</v>
      </c>
      <c r="I5371">
        <v>56437</v>
      </c>
      <c r="J5371">
        <v>761</v>
      </c>
      <c r="K5371">
        <v>449898</v>
      </c>
      <c r="L5371">
        <v>101153</v>
      </c>
      <c r="M5371">
        <v>-87426</v>
      </c>
      <c r="N5371">
        <v>82635</v>
      </c>
      <c r="O5371" t="s">
        <v>5389</v>
      </c>
      <c r="P5371" s="9">
        <v>245358</v>
      </c>
      <c r="Q5371" s="9">
        <v>24305</v>
      </c>
      <c r="R5371" s="9">
        <v>269663</v>
      </c>
      <c r="S5371" s="9">
        <v>-161288</v>
      </c>
      <c r="T5371" s="10">
        <v>81009</v>
      </c>
      <c r="U5371" s="10">
        <v>851</v>
      </c>
    </row>
    <row r="5372" spans="1:21" x14ac:dyDescent="0.35">
      <c r="A5372" t="s">
        <v>15</v>
      </c>
      <c r="B5372" t="s">
        <v>16</v>
      </c>
      <c r="C5372" t="s">
        <v>21</v>
      </c>
      <c r="D5372">
        <v>193426</v>
      </c>
      <c r="E5372">
        <v>28291</v>
      </c>
      <c r="F5372">
        <v>29801</v>
      </c>
      <c r="G5372">
        <v>-166682</v>
      </c>
      <c r="H5372">
        <v>84836</v>
      </c>
      <c r="I5372">
        <v>77887</v>
      </c>
      <c r="J5372">
        <v>814</v>
      </c>
      <c r="K5372">
        <v>524978</v>
      </c>
      <c r="L5372">
        <v>254503</v>
      </c>
      <c r="M5372">
        <v>-112921</v>
      </c>
      <c r="N5372">
        <v>98707</v>
      </c>
      <c r="O5372" t="s">
        <v>5390</v>
      </c>
      <c r="P5372" s="9">
        <v>179339</v>
      </c>
      <c r="Q5372" s="9">
        <v>8765</v>
      </c>
      <c r="R5372" s="9">
        <v>188104</v>
      </c>
      <c r="S5372" s="9">
        <v>-48932</v>
      </c>
      <c r="T5372" s="10">
        <v>42177</v>
      </c>
      <c r="U5372" s="10">
        <v>990</v>
      </c>
    </row>
    <row r="5373" spans="1:21" x14ac:dyDescent="0.35">
      <c r="A5373" t="s">
        <v>15</v>
      </c>
      <c r="B5373" t="s">
        <v>16</v>
      </c>
      <c r="C5373" t="s">
        <v>21</v>
      </c>
      <c r="D5373">
        <v>231662</v>
      </c>
      <c r="E5373">
        <v>19046</v>
      </c>
      <c r="F5373">
        <v>43130</v>
      </c>
      <c r="G5373">
        <v>-199061</v>
      </c>
      <c r="H5373">
        <v>94777</v>
      </c>
      <c r="I5373">
        <v>95230</v>
      </c>
      <c r="J5373">
        <v>2154</v>
      </c>
      <c r="K5373">
        <v>560615</v>
      </c>
      <c r="L5373">
        <v>119435</v>
      </c>
      <c r="M5373">
        <v>-165093</v>
      </c>
      <c r="N5373">
        <v>152616</v>
      </c>
      <c r="O5373" t="s">
        <v>5391</v>
      </c>
      <c r="P5373" s="9">
        <v>188999</v>
      </c>
      <c r="Q5373" s="9">
        <v>8480</v>
      </c>
      <c r="R5373" s="9">
        <v>197479</v>
      </c>
      <c r="S5373" s="9">
        <v>-65112</v>
      </c>
      <c r="T5373" s="10">
        <v>79100</v>
      </c>
      <c r="U5373" s="10">
        <v>1134</v>
      </c>
    </row>
    <row r="5374" spans="1:21" x14ac:dyDescent="0.35">
      <c r="A5374" t="s">
        <v>15</v>
      </c>
      <c r="B5374" t="s">
        <v>20</v>
      </c>
      <c r="C5374" t="s">
        <v>21</v>
      </c>
      <c r="D5374">
        <v>252840</v>
      </c>
      <c r="E5374">
        <v>34967</v>
      </c>
      <c r="F5374">
        <v>45450</v>
      </c>
      <c r="G5374">
        <v>-243206</v>
      </c>
      <c r="H5374">
        <v>90051</v>
      </c>
      <c r="I5374">
        <v>87329</v>
      </c>
      <c r="J5374">
        <v>1842</v>
      </c>
      <c r="K5374">
        <v>897014</v>
      </c>
      <c r="L5374">
        <v>137057</v>
      </c>
      <c r="M5374">
        <v>-107503</v>
      </c>
      <c r="N5374">
        <v>111546</v>
      </c>
      <c r="O5374" t="s">
        <v>5392</v>
      </c>
      <c r="P5374" s="9">
        <v>194914</v>
      </c>
      <c r="Q5374" s="9">
        <v>12404</v>
      </c>
      <c r="R5374" s="9">
        <v>207318</v>
      </c>
      <c r="S5374" s="9">
        <v>-111030</v>
      </c>
      <c r="T5374" s="10">
        <v>71567</v>
      </c>
      <c r="U5374" s="10">
        <v>848</v>
      </c>
    </row>
    <row r="5375" spans="1:21" x14ac:dyDescent="0.35">
      <c r="A5375" t="s">
        <v>15</v>
      </c>
      <c r="B5375" t="s">
        <v>16</v>
      </c>
      <c r="C5375" t="s">
        <v>21</v>
      </c>
      <c r="D5375">
        <v>179963</v>
      </c>
      <c r="E5375">
        <v>11153</v>
      </c>
      <c r="F5375">
        <v>38643</v>
      </c>
      <c r="G5375">
        <v>-149102</v>
      </c>
      <c r="H5375">
        <v>80657</v>
      </c>
      <c r="I5375">
        <v>80426</v>
      </c>
      <c r="J5375">
        <v>2396</v>
      </c>
      <c r="K5375">
        <v>658755</v>
      </c>
      <c r="L5375">
        <v>142097</v>
      </c>
      <c r="M5375">
        <v>-201993</v>
      </c>
      <c r="N5375">
        <v>120561</v>
      </c>
      <c r="O5375" t="s">
        <v>5393</v>
      </c>
      <c r="P5375" s="9">
        <v>212150</v>
      </c>
      <c r="Q5375" s="9">
        <v>12494</v>
      </c>
      <c r="R5375" s="9">
        <v>224644</v>
      </c>
      <c r="S5375" s="9">
        <v>-75668</v>
      </c>
      <c r="T5375" s="10">
        <v>67399</v>
      </c>
      <c r="U5375" s="10">
        <v>1016</v>
      </c>
    </row>
    <row r="5376" spans="1:21" x14ac:dyDescent="0.35">
      <c r="A5376" t="s">
        <v>15</v>
      </c>
      <c r="B5376" t="s">
        <v>20</v>
      </c>
      <c r="C5376" t="s">
        <v>17</v>
      </c>
      <c r="D5376">
        <v>198275</v>
      </c>
      <c r="E5376">
        <v>23278</v>
      </c>
      <c r="F5376">
        <v>30232</v>
      </c>
      <c r="G5376">
        <v>-187621</v>
      </c>
      <c r="H5376">
        <v>64164</v>
      </c>
      <c r="I5376">
        <v>62831</v>
      </c>
      <c r="J5376">
        <v>865</v>
      </c>
      <c r="K5376">
        <v>526288</v>
      </c>
      <c r="L5376">
        <v>215686</v>
      </c>
      <c r="M5376">
        <v>-157281</v>
      </c>
      <c r="N5376">
        <v>93834</v>
      </c>
      <c r="O5376" t="s">
        <v>5394</v>
      </c>
      <c r="P5376" s="9">
        <v>306909</v>
      </c>
      <c r="Q5376" s="9">
        <v>56133</v>
      </c>
      <c r="R5376" s="9">
        <v>363042</v>
      </c>
      <c r="S5376" s="9">
        <v>-197504</v>
      </c>
      <c r="T5376" s="10">
        <v>121947</v>
      </c>
      <c r="U5376" s="10">
        <v>1501</v>
      </c>
    </row>
    <row r="5377" spans="1:21" x14ac:dyDescent="0.35">
      <c r="A5377" t="s">
        <v>15</v>
      </c>
      <c r="B5377" t="s">
        <v>16</v>
      </c>
      <c r="C5377" t="s">
        <v>17</v>
      </c>
      <c r="D5377">
        <v>169625</v>
      </c>
      <c r="E5377">
        <v>25573</v>
      </c>
      <c r="F5377">
        <v>33352</v>
      </c>
      <c r="G5377">
        <v>-148066</v>
      </c>
      <c r="H5377">
        <v>80484</v>
      </c>
      <c r="I5377">
        <v>77478</v>
      </c>
      <c r="J5377">
        <v>1885</v>
      </c>
      <c r="K5377">
        <v>345640</v>
      </c>
      <c r="L5377">
        <v>65225</v>
      </c>
      <c r="M5377">
        <v>-77432</v>
      </c>
      <c r="N5377">
        <v>84173</v>
      </c>
      <c r="O5377" t="s">
        <v>5395</v>
      </c>
      <c r="P5377" s="9">
        <v>205445</v>
      </c>
      <c r="Q5377" s="9">
        <v>20690</v>
      </c>
      <c r="R5377" s="9">
        <v>226135</v>
      </c>
      <c r="S5377" s="9">
        <v>-130318</v>
      </c>
      <c r="T5377" s="10">
        <v>79194</v>
      </c>
      <c r="U5377" s="10">
        <v>2257</v>
      </c>
    </row>
    <row r="5378" spans="1:21" x14ac:dyDescent="0.35">
      <c r="A5378" t="s">
        <v>15</v>
      </c>
      <c r="B5378" t="s">
        <v>20</v>
      </c>
      <c r="C5378" t="s">
        <v>17</v>
      </c>
      <c r="D5378">
        <v>283449</v>
      </c>
      <c r="E5378">
        <v>44898</v>
      </c>
      <c r="F5378">
        <v>62543</v>
      </c>
      <c r="G5378">
        <v>-261163</v>
      </c>
      <c r="H5378">
        <v>129727</v>
      </c>
      <c r="I5378">
        <v>124641</v>
      </c>
      <c r="J5378">
        <v>3591</v>
      </c>
      <c r="K5378">
        <v>840222</v>
      </c>
      <c r="L5378">
        <v>302117</v>
      </c>
      <c r="M5378">
        <v>-254958</v>
      </c>
      <c r="N5378">
        <v>203970</v>
      </c>
      <c r="O5378" t="s">
        <v>5396</v>
      </c>
      <c r="P5378" s="9">
        <v>259409</v>
      </c>
      <c r="Q5378" s="9">
        <v>41568</v>
      </c>
      <c r="R5378" s="9">
        <v>300977</v>
      </c>
      <c r="S5378" s="9">
        <v>-124222</v>
      </c>
      <c r="T5378" s="10">
        <v>119385</v>
      </c>
      <c r="U5378" s="10">
        <v>2951</v>
      </c>
    </row>
    <row r="5379" spans="1:21" x14ac:dyDescent="0.35">
      <c r="A5379" t="s">
        <v>15</v>
      </c>
      <c r="B5379" t="s">
        <v>20</v>
      </c>
      <c r="C5379" t="s">
        <v>21</v>
      </c>
      <c r="D5379">
        <v>253214</v>
      </c>
      <c r="E5379">
        <v>50635</v>
      </c>
      <c r="F5379">
        <v>27901</v>
      </c>
      <c r="G5379">
        <v>-223974</v>
      </c>
      <c r="H5379">
        <v>107776</v>
      </c>
      <c r="I5379">
        <v>99996</v>
      </c>
      <c r="J5379">
        <v>1124</v>
      </c>
      <c r="K5379">
        <v>711474</v>
      </c>
      <c r="L5379">
        <v>263681</v>
      </c>
      <c r="M5379">
        <v>-203082</v>
      </c>
      <c r="N5379">
        <v>112810</v>
      </c>
      <c r="O5379" t="s">
        <v>5397</v>
      </c>
      <c r="P5379" s="9">
        <v>234589</v>
      </c>
      <c r="Q5379" s="9">
        <v>25096</v>
      </c>
      <c r="R5379" s="9">
        <v>259685</v>
      </c>
      <c r="S5379" s="9">
        <v>-94346</v>
      </c>
      <c r="T5379" s="10">
        <v>70400</v>
      </c>
      <c r="U5379" s="10">
        <v>1817</v>
      </c>
    </row>
    <row r="5380" spans="1:21" x14ac:dyDescent="0.35">
      <c r="A5380" t="s">
        <v>15</v>
      </c>
      <c r="B5380" t="s">
        <v>20</v>
      </c>
      <c r="C5380" t="s">
        <v>21</v>
      </c>
      <c r="D5380">
        <v>263227</v>
      </c>
      <c r="E5380">
        <v>23999</v>
      </c>
      <c r="F5380">
        <v>28351</v>
      </c>
      <c r="G5380">
        <v>-210868</v>
      </c>
      <c r="H5380">
        <v>104709</v>
      </c>
      <c r="I5380">
        <v>104648</v>
      </c>
      <c r="J5380">
        <v>1288</v>
      </c>
      <c r="K5380">
        <v>903100</v>
      </c>
      <c r="L5380">
        <v>116046</v>
      </c>
      <c r="M5380">
        <v>-272727</v>
      </c>
      <c r="N5380">
        <v>149219</v>
      </c>
      <c r="O5380" t="s">
        <v>5398</v>
      </c>
      <c r="P5380" s="9">
        <v>240021</v>
      </c>
      <c r="Q5380" s="9">
        <v>43807</v>
      </c>
      <c r="R5380" s="9">
        <v>283828</v>
      </c>
      <c r="S5380" s="9">
        <v>-113128</v>
      </c>
      <c r="T5380" s="10">
        <v>124020</v>
      </c>
      <c r="U5380" s="10">
        <v>1988</v>
      </c>
    </row>
    <row r="5381" spans="1:21" x14ac:dyDescent="0.35">
      <c r="A5381" t="s">
        <v>15</v>
      </c>
      <c r="B5381" t="s">
        <v>16</v>
      </c>
      <c r="C5381" t="s">
        <v>21</v>
      </c>
      <c r="D5381">
        <v>189467</v>
      </c>
      <c r="E5381">
        <v>22113</v>
      </c>
      <c r="F5381">
        <v>41270</v>
      </c>
      <c r="G5381">
        <v>-154329</v>
      </c>
      <c r="H5381">
        <v>98521</v>
      </c>
      <c r="I5381">
        <v>96035</v>
      </c>
      <c r="J5381">
        <v>2472</v>
      </c>
      <c r="K5381">
        <v>432372</v>
      </c>
      <c r="L5381">
        <v>142934</v>
      </c>
      <c r="M5381">
        <v>-169368</v>
      </c>
      <c r="N5381">
        <v>77703</v>
      </c>
      <c r="O5381" t="s">
        <v>5399</v>
      </c>
      <c r="P5381" s="9">
        <v>216035</v>
      </c>
      <c r="Q5381" s="9">
        <v>15441</v>
      </c>
      <c r="R5381" s="9">
        <v>231476</v>
      </c>
      <c r="S5381" s="9">
        <v>-117822</v>
      </c>
      <c r="T5381" s="10">
        <v>61166</v>
      </c>
      <c r="U5381" s="10">
        <v>1345</v>
      </c>
    </row>
    <row r="5382" spans="1:21" x14ac:dyDescent="0.35">
      <c r="A5382" t="s">
        <v>15</v>
      </c>
      <c r="B5382" t="s">
        <v>16</v>
      </c>
      <c r="C5382" t="s">
        <v>21</v>
      </c>
      <c r="D5382">
        <v>198321</v>
      </c>
      <c r="E5382">
        <v>26683</v>
      </c>
      <c r="F5382">
        <v>29705</v>
      </c>
      <c r="G5382">
        <v>-174429</v>
      </c>
      <c r="H5382">
        <v>80280</v>
      </c>
      <c r="I5382">
        <v>84152</v>
      </c>
      <c r="J5382">
        <v>973</v>
      </c>
      <c r="K5382">
        <v>552731</v>
      </c>
      <c r="L5382">
        <v>133707</v>
      </c>
      <c r="M5382">
        <v>-75887</v>
      </c>
      <c r="N5382">
        <v>93353</v>
      </c>
      <c r="O5382" t="s">
        <v>5400</v>
      </c>
      <c r="P5382" s="9">
        <v>181704</v>
      </c>
      <c r="Q5382" s="9">
        <v>20605</v>
      </c>
      <c r="R5382" s="9">
        <v>202309</v>
      </c>
      <c r="S5382" s="9">
        <v>-69058</v>
      </c>
      <c r="T5382" s="10">
        <v>84197</v>
      </c>
      <c r="U5382" s="10">
        <v>1339</v>
      </c>
    </row>
    <row r="5383" spans="1:21" x14ac:dyDescent="0.35">
      <c r="A5383" t="s">
        <v>15</v>
      </c>
      <c r="B5383" t="s">
        <v>16</v>
      </c>
      <c r="C5383" t="s">
        <v>21</v>
      </c>
      <c r="D5383">
        <v>157205</v>
      </c>
      <c r="E5383">
        <v>25549</v>
      </c>
      <c r="F5383">
        <v>29623</v>
      </c>
      <c r="G5383">
        <v>-141704</v>
      </c>
      <c r="H5383">
        <v>70673</v>
      </c>
      <c r="I5383">
        <v>69940</v>
      </c>
      <c r="J5383">
        <v>1604</v>
      </c>
      <c r="K5383">
        <v>624617</v>
      </c>
      <c r="L5383">
        <v>236203</v>
      </c>
      <c r="M5383">
        <v>-204121</v>
      </c>
      <c r="N5383">
        <v>69442</v>
      </c>
      <c r="O5383" t="s">
        <v>5401</v>
      </c>
      <c r="P5383" s="9">
        <v>310310</v>
      </c>
      <c r="Q5383" s="9">
        <v>17564</v>
      </c>
      <c r="R5383" s="9">
        <v>327874</v>
      </c>
      <c r="S5383" s="9">
        <v>-169299</v>
      </c>
      <c r="T5383" s="10">
        <v>92351</v>
      </c>
      <c r="U5383" s="10">
        <v>1353</v>
      </c>
    </row>
    <row r="5384" spans="1:21" x14ac:dyDescent="0.35">
      <c r="A5384" t="s">
        <v>15</v>
      </c>
      <c r="B5384" t="s">
        <v>20</v>
      </c>
      <c r="C5384" t="s">
        <v>21</v>
      </c>
      <c r="D5384">
        <v>251738</v>
      </c>
      <c r="E5384">
        <v>39300</v>
      </c>
      <c r="F5384">
        <v>28164</v>
      </c>
      <c r="G5384">
        <v>-212994</v>
      </c>
      <c r="H5384">
        <v>106208</v>
      </c>
      <c r="I5384">
        <v>101489</v>
      </c>
      <c r="J5384">
        <v>1726</v>
      </c>
      <c r="K5384">
        <v>637863</v>
      </c>
      <c r="L5384">
        <v>310399</v>
      </c>
      <c r="M5384">
        <v>-87120</v>
      </c>
      <c r="N5384">
        <v>167254</v>
      </c>
      <c r="O5384" t="s">
        <v>5402</v>
      </c>
      <c r="P5384" s="9">
        <v>259564</v>
      </c>
      <c r="Q5384" s="9">
        <v>19939</v>
      </c>
      <c r="R5384" s="9">
        <v>279503</v>
      </c>
      <c r="S5384" s="9">
        <v>-130800</v>
      </c>
      <c r="T5384" s="10">
        <v>103338</v>
      </c>
      <c r="U5384" s="10">
        <v>2517</v>
      </c>
    </row>
    <row r="5385" spans="1:21" x14ac:dyDescent="0.35">
      <c r="A5385" t="s">
        <v>15</v>
      </c>
      <c r="B5385" t="s">
        <v>20</v>
      </c>
      <c r="C5385" t="s">
        <v>21</v>
      </c>
      <c r="D5385">
        <v>297661</v>
      </c>
      <c r="E5385">
        <v>39652</v>
      </c>
      <c r="F5385">
        <v>33919</v>
      </c>
      <c r="G5385">
        <v>-296983</v>
      </c>
      <c r="H5385">
        <v>74249</v>
      </c>
      <c r="I5385">
        <v>70396</v>
      </c>
      <c r="J5385">
        <v>1956</v>
      </c>
      <c r="K5385">
        <v>663626</v>
      </c>
      <c r="L5385">
        <v>167501</v>
      </c>
      <c r="M5385">
        <v>-254339</v>
      </c>
      <c r="N5385">
        <v>154001</v>
      </c>
      <c r="O5385" t="s">
        <v>5403</v>
      </c>
      <c r="P5385" s="9">
        <v>306720</v>
      </c>
      <c r="Q5385" s="9">
        <v>33745</v>
      </c>
      <c r="R5385" s="9">
        <v>340465</v>
      </c>
      <c r="S5385" s="9">
        <v>-163295</v>
      </c>
      <c r="T5385" s="10">
        <v>154555</v>
      </c>
      <c r="U5385" s="10">
        <v>3541</v>
      </c>
    </row>
    <row r="5386" spans="1:21" x14ac:dyDescent="0.35">
      <c r="A5386" t="s">
        <v>15</v>
      </c>
      <c r="B5386" t="s">
        <v>16</v>
      </c>
      <c r="C5386" t="s">
        <v>17</v>
      </c>
      <c r="D5386">
        <v>220208</v>
      </c>
      <c r="E5386">
        <v>28515</v>
      </c>
      <c r="F5386">
        <v>39919</v>
      </c>
      <c r="G5386">
        <v>-191718</v>
      </c>
      <c r="H5386">
        <v>96924</v>
      </c>
      <c r="I5386">
        <v>101198</v>
      </c>
      <c r="J5386">
        <v>2714</v>
      </c>
      <c r="K5386">
        <v>857797</v>
      </c>
      <c r="L5386">
        <v>310359</v>
      </c>
      <c r="M5386">
        <v>-309573</v>
      </c>
      <c r="N5386">
        <v>103322</v>
      </c>
      <c r="O5386" t="s">
        <v>5404</v>
      </c>
      <c r="P5386" s="9">
        <v>198594</v>
      </c>
      <c r="Q5386" s="9">
        <v>38449</v>
      </c>
      <c r="R5386" s="9">
        <v>237043</v>
      </c>
      <c r="S5386" s="9">
        <v>-69084</v>
      </c>
      <c r="T5386" s="10">
        <v>84020</v>
      </c>
      <c r="U5386" s="10">
        <v>2357</v>
      </c>
    </row>
    <row r="5387" spans="1:21" x14ac:dyDescent="0.35">
      <c r="A5387" t="s">
        <v>15</v>
      </c>
      <c r="B5387" t="s">
        <v>20</v>
      </c>
      <c r="C5387" t="s">
        <v>17</v>
      </c>
      <c r="D5387">
        <v>255315</v>
      </c>
      <c r="E5387">
        <v>40281</v>
      </c>
      <c r="F5387">
        <v>42335</v>
      </c>
      <c r="G5387">
        <v>-216735</v>
      </c>
      <c r="H5387">
        <v>121196</v>
      </c>
      <c r="I5387">
        <v>120834</v>
      </c>
      <c r="J5387">
        <v>2152</v>
      </c>
      <c r="K5387">
        <v>945166</v>
      </c>
      <c r="L5387">
        <v>301606</v>
      </c>
      <c r="M5387">
        <v>-281913</v>
      </c>
      <c r="N5387">
        <v>85875</v>
      </c>
      <c r="O5387" t="s">
        <v>5405</v>
      </c>
      <c r="P5387" s="9">
        <v>153790</v>
      </c>
      <c r="Q5387" s="9">
        <v>17790</v>
      </c>
      <c r="R5387" s="9">
        <v>171580</v>
      </c>
      <c r="S5387" s="9">
        <v>-79038</v>
      </c>
      <c r="T5387" s="10">
        <v>65939</v>
      </c>
      <c r="U5387" s="10">
        <v>915</v>
      </c>
    </row>
    <row r="5388" spans="1:21" x14ac:dyDescent="0.35">
      <c r="A5388" t="s">
        <v>15</v>
      </c>
      <c r="B5388" t="s">
        <v>16</v>
      </c>
      <c r="C5388" t="s">
        <v>21</v>
      </c>
      <c r="D5388">
        <v>207262</v>
      </c>
      <c r="E5388">
        <v>35207</v>
      </c>
      <c r="F5388">
        <v>26688</v>
      </c>
      <c r="G5388">
        <v>-190681</v>
      </c>
      <c r="H5388">
        <v>78476</v>
      </c>
      <c r="I5388">
        <v>80006</v>
      </c>
      <c r="J5388">
        <v>1623</v>
      </c>
      <c r="K5388">
        <v>432895</v>
      </c>
      <c r="L5388">
        <v>88316</v>
      </c>
      <c r="M5388">
        <v>-172106</v>
      </c>
      <c r="N5388">
        <v>110520</v>
      </c>
      <c r="O5388" t="s">
        <v>5406</v>
      </c>
      <c r="P5388" s="9">
        <v>207037</v>
      </c>
      <c r="Q5388" s="9">
        <v>28747</v>
      </c>
      <c r="R5388" s="9">
        <v>235784</v>
      </c>
      <c r="S5388" s="9">
        <v>-87596</v>
      </c>
      <c r="T5388" s="10">
        <v>80865</v>
      </c>
      <c r="U5388" s="10">
        <v>1367</v>
      </c>
    </row>
    <row r="5389" spans="1:21" x14ac:dyDescent="0.35">
      <c r="A5389" t="s">
        <v>15</v>
      </c>
      <c r="B5389" t="s">
        <v>20</v>
      </c>
      <c r="C5389" t="s">
        <v>21</v>
      </c>
      <c r="D5389">
        <v>233782</v>
      </c>
      <c r="E5389">
        <v>23698</v>
      </c>
      <c r="F5389">
        <v>28932</v>
      </c>
      <c r="G5389">
        <v>-201938</v>
      </c>
      <c r="H5389">
        <v>84474</v>
      </c>
      <c r="I5389">
        <v>77922</v>
      </c>
      <c r="J5389">
        <v>2140</v>
      </c>
      <c r="K5389">
        <v>490238</v>
      </c>
      <c r="L5389">
        <v>160493</v>
      </c>
      <c r="M5389">
        <v>-62769</v>
      </c>
      <c r="N5389">
        <v>206444</v>
      </c>
      <c r="O5389" t="s">
        <v>5407</v>
      </c>
      <c r="P5389" s="9">
        <v>276989</v>
      </c>
      <c r="Q5389" s="9">
        <v>51267</v>
      </c>
      <c r="R5389" s="9">
        <v>328256</v>
      </c>
      <c r="S5389" s="9">
        <v>-123231</v>
      </c>
      <c r="T5389" s="10">
        <v>160177</v>
      </c>
      <c r="U5389" s="10">
        <v>4257</v>
      </c>
    </row>
    <row r="5390" spans="1:21" x14ac:dyDescent="0.35">
      <c r="A5390" t="s">
        <v>15</v>
      </c>
      <c r="B5390" t="s">
        <v>16</v>
      </c>
      <c r="C5390" t="s">
        <v>21</v>
      </c>
      <c r="D5390">
        <v>171208</v>
      </c>
      <c r="E5390">
        <v>19231</v>
      </c>
      <c r="F5390">
        <v>23166</v>
      </c>
      <c r="G5390">
        <v>-138191</v>
      </c>
      <c r="H5390">
        <v>75414</v>
      </c>
      <c r="I5390">
        <v>74413</v>
      </c>
      <c r="J5390">
        <v>2148</v>
      </c>
      <c r="K5390">
        <v>379460</v>
      </c>
      <c r="L5390">
        <v>52191</v>
      </c>
      <c r="M5390">
        <v>-53093</v>
      </c>
      <c r="N5390">
        <v>106229</v>
      </c>
      <c r="O5390" t="s">
        <v>5408</v>
      </c>
      <c r="P5390" s="9">
        <v>237068</v>
      </c>
      <c r="Q5390" s="9">
        <v>22412</v>
      </c>
      <c r="R5390" s="9">
        <v>259480</v>
      </c>
      <c r="S5390" s="9">
        <v>-117197</v>
      </c>
      <c r="T5390" s="10">
        <v>107217</v>
      </c>
      <c r="U5390" s="10">
        <v>2166</v>
      </c>
    </row>
    <row r="5391" spans="1:21" x14ac:dyDescent="0.35">
      <c r="A5391" t="s">
        <v>15</v>
      </c>
      <c r="B5391" t="s">
        <v>20</v>
      </c>
      <c r="C5391" t="s">
        <v>21</v>
      </c>
      <c r="D5391">
        <v>161810</v>
      </c>
      <c r="E5391">
        <v>11288</v>
      </c>
      <c r="F5391">
        <v>24577</v>
      </c>
      <c r="G5391">
        <v>-137606</v>
      </c>
      <c r="H5391">
        <v>60069</v>
      </c>
      <c r="I5391">
        <v>55378</v>
      </c>
      <c r="J5391">
        <v>1153</v>
      </c>
      <c r="K5391">
        <v>598414</v>
      </c>
      <c r="L5391">
        <v>102459</v>
      </c>
      <c r="M5391">
        <v>-92221</v>
      </c>
      <c r="N5391">
        <v>83203</v>
      </c>
      <c r="O5391" t="s">
        <v>5409</v>
      </c>
      <c r="P5391" s="9">
        <v>192878</v>
      </c>
      <c r="Q5391" s="9">
        <v>22697</v>
      </c>
      <c r="R5391" s="9">
        <v>215575</v>
      </c>
      <c r="S5391" s="9">
        <v>-59394</v>
      </c>
      <c r="T5391" s="10">
        <v>76055</v>
      </c>
      <c r="U5391" s="10">
        <v>1997</v>
      </c>
    </row>
    <row r="5392" spans="1:21" x14ac:dyDescent="0.35">
      <c r="A5392" t="s">
        <v>15</v>
      </c>
      <c r="B5392" t="s">
        <v>16</v>
      </c>
      <c r="C5392" t="s">
        <v>21</v>
      </c>
      <c r="D5392">
        <v>151756</v>
      </c>
      <c r="E5392">
        <v>13133</v>
      </c>
      <c r="F5392">
        <v>34509</v>
      </c>
      <c r="G5392">
        <v>-147713</v>
      </c>
      <c r="H5392">
        <v>51685</v>
      </c>
      <c r="I5392">
        <v>50045</v>
      </c>
      <c r="J5392">
        <v>1204</v>
      </c>
      <c r="K5392">
        <v>320647</v>
      </c>
      <c r="L5392">
        <v>87665</v>
      </c>
      <c r="M5392">
        <v>-123524</v>
      </c>
      <c r="N5392">
        <v>93946</v>
      </c>
      <c r="O5392" t="s">
        <v>5410</v>
      </c>
      <c r="P5392" s="9">
        <v>204363</v>
      </c>
      <c r="Q5392" s="9">
        <v>13834</v>
      </c>
      <c r="R5392" s="9">
        <v>218197</v>
      </c>
      <c r="S5392" s="9">
        <v>-128306</v>
      </c>
      <c r="T5392" s="10">
        <v>66752</v>
      </c>
      <c r="U5392" s="10">
        <v>1206</v>
      </c>
    </row>
    <row r="5393" spans="1:21" x14ac:dyDescent="0.35">
      <c r="A5393" t="s">
        <v>15</v>
      </c>
      <c r="B5393" t="s">
        <v>20</v>
      </c>
      <c r="C5393" t="s">
        <v>21</v>
      </c>
      <c r="D5393">
        <v>297746</v>
      </c>
      <c r="E5393">
        <v>22744</v>
      </c>
      <c r="F5393">
        <v>65096</v>
      </c>
      <c r="G5393">
        <v>-269169</v>
      </c>
      <c r="H5393">
        <v>116417</v>
      </c>
      <c r="I5393">
        <v>106394</v>
      </c>
      <c r="J5393">
        <v>1538</v>
      </c>
      <c r="K5393">
        <v>1093975</v>
      </c>
      <c r="L5393">
        <v>263622</v>
      </c>
      <c r="M5393">
        <v>-236754</v>
      </c>
      <c r="N5393">
        <v>224698</v>
      </c>
      <c r="O5393" t="s">
        <v>5411</v>
      </c>
      <c r="P5393" s="9">
        <v>168801</v>
      </c>
      <c r="Q5393" s="9">
        <v>23059</v>
      </c>
      <c r="R5393" s="9">
        <v>191860</v>
      </c>
      <c r="S5393" s="9">
        <v>-38437</v>
      </c>
      <c r="T5393" s="10">
        <v>84317</v>
      </c>
      <c r="U5393" s="10">
        <v>1800</v>
      </c>
    </row>
    <row r="5394" spans="1:21" x14ac:dyDescent="0.35">
      <c r="A5394" t="s">
        <v>15</v>
      </c>
      <c r="B5394" t="s">
        <v>16</v>
      </c>
      <c r="C5394" t="s">
        <v>21</v>
      </c>
      <c r="D5394">
        <v>179651</v>
      </c>
      <c r="E5394">
        <v>13446</v>
      </c>
      <c r="F5394">
        <v>20522</v>
      </c>
      <c r="G5394">
        <v>-153966</v>
      </c>
      <c r="H5394">
        <v>59653</v>
      </c>
      <c r="I5394">
        <v>61017</v>
      </c>
      <c r="J5394">
        <v>1021</v>
      </c>
      <c r="K5394">
        <v>659805</v>
      </c>
      <c r="L5394">
        <v>246485</v>
      </c>
      <c r="M5394">
        <v>-167633</v>
      </c>
      <c r="N5394">
        <v>134352</v>
      </c>
      <c r="O5394" t="s">
        <v>5412</v>
      </c>
      <c r="P5394" s="9">
        <v>158473</v>
      </c>
      <c r="Q5394" s="9">
        <v>24283</v>
      </c>
      <c r="R5394" s="9">
        <v>182756</v>
      </c>
      <c r="S5394" s="9">
        <v>-106959</v>
      </c>
      <c r="T5394" s="10">
        <v>83978</v>
      </c>
      <c r="U5394" s="10">
        <v>1378</v>
      </c>
    </row>
    <row r="5395" spans="1:21" x14ac:dyDescent="0.35">
      <c r="A5395" t="s">
        <v>15</v>
      </c>
      <c r="B5395" t="s">
        <v>16</v>
      </c>
      <c r="C5395" t="s">
        <v>21</v>
      </c>
      <c r="D5395">
        <v>259316</v>
      </c>
      <c r="E5395">
        <v>27446</v>
      </c>
      <c r="F5395">
        <v>28986</v>
      </c>
      <c r="G5395">
        <v>-220825</v>
      </c>
      <c r="H5395">
        <v>94923</v>
      </c>
      <c r="I5395">
        <v>93606</v>
      </c>
      <c r="J5395">
        <v>1936</v>
      </c>
      <c r="K5395">
        <v>757253</v>
      </c>
      <c r="L5395">
        <v>107128</v>
      </c>
      <c r="M5395">
        <v>-275578</v>
      </c>
      <c r="N5395">
        <v>215582</v>
      </c>
      <c r="O5395" t="s">
        <v>5413</v>
      </c>
      <c r="P5395" s="9">
        <v>174816</v>
      </c>
      <c r="Q5395" s="9">
        <v>24329</v>
      </c>
      <c r="R5395" s="9">
        <v>199145</v>
      </c>
      <c r="S5395" s="9">
        <v>-74235</v>
      </c>
      <c r="T5395" s="10">
        <v>54876</v>
      </c>
      <c r="U5395" s="10">
        <v>1623</v>
      </c>
    </row>
    <row r="5396" spans="1:21" x14ac:dyDescent="0.35">
      <c r="A5396" t="s">
        <v>15</v>
      </c>
      <c r="B5396" t="s">
        <v>16</v>
      </c>
      <c r="C5396" t="s">
        <v>21</v>
      </c>
      <c r="D5396">
        <v>186359</v>
      </c>
      <c r="E5396">
        <v>9455</v>
      </c>
      <c r="F5396">
        <v>46584</v>
      </c>
      <c r="G5396">
        <v>-173205</v>
      </c>
      <c r="H5396">
        <v>69193</v>
      </c>
      <c r="I5396">
        <v>72147</v>
      </c>
      <c r="J5396">
        <v>1939</v>
      </c>
      <c r="K5396">
        <v>496076</v>
      </c>
      <c r="L5396">
        <v>56619</v>
      </c>
      <c r="M5396">
        <v>-96359</v>
      </c>
      <c r="N5396">
        <v>166533</v>
      </c>
      <c r="O5396" t="s">
        <v>5414</v>
      </c>
      <c r="P5396" s="9">
        <v>204930</v>
      </c>
      <c r="Q5396" s="9">
        <v>23465</v>
      </c>
      <c r="R5396" s="9">
        <v>228395</v>
      </c>
      <c r="S5396" s="9">
        <v>-88867</v>
      </c>
      <c r="T5396" s="10">
        <v>97997</v>
      </c>
      <c r="U5396" s="10">
        <v>2917</v>
      </c>
    </row>
    <row r="5397" spans="1:21" x14ac:dyDescent="0.35">
      <c r="A5397" t="s">
        <v>15</v>
      </c>
      <c r="B5397" t="s">
        <v>20</v>
      </c>
      <c r="C5397" t="s">
        <v>21</v>
      </c>
      <c r="D5397">
        <v>224048</v>
      </c>
      <c r="E5397">
        <v>26034</v>
      </c>
      <c r="F5397">
        <v>37002</v>
      </c>
      <c r="G5397">
        <v>-180472</v>
      </c>
      <c r="H5397">
        <v>106612</v>
      </c>
      <c r="I5397">
        <v>102380</v>
      </c>
      <c r="J5397">
        <v>1442</v>
      </c>
      <c r="K5397">
        <v>531221</v>
      </c>
      <c r="L5397">
        <v>57181</v>
      </c>
      <c r="M5397">
        <v>-121832</v>
      </c>
      <c r="N5397">
        <v>180358</v>
      </c>
      <c r="O5397" t="s">
        <v>5415</v>
      </c>
      <c r="P5397" s="9">
        <v>229904</v>
      </c>
      <c r="Q5397" s="9">
        <v>27337</v>
      </c>
      <c r="R5397" s="9">
        <v>257241</v>
      </c>
      <c r="S5397" s="9">
        <v>-139161</v>
      </c>
      <c r="T5397" s="10">
        <v>88503</v>
      </c>
      <c r="U5397" s="10">
        <v>2431</v>
      </c>
    </row>
    <row r="5398" spans="1:21" x14ac:dyDescent="0.35">
      <c r="A5398" t="s">
        <v>15</v>
      </c>
      <c r="B5398" t="s">
        <v>16</v>
      </c>
      <c r="C5398" t="s">
        <v>21</v>
      </c>
      <c r="D5398">
        <v>223465</v>
      </c>
      <c r="E5398">
        <v>14504</v>
      </c>
      <c r="F5398">
        <v>27907</v>
      </c>
      <c r="G5398">
        <v>-179710</v>
      </c>
      <c r="H5398">
        <v>86166</v>
      </c>
      <c r="I5398">
        <v>87971</v>
      </c>
      <c r="J5398">
        <v>1034</v>
      </c>
      <c r="K5398">
        <v>811949</v>
      </c>
      <c r="L5398">
        <v>323894</v>
      </c>
      <c r="M5398">
        <v>-93086</v>
      </c>
      <c r="N5398">
        <v>135349</v>
      </c>
      <c r="O5398" t="s">
        <v>5416</v>
      </c>
      <c r="P5398" s="9">
        <v>292627</v>
      </c>
      <c r="Q5398" s="9">
        <v>40360</v>
      </c>
      <c r="R5398" s="9">
        <v>332987</v>
      </c>
      <c r="S5398" s="9">
        <v>-74249</v>
      </c>
      <c r="T5398" s="10">
        <v>128870</v>
      </c>
      <c r="U5398" s="10">
        <v>2679</v>
      </c>
    </row>
    <row r="5399" spans="1:21" x14ac:dyDescent="0.35">
      <c r="A5399" t="s">
        <v>15</v>
      </c>
      <c r="B5399" t="s">
        <v>16</v>
      </c>
      <c r="C5399" t="s">
        <v>21</v>
      </c>
      <c r="D5399">
        <v>293787</v>
      </c>
      <c r="E5399">
        <v>46040</v>
      </c>
      <c r="F5399">
        <v>55194</v>
      </c>
      <c r="G5399">
        <v>-244314</v>
      </c>
      <c r="H5399">
        <v>150707</v>
      </c>
      <c r="I5399">
        <v>155265</v>
      </c>
      <c r="J5399">
        <v>3273</v>
      </c>
      <c r="K5399">
        <v>961792</v>
      </c>
      <c r="L5399">
        <v>296385</v>
      </c>
      <c r="M5399">
        <v>-306182</v>
      </c>
      <c r="N5399">
        <v>136406</v>
      </c>
      <c r="O5399" t="s">
        <v>5417</v>
      </c>
      <c r="P5399" s="9">
        <v>290709</v>
      </c>
      <c r="Q5399" s="9">
        <v>48937</v>
      </c>
      <c r="R5399" s="9">
        <v>339646</v>
      </c>
      <c r="S5399" s="9">
        <v>-202786</v>
      </c>
      <c r="T5399" s="10">
        <v>111254</v>
      </c>
      <c r="U5399" s="10">
        <v>1672</v>
      </c>
    </row>
    <row r="5400" spans="1:21" x14ac:dyDescent="0.35">
      <c r="A5400" t="s">
        <v>15</v>
      </c>
      <c r="B5400" t="s">
        <v>16</v>
      </c>
      <c r="C5400" t="s">
        <v>17</v>
      </c>
      <c r="D5400">
        <v>212028</v>
      </c>
      <c r="E5400">
        <v>14199</v>
      </c>
      <c r="F5400">
        <v>28368</v>
      </c>
      <c r="G5400">
        <v>-205787</v>
      </c>
      <c r="H5400">
        <v>48808</v>
      </c>
      <c r="I5400">
        <v>47007</v>
      </c>
      <c r="J5400">
        <v>724</v>
      </c>
      <c r="K5400">
        <v>433884</v>
      </c>
      <c r="L5400">
        <v>193444</v>
      </c>
      <c r="M5400">
        <v>-60715</v>
      </c>
      <c r="N5400">
        <v>160709</v>
      </c>
      <c r="O5400" t="s">
        <v>5418</v>
      </c>
      <c r="P5400" s="9">
        <v>183404</v>
      </c>
      <c r="Q5400" s="9">
        <v>20718</v>
      </c>
      <c r="R5400" s="9">
        <v>204122</v>
      </c>
      <c r="S5400" s="9">
        <v>-100057</v>
      </c>
      <c r="T5400" s="10">
        <v>52409</v>
      </c>
      <c r="U5400" s="10">
        <v>1104</v>
      </c>
    </row>
    <row r="5401" spans="1:21" x14ac:dyDescent="0.35">
      <c r="A5401" t="s">
        <v>15</v>
      </c>
      <c r="B5401" t="s">
        <v>20</v>
      </c>
      <c r="C5401" t="s">
        <v>21</v>
      </c>
      <c r="D5401">
        <v>273745</v>
      </c>
      <c r="E5401">
        <v>31050</v>
      </c>
      <c r="F5401">
        <v>27832</v>
      </c>
      <c r="G5401">
        <v>-265875</v>
      </c>
      <c r="H5401">
        <v>66752</v>
      </c>
      <c r="I5401">
        <v>67714</v>
      </c>
      <c r="J5401">
        <v>728</v>
      </c>
      <c r="K5401">
        <v>556592</v>
      </c>
      <c r="L5401">
        <v>203221</v>
      </c>
      <c r="M5401">
        <v>-84116</v>
      </c>
      <c r="N5401">
        <v>169380</v>
      </c>
      <c r="O5401" t="s">
        <v>5419</v>
      </c>
      <c r="P5401" s="9">
        <v>223658</v>
      </c>
      <c r="Q5401" s="9">
        <v>38776</v>
      </c>
      <c r="R5401" s="9">
        <v>262434</v>
      </c>
      <c r="S5401" s="9">
        <v>-131831</v>
      </c>
      <c r="T5401" s="10">
        <v>85484</v>
      </c>
      <c r="U5401" s="10">
        <v>1324</v>
      </c>
    </row>
    <row r="5402" spans="1:21" x14ac:dyDescent="0.35">
      <c r="A5402" t="s">
        <v>15</v>
      </c>
      <c r="B5402" t="s">
        <v>16</v>
      </c>
      <c r="C5402" t="s">
        <v>21</v>
      </c>
      <c r="D5402">
        <v>202097</v>
      </c>
      <c r="E5402">
        <v>12507</v>
      </c>
      <c r="F5402">
        <v>34200</v>
      </c>
      <c r="G5402">
        <v>-188268</v>
      </c>
      <c r="H5402">
        <v>60536</v>
      </c>
      <c r="I5402">
        <v>62439</v>
      </c>
      <c r="J5402">
        <v>653</v>
      </c>
      <c r="K5402">
        <v>541127</v>
      </c>
      <c r="L5402">
        <v>218456</v>
      </c>
      <c r="M5402">
        <v>-136055</v>
      </c>
      <c r="N5402">
        <v>105450</v>
      </c>
      <c r="O5402" t="s">
        <v>5420</v>
      </c>
      <c r="P5402" s="9">
        <v>213960</v>
      </c>
      <c r="Q5402" s="9">
        <v>16626</v>
      </c>
      <c r="R5402" s="9">
        <v>230586</v>
      </c>
      <c r="S5402" s="9">
        <v>-129500</v>
      </c>
      <c r="T5402" s="10">
        <v>71242</v>
      </c>
      <c r="U5402" s="10">
        <v>1931</v>
      </c>
    </row>
    <row r="5403" spans="1:21" x14ac:dyDescent="0.35">
      <c r="A5403" t="s">
        <v>15</v>
      </c>
      <c r="B5403" t="s">
        <v>20</v>
      </c>
      <c r="C5403" t="s">
        <v>21</v>
      </c>
      <c r="D5403">
        <v>286140</v>
      </c>
      <c r="E5403">
        <v>43011</v>
      </c>
      <c r="F5403">
        <v>28650</v>
      </c>
      <c r="G5403">
        <v>-230757</v>
      </c>
      <c r="H5403">
        <v>127044</v>
      </c>
      <c r="I5403">
        <v>120670</v>
      </c>
      <c r="J5403">
        <v>3204</v>
      </c>
      <c r="K5403">
        <v>952332</v>
      </c>
      <c r="L5403">
        <v>269658</v>
      </c>
      <c r="M5403">
        <v>-139491</v>
      </c>
      <c r="N5403">
        <v>154075</v>
      </c>
      <c r="O5403" t="s">
        <v>5421</v>
      </c>
      <c r="P5403" s="9">
        <v>212885</v>
      </c>
      <c r="Q5403" s="9">
        <v>29960</v>
      </c>
      <c r="R5403" s="9">
        <v>242845</v>
      </c>
      <c r="S5403" s="9">
        <v>-143208</v>
      </c>
      <c r="T5403" s="10">
        <v>70975</v>
      </c>
      <c r="U5403" s="10">
        <v>1183</v>
      </c>
    </row>
    <row r="5404" spans="1:21" x14ac:dyDescent="0.35">
      <c r="A5404" t="s">
        <v>15</v>
      </c>
      <c r="B5404" t="s">
        <v>20</v>
      </c>
      <c r="C5404" t="s">
        <v>21</v>
      </c>
      <c r="D5404">
        <v>299143</v>
      </c>
      <c r="E5404">
        <v>18410</v>
      </c>
      <c r="F5404">
        <v>52837</v>
      </c>
      <c r="G5404">
        <v>-246284</v>
      </c>
      <c r="H5404">
        <v>124106</v>
      </c>
      <c r="I5404">
        <v>121870</v>
      </c>
      <c r="J5404">
        <v>3544</v>
      </c>
      <c r="K5404">
        <v>1154512</v>
      </c>
      <c r="L5404">
        <v>510211</v>
      </c>
      <c r="M5404">
        <v>-218997</v>
      </c>
      <c r="N5404">
        <v>124364</v>
      </c>
      <c r="O5404" t="s">
        <v>5422</v>
      </c>
      <c r="P5404" s="9">
        <v>238847</v>
      </c>
      <c r="Q5404" s="9">
        <v>23386</v>
      </c>
      <c r="R5404" s="9">
        <v>262233</v>
      </c>
      <c r="S5404" s="9">
        <v>-68005</v>
      </c>
      <c r="T5404" s="10">
        <v>74479</v>
      </c>
      <c r="U5404" s="10">
        <v>1990</v>
      </c>
    </row>
    <row r="5405" spans="1:21" x14ac:dyDescent="0.35">
      <c r="A5405" t="s">
        <v>15</v>
      </c>
      <c r="B5405" t="s">
        <v>20</v>
      </c>
      <c r="C5405" t="s">
        <v>17</v>
      </c>
      <c r="D5405">
        <v>206254</v>
      </c>
      <c r="E5405">
        <v>12540</v>
      </c>
      <c r="F5405">
        <v>47479</v>
      </c>
      <c r="G5405">
        <v>-194921</v>
      </c>
      <c r="H5405">
        <v>71352</v>
      </c>
      <c r="I5405">
        <v>71829</v>
      </c>
      <c r="J5405">
        <v>1781</v>
      </c>
      <c r="K5405">
        <v>612454</v>
      </c>
      <c r="L5405">
        <v>107812</v>
      </c>
      <c r="M5405">
        <v>-120895</v>
      </c>
      <c r="N5405">
        <v>113198</v>
      </c>
      <c r="O5405" t="s">
        <v>5423</v>
      </c>
      <c r="P5405" s="9">
        <v>234879</v>
      </c>
      <c r="Q5405" s="9">
        <v>30306</v>
      </c>
      <c r="R5405" s="9">
        <v>265185</v>
      </c>
      <c r="S5405" s="9">
        <v>-122471</v>
      </c>
      <c r="T5405" s="10">
        <v>68455</v>
      </c>
      <c r="U5405" s="10">
        <v>927</v>
      </c>
    </row>
    <row r="5406" spans="1:21" x14ac:dyDescent="0.35">
      <c r="A5406" t="s">
        <v>15</v>
      </c>
      <c r="B5406" t="s">
        <v>16</v>
      </c>
      <c r="C5406" t="s">
        <v>21</v>
      </c>
      <c r="D5406">
        <v>219614</v>
      </c>
      <c r="E5406">
        <v>13619</v>
      </c>
      <c r="F5406">
        <v>47064</v>
      </c>
      <c r="G5406">
        <v>-186668</v>
      </c>
      <c r="H5406">
        <v>93629</v>
      </c>
      <c r="I5406">
        <v>88500</v>
      </c>
      <c r="J5406">
        <v>1652</v>
      </c>
      <c r="K5406">
        <v>467731</v>
      </c>
      <c r="L5406">
        <v>204940</v>
      </c>
      <c r="M5406">
        <v>-113830</v>
      </c>
      <c r="N5406">
        <v>85569</v>
      </c>
      <c r="O5406" t="s">
        <v>5424</v>
      </c>
      <c r="P5406" s="9">
        <v>194755</v>
      </c>
      <c r="Q5406" s="9">
        <v>14496</v>
      </c>
      <c r="R5406" s="9">
        <v>209251</v>
      </c>
      <c r="S5406" s="9">
        <v>-84158</v>
      </c>
      <c r="T5406" s="10">
        <v>72025</v>
      </c>
      <c r="U5406" s="10">
        <v>1564</v>
      </c>
    </row>
    <row r="5407" spans="1:21" x14ac:dyDescent="0.35">
      <c r="A5407" t="s">
        <v>15</v>
      </c>
      <c r="B5407" t="s">
        <v>16</v>
      </c>
      <c r="C5407" t="s">
        <v>21</v>
      </c>
      <c r="D5407">
        <v>236881</v>
      </c>
      <c r="E5407">
        <v>40571</v>
      </c>
      <c r="F5407">
        <v>36554</v>
      </c>
      <c r="G5407">
        <v>-201462</v>
      </c>
      <c r="H5407">
        <v>112544</v>
      </c>
      <c r="I5407">
        <v>103327</v>
      </c>
      <c r="J5407">
        <v>1476</v>
      </c>
      <c r="K5407">
        <v>590300</v>
      </c>
      <c r="L5407">
        <v>101972</v>
      </c>
      <c r="M5407">
        <v>-168503</v>
      </c>
      <c r="N5407">
        <v>149788</v>
      </c>
      <c r="O5407" t="s">
        <v>5425</v>
      </c>
      <c r="P5407" s="9">
        <v>211984</v>
      </c>
      <c r="Q5407" s="9">
        <v>38322</v>
      </c>
      <c r="R5407" s="9">
        <v>250306</v>
      </c>
      <c r="S5407" s="9">
        <v>-119517</v>
      </c>
      <c r="T5407" s="10">
        <v>90615</v>
      </c>
      <c r="U5407" s="10">
        <v>1962</v>
      </c>
    </row>
    <row r="5408" spans="1:21" x14ac:dyDescent="0.35">
      <c r="A5408" t="s">
        <v>15</v>
      </c>
      <c r="B5408" t="s">
        <v>20</v>
      </c>
      <c r="C5408" t="s">
        <v>21</v>
      </c>
      <c r="D5408">
        <v>269549</v>
      </c>
      <c r="E5408">
        <v>50113</v>
      </c>
      <c r="F5408">
        <v>55090</v>
      </c>
      <c r="G5408">
        <v>-216607</v>
      </c>
      <c r="H5408">
        <v>158145</v>
      </c>
      <c r="I5408">
        <v>153233</v>
      </c>
      <c r="J5408">
        <v>2024</v>
      </c>
      <c r="K5408">
        <v>826474</v>
      </c>
      <c r="L5408">
        <v>303240</v>
      </c>
      <c r="M5408">
        <v>-217641</v>
      </c>
      <c r="N5408">
        <v>81083</v>
      </c>
      <c r="O5408" t="s">
        <v>5426</v>
      </c>
      <c r="P5408" s="9">
        <v>185432</v>
      </c>
      <c r="Q5408" s="9">
        <v>23740</v>
      </c>
      <c r="R5408" s="9">
        <v>209172</v>
      </c>
      <c r="S5408" s="9">
        <v>-51037</v>
      </c>
      <c r="T5408" s="10">
        <v>61988</v>
      </c>
      <c r="U5408" s="10">
        <v>1126</v>
      </c>
    </row>
    <row r="5409" spans="1:21" x14ac:dyDescent="0.35">
      <c r="A5409" t="s">
        <v>15</v>
      </c>
      <c r="B5409" t="s">
        <v>16</v>
      </c>
      <c r="C5409" t="s">
        <v>21</v>
      </c>
      <c r="D5409">
        <v>189657</v>
      </c>
      <c r="E5409">
        <v>28923</v>
      </c>
      <c r="F5409">
        <v>21546</v>
      </c>
      <c r="G5409">
        <v>-159092</v>
      </c>
      <c r="H5409">
        <v>81034</v>
      </c>
      <c r="I5409">
        <v>75012</v>
      </c>
      <c r="J5409">
        <v>1988</v>
      </c>
      <c r="K5409">
        <v>669552</v>
      </c>
      <c r="L5409">
        <v>242881</v>
      </c>
      <c r="M5409">
        <v>-158607</v>
      </c>
      <c r="N5409">
        <v>116130</v>
      </c>
      <c r="O5409" t="s">
        <v>5427</v>
      </c>
      <c r="P5409" s="9">
        <v>179881</v>
      </c>
      <c r="Q5409" s="9">
        <v>9811</v>
      </c>
      <c r="R5409" s="9">
        <v>189692</v>
      </c>
      <c r="S5409" s="9">
        <v>-49724</v>
      </c>
      <c r="T5409" s="10">
        <v>78656</v>
      </c>
      <c r="U5409" s="10">
        <v>1481</v>
      </c>
    </row>
    <row r="5410" spans="1:21" x14ac:dyDescent="0.35">
      <c r="A5410" t="s">
        <v>15</v>
      </c>
      <c r="B5410" t="s">
        <v>16</v>
      </c>
      <c r="C5410" t="s">
        <v>21</v>
      </c>
      <c r="D5410">
        <v>187501</v>
      </c>
      <c r="E5410">
        <v>35916</v>
      </c>
      <c r="F5410">
        <v>23062</v>
      </c>
      <c r="G5410">
        <v>-182343</v>
      </c>
      <c r="H5410">
        <v>64136</v>
      </c>
      <c r="I5410">
        <v>60507</v>
      </c>
      <c r="J5410">
        <v>759</v>
      </c>
      <c r="K5410">
        <v>738619</v>
      </c>
      <c r="L5410">
        <v>81939</v>
      </c>
      <c r="M5410">
        <v>-184870</v>
      </c>
      <c r="N5410">
        <v>95451</v>
      </c>
      <c r="O5410" t="s">
        <v>5428</v>
      </c>
      <c r="P5410" s="9">
        <v>267633</v>
      </c>
      <c r="Q5410" s="9">
        <v>30716</v>
      </c>
      <c r="R5410" s="9">
        <v>298349</v>
      </c>
      <c r="S5410" s="9">
        <v>-82061</v>
      </c>
      <c r="T5410" s="10">
        <v>120104</v>
      </c>
      <c r="U5410" s="10">
        <v>2621</v>
      </c>
    </row>
    <row r="5411" spans="1:21" x14ac:dyDescent="0.35">
      <c r="A5411" t="s">
        <v>15</v>
      </c>
      <c r="B5411" t="s">
        <v>16</v>
      </c>
      <c r="C5411" t="s">
        <v>21</v>
      </c>
      <c r="D5411">
        <v>225210</v>
      </c>
      <c r="E5411">
        <v>30876</v>
      </c>
      <c r="F5411">
        <v>24420</v>
      </c>
      <c r="G5411">
        <v>-221805</v>
      </c>
      <c r="H5411">
        <v>58701</v>
      </c>
      <c r="I5411">
        <v>60075</v>
      </c>
      <c r="J5411">
        <v>757</v>
      </c>
      <c r="K5411">
        <v>557502</v>
      </c>
      <c r="L5411">
        <v>158183</v>
      </c>
      <c r="M5411">
        <v>-81111</v>
      </c>
      <c r="N5411">
        <v>199663</v>
      </c>
      <c r="O5411" t="s">
        <v>5429</v>
      </c>
      <c r="P5411" s="9">
        <v>196975</v>
      </c>
      <c r="Q5411" s="9">
        <v>11784</v>
      </c>
      <c r="R5411" s="9">
        <v>208759</v>
      </c>
      <c r="S5411" s="9">
        <v>-59279</v>
      </c>
      <c r="T5411" s="10">
        <v>59897</v>
      </c>
      <c r="U5411" s="10">
        <v>1242</v>
      </c>
    </row>
    <row r="5412" spans="1:21" x14ac:dyDescent="0.35">
      <c r="A5412" t="s">
        <v>15</v>
      </c>
      <c r="B5412" t="s">
        <v>16</v>
      </c>
      <c r="C5412" t="s">
        <v>21</v>
      </c>
      <c r="D5412">
        <v>173579</v>
      </c>
      <c r="E5412">
        <v>22778</v>
      </c>
      <c r="F5412">
        <v>28889</v>
      </c>
      <c r="G5412">
        <v>-154677</v>
      </c>
      <c r="H5412">
        <v>70569</v>
      </c>
      <c r="I5412">
        <v>69640</v>
      </c>
      <c r="J5412">
        <v>1377</v>
      </c>
      <c r="K5412">
        <v>362503</v>
      </c>
      <c r="L5412">
        <v>136461</v>
      </c>
      <c r="M5412">
        <v>-38818</v>
      </c>
      <c r="N5412">
        <v>63891</v>
      </c>
      <c r="O5412" t="s">
        <v>5430</v>
      </c>
      <c r="P5412" s="9">
        <v>158242</v>
      </c>
      <c r="Q5412" s="9">
        <v>11265</v>
      </c>
      <c r="R5412" s="9">
        <v>169507</v>
      </c>
      <c r="S5412" s="9">
        <v>-70166</v>
      </c>
      <c r="T5412" s="10">
        <v>38204</v>
      </c>
      <c r="U5412" s="10">
        <v>900</v>
      </c>
    </row>
    <row r="5413" spans="1:21" x14ac:dyDescent="0.35">
      <c r="A5413" t="s">
        <v>15</v>
      </c>
      <c r="B5413" t="s">
        <v>16</v>
      </c>
      <c r="C5413" t="s">
        <v>21</v>
      </c>
      <c r="D5413">
        <v>174761</v>
      </c>
      <c r="E5413">
        <v>26641</v>
      </c>
      <c r="F5413">
        <v>33368</v>
      </c>
      <c r="G5413">
        <v>-142891</v>
      </c>
      <c r="H5413">
        <v>91879</v>
      </c>
      <c r="I5413">
        <v>95845</v>
      </c>
      <c r="J5413">
        <v>2721</v>
      </c>
      <c r="K5413">
        <v>651331</v>
      </c>
      <c r="L5413">
        <v>116619</v>
      </c>
      <c r="M5413">
        <v>-197709</v>
      </c>
      <c r="N5413">
        <v>55216</v>
      </c>
      <c r="O5413" t="s">
        <v>5431</v>
      </c>
      <c r="P5413" s="9">
        <v>293689</v>
      </c>
      <c r="Q5413" s="9">
        <v>22486</v>
      </c>
      <c r="R5413" s="9">
        <v>316175</v>
      </c>
      <c r="S5413" s="9">
        <v>-132886</v>
      </c>
      <c r="T5413" s="10">
        <v>81612</v>
      </c>
      <c r="U5413" s="10">
        <v>1677</v>
      </c>
    </row>
    <row r="5414" spans="1:21" x14ac:dyDescent="0.35">
      <c r="A5414" t="s">
        <v>15</v>
      </c>
      <c r="B5414" t="s">
        <v>16</v>
      </c>
      <c r="C5414" t="s">
        <v>21</v>
      </c>
      <c r="D5414">
        <v>203687</v>
      </c>
      <c r="E5414">
        <v>24373</v>
      </c>
      <c r="F5414">
        <v>47580</v>
      </c>
      <c r="G5414">
        <v>-199736</v>
      </c>
      <c r="H5414">
        <v>75904</v>
      </c>
      <c r="I5414">
        <v>79111</v>
      </c>
      <c r="J5414">
        <v>867</v>
      </c>
      <c r="K5414">
        <v>514719</v>
      </c>
      <c r="L5414">
        <v>117360</v>
      </c>
      <c r="M5414">
        <v>-53773</v>
      </c>
      <c r="N5414">
        <v>81587</v>
      </c>
      <c r="O5414" t="s">
        <v>5432</v>
      </c>
      <c r="P5414" s="9">
        <v>278481</v>
      </c>
      <c r="Q5414" s="9">
        <v>23278</v>
      </c>
      <c r="R5414" s="9">
        <v>301759</v>
      </c>
      <c r="S5414" s="9">
        <v>-87060</v>
      </c>
      <c r="T5414" s="10">
        <v>116865</v>
      </c>
      <c r="U5414" s="10">
        <v>3346</v>
      </c>
    </row>
    <row r="5415" spans="1:21" x14ac:dyDescent="0.35">
      <c r="A5415" t="s">
        <v>15</v>
      </c>
      <c r="B5415" t="s">
        <v>16</v>
      </c>
      <c r="C5415" t="s">
        <v>17</v>
      </c>
      <c r="D5415">
        <v>286204</v>
      </c>
      <c r="E5415">
        <v>23769</v>
      </c>
      <c r="F5415">
        <v>61782</v>
      </c>
      <c r="G5415">
        <v>-248999</v>
      </c>
      <c r="H5415">
        <v>122756</v>
      </c>
      <c r="I5415">
        <v>120129</v>
      </c>
      <c r="J5415">
        <v>1503</v>
      </c>
      <c r="K5415">
        <v>834924</v>
      </c>
      <c r="L5415">
        <v>374952</v>
      </c>
      <c r="M5415">
        <v>-148060</v>
      </c>
      <c r="N5415">
        <v>209143</v>
      </c>
      <c r="O5415" t="s">
        <v>5433</v>
      </c>
      <c r="P5415" s="9">
        <v>213283</v>
      </c>
      <c r="Q5415" s="9">
        <v>22008</v>
      </c>
      <c r="R5415" s="9">
        <v>235291</v>
      </c>
      <c r="S5415" s="9">
        <v>-130752</v>
      </c>
      <c r="T5415" s="10">
        <v>50995</v>
      </c>
      <c r="U5415" s="10">
        <v>1163</v>
      </c>
    </row>
    <row r="5416" spans="1:21" x14ac:dyDescent="0.35">
      <c r="A5416" t="s">
        <v>15</v>
      </c>
      <c r="B5416" t="s">
        <v>16</v>
      </c>
      <c r="C5416" t="s">
        <v>21</v>
      </c>
      <c r="D5416">
        <v>171521</v>
      </c>
      <c r="E5416">
        <v>8723</v>
      </c>
      <c r="F5416">
        <v>20960</v>
      </c>
      <c r="G5416">
        <v>-169685</v>
      </c>
      <c r="H5416">
        <v>31519</v>
      </c>
      <c r="I5416">
        <v>30099</v>
      </c>
      <c r="J5416">
        <v>623</v>
      </c>
      <c r="K5416">
        <v>579641</v>
      </c>
      <c r="L5416">
        <v>89830</v>
      </c>
      <c r="M5416">
        <v>-141803</v>
      </c>
      <c r="N5416">
        <v>81014</v>
      </c>
      <c r="O5416" t="s">
        <v>5434</v>
      </c>
      <c r="P5416" s="9">
        <v>293922</v>
      </c>
      <c r="Q5416" s="9">
        <v>57520</v>
      </c>
      <c r="R5416" s="9">
        <v>351442</v>
      </c>
      <c r="S5416" s="9">
        <v>-197527</v>
      </c>
      <c r="T5416" s="10">
        <v>117690</v>
      </c>
      <c r="U5416" s="10">
        <v>3240</v>
      </c>
    </row>
    <row r="5417" spans="1:21" x14ac:dyDescent="0.35">
      <c r="A5417" t="s">
        <v>15</v>
      </c>
      <c r="B5417" t="s">
        <v>16</v>
      </c>
      <c r="C5417" t="s">
        <v>17</v>
      </c>
      <c r="D5417">
        <v>240643</v>
      </c>
      <c r="E5417">
        <v>15036</v>
      </c>
      <c r="F5417">
        <v>40451</v>
      </c>
      <c r="G5417">
        <v>-219312</v>
      </c>
      <c r="H5417">
        <v>76818</v>
      </c>
      <c r="I5417">
        <v>71740</v>
      </c>
      <c r="J5417">
        <v>1647</v>
      </c>
      <c r="K5417">
        <v>654071</v>
      </c>
      <c r="L5417">
        <v>225585</v>
      </c>
      <c r="M5417">
        <v>-218739</v>
      </c>
      <c r="N5417">
        <v>140312</v>
      </c>
      <c r="O5417" t="s">
        <v>5435</v>
      </c>
      <c r="P5417" s="9">
        <v>232182</v>
      </c>
      <c r="Q5417" s="9">
        <v>31135</v>
      </c>
      <c r="R5417" s="9">
        <v>263317</v>
      </c>
      <c r="S5417" s="9">
        <v>-69897</v>
      </c>
      <c r="T5417" s="10">
        <v>99242</v>
      </c>
      <c r="U5417" s="10">
        <v>2426</v>
      </c>
    </row>
    <row r="5418" spans="1:21" x14ac:dyDescent="0.35">
      <c r="A5418" t="s">
        <v>15</v>
      </c>
      <c r="B5418" t="s">
        <v>16</v>
      </c>
      <c r="C5418" t="s">
        <v>21</v>
      </c>
      <c r="D5418">
        <v>228737</v>
      </c>
      <c r="E5418">
        <v>43752</v>
      </c>
      <c r="F5418">
        <v>30776</v>
      </c>
      <c r="G5418">
        <v>-198077</v>
      </c>
      <c r="H5418">
        <v>105188</v>
      </c>
      <c r="I5418">
        <v>95506</v>
      </c>
      <c r="J5418">
        <v>2555</v>
      </c>
      <c r="K5418">
        <v>865609</v>
      </c>
      <c r="L5418">
        <v>381964</v>
      </c>
      <c r="M5418">
        <v>-168326</v>
      </c>
      <c r="N5418">
        <v>129403</v>
      </c>
      <c r="O5418" t="s">
        <v>5436</v>
      </c>
      <c r="P5418" s="9">
        <v>291661</v>
      </c>
      <c r="Q5418" s="9">
        <v>49576</v>
      </c>
      <c r="R5418" s="9">
        <v>341237</v>
      </c>
      <c r="S5418" s="9">
        <v>-91127</v>
      </c>
      <c r="T5418" s="10">
        <v>118997</v>
      </c>
      <c r="U5418" s="10">
        <v>1325</v>
      </c>
    </row>
    <row r="5419" spans="1:21" x14ac:dyDescent="0.35">
      <c r="A5419" t="s">
        <v>15</v>
      </c>
      <c r="B5419" t="s">
        <v>20</v>
      </c>
      <c r="C5419" t="s">
        <v>17</v>
      </c>
      <c r="D5419">
        <v>215147</v>
      </c>
      <c r="E5419">
        <v>20603</v>
      </c>
      <c r="F5419">
        <v>52759</v>
      </c>
      <c r="G5419">
        <v>-182005</v>
      </c>
      <c r="H5419">
        <v>106504</v>
      </c>
      <c r="I5419">
        <v>97993</v>
      </c>
      <c r="J5419">
        <v>1689</v>
      </c>
      <c r="K5419">
        <v>695147</v>
      </c>
      <c r="L5419">
        <v>184951</v>
      </c>
      <c r="M5419">
        <v>-134400</v>
      </c>
      <c r="N5419">
        <v>73484</v>
      </c>
      <c r="O5419" t="s">
        <v>5437</v>
      </c>
      <c r="P5419" s="9">
        <v>212368</v>
      </c>
      <c r="Q5419" s="9">
        <v>34356</v>
      </c>
      <c r="R5419" s="9">
        <v>246724</v>
      </c>
      <c r="S5419" s="9">
        <v>-53074</v>
      </c>
      <c r="T5419" s="10">
        <v>53478</v>
      </c>
      <c r="U5419" s="10">
        <v>1013</v>
      </c>
    </row>
    <row r="5420" spans="1:21" x14ac:dyDescent="0.35">
      <c r="A5420" t="s">
        <v>15</v>
      </c>
      <c r="B5420" t="s">
        <v>20</v>
      </c>
      <c r="C5420" t="s">
        <v>21</v>
      </c>
      <c r="D5420">
        <v>283264</v>
      </c>
      <c r="E5420">
        <v>32245</v>
      </c>
      <c r="F5420">
        <v>59525</v>
      </c>
      <c r="G5420">
        <v>-254022</v>
      </c>
      <c r="H5420">
        <v>121012</v>
      </c>
      <c r="I5420">
        <v>126810</v>
      </c>
      <c r="J5420">
        <v>2896</v>
      </c>
      <c r="K5420">
        <v>650932</v>
      </c>
      <c r="L5420">
        <v>78551</v>
      </c>
      <c r="M5420">
        <v>-244272</v>
      </c>
      <c r="N5420">
        <v>252130</v>
      </c>
      <c r="O5420" t="s">
        <v>5438</v>
      </c>
      <c r="P5420" s="9">
        <v>264882</v>
      </c>
      <c r="Q5420" s="9">
        <v>21336</v>
      </c>
      <c r="R5420" s="9">
        <v>286218</v>
      </c>
      <c r="S5420" s="9">
        <v>-95887</v>
      </c>
      <c r="T5420" s="10">
        <v>111171</v>
      </c>
      <c r="U5420" s="10">
        <v>2182</v>
      </c>
    </row>
    <row r="5421" spans="1:21" x14ac:dyDescent="0.35">
      <c r="A5421" t="s">
        <v>15</v>
      </c>
      <c r="B5421" t="s">
        <v>16</v>
      </c>
      <c r="C5421" t="s">
        <v>21</v>
      </c>
      <c r="D5421">
        <v>251609</v>
      </c>
      <c r="E5421">
        <v>20607</v>
      </c>
      <c r="F5421">
        <v>30191</v>
      </c>
      <c r="G5421">
        <v>-227988</v>
      </c>
      <c r="H5421">
        <v>74419</v>
      </c>
      <c r="I5421">
        <v>67089</v>
      </c>
      <c r="J5421">
        <v>792</v>
      </c>
      <c r="K5421">
        <v>950177</v>
      </c>
      <c r="L5421">
        <v>398126</v>
      </c>
      <c r="M5421">
        <v>-247318</v>
      </c>
      <c r="N5421">
        <v>120470</v>
      </c>
      <c r="O5421" t="s">
        <v>5439</v>
      </c>
      <c r="P5421" s="9">
        <v>194210</v>
      </c>
      <c r="Q5421" s="9">
        <v>19509</v>
      </c>
      <c r="R5421" s="9">
        <v>213719</v>
      </c>
      <c r="S5421" s="9">
        <v>-116883</v>
      </c>
      <c r="T5421" s="10">
        <v>64651</v>
      </c>
      <c r="U5421" s="10">
        <v>1339</v>
      </c>
    </row>
    <row r="5422" spans="1:21" x14ac:dyDescent="0.35">
      <c r="A5422" t="s">
        <v>15</v>
      </c>
      <c r="B5422" t="s">
        <v>16</v>
      </c>
      <c r="C5422" t="s">
        <v>21</v>
      </c>
      <c r="D5422">
        <v>206854</v>
      </c>
      <c r="E5422">
        <v>24816</v>
      </c>
      <c r="F5422">
        <v>27525</v>
      </c>
      <c r="G5422">
        <v>-197337</v>
      </c>
      <c r="H5422">
        <v>61858</v>
      </c>
      <c r="I5422">
        <v>60386</v>
      </c>
      <c r="J5422">
        <v>623</v>
      </c>
      <c r="K5422">
        <v>724881</v>
      </c>
      <c r="L5422">
        <v>211245</v>
      </c>
      <c r="M5422">
        <v>-159386</v>
      </c>
      <c r="N5422">
        <v>92685</v>
      </c>
      <c r="O5422" t="s">
        <v>5440</v>
      </c>
      <c r="P5422" s="9">
        <v>219912</v>
      </c>
      <c r="Q5422" s="9">
        <v>31088</v>
      </c>
      <c r="R5422" s="9">
        <v>251000</v>
      </c>
      <c r="S5422" s="9">
        <v>-54567</v>
      </c>
      <c r="T5422" s="10">
        <v>92912</v>
      </c>
      <c r="U5422" s="10">
        <v>1243</v>
      </c>
    </row>
    <row r="5423" spans="1:21" x14ac:dyDescent="0.35">
      <c r="A5423" t="s">
        <v>15</v>
      </c>
      <c r="B5423" t="s">
        <v>16</v>
      </c>
      <c r="C5423" t="s">
        <v>21</v>
      </c>
      <c r="D5423">
        <v>210281</v>
      </c>
      <c r="E5423">
        <v>27641</v>
      </c>
      <c r="F5423">
        <v>26548</v>
      </c>
      <c r="G5423">
        <v>-190563</v>
      </c>
      <c r="H5423">
        <v>73907</v>
      </c>
      <c r="I5423">
        <v>70738</v>
      </c>
      <c r="J5423">
        <v>1442</v>
      </c>
      <c r="K5423">
        <v>764578</v>
      </c>
      <c r="L5423">
        <v>215803</v>
      </c>
      <c r="M5423">
        <v>-149945</v>
      </c>
      <c r="N5423">
        <v>175456</v>
      </c>
      <c r="O5423" t="s">
        <v>5441</v>
      </c>
      <c r="P5423" s="9">
        <v>311841</v>
      </c>
      <c r="Q5423" s="9">
        <v>22881</v>
      </c>
      <c r="R5423" s="9">
        <v>334722</v>
      </c>
      <c r="S5423" s="9">
        <v>-72499</v>
      </c>
      <c r="T5423" s="10">
        <v>99713</v>
      </c>
      <c r="U5423" s="10">
        <v>1270</v>
      </c>
    </row>
    <row r="5424" spans="1:21" x14ac:dyDescent="0.35">
      <c r="A5424" t="s">
        <v>15</v>
      </c>
      <c r="B5424" t="s">
        <v>20</v>
      </c>
      <c r="C5424" t="s">
        <v>21</v>
      </c>
      <c r="D5424">
        <v>294537</v>
      </c>
      <c r="E5424">
        <v>14869</v>
      </c>
      <c r="F5424">
        <v>37308</v>
      </c>
      <c r="G5424">
        <v>-268785</v>
      </c>
      <c r="H5424">
        <v>77929</v>
      </c>
      <c r="I5424">
        <v>80614</v>
      </c>
      <c r="J5424">
        <v>2208</v>
      </c>
      <c r="K5424">
        <v>942692</v>
      </c>
      <c r="L5424">
        <v>258951</v>
      </c>
      <c r="M5424">
        <v>-141233</v>
      </c>
      <c r="N5424">
        <v>156413</v>
      </c>
      <c r="O5424" t="s">
        <v>5442</v>
      </c>
      <c r="P5424" s="9">
        <v>235533</v>
      </c>
      <c r="Q5424" s="9">
        <v>17140</v>
      </c>
      <c r="R5424" s="9">
        <v>252673</v>
      </c>
      <c r="S5424" s="9">
        <v>-67590</v>
      </c>
      <c r="T5424" s="10">
        <v>74028</v>
      </c>
      <c r="U5424" s="10">
        <v>1337</v>
      </c>
    </row>
    <row r="5425" spans="1:21" x14ac:dyDescent="0.35">
      <c r="A5425" t="s">
        <v>15</v>
      </c>
      <c r="B5425" t="s">
        <v>20</v>
      </c>
      <c r="C5425" t="s">
        <v>21</v>
      </c>
      <c r="D5425">
        <v>274439</v>
      </c>
      <c r="E5425">
        <v>52678</v>
      </c>
      <c r="F5425">
        <v>35479</v>
      </c>
      <c r="G5425">
        <v>-251017</v>
      </c>
      <c r="H5425">
        <v>111579</v>
      </c>
      <c r="I5425">
        <v>110715</v>
      </c>
      <c r="J5425">
        <v>2792</v>
      </c>
      <c r="K5425">
        <v>897661</v>
      </c>
      <c r="L5425">
        <v>434033</v>
      </c>
      <c r="M5425">
        <v>-304064</v>
      </c>
      <c r="N5425">
        <v>104103</v>
      </c>
      <c r="O5425" t="s">
        <v>5443</v>
      </c>
      <c r="P5425" s="9">
        <v>221584</v>
      </c>
      <c r="Q5425" s="9">
        <v>10955</v>
      </c>
      <c r="R5425" s="9">
        <v>232539</v>
      </c>
      <c r="S5425" s="9">
        <v>-104955</v>
      </c>
      <c r="T5425" s="10">
        <v>50136</v>
      </c>
      <c r="U5425" s="10">
        <v>1470</v>
      </c>
    </row>
    <row r="5426" spans="1:21" x14ac:dyDescent="0.35">
      <c r="A5426" t="s">
        <v>15</v>
      </c>
      <c r="B5426" t="s">
        <v>16</v>
      </c>
      <c r="C5426" t="s">
        <v>21</v>
      </c>
      <c r="D5426">
        <v>275464</v>
      </c>
      <c r="E5426">
        <v>29016</v>
      </c>
      <c r="F5426">
        <v>62708</v>
      </c>
      <c r="G5426">
        <v>-249873</v>
      </c>
      <c r="H5426">
        <v>117315</v>
      </c>
      <c r="I5426">
        <v>111859</v>
      </c>
      <c r="J5426">
        <v>3085</v>
      </c>
      <c r="K5426">
        <v>871086</v>
      </c>
      <c r="L5426">
        <v>306013</v>
      </c>
      <c r="M5426">
        <v>-187297</v>
      </c>
      <c r="N5426">
        <v>108730</v>
      </c>
      <c r="O5426" t="s">
        <v>5444</v>
      </c>
      <c r="P5426" s="9">
        <v>268594</v>
      </c>
      <c r="Q5426" s="9">
        <v>34566</v>
      </c>
      <c r="R5426" s="9">
        <v>303160</v>
      </c>
      <c r="S5426" s="9">
        <v>-102181</v>
      </c>
      <c r="T5426" s="10">
        <v>138409</v>
      </c>
      <c r="U5426" s="10">
        <v>3770</v>
      </c>
    </row>
    <row r="5427" spans="1:21" x14ac:dyDescent="0.35">
      <c r="A5427" t="s">
        <v>15</v>
      </c>
      <c r="B5427" t="s">
        <v>16</v>
      </c>
      <c r="C5427" t="s">
        <v>17</v>
      </c>
      <c r="D5427">
        <v>259104</v>
      </c>
      <c r="E5427">
        <v>36267</v>
      </c>
      <c r="F5427">
        <v>64199</v>
      </c>
      <c r="G5427">
        <v>-219249</v>
      </c>
      <c r="H5427">
        <v>140321</v>
      </c>
      <c r="I5427">
        <v>142470</v>
      </c>
      <c r="J5427">
        <v>2706</v>
      </c>
      <c r="K5427">
        <v>856846</v>
      </c>
      <c r="L5427">
        <v>314484</v>
      </c>
      <c r="M5427">
        <v>-297720</v>
      </c>
      <c r="N5427">
        <v>158698</v>
      </c>
      <c r="O5427" t="s">
        <v>5445</v>
      </c>
      <c r="P5427" s="9">
        <v>162749</v>
      </c>
      <c r="Q5427" s="9">
        <v>14468</v>
      </c>
      <c r="R5427" s="9">
        <v>177217</v>
      </c>
      <c r="S5427" s="9">
        <v>-39947</v>
      </c>
      <c r="T5427" s="10">
        <v>62754</v>
      </c>
      <c r="U5427" s="10">
        <v>1518</v>
      </c>
    </row>
    <row r="5428" spans="1:21" x14ac:dyDescent="0.35">
      <c r="A5428" t="s">
        <v>15</v>
      </c>
      <c r="B5428" t="s">
        <v>16</v>
      </c>
      <c r="C5428" t="s">
        <v>21</v>
      </c>
      <c r="D5428">
        <v>188857</v>
      </c>
      <c r="E5428">
        <v>23953</v>
      </c>
      <c r="F5428">
        <v>18978</v>
      </c>
      <c r="G5428">
        <v>-163954</v>
      </c>
      <c r="H5428">
        <v>67834</v>
      </c>
      <c r="I5428">
        <v>64178</v>
      </c>
      <c r="J5428">
        <v>1785</v>
      </c>
      <c r="K5428">
        <v>418136</v>
      </c>
      <c r="L5428">
        <v>103525</v>
      </c>
      <c r="M5428">
        <v>-148644</v>
      </c>
      <c r="N5428">
        <v>64977</v>
      </c>
      <c r="O5428" t="s">
        <v>5446</v>
      </c>
      <c r="P5428" s="9">
        <v>252741</v>
      </c>
      <c r="Q5428" s="9">
        <v>28756</v>
      </c>
      <c r="R5428" s="9">
        <v>281497</v>
      </c>
      <c r="S5428" s="9">
        <v>-162151</v>
      </c>
      <c r="T5428" s="10">
        <v>78651</v>
      </c>
      <c r="U5428" s="10">
        <v>984</v>
      </c>
    </row>
    <row r="5429" spans="1:21" x14ac:dyDescent="0.35">
      <c r="A5429" t="s">
        <v>15</v>
      </c>
      <c r="B5429" t="s">
        <v>16</v>
      </c>
      <c r="C5429" t="s">
        <v>21</v>
      </c>
      <c r="D5429">
        <v>205585</v>
      </c>
      <c r="E5429">
        <v>10821</v>
      </c>
      <c r="F5429">
        <v>38828</v>
      </c>
      <c r="G5429">
        <v>-201885</v>
      </c>
      <c r="H5429">
        <v>53349</v>
      </c>
      <c r="I5429">
        <v>54726</v>
      </c>
      <c r="J5429">
        <v>1121</v>
      </c>
      <c r="K5429">
        <v>426884</v>
      </c>
      <c r="L5429">
        <v>139081</v>
      </c>
      <c r="M5429">
        <v>-98173</v>
      </c>
      <c r="N5429">
        <v>106269</v>
      </c>
      <c r="O5429" t="s">
        <v>5447</v>
      </c>
      <c r="P5429" s="9">
        <v>149621</v>
      </c>
      <c r="Q5429" s="9">
        <v>23304</v>
      </c>
      <c r="R5429" s="9">
        <v>172925</v>
      </c>
      <c r="S5429" s="9">
        <v>-102346</v>
      </c>
      <c r="T5429" s="10">
        <v>59519</v>
      </c>
      <c r="U5429" s="10">
        <v>837</v>
      </c>
    </row>
    <row r="5430" spans="1:21" x14ac:dyDescent="0.35">
      <c r="A5430" t="s">
        <v>15</v>
      </c>
      <c r="B5430" t="s">
        <v>20</v>
      </c>
      <c r="C5430" t="s">
        <v>21</v>
      </c>
      <c r="D5430">
        <v>213565</v>
      </c>
      <c r="E5430">
        <v>31171</v>
      </c>
      <c r="F5430">
        <v>40229</v>
      </c>
      <c r="G5430">
        <v>-181714</v>
      </c>
      <c r="H5430">
        <v>103251</v>
      </c>
      <c r="I5430">
        <v>100118</v>
      </c>
      <c r="J5430">
        <v>1422</v>
      </c>
      <c r="K5430">
        <v>570835</v>
      </c>
      <c r="L5430">
        <v>231029</v>
      </c>
      <c r="M5430">
        <v>-118082</v>
      </c>
      <c r="N5430">
        <v>123894</v>
      </c>
      <c r="O5430" t="s">
        <v>5448</v>
      </c>
      <c r="P5430" s="9">
        <v>196518</v>
      </c>
      <c r="Q5430" s="9">
        <v>11252</v>
      </c>
      <c r="R5430" s="9">
        <v>207770</v>
      </c>
      <c r="S5430" s="9">
        <v>-97525</v>
      </c>
      <c r="T5430" s="10">
        <v>61745</v>
      </c>
      <c r="U5430" s="10">
        <v>1766</v>
      </c>
    </row>
    <row r="5431" spans="1:21" x14ac:dyDescent="0.35">
      <c r="A5431" t="s">
        <v>15</v>
      </c>
      <c r="B5431" t="s">
        <v>16</v>
      </c>
      <c r="C5431" t="s">
        <v>17</v>
      </c>
      <c r="D5431">
        <v>236848</v>
      </c>
      <c r="E5431">
        <v>12947</v>
      </c>
      <c r="F5431">
        <v>53405</v>
      </c>
      <c r="G5431">
        <v>-193690</v>
      </c>
      <c r="H5431">
        <v>109510</v>
      </c>
      <c r="I5431">
        <v>112355</v>
      </c>
      <c r="J5431">
        <v>3173</v>
      </c>
      <c r="K5431">
        <v>757968</v>
      </c>
      <c r="L5431">
        <v>225277</v>
      </c>
      <c r="M5431">
        <v>-190611</v>
      </c>
      <c r="N5431">
        <v>163206</v>
      </c>
      <c r="O5431" t="s">
        <v>5449</v>
      </c>
      <c r="P5431" s="9">
        <v>184755</v>
      </c>
      <c r="Q5431" s="9">
        <v>35532</v>
      </c>
      <c r="R5431" s="9">
        <v>220287</v>
      </c>
      <c r="S5431" s="9">
        <v>-76884</v>
      </c>
      <c r="T5431" s="10">
        <v>85080</v>
      </c>
      <c r="U5431" s="10">
        <v>1471</v>
      </c>
    </row>
    <row r="5432" spans="1:21" x14ac:dyDescent="0.35">
      <c r="A5432" t="s">
        <v>15</v>
      </c>
      <c r="B5432" t="s">
        <v>20</v>
      </c>
      <c r="C5432" t="s">
        <v>17</v>
      </c>
      <c r="D5432">
        <v>167338</v>
      </c>
      <c r="E5432">
        <v>18134</v>
      </c>
      <c r="F5432">
        <v>19311</v>
      </c>
      <c r="G5432">
        <v>-139685</v>
      </c>
      <c r="H5432">
        <v>65098</v>
      </c>
      <c r="I5432">
        <v>66356</v>
      </c>
      <c r="J5432">
        <v>1367</v>
      </c>
      <c r="K5432">
        <v>373565</v>
      </c>
      <c r="L5432">
        <v>69656</v>
      </c>
      <c r="M5432">
        <v>-40710</v>
      </c>
      <c r="N5432">
        <v>73895</v>
      </c>
      <c r="O5432" t="s">
        <v>5450</v>
      </c>
      <c r="P5432" s="9">
        <v>231416</v>
      </c>
      <c r="Q5432" s="9">
        <v>31965</v>
      </c>
      <c r="R5432" s="9">
        <v>263381</v>
      </c>
      <c r="S5432" s="9">
        <v>-116338</v>
      </c>
      <c r="T5432" s="10">
        <v>109694</v>
      </c>
      <c r="U5432" s="10">
        <v>2547</v>
      </c>
    </row>
    <row r="5433" spans="1:21" x14ac:dyDescent="0.35">
      <c r="A5433" t="s">
        <v>15</v>
      </c>
      <c r="B5433" t="s">
        <v>20</v>
      </c>
      <c r="C5433" t="s">
        <v>21</v>
      </c>
      <c r="D5433">
        <v>241004</v>
      </c>
      <c r="E5433">
        <v>24764</v>
      </c>
      <c r="F5433">
        <v>41239</v>
      </c>
      <c r="G5433">
        <v>-230704</v>
      </c>
      <c r="H5433">
        <v>76303</v>
      </c>
      <c r="I5433">
        <v>72152</v>
      </c>
      <c r="J5433">
        <v>1726</v>
      </c>
      <c r="K5433">
        <v>722848</v>
      </c>
      <c r="L5433">
        <v>149398</v>
      </c>
      <c r="M5433">
        <v>-280189</v>
      </c>
      <c r="N5433">
        <v>172273</v>
      </c>
      <c r="O5433" t="s">
        <v>5451</v>
      </c>
      <c r="P5433" s="9">
        <v>172649</v>
      </c>
      <c r="Q5433" s="9">
        <v>14023</v>
      </c>
      <c r="R5433" s="9">
        <v>186672</v>
      </c>
      <c r="S5433" s="9">
        <v>-104436</v>
      </c>
      <c r="T5433" s="10">
        <v>53745</v>
      </c>
      <c r="U5433" s="10">
        <v>1113</v>
      </c>
    </row>
    <row r="5434" spans="1:21" x14ac:dyDescent="0.35">
      <c r="A5434" t="s">
        <v>15</v>
      </c>
      <c r="B5434" t="s">
        <v>16</v>
      </c>
      <c r="C5434" t="s">
        <v>21</v>
      </c>
      <c r="D5434">
        <v>197957</v>
      </c>
      <c r="E5434">
        <v>25721</v>
      </c>
      <c r="F5434">
        <v>33324</v>
      </c>
      <c r="G5434">
        <v>-193037</v>
      </c>
      <c r="H5434">
        <v>63965</v>
      </c>
      <c r="I5434">
        <v>63722</v>
      </c>
      <c r="J5434">
        <v>1606</v>
      </c>
      <c r="K5434">
        <v>468228</v>
      </c>
      <c r="L5434">
        <v>50619</v>
      </c>
      <c r="M5434">
        <v>-89710</v>
      </c>
      <c r="N5434">
        <v>107944</v>
      </c>
      <c r="O5434" t="s">
        <v>5452</v>
      </c>
      <c r="P5434" s="9">
        <v>242243</v>
      </c>
      <c r="Q5434" s="9">
        <v>32958</v>
      </c>
      <c r="R5434" s="9">
        <v>275201</v>
      </c>
      <c r="S5434" s="9">
        <v>-79567</v>
      </c>
      <c r="T5434" s="10">
        <v>112157</v>
      </c>
      <c r="U5434" s="10">
        <v>2678</v>
      </c>
    </row>
    <row r="5435" spans="1:21" x14ac:dyDescent="0.35">
      <c r="A5435" t="s">
        <v>15</v>
      </c>
      <c r="B5435" t="s">
        <v>16</v>
      </c>
      <c r="C5435" t="s">
        <v>17</v>
      </c>
      <c r="D5435">
        <v>204672</v>
      </c>
      <c r="E5435">
        <v>10541</v>
      </c>
      <c r="F5435">
        <v>43846</v>
      </c>
      <c r="G5435">
        <v>-201477</v>
      </c>
      <c r="H5435">
        <v>57582</v>
      </c>
      <c r="I5435">
        <v>59515</v>
      </c>
      <c r="J5435">
        <v>784</v>
      </c>
      <c r="K5435">
        <v>436188</v>
      </c>
      <c r="L5435">
        <v>185599</v>
      </c>
      <c r="M5435">
        <v>-108285</v>
      </c>
      <c r="N5435">
        <v>106611</v>
      </c>
      <c r="O5435" t="s">
        <v>5453</v>
      </c>
      <c r="P5435" s="9">
        <v>255091</v>
      </c>
      <c r="Q5435" s="9">
        <v>28792</v>
      </c>
      <c r="R5435" s="9">
        <v>283883</v>
      </c>
      <c r="S5435" s="9">
        <v>-120833</v>
      </c>
      <c r="T5435" s="10">
        <v>140534</v>
      </c>
      <c r="U5435" s="10">
        <v>4067</v>
      </c>
    </row>
    <row r="5436" spans="1:21" x14ac:dyDescent="0.35">
      <c r="A5436" t="s">
        <v>15</v>
      </c>
      <c r="B5436" t="s">
        <v>16</v>
      </c>
      <c r="C5436" t="s">
        <v>21</v>
      </c>
      <c r="D5436">
        <v>242924</v>
      </c>
      <c r="E5436">
        <v>41771</v>
      </c>
      <c r="F5436">
        <v>50846</v>
      </c>
      <c r="G5436">
        <v>-228838</v>
      </c>
      <c r="H5436">
        <v>106703</v>
      </c>
      <c r="I5436">
        <v>111104</v>
      </c>
      <c r="J5436">
        <v>2034</v>
      </c>
      <c r="K5436">
        <v>679270</v>
      </c>
      <c r="L5436">
        <v>292970</v>
      </c>
      <c r="M5436">
        <v>-110474</v>
      </c>
      <c r="N5436">
        <v>216731</v>
      </c>
      <c r="O5436" t="s">
        <v>5454</v>
      </c>
      <c r="P5436" s="9">
        <v>247405</v>
      </c>
      <c r="Q5436" s="9">
        <v>34086</v>
      </c>
      <c r="R5436" s="9">
        <v>281491</v>
      </c>
      <c r="S5436" s="9">
        <v>-141558</v>
      </c>
      <c r="T5436" s="10">
        <v>83598</v>
      </c>
      <c r="U5436" s="10">
        <v>2206</v>
      </c>
    </row>
    <row r="5437" spans="1:21" x14ac:dyDescent="0.35">
      <c r="A5437" t="s">
        <v>15</v>
      </c>
      <c r="B5437" t="s">
        <v>16</v>
      </c>
      <c r="C5437" t="s">
        <v>17</v>
      </c>
      <c r="D5437">
        <v>298065</v>
      </c>
      <c r="E5437">
        <v>38522</v>
      </c>
      <c r="F5437">
        <v>60400</v>
      </c>
      <c r="G5437">
        <v>-275492</v>
      </c>
      <c r="H5437">
        <v>121495</v>
      </c>
      <c r="I5437">
        <v>113002</v>
      </c>
      <c r="J5437">
        <v>1284</v>
      </c>
      <c r="K5437">
        <v>851848</v>
      </c>
      <c r="L5437">
        <v>150142</v>
      </c>
      <c r="M5437">
        <v>-276252</v>
      </c>
      <c r="N5437">
        <v>154457</v>
      </c>
      <c r="O5437" t="s">
        <v>5455</v>
      </c>
      <c r="P5437" s="9">
        <v>281347</v>
      </c>
      <c r="Q5437" s="9">
        <v>29014</v>
      </c>
      <c r="R5437" s="9">
        <v>310361</v>
      </c>
      <c r="S5437" s="9">
        <v>-140121</v>
      </c>
      <c r="T5437" s="10">
        <v>103756</v>
      </c>
      <c r="U5437" s="10">
        <v>2254</v>
      </c>
    </row>
    <row r="5438" spans="1:21" x14ac:dyDescent="0.35">
      <c r="A5438" t="s">
        <v>15</v>
      </c>
      <c r="B5438" t="s">
        <v>20</v>
      </c>
      <c r="C5438" t="s">
        <v>17</v>
      </c>
      <c r="D5438">
        <v>211501</v>
      </c>
      <c r="E5438">
        <v>38138</v>
      </c>
      <c r="F5438">
        <v>23252</v>
      </c>
      <c r="G5438">
        <v>-197444</v>
      </c>
      <c r="H5438">
        <v>75447</v>
      </c>
      <c r="I5438">
        <v>77709</v>
      </c>
      <c r="J5438">
        <v>1925</v>
      </c>
      <c r="K5438">
        <v>802470</v>
      </c>
      <c r="L5438">
        <v>368217</v>
      </c>
      <c r="M5438">
        <v>-229510</v>
      </c>
      <c r="N5438">
        <v>84194</v>
      </c>
      <c r="O5438" t="s">
        <v>5456</v>
      </c>
      <c r="P5438" s="9">
        <v>195300</v>
      </c>
      <c r="Q5438" s="9">
        <v>35296</v>
      </c>
      <c r="R5438" s="9">
        <v>230596</v>
      </c>
      <c r="S5438" s="9">
        <v>-134454</v>
      </c>
      <c r="T5438" s="10">
        <v>104093</v>
      </c>
      <c r="U5438" s="10">
        <v>1516</v>
      </c>
    </row>
    <row r="5439" spans="1:21" x14ac:dyDescent="0.35">
      <c r="A5439" t="s">
        <v>15</v>
      </c>
      <c r="B5439" t="s">
        <v>20</v>
      </c>
      <c r="C5439" t="s">
        <v>21</v>
      </c>
      <c r="D5439">
        <v>189820</v>
      </c>
      <c r="E5439">
        <v>30802</v>
      </c>
      <c r="F5439">
        <v>26652</v>
      </c>
      <c r="G5439">
        <v>-187483</v>
      </c>
      <c r="H5439">
        <v>59791</v>
      </c>
      <c r="I5439">
        <v>54141</v>
      </c>
      <c r="J5439">
        <v>845</v>
      </c>
      <c r="K5439">
        <v>536396</v>
      </c>
      <c r="L5439">
        <v>138326</v>
      </c>
      <c r="M5439">
        <v>-171888</v>
      </c>
      <c r="N5439">
        <v>78655</v>
      </c>
      <c r="O5439" t="s">
        <v>5457</v>
      </c>
      <c r="P5439" s="9">
        <v>195251</v>
      </c>
      <c r="Q5439" s="9">
        <v>15910</v>
      </c>
      <c r="R5439" s="9">
        <v>211161</v>
      </c>
      <c r="S5439" s="9">
        <v>-93683</v>
      </c>
      <c r="T5439" s="10">
        <v>84638</v>
      </c>
      <c r="U5439" s="10">
        <v>2409</v>
      </c>
    </row>
    <row r="5440" spans="1:21" x14ac:dyDescent="0.35">
      <c r="A5440" t="s">
        <v>15</v>
      </c>
      <c r="B5440" t="s">
        <v>20</v>
      </c>
      <c r="C5440" t="s">
        <v>21</v>
      </c>
      <c r="D5440">
        <v>237801</v>
      </c>
      <c r="E5440">
        <v>18546</v>
      </c>
      <c r="F5440">
        <v>51644</v>
      </c>
      <c r="G5440">
        <v>-223626</v>
      </c>
      <c r="H5440">
        <v>84365</v>
      </c>
      <c r="I5440">
        <v>76516</v>
      </c>
      <c r="J5440">
        <v>2083</v>
      </c>
      <c r="K5440">
        <v>553039</v>
      </c>
      <c r="L5440">
        <v>102458</v>
      </c>
      <c r="M5440">
        <v>-65059</v>
      </c>
      <c r="N5440">
        <v>185934</v>
      </c>
      <c r="O5440" t="s">
        <v>5458</v>
      </c>
      <c r="P5440" s="9">
        <v>242437</v>
      </c>
      <c r="Q5440" s="9">
        <v>27766</v>
      </c>
      <c r="R5440" s="9">
        <v>270203</v>
      </c>
      <c r="S5440" s="9">
        <v>-148524</v>
      </c>
      <c r="T5440" s="10">
        <v>59098</v>
      </c>
      <c r="U5440" s="10">
        <v>1244</v>
      </c>
    </row>
    <row r="5441" spans="1:21" x14ac:dyDescent="0.35">
      <c r="A5441" t="s">
        <v>15</v>
      </c>
      <c r="B5441" t="s">
        <v>20</v>
      </c>
      <c r="C5441" t="s">
        <v>21</v>
      </c>
      <c r="D5441">
        <v>188160</v>
      </c>
      <c r="E5441">
        <v>19269</v>
      </c>
      <c r="F5441">
        <v>32322</v>
      </c>
      <c r="G5441">
        <v>-161972</v>
      </c>
      <c r="H5441">
        <v>77779</v>
      </c>
      <c r="I5441">
        <v>74214</v>
      </c>
      <c r="J5441">
        <v>1697</v>
      </c>
      <c r="K5441">
        <v>502422</v>
      </c>
      <c r="L5441">
        <v>240844</v>
      </c>
      <c r="M5441">
        <v>-92144</v>
      </c>
      <c r="N5441">
        <v>94887</v>
      </c>
      <c r="O5441" t="s">
        <v>5459</v>
      </c>
      <c r="P5441" s="9">
        <v>200341</v>
      </c>
      <c r="Q5441" s="9">
        <v>39253</v>
      </c>
      <c r="R5441" s="9">
        <v>239594</v>
      </c>
      <c r="S5441" s="9">
        <v>-103752</v>
      </c>
      <c r="T5441" s="10">
        <v>110736</v>
      </c>
      <c r="U5441" s="10">
        <v>1227</v>
      </c>
    </row>
    <row r="5442" spans="1:21" x14ac:dyDescent="0.35">
      <c r="A5442" t="s">
        <v>15</v>
      </c>
      <c r="B5442" t="s">
        <v>20</v>
      </c>
      <c r="C5442" t="s">
        <v>17</v>
      </c>
      <c r="D5442">
        <v>225293</v>
      </c>
      <c r="E5442">
        <v>27853</v>
      </c>
      <c r="F5442">
        <v>41408</v>
      </c>
      <c r="G5442">
        <v>-191261</v>
      </c>
      <c r="H5442">
        <v>103293</v>
      </c>
      <c r="I5442">
        <v>104851</v>
      </c>
      <c r="J5442">
        <v>2656</v>
      </c>
      <c r="K5442">
        <v>858503</v>
      </c>
      <c r="L5442">
        <v>259132</v>
      </c>
      <c r="M5442">
        <v>-186656</v>
      </c>
      <c r="N5442">
        <v>181948</v>
      </c>
      <c r="O5442" t="s">
        <v>5460</v>
      </c>
      <c r="P5442" s="9">
        <v>159850</v>
      </c>
      <c r="Q5442" s="9">
        <v>30840</v>
      </c>
      <c r="R5442" s="9">
        <v>190690</v>
      </c>
      <c r="S5442" s="9">
        <v>-41060</v>
      </c>
      <c r="T5442" s="10">
        <v>58122</v>
      </c>
      <c r="U5442" s="10">
        <v>1233</v>
      </c>
    </row>
    <row r="5443" spans="1:21" x14ac:dyDescent="0.35">
      <c r="A5443" t="s">
        <v>15</v>
      </c>
      <c r="B5443" t="s">
        <v>16</v>
      </c>
      <c r="C5443" t="s">
        <v>17</v>
      </c>
      <c r="D5443">
        <v>299600</v>
      </c>
      <c r="E5443">
        <v>38274</v>
      </c>
      <c r="F5443">
        <v>42841</v>
      </c>
      <c r="G5443">
        <v>-284522</v>
      </c>
      <c r="H5443">
        <v>96193</v>
      </c>
      <c r="I5443">
        <v>91821</v>
      </c>
      <c r="J5443">
        <v>1231</v>
      </c>
      <c r="K5443">
        <v>1081801</v>
      </c>
      <c r="L5443">
        <v>434169</v>
      </c>
      <c r="M5443">
        <v>-168876</v>
      </c>
      <c r="N5443">
        <v>206266</v>
      </c>
      <c r="O5443" t="s">
        <v>5461</v>
      </c>
      <c r="P5443" s="9">
        <v>314586</v>
      </c>
      <c r="Q5443" s="9">
        <v>57354</v>
      </c>
      <c r="R5443" s="9">
        <v>371940</v>
      </c>
      <c r="S5443" s="9">
        <v>-157908</v>
      </c>
      <c r="T5443" s="10">
        <v>159577</v>
      </c>
      <c r="U5443" s="10">
        <v>4714</v>
      </c>
    </row>
    <row r="5444" spans="1:21" x14ac:dyDescent="0.35">
      <c r="A5444" t="s">
        <v>15</v>
      </c>
      <c r="B5444" t="s">
        <v>16</v>
      </c>
      <c r="C5444" t="s">
        <v>21</v>
      </c>
      <c r="D5444">
        <v>248309</v>
      </c>
      <c r="E5444">
        <v>19288</v>
      </c>
      <c r="F5444">
        <v>34468</v>
      </c>
      <c r="G5444">
        <v>-231571</v>
      </c>
      <c r="H5444">
        <v>70494</v>
      </c>
      <c r="I5444">
        <v>70371</v>
      </c>
      <c r="J5444">
        <v>1442</v>
      </c>
      <c r="K5444">
        <v>774382</v>
      </c>
      <c r="L5444">
        <v>105386</v>
      </c>
      <c r="M5444">
        <v>-227015</v>
      </c>
      <c r="N5444">
        <v>150285</v>
      </c>
      <c r="O5444" t="s">
        <v>5462</v>
      </c>
      <c r="P5444" s="9">
        <v>158342</v>
      </c>
      <c r="Q5444" s="9">
        <v>30062</v>
      </c>
      <c r="R5444" s="9">
        <v>188404</v>
      </c>
      <c r="S5444" s="9">
        <v>-38670</v>
      </c>
      <c r="T5444" s="10">
        <v>89298</v>
      </c>
      <c r="U5444" s="10">
        <v>2636</v>
      </c>
    </row>
    <row r="5445" spans="1:21" x14ac:dyDescent="0.35">
      <c r="A5445" t="s">
        <v>15</v>
      </c>
      <c r="B5445" t="s">
        <v>20</v>
      </c>
      <c r="C5445" t="s">
        <v>21</v>
      </c>
      <c r="D5445">
        <v>220441</v>
      </c>
      <c r="E5445">
        <v>41155</v>
      </c>
      <c r="F5445">
        <v>37924</v>
      </c>
      <c r="G5445">
        <v>-215907</v>
      </c>
      <c r="H5445">
        <v>83613</v>
      </c>
      <c r="I5445">
        <v>76914</v>
      </c>
      <c r="J5445">
        <v>771</v>
      </c>
      <c r="K5445">
        <v>667844</v>
      </c>
      <c r="L5445">
        <v>147862</v>
      </c>
      <c r="M5445">
        <v>-261812</v>
      </c>
      <c r="N5445">
        <v>82578</v>
      </c>
      <c r="O5445" t="s">
        <v>5463</v>
      </c>
      <c r="P5445" s="9">
        <v>151186</v>
      </c>
      <c r="Q5445" s="9">
        <v>20256</v>
      </c>
      <c r="R5445" s="9">
        <v>171442</v>
      </c>
      <c r="S5445" s="9">
        <v>-65951</v>
      </c>
      <c r="T5445" s="10">
        <v>76079</v>
      </c>
      <c r="U5445" s="10">
        <v>1054</v>
      </c>
    </row>
    <row r="5446" spans="1:21" x14ac:dyDescent="0.35">
      <c r="A5446" t="s">
        <v>15</v>
      </c>
      <c r="B5446" t="s">
        <v>16</v>
      </c>
      <c r="C5446" t="s">
        <v>21</v>
      </c>
      <c r="D5446">
        <v>170788</v>
      </c>
      <c r="E5446">
        <v>34111</v>
      </c>
      <c r="F5446">
        <v>19250</v>
      </c>
      <c r="G5446">
        <v>-155259</v>
      </c>
      <c r="H5446">
        <v>68890</v>
      </c>
      <c r="I5446">
        <v>65818</v>
      </c>
      <c r="J5446">
        <v>980</v>
      </c>
      <c r="K5446">
        <v>387150</v>
      </c>
      <c r="L5446">
        <v>59903</v>
      </c>
      <c r="M5446">
        <v>-128975</v>
      </c>
      <c r="N5446">
        <v>114111</v>
      </c>
      <c r="O5446" t="s">
        <v>5464</v>
      </c>
      <c r="P5446" s="9">
        <v>265976</v>
      </c>
      <c r="Q5446" s="9">
        <v>13329</v>
      </c>
      <c r="R5446" s="9">
        <v>279305</v>
      </c>
      <c r="S5446" s="9">
        <v>-117262</v>
      </c>
      <c r="T5446" s="10">
        <v>50069</v>
      </c>
      <c r="U5446" s="10">
        <v>994</v>
      </c>
    </row>
    <row r="5447" spans="1:21" x14ac:dyDescent="0.35">
      <c r="A5447" t="s">
        <v>15</v>
      </c>
      <c r="B5447" t="s">
        <v>16</v>
      </c>
      <c r="C5447" t="s">
        <v>21</v>
      </c>
      <c r="D5447">
        <v>174218</v>
      </c>
      <c r="E5447">
        <v>16290</v>
      </c>
      <c r="F5447">
        <v>32286</v>
      </c>
      <c r="G5447">
        <v>-166532</v>
      </c>
      <c r="H5447">
        <v>56262</v>
      </c>
      <c r="I5447">
        <v>57457</v>
      </c>
      <c r="J5447">
        <v>780</v>
      </c>
      <c r="K5447">
        <v>588522</v>
      </c>
      <c r="L5447">
        <v>178005</v>
      </c>
      <c r="M5447">
        <v>-233676</v>
      </c>
      <c r="N5447">
        <v>103602</v>
      </c>
      <c r="O5447" t="s">
        <v>5465</v>
      </c>
      <c r="P5447" s="9">
        <v>252892</v>
      </c>
      <c r="Q5447" s="9">
        <v>54302</v>
      </c>
      <c r="R5447" s="9">
        <v>307194</v>
      </c>
      <c r="S5447" s="9">
        <v>-162599</v>
      </c>
      <c r="T5447" s="10">
        <v>90951</v>
      </c>
      <c r="U5447" s="10">
        <v>2574</v>
      </c>
    </row>
    <row r="5448" spans="1:21" x14ac:dyDescent="0.35">
      <c r="A5448" t="s">
        <v>15</v>
      </c>
      <c r="B5448" t="s">
        <v>20</v>
      </c>
      <c r="C5448" t="s">
        <v>17</v>
      </c>
      <c r="D5448">
        <v>242797</v>
      </c>
      <c r="E5448">
        <v>14567</v>
      </c>
      <c r="F5448">
        <v>58246</v>
      </c>
      <c r="G5448">
        <v>-195441</v>
      </c>
      <c r="H5448">
        <v>120169</v>
      </c>
      <c r="I5448">
        <v>116920</v>
      </c>
      <c r="J5448">
        <v>1391</v>
      </c>
      <c r="K5448">
        <v>589922</v>
      </c>
      <c r="L5448">
        <v>208279</v>
      </c>
      <c r="M5448">
        <v>-105509</v>
      </c>
      <c r="N5448">
        <v>210833</v>
      </c>
      <c r="O5448" t="s">
        <v>5466</v>
      </c>
      <c r="P5448" s="9">
        <v>215645</v>
      </c>
      <c r="Q5448" s="9">
        <v>25611</v>
      </c>
      <c r="R5448" s="9">
        <v>241256</v>
      </c>
      <c r="S5448" s="9">
        <v>-115513</v>
      </c>
      <c r="T5448" s="10">
        <v>98950</v>
      </c>
      <c r="U5448" s="10">
        <v>2740</v>
      </c>
    </row>
    <row r="5449" spans="1:21" x14ac:dyDescent="0.35">
      <c r="A5449" t="s">
        <v>15</v>
      </c>
      <c r="B5449" t="s">
        <v>16</v>
      </c>
      <c r="C5449" t="s">
        <v>17</v>
      </c>
      <c r="D5449">
        <v>292395</v>
      </c>
      <c r="E5449">
        <v>55166</v>
      </c>
      <c r="F5449">
        <v>53035</v>
      </c>
      <c r="G5449">
        <v>-264971</v>
      </c>
      <c r="H5449">
        <v>135625</v>
      </c>
      <c r="I5449">
        <v>133820</v>
      </c>
      <c r="J5449">
        <v>1871</v>
      </c>
      <c r="K5449">
        <v>703088</v>
      </c>
      <c r="L5449">
        <v>243253</v>
      </c>
      <c r="M5449">
        <v>-81416</v>
      </c>
      <c r="N5449">
        <v>216062</v>
      </c>
      <c r="O5449" t="s">
        <v>5467</v>
      </c>
      <c r="P5449" s="9">
        <v>187135</v>
      </c>
      <c r="Q5449" s="9">
        <v>21217</v>
      </c>
      <c r="R5449" s="9">
        <v>208352</v>
      </c>
      <c r="S5449" s="9">
        <v>-115072</v>
      </c>
      <c r="T5449" s="10">
        <v>81722</v>
      </c>
      <c r="U5449" s="10">
        <v>1546</v>
      </c>
    </row>
    <row r="5450" spans="1:21" x14ac:dyDescent="0.35">
      <c r="A5450" t="s">
        <v>15</v>
      </c>
      <c r="B5450" t="s">
        <v>20</v>
      </c>
      <c r="C5450" t="s">
        <v>21</v>
      </c>
      <c r="D5450">
        <v>241061</v>
      </c>
      <c r="E5450">
        <v>34485</v>
      </c>
      <c r="F5450">
        <v>41044</v>
      </c>
      <c r="G5450">
        <v>-193076</v>
      </c>
      <c r="H5450">
        <v>123514</v>
      </c>
      <c r="I5450">
        <v>115870</v>
      </c>
      <c r="J5450">
        <v>1669</v>
      </c>
      <c r="K5450">
        <v>486126</v>
      </c>
      <c r="L5450">
        <v>70997</v>
      </c>
      <c r="M5450">
        <v>-156901</v>
      </c>
      <c r="N5450">
        <v>108434</v>
      </c>
      <c r="O5450" t="s">
        <v>5468</v>
      </c>
      <c r="P5450" s="9">
        <v>225541</v>
      </c>
      <c r="Q5450" s="9">
        <v>34878</v>
      </c>
      <c r="R5450" s="9">
        <v>260419</v>
      </c>
      <c r="S5450" s="9">
        <v>-126500</v>
      </c>
      <c r="T5450" s="10">
        <v>95721</v>
      </c>
      <c r="U5450" s="10">
        <v>2658</v>
      </c>
    </row>
    <row r="5451" spans="1:21" x14ac:dyDescent="0.35">
      <c r="A5451" t="s">
        <v>15</v>
      </c>
      <c r="B5451" t="s">
        <v>20</v>
      </c>
      <c r="C5451" t="s">
        <v>21</v>
      </c>
      <c r="D5451">
        <v>179433</v>
      </c>
      <c r="E5451">
        <v>16549</v>
      </c>
      <c r="F5451">
        <v>22600</v>
      </c>
      <c r="G5451">
        <v>-164026</v>
      </c>
      <c r="H5451">
        <v>54556</v>
      </c>
      <c r="I5451">
        <v>53204</v>
      </c>
      <c r="J5451">
        <v>1118</v>
      </c>
      <c r="K5451">
        <v>673022</v>
      </c>
      <c r="L5451">
        <v>306249</v>
      </c>
      <c r="M5451">
        <v>-143471</v>
      </c>
      <c r="N5451">
        <v>65160</v>
      </c>
      <c r="O5451" t="s">
        <v>5469</v>
      </c>
      <c r="P5451" s="9">
        <v>196703</v>
      </c>
      <c r="Q5451" s="9">
        <v>20878</v>
      </c>
      <c r="R5451" s="9">
        <v>217581</v>
      </c>
      <c r="S5451" s="9">
        <v>-92331</v>
      </c>
      <c r="T5451" s="10">
        <v>74421</v>
      </c>
      <c r="U5451" s="10">
        <v>992</v>
      </c>
    </row>
    <row r="5452" spans="1:21" x14ac:dyDescent="0.35">
      <c r="A5452" t="s">
        <v>15</v>
      </c>
      <c r="B5452" t="s">
        <v>16</v>
      </c>
      <c r="C5452" t="s">
        <v>21</v>
      </c>
      <c r="D5452">
        <v>263138</v>
      </c>
      <c r="E5452">
        <v>33539</v>
      </c>
      <c r="F5452">
        <v>49972</v>
      </c>
      <c r="G5452">
        <v>-220637</v>
      </c>
      <c r="H5452">
        <v>126012</v>
      </c>
      <c r="I5452">
        <v>120559</v>
      </c>
      <c r="J5452">
        <v>2767</v>
      </c>
      <c r="K5452">
        <v>766225</v>
      </c>
      <c r="L5452">
        <v>167209</v>
      </c>
      <c r="M5452">
        <v>-148368</v>
      </c>
      <c r="N5452">
        <v>118858</v>
      </c>
      <c r="O5452" t="s">
        <v>5470</v>
      </c>
      <c r="P5452" s="9">
        <v>228361</v>
      </c>
      <c r="Q5452" s="9">
        <v>17692</v>
      </c>
      <c r="R5452" s="9">
        <v>246053</v>
      </c>
      <c r="S5452" s="9">
        <v>-115171</v>
      </c>
      <c r="T5452" s="10">
        <v>121648</v>
      </c>
      <c r="U5452" s="10">
        <v>2541</v>
      </c>
    </row>
    <row r="5453" spans="1:21" x14ac:dyDescent="0.35">
      <c r="A5453" t="s">
        <v>15</v>
      </c>
      <c r="B5453" t="s">
        <v>20</v>
      </c>
      <c r="C5453" t="s">
        <v>21</v>
      </c>
      <c r="D5453">
        <v>279736</v>
      </c>
      <c r="E5453">
        <v>32346</v>
      </c>
      <c r="F5453">
        <v>33378</v>
      </c>
      <c r="G5453">
        <v>-238222</v>
      </c>
      <c r="H5453">
        <v>107238</v>
      </c>
      <c r="I5453">
        <v>98068</v>
      </c>
      <c r="J5453">
        <v>2064</v>
      </c>
      <c r="K5453">
        <v>1040277</v>
      </c>
      <c r="L5453">
        <v>468816</v>
      </c>
      <c r="M5453">
        <v>-355152</v>
      </c>
      <c r="N5453">
        <v>138462</v>
      </c>
      <c r="O5453" t="s">
        <v>5471</v>
      </c>
      <c r="P5453" s="9">
        <v>229513</v>
      </c>
      <c r="Q5453" s="9">
        <v>25823</v>
      </c>
      <c r="R5453" s="9">
        <v>255336</v>
      </c>
      <c r="S5453" s="9">
        <v>-76601</v>
      </c>
      <c r="T5453" s="10">
        <v>103384</v>
      </c>
      <c r="U5453" s="10">
        <v>1079</v>
      </c>
    </row>
    <row r="5454" spans="1:21" x14ac:dyDescent="0.35">
      <c r="A5454" t="s">
        <v>15</v>
      </c>
      <c r="B5454" t="s">
        <v>16</v>
      </c>
      <c r="C5454" t="s">
        <v>21</v>
      </c>
      <c r="D5454">
        <v>226716</v>
      </c>
      <c r="E5454">
        <v>25922</v>
      </c>
      <c r="F5454">
        <v>28981</v>
      </c>
      <c r="G5454">
        <v>-182075</v>
      </c>
      <c r="H5454">
        <v>99544</v>
      </c>
      <c r="I5454">
        <v>99588</v>
      </c>
      <c r="J5454">
        <v>1383</v>
      </c>
      <c r="K5454">
        <v>885274</v>
      </c>
      <c r="L5454">
        <v>286831</v>
      </c>
      <c r="M5454">
        <v>-310141</v>
      </c>
      <c r="N5454">
        <v>130592</v>
      </c>
      <c r="O5454" t="s">
        <v>5472</v>
      </c>
      <c r="P5454" s="9">
        <v>270470</v>
      </c>
      <c r="Q5454" s="9">
        <v>26460</v>
      </c>
      <c r="R5454" s="9">
        <v>296930</v>
      </c>
      <c r="S5454" s="9">
        <v>-82358</v>
      </c>
      <c r="T5454" s="10">
        <v>129355</v>
      </c>
      <c r="U5454" s="10">
        <v>3723</v>
      </c>
    </row>
    <row r="5455" spans="1:21" x14ac:dyDescent="0.35">
      <c r="A5455" t="s">
        <v>15</v>
      </c>
      <c r="B5455" t="s">
        <v>16</v>
      </c>
      <c r="C5455" t="s">
        <v>21</v>
      </c>
      <c r="D5455">
        <v>183752</v>
      </c>
      <c r="E5455">
        <v>10117</v>
      </c>
      <c r="F5455">
        <v>34259</v>
      </c>
      <c r="G5455">
        <v>-171456</v>
      </c>
      <c r="H5455">
        <v>56672</v>
      </c>
      <c r="I5455">
        <v>56901</v>
      </c>
      <c r="J5455">
        <v>1015</v>
      </c>
      <c r="K5455">
        <v>530290</v>
      </c>
      <c r="L5455">
        <v>159750</v>
      </c>
      <c r="M5455">
        <v>-78785</v>
      </c>
      <c r="N5455">
        <v>119271</v>
      </c>
      <c r="O5455" t="s">
        <v>5473</v>
      </c>
      <c r="P5455" s="9">
        <v>229330</v>
      </c>
      <c r="Q5455" s="9">
        <v>23569</v>
      </c>
      <c r="R5455" s="9">
        <v>252899</v>
      </c>
      <c r="S5455" s="9">
        <v>-131353</v>
      </c>
      <c r="T5455" s="10">
        <v>92659</v>
      </c>
      <c r="U5455" s="10">
        <v>1689</v>
      </c>
    </row>
    <row r="5456" spans="1:21" x14ac:dyDescent="0.35">
      <c r="A5456" t="s">
        <v>15</v>
      </c>
      <c r="B5456" t="s">
        <v>16</v>
      </c>
      <c r="C5456" t="s">
        <v>21</v>
      </c>
      <c r="D5456">
        <v>190546</v>
      </c>
      <c r="E5456">
        <v>29282</v>
      </c>
      <c r="F5456">
        <v>36826</v>
      </c>
      <c r="G5456">
        <v>-162935</v>
      </c>
      <c r="H5456">
        <v>93719</v>
      </c>
      <c r="I5456">
        <v>97638</v>
      </c>
      <c r="J5456">
        <v>1994</v>
      </c>
      <c r="K5456">
        <v>464997</v>
      </c>
      <c r="L5456">
        <v>62924</v>
      </c>
      <c r="M5456">
        <v>-152425</v>
      </c>
      <c r="N5456">
        <v>158670</v>
      </c>
      <c r="O5456" t="s">
        <v>5474</v>
      </c>
      <c r="P5456" s="9">
        <v>233867</v>
      </c>
      <c r="Q5456" s="9">
        <v>14564</v>
      </c>
      <c r="R5456" s="9">
        <v>248431</v>
      </c>
      <c r="S5456" s="9">
        <v>-143006</v>
      </c>
      <c r="T5456" s="10">
        <v>97864</v>
      </c>
      <c r="U5456" s="10">
        <v>1107</v>
      </c>
    </row>
    <row r="5457" spans="1:21" x14ac:dyDescent="0.35">
      <c r="A5457" t="s">
        <v>15</v>
      </c>
      <c r="B5457" t="s">
        <v>20</v>
      </c>
      <c r="C5457" t="s">
        <v>17</v>
      </c>
      <c r="D5457">
        <v>151917</v>
      </c>
      <c r="E5457">
        <v>26811</v>
      </c>
      <c r="F5457">
        <v>17392</v>
      </c>
      <c r="G5457">
        <v>-133818</v>
      </c>
      <c r="H5457">
        <v>62302</v>
      </c>
      <c r="I5457">
        <v>57433</v>
      </c>
      <c r="J5457">
        <v>856</v>
      </c>
      <c r="K5457">
        <v>522925</v>
      </c>
      <c r="L5457">
        <v>52558</v>
      </c>
      <c r="M5457">
        <v>-146935</v>
      </c>
      <c r="N5457">
        <v>90177</v>
      </c>
      <c r="O5457" t="s">
        <v>5475</v>
      </c>
      <c r="P5457" s="9">
        <v>324455</v>
      </c>
      <c r="Q5457" s="9">
        <v>52717</v>
      </c>
      <c r="R5457" s="9">
        <v>377172</v>
      </c>
      <c r="S5457" s="9">
        <v>-183468</v>
      </c>
      <c r="T5457" s="10">
        <v>184148</v>
      </c>
      <c r="U5457" s="10">
        <v>3268</v>
      </c>
    </row>
    <row r="5458" spans="1:21" x14ac:dyDescent="0.35">
      <c r="A5458" t="s">
        <v>15</v>
      </c>
      <c r="B5458" t="s">
        <v>20</v>
      </c>
      <c r="C5458" t="s">
        <v>17</v>
      </c>
      <c r="D5458">
        <v>278999</v>
      </c>
      <c r="E5458">
        <v>54487</v>
      </c>
      <c r="F5458">
        <v>60295</v>
      </c>
      <c r="G5458">
        <v>-258273</v>
      </c>
      <c r="H5458">
        <v>135508</v>
      </c>
      <c r="I5458">
        <v>131285</v>
      </c>
      <c r="J5458">
        <v>2273</v>
      </c>
      <c r="K5458">
        <v>887131</v>
      </c>
      <c r="L5458">
        <v>211086</v>
      </c>
      <c r="M5458">
        <v>-271364</v>
      </c>
      <c r="N5458">
        <v>93436</v>
      </c>
      <c r="O5458" t="s">
        <v>5476</v>
      </c>
      <c r="P5458" s="9">
        <v>179389</v>
      </c>
      <c r="Q5458" s="9">
        <v>29827</v>
      </c>
      <c r="R5458" s="9">
        <v>209216</v>
      </c>
      <c r="S5458" s="9">
        <v>-51555</v>
      </c>
      <c r="T5458" s="10">
        <v>70352</v>
      </c>
      <c r="U5458" s="10">
        <v>1023</v>
      </c>
    </row>
    <row r="5459" spans="1:21" x14ac:dyDescent="0.35">
      <c r="A5459" t="s">
        <v>15</v>
      </c>
      <c r="B5459" t="s">
        <v>16</v>
      </c>
      <c r="C5459" t="s">
        <v>21</v>
      </c>
      <c r="D5459">
        <v>254733</v>
      </c>
      <c r="E5459">
        <v>39349</v>
      </c>
      <c r="F5459">
        <v>47430</v>
      </c>
      <c r="G5459">
        <v>-217633</v>
      </c>
      <c r="H5459">
        <v>123879</v>
      </c>
      <c r="I5459">
        <v>128200</v>
      </c>
      <c r="J5459">
        <v>2860</v>
      </c>
      <c r="K5459">
        <v>870363</v>
      </c>
      <c r="L5459">
        <v>260360</v>
      </c>
      <c r="M5459">
        <v>-152391</v>
      </c>
      <c r="N5459">
        <v>176037</v>
      </c>
      <c r="O5459" t="s">
        <v>5477</v>
      </c>
      <c r="P5459" s="9">
        <v>179849</v>
      </c>
      <c r="Q5459" s="9">
        <v>22125</v>
      </c>
      <c r="R5459" s="9">
        <v>201974</v>
      </c>
      <c r="S5459" s="9">
        <v>-54462</v>
      </c>
      <c r="T5459" s="10">
        <v>70842</v>
      </c>
      <c r="U5459" s="10">
        <v>750</v>
      </c>
    </row>
    <row r="5460" spans="1:21" x14ac:dyDescent="0.35">
      <c r="A5460" t="s">
        <v>15</v>
      </c>
      <c r="B5460" t="s">
        <v>16</v>
      </c>
      <c r="C5460" t="s">
        <v>21</v>
      </c>
      <c r="D5460">
        <v>250016</v>
      </c>
      <c r="E5460">
        <v>17634</v>
      </c>
      <c r="F5460">
        <v>55756</v>
      </c>
      <c r="G5460">
        <v>-234957</v>
      </c>
      <c r="H5460">
        <v>88449</v>
      </c>
      <c r="I5460">
        <v>82432</v>
      </c>
      <c r="J5460">
        <v>991</v>
      </c>
      <c r="K5460">
        <v>531736</v>
      </c>
      <c r="L5460">
        <v>65428</v>
      </c>
      <c r="M5460">
        <v>-169037</v>
      </c>
      <c r="N5460">
        <v>218144</v>
      </c>
      <c r="O5460" t="s">
        <v>5478</v>
      </c>
      <c r="P5460" s="9">
        <v>174933</v>
      </c>
      <c r="Q5460" s="9">
        <v>11105</v>
      </c>
      <c r="R5460" s="9">
        <v>186038</v>
      </c>
      <c r="S5460" s="9">
        <v>-86321</v>
      </c>
      <c r="T5460" s="10">
        <v>63400</v>
      </c>
      <c r="U5460" s="10">
        <v>1651</v>
      </c>
    </row>
    <row r="5461" spans="1:21" x14ac:dyDescent="0.35">
      <c r="A5461" t="s">
        <v>15</v>
      </c>
      <c r="B5461" t="s">
        <v>20</v>
      </c>
      <c r="C5461" t="s">
        <v>21</v>
      </c>
      <c r="D5461">
        <v>197589</v>
      </c>
      <c r="E5461">
        <v>10266</v>
      </c>
      <c r="F5461">
        <v>37011</v>
      </c>
      <c r="G5461">
        <v>-176196</v>
      </c>
      <c r="H5461">
        <v>68670</v>
      </c>
      <c r="I5461">
        <v>65960</v>
      </c>
      <c r="J5461">
        <v>1433</v>
      </c>
      <c r="K5461">
        <v>721840</v>
      </c>
      <c r="L5461">
        <v>110863</v>
      </c>
      <c r="M5461">
        <v>-176457</v>
      </c>
      <c r="N5461">
        <v>135746</v>
      </c>
      <c r="O5461" t="s">
        <v>5479</v>
      </c>
      <c r="P5461" s="9">
        <v>273083</v>
      </c>
      <c r="Q5461" s="9">
        <v>49501</v>
      </c>
      <c r="R5461" s="9">
        <v>322584</v>
      </c>
      <c r="S5461" s="9">
        <v>-185913</v>
      </c>
      <c r="T5461" s="10">
        <v>117900</v>
      </c>
      <c r="U5461" s="10">
        <v>3204</v>
      </c>
    </row>
    <row r="5462" spans="1:21" x14ac:dyDescent="0.35">
      <c r="A5462" t="s">
        <v>15</v>
      </c>
      <c r="B5462" t="s">
        <v>16</v>
      </c>
      <c r="C5462" t="s">
        <v>21</v>
      </c>
      <c r="D5462">
        <v>192858</v>
      </c>
      <c r="E5462">
        <v>17779</v>
      </c>
      <c r="F5462">
        <v>35932</v>
      </c>
      <c r="G5462">
        <v>-184579</v>
      </c>
      <c r="H5462">
        <v>61990</v>
      </c>
      <c r="I5462">
        <v>62881</v>
      </c>
      <c r="J5462">
        <v>1738</v>
      </c>
      <c r="K5462">
        <v>625331</v>
      </c>
      <c r="L5462">
        <v>64124</v>
      </c>
      <c r="M5462">
        <v>-128587</v>
      </c>
      <c r="N5462">
        <v>164096</v>
      </c>
      <c r="O5462" t="s">
        <v>5480</v>
      </c>
      <c r="P5462" s="9">
        <v>231260</v>
      </c>
      <c r="Q5462" s="9">
        <v>38183</v>
      </c>
      <c r="R5462" s="9">
        <v>269443</v>
      </c>
      <c r="S5462" s="9">
        <v>-114994</v>
      </c>
      <c r="T5462" s="10">
        <v>88378</v>
      </c>
      <c r="U5462" s="10">
        <v>1817</v>
      </c>
    </row>
    <row r="5463" spans="1:21" x14ac:dyDescent="0.35">
      <c r="A5463" t="s">
        <v>15</v>
      </c>
      <c r="B5463" t="s">
        <v>16</v>
      </c>
      <c r="C5463" t="s">
        <v>21</v>
      </c>
      <c r="D5463">
        <v>177466</v>
      </c>
      <c r="E5463">
        <v>35154</v>
      </c>
      <c r="F5463">
        <v>40047</v>
      </c>
      <c r="G5463">
        <v>-156018</v>
      </c>
      <c r="H5463">
        <v>96649</v>
      </c>
      <c r="I5463">
        <v>94943</v>
      </c>
      <c r="J5463">
        <v>2658</v>
      </c>
      <c r="K5463">
        <v>385268</v>
      </c>
      <c r="L5463">
        <v>125650</v>
      </c>
      <c r="M5463">
        <v>-108156</v>
      </c>
      <c r="N5463">
        <v>140944</v>
      </c>
      <c r="O5463" t="s">
        <v>5481</v>
      </c>
      <c r="P5463" s="9">
        <v>291310</v>
      </c>
      <c r="Q5463" s="9">
        <v>39401</v>
      </c>
      <c r="R5463" s="9">
        <v>330711</v>
      </c>
      <c r="S5463" s="9">
        <v>-107161</v>
      </c>
      <c r="T5463" s="10">
        <v>133309</v>
      </c>
      <c r="U5463" s="10">
        <v>1975</v>
      </c>
    </row>
    <row r="5464" spans="1:21" x14ac:dyDescent="0.35">
      <c r="A5464" t="s">
        <v>15</v>
      </c>
      <c r="B5464" t="s">
        <v>16</v>
      </c>
      <c r="C5464" t="s">
        <v>21</v>
      </c>
      <c r="D5464">
        <v>197645</v>
      </c>
      <c r="E5464">
        <v>11660</v>
      </c>
      <c r="F5464">
        <v>48176</v>
      </c>
      <c r="G5464">
        <v>-161089</v>
      </c>
      <c r="H5464">
        <v>96392</v>
      </c>
      <c r="I5464">
        <v>89607</v>
      </c>
      <c r="J5464">
        <v>1885</v>
      </c>
      <c r="K5464">
        <v>629709</v>
      </c>
      <c r="L5464">
        <v>164473</v>
      </c>
      <c r="M5464">
        <v>-221315</v>
      </c>
      <c r="N5464">
        <v>177285</v>
      </c>
      <c r="O5464" t="s">
        <v>5482</v>
      </c>
      <c r="P5464" s="9">
        <v>197934</v>
      </c>
      <c r="Q5464" s="9">
        <v>27681</v>
      </c>
      <c r="R5464" s="9">
        <v>225615</v>
      </c>
      <c r="S5464" s="9">
        <v>-56694</v>
      </c>
      <c r="T5464" s="10">
        <v>90117</v>
      </c>
      <c r="U5464" s="10">
        <v>1725</v>
      </c>
    </row>
    <row r="5465" spans="1:21" x14ac:dyDescent="0.35">
      <c r="A5465" t="s">
        <v>15</v>
      </c>
      <c r="B5465" t="s">
        <v>16</v>
      </c>
      <c r="C5465" t="s">
        <v>21</v>
      </c>
      <c r="D5465">
        <v>234588</v>
      </c>
      <c r="E5465">
        <v>43741</v>
      </c>
      <c r="F5465">
        <v>51339</v>
      </c>
      <c r="G5465">
        <v>-228637</v>
      </c>
      <c r="H5465">
        <v>101031</v>
      </c>
      <c r="I5465">
        <v>101969</v>
      </c>
      <c r="J5465">
        <v>2544</v>
      </c>
      <c r="K5465">
        <v>512517</v>
      </c>
      <c r="L5465">
        <v>66877</v>
      </c>
      <c r="M5465">
        <v>-102706</v>
      </c>
      <c r="N5465">
        <v>198456</v>
      </c>
      <c r="O5465" t="s">
        <v>5483</v>
      </c>
      <c r="P5465" s="9">
        <v>229722</v>
      </c>
      <c r="Q5465" s="9">
        <v>44242</v>
      </c>
      <c r="R5465" s="9">
        <v>273964</v>
      </c>
      <c r="S5465" s="9">
        <v>-65072</v>
      </c>
      <c r="T5465" s="10">
        <v>113207</v>
      </c>
      <c r="U5465" s="10">
        <v>1352</v>
      </c>
    </row>
    <row r="5466" spans="1:21" x14ac:dyDescent="0.35">
      <c r="A5466" t="s">
        <v>15</v>
      </c>
      <c r="B5466" t="s">
        <v>16</v>
      </c>
      <c r="C5466" t="s">
        <v>17</v>
      </c>
      <c r="D5466">
        <v>180773</v>
      </c>
      <c r="E5466">
        <v>32017</v>
      </c>
      <c r="F5466">
        <v>20204</v>
      </c>
      <c r="G5466">
        <v>-154576</v>
      </c>
      <c r="H5466">
        <v>78418</v>
      </c>
      <c r="I5466">
        <v>78201</v>
      </c>
      <c r="J5466">
        <v>1852</v>
      </c>
      <c r="K5466">
        <v>493628</v>
      </c>
      <c r="L5466">
        <v>211672</v>
      </c>
      <c r="M5466">
        <v>-136328</v>
      </c>
      <c r="N5466">
        <v>93748</v>
      </c>
      <c r="O5466" t="s">
        <v>5484</v>
      </c>
      <c r="P5466" s="9">
        <v>171735</v>
      </c>
      <c r="Q5466" s="9">
        <v>14579</v>
      </c>
      <c r="R5466" s="9">
        <v>186314</v>
      </c>
      <c r="S5466" s="9">
        <v>-79034</v>
      </c>
      <c r="T5466" s="10">
        <v>69522</v>
      </c>
      <c r="U5466" s="10">
        <v>1011</v>
      </c>
    </row>
    <row r="5467" spans="1:21" x14ac:dyDescent="0.35">
      <c r="A5467" t="s">
        <v>15</v>
      </c>
      <c r="B5467" t="s">
        <v>16</v>
      </c>
      <c r="C5467" t="s">
        <v>17</v>
      </c>
      <c r="D5467">
        <v>261975</v>
      </c>
      <c r="E5467">
        <v>37253</v>
      </c>
      <c r="F5467">
        <v>33691</v>
      </c>
      <c r="G5467">
        <v>-258466</v>
      </c>
      <c r="H5467">
        <v>74453</v>
      </c>
      <c r="I5467">
        <v>71046</v>
      </c>
      <c r="J5467">
        <v>870</v>
      </c>
      <c r="K5467">
        <v>943505</v>
      </c>
      <c r="L5467">
        <v>171026</v>
      </c>
      <c r="M5467">
        <v>-256864</v>
      </c>
      <c r="N5467">
        <v>201864</v>
      </c>
      <c r="O5467" t="s">
        <v>5485</v>
      </c>
      <c r="P5467" s="9">
        <v>151704</v>
      </c>
      <c r="Q5467" s="9">
        <v>20404</v>
      </c>
      <c r="R5467" s="9">
        <v>172108</v>
      </c>
      <c r="S5467" s="9">
        <v>-92282</v>
      </c>
      <c r="T5467" s="10">
        <v>64236</v>
      </c>
      <c r="U5467" s="10">
        <v>654</v>
      </c>
    </row>
    <row r="5468" spans="1:21" x14ac:dyDescent="0.35">
      <c r="A5468" t="s">
        <v>15</v>
      </c>
      <c r="B5468" t="s">
        <v>16</v>
      </c>
      <c r="C5468" t="s">
        <v>17</v>
      </c>
      <c r="D5468">
        <v>262444</v>
      </c>
      <c r="E5468">
        <v>22632</v>
      </c>
      <c r="F5468">
        <v>27800</v>
      </c>
      <c r="G5468">
        <v>-221616</v>
      </c>
      <c r="H5468">
        <v>91260</v>
      </c>
      <c r="I5468">
        <v>93211</v>
      </c>
      <c r="J5468">
        <v>1329</v>
      </c>
      <c r="K5468">
        <v>586983</v>
      </c>
      <c r="L5468">
        <v>101998</v>
      </c>
      <c r="M5468">
        <v>-101434</v>
      </c>
      <c r="N5468">
        <v>192993</v>
      </c>
      <c r="O5468" t="s">
        <v>5486</v>
      </c>
      <c r="P5468" s="9">
        <v>249801</v>
      </c>
      <c r="Q5468" s="9">
        <v>16444</v>
      </c>
      <c r="R5468" s="9">
        <v>266245</v>
      </c>
      <c r="S5468" s="9">
        <v>-127639</v>
      </c>
      <c r="T5468" s="10">
        <v>84064</v>
      </c>
      <c r="U5468" s="10">
        <v>1913</v>
      </c>
    </row>
    <row r="5469" spans="1:21" x14ac:dyDescent="0.35">
      <c r="A5469" t="s">
        <v>15</v>
      </c>
      <c r="B5469" t="s">
        <v>20</v>
      </c>
      <c r="C5469" t="s">
        <v>17</v>
      </c>
      <c r="D5469">
        <v>214741</v>
      </c>
      <c r="E5469">
        <v>12541</v>
      </c>
      <c r="F5469">
        <v>34883</v>
      </c>
      <c r="G5469">
        <v>-192292</v>
      </c>
      <c r="H5469">
        <v>69873</v>
      </c>
      <c r="I5469">
        <v>69688</v>
      </c>
      <c r="J5469">
        <v>1524</v>
      </c>
      <c r="K5469">
        <v>856647</v>
      </c>
      <c r="L5469">
        <v>200766</v>
      </c>
      <c r="M5469">
        <v>-261388</v>
      </c>
      <c r="N5469">
        <v>112752</v>
      </c>
      <c r="O5469" t="s">
        <v>5487</v>
      </c>
      <c r="P5469" s="9">
        <v>198462</v>
      </c>
      <c r="Q5469" s="9">
        <v>11248</v>
      </c>
      <c r="R5469" s="9">
        <v>209710</v>
      </c>
      <c r="S5469" s="9">
        <v>-72308</v>
      </c>
      <c r="T5469" s="10">
        <v>73367</v>
      </c>
      <c r="U5469" s="10">
        <v>1092</v>
      </c>
    </row>
    <row r="5470" spans="1:21" x14ac:dyDescent="0.35">
      <c r="A5470" t="s">
        <v>15</v>
      </c>
      <c r="B5470" t="s">
        <v>16</v>
      </c>
      <c r="C5470" t="s">
        <v>21</v>
      </c>
      <c r="D5470">
        <v>155223</v>
      </c>
      <c r="E5470">
        <v>8773</v>
      </c>
      <c r="F5470">
        <v>38588</v>
      </c>
      <c r="G5470">
        <v>-153309</v>
      </c>
      <c r="H5470">
        <v>49275</v>
      </c>
      <c r="I5470">
        <v>48057</v>
      </c>
      <c r="J5470">
        <v>994</v>
      </c>
      <c r="K5470">
        <v>525426</v>
      </c>
      <c r="L5470">
        <v>216263</v>
      </c>
      <c r="M5470">
        <v>-72232</v>
      </c>
      <c r="N5470">
        <v>84605</v>
      </c>
      <c r="O5470" t="s">
        <v>5488</v>
      </c>
      <c r="P5470" s="9">
        <v>228578</v>
      </c>
      <c r="Q5470" s="9">
        <v>31973</v>
      </c>
      <c r="R5470" s="9">
        <v>260551</v>
      </c>
      <c r="S5470" s="9">
        <v>-120063</v>
      </c>
      <c r="T5470" s="10">
        <v>83524</v>
      </c>
      <c r="U5470" s="10">
        <v>1013</v>
      </c>
    </row>
    <row r="5471" spans="1:21" x14ac:dyDescent="0.35">
      <c r="A5471" t="s">
        <v>15</v>
      </c>
      <c r="B5471" t="s">
        <v>16</v>
      </c>
      <c r="C5471" t="s">
        <v>21</v>
      </c>
      <c r="D5471">
        <v>282598</v>
      </c>
      <c r="E5471">
        <v>51941</v>
      </c>
      <c r="F5471">
        <v>39173</v>
      </c>
      <c r="G5471">
        <v>-270478</v>
      </c>
      <c r="H5471">
        <v>103234</v>
      </c>
      <c r="I5471">
        <v>99332</v>
      </c>
      <c r="J5471">
        <v>2200</v>
      </c>
      <c r="K5471">
        <v>603062</v>
      </c>
      <c r="L5471">
        <v>152257</v>
      </c>
      <c r="M5471">
        <v>-76918</v>
      </c>
      <c r="N5471">
        <v>114271</v>
      </c>
      <c r="O5471" t="s">
        <v>5489</v>
      </c>
      <c r="P5471" s="9">
        <v>205469</v>
      </c>
      <c r="Q5471" s="9">
        <v>41502</v>
      </c>
      <c r="R5471" s="9">
        <v>246971</v>
      </c>
      <c r="S5471" s="9">
        <v>-74571</v>
      </c>
      <c r="T5471" s="10">
        <v>87407</v>
      </c>
      <c r="U5471" s="10">
        <v>1597</v>
      </c>
    </row>
    <row r="5472" spans="1:21" x14ac:dyDescent="0.35">
      <c r="A5472" t="s">
        <v>15</v>
      </c>
      <c r="B5472" t="s">
        <v>16</v>
      </c>
      <c r="C5472" t="s">
        <v>21</v>
      </c>
      <c r="D5472">
        <v>254034</v>
      </c>
      <c r="E5472">
        <v>37169</v>
      </c>
      <c r="F5472">
        <v>48030</v>
      </c>
      <c r="G5472">
        <v>-252613</v>
      </c>
      <c r="H5472">
        <v>86620</v>
      </c>
      <c r="I5472">
        <v>84389</v>
      </c>
      <c r="J5472">
        <v>1888</v>
      </c>
      <c r="K5472">
        <v>830082</v>
      </c>
      <c r="L5472">
        <v>290304</v>
      </c>
      <c r="M5472">
        <v>-249553</v>
      </c>
      <c r="N5472">
        <v>148531</v>
      </c>
      <c r="O5472" t="s">
        <v>5490</v>
      </c>
      <c r="P5472" s="9">
        <v>217673</v>
      </c>
      <c r="Q5472" s="9">
        <v>14557</v>
      </c>
      <c r="R5472" s="9">
        <v>232230</v>
      </c>
      <c r="S5472" s="9">
        <v>-116491</v>
      </c>
      <c r="T5472" s="10">
        <v>85693</v>
      </c>
      <c r="U5472" s="10">
        <v>1534</v>
      </c>
    </row>
    <row r="5473" spans="1:21" x14ac:dyDescent="0.35">
      <c r="A5473" t="s">
        <v>15</v>
      </c>
      <c r="B5473" t="s">
        <v>20</v>
      </c>
      <c r="C5473" t="s">
        <v>21</v>
      </c>
      <c r="D5473">
        <v>193418</v>
      </c>
      <c r="E5473">
        <v>36431</v>
      </c>
      <c r="F5473">
        <v>31175</v>
      </c>
      <c r="G5473">
        <v>-191093</v>
      </c>
      <c r="H5473">
        <v>69931</v>
      </c>
      <c r="I5473">
        <v>66276</v>
      </c>
      <c r="J5473">
        <v>1036</v>
      </c>
      <c r="K5473">
        <v>398292</v>
      </c>
      <c r="L5473">
        <v>43249</v>
      </c>
      <c r="M5473">
        <v>-144095</v>
      </c>
      <c r="N5473">
        <v>119351</v>
      </c>
      <c r="O5473" t="s">
        <v>5491</v>
      </c>
      <c r="P5473" s="9">
        <v>258526</v>
      </c>
      <c r="Q5473" s="9">
        <v>15469</v>
      </c>
      <c r="R5473" s="9">
        <v>273995</v>
      </c>
      <c r="S5473" s="9">
        <v>-142308</v>
      </c>
      <c r="T5473" s="10">
        <v>84519</v>
      </c>
      <c r="U5473" s="10">
        <v>1927</v>
      </c>
    </row>
    <row r="5474" spans="1:21" x14ac:dyDescent="0.35">
      <c r="A5474" t="s">
        <v>15</v>
      </c>
      <c r="B5474" t="s">
        <v>20</v>
      </c>
      <c r="C5474" t="s">
        <v>21</v>
      </c>
      <c r="D5474">
        <v>156588</v>
      </c>
      <c r="E5474">
        <v>13058</v>
      </c>
      <c r="F5474">
        <v>22473</v>
      </c>
      <c r="G5474">
        <v>-145660</v>
      </c>
      <c r="H5474">
        <v>46459</v>
      </c>
      <c r="I5474">
        <v>44917</v>
      </c>
      <c r="J5474">
        <v>1140</v>
      </c>
      <c r="K5474">
        <v>485276</v>
      </c>
      <c r="L5474">
        <v>114179</v>
      </c>
      <c r="M5474">
        <v>-170767</v>
      </c>
      <c r="N5474">
        <v>115100</v>
      </c>
      <c r="O5474" t="s">
        <v>5492</v>
      </c>
      <c r="P5474" s="9">
        <v>160356</v>
      </c>
      <c r="Q5474" s="9">
        <v>12421</v>
      </c>
      <c r="R5474" s="9">
        <v>172777</v>
      </c>
      <c r="S5474" s="9">
        <v>-35312</v>
      </c>
      <c r="T5474" s="10">
        <v>47492</v>
      </c>
      <c r="U5474" s="10">
        <v>546</v>
      </c>
    </row>
    <row r="5475" spans="1:21" x14ac:dyDescent="0.35">
      <c r="A5475" t="s">
        <v>15</v>
      </c>
      <c r="B5475" t="s">
        <v>16</v>
      </c>
      <c r="C5475" t="s">
        <v>17</v>
      </c>
      <c r="D5475">
        <v>154012</v>
      </c>
      <c r="E5475">
        <v>29903</v>
      </c>
      <c r="F5475">
        <v>26344</v>
      </c>
      <c r="G5475">
        <v>-128713</v>
      </c>
      <c r="H5475">
        <v>81546</v>
      </c>
      <c r="I5475">
        <v>81053</v>
      </c>
      <c r="J5475">
        <v>1684</v>
      </c>
      <c r="K5475">
        <v>395052</v>
      </c>
      <c r="L5475">
        <v>56937</v>
      </c>
      <c r="M5475">
        <v>-102428</v>
      </c>
      <c r="N5475">
        <v>130481</v>
      </c>
      <c r="O5475" t="s">
        <v>5493</v>
      </c>
      <c r="P5475" s="9">
        <v>195353</v>
      </c>
      <c r="Q5475" s="9">
        <v>27013</v>
      </c>
      <c r="R5475" s="9">
        <v>222366</v>
      </c>
      <c r="S5475" s="9">
        <v>-126587</v>
      </c>
      <c r="T5475" s="10">
        <v>90105</v>
      </c>
      <c r="U5475" s="10">
        <v>1793</v>
      </c>
    </row>
    <row r="5476" spans="1:21" x14ac:dyDescent="0.35">
      <c r="A5476" t="s">
        <v>15</v>
      </c>
      <c r="B5476" t="s">
        <v>16</v>
      </c>
      <c r="C5476" t="s">
        <v>17</v>
      </c>
      <c r="D5476">
        <v>243801</v>
      </c>
      <c r="E5476">
        <v>23834</v>
      </c>
      <c r="F5476">
        <v>49490</v>
      </c>
      <c r="G5476">
        <v>-228675</v>
      </c>
      <c r="H5476">
        <v>88450</v>
      </c>
      <c r="I5476">
        <v>83988</v>
      </c>
      <c r="J5476">
        <v>1609</v>
      </c>
      <c r="K5476">
        <v>771519</v>
      </c>
      <c r="L5476">
        <v>148166</v>
      </c>
      <c r="M5476">
        <v>-154619</v>
      </c>
      <c r="N5476">
        <v>108969</v>
      </c>
      <c r="O5476" t="s">
        <v>5494</v>
      </c>
      <c r="P5476" s="9">
        <v>192927</v>
      </c>
      <c r="Q5476" s="9">
        <v>34008</v>
      </c>
      <c r="R5476" s="9">
        <v>226935</v>
      </c>
      <c r="S5476" s="9">
        <v>-99430</v>
      </c>
      <c r="T5476" s="10">
        <v>65198</v>
      </c>
      <c r="U5476" s="10">
        <v>1367</v>
      </c>
    </row>
    <row r="5477" spans="1:21" x14ac:dyDescent="0.35">
      <c r="A5477" t="s">
        <v>15</v>
      </c>
      <c r="B5477" t="s">
        <v>16</v>
      </c>
      <c r="C5477" t="s">
        <v>17</v>
      </c>
      <c r="D5477">
        <v>290658</v>
      </c>
      <c r="E5477">
        <v>53907</v>
      </c>
      <c r="F5477">
        <v>67797</v>
      </c>
      <c r="G5477">
        <v>-249950</v>
      </c>
      <c r="H5477">
        <v>162412</v>
      </c>
      <c r="I5477">
        <v>157936</v>
      </c>
      <c r="J5477">
        <v>2653</v>
      </c>
      <c r="K5477">
        <v>1089184</v>
      </c>
      <c r="L5477">
        <v>512895</v>
      </c>
      <c r="M5477">
        <v>-391375</v>
      </c>
      <c r="N5477">
        <v>235051</v>
      </c>
      <c r="O5477" t="s">
        <v>5495</v>
      </c>
      <c r="P5477" s="9">
        <v>177940</v>
      </c>
      <c r="Q5477" s="9">
        <v>26124</v>
      </c>
      <c r="R5477" s="9">
        <v>204064</v>
      </c>
      <c r="S5477" s="9">
        <v>-51998</v>
      </c>
      <c r="T5477" s="10">
        <v>71868</v>
      </c>
      <c r="U5477" s="10">
        <v>1001</v>
      </c>
    </row>
    <row r="5478" spans="1:21" x14ac:dyDescent="0.35">
      <c r="A5478" t="s">
        <v>15</v>
      </c>
      <c r="B5478" t="s">
        <v>16</v>
      </c>
      <c r="C5478" t="s">
        <v>17</v>
      </c>
      <c r="D5478">
        <v>292543</v>
      </c>
      <c r="E5478">
        <v>15005</v>
      </c>
      <c r="F5478">
        <v>40869</v>
      </c>
      <c r="G5478">
        <v>-256995</v>
      </c>
      <c r="H5478">
        <v>91422</v>
      </c>
      <c r="I5478">
        <v>88451</v>
      </c>
      <c r="J5478">
        <v>1726</v>
      </c>
      <c r="K5478">
        <v>1050818</v>
      </c>
      <c r="L5478">
        <v>468403</v>
      </c>
      <c r="M5478">
        <v>-382941</v>
      </c>
      <c r="N5478">
        <v>113195</v>
      </c>
      <c r="O5478" t="s">
        <v>5496</v>
      </c>
      <c r="P5478" s="9">
        <v>192786</v>
      </c>
      <c r="Q5478" s="9">
        <v>27427</v>
      </c>
      <c r="R5478" s="9">
        <v>220213</v>
      </c>
      <c r="S5478" s="9">
        <v>-107454</v>
      </c>
      <c r="T5478" s="10">
        <v>72607</v>
      </c>
      <c r="U5478" s="10">
        <v>1814</v>
      </c>
    </row>
    <row r="5479" spans="1:21" x14ac:dyDescent="0.35">
      <c r="A5479" t="s">
        <v>15</v>
      </c>
      <c r="B5479" t="s">
        <v>20</v>
      </c>
      <c r="C5479" t="s">
        <v>17</v>
      </c>
      <c r="D5479">
        <v>291741</v>
      </c>
      <c r="E5479">
        <v>16384</v>
      </c>
      <c r="F5479">
        <v>33221</v>
      </c>
      <c r="G5479">
        <v>-283261</v>
      </c>
      <c r="H5479">
        <v>58085</v>
      </c>
      <c r="I5479">
        <v>55780</v>
      </c>
      <c r="J5479">
        <v>1388</v>
      </c>
      <c r="K5479">
        <v>1144437</v>
      </c>
      <c r="L5479">
        <v>272426</v>
      </c>
      <c r="M5479">
        <v>-290913</v>
      </c>
      <c r="N5479">
        <v>193623</v>
      </c>
      <c r="O5479" t="s">
        <v>5497</v>
      </c>
      <c r="P5479" s="9">
        <v>247603</v>
      </c>
      <c r="Q5479" s="9">
        <v>43557</v>
      </c>
      <c r="R5479" s="9">
        <v>291160</v>
      </c>
      <c r="S5479" s="9">
        <v>-124762</v>
      </c>
      <c r="T5479" s="10">
        <v>106908</v>
      </c>
      <c r="U5479" s="10">
        <v>2034</v>
      </c>
    </row>
    <row r="5480" spans="1:21" x14ac:dyDescent="0.35">
      <c r="A5480" t="s">
        <v>15</v>
      </c>
      <c r="B5480" t="s">
        <v>16</v>
      </c>
      <c r="C5480" t="s">
        <v>21</v>
      </c>
      <c r="D5480">
        <v>186170</v>
      </c>
      <c r="E5480">
        <v>12363</v>
      </c>
      <c r="F5480">
        <v>28019</v>
      </c>
      <c r="G5480">
        <v>-156150</v>
      </c>
      <c r="H5480">
        <v>70402</v>
      </c>
      <c r="I5480">
        <v>64124</v>
      </c>
      <c r="J5480">
        <v>1428</v>
      </c>
      <c r="K5480">
        <v>576648</v>
      </c>
      <c r="L5480">
        <v>240861</v>
      </c>
      <c r="M5480">
        <v>-152855</v>
      </c>
      <c r="N5480">
        <v>114058</v>
      </c>
      <c r="O5480" t="s">
        <v>5498</v>
      </c>
      <c r="P5480" s="9">
        <v>200558</v>
      </c>
      <c r="Q5480" s="9">
        <v>29228</v>
      </c>
      <c r="R5480" s="9">
        <v>229786</v>
      </c>
      <c r="S5480" s="9">
        <v>-126088</v>
      </c>
      <c r="T5480" s="10">
        <v>86741</v>
      </c>
      <c r="U5480" s="10">
        <v>1803</v>
      </c>
    </row>
    <row r="5481" spans="1:21" x14ac:dyDescent="0.35">
      <c r="A5481" t="s">
        <v>15</v>
      </c>
      <c r="B5481" t="s">
        <v>16</v>
      </c>
      <c r="C5481" t="s">
        <v>21</v>
      </c>
      <c r="D5481">
        <v>290930</v>
      </c>
      <c r="E5481">
        <v>34388</v>
      </c>
      <c r="F5481">
        <v>35751</v>
      </c>
      <c r="G5481">
        <v>-280026</v>
      </c>
      <c r="H5481">
        <v>81043</v>
      </c>
      <c r="I5481">
        <v>83760</v>
      </c>
      <c r="J5481">
        <v>1221</v>
      </c>
      <c r="K5481">
        <v>877374</v>
      </c>
      <c r="L5481">
        <v>377675</v>
      </c>
      <c r="M5481">
        <v>-258817</v>
      </c>
      <c r="N5481">
        <v>173540</v>
      </c>
      <c r="O5481" t="s">
        <v>5499</v>
      </c>
      <c r="P5481" s="9">
        <v>264521</v>
      </c>
      <c r="Q5481" s="9">
        <v>15990</v>
      </c>
      <c r="R5481" s="9">
        <v>280511</v>
      </c>
      <c r="S5481" s="9">
        <v>-95271</v>
      </c>
      <c r="T5481" s="10">
        <v>70488</v>
      </c>
      <c r="U5481" s="10">
        <v>798</v>
      </c>
    </row>
    <row r="5482" spans="1:21" x14ac:dyDescent="0.35">
      <c r="A5482" t="s">
        <v>15</v>
      </c>
      <c r="B5482" t="s">
        <v>16</v>
      </c>
      <c r="C5482" t="s">
        <v>17</v>
      </c>
      <c r="D5482">
        <v>256919</v>
      </c>
      <c r="E5482">
        <v>36228</v>
      </c>
      <c r="F5482">
        <v>52309</v>
      </c>
      <c r="G5482">
        <v>-247911</v>
      </c>
      <c r="H5482">
        <v>97545</v>
      </c>
      <c r="I5482">
        <v>88799</v>
      </c>
      <c r="J5482">
        <v>1860</v>
      </c>
      <c r="K5482">
        <v>657632</v>
      </c>
      <c r="L5482">
        <v>115887</v>
      </c>
      <c r="M5482">
        <v>-140031</v>
      </c>
      <c r="N5482">
        <v>222109</v>
      </c>
      <c r="O5482" t="s">
        <v>5500</v>
      </c>
      <c r="P5482" s="9">
        <v>162011</v>
      </c>
      <c r="Q5482" s="9">
        <v>15402</v>
      </c>
      <c r="R5482" s="9">
        <v>177413</v>
      </c>
      <c r="S5482" s="9">
        <v>-74755</v>
      </c>
      <c r="T5482" s="10">
        <v>52934</v>
      </c>
      <c r="U5482" s="10">
        <v>1331</v>
      </c>
    </row>
    <row r="5483" spans="1:21" x14ac:dyDescent="0.35">
      <c r="A5483" t="s">
        <v>15</v>
      </c>
      <c r="B5483" t="s">
        <v>20</v>
      </c>
      <c r="C5483" t="s">
        <v>17</v>
      </c>
      <c r="D5483">
        <v>244460</v>
      </c>
      <c r="E5483">
        <v>41147</v>
      </c>
      <c r="F5483">
        <v>33154</v>
      </c>
      <c r="G5483">
        <v>-216487</v>
      </c>
      <c r="H5483">
        <v>102274</v>
      </c>
      <c r="I5483">
        <v>92936</v>
      </c>
      <c r="J5483">
        <v>2064</v>
      </c>
      <c r="K5483">
        <v>853610</v>
      </c>
      <c r="L5483">
        <v>410370</v>
      </c>
      <c r="M5483">
        <v>-315849</v>
      </c>
      <c r="N5483">
        <v>149288</v>
      </c>
      <c r="O5483" t="s">
        <v>5501</v>
      </c>
      <c r="P5483" s="9">
        <v>161386</v>
      </c>
      <c r="Q5483" s="9">
        <v>29125</v>
      </c>
      <c r="R5483" s="9">
        <v>190511</v>
      </c>
      <c r="S5483" s="9">
        <v>-93253</v>
      </c>
      <c r="T5483" s="10">
        <v>76505</v>
      </c>
      <c r="U5483" s="10">
        <v>1030</v>
      </c>
    </row>
    <row r="5484" spans="1:21" x14ac:dyDescent="0.35">
      <c r="A5484" t="s">
        <v>15</v>
      </c>
      <c r="B5484" t="s">
        <v>16</v>
      </c>
      <c r="C5484" t="s">
        <v>17</v>
      </c>
      <c r="D5484">
        <v>268001</v>
      </c>
      <c r="E5484">
        <v>46335</v>
      </c>
      <c r="F5484">
        <v>56033</v>
      </c>
      <c r="G5484">
        <v>-214403</v>
      </c>
      <c r="H5484">
        <v>155966</v>
      </c>
      <c r="I5484">
        <v>147705</v>
      </c>
      <c r="J5484">
        <v>4146</v>
      </c>
      <c r="K5484">
        <v>761042</v>
      </c>
      <c r="L5484">
        <v>83640</v>
      </c>
      <c r="M5484">
        <v>-111410</v>
      </c>
      <c r="N5484">
        <v>94342</v>
      </c>
      <c r="O5484" t="s">
        <v>5502</v>
      </c>
      <c r="P5484" s="9">
        <v>166832</v>
      </c>
      <c r="Q5484" s="9">
        <v>14390</v>
      </c>
      <c r="R5484" s="9">
        <v>181222</v>
      </c>
      <c r="S5484" s="9">
        <v>-85370</v>
      </c>
      <c r="T5484" s="10">
        <v>49025</v>
      </c>
      <c r="U5484" s="10">
        <v>753</v>
      </c>
    </row>
    <row r="5485" spans="1:21" x14ac:dyDescent="0.35">
      <c r="A5485" t="s">
        <v>15</v>
      </c>
      <c r="B5485" t="s">
        <v>20</v>
      </c>
      <c r="C5485" t="s">
        <v>21</v>
      </c>
      <c r="D5485">
        <v>263829</v>
      </c>
      <c r="E5485">
        <v>51906</v>
      </c>
      <c r="F5485">
        <v>34704</v>
      </c>
      <c r="G5485">
        <v>-237754</v>
      </c>
      <c r="H5485">
        <v>112685</v>
      </c>
      <c r="I5485">
        <v>104828</v>
      </c>
      <c r="J5485">
        <v>3104</v>
      </c>
      <c r="K5485">
        <v>814601</v>
      </c>
      <c r="L5485">
        <v>295757</v>
      </c>
      <c r="M5485">
        <v>-296584</v>
      </c>
      <c r="N5485">
        <v>121485</v>
      </c>
      <c r="O5485" t="s">
        <v>5503</v>
      </c>
      <c r="P5485" s="9">
        <v>165332</v>
      </c>
      <c r="Q5485" s="9">
        <v>28115</v>
      </c>
      <c r="R5485" s="9">
        <v>193447</v>
      </c>
      <c r="S5485" s="9">
        <v>-46046</v>
      </c>
      <c r="T5485" s="10">
        <v>68123</v>
      </c>
      <c r="U5485" s="10">
        <v>1994</v>
      </c>
    </row>
    <row r="5486" spans="1:21" x14ac:dyDescent="0.35">
      <c r="A5486" t="s">
        <v>15</v>
      </c>
      <c r="B5486" t="s">
        <v>20</v>
      </c>
      <c r="C5486" t="s">
        <v>21</v>
      </c>
      <c r="D5486">
        <v>177644</v>
      </c>
      <c r="E5486">
        <v>9913</v>
      </c>
      <c r="F5486">
        <v>30295</v>
      </c>
      <c r="G5486">
        <v>-156093</v>
      </c>
      <c r="H5486">
        <v>61759</v>
      </c>
      <c r="I5486">
        <v>63169</v>
      </c>
      <c r="J5486">
        <v>1168</v>
      </c>
      <c r="K5486">
        <v>593017</v>
      </c>
      <c r="L5486">
        <v>92617</v>
      </c>
      <c r="M5486">
        <v>-131731</v>
      </c>
      <c r="N5486">
        <v>125294</v>
      </c>
      <c r="O5486" t="s">
        <v>5504</v>
      </c>
      <c r="P5486" s="9">
        <v>197920</v>
      </c>
      <c r="Q5486" s="9">
        <v>19071</v>
      </c>
      <c r="R5486" s="9">
        <v>216991</v>
      </c>
      <c r="S5486" s="9">
        <v>-106258</v>
      </c>
      <c r="T5486" s="10">
        <v>82848</v>
      </c>
      <c r="U5486" s="10">
        <v>2190</v>
      </c>
    </row>
    <row r="5487" spans="1:21" x14ac:dyDescent="0.35">
      <c r="A5487" t="s">
        <v>15</v>
      </c>
      <c r="B5487" t="s">
        <v>16</v>
      </c>
      <c r="C5487" t="s">
        <v>21</v>
      </c>
      <c r="D5487">
        <v>208803</v>
      </c>
      <c r="E5487">
        <v>32274</v>
      </c>
      <c r="F5487">
        <v>29554</v>
      </c>
      <c r="G5487">
        <v>-169349</v>
      </c>
      <c r="H5487">
        <v>101282</v>
      </c>
      <c r="I5487">
        <v>101050</v>
      </c>
      <c r="J5487">
        <v>2659</v>
      </c>
      <c r="K5487">
        <v>714307</v>
      </c>
      <c r="L5487">
        <v>282110</v>
      </c>
      <c r="M5487">
        <v>-87079</v>
      </c>
      <c r="N5487">
        <v>168329</v>
      </c>
      <c r="O5487" t="s">
        <v>5505</v>
      </c>
      <c r="P5487" s="9">
        <v>160891</v>
      </c>
      <c r="Q5487" s="9">
        <v>9874</v>
      </c>
      <c r="R5487" s="9">
        <v>170765</v>
      </c>
      <c r="S5487" s="9">
        <v>-57523</v>
      </c>
      <c r="T5487" s="10">
        <v>59937</v>
      </c>
      <c r="U5487" s="10">
        <v>688</v>
      </c>
    </row>
    <row r="5488" spans="1:21" x14ac:dyDescent="0.35">
      <c r="A5488" t="s">
        <v>15</v>
      </c>
      <c r="B5488" t="s">
        <v>20</v>
      </c>
      <c r="C5488" t="s">
        <v>21</v>
      </c>
      <c r="D5488">
        <v>214821</v>
      </c>
      <c r="E5488">
        <v>33216</v>
      </c>
      <c r="F5488">
        <v>46017</v>
      </c>
      <c r="G5488">
        <v>-211395</v>
      </c>
      <c r="H5488">
        <v>82659</v>
      </c>
      <c r="I5488">
        <v>74599</v>
      </c>
      <c r="J5488">
        <v>2211</v>
      </c>
      <c r="K5488">
        <v>474578</v>
      </c>
      <c r="L5488">
        <v>58289</v>
      </c>
      <c r="M5488">
        <v>-126559</v>
      </c>
      <c r="N5488">
        <v>192039</v>
      </c>
      <c r="O5488" t="s">
        <v>5506</v>
      </c>
      <c r="P5488" s="9">
        <v>184507</v>
      </c>
      <c r="Q5488" s="9">
        <v>19378</v>
      </c>
      <c r="R5488" s="9">
        <v>203885</v>
      </c>
      <c r="S5488" s="9">
        <v>-118076</v>
      </c>
      <c r="T5488" s="10">
        <v>66430</v>
      </c>
      <c r="U5488" s="10">
        <v>1407</v>
      </c>
    </row>
    <row r="5489" spans="1:21" x14ac:dyDescent="0.35">
      <c r="A5489" t="s">
        <v>15</v>
      </c>
      <c r="B5489" t="s">
        <v>16</v>
      </c>
      <c r="C5489" t="s">
        <v>21</v>
      </c>
      <c r="D5489">
        <v>240276</v>
      </c>
      <c r="E5489">
        <v>42168</v>
      </c>
      <c r="F5489">
        <v>36472</v>
      </c>
      <c r="G5489">
        <v>-235841</v>
      </c>
      <c r="H5489">
        <v>83075</v>
      </c>
      <c r="I5489">
        <v>83069</v>
      </c>
      <c r="J5489">
        <v>1953</v>
      </c>
      <c r="K5489">
        <v>757081</v>
      </c>
      <c r="L5489">
        <v>149975</v>
      </c>
      <c r="M5489">
        <v>-295064</v>
      </c>
      <c r="N5489">
        <v>186242</v>
      </c>
      <c r="O5489" t="s">
        <v>5507</v>
      </c>
      <c r="P5489" s="9">
        <v>266214</v>
      </c>
      <c r="Q5489" s="9">
        <v>46224</v>
      </c>
      <c r="R5489" s="9">
        <v>312438</v>
      </c>
      <c r="S5489" s="9">
        <v>-63093</v>
      </c>
      <c r="T5489" s="10">
        <v>74134</v>
      </c>
      <c r="U5489" s="10">
        <v>1480</v>
      </c>
    </row>
    <row r="5490" spans="1:21" x14ac:dyDescent="0.35">
      <c r="A5490" t="s">
        <v>15</v>
      </c>
      <c r="B5490" t="s">
        <v>16</v>
      </c>
      <c r="C5490" t="s">
        <v>21</v>
      </c>
      <c r="D5490">
        <v>230324</v>
      </c>
      <c r="E5490">
        <v>32008</v>
      </c>
      <c r="F5490">
        <v>43214</v>
      </c>
      <c r="G5490">
        <v>-218457</v>
      </c>
      <c r="H5490">
        <v>87089</v>
      </c>
      <c r="I5490">
        <v>85641</v>
      </c>
      <c r="J5490">
        <v>1995</v>
      </c>
      <c r="K5490">
        <v>792799</v>
      </c>
      <c r="L5490">
        <v>293824</v>
      </c>
      <c r="M5490">
        <v>-315894</v>
      </c>
      <c r="N5490">
        <v>177192</v>
      </c>
      <c r="O5490" t="s">
        <v>5508</v>
      </c>
      <c r="P5490" s="9">
        <v>229449</v>
      </c>
      <c r="Q5490" s="9">
        <v>19678</v>
      </c>
      <c r="R5490" s="9">
        <v>249127</v>
      </c>
      <c r="S5490" s="9">
        <v>-136745</v>
      </c>
      <c r="T5490" s="10">
        <v>99298</v>
      </c>
      <c r="U5490" s="10">
        <v>2005</v>
      </c>
    </row>
    <row r="5491" spans="1:21" x14ac:dyDescent="0.35">
      <c r="A5491" t="s">
        <v>15</v>
      </c>
      <c r="B5491" t="s">
        <v>20</v>
      </c>
      <c r="C5491" t="s">
        <v>17</v>
      </c>
      <c r="D5491">
        <v>224040</v>
      </c>
      <c r="E5491">
        <v>40636</v>
      </c>
      <c r="F5491">
        <v>52756</v>
      </c>
      <c r="G5491">
        <v>-189406</v>
      </c>
      <c r="H5491">
        <v>128026</v>
      </c>
      <c r="I5491">
        <v>132675</v>
      </c>
      <c r="J5491">
        <v>1713</v>
      </c>
      <c r="K5491">
        <v>571026</v>
      </c>
      <c r="L5491">
        <v>210101</v>
      </c>
      <c r="M5491">
        <v>-123953</v>
      </c>
      <c r="N5491">
        <v>70700</v>
      </c>
      <c r="O5491" t="s">
        <v>5509</v>
      </c>
      <c r="P5491" s="9">
        <v>235618</v>
      </c>
      <c r="Q5491" s="9">
        <v>13171</v>
      </c>
      <c r="R5491" s="9">
        <v>248789</v>
      </c>
      <c r="S5491" s="9">
        <v>-135934</v>
      </c>
      <c r="T5491" s="10">
        <v>64782</v>
      </c>
      <c r="U5491" s="10">
        <v>659</v>
      </c>
    </row>
    <row r="5492" spans="1:21" x14ac:dyDescent="0.35">
      <c r="A5492" t="s">
        <v>15</v>
      </c>
      <c r="B5492" t="s">
        <v>16</v>
      </c>
      <c r="C5492" t="s">
        <v>21</v>
      </c>
      <c r="D5492">
        <v>291206</v>
      </c>
      <c r="E5492">
        <v>55965</v>
      </c>
      <c r="F5492">
        <v>41938</v>
      </c>
      <c r="G5492">
        <v>-249749</v>
      </c>
      <c r="H5492">
        <v>139360</v>
      </c>
      <c r="I5492">
        <v>130818</v>
      </c>
      <c r="J5492">
        <v>3624</v>
      </c>
      <c r="K5492">
        <v>1009033</v>
      </c>
      <c r="L5492">
        <v>102789</v>
      </c>
      <c r="M5492">
        <v>-205196</v>
      </c>
      <c r="N5492">
        <v>122042</v>
      </c>
      <c r="O5492" t="s">
        <v>5510</v>
      </c>
      <c r="P5492" s="9">
        <v>193975</v>
      </c>
      <c r="Q5492" s="9">
        <v>26106</v>
      </c>
      <c r="R5492" s="9">
        <v>220081</v>
      </c>
      <c r="S5492" s="9">
        <v>-62198</v>
      </c>
      <c r="T5492" s="10">
        <v>64362</v>
      </c>
      <c r="U5492" s="10">
        <v>1826</v>
      </c>
    </row>
    <row r="5493" spans="1:21" x14ac:dyDescent="0.35">
      <c r="A5493" t="s">
        <v>15</v>
      </c>
      <c r="B5493" t="s">
        <v>20</v>
      </c>
      <c r="C5493" t="s">
        <v>21</v>
      </c>
      <c r="D5493">
        <v>163730</v>
      </c>
      <c r="E5493">
        <v>27372</v>
      </c>
      <c r="F5493">
        <v>32830</v>
      </c>
      <c r="G5493">
        <v>-143126</v>
      </c>
      <c r="H5493">
        <v>80806</v>
      </c>
      <c r="I5493">
        <v>75100</v>
      </c>
      <c r="J5493">
        <v>1630</v>
      </c>
      <c r="K5493">
        <v>649169</v>
      </c>
      <c r="L5493">
        <v>191350</v>
      </c>
      <c r="M5493">
        <v>-73552</v>
      </c>
      <c r="N5493">
        <v>90934</v>
      </c>
      <c r="O5493" t="s">
        <v>5511</v>
      </c>
      <c r="P5493" s="9">
        <v>250528</v>
      </c>
      <c r="Q5493" s="9">
        <v>26222</v>
      </c>
      <c r="R5493" s="9">
        <v>276750</v>
      </c>
      <c r="S5493" s="9">
        <v>-109200</v>
      </c>
      <c r="T5493" s="10">
        <v>110068</v>
      </c>
      <c r="U5493" s="10">
        <v>2687</v>
      </c>
    </row>
    <row r="5494" spans="1:21" x14ac:dyDescent="0.35">
      <c r="A5494" t="s">
        <v>15</v>
      </c>
      <c r="B5494" t="s">
        <v>16</v>
      </c>
      <c r="C5494" t="s">
        <v>17</v>
      </c>
      <c r="D5494">
        <v>233629</v>
      </c>
      <c r="E5494">
        <v>39277</v>
      </c>
      <c r="F5494">
        <v>54057</v>
      </c>
      <c r="G5494">
        <v>-195245</v>
      </c>
      <c r="H5494">
        <v>131718</v>
      </c>
      <c r="I5494">
        <v>131897</v>
      </c>
      <c r="J5494">
        <v>3694</v>
      </c>
      <c r="K5494">
        <v>735548</v>
      </c>
      <c r="L5494">
        <v>219596</v>
      </c>
      <c r="M5494">
        <v>-192826</v>
      </c>
      <c r="N5494">
        <v>126208</v>
      </c>
      <c r="O5494" t="s">
        <v>5512</v>
      </c>
      <c r="P5494" s="9">
        <v>172074</v>
      </c>
      <c r="Q5494" s="9">
        <v>27262</v>
      </c>
      <c r="R5494" s="9">
        <v>199336</v>
      </c>
      <c r="S5494" s="9">
        <v>-111895</v>
      </c>
      <c r="T5494" s="10">
        <v>68297</v>
      </c>
      <c r="U5494" s="10">
        <v>1484</v>
      </c>
    </row>
    <row r="5495" spans="1:21" x14ac:dyDescent="0.35">
      <c r="A5495" t="s">
        <v>15</v>
      </c>
      <c r="B5495" t="s">
        <v>16</v>
      </c>
      <c r="C5495" t="s">
        <v>21</v>
      </c>
      <c r="D5495">
        <v>234160</v>
      </c>
      <c r="E5495">
        <v>22519</v>
      </c>
      <c r="F5495">
        <v>53227</v>
      </c>
      <c r="G5495">
        <v>-209047</v>
      </c>
      <c r="H5495">
        <v>100859</v>
      </c>
      <c r="I5495">
        <v>104151</v>
      </c>
      <c r="J5495">
        <v>2784</v>
      </c>
      <c r="K5495">
        <v>632452</v>
      </c>
      <c r="L5495">
        <v>176077</v>
      </c>
      <c r="M5495">
        <v>-157208</v>
      </c>
      <c r="N5495">
        <v>142867</v>
      </c>
      <c r="O5495" t="s">
        <v>5513</v>
      </c>
      <c r="P5495" s="9">
        <v>276407</v>
      </c>
      <c r="Q5495" s="9">
        <v>30724</v>
      </c>
      <c r="R5495" s="9">
        <v>307131</v>
      </c>
      <c r="S5495" s="9">
        <v>-148774</v>
      </c>
      <c r="T5495" s="10">
        <v>111668</v>
      </c>
      <c r="U5495" s="10">
        <v>3058</v>
      </c>
    </row>
    <row r="5496" spans="1:21" x14ac:dyDescent="0.35">
      <c r="A5496" t="s">
        <v>15</v>
      </c>
      <c r="B5496" t="s">
        <v>16</v>
      </c>
      <c r="C5496" t="s">
        <v>21</v>
      </c>
      <c r="D5496">
        <v>232130</v>
      </c>
      <c r="E5496">
        <v>39698</v>
      </c>
      <c r="F5496">
        <v>33429</v>
      </c>
      <c r="G5496">
        <v>-201435</v>
      </c>
      <c r="H5496">
        <v>103822</v>
      </c>
      <c r="I5496">
        <v>96056</v>
      </c>
      <c r="J5496">
        <v>1650</v>
      </c>
      <c r="K5496">
        <v>796929</v>
      </c>
      <c r="L5496">
        <v>81413</v>
      </c>
      <c r="M5496">
        <v>-91459</v>
      </c>
      <c r="N5496">
        <v>178717</v>
      </c>
      <c r="O5496" t="s">
        <v>5514</v>
      </c>
      <c r="P5496" s="9">
        <v>210061</v>
      </c>
      <c r="Q5496" s="9">
        <v>15978</v>
      </c>
      <c r="R5496" s="9">
        <v>226039</v>
      </c>
      <c r="S5496" s="9">
        <v>-85849</v>
      </c>
      <c r="T5496" s="10">
        <v>57554</v>
      </c>
      <c r="U5496" s="10">
        <v>1060</v>
      </c>
    </row>
    <row r="5497" spans="1:21" x14ac:dyDescent="0.35">
      <c r="A5497" t="s">
        <v>15</v>
      </c>
      <c r="B5497" t="s">
        <v>16</v>
      </c>
      <c r="C5497" t="s">
        <v>21</v>
      </c>
      <c r="D5497">
        <v>199908</v>
      </c>
      <c r="E5497">
        <v>12585</v>
      </c>
      <c r="F5497">
        <v>40560</v>
      </c>
      <c r="G5497">
        <v>-177632</v>
      </c>
      <c r="H5497">
        <v>75421</v>
      </c>
      <c r="I5497">
        <v>70216</v>
      </c>
      <c r="J5497">
        <v>1959</v>
      </c>
      <c r="K5497">
        <v>775181</v>
      </c>
      <c r="L5497">
        <v>260208</v>
      </c>
      <c r="M5497">
        <v>-160841</v>
      </c>
      <c r="N5497">
        <v>144766</v>
      </c>
      <c r="O5497" t="s">
        <v>5515</v>
      </c>
      <c r="P5497" s="9">
        <v>294784</v>
      </c>
      <c r="Q5497" s="9">
        <v>48190</v>
      </c>
      <c r="R5497" s="9">
        <v>342974</v>
      </c>
      <c r="S5497" s="9">
        <v>-195718</v>
      </c>
      <c r="T5497" s="10">
        <v>113721</v>
      </c>
      <c r="U5497" s="10">
        <v>2911</v>
      </c>
    </row>
    <row r="5498" spans="1:21" x14ac:dyDescent="0.35">
      <c r="A5498" t="s">
        <v>15</v>
      </c>
      <c r="B5498" t="s">
        <v>16</v>
      </c>
      <c r="C5498" t="s">
        <v>21</v>
      </c>
      <c r="D5498">
        <v>155042</v>
      </c>
      <c r="E5498">
        <v>26766</v>
      </c>
      <c r="F5498">
        <v>24283</v>
      </c>
      <c r="G5498">
        <v>-147064</v>
      </c>
      <c r="H5498">
        <v>59027</v>
      </c>
      <c r="I5498">
        <v>58936</v>
      </c>
      <c r="J5498">
        <v>1517</v>
      </c>
      <c r="K5498">
        <v>617401</v>
      </c>
      <c r="L5498">
        <v>106207</v>
      </c>
      <c r="M5498">
        <v>-91356</v>
      </c>
      <c r="N5498">
        <v>67456</v>
      </c>
      <c r="O5498" t="s">
        <v>5516</v>
      </c>
      <c r="P5498" s="9">
        <v>220579</v>
      </c>
      <c r="Q5498" s="9">
        <v>22643</v>
      </c>
      <c r="R5498" s="9">
        <v>243222</v>
      </c>
      <c r="S5498" s="9">
        <v>-118617</v>
      </c>
      <c r="T5498" s="10">
        <v>96612</v>
      </c>
      <c r="U5498" s="10">
        <v>1094</v>
      </c>
    </row>
    <row r="5499" spans="1:21" x14ac:dyDescent="0.35">
      <c r="A5499" t="s">
        <v>15</v>
      </c>
      <c r="B5499" t="s">
        <v>20</v>
      </c>
      <c r="C5499" t="s">
        <v>21</v>
      </c>
      <c r="D5499">
        <v>151620</v>
      </c>
      <c r="E5499">
        <v>26441</v>
      </c>
      <c r="F5499">
        <v>19809</v>
      </c>
      <c r="G5499">
        <v>-138151</v>
      </c>
      <c r="H5499">
        <v>59719</v>
      </c>
      <c r="I5499">
        <v>61838</v>
      </c>
      <c r="J5499">
        <v>1004</v>
      </c>
      <c r="K5499">
        <v>425265</v>
      </c>
      <c r="L5499">
        <v>47457</v>
      </c>
      <c r="M5499">
        <v>-116619</v>
      </c>
      <c r="N5499">
        <v>118365</v>
      </c>
      <c r="O5499" t="s">
        <v>5517</v>
      </c>
      <c r="P5499" s="9">
        <v>236740</v>
      </c>
      <c r="Q5499" s="9">
        <v>44790</v>
      </c>
      <c r="R5499" s="9">
        <v>281530</v>
      </c>
      <c r="S5499" s="9">
        <v>-128226</v>
      </c>
      <c r="T5499" s="10">
        <v>101058</v>
      </c>
      <c r="U5499" s="10">
        <v>1346</v>
      </c>
    </row>
    <row r="5500" spans="1:21" x14ac:dyDescent="0.35">
      <c r="A5500" t="s">
        <v>15</v>
      </c>
      <c r="B5500" t="s">
        <v>20</v>
      </c>
      <c r="C5500" t="s">
        <v>17</v>
      </c>
      <c r="D5500">
        <v>281278</v>
      </c>
      <c r="E5500">
        <v>39700</v>
      </c>
      <c r="F5500">
        <v>32916</v>
      </c>
      <c r="G5500">
        <v>-270627</v>
      </c>
      <c r="H5500">
        <v>83267</v>
      </c>
      <c r="I5500">
        <v>81198</v>
      </c>
      <c r="J5500">
        <v>1029</v>
      </c>
      <c r="K5500">
        <v>1123128</v>
      </c>
      <c r="L5500">
        <v>166805</v>
      </c>
      <c r="M5500">
        <v>-394968</v>
      </c>
      <c r="N5500">
        <v>243854</v>
      </c>
      <c r="O5500" t="s">
        <v>5518</v>
      </c>
      <c r="P5500" s="9">
        <v>287505</v>
      </c>
      <c r="Q5500" s="9">
        <v>40518</v>
      </c>
      <c r="R5500" s="9">
        <v>328023</v>
      </c>
      <c r="S5500" s="9">
        <v>-146076</v>
      </c>
      <c r="T5500" s="10">
        <v>106243</v>
      </c>
      <c r="U5500" s="10">
        <v>1582</v>
      </c>
    </row>
    <row r="5501" spans="1:21" x14ac:dyDescent="0.35">
      <c r="A5501" t="s">
        <v>15</v>
      </c>
      <c r="B5501" t="s">
        <v>16</v>
      </c>
      <c r="C5501" t="s">
        <v>17</v>
      </c>
      <c r="D5501">
        <v>235950</v>
      </c>
      <c r="E5501">
        <v>33911</v>
      </c>
      <c r="F5501">
        <v>39939</v>
      </c>
      <c r="G5501">
        <v>-235827</v>
      </c>
      <c r="H5501">
        <v>73973</v>
      </c>
      <c r="I5501">
        <v>70202</v>
      </c>
      <c r="J5501">
        <v>1044</v>
      </c>
      <c r="K5501">
        <v>628449</v>
      </c>
      <c r="L5501">
        <v>175966</v>
      </c>
      <c r="M5501">
        <v>-236608</v>
      </c>
      <c r="N5501">
        <v>194976</v>
      </c>
      <c r="O5501" t="s">
        <v>5519</v>
      </c>
      <c r="P5501" s="9">
        <v>244439</v>
      </c>
      <c r="Q5501" s="9">
        <v>30707</v>
      </c>
      <c r="R5501" s="9">
        <v>275146</v>
      </c>
      <c r="S5501" s="9">
        <v>-141880</v>
      </c>
      <c r="T5501" s="10">
        <v>64336</v>
      </c>
      <c r="U5501" s="10">
        <v>1376</v>
      </c>
    </row>
    <row r="5502" spans="1:21" x14ac:dyDescent="0.35">
      <c r="A5502" t="s">
        <v>15</v>
      </c>
      <c r="B5502" t="s">
        <v>16</v>
      </c>
      <c r="C5502" t="s">
        <v>21</v>
      </c>
      <c r="D5502">
        <v>217511</v>
      </c>
      <c r="E5502">
        <v>39151</v>
      </c>
      <c r="F5502">
        <v>30020</v>
      </c>
      <c r="G5502">
        <v>-179123</v>
      </c>
      <c r="H5502">
        <v>107559</v>
      </c>
      <c r="I5502">
        <v>98698</v>
      </c>
      <c r="J5502">
        <v>2383</v>
      </c>
      <c r="K5502">
        <v>702080</v>
      </c>
      <c r="L5502">
        <v>341698</v>
      </c>
      <c r="M5502">
        <v>-191256</v>
      </c>
      <c r="N5502">
        <v>166023</v>
      </c>
      <c r="O5502" t="s">
        <v>5520</v>
      </c>
      <c r="P5502" s="9">
        <v>262039</v>
      </c>
      <c r="Q5502" s="9">
        <v>50512</v>
      </c>
      <c r="R5502" s="9">
        <v>312551</v>
      </c>
      <c r="S5502" s="9">
        <v>-81317</v>
      </c>
      <c r="T5502" s="10">
        <v>131862</v>
      </c>
      <c r="U5502" s="10">
        <v>3806</v>
      </c>
    </row>
    <row r="5503" spans="1:21" x14ac:dyDescent="0.35">
      <c r="A5503" t="s">
        <v>15</v>
      </c>
      <c r="B5503" t="s">
        <v>20</v>
      </c>
      <c r="C5503" t="s">
        <v>21</v>
      </c>
      <c r="D5503">
        <v>237970</v>
      </c>
      <c r="E5503">
        <v>36217</v>
      </c>
      <c r="F5503">
        <v>55919</v>
      </c>
      <c r="G5503">
        <v>-210244</v>
      </c>
      <c r="H5503">
        <v>119862</v>
      </c>
      <c r="I5503">
        <v>115683</v>
      </c>
      <c r="J5503">
        <v>2094</v>
      </c>
      <c r="K5503">
        <v>541381</v>
      </c>
      <c r="L5503">
        <v>137665</v>
      </c>
      <c r="M5503">
        <v>-126023</v>
      </c>
      <c r="N5503">
        <v>112718</v>
      </c>
      <c r="O5503" t="s">
        <v>5521</v>
      </c>
      <c r="P5503" s="9">
        <v>201809</v>
      </c>
      <c r="Q5503" s="9">
        <v>11798</v>
      </c>
      <c r="R5503" s="9">
        <v>213607</v>
      </c>
      <c r="S5503" s="9">
        <v>-54141</v>
      </c>
      <c r="T5503" s="10">
        <v>56199</v>
      </c>
      <c r="U5503" s="10">
        <v>1604</v>
      </c>
    </row>
    <row r="5504" spans="1:21" x14ac:dyDescent="0.35">
      <c r="A5504" t="s">
        <v>15</v>
      </c>
      <c r="B5504" t="s">
        <v>20</v>
      </c>
      <c r="C5504" t="s">
        <v>21</v>
      </c>
      <c r="D5504">
        <v>246340</v>
      </c>
      <c r="E5504">
        <v>25084</v>
      </c>
      <c r="F5504">
        <v>49880</v>
      </c>
      <c r="G5504">
        <v>-244009</v>
      </c>
      <c r="H5504">
        <v>77295</v>
      </c>
      <c r="I5504">
        <v>70377</v>
      </c>
      <c r="J5504">
        <v>857</v>
      </c>
      <c r="K5504">
        <v>710517</v>
      </c>
      <c r="L5504">
        <v>109479</v>
      </c>
      <c r="M5504">
        <v>-263922</v>
      </c>
      <c r="N5504">
        <v>137844</v>
      </c>
      <c r="O5504" t="s">
        <v>5522</v>
      </c>
      <c r="P5504" s="9">
        <v>263335</v>
      </c>
      <c r="Q5504" s="9">
        <v>34919</v>
      </c>
      <c r="R5504" s="9">
        <v>298254</v>
      </c>
      <c r="S5504" s="9">
        <v>-89423</v>
      </c>
      <c r="T5504" s="10">
        <v>101681</v>
      </c>
      <c r="U5504" s="10">
        <v>2166</v>
      </c>
    </row>
    <row r="5505" spans="1:21" x14ac:dyDescent="0.35">
      <c r="A5505" t="s">
        <v>15</v>
      </c>
      <c r="B5505" t="s">
        <v>16</v>
      </c>
      <c r="C5505" t="s">
        <v>21</v>
      </c>
      <c r="D5505">
        <v>249144</v>
      </c>
      <c r="E5505">
        <v>18015</v>
      </c>
      <c r="F5505">
        <v>42006</v>
      </c>
      <c r="G5505">
        <v>-221601</v>
      </c>
      <c r="H5505">
        <v>87564</v>
      </c>
      <c r="I5505">
        <v>87904</v>
      </c>
      <c r="J5505">
        <v>2475</v>
      </c>
      <c r="K5505">
        <v>556622</v>
      </c>
      <c r="L5505">
        <v>221202</v>
      </c>
      <c r="M5505">
        <v>-112624</v>
      </c>
      <c r="N5505">
        <v>161330</v>
      </c>
      <c r="O5505" t="s">
        <v>5523</v>
      </c>
      <c r="P5505" s="9">
        <v>261118</v>
      </c>
      <c r="Q5505" s="9">
        <v>56915</v>
      </c>
      <c r="R5505" s="9">
        <v>318033</v>
      </c>
      <c r="S5505" s="9">
        <v>-143573</v>
      </c>
      <c r="T5505" s="10">
        <v>112921</v>
      </c>
      <c r="U5505" s="10">
        <v>2122</v>
      </c>
    </row>
    <row r="5506" spans="1:21" x14ac:dyDescent="0.35">
      <c r="A5506" t="s">
        <v>15</v>
      </c>
      <c r="B5506" t="s">
        <v>20</v>
      </c>
      <c r="C5506" t="s">
        <v>21</v>
      </c>
      <c r="D5506">
        <v>160769</v>
      </c>
      <c r="E5506">
        <v>8220</v>
      </c>
      <c r="F5506">
        <v>17730</v>
      </c>
      <c r="G5506">
        <v>-149591</v>
      </c>
      <c r="H5506">
        <v>37128</v>
      </c>
      <c r="I5506">
        <v>38818</v>
      </c>
      <c r="J5506">
        <v>541</v>
      </c>
      <c r="K5506">
        <v>532634</v>
      </c>
      <c r="L5506">
        <v>229084</v>
      </c>
      <c r="M5506">
        <v>-169642</v>
      </c>
      <c r="N5506">
        <v>54354</v>
      </c>
      <c r="O5506" t="s">
        <v>5524</v>
      </c>
      <c r="P5506" s="9">
        <v>270442</v>
      </c>
      <c r="Q5506" s="9">
        <v>37920</v>
      </c>
      <c r="R5506" s="9">
        <v>308362</v>
      </c>
      <c r="S5506" s="9">
        <v>-139037</v>
      </c>
      <c r="T5506" s="10">
        <v>125207</v>
      </c>
      <c r="U5506" s="10">
        <v>3004</v>
      </c>
    </row>
    <row r="5507" spans="1:21" x14ac:dyDescent="0.35">
      <c r="A5507" t="s">
        <v>15</v>
      </c>
      <c r="B5507" t="s">
        <v>16</v>
      </c>
      <c r="C5507" t="s">
        <v>21</v>
      </c>
      <c r="D5507">
        <v>164378</v>
      </c>
      <c r="E5507">
        <v>23601</v>
      </c>
      <c r="F5507">
        <v>31201</v>
      </c>
      <c r="G5507">
        <v>-140530</v>
      </c>
      <c r="H5507">
        <v>78650</v>
      </c>
      <c r="I5507">
        <v>72368</v>
      </c>
      <c r="J5507">
        <v>1235</v>
      </c>
      <c r="K5507">
        <v>496986</v>
      </c>
      <c r="L5507">
        <v>169991</v>
      </c>
      <c r="M5507">
        <v>-156232</v>
      </c>
      <c r="N5507">
        <v>102534</v>
      </c>
      <c r="O5507" t="s">
        <v>5525</v>
      </c>
      <c r="P5507" s="9">
        <v>247603</v>
      </c>
      <c r="Q5507" s="9">
        <v>14146</v>
      </c>
      <c r="R5507" s="9">
        <v>261749</v>
      </c>
      <c r="S5507" s="9">
        <v>-119263</v>
      </c>
      <c r="T5507" s="10">
        <v>71413</v>
      </c>
      <c r="U5507" s="10">
        <v>1028</v>
      </c>
    </row>
    <row r="5508" spans="1:21" x14ac:dyDescent="0.35">
      <c r="A5508" t="s">
        <v>15</v>
      </c>
      <c r="B5508" t="s">
        <v>16</v>
      </c>
      <c r="C5508" t="s">
        <v>17</v>
      </c>
      <c r="D5508">
        <v>295367</v>
      </c>
      <c r="E5508">
        <v>36889</v>
      </c>
      <c r="F5508">
        <v>33267</v>
      </c>
      <c r="G5508">
        <v>-273715</v>
      </c>
      <c r="H5508">
        <v>91808</v>
      </c>
      <c r="I5508">
        <v>88742</v>
      </c>
      <c r="J5508">
        <v>919</v>
      </c>
      <c r="K5508">
        <v>644512</v>
      </c>
      <c r="L5508">
        <v>303555</v>
      </c>
      <c r="M5508">
        <v>-233633</v>
      </c>
      <c r="N5508">
        <v>249970</v>
      </c>
      <c r="O5508" t="s">
        <v>5526</v>
      </c>
      <c r="P5508" s="9">
        <v>224795</v>
      </c>
      <c r="Q5508" s="9">
        <v>24569</v>
      </c>
      <c r="R5508" s="9">
        <v>249364</v>
      </c>
      <c r="S5508" s="9">
        <v>-91723</v>
      </c>
      <c r="T5508" s="10">
        <v>101202</v>
      </c>
      <c r="U5508" s="10">
        <v>2637</v>
      </c>
    </row>
    <row r="5509" spans="1:21" x14ac:dyDescent="0.35">
      <c r="A5509" t="s">
        <v>15</v>
      </c>
      <c r="B5509" t="s">
        <v>20</v>
      </c>
      <c r="C5509" t="s">
        <v>21</v>
      </c>
      <c r="D5509">
        <v>223256</v>
      </c>
      <c r="E5509">
        <v>31632</v>
      </c>
      <c r="F5509">
        <v>48968</v>
      </c>
      <c r="G5509">
        <v>-202710</v>
      </c>
      <c r="H5509">
        <v>101146</v>
      </c>
      <c r="I5509">
        <v>96790</v>
      </c>
      <c r="J5509">
        <v>2743</v>
      </c>
      <c r="K5509">
        <v>708790</v>
      </c>
      <c r="L5509">
        <v>263705</v>
      </c>
      <c r="M5509">
        <v>-190536</v>
      </c>
      <c r="N5509">
        <v>106823</v>
      </c>
      <c r="O5509" t="s">
        <v>5527</v>
      </c>
      <c r="P5509" s="9">
        <v>277907</v>
      </c>
      <c r="Q5509" s="9">
        <v>16149</v>
      </c>
      <c r="R5509" s="9">
        <v>294056</v>
      </c>
      <c r="S5509" s="9">
        <v>-96358</v>
      </c>
      <c r="T5509" s="10">
        <v>97407</v>
      </c>
      <c r="U5509" s="10">
        <v>2068</v>
      </c>
    </row>
    <row r="5510" spans="1:21" x14ac:dyDescent="0.35">
      <c r="A5510" t="s">
        <v>15</v>
      </c>
      <c r="B5510" t="s">
        <v>20</v>
      </c>
      <c r="C5510" t="s">
        <v>21</v>
      </c>
      <c r="D5510">
        <v>195138</v>
      </c>
      <c r="E5510">
        <v>37361</v>
      </c>
      <c r="F5510">
        <v>36575</v>
      </c>
      <c r="G5510">
        <v>-192209</v>
      </c>
      <c r="H5510">
        <v>76865</v>
      </c>
      <c r="I5510">
        <v>80292</v>
      </c>
      <c r="J5510">
        <v>2006</v>
      </c>
      <c r="K5510">
        <v>723299</v>
      </c>
      <c r="L5510">
        <v>250531</v>
      </c>
      <c r="M5510">
        <v>-80585</v>
      </c>
      <c r="N5510">
        <v>118375</v>
      </c>
      <c r="O5510" t="s">
        <v>5528</v>
      </c>
      <c r="P5510" s="9">
        <v>172654</v>
      </c>
      <c r="Q5510" s="9">
        <v>8479</v>
      </c>
      <c r="R5510" s="9">
        <v>181133</v>
      </c>
      <c r="S5510" s="9">
        <v>-92355</v>
      </c>
      <c r="T5510" s="10">
        <v>41615</v>
      </c>
      <c r="U5510" s="10">
        <v>736</v>
      </c>
    </row>
    <row r="5511" spans="1:21" x14ac:dyDescent="0.35">
      <c r="A5511" t="s">
        <v>15</v>
      </c>
      <c r="B5511" t="s">
        <v>16</v>
      </c>
      <c r="C5511" t="s">
        <v>17</v>
      </c>
      <c r="D5511">
        <v>254068</v>
      </c>
      <c r="E5511">
        <v>28977</v>
      </c>
      <c r="F5511">
        <v>30361</v>
      </c>
      <c r="G5511">
        <v>-249304</v>
      </c>
      <c r="H5511">
        <v>64102</v>
      </c>
      <c r="I5511">
        <v>63490</v>
      </c>
      <c r="J5511">
        <v>1008</v>
      </c>
      <c r="K5511">
        <v>819390</v>
      </c>
      <c r="L5511">
        <v>409548</v>
      </c>
      <c r="M5511">
        <v>-284246</v>
      </c>
      <c r="N5511">
        <v>152462</v>
      </c>
      <c r="O5511" t="s">
        <v>5529</v>
      </c>
      <c r="P5511" s="9">
        <v>183786</v>
      </c>
      <c r="Q5511" s="9">
        <v>21594</v>
      </c>
      <c r="R5511" s="9">
        <v>205380</v>
      </c>
      <c r="S5511" s="9">
        <v>-68124</v>
      </c>
      <c r="T5511" s="10">
        <v>73554</v>
      </c>
      <c r="U5511" s="10">
        <v>1900</v>
      </c>
    </row>
    <row r="5512" spans="1:21" x14ac:dyDescent="0.35">
      <c r="A5512" t="s">
        <v>15</v>
      </c>
      <c r="B5512" t="s">
        <v>16</v>
      </c>
      <c r="C5512" t="s">
        <v>21</v>
      </c>
      <c r="D5512">
        <v>233391</v>
      </c>
      <c r="E5512">
        <v>38549</v>
      </c>
      <c r="F5512">
        <v>49409</v>
      </c>
      <c r="G5512">
        <v>-207634</v>
      </c>
      <c r="H5512">
        <v>113715</v>
      </c>
      <c r="I5512">
        <v>116929</v>
      </c>
      <c r="J5512">
        <v>1340</v>
      </c>
      <c r="K5512">
        <v>825682</v>
      </c>
      <c r="L5512">
        <v>371002</v>
      </c>
      <c r="M5512">
        <v>-190547</v>
      </c>
      <c r="N5512">
        <v>130198</v>
      </c>
      <c r="O5512" t="s">
        <v>5530</v>
      </c>
      <c r="P5512" s="9">
        <v>300784</v>
      </c>
      <c r="Q5512" s="9">
        <v>25259</v>
      </c>
      <c r="R5512" s="9">
        <v>326043</v>
      </c>
      <c r="S5512" s="9">
        <v>-78626</v>
      </c>
      <c r="T5512" s="10">
        <v>80641</v>
      </c>
      <c r="U5512" s="10">
        <v>1073</v>
      </c>
    </row>
    <row r="5513" spans="1:21" x14ac:dyDescent="0.35">
      <c r="A5513" t="s">
        <v>15</v>
      </c>
      <c r="B5513" t="s">
        <v>16</v>
      </c>
      <c r="C5513" t="s">
        <v>17</v>
      </c>
      <c r="D5513">
        <v>253759</v>
      </c>
      <c r="E5513">
        <v>45508</v>
      </c>
      <c r="F5513">
        <v>59205</v>
      </c>
      <c r="G5513">
        <v>-242343</v>
      </c>
      <c r="H5513">
        <v>116129</v>
      </c>
      <c r="I5513">
        <v>116501</v>
      </c>
      <c r="J5513">
        <v>1461</v>
      </c>
      <c r="K5513">
        <v>694507</v>
      </c>
      <c r="L5513">
        <v>237712</v>
      </c>
      <c r="M5513">
        <v>-103680</v>
      </c>
      <c r="N5513">
        <v>138494</v>
      </c>
      <c r="O5513" t="s">
        <v>5531</v>
      </c>
      <c r="P5513" s="9">
        <v>199051</v>
      </c>
      <c r="Q5513" s="9">
        <v>38342</v>
      </c>
      <c r="R5513" s="9">
        <v>237393</v>
      </c>
      <c r="S5513" s="9">
        <v>-136263</v>
      </c>
      <c r="T5513" s="10">
        <v>75240</v>
      </c>
      <c r="U5513" s="10">
        <v>1027</v>
      </c>
    </row>
    <row r="5514" spans="1:21" x14ac:dyDescent="0.35">
      <c r="A5514" t="s">
        <v>15</v>
      </c>
      <c r="B5514" t="s">
        <v>16</v>
      </c>
      <c r="C5514" t="s">
        <v>17</v>
      </c>
      <c r="D5514">
        <v>222321</v>
      </c>
      <c r="E5514">
        <v>23216</v>
      </c>
      <c r="F5514">
        <v>30371</v>
      </c>
      <c r="G5514">
        <v>-221882</v>
      </c>
      <c r="H5514">
        <v>54026</v>
      </c>
      <c r="I5514">
        <v>51631</v>
      </c>
      <c r="J5514">
        <v>1319</v>
      </c>
      <c r="K5514">
        <v>712603</v>
      </c>
      <c r="L5514">
        <v>328062</v>
      </c>
      <c r="M5514">
        <v>-260869</v>
      </c>
      <c r="N5514">
        <v>159421</v>
      </c>
      <c r="O5514" t="s">
        <v>5532</v>
      </c>
      <c r="P5514" s="9">
        <v>246344</v>
      </c>
      <c r="Q5514" s="9">
        <v>33216</v>
      </c>
      <c r="R5514" s="9">
        <v>279560</v>
      </c>
      <c r="S5514" s="9">
        <v>-87680</v>
      </c>
      <c r="T5514" s="10">
        <v>76549</v>
      </c>
      <c r="U5514" s="10">
        <v>1483</v>
      </c>
    </row>
    <row r="5515" spans="1:21" x14ac:dyDescent="0.35">
      <c r="A5515" t="s">
        <v>15</v>
      </c>
      <c r="B5515" t="s">
        <v>20</v>
      </c>
      <c r="C5515" t="s">
        <v>21</v>
      </c>
      <c r="D5515">
        <v>188131</v>
      </c>
      <c r="E5515">
        <v>27818</v>
      </c>
      <c r="F5515">
        <v>45033</v>
      </c>
      <c r="G5515">
        <v>-160635</v>
      </c>
      <c r="H5515">
        <v>100347</v>
      </c>
      <c r="I5515">
        <v>101964</v>
      </c>
      <c r="J5515">
        <v>2122</v>
      </c>
      <c r="K5515">
        <v>519290</v>
      </c>
      <c r="L5515">
        <v>256578</v>
      </c>
      <c r="M5515">
        <v>-53280</v>
      </c>
      <c r="N5515">
        <v>108058</v>
      </c>
      <c r="O5515" t="s">
        <v>5533</v>
      </c>
      <c r="P5515" s="9">
        <v>243491</v>
      </c>
      <c r="Q5515" s="9">
        <v>29073</v>
      </c>
      <c r="R5515" s="9">
        <v>272564</v>
      </c>
      <c r="S5515" s="9">
        <v>-122902</v>
      </c>
      <c r="T5515" s="10">
        <v>115581</v>
      </c>
      <c r="U5515" s="10">
        <v>3272</v>
      </c>
    </row>
    <row r="5516" spans="1:21" x14ac:dyDescent="0.35">
      <c r="A5516" t="s">
        <v>15</v>
      </c>
      <c r="B5516" t="s">
        <v>20</v>
      </c>
      <c r="C5516" t="s">
        <v>21</v>
      </c>
      <c r="D5516">
        <v>158254</v>
      </c>
      <c r="E5516">
        <v>17526</v>
      </c>
      <c r="F5516">
        <v>25027</v>
      </c>
      <c r="G5516">
        <v>-132329</v>
      </c>
      <c r="H5516">
        <v>68478</v>
      </c>
      <c r="I5516">
        <v>61730</v>
      </c>
      <c r="J5516">
        <v>1744</v>
      </c>
      <c r="K5516">
        <v>383843</v>
      </c>
      <c r="L5516">
        <v>41354</v>
      </c>
      <c r="M5516">
        <v>-91039</v>
      </c>
      <c r="N5516">
        <v>50708</v>
      </c>
      <c r="O5516" t="s">
        <v>5534</v>
      </c>
      <c r="P5516" s="9">
        <v>240788</v>
      </c>
      <c r="Q5516" s="9">
        <v>47232</v>
      </c>
      <c r="R5516" s="9">
        <v>288020</v>
      </c>
      <c r="S5516" s="9">
        <v>-151818</v>
      </c>
      <c r="T5516" s="10">
        <v>134750</v>
      </c>
      <c r="U5516" s="10">
        <v>2906</v>
      </c>
    </row>
    <row r="5517" spans="1:21" x14ac:dyDescent="0.35">
      <c r="A5517" t="s">
        <v>15</v>
      </c>
      <c r="B5517" t="s">
        <v>16</v>
      </c>
      <c r="C5517" t="s">
        <v>21</v>
      </c>
      <c r="D5517">
        <v>240416</v>
      </c>
      <c r="E5517">
        <v>19673</v>
      </c>
      <c r="F5517">
        <v>46186</v>
      </c>
      <c r="G5517">
        <v>-235133</v>
      </c>
      <c r="H5517">
        <v>71142</v>
      </c>
      <c r="I5517">
        <v>64528</v>
      </c>
      <c r="J5517">
        <v>961</v>
      </c>
      <c r="K5517">
        <v>489086</v>
      </c>
      <c r="L5517">
        <v>145820</v>
      </c>
      <c r="M5517">
        <v>-99393</v>
      </c>
      <c r="N5517">
        <v>133043</v>
      </c>
      <c r="O5517" t="s">
        <v>5535</v>
      </c>
      <c r="P5517" s="9">
        <v>170268</v>
      </c>
      <c r="Q5517" s="9">
        <v>29012</v>
      </c>
      <c r="R5517" s="9">
        <v>199280</v>
      </c>
      <c r="S5517" s="9">
        <v>-118507</v>
      </c>
      <c r="T5517" s="10">
        <v>75968</v>
      </c>
      <c r="U5517" s="10">
        <v>1450</v>
      </c>
    </row>
    <row r="5518" spans="1:21" x14ac:dyDescent="0.35">
      <c r="A5518" t="s">
        <v>15</v>
      </c>
      <c r="B5518" t="s">
        <v>20</v>
      </c>
      <c r="C5518" t="s">
        <v>17</v>
      </c>
      <c r="D5518">
        <v>236848</v>
      </c>
      <c r="E5518">
        <v>45545</v>
      </c>
      <c r="F5518">
        <v>25945</v>
      </c>
      <c r="G5518">
        <v>-190326</v>
      </c>
      <c r="H5518">
        <v>118012</v>
      </c>
      <c r="I5518">
        <v>117599</v>
      </c>
      <c r="J5518">
        <v>2729</v>
      </c>
      <c r="K5518">
        <v>889854</v>
      </c>
      <c r="L5518">
        <v>253711</v>
      </c>
      <c r="M5518">
        <v>-341599</v>
      </c>
      <c r="N5518">
        <v>97178</v>
      </c>
      <c r="O5518" t="s">
        <v>5536</v>
      </c>
      <c r="P5518" s="9">
        <v>320960</v>
      </c>
      <c r="Q5518" s="9">
        <v>15765</v>
      </c>
      <c r="R5518" s="9">
        <v>336725</v>
      </c>
      <c r="S5518" s="9">
        <v>-148907</v>
      </c>
      <c r="T5518" s="10">
        <v>62858</v>
      </c>
      <c r="U5518" s="10">
        <v>1762</v>
      </c>
    </row>
    <row r="5519" spans="1:21" x14ac:dyDescent="0.35">
      <c r="A5519" t="s">
        <v>15</v>
      </c>
      <c r="B5519" t="s">
        <v>16</v>
      </c>
      <c r="C5519" t="s">
        <v>17</v>
      </c>
      <c r="D5519">
        <v>271786</v>
      </c>
      <c r="E5519">
        <v>30867</v>
      </c>
      <c r="F5519">
        <v>50635</v>
      </c>
      <c r="G5519">
        <v>-258518</v>
      </c>
      <c r="H5519">
        <v>94770</v>
      </c>
      <c r="I5519">
        <v>91919</v>
      </c>
      <c r="J5519">
        <v>2487</v>
      </c>
      <c r="K5519">
        <v>807181</v>
      </c>
      <c r="L5519">
        <v>379945</v>
      </c>
      <c r="M5519">
        <v>-182479</v>
      </c>
      <c r="N5519">
        <v>224726</v>
      </c>
      <c r="O5519" t="s">
        <v>5537</v>
      </c>
      <c r="P5519" s="9">
        <v>283768</v>
      </c>
      <c r="Q5519" s="9">
        <v>24840</v>
      </c>
      <c r="R5519" s="9">
        <v>308608</v>
      </c>
      <c r="S5519" s="9">
        <v>-90767</v>
      </c>
      <c r="T5519" s="10">
        <v>113432</v>
      </c>
      <c r="U5519" s="10">
        <v>2380</v>
      </c>
    </row>
    <row r="5520" spans="1:21" x14ac:dyDescent="0.35">
      <c r="A5520" t="s">
        <v>15</v>
      </c>
      <c r="B5520" t="s">
        <v>16</v>
      </c>
      <c r="C5520" t="s">
        <v>21</v>
      </c>
      <c r="D5520">
        <v>241707</v>
      </c>
      <c r="E5520">
        <v>31299</v>
      </c>
      <c r="F5520">
        <v>41248</v>
      </c>
      <c r="G5520">
        <v>-198939</v>
      </c>
      <c r="H5520">
        <v>115315</v>
      </c>
      <c r="I5520">
        <v>119329</v>
      </c>
      <c r="J5520">
        <v>1463</v>
      </c>
      <c r="K5520">
        <v>789692</v>
      </c>
      <c r="L5520">
        <v>175817</v>
      </c>
      <c r="M5520">
        <v>-301884</v>
      </c>
      <c r="N5520">
        <v>210693</v>
      </c>
      <c r="O5520" t="s">
        <v>5538</v>
      </c>
      <c r="P5520" s="9">
        <v>244915</v>
      </c>
      <c r="Q5520" s="9">
        <v>32062</v>
      </c>
      <c r="R5520" s="9">
        <v>276977</v>
      </c>
      <c r="S5520" s="9">
        <v>-70321</v>
      </c>
      <c r="T5520" s="10">
        <v>95474</v>
      </c>
      <c r="U5520" s="10">
        <v>1170</v>
      </c>
    </row>
    <row r="5521" spans="1:21" x14ac:dyDescent="0.35">
      <c r="A5521" t="s">
        <v>15</v>
      </c>
      <c r="B5521" t="s">
        <v>16</v>
      </c>
      <c r="C5521" t="s">
        <v>21</v>
      </c>
      <c r="D5521">
        <v>273086</v>
      </c>
      <c r="E5521">
        <v>41755</v>
      </c>
      <c r="F5521">
        <v>62818</v>
      </c>
      <c r="G5521">
        <v>-244352</v>
      </c>
      <c r="H5521">
        <v>133307</v>
      </c>
      <c r="I5521">
        <v>129288</v>
      </c>
      <c r="J5521">
        <v>1305</v>
      </c>
      <c r="K5521">
        <v>1061451</v>
      </c>
      <c r="L5521">
        <v>192172</v>
      </c>
      <c r="M5521">
        <v>-224288</v>
      </c>
      <c r="N5521">
        <v>194582</v>
      </c>
      <c r="O5521" t="s">
        <v>5539</v>
      </c>
      <c r="P5521" s="9">
        <v>215714</v>
      </c>
      <c r="Q5521" s="9">
        <v>21502</v>
      </c>
      <c r="R5521" s="9">
        <v>237216</v>
      </c>
      <c r="S5521" s="9">
        <v>-53114</v>
      </c>
      <c r="T5521" s="10">
        <v>102708</v>
      </c>
      <c r="U5521" s="10">
        <v>2703</v>
      </c>
    </row>
    <row r="5522" spans="1:21" x14ac:dyDescent="0.35">
      <c r="A5522" t="s">
        <v>15</v>
      </c>
      <c r="B5522" t="s">
        <v>16</v>
      </c>
      <c r="C5522" t="s">
        <v>21</v>
      </c>
      <c r="D5522">
        <v>223337</v>
      </c>
      <c r="E5522">
        <v>37478</v>
      </c>
      <c r="F5522">
        <v>30817</v>
      </c>
      <c r="G5522">
        <v>-198833</v>
      </c>
      <c r="H5522">
        <v>92799</v>
      </c>
      <c r="I5522">
        <v>85781</v>
      </c>
      <c r="J5522">
        <v>1163</v>
      </c>
      <c r="K5522">
        <v>859837</v>
      </c>
      <c r="L5522">
        <v>195775</v>
      </c>
      <c r="M5522">
        <v>-97133</v>
      </c>
      <c r="N5522">
        <v>169054</v>
      </c>
      <c r="O5522" t="s">
        <v>5540</v>
      </c>
      <c r="P5522" s="9">
        <v>202661</v>
      </c>
      <c r="Q5522" s="9">
        <v>15831</v>
      </c>
      <c r="R5522" s="9">
        <v>218492</v>
      </c>
      <c r="S5522" s="9">
        <v>-94311</v>
      </c>
      <c r="T5522" s="10">
        <v>54432</v>
      </c>
      <c r="U5522" s="10">
        <v>585</v>
      </c>
    </row>
    <row r="5523" spans="1:21" x14ac:dyDescent="0.35">
      <c r="A5523" t="s">
        <v>15</v>
      </c>
      <c r="B5523" t="s">
        <v>20</v>
      </c>
      <c r="C5523" t="s">
        <v>21</v>
      </c>
      <c r="D5523">
        <v>173423</v>
      </c>
      <c r="E5523">
        <v>18562</v>
      </c>
      <c r="F5523">
        <v>21482</v>
      </c>
      <c r="G5523">
        <v>-171752</v>
      </c>
      <c r="H5523">
        <v>41715</v>
      </c>
      <c r="I5523">
        <v>42221</v>
      </c>
      <c r="J5523">
        <v>1216</v>
      </c>
      <c r="K5523">
        <v>426066</v>
      </c>
      <c r="L5523">
        <v>168717</v>
      </c>
      <c r="M5523">
        <v>-88267</v>
      </c>
      <c r="N5523">
        <v>69921</v>
      </c>
      <c r="O5523" t="s">
        <v>5541</v>
      </c>
      <c r="P5523" s="9">
        <v>178439</v>
      </c>
      <c r="Q5523" s="9">
        <v>29225</v>
      </c>
      <c r="R5523" s="9">
        <v>207664</v>
      </c>
      <c r="S5523" s="9">
        <v>-51486</v>
      </c>
      <c r="T5523" s="10">
        <v>88217</v>
      </c>
      <c r="U5523" s="10">
        <v>1770</v>
      </c>
    </row>
    <row r="5524" spans="1:21" x14ac:dyDescent="0.35">
      <c r="A5524" t="s">
        <v>15</v>
      </c>
      <c r="B5524" t="s">
        <v>20</v>
      </c>
      <c r="C5524" t="s">
        <v>21</v>
      </c>
      <c r="D5524">
        <v>254443</v>
      </c>
      <c r="E5524">
        <v>43801</v>
      </c>
      <c r="F5524">
        <v>49994</v>
      </c>
      <c r="G5524">
        <v>-218285</v>
      </c>
      <c r="H5524">
        <v>129953</v>
      </c>
      <c r="I5524">
        <v>132131</v>
      </c>
      <c r="J5524">
        <v>3116</v>
      </c>
      <c r="K5524">
        <v>757226</v>
      </c>
      <c r="L5524">
        <v>219119</v>
      </c>
      <c r="M5524">
        <v>-180254</v>
      </c>
      <c r="N5524">
        <v>225530</v>
      </c>
      <c r="O5524" t="s">
        <v>5542</v>
      </c>
      <c r="P5524" s="9">
        <v>152302</v>
      </c>
      <c r="Q5524" s="9">
        <v>19533</v>
      </c>
      <c r="R5524" s="9">
        <v>171835</v>
      </c>
      <c r="S5524" s="9">
        <v>-88562</v>
      </c>
      <c r="T5524" s="10">
        <v>62032</v>
      </c>
      <c r="U5524" s="10">
        <v>1413</v>
      </c>
    </row>
    <row r="5525" spans="1:21" x14ac:dyDescent="0.35">
      <c r="A5525" t="s">
        <v>15</v>
      </c>
      <c r="B5525" t="s">
        <v>16</v>
      </c>
      <c r="C5525" t="s">
        <v>21</v>
      </c>
      <c r="D5525">
        <v>189381</v>
      </c>
      <c r="E5525">
        <v>13430</v>
      </c>
      <c r="F5525">
        <v>32794</v>
      </c>
      <c r="G5525">
        <v>-188998</v>
      </c>
      <c r="H5525">
        <v>46607</v>
      </c>
      <c r="I5525">
        <v>42309</v>
      </c>
      <c r="J5525">
        <v>997</v>
      </c>
      <c r="K5525">
        <v>657554</v>
      </c>
      <c r="L5525">
        <v>126160</v>
      </c>
      <c r="M5525">
        <v>-238189</v>
      </c>
      <c r="N5525">
        <v>100667</v>
      </c>
      <c r="O5525" t="s">
        <v>5543</v>
      </c>
      <c r="P5525" s="9">
        <v>206215</v>
      </c>
      <c r="Q5525" s="9">
        <v>27410</v>
      </c>
      <c r="R5525" s="9">
        <v>233625</v>
      </c>
      <c r="S5525" s="9">
        <v>-129283</v>
      </c>
      <c r="T5525" s="10">
        <v>61928</v>
      </c>
      <c r="U5525" s="10">
        <v>859</v>
      </c>
    </row>
    <row r="5526" spans="1:21" x14ac:dyDescent="0.35">
      <c r="A5526" t="s">
        <v>15</v>
      </c>
      <c r="B5526" t="s">
        <v>16</v>
      </c>
      <c r="C5526" t="s">
        <v>21</v>
      </c>
      <c r="D5526">
        <v>171199</v>
      </c>
      <c r="E5526">
        <v>27235</v>
      </c>
      <c r="F5526">
        <v>22602</v>
      </c>
      <c r="G5526">
        <v>-170622</v>
      </c>
      <c r="H5526">
        <v>50414</v>
      </c>
      <c r="I5526">
        <v>46002</v>
      </c>
      <c r="J5526">
        <v>695</v>
      </c>
      <c r="K5526">
        <v>663048</v>
      </c>
      <c r="L5526">
        <v>264166</v>
      </c>
      <c r="M5526">
        <v>-115596</v>
      </c>
      <c r="N5526">
        <v>88663</v>
      </c>
      <c r="O5526" t="s">
        <v>5544</v>
      </c>
      <c r="P5526" s="9">
        <v>283244</v>
      </c>
      <c r="Q5526" s="9">
        <v>31615</v>
      </c>
      <c r="R5526" s="9">
        <v>314859</v>
      </c>
      <c r="S5526" s="9">
        <v>-95268</v>
      </c>
      <c r="T5526" s="10">
        <v>94950</v>
      </c>
      <c r="U5526" s="10">
        <v>2664</v>
      </c>
    </row>
    <row r="5527" spans="1:21" x14ac:dyDescent="0.35">
      <c r="A5527" t="s">
        <v>15</v>
      </c>
      <c r="B5527" t="s">
        <v>16</v>
      </c>
      <c r="C5527" t="s">
        <v>17</v>
      </c>
      <c r="D5527">
        <v>245308</v>
      </c>
      <c r="E5527">
        <v>46348</v>
      </c>
      <c r="F5527">
        <v>53434</v>
      </c>
      <c r="G5527">
        <v>-226680</v>
      </c>
      <c r="H5527">
        <v>118410</v>
      </c>
      <c r="I5527">
        <v>120198</v>
      </c>
      <c r="J5527">
        <v>3164</v>
      </c>
      <c r="K5527">
        <v>620726</v>
      </c>
      <c r="L5527">
        <v>91697</v>
      </c>
      <c r="M5527">
        <v>-149166</v>
      </c>
      <c r="N5527">
        <v>197090</v>
      </c>
      <c r="O5527" t="s">
        <v>5545</v>
      </c>
      <c r="P5527" s="9">
        <v>282074</v>
      </c>
      <c r="Q5527" s="9">
        <v>59546</v>
      </c>
      <c r="R5527" s="9">
        <v>341620</v>
      </c>
      <c r="S5527" s="9">
        <v>-196773</v>
      </c>
      <c r="T5527" s="10">
        <v>130460</v>
      </c>
      <c r="U5527" s="10">
        <v>3760</v>
      </c>
    </row>
    <row r="5528" spans="1:21" x14ac:dyDescent="0.35">
      <c r="A5528" t="s">
        <v>15</v>
      </c>
      <c r="B5528" t="s">
        <v>20</v>
      </c>
      <c r="C5528" t="s">
        <v>17</v>
      </c>
      <c r="D5528">
        <v>276903</v>
      </c>
      <c r="E5528">
        <v>40865</v>
      </c>
      <c r="F5528">
        <v>42344</v>
      </c>
      <c r="G5528">
        <v>-255878</v>
      </c>
      <c r="H5528">
        <v>104234</v>
      </c>
      <c r="I5528">
        <v>98499</v>
      </c>
      <c r="J5528">
        <v>2925</v>
      </c>
      <c r="K5528">
        <v>619229</v>
      </c>
      <c r="L5528">
        <v>111326</v>
      </c>
      <c r="M5528">
        <v>-168409</v>
      </c>
      <c r="N5528">
        <v>226951</v>
      </c>
      <c r="O5528" t="s">
        <v>5546</v>
      </c>
      <c r="P5528" s="9">
        <v>251718</v>
      </c>
      <c r="Q5528" s="9">
        <v>42855</v>
      </c>
      <c r="R5528" s="9">
        <v>294573</v>
      </c>
      <c r="S5528" s="9">
        <v>-108410</v>
      </c>
      <c r="T5528" s="10">
        <v>110513</v>
      </c>
      <c r="U5528" s="10">
        <v>1154</v>
      </c>
    </row>
    <row r="5529" spans="1:21" x14ac:dyDescent="0.35">
      <c r="A5529" t="s">
        <v>15</v>
      </c>
      <c r="B5529" t="s">
        <v>16</v>
      </c>
      <c r="C5529" t="s">
        <v>21</v>
      </c>
      <c r="D5529">
        <v>162783</v>
      </c>
      <c r="E5529">
        <v>14186</v>
      </c>
      <c r="F5529">
        <v>36842</v>
      </c>
      <c r="G5529">
        <v>-159364</v>
      </c>
      <c r="H5529">
        <v>54447</v>
      </c>
      <c r="I5529">
        <v>49251</v>
      </c>
      <c r="J5529">
        <v>1073</v>
      </c>
      <c r="K5529">
        <v>458919</v>
      </c>
      <c r="L5529">
        <v>126949</v>
      </c>
      <c r="M5529">
        <v>-147180</v>
      </c>
      <c r="N5529">
        <v>105323</v>
      </c>
      <c r="O5529" t="s">
        <v>5547</v>
      </c>
      <c r="P5529" s="9">
        <v>281732</v>
      </c>
      <c r="Q5529" s="9">
        <v>24289</v>
      </c>
      <c r="R5529" s="9">
        <v>306021</v>
      </c>
      <c r="S5529" s="9">
        <v>-109115</v>
      </c>
      <c r="T5529" s="10">
        <v>110401</v>
      </c>
      <c r="U5529" s="10">
        <v>1915</v>
      </c>
    </row>
    <row r="5530" spans="1:21" x14ac:dyDescent="0.35">
      <c r="A5530" t="s">
        <v>15</v>
      </c>
      <c r="B5530" t="s">
        <v>16</v>
      </c>
      <c r="C5530" t="s">
        <v>21</v>
      </c>
      <c r="D5530">
        <v>237556</v>
      </c>
      <c r="E5530">
        <v>37373</v>
      </c>
      <c r="F5530">
        <v>28633</v>
      </c>
      <c r="G5530">
        <v>-199587</v>
      </c>
      <c r="H5530">
        <v>103975</v>
      </c>
      <c r="I5530">
        <v>102452</v>
      </c>
      <c r="J5530">
        <v>1432</v>
      </c>
      <c r="K5530">
        <v>673163</v>
      </c>
      <c r="L5530">
        <v>282528</v>
      </c>
      <c r="M5530">
        <v>-109301</v>
      </c>
      <c r="N5530">
        <v>180725</v>
      </c>
      <c r="O5530" t="s">
        <v>5548</v>
      </c>
      <c r="P5530" s="9">
        <v>250117</v>
      </c>
      <c r="Q5530" s="9">
        <v>15830</v>
      </c>
      <c r="R5530" s="9">
        <v>265947</v>
      </c>
      <c r="S5530" s="9">
        <v>-136134</v>
      </c>
      <c r="T5530" s="10">
        <v>83740</v>
      </c>
      <c r="U5530" s="10">
        <v>2363</v>
      </c>
    </row>
    <row r="5531" spans="1:21" x14ac:dyDescent="0.35">
      <c r="A5531" t="s">
        <v>15</v>
      </c>
      <c r="B5531" t="s">
        <v>20</v>
      </c>
      <c r="C5531" t="s">
        <v>17</v>
      </c>
      <c r="D5531">
        <v>234537</v>
      </c>
      <c r="E5531">
        <v>42962</v>
      </c>
      <c r="F5531">
        <v>41403</v>
      </c>
      <c r="G5531">
        <v>-224843</v>
      </c>
      <c r="H5531">
        <v>94059</v>
      </c>
      <c r="I5531">
        <v>93374</v>
      </c>
      <c r="J5531">
        <v>2004</v>
      </c>
      <c r="K5531">
        <v>934066</v>
      </c>
      <c r="L5531">
        <v>300289</v>
      </c>
      <c r="M5531">
        <v>-137772</v>
      </c>
      <c r="N5531">
        <v>200080</v>
      </c>
      <c r="O5531" t="s">
        <v>5549</v>
      </c>
      <c r="P5531" s="9">
        <v>262406</v>
      </c>
      <c r="Q5531" s="9">
        <v>13201</v>
      </c>
      <c r="R5531" s="9">
        <v>275607</v>
      </c>
      <c r="S5531" s="9">
        <v>-153476</v>
      </c>
      <c r="T5531" s="10">
        <v>89874</v>
      </c>
      <c r="U5531" s="10">
        <v>1365</v>
      </c>
    </row>
    <row r="5532" spans="1:21" x14ac:dyDescent="0.35">
      <c r="A5532" t="s">
        <v>15</v>
      </c>
      <c r="B5532" t="s">
        <v>16</v>
      </c>
      <c r="C5532" t="s">
        <v>21</v>
      </c>
      <c r="D5532">
        <v>229839</v>
      </c>
      <c r="E5532">
        <v>44022</v>
      </c>
      <c r="F5532">
        <v>54075</v>
      </c>
      <c r="G5532">
        <v>-198465</v>
      </c>
      <c r="H5532">
        <v>129471</v>
      </c>
      <c r="I5532">
        <v>133000</v>
      </c>
      <c r="J5532">
        <v>3444</v>
      </c>
      <c r="K5532">
        <v>858283</v>
      </c>
      <c r="L5532">
        <v>285322</v>
      </c>
      <c r="M5532">
        <v>-221667</v>
      </c>
      <c r="N5532">
        <v>142297</v>
      </c>
      <c r="O5532" t="s">
        <v>5550</v>
      </c>
      <c r="P5532" s="9">
        <v>184958</v>
      </c>
      <c r="Q5532" s="9">
        <v>15092</v>
      </c>
      <c r="R5532" s="9">
        <v>200050</v>
      </c>
      <c r="S5532" s="9">
        <v>-111702</v>
      </c>
      <c r="T5532" s="10">
        <v>60099</v>
      </c>
      <c r="U5532" s="10">
        <v>1754</v>
      </c>
    </row>
    <row r="5533" spans="1:21" x14ac:dyDescent="0.35">
      <c r="A5533" t="s">
        <v>15</v>
      </c>
      <c r="B5533" t="s">
        <v>16</v>
      </c>
      <c r="C5533" t="s">
        <v>21</v>
      </c>
      <c r="D5533">
        <v>284471</v>
      </c>
      <c r="E5533">
        <v>53998</v>
      </c>
      <c r="F5533">
        <v>52834</v>
      </c>
      <c r="G5533">
        <v>-271479</v>
      </c>
      <c r="H5533">
        <v>119824</v>
      </c>
      <c r="I5533">
        <v>113416</v>
      </c>
      <c r="J5533">
        <v>1247</v>
      </c>
      <c r="K5533">
        <v>948093</v>
      </c>
      <c r="L5533">
        <v>206626</v>
      </c>
      <c r="M5533">
        <v>-134086</v>
      </c>
      <c r="N5533">
        <v>85726</v>
      </c>
      <c r="O5533" t="s">
        <v>5551</v>
      </c>
      <c r="P5533" s="9">
        <v>149828</v>
      </c>
      <c r="Q5533" s="9">
        <v>24821</v>
      </c>
      <c r="R5533" s="9">
        <v>174649</v>
      </c>
      <c r="S5533" s="9">
        <v>-52443</v>
      </c>
      <c r="T5533" s="10">
        <v>63637</v>
      </c>
      <c r="U5533" s="10">
        <v>1350</v>
      </c>
    </row>
    <row r="5534" spans="1:21" x14ac:dyDescent="0.35">
      <c r="A5534" t="s">
        <v>15</v>
      </c>
      <c r="B5534" t="s">
        <v>16</v>
      </c>
      <c r="C5534" t="s">
        <v>17</v>
      </c>
      <c r="D5534">
        <v>243694</v>
      </c>
      <c r="E5534">
        <v>23696</v>
      </c>
      <c r="F5534">
        <v>40283</v>
      </c>
      <c r="G5534">
        <v>-235583</v>
      </c>
      <c r="H5534">
        <v>72090</v>
      </c>
      <c r="I5534">
        <v>70775</v>
      </c>
      <c r="J5534">
        <v>1677</v>
      </c>
      <c r="K5534">
        <v>875295</v>
      </c>
      <c r="L5534">
        <v>352080</v>
      </c>
      <c r="M5534">
        <v>-99433</v>
      </c>
      <c r="N5534">
        <v>130808</v>
      </c>
      <c r="O5534" t="s">
        <v>5552</v>
      </c>
      <c r="P5534" s="9">
        <v>161004</v>
      </c>
      <c r="Q5534" s="9">
        <v>14918</v>
      </c>
      <c r="R5534" s="9">
        <v>175922</v>
      </c>
      <c r="S5534" s="9">
        <v>-98212</v>
      </c>
      <c r="T5534" s="10">
        <v>66137</v>
      </c>
      <c r="U5534" s="10">
        <v>1579</v>
      </c>
    </row>
    <row r="5535" spans="1:21" x14ac:dyDescent="0.35">
      <c r="A5535" t="s">
        <v>15</v>
      </c>
      <c r="B5535" t="s">
        <v>20</v>
      </c>
      <c r="C5535" t="s">
        <v>21</v>
      </c>
      <c r="D5535">
        <v>246008</v>
      </c>
      <c r="E5535">
        <v>23635</v>
      </c>
      <c r="F5535">
        <v>25602</v>
      </c>
      <c r="G5535">
        <v>-236329</v>
      </c>
      <c r="H5535">
        <v>58916</v>
      </c>
      <c r="I5535">
        <v>53906</v>
      </c>
      <c r="J5535">
        <v>1594</v>
      </c>
      <c r="K5535">
        <v>540236</v>
      </c>
      <c r="L5535">
        <v>267457</v>
      </c>
      <c r="M5535">
        <v>-160283</v>
      </c>
      <c r="N5535">
        <v>84701</v>
      </c>
      <c r="O5535" t="s">
        <v>5553</v>
      </c>
      <c r="P5535" s="9">
        <v>239100</v>
      </c>
      <c r="Q5535" s="9">
        <v>13992</v>
      </c>
      <c r="R5535" s="9">
        <v>253092</v>
      </c>
      <c r="S5535" s="9">
        <v>-143851</v>
      </c>
      <c r="T5535" s="10">
        <v>60875</v>
      </c>
      <c r="U5535" s="10">
        <v>1162</v>
      </c>
    </row>
    <row r="5536" spans="1:21" x14ac:dyDescent="0.35">
      <c r="A5536" t="s">
        <v>15</v>
      </c>
      <c r="B5536" t="s">
        <v>16</v>
      </c>
      <c r="C5536" t="s">
        <v>17</v>
      </c>
      <c r="D5536">
        <v>245096</v>
      </c>
      <c r="E5536">
        <v>37500</v>
      </c>
      <c r="F5536">
        <v>56535</v>
      </c>
      <c r="G5536">
        <v>-212541</v>
      </c>
      <c r="H5536">
        <v>126590</v>
      </c>
      <c r="I5536">
        <v>118805</v>
      </c>
      <c r="J5536">
        <v>1406</v>
      </c>
      <c r="K5536">
        <v>671034</v>
      </c>
      <c r="L5536">
        <v>251968</v>
      </c>
      <c r="M5536">
        <v>-82411</v>
      </c>
      <c r="N5536">
        <v>113681</v>
      </c>
      <c r="O5536" t="s">
        <v>5554</v>
      </c>
      <c r="P5536" s="9">
        <v>178853</v>
      </c>
      <c r="Q5536" s="9">
        <v>9784</v>
      </c>
      <c r="R5536" s="9">
        <v>188637</v>
      </c>
      <c r="S5536" s="9">
        <v>-92905</v>
      </c>
      <c r="T5536" s="10">
        <v>50539</v>
      </c>
      <c r="U5536" s="10">
        <v>1500</v>
      </c>
    </row>
    <row r="5537" spans="1:21" x14ac:dyDescent="0.35">
      <c r="A5537" t="s">
        <v>15</v>
      </c>
      <c r="B5537" t="s">
        <v>16</v>
      </c>
      <c r="C5537" t="s">
        <v>21</v>
      </c>
      <c r="D5537">
        <v>273854</v>
      </c>
      <c r="E5537">
        <v>53336</v>
      </c>
      <c r="F5537">
        <v>58236</v>
      </c>
      <c r="G5537">
        <v>-233188</v>
      </c>
      <c r="H5537">
        <v>152238</v>
      </c>
      <c r="I5537">
        <v>152453</v>
      </c>
      <c r="J5537">
        <v>3404</v>
      </c>
      <c r="K5537">
        <v>634200</v>
      </c>
      <c r="L5537">
        <v>139804</v>
      </c>
      <c r="M5537">
        <v>-223924</v>
      </c>
      <c r="N5537">
        <v>216729</v>
      </c>
      <c r="O5537" t="s">
        <v>5555</v>
      </c>
      <c r="P5537" s="9">
        <v>227663</v>
      </c>
      <c r="Q5537" s="9">
        <v>20486</v>
      </c>
      <c r="R5537" s="9">
        <v>248149</v>
      </c>
      <c r="S5537" s="9">
        <v>-85865</v>
      </c>
      <c r="T5537" s="10">
        <v>89181</v>
      </c>
      <c r="U5537" s="10">
        <v>2467</v>
      </c>
    </row>
    <row r="5538" spans="1:21" x14ac:dyDescent="0.35">
      <c r="A5538" t="s">
        <v>15</v>
      </c>
      <c r="B5538" t="s">
        <v>20</v>
      </c>
      <c r="C5538" t="s">
        <v>17</v>
      </c>
      <c r="D5538">
        <v>294518</v>
      </c>
      <c r="E5538">
        <v>50721</v>
      </c>
      <c r="F5538">
        <v>48655</v>
      </c>
      <c r="G5538">
        <v>-271301</v>
      </c>
      <c r="H5538">
        <v>122593</v>
      </c>
      <c r="I5538">
        <v>113872</v>
      </c>
      <c r="J5538">
        <v>2804</v>
      </c>
      <c r="K5538">
        <v>908701</v>
      </c>
      <c r="L5538">
        <v>164066</v>
      </c>
      <c r="M5538">
        <v>-182409</v>
      </c>
      <c r="N5538">
        <v>162666</v>
      </c>
      <c r="O5538" t="s">
        <v>5556</v>
      </c>
      <c r="P5538" s="9">
        <v>263960</v>
      </c>
      <c r="Q5538" s="9">
        <v>13478</v>
      </c>
      <c r="R5538" s="9">
        <v>277438</v>
      </c>
      <c r="S5538" s="9">
        <v>-57388</v>
      </c>
      <c r="T5538" s="10">
        <v>78098</v>
      </c>
      <c r="U5538" s="10">
        <v>1124</v>
      </c>
    </row>
    <row r="5539" spans="1:21" x14ac:dyDescent="0.35">
      <c r="A5539" t="s">
        <v>15</v>
      </c>
      <c r="B5539" t="s">
        <v>16</v>
      </c>
      <c r="C5539" t="s">
        <v>21</v>
      </c>
      <c r="D5539">
        <v>151229</v>
      </c>
      <c r="E5539">
        <v>13765</v>
      </c>
      <c r="F5539">
        <v>31507</v>
      </c>
      <c r="G5539">
        <v>-124081</v>
      </c>
      <c r="H5539">
        <v>72420</v>
      </c>
      <c r="I5539">
        <v>69137</v>
      </c>
      <c r="J5539">
        <v>1472</v>
      </c>
      <c r="K5539">
        <v>487645</v>
      </c>
      <c r="L5539">
        <v>69101</v>
      </c>
      <c r="M5539">
        <v>-53110</v>
      </c>
      <c r="N5539">
        <v>108807</v>
      </c>
      <c r="O5539" t="s">
        <v>5557</v>
      </c>
      <c r="P5539" s="9">
        <v>163178</v>
      </c>
      <c r="Q5539" s="9">
        <v>27156</v>
      </c>
      <c r="R5539" s="9">
        <v>190334</v>
      </c>
      <c r="S5539" s="9">
        <v>-96956</v>
      </c>
      <c r="T5539" s="10">
        <v>62324</v>
      </c>
      <c r="U5539" s="10">
        <v>1188</v>
      </c>
    </row>
    <row r="5540" spans="1:21" x14ac:dyDescent="0.35">
      <c r="A5540" t="s">
        <v>15</v>
      </c>
      <c r="B5540" t="s">
        <v>16</v>
      </c>
      <c r="C5540" t="s">
        <v>17</v>
      </c>
      <c r="D5540">
        <v>299232</v>
      </c>
      <c r="E5540">
        <v>29601</v>
      </c>
      <c r="F5540">
        <v>55171</v>
      </c>
      <c r="G5540">
        <v>-290226</v>
      </c>
      <c r="H5540">
        <v>93778</v>
      </c>
      <c r="I5540">
        <v>85298</v>
      </c>
      <c r="J5540">
        <v>2213</v>
      </c>
      <c r="K5540">
        <v>1044872</v>
      </c>
      <c r="L5540">
        <v>138155</v>
      </c>
      <c r="M5540">
        <v>-279449</v>
      </c>
      <c r="N5540">
        <v>142443</v>
      </c>
      <c r="O5540" t="s">
        <v>5558</v>
      </c>
      <c r="P5540" s="9">
        <v>140080</v>
      </c>
      <c r="Q5540" s="9">
        <v>15959</v>
      </c>
      <c r="R5540" s="9">
        <v>156039</v>
      </c>
      <c r="S5540" s="9">
        <v>-63187</v>
      </c>
      <c r="T5540" s="10">
        <v>63629</v>
      </c>
      <c r="U5540" s="10">
        <v>1464</v>
      </c>
    </row>
    <row r="5541" spans="1:21" x14ac:dyDescent="0.35">
      <c r="A5541" t="s">
        <v>15</v>
      </c>
      <c r="B5541" t="s">
        <v>20</v>
      </c>
      <c r="C5541" t="s">
        <v>21</v>
      </c>
      <c r="D5541">
        <v>172900</v>
      </c>
      <c r="E5541">
        <v>11752</v>
      </c>
      <c r="F5541">
        <v>30266</v>
      </c>
      <c r="G5541">
        <v>-161600</v>
      </c>
      <c r="H5541">
        <v>53318</v>
      </c>
      <c r="I5541">
        <v>51775</v>
      </c>
      <c r="J5541">
        <v>1481</v>
      </c>
      <c r="K5541">
        <v>582394</v>
      </c>
      <c r="L5541">
        <v>187069</v>
      </c>
      <c r="M5541">
        <v>-175715</v>
      </c>
      <c r="N5541">
        <v>54424</v>
      </c>
      <c r="O5541" t="s">
        <v>5559</v>
      </c>
      <c r="P5541" s="9">
        <v>227523</v>
      </c>
      <c r="Q5541" s="9">
        <v>32075</v>
      </c>
      <c r="R5541" s="9">
        <v>259598</v>
      </c>
      <c r="S5541" s="9">
        <v>-124917</v>
      </c>
      <c r="T5541" s="10">
        <v>97953</v>
      </c>
      <c r="U5541" s="10">
        <v>1864</v>
      </c>
    </row>
    <row r="5542" spans="1:21" x14ac:dyDescent="0.35">
      <c r="A5542" t="s">
        <v>15</v>
      </c>
      <c r="B5542" t="s">
        <v>20</v>
      </c>
      <c r="C5542" t="s">
        <v>21</v>
      </c>
      <c r="D5542">
        <v>207161</v>
      </c>
      <c r="E5542">
        <v>31156</v>
      </c>
      <c r="F5542">
        <v>37462</v>
      </c>
      <c r="G5542">
        <v>-174508</v>
      </c>
      <c r="H5542">
        <v>101271</v>
      </c>
      <c r="I5542">
        <v>100422</v>
      </c>
      <c r="J5542">
        <v>1535</v>
      </c>
      <c r="K5542">
        <v>685993</v>
      </c>
      <c r="L5542">
        <v>214260</v>
      </c>
      <c r="M5542">
        <v>-177185</v>
      </c>
      <c r="N5542">
        <v>138510</v>
      </c>
      <c r="O5542" t="s">
        <v>5560</v>
      </c>
      <c r="P5542" s="9">
        <v>165314</v>
      </c>
      <c r="Q5542" s="9">
        <v>31757</v>
      </c>
      <c r="R5542" s="9">
        <v>197071</v>
      </c>
      <c r="S5542" s="9">
        <v>-88167</v>
      </c>
      <c r="T5542" s="10">
        <v>70849</v>
      </c>
      <c r="U5542" s="10">
        <v>1680</v>
      </c>
    </row>
    <row r="5543" spans="1:21" x14ac:dyDescent="0.35">
      <c r="A5543" t="s">
        <v>15</v>
      </c>
      <c r="B5543" t="s">
        <v>20</v>
      </c>
      <c r="C5543" t="s">
        <v>21</v>
      </c>
      <c r="D5543">
        <v>229306</v>
      </c>
      <c r="E5543">
        <v>24373</v>
      </c>
      <c r="F5543">
        <v>42101</v>
      </c>
      <c r="G5543">
        <v>-184399</v>
      </c>
      <c r="H5543">
        <v>111381</v>
      </c>
      <c r="I5543">
        <v>116280</v>
      </c>
      <c r="J5543">
        <v>3267</v>
      </c>
      <c r="K5543">
        <v>836174</v>
      </c>
      <c r="L5543">
        <v>324422</v>
      </c>
      <c r="M5543">
        <v>-122205</v>
      </c>
      <c r="N5543">
        <v>81257</v>
      </c>
      <c r="O5543" t="s">
        <v>5561</v>
      </c>
      <c r="P5543" s="9">
        <v>289896</v>
      </c>
      <c r="Q5543" s="9">
        <v>20856</v>
      </c>
      <c r="R5543" s="9">
        <v>310752</v>
      </c>
      <c r="S5543" s="9">
        <v>-107722</v>
      </c>
      <c r="T5543" s="10">
        <v>103109</v>
      </c>
      <c r="U5543" s="10">
        <v>2593</v>
      </c>
    </row>
    <row r="5544" spans="1:21" x14ac:dyDescent="0.35">
      <c r="A5544" t="s">
        <v>15</v>
      </c>
      <c r="B5544" t="s">
        <v>20</v>
      </c>
      <c r="C5544" t="s">
        <v>17</v>
      </c>
      <c r="D5544">
        <v>209232</v>
      </c>
      <c r="E5544">
        <v>21174</v>
      </c>
      <c r="F5544">
        <v>42333</v>
      </c>
      <c r="G5544">
        <v>-190828</v>
      </c>
      <c r="H5544">
        <v>81911</v>
      </c>
      <c r="I5544">
        <v>82341</v>
      </c>
      <c r="J5544">
        <v>1616</v>
      </c>
      <c r="K5544">
        <v>515024</v>
      </c>
      <c r="L5544">
        <v>63021</v>
      </c>
      <c r="M5544">
        <v>-153153</v>
      </c>
      <c r="N5544">
        <v>63820</v>
      </c>
      <c r="O5544" t="s">
        <v>5562</v>
      </c>
      <c r="P5544" s="9">
        <v>197845</v>
      </c>
      <c r="Q5544" s="9">
        <v>32933</v>
      </c>
      <c r="R5544" s="9">
        <v>230778</v>
      </c>
      <c r="S5544" s="9">
        <v>-72602</v>
      </c>
      <c r="T5544" s="10">
        <v>84900</v>
      </c>
      <c r="U5544" s="10">
        <v>2439</v>
      </c>
    </row>
    <row r="5545" spans="1:21" x14ac:dyDescent="0.35">
      <c r="A5545" t="s">
        <v>15</v>
      </c>
      <c r="B5545" t="s">
        <v>16</v>
      </c>
      <c r="C5545" t="s">
        <v>21</v>
      </c>
      <c r="D5545">
        <v>266813</v>
      </c>
      <c r="E5545">
        <v>53230</v>
      </c>
      <c r="F5545">
        <v>44548</v>
      </c>
      <c r="G5545">
        <v>-214593</v>
      </c>
      <c r="H5545">
        <v>149998</v>
      </c>
      <c r="I5545">
        <v>141577</v>
      </c>
      <c r="J5545">
        <v>3756</v>
      </c>
      <c r="K5545">
        <v>678220</v>
      </c>
      <c r="L5545">
        <v>98045</v>
      </c>
      <c r="M5545">
        <v>-238633</v>
      </c>
      <c r="N5545">
        <v>154251</v>
      </c>
      <c r="O5545" t="s">
        <v>5563</v>
      </c>
      <c r="P5545" s="9">
        <v>217637</v>
      </c>
      <c r="Q5545" s="9">
        <v>16166</v>
      </c>
      <c r="R5545" s="9">
        <v>233803</v>
      </c>
      <c r="S5545" s="9">
        <v>-77453</v>
      </c>
      <c r="T5545" s="10">
        <v>78489</v>
      </c>
      <c r="U5545" s="10">
        <v>1274</v>
      </c>
    </row>
    <row r="5546" spans="1:21" x14ac:dyDescent="0.35">
      <c r="A5546" t="s">
        <v>15</v>
      </c>
      <c r="B5546" t="s">
        <v>20</v>
      </c>
      <c r="C5546" t="s">
        <v>21</v>
      </c>
      <c r="D5546">
        <v>267142</v>
      </c>
      <c r="E5546">
        <v>27901</v>
      </c>
      <c r="F5546">
        <v>29875</v>
      </c>
      <c r="G5546">
        <v>-236994</v>
      </c>
      <c r="H5546">
        <v>87924</v>
      </c>
      <c r="I5546">
        <v>87280</v>
      </c>
      <c r="J5546">
        <v>1524</v>
      </c>
      <c r="K5546">
        <v>929929</v>
      </c>
      <c r="L5546">
        <v>317746</v>
      </c>
      <c r="M5546">
        <v>-205318</v>
      </c>
      <c r="N5546">
        <v>237436</v>
      </c>
      <c r="O5546" t="s">
        <v>5564</v>
      </c>
      <c r="P5546" s="9">
        <v>210187</v>
      </c>
      <c r="Q5546" s="9">
        <v>29500</v>
      </c>
      <c r="R5546" s="9">
        <v>239687</v>
      </c>
      <c r="S5546" s="9">
        <v>-53960</v>
      </c>
      <c r="T5546" s="10">
        <v>72732</v>
      </c>
      <c r="U5546" s="10">
        <v>809</v>
      </c>
    </row>
    <row r="5547" spans="1:21" x14ac:dyDescent="0.35">
      <c r="A5547" t="s">
        <v>15</v>
      </c>
      <c r="B5547" t="s">
        <v>20</v>
      </c>
      <c r="C5547" t="s">
        <v>17</v>
      </c>
      <c r="D5547">
        <v>164392</v>
      </c>
      <c r="E5547">
        <v>15001</v>
      </c>
      <c r="F5547">
        <v>38830</v>
      </c>
      <c r="G5547">
        <v>-146778</v>
      </c>
      <c r="H5547">
        <v>71445</v>
      </c>
      <c r="I5547">
        <v>65127</v>
      </c>
      <c r="J5547">
        <v>1269</v>
      </c>
      <c r="K5547">
        <v>482440</v>
      </c>
      <c r="L5547">
        <v>78908</v>
      </c>
      <c r="M5547">
        <v>-67070</v>
      </c>
      <c r="N5547">
        <v>114393</v>
      </c>
      <c r="O5547" t="s">
        <v>5565</v>
      </c>
      <c r="P5547" s="9">
        <v>215705</v>
      </c>
      <c r="Q5547" s="9">
        <v>17736</v>
      </c>
      <c r="R5547" s="9">
        <v>233441</v>
      </c>
      <c r="S5547" s="9">
        <v>-62356</v>
      </c>
      <c r="T5547" s="10">
        <v>98684</v>
      </c>
      <c r="U5547" s="10">
        <v>1937</v>
      </c>
    </row>
    <row r="5548" spans="1:21" x14ac:dyDescent="0.35">
      <c r="A5548" t="s">
        <v>15</v>
      </c>
      <c r="B5548" t="s">
        <v>20</v>
      </c>
      <c r="C5548" t="s">
        <v>17</v>
      </c>
      <c r="D5548">
        <v>158735</v>
      </c>
      <c r="E5548">
        <v>22199</v>
      </c>
      <c r="F5548">
        <v>29061</v>
      </c>
      <c r="G5548">
        <v>-142246</v>
      </c>
      <c r="H5548">
        <v>67749</v>
      </c>
      <c r="I5548">
        <v>68692</v>
      </c>
      <c r="J5548">
        <v>1375</v>
      </c>
      <c r="K5548">
        <v>438679</v>
      </c>
      <c r="L5548">
        <v>72529</v>
      </c>
      <c r="M5548">
        <v>-64097</v>
      </c>
      <c r="N5548">
        <v>118255</v>
      </c>
      <c r="O5548" t="s">
        <v>5566</v>
      </c>
      <c r="P5548" s="9">
        <v>216415</v>
      </c>
      <c r="Q5548" s="9">
        <v>30730</v>
      </c>
      <c r="R5548" s="9">
        <v>247145</v>
      </c>
      <c r="S5548" s="9">
        <v>-139897</v>
      </c>
      <c r="T5548" s="10">
        <v>111693</v>
      </c>
      <c r="U5548" s="10">
        <v>2260</v>
      </c>
    </row>
    <row r="5549" spans="1:21" x14ac:dyDescent="0.35">
      <c r="A5549" t="s">
        <v>15</v>
      </c>
      <c r="B5549" t="s">
        <v>16</v>
      </c>
      <c r="C5549" t="s">
        <v>21</v>
      </c>
      <c r="D5549">
        <v>204199</v>
      </c>
      <c r="E5549">
        <v>38054</v>
      </c>
      <c r="F5549">
        <v>34917</v>
      </c>
      <c r="G5549">
        <v>-199837</v>
      </c>
      <c r="H5549">
        <v>77333</v>
      </c>
      <c r="I5549">
        <v>73237</v>
      </c>
      <c r="J5549">
        <v>1371</v>
      </c>
      <c r="K5549">
        <v>552872</v>
      </c>
      <c r="L5549">
        <v>160049</v>
      </c>
      <c r="M5549">
        <v>-208164</v>
      </c>
      <c r="N5549">
        <v>175450</v>
      </c>
      <c r="O5549" t="s">
        <v>5567</v>
      </c>
      <c r="P5549" s="9">
        <v>194382</v>
      </c>
      <c r="Q5549" s="9">
        <v>30398</v>
      </c>
      <c r="R5549" s="9">
        <v>224780</v>
      </c>
      <c r="S5549" s="9">
        <v>-98721</v>
      </c>
      <c r="T5549" s="10">
        <v>73097</v>
      </c>
      <c r="U5549" s="10">
        <v>832</v>
      </c>
    </row>
    <row r="5550" spans="1:21" x14ac:dyDescent="0.35">
      <c r="A5550" t="s">
        <v>15</v>
      </c>
      <c r="B5550" t="s">
        <v>16</v>
      </c>
      <c r="C5550" t="s">
        <v>17</v>
      </c>
      <c r="D5550">
        <v>205136</v>
      </c>
      <c r="E5550">
        <v>25363</v>
      </c>
      <c r="F5550">
        <v>23339</v>
      </c>
      <c r="G5550">
        <v>-183408</v>
      </c>
      <c r="H5550">
        <v>70430</v>
      </c>
      <c r="I5550">
        <v>68653</v>
      </c>
      <c r="J5550">
        <v>1503</v>
      </c>
      <c r="K5550">
        <v>597675</v>
      </c>
      <c r="L5550">
        <v>275383</v>
      </c>
      <c r="M5550">
        <v>-223611</v>
      </c>
      <c r="N5550">
        <v>102380</v>
      </c>
      <c r="O5550" t="s">
        <v>5568</v>
      </c>
      <c r="P5550" s="9">
        <v>175294</v>
      </c>
      <c r="Q5550" s="9">
        <v>13215</v>
      </c>
      <c r="R5550" s="9">
        <v>188509</v>
      </c>
      <c r="S5550" s="9">
        <v>-60774</v>
      </c>
      <c r="T5550" s="10">
        <v>55343</v>
      </c>
      <c r="U5550" s="10">
        <v>855</v>
      </c>
    </row>
    <row r="5551" spans="1:21" x14ac:dyDescent="0.35">
      <c r="A5551" t="s">
        <v>15</v>
      </c>
      <c r="B5551" t="s">
        <v>16</v>
      </c>
      <c r="C5551" t="s">
        <v>21</v>
      </c>
      <c r="D5551">
        <v>297430</v>
      </c>
      <c r="E5551">
        <v>46359</v>
      </c>
      <c r="F5551">
        <v>66240</v>
      </c>
      <c r="G5551">
        <v>-279279</v>
      </c>
      <c r="H5551">
        <v>130750</v>
      </c>
      <c r="I5551">
        <v>118948</v>
      </c>
      <c r="J5551">
        <v>2856</v>
      </c>
      <c r="K5551">
        <v>722124</v>
      </c>
      <c r="L5551">
        <v>79490</v>
      </c>
      <c r="M5551">
        <v>-166154</v>
      </c>
      <c r="N5551">
        <v>136026</v>
      </c>
      <c r="O5551" t="s">
        <v>5569</v>
      </c>
      <c r="P5551" s="9">
        <v>224688</v>
      </c>
      <c r="Q5551" s="9">
        <v>30673</v>
      </c>
      <c r="R5551" s="9">
        <v>255361</v>
      </c>
      <c r="S5551" s="9">
        <v>-148756</v>
      </c>
      <c r="T5551" s="10">
        <v>78965</v>
      </c>
      <c r="U5551" s="10">
        <v>1455</v>
      </c>
    </row>
    <row r="5552" spans="1:21" x14ac:dyDescent="0.35">
      <c r="A5552" t="s">
        <v>15</v>
      </c>
      <c r="B5552" t="s">
        <v>20</v>
      </c>
      <c r="C5552" t="s">
        <v>17</v>
      </c>
      <c r="D5552">
        <v>273785</v>
      </c>
      <c r="E5552">
        <v>47498</v>
      </c>
      <c r="F5552">
        <v>32826</v>
      </c>
      <c r="G5552">
        <v>-267805</v>
      </c>
      <c r="H5552">
        <v>86304</v>
      </c>
      <c r="I5552">
        <v>80275</v>
      </c>
      <c r="J5552">
        <v>1299</v>
      </c>
      <c r="K5552">
        <v>844815</v>
      </c>
      <c r="L5552">
        <v>420352</v>
      </c>
      <c r="M5552">
        <v>-218977</v>
      </c>
      <c r="N5552">
        <v>241550</v>
      </c>
      <c r="O5552" t="s">
        <v>5570</v>
      </c>
      <c r="P5552" s="9">
        <v>195724</v>
      </c>
      <c r="Q5552" s="9">
        <v>33161</v>
      </c>
      <c r="R5552" s="9">
        <v>228885</v>
      </c>
      <c r="S5552" s="9">
        <v>-86500</v>
      </c>
      <c r="T5552" s="10">
        <v>106979</v>
      </c>
      <c r="U5552" s="10">
        <v>1662</v>
      </c>
    </row>
    <row r="5553" spans="1:21" x14ac:dyDescent="0.35">
      <c r="A5553" t="s">
        <v>15</v>
      </c>
      <c r="B5553" t="s">
        <v>20</v>
      </c>
      <c r="C5553" t="s">
        <v>17</v>
      </c>
      <c r="D5553">
        <v>197969</v>
      </c>
      <c r="E5553">
        <v>32231</v>
      </c>
      <c r="F5553">
        <v>41667</v>
      </c>
      <c r="G5553">
        <v>-167294</v>
      </c>
      <c r="H5553">
        <v>104573</v>
      </c>
      <c r="I5553">
        <v>104665</v>
      </c>
      <c r="J5553">
        <v>1800</v>
      </c>
      <c r="K5553">
        <v>781921</v>
      </c>
      <c r="L5553">
        <v>257840</v>
      </c>
      <c r="M5553">
        <v>-267867</v>
      </c>
      <c r="N5553">
        <v>111998</v>
      </c>
      <c r="O5553" t="s">
        <v>5571</v>
      </c>
      <c r="P5553" s="9">
        <v>205082</v>
      </c>
      <c r="Q5553" s="9">
        <v>21257</v>
      </c>
      <c r="R5553" s="9">
        <v>226339</v>
      </c>
      <c r="S5553" s="9">
        <v>-50607</v>
      </c>
      <c r="T5553" s="10">
        <v>88125</v>
      </c>
      <c r="U5553" s="10">
        <v>1843</v>
      </c>
    </row>
    <row r="5554" spans="1:21" x14ac:dyDescent="0.35">
      <c r="A5554" t="s">
        <v>15</v>
      </c>
      <c r="B5554" t="s">
        <v>20</v>
      </c>
      <c r="C5554" t="s">
        <v>21</v>
      </c>
      <c r="D5554">
        <v>206946</v>
      </c>
      <c r="E5554">
        <v>37849</v>
      </c>
      <c r="F5554">
        <v>28653</v>
      </c>
      <c r="G5554">
        <v>-187295</v>
      </c>
      <c r="H5554">
        <v>86153</v>
      </c>
      <c r="I5554">
        <v>82063</v>
      </c>
      <c r="J5554">
        <v>1164</v>
      </c>
      <c r="K5554">
        <v>710443</v>
      </c>
      <c r="L5554">
        <v>135054</v>
      </c>
      <c r="M5554">
        <v>-113045</v>
      </c>
      <c r="N5554">
        <v>178634</v>
      </c>
      <c r="O5554" t="s">
        <v>5572</v>
      </c>
      <c r="P5554" s="9">
        <v>237685</v>
      </c>
      <c r="Q5554" s="9">
        <v>35663</v>
      </c>
      <c r="R5554" s="9">
        <v>273348</v>
      </c>
      <c r="S5554" s="9">
        <v>-142668</v>
      </c>
      <c r="T5554" s="10">
        <v>99498</v>
      </c>
      <c r="U5554" s="10">
        <v>2523</v>
      </c>
    </row>
    <row r="5555" spans="1:21" x14ac:dyDescent="0.35">
      <c r="A5555" t="s">
        <v>15</v>
      </c>
      <c r="B5555" t="s">
        <v>16</v>
      </c>
      <c r="C5555" t="s">
        <v>17</v>
      </c>
      <c r="D5555">
        <v>150064</v>
      </c>
      <c r="E5555">
        <v>20624</v>
      </c>
      <c r="F5555">
        <v>21734</v>
      </c>
      <c r="G5555">
        <v>-125883</v>
      </c>
      <c r="H5555">
        <v>66539</v>
      </c>
      <c r="I5555">
        <v>68478</v>
      </c>
      <c r="J5555">
        <v>2044</v>
      </c>
      <c r="K5555">
        <v>564290</v>
      </c>
      <c r="L5555">
        <v>104426</v>
      </c>
      <c r="M5555">
        <v>-75523</v>
      </c>
      <c r="N5555">
        <v>47392</v>
      </c>
      <c r="O5555" t="s">
        <v>5573</v>
      </c>
      <c r="P5555" s="9">
        <v>244820</v>
      </c>
      <c r="Q5555" s="9">
        <v>15521</v>
      </c>
      <c r="R5555" s="9">
        <v>260341</v>
      </c>
      <c r="S5555" s="9">
        <v>-86743</v>
      </c>
      <c r="T5555" s="10">
        <v>86374</v>
      </c>
      <c r="U5555" s="10">
        <v>2045</v>
      </c>
    </row>
    <row r="5556" spans="1:21" x14ac:dyDescent="0.35">
      <c r="A5556" t="s">
        <v>15</v>
      </c>
      <c r="B5556" t="s">
        <v>20</v>
      </c>
      <c r="C5556" t="s">
        <v>17</v>
      </c>
      <c r="D5556">
        <v>158618</v>
      </c>
      <c r="E5556">
        <v>10500</v>
      </c>
      <c r="F5556">
        <v>21274</v>
      </c>
      <c r="G5556">
        <v>-131634</v>
      </c>
      <c r="H5556">
        <v>58758</v>
      </c>
      <c r="I5556">
        <v>57017</v>
      </c>
      <c r="J5556">
        <v>1067</v>
      </c>
      <c r="K5556">
        <v>499186</v>
      </c>
      <c r="L5556">
        <v>61187</v>
      </c>
      <c r="M5556">
        <v>-78594</v>
      </c>
      <c r="N5556">
        <v>92239</v>
      </c>
      <c r="O5556" t="s">
        <v>5574</v>
      </c>
      <c r="P5556" s="9">
        <v>242186</v>
      </c>
      <c r="Q5556" s="9">
        <v>14500</v>
      </c>
      <c r="R5556" s="9">
        <v>256686</v>
      </c>
      <c r="S5556" s="9">
        <v>-70377</v>
      </c>
      <c r="T5556" s="10">
        <v>72619</v>
      </c>
      <c r="U5556" s="10">
        <v>1109</v>
      </c>
    </row>
    <row r="5557" spans="1:21" x14ac:dyDescent="0.35">
      <c r="A5557" t="s">
        <v>15</v>
      </c>
      <c r="B5557" t="s">
        <v>16</v>
      </c>
      <c r="C5557" t="s">
        <v>17</v>
      </c>
      <c r="D5557">
        <v>216458</v>
      </c>
      <c r="E5557">
        <v>21245</v>
      </c>
      <c r="F5557">
        <v>49191</v>
      </c>
      <c r="G5557">
        <v>-187134</v>
      </c>
      <c r="H5557">
        <v>99760</v>
      </c>
      <c r="I5557">
        <v>98550</v>
      </c>
      <c r="J5557">
        <v>1961</v>
      </c>
      <c r="K5557">
        <v>537379</v>
      </c>
      <c r="L5557">
        <v>245547</v>
      </c>
      <c r="M5557">
        <v>-54209</v>
      </c>
      <c r="N5557">
        <v>99081</v>
      </c>
      <c r="O5557" t="s">
        <v>5575</v>
      </c>
      <c r="P5557" s="9">
        <v>158855</v>
      </c>
      <c r="Q5557" s="9">
        <v>30286</v>
      </c>
      <c r="R5557" s="9">
        <v>189141</v>
      </c>
      <c r="S5557" s="9">
        <v>-111474</v>
      </c>
      <c r="T5557" s="10">
        <v>95154</v>
      </c>
      <c r="U5557" s="10">
        <v>1197</v>
      </c>
    </row>
    <row r="5558" spans="1:21" x14ac:dyDescent="0.35">
      <c r="A5558" t="s">
        <v>15</v>
      </c>
      <c r="B5558" t="s">
        <v>16</v>
      </c>
      <c r="C5558" t="s">
        <v>21</v>
      </c>
      <c r="D5558">
        <v>231298</v>
      </c>
      <c r="E5558">
        <v>26331</v>
      </c>
      <c r="F5558">
        <v>48604</v>
      </c>
      <c r="G5558">
        <v>-207003</v>
      </c>
      <c r="H5558">
        <v>99230</v>
      </c>
      <c r="I5558">
        <v>93396</v>
      </c>
      <c r="J5558">
        <v>973</v>
      </c>
      <c r="K5558">
        <v>478781</v>
      </c>
      <c r="L5558">
        <v>203394</v>
      </c>
      <c r="M5558">
        <v>-184886</v>
      </c>
      <c r="N5558">
        <v>84452</v>
      </c>
      <c r="O5558" t="s">
        <v>5576</v>
      </c>
      <c r="P5558" s="9">
        <v>214487</v>
      </c>
      <c r="Q5558" s="9">
        <v>13161</v>
      </c>
      <c r="R5558" s="9">
        <v>227648</v>
      </c>
      <c r="S5558" s="9">
        <v>-54860</v>
      </c>
      <c r="T5558" s="10">
        <v>69429</v>
      </c>
      <c r="U5558" s="10">
        <v>853</v>
      </c>
    </row>
    <row r="5559" spans="1:21" x14ac:dyDescent="0.35">
      <c r="A5559" t="s">
        <v>15</v>
      </c>
      <c r="B5559" t="s">
        <v>16</v>
      </c>
      <c r="C5559" t="s">
        <v>21</v>
      </c>
      <c r="D5559">
        <v>255444</v>
      </c>
      <c r="E5559">
        <v>26620</v>
      </c>
      <c r="F5559">
        <v>63124</v>
      </c>
      <c r="G5559">
        <v>-208033</v>
      </c>
      <c r="H5559">
        <v>137155</v>
      </c>
      <c r="I5559">
        <v>134216</v>
      </c>
      <c r="J5559">
        <v>2242</v>
      </c>
      <c r="K5559">
        <v>1006217</v>
      </c>
      <c r="L5559">
        <v>359681</v>
      </c>
      <c r="M5559">
        <v>-290537</v>
      </c>
      <c r="N5559">
        <v>128795</v>
      </c>
      <c r="O5559" t="s">
        <v>5577</v>
      </c>
      <c r="P5559" s="9">
        <v>234355</v>
      </c>
      <c r="Q5559" s="9">
        <v>45762</v>
      </c>
      <c r="R5559" s="9">
        <v>280117</v>
      </c>
      <c r="S5559" s="9">
        <v>-70572</v>
      </c>
      <c r="T5559" s="10">
        <v>83701</v>
      </c>
      <c r="U5559" s="10">
        <v>1296</v>
      </c>
    </row>
    <row r="5560" spans="1:21" x14ac:dyDescent="0.35">
      <c r="A5560" t="s">
        <v>15</v>
      </c>
      <c r="B5560" t="s">
        <v>20</v>
      </c>
      <c r="C5560" t="s">
        <v>21</v>
      </c>
      <c r="D5560">
        <v>227804</v>
      </c>
      <c r="E5560">
        <v>38851</v>
      </c>
      <c r="F5560">
        <v>47364</v>
      </c>
      <c r="G5560">
        <v>-224336</v>
      </c>
      <c r="H5560">
        <v>89683</v>
      </c>
      <c r="I5560">
        <v>91222</v>
      </c>
      <c r="J5560">
        <v>2671</v>
      </c>
      <c r="K5560">
        <v>701387</v>
      </c>
      <c r="L5560">
        <v>220788</v>
      </c>
      <c r="M5560">
        <v>-104955</v>
      </c>
      <c r="N5560">
        <v>70826</v>
      </c>
      <c r="O5560" t="s">
        <v>5578</v>
      </c>
      <c r="P5560" s="9">
        <v>155304</v>
      </c>
      <c r="Q5560" s="9">
        <v>26922</v>
      </c>
      <c r="R5560" s="9">
        <v>182226</v>
      </c>
      <c r="S5560" s="9">
        <v>-56504</v>
      </c>
      <c r="T5560" s="10">
        <v>73456</v>
      </c>
      <c r="U5560" s="10">
        <v>1275</v>
      </c>
    </row>
    <row r="5561" spans="1:21" x14ac:dyDescent="0.35">
      <c r="A5561" t="s">
        <v>15</v>
      </c>
      <c r="B5561" t="s">
        <v>20</v>
      </c>
      <c r="C5561" t="s">
        <v>21</v>
      </c>
      <c r="D5561">
        <v>208488</v>
      </c>
      <c r="E5561">
        <v>30210</v>
      </c>
      <c r="F5561">
        <v>30406</v>
      </c>
      <c r="G5561">
        <v>-172141</v>
      </c>
      <c r="H5561">
        <v>96963</v>
      </c>
      <c r="I5561">
        <v>101149</v>
      </c>
      <c r="J5561">
        <v>1817</v>
      </c>
      <c r="K5561">
        <v>724420</v>
      </c>
      <c r="L5561">
        <v>93448</v>
      </c>
      <c r="M5561">
        <v>-197593</v>
      </c>
      <c r="N5561">
        <v>98128</v>
      </c>
      <c r="O5561" t="s">
        <v>5579</v>
      </c>
      <c r="P5561" s="9">
        <v>208390</v>
      </c>
      <c r="Q5561" s="9">
        <v>30520</v>
      </c>
      <c r="R5561" s="9">
        <v>238910</v>
      </c>
      <c r="S5561" s="9">
        <v>-50586</v>
      </c>
      <c r="T5561" s="10">
        <v>108276</v>
      </c>
      <c r="U5561" s="10">
        <v>1867</v>
      </c>
    </row>
    <row r="5562" spans="1:21" x14ac:dyDescent="0.35">
      <c r="A5562" t="s">
        <v>15</v>
      </c>
      <c r="B5562" t="s">
        <v>16</v>
      </c>
      <c r="C5562" t="s">
        <v>21</v>
      </c>
      <c r="D5562">
        <v>219274</v>
      </c>
      <c r="E5562">
        <v>25784</v>
      </c>
      <c r="F5562">
        <v>22078</v>
      </c>
      <c r="G5562">
        <v>-179023</v>
      </c>
      <c r="H5562">
        <v>88113</v>
      </c>
      <c r="I5562">
        <v>87899</v>
      </c>
      <c r="J5562">
        <v>2449</v>
      </c>
      <c r="K5562">
        <v>874733</v>
      </c>
      <c r="L5562">
        <v>180959</v>
      </c>
      <c r="M5562">
        <v>-264253</v>
      </c>
      <c r="N5562">
        <v>156940</v>
      </c>
      <c r="O5562" t="s">
        <v>5580</v>
      </c>
      <c r="P5562" s="9">
        <v>187141</v>
      </c>
      <c r="Q5562" s="9">
        <v>25205</v>
      </c>
      <c r="R5562" s="9">
        <v>212346</v>
      </c>
      <c r="S5562" s="9">
        <v>-53560</v>
      </c>
      <c r="T5562" s="10">
        <v>94477</v>
      </c>
      <c r="U5562" s="10">
        <v>1339</v>
      </c>
    </row>
    <row r="5563" spans="1:21" x14ac:dyDescent="0.35">
      <c r="A5563" t="s">
        <v>15</v>
      </c>
      <c r="B5563" t="s">
        <v>20</v>
      </c>
      <c r="C5563" t="s">
        <v>21</v>
      </c>
      <c r="D5563">
        <v>267638</v>
      </c>
      <c r="E5563">
        <v>24489</v>
      </c>
      <c r="F5563">
        <v>53277</v>
      </c>
      <c r="G5563">
        <v>-266447</v>
      </c>
      <c r="H5563">
        <v>78957</v>
      </c>
      <c r="I5563">
        <v>77820</v>
      </c>
      <c r="J5563">
        <v>788</v>
      </c>
      <c r="K5563">
        <v>934330</v>
      </c>
      <c r="L5563">
        <v>370736</v>
      </c>
      <c r="M5563">
        <v>-254802</v>
      </c>
      <c r="N5563">
        <v>175651</v>
      </c>
      <c r="O5563" t="s">
        <v>5581</v>
      </c>
      <c r="P5563" s="9">
        <v>249772</v>
      </c>
      <c r="Q5563" s="9">
        <v>34306</v>
      </c>
      <c r="R5563" s="9">
        <v>284078</v>
      </c>
      <c r="S5563" s="9">
        <v>-69253</v>
      </c>
      <c r="T5563" s="10">
        <v>105010</v>
      </c>
      <c r="U5563" s="10">
        <v>1538</v>
      </c>
    </row>
    <row r="5564" spans="1:21" x14ac:dyDescent="0.35">
      <c r="A5564" t="s">
        <v>15</v>
      </c>
      <c r="B5564" t="s">
        <v>16</v>
      </c>
      <c r="C5564" t="s">
        <v>21</v>
      </c>
      <c r="D5564">
        <v>261951</v>
      </c>
      <c r="E5564">
        <v>31473</v>
      </c>
      <c r="F5564">
        <v>57101</v>
      </c>
      <c r="G5564">
        <v>-235843</v>
      </c>
      <c r="H5564">
        <v>114682</v>
      </c>
      <c r="I5564">
        <v>120076</v>
      </c>
      <c r="J5564">
        <v>3385</v>
      </c>
      <c r="K5564">
        <v>953583</v>
      </c>
      <c r="L5564">
        <v>114066</v>
      </c>
      <c r="M5564">
        <v>-177131</v>
      </c>
      <c r="N5564">
        <v>201411</v>
      </c>
      <c r="O5564" t="s">
        <v>5582</v>
      </c>
      <c r="P5564" s="9">
        <v>199186</v>
      </c>
      <c r="Q5564" s="9">
        <v>23039</v>
      </c>
      <c r="R5564" s="9">
        <v>222225</v>
      </c>
      <c r="S5564" s="9">
        <v>-127365</v>
      </c>
      <c r="T5564" s="10">
        <v>72113</v>
      </c>
      <c r="U5564" s="10">
        <v>1532</v>
      </c>
    </row>
    <row r="5565" spans="1:21" x14ac:dyDescent="0.35">
      <c r="A5565" t="s">
        <v>15</v>
      </c>
      <c r="B5565" t="s">
        <v>16</v>
      </c>
      <c r="C5565" t="s">
        <v>21</v>
      </c>
      <c r="D5565">
        <v>240683</v>
      </c>
      <c r="E5565">
        <v>26669</v>
      </c>
      <c r="F5565">
        <v>57279</v>
      </c>
      <c r="G5565">
        <v>-199035</v>
      </c>
      <c r="H5565">
        <v>125596</v>
      </c>
      <c r="I5565">
        <v>116501</v>
      </c>
      <c r="J5565">
        <v>1552</v>
      </c>
      <c r="K5565">
        <v>824279</v>
      </c>
      <c r="L5565">
        <v>411602</v>
      </c>
      <c r="M5565">
        <v>-201557</v>
      </c>
      <c r="N5565">
        <v>142237</v>
      </c>
      <c r="O5565" t="s">
        <v>5583</v>
      </c>
      <c r="P5565" s="9">
        <v>182998</v>
      </c>
      <c r="Q5565" s="9">
        <v>14629</v>
      </c>
      <c r="R5565" s="9">
        <v>197627</v>
      </c>
      <c r="S5565" s="9">
        <v>-58887</v>
      </c>
      <c r="T5565" s="10">
        <v>74208</v>
      </c>
      <c r="U5565" s="10">
        <v>2112</v>
      </c>
    </row>
    <row r="5566" spans="1:21" x14ac:dyDescent="0.35">
      <c r="A5566" t="s">
        <v>15</v>
      </c>
      <c r="B5566" t="s">
        <v>20</v>
      </c>
      <c r="C5566" t="s">
        <v>17</v>
      </c>
      <c r="D5566">
        <v>269895</v>
      </c>
      <c r="E5566">
        <v>31912</v>
      </c>
      <c r="F5566">
        <v>33980</v>
      </c>
      <c r="G5566">
        <v>-241876</v>
      </c>
      <c r="H5566">
        <v>93911</v>
      </c>
      <c r="I5566">
        <v>84530</v>
      </c>
      <c r="J5566">
        <v>2505</v>
      </c>
      <c r="K5566">
        <v>895122</v>
      </c>
      <c r="L5566">
        <v>392357</v>
      </c>
      <c r="M5566">
        <v>-115914</v>
      </c>
      <c r="N5566">
        <v>119740</v>
      </c>
      <c r="O5566" t="s">
        <v>5584</v>
      </c>
      <c r="P5566" s="9">
        <v>231454</v>
      </c>
      <c r="Q5566" s="9">
        <v>42185</v>
      </c>
      <c r="R5566" s="9">
        <v>273639</v>
      </c>
      <c r="S5566" s="9">
        <v>-137819</v>
      </c>
      <c r="T5566" s="10">
        <v>114865</v>
      </c>
      <c r="U5566" s="10">
        <v>2784</v>
      </c>
    </row>
    <row r="5567" spans="1:21" x14ac:dyDescent="0.35">
      <c r="A5567" t="s">
        <v>15</v>
      </c>
      <c r="B5567" t="s">
        <v>20</v>
      </c>
      <c r="C5567" t="s">
        <v>17</v>
      </c>
      <c r="D5567">
        <v>152067</v>
      </c>
      <c r="E5567">
        <v>26975</v>
      </c>
      <c r="F5567">
        <v>16502</v>
      </c>
      <c r="G5567">
        <v>-146154</v>
      </c>
      <c r="H5567">
        <v>49390</v>
      </c>
      <c r="I5567">
        <v>47329</v>
      </c>
      <c r="J5567">
        <v>725</v>
      </c>
      <c r="K5567">
        <v>309587</v>
      </c>
      <c r="L5567">
        <v>95623</v>
      </c>
      <c r="M5567">
        <v>-72753</v>
      </c>
      <c r="N5567">
        <v>112306</v>
      </c>
      <c r="O5567" t="s">
        <v>5585</v>
      </c>
      <c r="P5567" s="9">
        <v>286894</v>
      </c>
      <c r="Q5567" s="9">
        <v>28373</v>
      </c>
      <c r="R5567" s="9">
        <v>315267</v>
      </c>
      <c r="S5567" s="9">
        <v>-96563</v>
      </c>
      <c r="T5567" s="10">
        <v>104564</v>
      </c>
      <c r="U5567" s="10">
        <v>1128</v>
      </c>
    </row>
    <row r="5568" spans="1:21" x14ac:dyDescent="0.35">
      <c r="A5568" t="s">
        <v>15</v>
      </c>
      <c r="B5568" t="s">
        <v>16</v>
      </c>
      <c r="C5568" t="s">
        <v>17</v>
      </c>
      <c r="D5568">
        <v>262723</v>
      </c>
      <c r="E5568">
        <v>31694</v>
      </c>
      <c r="F5568">
        <v>64124</v>
      </c>
      <c r="G5568">
        <v>-245009</v>
      </c>
      <c r="H5568">
        <v>113532</v>
      </c>
      <c r="I5568">
        <v>111050</v>
      </c>
      <c r="J5568">
        <v>2896</v>
      </c>
      <c r="K5568">
        <v>584421</v>
      </c>
      <c r="L5568">
        <v>225279</v>
      </c>
      <c r="M5568">
        <v>-111853</v>
      </c>
      <c r="N5568">
        <v>186991</v>
      </c>
      <c r="O5568" t="s">
        <v>5586</v>
      </c>
      <c r="P5568" s="9">
        <v>141221</v>
      </c>
      <c r="Q5568" s="9">
        <v>29682</v>
      </c>
      <c r="R5568" s="9">
        <v>170903</v>
      </c>
      <c r="S5568" s="9">
        <v>-88948</v>
      </c>
      <c r="T5568" s="10">
        <v>68626</v>
      </c>
      <c r="U5568" s="10">
        <v>762</v>
      </c>
    </row>
    <row r="5569" spans="1:21" x14ac:dyDescent="0.35">
      <c r="A5569" t="s">
        <v>15</v>
      </c>
      <c r="B5569" t="s">
        <v>20</v>
      </c>
      <c r="C5569" t="s">
        <v>21</v>
      </c>
      <c r="D5569">
        <v>197669</v>
      </c>
      <c r="E5569">
        <v>35726</v>
      </c>
      <c r="F5569">
        <v>42023</v>
      </c>
      <c r="G5569">
        <v>-176000</v>
      </c>
      <c r="H5569">
        <v>99418</v>
      </c>
      <c r="I5569">
        <v>100637</v>
      </c>
      <c r="J5569">
        <v>2873</v>
      </c>
      <c r="K5569">
        <v>626082</v>
      </c>
      <c r="L5569">
        <v>191197</v>
      </c>
      <c r="M5569">
        <v>-162459</v>
      </c>
      <c r="N5569">
        <v>143485</v>
      </c>
      <c r="O5569" t="s">
        <v>5587</v>
      </c>
      <c r="P5569" s="9">
        <v>208715</v>
      </c>
      <c r="Q5569" s="9">
        <v>11430</v>
      </c>
      <c r="R5569" s="9">
        <v>220145</v>
      </c>
      <c r="S5569" s="9">
        <v>-109537</v>
      </c>
      <c r="T5569" s="10">
        <v>49937</v>
      </c>
      <c r="U5569" s="10">
        <v>1382</v>
      </c>
    </row>
    <row r="5570" spans="1:21" x14ac:dyDescent="0.35">
      <c r="A5570" t="s">
        <v>15</v>
      </c>
      <c r="B5570" t="s">
        <v>16</v>
      </c>
      <c r="C5570" t="s">
        <v>21</v>
      </c>
      <c r="D5570">
        <v>234809</v>
      </c>
      <c r="E5570">
        <v>12233</v>
      </c>
      <c r="F5570">
        <v>26114</v>
      </c>
      <c r="G5570">
        <v>-196041</v>
      </c>
      <c r="H5570">
        <v>77115</v>
      </c>
      <c r="I5570">
        <v>76493</v>
      </c>
      <c r="J5570">
        <v>1213</v>
      </c>
      <c r="K5570">
        <v>739000</v>
      </c>
      <c r="L5570">
        <v>344095</v>
      </c>
      <c r="M5570">
        <v>-279422</v>
      </c>
      <c r="N5570">
        <v>165635</v>
      </c>
      <c r="O5570" t="s">
        <v>5588</v>
      </c>
      <c r="P5570" s="9">
        <v>144778</v>
      </c>
      <c r="Q5570" s="9">
        <v>9713</v>
      </c>
      <c r="R5570" s="9">
        <v>154491</v>
      </c>
      <c r="S5570" s="9">
        <v>-78454</v>
      </c>
      <c r="T5570" s="10">
        <v>31883</v>
      </c>
      <c r="U5570" s="10">
        <v>347</v>
      </c>
    </row>
    <row r="5571" spans="1:21" x14ac:dyDescent="0.35">
      <c r="A5571" t="s">
        <v>15</v>
      </c>
      <c r="B5571" t="s">
        <v>16</v>
      </c>
      <c r="C5571" t="s">
        <v>21</v>
      </c>
      <c r="D5571">
        <v>286950</v>
      </c>
      <c r="E5571">
        <v>50092</v>
      </c>
      <c r="F5571">
        <v>50779</v>
      </c>
      <c r="G5571">
        <v>-277080</v>
      </c>
      <c r="H5571">
        <v>110741</v>
      </c>
      <c r="I5571">
        <v>108563</v>
      </c>
      <c r="J5571">
        <v>1143</v>
      </c>
      <c r="K5571">
        <v>1010588</v>
      </c>
      <c r="L5571">
        <v>147332</v>
      </c>
      <c r="M5571">
        <v>-339481</v>
      </c>
      <c r="N5571">
        <v>256492</v>
      </c>
      <c r="O5571" t="s">
        <v>5589</v>
      </c>
      <c r="P5571" s="9">
        <v>257275</v>
      </c>
      <c r="Q5571" s="9">
        <v>31984</v>
      </c>
      <c r="R5571" s="9">
        <v>289259</v>
      </c>
      <c r="S5571" s="9">
        <v>-128676</v>
      </c>
      <c r="T5571" s="10">
        <v>61457</v>
      </c>
      <c r="U5571" s="10">
        <v>1422</v>
      </c>
    </row>
    <row r="5572" spans="1:21" x14ac:dyDescent="0.35">
      <c r="A5572" t="s">
        <v>15</v>
      </c>
      <c r="B5572" t="s">
        <v>16</v>
      </c>
      <c r="C5572" t="s">
        <v>21</v>
      </c>
      <c r="D5572">
        <v>272590</v>
      </c>
      <c r="E5572">
        <v>35088</v>
      </c>
      <c r="F5572">
        <v>43939</v>
      </c>
      <c r="G5572">
        <v>-267355</v>
      </c>
      <c r="H5572">
        <v>84262</v>
      </c>
      <c r="I5572">
        <v>81729</v>
      </c>
      <c r="J5572">
        <v>2404</v>
      </c>
      <c r="K5572">
        <v>874033</v>
      </c>
      <c r="L5572">
        <v>183291</v>
      </c>
      <c r="M5572">
        <v>-225678</v>
      </c>
      <c r="N5572">
        <v>184612</v>
      </c>
      <c r="O5572" t="s">
        <v>5590</v>
      </c>
      <c r="P5572" s="9">
        <v>315386</v>
      </c>
      <c r="Q5572" s="9">
        <v>32053</v>
      </c>
      <c r="R5572" s="9">
        <v>347439</v>
      </c>
      <c r="S5572" s="9">
        <v>-122885</v>
      </c>
      <c r="T5572" s="10">
        <v>101680</v>
      </c>
      <c r="U5572" s="10">
        <v>2993</v>
      </c>
    </row>
    <row r="5573" spans="1:21" x14ac:dyDescent="0.35">
      <c r="A5573" t="s">
        <v>15</v>
      </c>
      <c r="B5573" t="s">
        <v>20</v>
      </c>
      <c r="C5573" t="s">
        <v>21</v>
      </c>
      <c r="D5573">
        <v>296333</v>
      </c>
      <c r="E5573">
        <v>20602</v>
      </c>
      <c r="F5573">
        <v>31237</v>
      </c>
      <c r="G5573">
        <v>-264339</v>
      </c>
      <c r="H5573">
        <v>83833</v>
      </c>
      <c r="I5573">
        <v>76532</v>
      </c>
      <c r="J5573">
        <v>2022</v>
      </c>
      <c r="K5573">
        <v>780008</v>
      </c>
      <c r="L5573">
        <v>120886</v>
      </c>
      <c r="M5573">
        <v>-310029</v>
      </c>
      <c r="N5573">
        <v>219148</v>
      </c>
      <c r="O5573" t="s">
        <v>5591</v>
      </c>
      <c r="P5573" s="9">
        <v>273653</v>
      </c>
      <c r="Q5573" s="9">
        <v>20339</v>
      </c>
      <c r="R5573" s="9">
        <v>293992</v>
      </c>
      <c r="S5573" s="9">
        <v>-150978</v>
      </c>
      <c r="T5573" s="10">
        <v>110100</v>
      </c>
      <c r="U5573" s="10">
        <v>2195</v>
      </c>
    </row>
    <row r="5574" spans="1:21" x14ac:dyDescent="0.35">
      <c r="A5574" t="s">
        <v>15</v>
      </c>
      <c r="B5574" t="s">
        <v>20</v>
      </c>
      <c r="C5574" t="s">
        <v>17</v>
      </c>
      <c r="D5574">
        <v>240681</v>
      </c>
      <c r="E5574">
        <v>39550</v>
      </c>
      <c r="F5574">
        <v>41397</v>
      </c>
      <c r="G5574">
        <v>-195579</v>
      </c>
      <c r="H5574">
        <v>126049</v>
      </c>
      <c r="I5574">
        <v>120738</v>
      </c>
      <c r="J5574">
        <v>1810</v>
      </c>
      <c r="K5574">
        <v>734257</v>
      </c>
      <c r="L5574">
        <v>268174</v>
      </c>
      <c r="M5574">
        <v>-233463</v>
      </c>
      <c r="N5574">
        <v>130974</v>
      </c>
      <c r="O5574" t="s">
        <v>5592</v>
      </c>
      <c r="P5574" s="9">
        <v>208368</v>
      </c>
      <c r="Q5574" s="9">
        <v>37707</v>
      </c>
      <c r="R5574" s="9">
        <v>246075</v>
      </c>
      <c r="S5574" s="9">
        <v>-108901</v>
      </c>
      <c r="T5574" s="10">
        <v>91649</v>
      </c>
      <c r="U5574" s="10">
        <v>1222</v>
      </c>
    </row>
    <row r="5575" spans="1:21" x14ac:dyDescent="0.35">
      <c r="A5575" t="s">
        <v>15</v>
      </c>
      <c r="B5575" t="s">
        <v>20</v>
      </c>
      <c r="C5575" t="s">
        <v>17</v>
      </c>
      <c r="D5575">
        <v>209541</v>
      </c>
      <c r="E5575">
        <v>11031</v>
      </c>
      <c r="F5575">
        <v>28553</v>
      </c>
      <c r="G5575">
        <v>-200361</v>
      </c>
      <c r="H5575">
        <v>48764</v>
      </c>
      <c r="I5575">
        <v>45614</v>
      </c>
      <c r="J5575">
        <v>1177</v>
      </c>
      <c r="K5575">
        <v>670996</v>
      </c>
      <c r="L5575">
        <v>156041</v>
      </c>
      <c r="M5575">
        <v>-210523</v>
      </c>
      <c r="N5575">
        <v>74178</v>
      </c>
      <c r="O5575" t="s">
        <v>5593</v>
      </c>
      <c r="P5575" s="9">
        <v>178173</v>
      </c>
      <c r="Q5575" s="9">
        <v>19849</v>
      </c>
      <c r="R5575" s="9">
        <v>198022</v>
      </c>
      <c r="S5575" s="9">
        <v>-96441</v>
      </c>
      <c r="T5575" s="10">
        <v>62337</v>
      </c>
      <c r="U5575" s="10">
        <v>1823</v>
      </c>
    </row>
    <row r="5576" spans="1:21" x14ac:dyDescent="0.35">
      <c r="A5576" t="s">
        <v>15</v>
      </c>
      <c r="B5576" t="s">
        <v>16</v>
      </c>
      <c r="C5576" t="s">
        <v>21</v>
      </c>
      <c r="D5576">
        <v>217249</v>
      </c>
      <c r="E5576">
        <v>29903</v>
      </c>
      <c r="F5576">
        <v>30204</v>
      </c>
      <c r="G5576">
        <v>-177588</v>
      </c>
      <c r="H5576">
        <v>99768</v>
      </c>
      <c r="I5576">
        <v>99759</v>
      </c>
      <c r="J5576">
        <v>2937</v>
      </c>
      <c r="K5576">
        <v>575321</v>
      </c>
      <c r="L5576">
        <v>113034</v>
      </c>
      <c r="M5576">
        <v>-207403</v>
      </c>
      <c r="N5576">
        <v>112124</v>
      </c>
      <c r="O5576" t="s">
        <v>5594</v>
      </c>
      <c r="P5576" s="9">
        <v>182920</v>
      </c>
      <c r="Q5576" s="9">
        <v>17895</v>
      </c>
      <c r="R5576" s="9">
        <v>200815</v>
      </c>
      <c r="S5576" s="9">
        <v>-101372</v>
      </c>
      <c r="T5576" s="10">
        <v>71260</v>
      </c>
      <c r="U5576" s="10">
        <v>1507</v>
      </c>
    </row>
    <row r="5577" spans="1:21" x14ac:dyDescent="0.35">
      <c r="A5577" t="s">
        <v>15</v>
      </c>
      <c r="B5577" t="s">
        <v>16</v>
      </c>
      <c r="C5577" t="s">
        <v>17</v>
      </c>
      <c r="D5577">
        <v>165451</v>
      </c>
      <c r="E5577">
        <v>17972</v>
      </c>
      <c r="F5577">
        <v>22733</v>
      </c>
      <c r="G5577">
        <v>-141345</v>
      </c>
      <c r="H5577">
        <v>64811</v>
      </c>
      <c r="I5577">
        <v>65116</v>
      </c>
      <c r="J5577">
        <v>1299</v>
      </c>
      <c r="K5577">
        <v>650433</v>
      </c>
      <c r="L5577">
        <v>254683</v>
      </c>
      <c r="M5577">
        <v>-187430</v>
      </c>
      <c r="N5577">
        <v>106302</v>
      </c>
      <c r="O5577" t="s">
        <v>5595</v>
      </c>
      <c r="P5577" s="9">
        <v>245017</v>
      </c>
      <c r="Q5577" s="9">
        <v>30018</v>
      </c>
      <c r="R5577" s="9">
        <v>275035</v>
      </c>
      <c r="S5577" s="9">
        <v>-124429</v>
      </c>
      <c r="T5577" s="10">
        <v>105748</v>
      </c>
      <c r="U5577" s="10">
        <v>2412</v>
      </c>
    </row>
    <row r="5578" spans="1:21" x14ac:dyDescent="0.35">
      <c r="A5578" t="s">
        <v>15</v>
      </c>
      <c r="B5578" t="s">
        <v>16</v>
      </c>
      <c r="C5578" t="s">
        <v>21</v>
      </c>
      <c r="D5578">
        <v>272691</v>
      </c>
      <c r="E5578">
        <v>41590</v>
      </c>
      <c r="F5578">
        <v>61354</v>
      </c>
      <c r="G5578">
        <v>-258788</v>
      </c>
      <c r="H5578">
        <v>116847</v>
      </c>
      <c r="I5578">
        <v>120067</v>
      </c>
      <c r="J5578">
        <v>2726</v>
      </c>
      <c r="K5578">
        <v>749183</v>
      </c>
      <c r="L5578">
        <v>284273</v>
      </c>
      <c r="M5578">
        <v>-112724</v>
      </c>
      <c r="N5578">
        <v>147147</v>
      </c>
      <c r="O5578" t="s">
        <v>5596</v>
      </c>
      <c r="P5578" s="9">
        <v>233793</v>
      </c>
      <c r="Q5578" s="9">
        <v>24583</v>
      </c>
      <c r="R5578" s="9">
        <v>258376</v>
      </c>
      <c r="S5578" s="9">
        <v>-141982</v>
      </c>
      <c r="T5578" s="10">
        <v>59324</v>
      </c>
      <c r="U5578" s="10">
        <v>1574</v>
      </c>
    </row>
    <row r="5579" spans="1:21" x14ac:dyDescent="0.35">
      <c r="A5579" t="s">
        <v>15</v>
      </c>
      <c r="B5579" t="s">
        <v>16</v>
      </c>
      <c r="C5579" t="s">
        <v>21</v>
      </c>
      <c r="D5579">
        <v>242607</v>
      </c>
      <c r="E5579">
        <v>14968</v>
      </c>
      <c r="F5579">
        <v>31916</v>
      </c>
      <c r="G5579">
        <v>-228624</v>
      </c>
      <c r="H5579">
        <v>60867</v>
      </c>
      <c r="I5579">
        <v>60746</v>
      </c>
      <c r="J5579">
        <v>1278</v>
      </c>
      <c r="K5579">
        <v>926215</v>
      </c>
      <c r="L5579">
        <v>250777</v>
      </c>
      <c r="M5579">
        <v>-185216</v>
      </c>
      <c r="N5579">
        <v>174752</v>
      </c>
      <c r="O5579" t="s">
        <v>5597</v>
      </c>
      <c r="P5579" s="9">
        <v>197293</v>
      </c>
      <c r="Q5579" s="9">
        <v>33188</v>
      </c>
      <c r="R5579" s="9">
        <v>230481</v>
      </c>
      <c r="S5579" s="9">
        <v>-137024</v>
      </c>
      <c r="T5579" s="10">
        <v>67534</v>
      </c>
      <c r="U5579" s="10">
        <v>1954</v>
      </c>
    </row>
    <row r="5580" spans="1:21" x14ac:dyDescent="0.35">
      <c r="A5580" t="s">
        <v>15</v>
      </c>
      <c r="B5580" t="s">
        <v>16</v>
      </c>
      <c r="C5580" t="s">
        <v>21</v>
      </c>
      <c r="D5580">
        <v>220192</v>
      </c>
      <c r="E5580">
        <v>43350</v>
      </c>
      <c r="F5580">
        <v>33077</v>
      </c>
      <c r="G5580">
        <v>-213237</v>
      </c>
      <c r="H5580">
        <v>83382</v>
      </c>
      <c r="I5580">
        <v>81774</v>
      </c>
      <c r="J5580">
        <v>1004</v>
      </c>
      <c r="K5580">
        <v>667838</v>
      </c>
      <c r="L5580">
        <v>214230</v>
      </c>
      <c r="M5580">
        <v>-209870</v>
      </c>
      <c r="N5580">
        <v>198094</v>
      </c>
      <c r="O5580" t="s">
        <v>5598</v>
      </c>
      <c r="P5580" s="9">
        <v>242200</v>
      </c>
      <c r="Q5580" s="9">
        <v>38203</v>
      </c>
      <c r="R5580" s="9">
        <v>280403</v>
      </c>
      <c r="S5580" s="9">
        <v>-157828</v>
      </c>
      <c r="T5580" s="10">
        <v>107068</v>
      </c>
      <c r="U5580" s="10">
        <v>2835</v>
      </c>
    </row>
    <row r="5581" spans="1:21" x14ac:dyDescent="0.35">
      <c r="A5581" t="s">
        <v>15</v>
      </c>
      <c r="B5581" t="s">
        <v>16</v>
      </c>
      <c r="C5581" t="s">
        <v>17</v>
      </c>
      <c r="D5581">
        <v>215830</v>
      </c>
      <c r="E5581">
        <v>26217</v>
      </c>
      <c r="F5581">
        <v>26492</v>
      </c>
      <c r="G5581">
        <v>-203892</v>
      </c>
      <c r="H5581">
        <v>64647</v>
      </c>
      <c r="I5581">
        <v>61540</v>
      </c>
      <c r="J5581">
        <v>694</v>
      </c>
      <c r="K5581">
        <v>450506</v>
      </c>
      <c r="L5581">
        <v>216927</v>
      </c>
      <c r="M5581">
        <v>-109492</v>
      </c>
      <c r="N5581">
        <v>115638</v>
      </c>
      <c r="O5581" t="s">
        <v>5599</v>
      </c>
      <c r="P5581" s="9">
        <v>243872</v>
      </c>
      <c r="Q5581" s="9">
        <v>45605</v>
      </c>
      <c r="R5581" s="9">
        <v>289477</v>
      </c>
      <c r="S5581" s="9">
        <v>-102901</v>
      </c>
      <c r="T5581" s="10">
        <v>120299</v>
      </c>
      <c r="U5581" s="10">
        <v>3299</v>
      </c>
    </row>
    <row r="5582" spans="1:21" x14ac:dyDescent="0.35">
      <c r="A5582" t="s">
        <v>15</v>
      </c>
      <c r="B5582" t="s">
        <v>16</v>
      </c>
      <c r="C5582" t="s">
        <v>17</v>
      </c>
      <c r="D5582">
        <v>168218</v>
      </c>
      <c r="E5582">
        <v>11463</v>
      </c>
      <c r="F5582">
        <v>26505</v>
      </c>
      <c r="G5582">
        <v>-158907</v>
      </c>
      <c r="H5582">
        <v>47279</v>
      </c>
      <c r="I5582">
        <v>44197</v>
      </c>
      <c r="J5582">
        <v>817</v>
      </c>
      <c r="K5582">
        <v>379914</v>
      </c>
      <c r="L5582">
        <v>189723</v>
      </c>
      <c r="M5582">
        <v>-110350</v>
      </c>
      <c r="N5582">
        <v>139894</v>
      </c>
      <c r="O5582" t="s">
        <v>5600</v>
      </c>
      <c r="P5582" s="9">
        <v>168093</v>
      </c>
      <c r="Q5582" s="9">
        <v>29523</v>
      </c>
      <c r="R5582" s="9">
        <v>197616</v>
      </c>
      <c r="S5582" s="9">
        <v>-109156</v>
      </c>
      <c r="T5582" s="10">
        <v>89095</v>
      </c>
      <c r="U5582" s="10">
        <v>1549</v>
      </c>
    </row>
    <row r="5583" spans="1:21" x14ac:dyDescent="0.35">
      <c r="A5583" t="s">
        <v>15</v>
      </c>
      <c r="B5583" t="s">
        <v>16</v>
      </c>
      <c r="C5583" t="s">
        <v>17</v>
      </c>
      <c r="D5583">
        <v>208392</v>
      </c>
      <c r="E5583">
        <v>18039</v>
      </c>
      <c r="F5583">
        <v>29075</v>
      </c>
      <c r="G5583">
        <v>-197553</v>
      </c>
      <c r="H5583">
        <v>57953</v>
      </c>
      <c r="I5583">
        <v>57658</v>
      </c>
      <c r="J5583">
        <v>1020</v>
      </c>
      <c r="K5583">
        <v>425334</v>
      </c>
      <c r="L5583">
        <v>56263</v>
      </c>
      <c r="M5583">
        <v>-88631</v>
      </c>
      <c r="N5583">
        <v>98102</v>
      </c>
      <c r="O5583" t="s">
        <v>5601</v>
      </c>
      <c r="P5583" s="9">
        <v>244949</v>
      </c>
      <c r="Q5583" s="9">
        <v>42724</v>
      </c>
      <c r="R5583" s="9">
        <v>287673</v>
      </c>
      <c r="S5583" s="9">
        <v>-135213</v>
      </c>
      <c r="T5583" s="10">
        <v>131727</v>
      </c>
      <c r="U5583" s="10">
        <v>3094</v>
      </c>
    </row>
    <row r="5584" spans="1:21" x14ac:dyDescent="0.35">
      <c r="A5584" t="s">
        <v>15</v>
      </c>
      <c r="B5584" t="s">
        <v>16</v>
      </c>
      <c r="C5584" t="s">
        <v>21</v>
      </c>
      <c r="D5584">
        <v>270048</v>
      </c>
      <c r="E5584">
        <v>52423</v>
      </c>
      <c r="F5584">
        <v>65429</v>
      </c>
      <c r="G5584">
        <v>-226090</v>
      </c>
      <c r="H5584">
        <v>161810</v>
      </c>
      <c r="I5584">
        <v>147148</v>
      </c>
      <c r="J5584">
        <v>2974</v>
      </c>
      <c r="K5584">
        <v>588717</v>
      </c>
      <c r="L5584">
        <v>159177</v>
      </c>
      <c r="M5584">
        <v>-173704</v>
      </c>
      <c r="N5584">
        <v>198313</v>
      </c>
      <c r="O5584" t="s">
        <v>5602</v>
      </c>
      <c r="P5584" s="9">
        <v>305654</v>
      </c>
      <c r="Q5584" s="9">
        <v>24260</v>
      </c>
      <c r="R5584" s="9">
        <v>329914</v>
      </c>
      <c r="S5584" s="9">
        <v>-74409</v>
      </c>
      <c r="T5584" s="10">
        <v>123873</v>
      </c>
      <c r="U5584" s="10">
        <v>1785</v>
      </c>
    </row>
    <row r="5585" spans="1:21" x14ac:dyDescent="0.35">
      <c r="A5585" t="s">
        <v>15</v>
      </c>
      <c r="B5585" t="s">
        <v>16</v>
      </c>
      <c r="C5585" t="s">
        <v>21</v>
      </c>
      <c r="D5585">
        <v>295879</v>
      </c>
      <c r="E5585">
        <v>52543</v>
      </c>
      <c r="F5585">
        <v>33264</v>
      </c>
      <c r="G5585">
        <v>-262922</v>
      </c>
      <c r="H5585">
        <v>118764</v>
      </c>
      <c r="I5585">
        <v>115316</v>
      </c>
      <c r="J5585">
        <v>1662</v>
      </c>
      <c r="K5585">
        <v>792789</v>
      </c>
      <c r="L5585">
        <v>200876</v>
      </c>
      <c r="M5585">
        <v>-209525</v>
      </c>
      <c r="N5585">
        <v>207634</v>
      </c>
      <c r="O5585" t="s">
        <v>5603</v>
      </c>
      <c r="P5585" s="9">
        <v>259807</v>
      </c>
      <c r="Q5585" s="9">
        <v>36950</v>
      </c>
      <c r="R5585" s="9">
        <v>296757</v>
      </c>
      <c r="S5585" s="9">
        <v>-169203</v>
      </c>
      <c r="T5585" s="10">
        <v>87858</v>
      </c>
      <c r="U5585" s="10">
        <v>2324</v>
      </c>
    </row>
    <row r="5586" spans="1:21" x14ac:dyDescent="0.35">
      <c r="A5586" t="s">
        <v>15</v>
      </c>
      <c r="B5586" t="s">
        <v>20</v>
      </c>
      <c r="C5586" t="s">
        <v>21</v>
      </c>
      <c r="D5586">
        <v>157890</v>
      </c>
      <c r="E5586">
        <v>12107</v>
      </c>
      <c r="F5586">
        <v>22909</v>
      </c>
      <c r="G5586">
        <v>-131966</v>
      </c>
      <c r="H5586">
        <v>60940</v>
      </c>
      <c r="I5586">
        <v>57466</v>
      </c>
      <c r="J5586">
        <v>1029</v>
      </c>
      <c r="K5586">
        <v>569872</v>
      </c>
      <c r="L5586">
        <v>88424</v>
      </c>
      <c r="M5586">
        <v>-110719</v>
      </c>
      <c r="N5586">
        <v>100892</v>
      </c>
      <c r="O5586" t="s">
        <v>5604</v>
      </c>
      <c r="P5586" s="9">
        <v>307743</v>
      </c>
      <c r="Q5586" s="9">
        <v>37268</v>
      </c>
      <c r="R5586" s="9">
        <v>345011</v>
      </c>
      <c r="S5586" s="9">
        <v>-147128</v>
      </c>
      <c r="T5586" s="10">
        <v>114379</v>
      </c>
      <c r="U5586" s="10">
        <v>3045</v>
      </c>
    </row>
    <row r="5587" spans="1:21" x14ac:dyDescent="0.35">
      <c r="A5587" t="s">
        <v>15</v>
      </c>
      <c r="B5587" t="s">
        <v>16</v>
      </c>
      <c r="C5587" t="s">
        <v>21</v>
      </c>
      <c r="D5587">
        <v>164176</v>
      </c>
      <c r="E5587">
        <v>13984</v>
      </c>
      <c r="F5587">
        <v>39585</v>
      </c>
      <c r="G5587">
        <v>-162779</v>
      </c>
      <c r="H5587">
        <v>54966</v>
      </c>
      <c r="I5587">
        <v>51350</v>
      </c>
      <c r="J5587">
        <v>853</v>
      </c>
      <c r="K5587">
        <v>643827</v>
      </c>
      <c r="L5587">
        <v>77113</v>
      </c>
      <c r="M5587">
        <v>-251735</v>
      </c>
      <c r="N5587">
        <v>140714</v>
      </c>
      <c r="O5587" t="s">
        <v>5605</v>
      </c>
      <c r="P5587" s="9">
        <v>241731</v>
      </c>
      <c r="Q5587" s="9">
        <v>49005</v>
      </c>
      <c r="R5587" s="9">
        <v>290736</v>
      </c>
      <c r="S5587" s="9">
        <v>-142607</v>
      </c>
      <c r="T5587" s="10">
        <v>74109</v>
      </c>
      <c r="U5587" s="10">
        <v>1604</v>
      </c>
    </row>
    <row r="5588" spans="1:21" x14ac:dyDescent="0.35">
      <c r="A5588" t="s">
        <v>15</v>
      </c>
      <c r="B5588" t="s">
        <v>16</v>
      </c>
      <c r="C5588" t="s">
        <v>21</v>
      </c>
      <c r="D5588">
        <v>282843</v>
      </c>
      <c r="E5588">
        <v>52657</v>
      </c>
      <c r="F5588">
        <v>36901</v>
      </c>
      <c r="G5588">
        <v>-228162</v>
      </c>
      <c r="H5588">
        <v>144239</v>
      </c>
      <c r="I5588">
        <v>145876</v>
      </c>
      <c r="J5588">
        <v>3506</v>
      </c>
      <c r="K5588">
        <v>1075459</v>
      </c>
      <c r="L5588">
        <v>534412</v>
      </c>
      <c r="M5588">
        <v>-227064</v>
      </c>
      <c r="N5588">
        <v>212768</v>
      </c>
      <c r="O5588" t="s">
        <v>5606</v>
      </c>
      <c r="P5588" s="9">
        <v>203055</v>
      </c>
      <c r="Q5588" s="9">
        <v>18420</v>
      </c>
      <c r="R5588" s="9">
        <v>221475</v>
      </c>
      <c r="S5588" s="9">
        <v>-71994</v>
      </c>
      <c r="T5588" s="10">
        <v>86818</v>
      </c>
      <c r="U5588" s="10">
        <v>1896</v>
      </c>
    </row>
    <row r="5589" spans="1:21" x14ac:dyDescent="0.35">
      <c r="A5589" t="s">
        <v>15</v>
      </c>
      <c r="B5589" t="s">
        <v>16</v>
      </c>
      <c r="C5589" t="s">
        <v>21</v>
      </c>
      <c r="D5589">
        <v>217123</v>
      </c>
      <c r="E5589">
        <v>17495</v>
      </c>
      <c r="F5589">
        <v>33949</v>
      </c>
      <c r="G5589">
        <v>-176695</v>
      </c>
      <c r="H5589">
        <v>91872</v>
      </c>
      <c r="I5589">
        <v>92140</v>
      </c>
      <c r="J5589">
        <v>1056</v>
      </c>
      <c r="K5589">
        <v>451519</v>
      </c>
      <c r="L5589">
        <v>155945</v>
      </c>
      <c r="M5589">
        <v>-85995</v>
      </c>
      <c r="N5589">
        <v>70625</v>
      </c>
      <c r="O5589" t="s">
        <v>5607</v>
      </c>
      <c r="P5589" s="9">
        <v>232302</v>
      </c>
      <c r="Q5589" s="9">
        <v>29684</v>
      </c>
      <c r="R5589" s="9">
        <v>261986</v>
      </c>
      <c r="S5589" s="9">
        <v>-135750</v>
      </c>
      <c r="T5589" s="10">
        <v>102527</v>
      </c>
      <c r="U5589" s="10">
        <v>2789</v>
      </c>
    </row>
    <row r="5590" spans="1:21" x14ac:dyDescent="0.35">
      <c r="A5590" t="s">
        <v>15</v>
      </c>
      <c r="B5590" t="s">
        <v>20</v>
      </c>
      <c r="C5590" t="s">
        <v>21</v>
      </c>
      <c r="D5590">
        <v>201136</v>
      </c>
      <c r="E5590">
        <v>31605</v>
      </c>
      <c r="F5590">
        <v>22152</v>
      </c>
      <c r="G5590">
        <v>-164168</v>
      </c>
      <c r="H5590">
        <v>90725</v>
      </c>
      <c r="I5590">
        <v>82436</v>
      </c>
      <c r="J5590">
        <v>1272</v>
      </c>
      <c r="K5590">
        <v>802284</v>
      </c>
      <c r="L5590">
        <v>313858</v>
      </c>
      <c r="M5590">
        <v>-248206</v>
      </c>
      <c r="N5590">
        <v>159455</v>
      </c>
      <c r="O5590" t="s">
        <v>5608</v>
      </c>
      <c r="P5590" s="9">
        <v>211217</v>
      </c>
      <c r="Q5590" s="9">
        <v>12829</v>
      </c>
      <c r="R5590" s="9">
        <v>224046</v>
      </c>
      <c r="S5590" s="9">
        <v>-100945</v>
      </c>
      <c r="T5590" s="10">
        <v>77901</v>
      </c>
      <c r="U5590" s="10">
        <v>1164</v>
      </c>
    </row>
    <row r="5591" spans="1:21" x14ac:dyDescent="0.35">
      <c r="A5591" t="s">
        <v>15</v>
      </c>
      <c r="B5591" t="s">
        <v>16</v>
      </c>
      <c r="C5591" t="s">
        <v>21</v>
      </c>
      <c r="D5591">
        <v>156712</v>
      </c>
      <c r="E5591">
        <v>18976</v>
      </c>
      <c r="F5591">
        <v>16505</v>
      </c>
      <c r="G5591">
        <v>-137076</v>
      </c>
      <c r="H5591">
        <v>55117</v>
      </c>
      <c r="I5591">
        <v>54274</v>
      </c>
      <c r="J5591">
        <v>1078</v>
      </c>
      <c r="K5591">
        <v>326346</v>
      </c>
      <c r="L5591">
        <v>54893</v>
      </c>
      <c r="M5591">
        <v>-117690</v>
      </c>
      <c r="N5591">
        <v>126447</v>
      </c>
      <c r="O5591" t="s">
        <v>5609</v>
      </c>
      <c r="P5591" s="9">
        <v>321496</v>
      </c>
      <c r="Q5591" s="9">
        <v>39796</v>
      </c>
      <c r="R5591" s="9">
        <v>361292</v>
      </c>
      <c r="S5591" s="9">
        <v>-74591</v>
      </c>
      <c r="T5591" s="10">
        <v>114560</v>
      </c>
      <c r="U5591" s="10">
        <v>1177</v>
      </c>
    </row>
    <row r="5592" spans="1:21" x14ac:dyDescent="0.35">
      <c r="A5592" t="s">
        <v>15</v>
      </c>
      <c r="B5592" t="s">
        <v>20</v>
      </c>
      <c r="C5592" t="s">
        <v>21</v>
      </c>
      <c r="D5592">
        <v>277748</v>
      </c>
      <c r="E5592">
        <v>36455</v>
      </c>
      <c r="F5592">
        <v>55785</v>
      </c>
      <c r="G5592">
        <v>-224571</v>
      </c>
      <c r="H5592">
        <v>145417</v>
      </c>
      <c r="I5592">
        <v>133669</v>
      </c>
      <c r="J5592">
        <v>3546</v>
      </c>
      <c r="K5592">
        <v>1086592</v>
      </c>
      <c r="L5592">
        <v>332842</v>
      </c>
      <c r="M5592">
        <v>-230150</v>
      </c>
      <c r="N5592">
        <v>180007</v>
      </c>
      <c r="O5592" t="s">
        <v>5610</v>
      </c>
      <c r="P5592" s="9">
        <v>171369</v>
      </c>
      <c r="Q5592" s="9">
        <v>27553</v>
      </c>
      <c r="R5592" s="9">
        <v>198922</v>
      </c>
      <c r="S5592" s="9">
        <v>-76921</v>
      </c>
      <c r="T5592" s="10">
        <v>89054</v>
      </c>
      <c r="U5592" s="10">
        <v>1805</v>
      </c>
    </row>
    <row r="5593" spans="1:21" x14ac:dyDescent="0.35">
      <c r="A5593" t="s">
        <v>15</v>
      </c>
      <c r="B5593" t="s">
        <v>16</v>
      </c>
      <c r="C5593" t="s">
        <v>21</v>
      </c>
      <c r="D5593">
        <v>155284</v>
      </c>
      <c r="E5593">
        <v>21214</v>
      </c>
      <c r="F5593">
        <v>32945</v>
      </c>
      <c r="G5593">
        <v>-130685</v>
      </c>
      <c r="H5593">
        <v>78758</v>
      </c>
      <c r="I5593">
        <v>81072</v>
      </c>
      <c r="J5593">
        <v>1533</v>
      </c>
      <c r="K5593">
        <v>374499</v>
      </c>
      <c r="L5593">
        <v>171064</v>
      </c>
      <c r="M5593">
        <v>-124000</v>
      </c>
      <c r="N5593">
        <v>51644</v>
      </c>
      <c r="O5593" t="s">
        <v>5611</v>
      </c>
      <c r="P5593" s="9">
        <v>170524</v>
      </c>
      <c r="Q5593" s="9">
        <v>21017</v>
      </c>
      <c r="R5593" s="9">
        <v>191541</v>
      </c>
      <c r="S5593" s="9">
        <v>-52735</v>
      </c>
      <c r="T5593" s="10">
        <v>51831</v>
      </c>
      <c r="U5593" s="10">
        <v>974</v>
      </c>
    </row>
    <row r="5594" spans="1:21" x14ac:dyDescent="0.35">
      <c r="A5594" t="s">
        <v>15</v>
      </c>
      <c r="B5594" t="s">
        <v>16</v>
      </c>
      <c r="C5594" t="s">
        <v>21</v>
      </c>
      <c r="D5594">
        <v>155186</v>
      </c>
      <c r="E5594">
        <v>19570</v>
      </c>
      <c r="F5594">
        <v>31045</v>
      </c>
      <c r="G5594">
        <v>-153685</v>
      </c>
      <c r="H5594">
        <v>52116</v>
      </c>
      <c r="I5594">
        <v>51177</v>
      </c>
      <c r="J5594">
        <v>1155</v>
      </c>
      <c r="K5594">
        <v>580590</v>
      </c>
      <c r="L5594">
        <v>125471</v>
      </c>
      <c r="M5594">
        <v>-215646</v>
      </c>
      <c r="N5594">
        <v>85927</v>
      </c>
      <c r="O5594" t="s">
        <v>5612</v>
      </c>
      <c r="P5594" s="9">
        <v>206394</v>
      </c>
      <c r="Q5594" s="9">
        <v>10626</v>
      </c>
      <c r="R5594" s="9">
        <v>217020</v>
      </c>
      <c r="S5594" s="9">
        <v>-104415</v>
      </c>
      <c r="T5594" s="10">
        <v>62528</v>
      </c>
      <c r="U5594" s="10">
        <v>812</v>
      </c>
    </row>
    <row r="5595" spans="1:21" x14ac:dyDescent="0.35">
      <c r="A5595" t="s">
        <v>15</v>
      </c>
      <c r="B5595" t="s">
        <v>20</v>
      </c>
      <c r="C5595" t="s">
        <v>21</v>
      </c>
      <c r="D5595">
        <v>196027</v>
      </c>
      <c r="E5595">
        <v>15654</v>
      </c>
      <c r="F5595">
        <v>31959</v>
      </c>
      <c r="G5595">
        <v>-186239</v>
      </c>
      <c r="H5595">
        <v>57401</v>
      </c>
      <c r="I5595">
        <v>54316</v>
      </c>
      <c r="J5595">
        <v>1241</v>
      </c>
      <c r="K5595">
        <v>625739</v>
      </c>
      <c r="L5595">
        <v>187210</v>
      </c>
      <c r="M5595">
        <v>-98051</v>
      </c>
      <c r="N5595">
        <v>143496</v>
      </c>
      <c r="O5595" t="s">
        <v>5613</v>
      </c>
      <c r="P5595" s="9">
        <v>230090</v>
      </c>
      <c r="Q5595" s="9">
        <v>18908</v>
      </c>
      <c r="R5595" s="9">
        <v>248998</v>
      </c>
      <c r="S5595" s="9">
        <v>-71945</v>
      </c>
      <c r="T5595" s="10">
        <v>70215</v>
      </c>
      <c r="U5595" s="10">
        <v>1155</v>
      </c>
    </row>
    <row r="5596" spans="1:21" x14ac:dyDescent="0.35">
      <c r="A5596" t="s">
        <v>15</v>
      </c>
      <c r="B5596" t="s">
        <v>20</v>
      </c>
      <c r="C5596" t="s">
        <v>21</v>
      </c>
      <c r="D5596">
        <v>295790</v>
      </c>
      <c r="E5596">
        <v>25532</v>
      </c>
      <c r="F5596">
        <v>38168</v>
      </c>
      <c r="G5596">
        <v>-261715</v>
      </c>
      <c r="H5596">
        <v>97775</v>
      </c>
      <c r="I5596">
        <v>98914</v>
      </c>
      <c r="J5596">
        <v>2516</v>
      </c>
      <c r="K5596">
        <v>599298</v>
      </c>
      <c r="L5596">
        <v>164024</v>
      </c>
      <c r="M5596">
        <v>-201098</v>
      </c>
      <c r="N5596">
        <v>123802</v>
      </c>
      <c r="O5596" t="s">
        <v>5614</v>
      </c>
      <c r="P5596" s="9">
        <v>206362</v>
      </c>
      <c r="Q5596" s="9">
        <v>19513</v>
      </c>
      <c r="R5596" s="9">
        <v>225875</v>
      </c>
      <c r="S5596" s="9">
        <v>-120953</v>
      </c>
      <c r="T5596" s="10">
        <v>60713</v>
      </c>
      <c r="U5596" s="10">
        <v>1373</v>
      </c>
    </row>
    <row r="5597" spans="1:21" x14ac:dyDescent="0.35">
      <c r="A5597" t="s">
        <v>15</v>
      </c>
      <c r="B5597" t="s">
        <v>20</v>
      </c>
      <c r="C5597" t="s">
        <v>21</v>
      </c>
      <c r="D5597">
        <v>271483</v>
      </c>
      <c r="E5597">
        <v>33980</v>
      </c>
      <c r="F5597">
        <v>38780</v>
      </c>
      <c r="G5597">
        <v>-227628</v>
      </c>
      <c r="H5597">
        <v>116615</v>
      </c>
      <c r="I5597">
        <v>106387</v>
      </c>
      <c r="J5597">
        <v>1348</v>
      </c>
      <c r="K5597">
        <v>835924</v>
      </c>
      <c r="L5597">
        <v>349332</v>
      </c>
      <c r="M5597">
        <v>-268801</v>
      </c>
      <c r="N5597">
        <v>90837</v>
      </c>
      <c r="O5597" t="s">
        <v>5615</v>
      </c>
      <c r="P5597" s="9">
        <v>204990</v>
      </c>
      <c r="Q5597" s="9">
        <v>14717</v>
      </c>
      <c r="R5597" s="9">
        <v>219707</v>
      </c>
      <c r="S5597" s="9">
        <v>-106110</v>
      </c>
      <c r="T5597" s="10">
        <v>80131</v>
      </c>
      <c r="U5597" s="10">
        <v>2119</v>
      </c>
    </row>
    <row r="5598" spans="1:21" x14ac:dyDescent="0.35">
      <c r="A5598" t="s">
        <v>15</v>
      </c>
      <c r="B5598" t="s">
        <v>20</v>
      </c>
      <c r="C5598" t="s">
        <v>21</v>
      </c>
      <c r="D5598">
        <v>218037</v>
      </c>
      <c r="E5598">
        <v>20496</v>
      </c>
      <c r="F5598">
        <v>25247</v>
      </c>
      <c r="G5598">
        <v>-203189</v>
      </c>
      <c r="H5598">
        <v>60591</v>
      </c>
      <c r="I5598">
        <v>59770</v>
      </c>
      <c r="J5598">
        <v>1175</v>
      </c>
      <c r="K5598">
        <v>641749</v>
      </c>
      <c r="L5598">
        <v>88768</v>
      </c>
      <c r="M5598">
        <v>-209797</v>
      </c>
      <c r="N5598">
        <v>128770</v>
      </c>
      <c r="O5598" t="s">
        <v>5616</v>
      </c>
      <c r="P5598" s="9">
        <v>312373</v>
      </c>
      <c r="Q5598" s="9">
        <v>30094</v>
      </c>
      <c r="R5598" s="9">
        <v>342467</v>
      </c>
      <c r="S5598" s="9">
        <v>-105172</v>
      </c>
      <c r="T5598" s="10">
        <v>121791</v>
      </c>
      <c r="U5598" s="10">
        <v>1608</v>
      </c>
    </row>
    <row r="5599" spans="1:21" x14ac:dyDescent="0.35">
      <c r="A5599" t="s">
        <v>15</v>
      </c>
      <c r="B5599" t="s">
        <v>16</v>
      </c>
      <c r="C5599" t="s">
        <v>21</v>
      </c>
      <c r="D5599">
        <v>231264</v>
      </c>
      <c r="E5599">
        <v>23998</v>
      </c>
      <c r="F5599">
        <v>31185</v>
      </c>
      <c r="G5599">
        <v>-218078</v>
      </c>
      <c r="H5599">
        <v>68369</v>
      </c>
      <c r="I5599">
        <v>63522</v>
      </c>
      <c r="J5599">
        <v>1380</v>
      </c>
      <c r="K5599">
        <v>650230</v>
      </c>
      <c r="L5599">
        <v>214919</v>
      </c>
      <c r="M5599">
        <v>-133891</v>
      </c>
      <c r="N5599">
        <v>146394</v>
      </c>
      <c r="O5599" t="s">
        <v>5617</v>
      </c>
      <c r="P5599" s="9">
        <v>269539</v>
      </c>
      <c r="Q5599" s="9">
        <v>22095</v>
      </c>
      <c r="R5599" s="9">
        <v>291634</v>
      </c>
      <c r="S5599" s="9">
        <v>-167769</v>
      </c>
      <c r="T5599" s="10">
        <v>122606</v>
      </c>
      <c r="U5599" s="10">
        <v>1628</v>
      </c>
    </row>
    <row r="5600" spans="1:21" x14ac:dyDescent="0.35">
      <c r="A5600" t="s">
        <v>15</v>
      </c>
      <c r="B5600" t="s">
        <v>16</v>
      </c>
      <c r="C5600" t="s">
        <v>17</v>
      </c>
      <c r="D5600">
        <v>201523</v>
      </c>
      <c r="E5600">
        <v>17649</v>
      </c>
      <c r="F5600">
        <v>46946</v>
      </c>
      <c r="G5600">
        <v>-183238</v>
      </c>
      <c r="H5600">
        <v>82880</v>
      </c>
      <c r="I5600">
        <v>74788</v>
      </c>
      <c r="J5600">
        <v>2096</v>
      </c>
      <c r="K5600">
        <v>743452</v>
      </c>
      <c r="L5600">
        <v>282456</v>
      </c>
      <c r="M5600">
        <v>-112247</v>
      </c>
      <c r="N5600">
        <v>144658</v>
      </c>
      <c r="O5600" t="s">
        <v>5618</v>
      </c>
      <c r="P5600" s="9">
        <v>220493</v>
      </c>
      <c r="Q5600" s="9">
        <v>40999</v>
      </c>
      <c r="R5600" s="9">
        <v>261492</v>
      </c>
      <c r="S5600" s="9">
        <v>-127789</v>
      </c>
      <c r="T5600" s="10">
        <v>89686</v>
      </c>
      <c r="U5600" s="10">
        <v>1345</v>
      </c>
    </row>
    <row r="5601" spans="1:21" x14ac:dyDescent="0.35">
      <c r="A5601" t="s">
        <v>15</v>
      </c>
      <c r="B5601" t="s">
        <v>20</v>
      </c>
      <c r="C5601" t="s">
        <v>17</v>
      </c>
      <c r="D5601">
        <v>156887</v>
      </c>
      <c r="E5601">
        <v>14099</v>
      </c>
      <c r="F5601">
        <v>35771</v>
      </c>
      <c r="G5601">
        <v>-141102</v>
      </c>
      <c r="H5601">
        <v>65655</v>
      </c>
      <c r="I5601">
        <v>66632</v>
      </c>
      <c r="J5601">
        <v>1347</v>
      </c>
      <c r="K5601">
        <v>457827</v>
      </c>
      <c r="L5601">
        <v>194904</v>
      </c>
      <c r="M5601">
        <v>-116942</v>
      </c>
      <c r="N5601">
        <v>64601</v>
      </c>
      <c r="O5601" t="s">
        <v>5619</v>
      </c>
      <c r="P5601" s="9">
        <v>266263</v>
      </c>
      <c r="Q5601" s="9">
        <v>23136</v>
      </c>
      <c r="R5601" s="9">
        <v>289399</v>
      </c>
      <c r="S5601" s="9">
        <v>-104319</v>
      </c>
      <c r="T5601" s="10">
        <v>124937</v>
      </c>
      <c r="U5601" s="10">
        <v>1981</v>
      </c>
    </row>
    <row r="5602" spans="1:21" x14ac:dyDescent="0.35">
      <c r="A5602" t="s">
        <v>15</v>
      </c>
      <c r="B5602" t="s">
        <v>20</v>
      </c>
      <c r="C5602" t="s">
        <v>17</v>
      </c>
      <c r="D5602">
        <v>154645</v>
      </c>
      <c r="E5602">
        <v>27114</v>
      </c>
      <c r="F5602">
        <v>26166</v>
      </c>
      <c r="G5602">
        <v>-133646</v>
      </c>
      <c r="H5602">
        <v>74279</v>
      </c>
      <c r="I5602">
        <v>72043</v>
      </c>
      <c r="J5602">
        <v>860</v>
      </c>
      <c r="K5602">
        <v>363807</v>
      </c>
      <c r="L5602">
        <v>92502</v>
      </c>
      <c r="M5602">
        <v>-58476</v>
      </c>
      <c r="N5602">
        <v>131291</v>
      </c>
      <c r="O5602" t="s">
        <v>5620</v>
      </c>
      <c r="P5602" s="9">
        <v>210120</v>
      </c>
      <c r="Q5602" s="9">
        <v>30180</v>
      </c>
      <c r="R5602" s="9">
        <v>240300</v>
      </c>
      <c r="S5602" s="9">
        <v>-123594</v>
      </c>
      <c r="T5602" s="10">
        <v>86561</v>
      </c>
      <c r="U5602" s="10">
        <v>1945</v>
      </c>
    </row>
    <row r="5603" spans="1:21" x14ac:dyDescent="0.35">
      <c r="A5603" t="s">
        <v>15</v>
      </c>
      <c r="B5603" t="s">
        <v>20</v>
      </c>
      <c r="C5603" t="s">
        <v>17</v>
      </c>
      <c r="D5603">
        <v>235128</v>
      </c>
      <c r="E5603">
        <v>12212</v>
      </c>
      <c r="F5603">
        <v>45848</v>
      </c>
      <c r="G5603">
        <v>-190239</v>
      </c>
      <c r="H5603">
        <v>102949</v>
      </c>
      <c r="I5603">
        <v>100259</v>
      </c>
      <c r="J5603">
        <v>1706</v>
      </c>
      <c r="K5603">
        <v>738323</v>
      </c>
      <c r="L5603">
        <v>78098</v>
      </c>
      <c r="M5603">
        <v>-85892</v>
      </c>
      <c r="N5603">
        <v>150054</v>
      </c>
      <c r="O5603" t="s">
        <v>5621</v>
      </c>
      <c r="P5603" s="9">
        <v>172681</v>
      </c>
      <c r="Q5603" s="9">
        <v>14658</v>
      </c>
      <c r="R5603" s="9">
        <v>187339</v>
      </c>
      <c r="S5603" s="9">
        <v>-65796</v>
      </c>
      <c r="T5603" s="10">
        <v>59421</v>
      </c>
      <c r="U5603" s="10">
        <v>678</v>
      </c>
    </row>
    <row r="5604" spans="1:21" x14ac:dyDescent="0.35">
      <c r="A5604" t="s">
        <v>15</v>
      </c>
      <c r="B5604" t="s">
        <v>20</v>
      </c>
      <c r="C5604" t="s">
        <v>21</v>
      </c>
      <c r="D5604">
        <v>240037</v>
      </c>
      <c r="E5604">
        <v>27993</v>
      </c>
      <c r="F5604">
        <v>57815</v>
      </c>
      <c r="G5604">
        <v>-234045</v>
      </c>
      <c r="H5604">
        <v>91800</v>
      </c>
      <c r="I5604">
        <v>89575</v>
      </c>
      <c r="J5604">
        <v>1943</v>
      </c>
      <c r="K5604">
        <v>594073</v>
      </c>
      <c r="L5604">
        <v>205631</v>
      </c>
      <c r="M5604">
        <v>-71692</v>
      </c>
      <c r="N5604">
        <v>122905</v>
      </c>
      <c r="O5604" t="s">
        <v>5622</v>
      </c>
      <c r="P5604" s="9">
        <v>222819</v>
      </c>
      <c r="Q5604" s="9">
        <v>24123</v>
      </c>
      <c r="R5604" s="9">
        <v>246942</v>
      </c>
      <c r="S5604" s="9">
        <v>-145912</v>
      </c>
      <c r="T5604" s="10">
        <v>92411</v>
      </c>
      <c r="U5604" s="10">
        <v>1306</v>
      </c>
    </row>
    <row r="5605" spans="1:21" x14ac:dyDescent="0.35">
      <c r="A5605" t="s">
        <v>15</v>
      </c>
      <c r="B5605" t="s">
        <v>20</v>
      </c>
      <c r="C5605" t="s">
        <v>21</v>
      </c>
      <c r="D5605">
        <v>192742</v>
      </c>
      <c r="E5605">
        <v>30590</v>
      </c>
      <c r="F5605">
        <v>45136</v>
      </c>
      <c r="G5605">
        <v>-187563</v>
      </c>
      <c r="H5605">
        <v>80905</v>
      </c>
      <c r="I5605">
        <v>76967</v>
      </c>
      <c r="J5605">
        <v>1312</v>
      </c>
      <c r="K5605">
        <v>719830</v>
      </c>
      <c r="L5605">
        <v>354283</v>
      </c>
      <c r="M5605">
        <v>-114161</v>
      </c>
      <c r="N5605">
        <v>164091</v>
      </c>
      <c r="O5605" t="s">
        <v>5623</v>
      </c>
      <c r="P5605" s="9">
        <v>166338</v>
      </c>
      <c r="Q5605" s="9">
        <v>10141</v>
      </c>
      <c r="R5605" s="9">
        <v>176479</v>
      </c>
      <c r="S5605" s="9">
        <v>-96956</v>
      </c>
      <c r="T5605" s="10">
        <v>56936</v>
      </c>
      <c r="U5605" s="10">
        <v>819</v>
      </c>
    </row>
    <row r="5606" spans="1:21" x14ac:dyDescent="0.35">
      <c r="A5606" t="s">
        <v>15</v>
      </c>
      <c r="B5606" t="s">
        <v>20</v>
      </c>
      <c r="C5606" t="s">
        <v>21</v>
      </c>
      <c r="D5606">
        <v>159241</v>
      </c>
      <c r="E5606">
        <v>13342</v>
      </c>
      <c r="F5606">
        <v>32454</v>
      </c>
      <c r="G5606">
        <v>-150626</v>
      </c>
      <c r="H5606">
        <v>54411</v>
      </c>
      <c r="I5606">
        <v>55985</v>
      </c>
      <c r="J5606">
        <v>1106</v>
      </c>
      <c r="K5606">
        <v>322286</v>
      </c>
      <c r="L5606">
        <v>117843</v>
      </c>
      <c r="M5606">
        <v>-68768</v>
      </c>
      <c r="N5606">
        <v>59339</v>
      </c>
      <c r="O5606" t="s">
        <v>5624</v>
      </c>
      <c r="P5606" s="9">
        <v>194729</v>
      </c>
      <c r="Q5606" s="9">
        <v>24338</v>
      </c>
      <c r="R5606" s="9">
        <v>219067</v>
      </c>
      <c r="S5606" s="9">
        <v>-46325</v>
      </c>
      <c r="T5606" s="10">
        <v>60828</v>
      </c>
      <c r="U5606" s="10">
        <v>1655</v>
      </c>
    </row>
    <row r="5607" spans="1:21" x14ac:dyDescent="0.35">
      <c r="A5607" t="s">
        <v>15</v>
      </c>
      <c r="B5607" t="s">
        <v>20</v>
      </c>
      <c r="C5607" t="s">
        <v>21</v>
      </c>
      <c r="D5607">
        <v>297299</v>
      </c>
      <c r="E5607">
        <v>55513</v>
      </c>
      <c r="F5607">
        <v>73128</v>
      </c>
      <c r="G5607">
        <v>-264753</v>
      </c>
      <c r="H5607">
        <v>161187</v>
      </c>
      <c r="I5607">
        <v>168575</v>
      </c>
      <c r="J5607">
        <v>3587</v>
      </c>
      <c r="K5607">
        <v>824300</v>
      </c>
      <c r="L5607">
        <v>282443</v>
      </c>
      <c r="M5607">
        <v>-156247</v>
      </c>
      <c r="N5607">
        <v>102186</v>
      </c>
      <c r="O5607" t="s">
        <v>5625</v>
      </c>
      <c r="P5607" s="9">
        <v>167431</v>
      </c>
      <c r="Q5607" s="9">
        <v>19241</v>
      </c>
      <c r="R5607" s="9">
        <v>186672</v>
      </c>
      <c r="S5607" s="9">
        <v>-53821</v>
      </c>
      <c r="T5607" s="10">
        <v>89662</v>
      </c>
      <c r="U5607" s="10">
        <v>2141</v>
      </c>
    </row>
    <row r="5608" spans="1:21" x14ac:dyDescent="0.35">
      <c r="A5608" t="s">
        <v>15</v>
      </c>
      <c r="B5608" t="s">
        <v>20</v>
      </c>
      <c r="C5608" t="s">
        <v>21</v>
      </c>
      <c r="D5608">
        <v>185172</v>
      </c>
      <c r="E5608">
        <v>30059</v>
      </c>
      <c r="F5608">
        <v>32596</v>
      </c>
      <c r="G5608">
        <v>-166258</v>
      </c>
      <c r="H5608">
        <v>81569</v>
      </c>
      <c r="I5608">
        <v>76302</v>
      </c>
      <c r="J5608">
        <v>801</v>
      </c>
      <c r="K5608">
        <v>544615</v>
      </c>
      <c r="L5608">
        <v>204048</v>
      </c>
      <c r="M5608">
        <v>-132706</v>
      </c>
      <c r="N5608">
        <v>112132</v>
      </c>
      <c r="O5608" t="s">
        <v>5626</v>
      </c>
      <c r="P5608" s="9">
        <v>289039</v>
      </c>
      <c r="Q5608" s="9">
        <v>20080</v>
      </c>
      <c r="R5608" s="9">
        <v>309119</v>
      </c>
      <c r="S5608" s="9">
        <v>-172481</v>
      </c>
      <c r="T5608" s="10">
        <v>98721</v>
      </c>
      <c r="U5608" s="10">
        <v>2249</v>
      </c>
    </row>
    <row r="5609" spans="1:21" x14ac:dyDescent="0.35">
      <c r="A5609" t="s">
        <v>15</v>
      </c>
      <c r="B5609" t="s">
        <v>16</v>
      </c>
      <c r="C5609" t="s">
        <v>21</v>
      </c>
      <c r="D5609">
        <v>254740</v>
      </c>
      <c r="E5609">
        <v>41515</v>
      </c>
      <c r="F5609">
        <v>28296</v>
      </c>
      <c r="G5609">
        <v>-228052</v>
      </c>
      <c r="H5609">
        <v>96499</v>
      </c>
      <c r="I5609">
        <v>94007</v>
      </c>
      <c r="J5609">
        <v>1815</v>
      </c>
      <c r="K5609">
        <v>771362</v>
      </c>
      <c r="L5609">
        <v>107963</v>
      </c>
      <c r="M5609">
        <v>-152836</v>
      </c>
      <c r="N5609">
        <v>116416</v>
      </c>
      <c r="O5609" t="s">
        <v>5627</v>
      </c>
      <c r="P5609" s="9">
        <v>238044</v>
      </c>
      <c r="Q5609" s="9">
        <v>42753</v>
      </c>
      <c r="R5609" s="9">
        <v>280797</v>
      </c>
      <c r="S5609" s="9">
        <v>-74264</v>
      </c>
      <c r="T5609" s="10">
        <v>87029</v>
      </c>
      <c r="U5609" s="10">
        <v>2121</v>
      </c>
    </row>
    <row r="5610" spans="1:21" x14ac:dyDescent="0.35">
      <c r="A5610" t="s">
        <v>15</v>
      </c>
      <c r="B5610" t="s">
        <v>16</v>
      </c>
      <c r="C5610" t="s">
        <v>17</v>
      </c>
      <c r="D5610">
        <v>213896</v>
      </c>
      <c r="E5610">
        <v>15168</v>
      </c>
      <c r="F5610">
        <v>27882</v>
      </c>
      <c r="G5610">
        <v>-194817</v>
      </c>
      <c r="H5610">
        <v>62129</v>
      </c>
      <c r="I5610">
        <v>64486</v>
      </c>
      <c r="J5610">
        <v>1361</v>
      </c>
      <c r="K5610">
        <v>613906</v>
      </c>
      <c r="L5610">
        <v>135898</v>
      </c>
      <c r="M5610">
        <v>-63633</v>
      </c>
      <c r="N5610">
        <v>125698</v>
      </c>
      <c r="O5610" t="s">
        <v>5628</v>
      </c>
      <c r="P5610" s="9">
        <v>145175</v>
      </c>
      <c r="Q5610" s="9">
        <v>7910</v>
      </c>
      <c r="R5610" s="9">
        <v>153085</v>
      </c>
      <c r="S5610" s="9">
        <v>-46198</v>
      </c>
      <c r="T5610" s="10">
        <v>63705</v>
      </c>
      <c r="U5610" s="10">
        <v>1339</v>
      </c>
    </row>
    <row r="5611" spans="1:21" x14ac:dyDescent="0.35">
      <c r="A5611" t="s">
        <v>15</v>
      </c>
      <c r="B5611" t="s">
        <v>20</v>
      </c>
      <c r="C5611" t="s">
        <v>17</v>
      </c>
      <c r="D5611">
        <v>168013</v>
      </c>
      <c r="E5611">
        <v>19718</v>
      </c>
      <c r="F5611">
        <v>20695</v>
      </c>
      <c r="G5611">
        <v>-145656</v>
      </c>
      <c r="H5611">
        <v>62770</v>
      </c>
      <c r="I5611">
        <v>61569</v>
      </c>
      <c r="J5611">
        <v>1235</v>
      </c>
      <c r="K5611">
        <v>372392</v>
      </c>
      <c r="L5611">
        <v>126943</v>
      </c>
      <c r="M5611">
        <v>-123976</v>
      </c>
      <c r="N5611">
        <v>80434</v>
      </c>
      <c r="O5611" t="s">
        <v>5629</v>
      </c>
      <c r="P5611" s="9">
        <v>253901</v>
      </c>
      <c r="Q5611" s="9">
        <v>32921</v>
      </c>
      <c r="R5611" s="9">
        <v>286822</v>
      </c>
      <c r="S5611" s="9">
        <v>-85903</v>
      </c>
      <c r="T5611" s="10">
        <v>115723</v>
      </c>
      <c r="U5611" s="10">
        <v>2153</v>
      </c>
    </row>
    <row r="5612" spans="1:21" x14ac:dyDescent="0.35">
      <c r="A5612" t="s">
        <v>15</v>
      </c>
      <c r="B5612" t="s">
        <v>16</v>
      </c>
      <c r="C5612" t="s">
        <v>17</v>
      </c>
      <c r="D5612">
        <v>277204</v>
      </c>
      <c r="E5612">
        <v>24577</v>
      </c>
      <c r="F5612">
        <v>55653</v>
      </c>
      <c r="G5612">
        <v>-231270</v>
      </c>
      <c r="H5612">
        <v>126164</v>
      </c>
      <c r="I5612">
        <v>121716</v>
      </c>
      <c r="J5612">
        <v>1813</v>
      </c>
      <c r="K5612">
        <v>996299</v>
      </c>
      <c r="L5612">
        <v>105690</v>
      </c>
      <c r="M5612">
        <v>-210925</v>
      </c>
      <c r="N5612">
        <v>109179</v>
      </c>
      <c r="O5612" t="s">
        <v>5630</v>
      </c>
      <c r="P5612" s="9">
        <v>249433</v>
      </c>
      <c r="Q5612" s="9">
        <v>53551</v>
      </c>
      <c r="R5612" s="9">
        <v>302984</v>
      </c>
      <c r="S5612" s="9">
        <v>-172372</v>
      </c>
      <c r="T5612" s="10">
        <v>94166</v>
      </c>
      <c r="U5612" s="10">
        <v>1236</v>
      </c>
    </row>
    <row r="5613" spans="1:21" x14ac:dyDescent="0.35">
      <c r="A5613" t="s">
        <v>15</v>
      </c>
      <c r="B5613" t="s">
        <v>16</v>
      </c>
      <c r="C5613" t="s">
        <v>17</v>
      </c>
      <c r="D5613">
        <v>190465</v>
      </c>
      <c r="E5613">
        <v>10620</v>
      </c>
      <c r="F5613">
        <v>44232</v>
      </c>
      <c r="G5613">
        <v>-167804</v>
      </c>
      <c r="H5613">
        <v>77513</v>
      </c>
      <c r="I5613">
        <v>80741</v>
      </c>
      <c r="J5613">
        <v>2048</v>
      </c>
      <c r="K5613">
        <v>563680</v>
      </c>
      <c r="L5613">
        <v>199281</v>
      </c>
      <c r="M5613">
        <v>-84645</v>
      </c>
      <c r="N5613">
        <v>62309</v>
      </c>
      <c r="O5613" t="s">
        <v>5631</v>
      </c>
      <c r="P5613" s="9">
        <v>287032</v>
      </c>
      <c r="Q5613" s="9">
        <v>50869</v>
      </c>
      <c r="R5613" s="9">
        <v>337901</v>
      </c>
      <c r="S5613" s="9">
        <v>-156277</v>
      </c>
      <c r="T5613" s="10">
        <v>119023</v>
      </c>
      <c r="U5613" s="10">
        <v>1583</v>
      </c>
    </row>
    <row r="5614" spans="1:21" x14ac:dyDescent="0.35">
      <c r="A5614" t="s">
        <v>15</v>
      </c>
      <c r="B5614" t="s">
        <v>16</v>
      </c>
      <c r="C5614" t="s">
        <v>21</v>
      </c>
      <c r="D5614">
        <v>200540</v>
      </c>
      <c r="E5614">
        <v>31856</v>
      </c>
      <c r="F5614">
        <v>21585</v>
      </c>
      <c r="G5614">
        <v>-188574</v>
      </c>
      <c r="H5614">
        <v>65407</v>
      </c>
      <c r="I5614">
        <v>60955</v>
      </c>
      <c r="J5614">
        <v>740</v>
      </c>
      <c r="K5614">
        <v>616798</v>
      </c>
      <c r="L5614">
        <v>89717</v>
      </c>
      <c r="M5614">
        <v>-152726</v>
      </c>
      <c r="N5614">
        <v>141435</v>
      </c>
      <c r="O5614" t="s">
        <v>5632</v>
      </c>
      <c r="P5614" s="9">
        <v>255401</v>
      </c>
      <c r="Q5614" s="9">
        <v>40394</v>
      </c>
      <c r="R5614" s="9">
        <v>295795</v>
      </c>
      <c r="S5614" s="9">
        <v>-70715</v>
      </c>
      <c r="T5614" s="10">
        <v>130521</v>
      </c>
      <c r="U5614" s="10">
        <v>3692</v>
      </c>
    </row>
    <row r="5615" spans="1:21" x14ac:dyDescent="0.35">
      <c r="A5615" t="s">
        <v>15</v>
      </c>
      <c r="B5615" t="s">
        <v>20</v>
      </c>
      <c r="C5615" t="s">
        <v>21</v>
      </c>
      <c r="D5615">
        <v>200513</v>
      </c>
      <c r="E5615">
        <v>26930</v>
      </c>
      <c r="F5615">
        <v>43017</v>
      </c>
      <c r="G5615">
        <v>-188078</v>
      </c>
      <c r="H5615">
        <v>82382</v>
      </c>
      <c r="I5615">
        <v>80115</v>
      </c>
      <c r="J5615">
        <v>1314</v>
      </c>
      <c r="K5615">
        <v>405536</v>
      </c>
      <c r="L5615">
        <v>180775</v>
      </c>
      <c r="M5615">
        <v>-55228</v>
      </c>
      <c r="N5615">
        <v>130928</v>
      </c>
      <c r="O5615" t="s">
        <v>5633</v>
      </c>
      <c r="P5615" s="9">
        <v>230223</v>
      </c>
      <c r="Q5615" s="9">
        <v>42655</v>
      </c>
      <c r="R5615" s="9">
        <v>272878</v>
      </c>
      <c r="S5615" s="9">
        <v>-88073</v>
      </c>
      <c r="T5615" s="10">
        <v>82593</v>
      </c>
      <c r="U5615" s="10">
        <v>2104</v>
      </c>
    </row>
    <row r="5616" spans="1:21" x14ac:dyDescent="0.35">
      <c r="A5616" t="s">
        <v>15</v>
      </c>
      <c r="B5616" t="s">
        <v>20</v>
      </c>
      <c r="C5616" t="s">
        <v>21</v>
      </c>
      <c r="D5616">
        <v>284337</v>
      </c>
      <c r="E5616">
        <v>27323</v>
      </c>
      <c r="F5616">
        <v>34513</v>
      </c>
      <c r="G5616">
        <v>-244739</v>
      </c>
      <c r="H5616">
        <v>101434</v>
      </c>
      <c r="I5616">
        <v>91839</v>
      </c>
      <c r="J5616">
        <v>1172</v>
      </c>
      <c r="K5616">
        <v>602996</v>
      </c>
      <c r="L5616">
        <v>100258</v>
      </c>
      <c r="M5616">
        <v>-234477</v>
      </c>
      <c r="N5616">
        <v>163482</v>
      </c>
      <c r="O5616" t="s">
        <v>5634</v>
      </c>
      <c r="P5616" s="9">
        <v>179688</v>
      </c>
      <c r="Q5616" s="9">
        <v>30390</v>
      </c>
      <c r="R5616" s="9">
        <v>210078</v>
      </c>
      <c r="S5616" s="9">
        <v>-88790</v>
      </c>
      <c r="T5616" s="10">
        <v>101487</v>
      </c>
      <c r="U5616" s="10">
        <v>1749</v>
      </c>
    </row>
    <row r="5617" spans="1:21" x14ac:dyDescent="0.35">
      <c r="A5617" t="s">
        <v>15</v>
      </c>
      <c r="B5617" t="s">
        <v>16</v>
      </c>
      <c r="C5617" t="s">
        <v>21</v>
      </c>
      <c r="D5617">
        <v>271850</v>
      </c>
      <c r="E5617">
        <v>26317</v>
      </c>
      <c r="F5617">
        <v>40350</v>
      </c>
      <c r="G5617">
        <v>-267201</v>
      </c>
      <c r="H5617">
        <v>71316</v>
      </c>
      <c r="I5617">
        <v>69585</v>
      </c>
      <c r="J5617">
        <v>1672</v>
      </c>
      <c r="K5617">
        <v>780814</v>
      </c>
      <c r="L5617">
        <v>120548</v>
      </c>
      <c r="M5617">
        <v>-122348</v>
      </c>
      <c r="N5617">
        <v>86761</v>
      </c>
      <c r="O5617" t="s">
        <v>5635</v>
      </c>
      <c r="P5617" s="9">
        <v>210277</v>
      </c>
      <c r="Q5617" s="9">
        <v>22090</v>
      </c>
      <c r="R5617" s="9">
        <v>232367</v>
      </c>
      <c r="S5617" s="9">
        <v>-105986</v>
      </c>
      <c r="T5617" s="10">
        <v>85876</v>
      </c>
      <c r="U5617" s="10">
        <v>1747</v>
      </c>
    </row>
    <row r="5618" spans="1:21" x14ac:dyDescent="0.35">
      <c r="A5618" t="s">
        <v>15</v>
      </c>
      <c r="B5618" t="s">
        <v>20</v>
      </c>
      <c r="C5618" t="s">
        <v>21</v>
      </c>
      <c r="D5618">
        <v>299191</v>
      </c>
      <c r="E5618">
        <v>26982</v>
      </c>
      <c r="F5618">
        <v>72248</v>
      </c>
      <c r="G5618">
        <v>-290697</v>
      </c>
      <c r="H5618">
        <v>107724</v>
      </c>
      <c r="I5618">
        <v>106578</v>
      </c>
      <c r="J5618">
        <v>2808</v>
      </c>
      <c r="K5618">
        <v>776729</v>
      </c>
      <c r="L5618">
        <v>207328</v>
      </c>
      <c r="M5618">
        <v>-115388</v>
      </c>
      <c r="N5618">
        <v>173980</v>
      </c>
      <c r="O5618" t="s">
        <v>5636</v>
      </c>
      <c r="P5618" s="9">
        <v>253344</v>
      </c>
      <c r="Q5618" s="9">
        <v>17410</v>
      </c>
      <c r="R5618" s="9">
        <v>270754</v>
      </c>
      <c r="S5618" s="9">
        <v>-69255</v>
      </c>
      <c r="T5618" s="10">
        <v>63367</v>
      </c>
      <c r="U5618" s="10">
        <v>1603</v>
      </c>
    </row>
    <row r="5619" spans="1:21" x14ac:dyDescent="0.35">
      <c r="A5619" t="s">
        <v>15</v>
      </c>
      <c r="B5619" t="s">
        <v>16</v>
      </c>
      <c r="C5619" t="s">
        <v>21</v>
      </c>
      <c r="D5619">
        <v>288014</v>
      </c>
      <c r="E5619">
        <v>26412</v>
      </c>
      <c r="F5619">
        <v>63570</v>
      </c>
      <c r="G5619">
        <v>-230692</v>
      </c>
      <c r="H5619">
        <v>147304</v>
      </c>
      <c r="I5619">
        <v>137795</v>
      </c>
      <c r="J5619">
        <v>2408</v>
      </c>
      <c r="K5619">
        <v>753010</v>
      </c>
      <c r="L5619">
        <v>149928</v>
      </c>
      <c r="M5619">
        <v>-218992</v>
      </c>
      <c r="N5619">
        <v>88369</v>
      </c>
      <c r="O5619" t="s">
        <v>5637</v>
      </c>
      <c r="P5619" s="9">
        <v>204474</v>
      </c>
      <c r="Q5619" s="9">
        <v>21966</v>
      </c>
      <c r="R5619" s="9">
        <v>226440</v>
      </c>
      <c r="S5619" s="9">
        <v>-64064</v>
      </c>
      <c r="T5619" s="10">
        <v>100184</v>
      </c>
      <c r="U5619" s="10">
        <v>1391</v>
      </c>
    </row>
    <row r="5620" spans="1:21" x14ac:dyDescent="0.35">
      <c r="A5620" t="s">
        <v>15</v>
      </c>
      <c r="B5620" t="s">
        <v>16</v>
      </c>
      <c r="C5620" t="s">
        <v>21</v>
      </c>
      <c r="D5620">
        <v>183596</v>
      </c>
      <c r="E5620">
        <v>20091</v>
      </c>
      <c r="F5620">
        <v>19943</v>
      </c>
      <c r="G5620">
        <v>-178151</v>
      </c>
      <c r="H5620">
        <v>45479</v>
      </c>
      <c r="I5620">
        <v>43866</v>
      </c>
      <c r="J5620">
        <v>1106</v>
      </c>
      <c r="K5620">
        <v>689416</v>
      </c>
      <c r="L5620">
        <v>230395</v>
      </c>
      <c r="M5620">
        <v>-93359</v>
      </c>
      <c r="N5620">
        <v>64850</v>
      </c>
      <c r="O5620" t="s">
        <v>5638</v>
      </c>
      <c r="P5620" s="9">
        <v>186534</v>
      </c>
      <c r="Q5620" s="9">
        <v>31451</v>
      </c>
      <c r="R5620" s="9">
        <v>217985</v>
      </c>
      <c r="S5620" s="9">
        <v>-93641</v>
      </c>
      <c r="T5620" s="10">
        <v>61286</v>
      </c>
      <c r="U5620" s="10">
        <v>1676</v>
      </c>
    </row>
    <row r="5621" spans="1:21" x14ac:dyDescent="0.35">
      <c r="A5621" t="s">
        <v>15</v>
      </c>
      <c r="B5621" t="s">
        <v>16</v>
      </c>
      <c r="C5621" t="s">
        <v>21</v>
      </c>
      <c r="D5621">
        <v>258894</v>
      </c>
      <c r="E5621">
        <v>18728</v>
      </c>
      <c r="F5621">
        <v>26539</v>
      </c>
      <c r="G5621">
        <v>-241368</v>
      </c>
      <c r="H5621">
        <v>62793</v>
      </c>
      <c r="I5621">
        <v>63081</v>
      </c>
      <c r="J5621">
        <v>1822</v>
      </c>
      <c r="K5621">
        <v>953161</v>
      </c>
      <c r="L5621">
        <v>171992</v>
      </c>
      <c r="M5621">
        <v>-312557</v>
      </c>
      <c r="N5621">
        <v>86899</v>
      </c>
      <c r="O5621" t="s">
        <v>5639</v>
      </c>
      <c r="P5621" s="9">
        <v>173147</v>
      </c>
      <c r="Q5621" s="9">
        <v>23477</v>
      </c>
      <c r="R5621" s="9">
        <v>196624</v>
      </c>
      <c r="S5621" s="9">
        <v>-78265</v>
      </c>
      <c r="T5621" s="10">
        <v>61789</v>
      </c>
      <c r="U5621" s="10">
        <v>908</v>
      </c>
    </row>
    <row r="5622" spans="1:21" x14ac:dyDescent="0.35">
      <c r="A5622" t="s">
        <v>15</v>
      </c>
      <c r="B5622" t="s">
        <v>20</v>
      </c>
      <c r="C5622" t="s">
        <v>17</v>
      </c>
      <c r="D5622">
        <v>196975</v>
      </c>
      <c r="E5622">
        <v>38337</v>
      </c>
      <c r="F5622">
        <v>20828</v>
      </c>
      <c r="G5622">
        <v>-176862</v>
      </c>
      <c r="H5622">
        <v>79278</v>
      </c>
      <c r="I5622">
        <v>82872</v>
      </c>
      <c r="J5622">
        <v>2292</v>
      </c>
      <c r="K5622">
        <v>665089</v>
      </c>
      <c r="L5622">
        <v>144566</v>
      </c>
      <c r="M5622">
        <v>-133268</v>
      </c>
      <c r="N5622">
        <v>92428</v>
      </c>
      <c r="O5622" t="s">
        <v>5640</v>
      </c>
      <c r="P5622" s="9">
        <v>266477</v>
      </c>
      <c r="Q5622" s="9">
        <v>34360</v>
      </c>
      <c r="R5622" s="9">
        <v>300837</v>
      </c>
      <c r="S5622" s="9">
        <v>-156478</v>
      </c>
      <c r="T5622" s="10">
        <v>109124</v>
      </c>
      <c r="U5622" s="10">
        <v>2037</v>
      </c>
    </row>
    <row r="5623" spans="1:21" x14ac:dyDescent="0.35">
      <c r="A5623" t="s">
        <v>15</v>
      </c>
      <c r="B5623" t="s">
        <v>20</v>
      </c>
      <c r="C5623" t="s">
        <v>17</v>
      </c>
      <c r="D5623">
        <v>251085</v>
      </c>
      <c r="E5623">
        <v>25925</v>
      </c>
      <c r="F5623">
        <v>47753</v>
      </c>
      <c r="G5623">
        <v>-225107</v>
      </c>
      <c r="H5623">
        <v>99656</v>
      </c>
      <c r="I5623">
        <v>93585</v>
      </c>
      <c r="J5623">
        <v>1295</v>
      </c>
      <c r="K5623">
        <v>909565</v>
      </c>
      <c r="L5623">
        <v>135146</v>
      </c>
      <c r="M5623">
        <v>-169983</v>
      </c>
      <c r="N5623">
        <v>178863</v>
      </c>
      <c r="O5623" t="s">
        <v>5641</v>
      </c>
      <c r="P5623" s="9">
        <v>258443</v>
      </c>
      <c r="Q5623" s="9">
        <v>27206</v>
      </c>
      <c r="R5623" s="9">
        <v>285649</v>
      </c>
      <c r="S5623" s="9">
        <v>-157672</v>
      </c>
      <c r="T5623" s="10">
        <v>100821</v>
      </c>
      <c r="U5623" s="10">
        <v>1747</v>
      </c>
    </row>
    <row r="5624" spans="1:21" x14ac:dyDescent="0.35">
      <c r="A5624" t="s">
        <v>15</v>
      </c>
      <c r="B5624" t="s">
        <v>16</v>
      </c>
      <c r="C5624" t="s">
        <v>17</v>
      </c>
      <c r="D5624">
        <v>204680</v>
      </c>
      <c r="E5624">
        <v>34864</v>
      </c>
      <c r="F5624">
        <v>39746</v>
      </c>
      <c r="G5624">
        <v>-169339</v>
      </c>
      <c r="H5624">
        <v>109951</v>
      </c>
      <c r="I5624">
        <v>111663</v>
      </c>
      <c r="J5624">
        <v>1966</v>
      </c>
      <c r="K5624">
        <v>475501</v>
      </c>
      <c r="L5624">
        <v>235121</v>
      </c>
      <c r="M5624">
        <v>-117604</v>
      </c>
      <c r="N5624">
        <v>177293</v>
      </c>
      <c r="O5624" t="s">
        <v>5642</v>
      </c>
      <c r="P5624" s="9">
        <v>261216</v>
      </c>
      <c r="Q5624" s="9">
        <v>45816</v>
      </c>
      <c r="R5624" s="9">
        <v>307032</v>
      </c>
      <c r="S5624" s="9">
        <v>-82325</v>
      </c>
      <c r="T5624" s="10">
        <v>125508</v>
      </c>
      <c r="U5624" s="10">
        <v>1708</v>
      </c>
    </row>
    <row r="5625" spans="1:21" x14ac:dyDescent="0.35">
      <c r="A5625" t="s">
        <v>15</v>
      </c>
      <c r="B5625" t="s">
        <v>16</v>
      </c>
      <c r="C5625" t="s">
        <v>21</v>
      </c>
      <c r="D5625">
        <v>246662</v>
      </c>
      <c r="E5625">
        <v>44525</v>
      </c>
      <c r="F5625">
        <v>35034</v>
      </c>
      <c r="G5625">
        <v>-236552</v>
      </c>
      <c r="H5625">
        <v>89669</v>
      </c>
      <c r="I5625">
        <v>89217</v>
      </c>
      <c r="J5625">
        <v>2078</v>
      </c>
      <c r="K5625">
        <v>501898</v>
      </c>
      <c r="L5625">
        <v>176144</v>
      </c>
      <c r="M5625">
        <v>-126437</v>
      </c>
      <c r="N5625">
        <v>90761</v>
      </c>
      <c r="O5625" t="s">
        <v>5643</v>
      </c>
      <c r="P5625" s="9">
        <v>263243</v>
      </c>
      <c r="Q5625" s="9">
        <v>41915</v>
      </c>
      <c r="R5625" s="9">
        <v>305158</v>
      </c>
      <c r="S5625" s="9">
        <v>-138188</v>
      </c>
      <c r="T5625" s="10">
        <v>130471</v>
      </c>
      <c r="U5625" s="10">
        <v>1575</v>
      </c>
    </row>
    <row r="5626" spans="1:21" x14ac:dyDescent="0.35">
      <c r="A5626" t="s">
        <v>15</v>
      </c>
      <c r="B5626" t="s">
        <v>20</v>
      </c>
      <c r="C5626" t="s">
        <v>17</v>
      </c>
      <c r="D5626">
        <v>175073</v>
      </c>
      <c r="E5626">
        <v>31631</v>
      </c>
      <c r="F5626">
        <v>27474</v>
      </c>
      <c r="G5626">
        <v>-163646</v>
      </c>
      <c r="H5626">
        <v>70532</v>
      </c>
      <c r="I5626">
        <v>67189</v>
      </c>
      <c r="J5626">
        <v>1704</v>
      </c>
      <c r="K5626">
        <v>603580</v>
      </c>
      <c r="L5626">
        <v>277698</v>
      </c>
      <c r="M5626">
        <v>-112601</v>
      </c>
      <c r="N5626">
        <v>74358</v>
      </c>
      <c r="O5626" t="s">
        <v>5644</v>
      </c>
      <c r="P5626" s="9">
        <v>189196</v>
      </c>
      <c r="Q5626" s="9">
        <v>31426</v>
      </c>
      <c r="R5626" s="9">
        <v>220622</v>
      </c>
      <c r="S5626" s="9">
        <v>-63106</v>
      </c>
      <c r="T5626" s="10">
        <v>88593</v>
      </c>
      <c r="U5626" s="10">
        <v>1727</v>
      </c>
    </row>
    <row r="5627" spans="1:21" x14ac:dyDescent="0.35">
      <c r="A5627" t="s">
        <v>15</v>
      </c>
      <c r="B5627" t="s">
        <v>20</v>
      </c>
      <c r="C5627" t="s">
        <v>21</v>
      </c>
      <c r="D5627">
        <v>280899</v>
      </c>
      <c r="E5627">
        <v>14966</v>
      </c>
      <c r="F5627">
        <v>60610</v>
      </c>
      <c r="G5627">
        <v>-257653</v>
      </c>
      <c r="H5627">
        <v>98822</v>
      </c>
      <c r="I5627">
        <v>96399</v>
      </c>
      <c r="J5627">
        <v>2320</v>
      </c>
      <c r="K5627">
        <v>567096</v>
      </c>
      <c r="L5627">
        <v>125602</v>
      </c>
      <c r="M5627">
        <v>-137813</v>
      </c>
      <c r="N5627">
        <v>194498</v>
      </c>
      <c r="O5627" t="s">
        <v>5645</v>
      </c>
      <c r="P5627" s="9">
        <v>215580</v>
      </c>
      <c r="Q5627" s="9">
        <v>18855</v>
      </c>
      <c r="R5627" s="9">
        <v>234435</v>
      </c>
      <c r="S5627" s="9">
        <v>-93658</v>
      </c>
      <c r="T5627" s="10">
        <v>76681</v>
      </c>
      <c r="U5627" s="10">
        <v>1597</v>
      </c>
    </row>
    <row r="5628" spans="1:21" x14ac:dyDescent="0.35">
      <c r="A5628" t="s">
        <v>15</v>
      </c>
      <c r="B5628" t="s">
        <v>16</v>
      </c>
      <c r="C5628" t="s">
        <v>21</v>
      </c>
      <c r="D5628">
        <v>161336</v>
      </c>
      <c r="E5628">
        <v>15865</v>
      </c>
      <c r="F5628">
        <v>18902</v>
      </c>
      <c r="G5628">
        <v>-152182</v>
      </c>
      <c r="H5628">
        <v>43921</v>
      </c>
      <c r="I5628">
        <v>40358</v>
      </c>
      <c r="J5628">
        <v>763</v>
      </c>
      <c r="K5628">
        <v>620627</v>
      </c>
      <c r="L5628">
        <v>169587</v>
      </c>
      <c r="M5628">
        <v>-231207</v>
      </c>
      <c r="N5628">
        <v>75483</v>
      </c>
      <c r="O5628" t="s">
        <v>5646</v>
      </c>
      <c r="P5628" s="9">
        <v>298369</v>
      </c>
      <c r="Q5628" s="9">
        <v>52457</v>
      </c>
      <c r="R5628" s="9">
        <v>350826</v>
      </c>
      <c r="S5628" s="9">
        <v>-162336</v>
      </c>
      <c r="T5628" s="10">
        <v>166322</v>
      </c>
      <c r="U5628" s="10">
        <v>4827</v>
      </c>
    </row>
    <row r="5629" spans="1:21" x14ac:dyDescent="0.35">
      <c r="A5629" t="s">
        <v>15</v>
      </c>
      <c r="B5629" t="s">
        <v>16</v>
      </c>
      <c r="C5629" t="s">
        <v>21</v>
      </c>
      <c r="D5629">
        <v>167866</v>
      </c>
      <c r="E5629">
        <v>10050</v>
      </c>
      <c r="F5629">
        <v>20197</v>
      </c>
      <c r="G5629">
        <v>-142823</v>
      </c>
      <c r="H5629">
        <v>55290</v>
      </c>
      <c r="I5629">
        <v>54584</v>
      </c>
      <c r="J5629">
        <v>1463</v>
      </c>
      <c r="K5629">
        <v>469168</v>
      </c>
      <c r="L5629">
        <v>134414</v>
      </c>
      <c r="M5629">
        <v>-117153</v>
      </c>
      <c r="N5629">
        <v>53835</v>
      </c>
      <c r="O5629" t="s">
        <v>5647</v>
      </c>
      <c r="P5629" s="9">
        <v>171721</v>
      </c>
      <c r="Q5629" s="9">
        <v>20537</v>
      </c>
      <c r="R5629" s="9">
        <v>192258</v>
      </c>
      <c r="S5629" s="9">
        <v>-64644</v>
      </c>
      <c r="T5629" s="10">
        <v>68269</v>
      </c>
      <c r="U5629" s="10">
        <v>1170</v>
      </c>
    </row>
    <row r="5630" spans="1:21" x14ac:dyDescent="0.35">
      <c r="A5630" t="s">
        <v>15</v>
      </c>
      <c r="B5630" t="s">
        <v>20</v>
      </c>
      <c r="C5630" t="s">
        <v>21</v>
      </c>
      <c r="D5630">
        <v>252670</v>
      </c>
      <c r="E5630">
        <v>42139</v>
      </c>
      <c r="F5630">
        <v>59024</v>
      </c>
      <c r="G5630">
        <v>-235432</v>
      </c>
      <c r="H5630">
        <v>118401</v>
      </c>
      <c r="I5630">
        <v>117199</v>
      </c>
      <c r="J5630">
        <v>1444</v>
      </c>
      <c r="K5630">
        <v>569616</v>
      </c>
      <c r="L5630">
        <v>58053</v>
      </c>
      <c r="M5630">
        <v>-78526</v>
      </c>
      <c r="N5630">
        <v>179748</v>
      </c>
      <c r="O5630" t="s">
        <v>5648</v>
      </c>
      <c r="P5630" s="9">
        <v>274824</v>
      </c>
      <c r="Q5630" s="9">
        <v>41600</v>
      </c>
      <c r="R5630" s="9">
        <v>316424</v>
      </c>
      <c r="S5630" s="9">
        <v>-77443</v>
      </c>
      <c r="T5630" s="10">
        <v>121525</v>
      </c>
      <c r="U5630" s="10">
        <v>1882</v>
      </c>
    </row>
    <row r="5631" spans="1:21" x14ac:dyDescent="0.35">
      <c r="A5631" t="s">
        <v>15</v>
      </c>
      <c r="B5631" t="s">
        <v>16</v>
      </c>
      <c r="C5631" t="s">
        <v>21</v>
      </c>
      <c r="D5631">
        <v>191500</v>
      </c>
      <c r="E5631">
        <v>35746</v>
      </c>
      <c r="F5631">
        <v>39964</v>
      </c>
      <c r="G5631">
        <v>-168256</v>
      </c>
      <c r="H5631">
        <v>98954</v>
      </c>
      <c r="I5631">
        <v>93037</v>
      </c>
      <c r="J5631">
        <v>2618</v>
      </c>
      <c r="K5631">
        <v>468424</v>
      </c>
      <c r="L5631">
        <v>92793</v>
      </c>
      <c r="M5631">
        <v>-119035</v>
      </c>
      <c r="N5631">
        <v>76418</v>
      </c>
      <c r="O5631" t="s">
        <v>5649</v>
      </c>
      <c r="P5631" s="9">
        <v>220746</v>
      </c>
      <c r="Q5631" s="9">
        <v>31409</v>
      </c>
      <c r="R5631" s="9">
        <v>252155</v>
      </c>
      <c r="S5631" s="9">
        <v>-111608</v>
      </c>
      <c r="T5631" s="10">
        <v>72978</v>
      </c>
      <c r="U5631" s="10">
        <v>2156</v>
      </c>
    </row>
    <row r="5632" spans="1:21" x14ac:dyDescent="0.35">
      <c r="A5632" t="s">
        <v>15</v>
      </c>
      <c r="B5632" t="s">
        <v>20</v>
      </c>
      <c r="C5632" t="s">
        <v>17</v>
      </c>
      <c r="D5632">
        <v>186993</v>
      </c>
      <c r="E5632">
        <v>17077</v>
      </c>
      <c r="F5632">
        <v>33226</v>
      </c>
      <c r="G5632">
        <v>-171940</v>
      </c>
      <c r="H5632">
        <v>65356</v>
      </c>
      <c r="I5632">
        <v>59121</v>
      </c>
      <c r="J5632">
        <v>1108</v>
      </c>
      <c r="K5632">
        <v>558610</v>
      </c>
      <c r="L5632">
        <v>68680</v>
      </c>
      <c r="M5632">
        <v>-206655</v>
      </c>
      <c r="N5632">
        <v>140253</v>
      </c>
      <c r="O5632" t="s">
        <v>5650</v>
      </c>
      <c r="P5632" s="9">
        <v>190950</v>
      </c>
      <c r="Q5632" s="9">
        <v>13480</v>
      </c>
      <c r="R5632" s="9">
        <v>204430</v>
      </c>
      <c r="S5632" s="9">
        <v>-79977</v>
      </c>
      <c r="T5632" s="10">
        <v>74185</v>
      </c>
      <c r="U5632" s="10">
        <v>2010</v>
      </c>
    </row>
    <row r="5633" spans="1:21" x14ac:dyDescent="0.35">
      <c r="A5633" t="s">
        <v>15</v>
      </c>
      <c r="B5633" t="s">
        <v>20</v>
      </c>
      <c r="C5633" t="s">
        <v>17</v>
      </c>
      <c r="D5633">
        <v>193656</v>
      </c>
      <c r="E5633">
        <v>24251</v>
      </c>
      <c r="F5633">
        <v>20864</v>
      </c>
      <c r="G5633">
        <v>-172893</v>
      </c>
      <c r="H5633">
        <v>65878</v>
      </c>
      <c r="I5633">
        <v>67269</v>
      </c>
      <c r="J5633">
        <v>741</v>
      </c>
      <c r="K5633">
        <v>421778</v>
      </c>
      <c r="L5633">
        <v>194548</v>
      </c>
      <c r="M5633">
        <v>-102739</v>
      </c>
      <c r="N5633">
        <v>169064</v>
      </c>
      <c r="O5633" t="s">
        <v>5651</v>
      </c>
      <c r="P5633" s="9">
        <v>243254</v>
      </c>
      <c r="Q5633" s="9">
        <v>19711</v>
      </c>
      <c r="R5633" s="9">
        <v>262965</v>
      </c>
      <c r="S5633" s="9">
        <v>-104400</v>
      </c>
      <c r="T5633" s="10">
        <v>103226</v>
      </c>
      <c r="U5633" s="10">
        <v>1891</v>
      </c>
    </row>
    <row r="5634" spans="1:21" x14ac:dyDescent="0.35">
      <c r="A5634" t="s">
        <v>15</v>
      </c>
      <c r="B5634" t="s">
        <v>20</v>
      </c>
      <c r="C5634" t="s">
        <v>21</v>
      </c>
      <c r="D5634">
        <v>260256</v>
      </c>
      <c r="E5634">
        <v>37915</v>
      </c>
      <c r="F5634">
        <v>44890</v>
      </c>
      <c r="G5634">
        <v>-245294</v>
      </c>
      <c r="H5634">
        <v>97767</v>
      </c>
      <c r="I5634">
        <v>100225</v>
      </c>
      <c r="J5634">
        <v>2957</v>
      </c>
      <c r="K5634">
        <v>837314</v>
      </c>
      <c r="L5634">
        <v>405100</v>
      </c>
      <c r="M5634">
        <v>-113282</v>
      </c>
      <c r="N5634">
        <v>168164</v>
      </c>
      <c r="O5634" t="s">
        <v>5652</v>
      </c>
      <c r="P5634" s="9">
        <v>248499</v>
      </c>
      <c r="Q5634" s="9">
        <v>30135</v>
      </c>
      <c r="R5634" s="9">
        <v>278634</v>
      </c>
      <c r="S5634" s="9">
        <v>-106879</v>
      </c>
      <c r="T5634" s="10">
        <v>122227</v>
      </c>
      <c r="U5634" s="10">
        <v>2138</v>
      </c>
    </row>
    <row r="5635" spans="1:21" x14ac:dyDescent="0.35">
      <c r="A5635" t="s">
        <v>15</v>
      </c>
      <c r="B5635" t="s">
        <v>16</v>
      </c>
      <c r="C5635" t="s">
        <v>21</v>
      </c>
      <c r="D5635">
        <v>180020</v>
      </c>
      <c r="E5635">
        <v>33511</v>
      </c>
      <c r="F5635">
        <v>29137</v>
      </c>
      <c r="G5635">
        <v>-159784</v>
      </c>
      <c r="H5635">
        <v>82884</v>
      </c>
      <c r="I5635">
        <v>83553</v>
      </c>
      <c r="J5635">
        <v>2352</v>
      </c>
      <c r="K5635">
        <v>443441</v>
      </c>
      <c r="L5635">
        <v>53727</v>
      </c>
      <c r="M5635">
        <v>-143591</v>
      </c>
      <c r="N5635">
        <v>54596</v>
      </c>
      <c r="O5635" t="s">
        <v>5653</v>
      </c>
      <c r="P5635" s="9">
        <v>256663</v>
      </c>
      <c r="Q5635" s="9">
        <v>34979</v>
      </c>
      <c r="R5635" s="9">
        <v>291642</v>
      </c>
      <c r="S5635" s="9">
        <v>-143476</v>
      </c>
      <c r="T5635" s="10">
        <v>129342</v>
      </c>
      <c r="U5635" s="10">
        <v>3606</v>
      </c>
    </row>
    <row r="5636" spans="1:21" x14ac:dyDescent="0.35">
      <c r="A5636" t="s">
        <v>15</v>
      </c>
      <c r="B5636" t="s">
        <v>16</v>
      </c>
      <c r="C5636" t="s">
        <v>21</v>
      </c>
      <c r="D5636">
        <v>286367</v>
      </c>
      <c r="E5636">
        <v>33913</v>
      </c>
      <c r="F5636">
        <v>70405</v>
      </c>
      <c r="G5636">
        <v>-255672</v>
      </c>
      <c r="H5636">
        <v>135013</v>
      </c>
      <c r="I5636">
        <v>128274</v>
      </c>
      <c r="J5636">
        <v>2229</v>
      </c>
      <c r="K5636">
        <v>773163</v>
      </c>
      <c r="L5636">
        <v>153071</v>
      </c>
      <c r="M5636">
        <v>-272049</v>
      </c>
      <c r="N5636">
        <v>173622</v>
      </c>
      <c r="O5636" t="s">
        <v>5654</v>
      </c>
      <c r="P5636" s="9">
        <v>260601</v>
      </c>
      <c r="Q5636" s="9">
        <v>18739</v>
      </c>
      <c r="R5636" s="9">
        <v>279340</v>
      </c>
      <c r="S5636" s="9">
        <v>-79173</v>
      </c>
      <c r="T5636" s="10">
        <v>108259</v>
      </c>
      <c r="U5636" s="10">
        <v>2255</v>
      </c>
    </row>
    <row r="5637" spans="1:21" x14ac:dyDescent="0.35">
      <c r="A5637" t="s">
        <v>15</v>
      </c>
      <c r="B5637" t="s">
        <v>16</v>
      </c>
      <c r="C5637" t="s">
        <v>17</v>
      </c>
      <c r="D5637">
        <v>269257</v>
      </c>
      <c r="E5637">
        <v>41000</v>
      </c>
      <c r="F5637">
        <v>46742</v>
      </c>
      <c r="G5637">
        <v>-262415</v>
      </c>
      <c r="H5637">
        <v>94584</v>
      </c>
      <c r="I5637">
        <v>93686</v>
      </c>
      <c r="J5637">
        <v>2136</v>
      </c>
      <c r="K5637">
        <v>686159</v>
      </c>
      <c r="L5637">
        <v>159964</v>
      </c>
      <c r="M5637">
        <v>-209899</v>
      </c>
      <c r="N5637">
        <v>183248</v>
      </c>
      <c r="O5637" t="s">
        <v>5655</v>
      </c>
      <c r="P5637" s="9">
        <v>314085</v>
      </c>
      <c r="Q5637" s="9">
        <v>20191</v>
      </c>
      <c r="R5637" s="9">
        <v>334276</v>
      </c>
      <c r="S5637" s="9">
        <v>-76742</v>
      </c>
      <c r="T5637" s="10">
        <v>83396</v>
      </c>
      <c r="U5637" s="10">
        <v>1400</v>
      </c>
    </row>
    <row r="5638" spans="1:21" x14ac:dyDescent="0.35">
      <c r="A5638" t="s">
        <v>15</v>
      </c>
      <c r="B5638" t="s">
        <v>20</v>
      </c>
      <c r="C5638" t="s">
        <v>21</v>
      </c>
      <c r="D5638">
        <v>206908</v>
      </c>
      <c r="E5638">
        <v>23920</v>
      </c>
      <c r="F5638">
        <v>34378</v>
      </c>
      <c r="G5638">
        <v>-178446</v>
      </c>
      <c r="H5638">
        <v>86760</v>
      </c>
      <c r="I5638">
        <v>84179</v>
      </c>
      <c r="J5638">
        <v>2020</v>
      </c>
      <c r="K5638">
        <v>777688</v>
      </c>
      <c r="L5638">
        <v>191923</v>
      </c>
      <c r="M5638">
        <v>-128125</v>
      </c>
      <c r="N5638">
        <v>175489</v>
      </c>
      <c r="O5638" t="s">
        <v>5656</v>
      </c>
      <c r="P5638" s="9">
        <v>245283</v>
      </c>
      <c r="Q5638" s="9">
        <v>24808</v>
      </c>
      <c r="R5638" s="9">
        <v>270091</v>
      </c>
      <c r="S5638" s="9">
        <v>-83858</v>
      </c>
      <c r="T5638" s="10">
        <v>71436</v>
      </c>
      <c r="U5638" s="10">
        <v>817</v>
      </c>
    </row>
    <row r="5639" spans="1:21" x14ac:dyDescent="0.35">
      <c r="A5639" t="s">
        <v>15</v>
      </c>
      <c r="B5639" t="s">
        <v>16</v>
      </c>
      <c r="C5639" t="s">
        <v>21</v>
      </c>
      <c r="D5639">
        <v>212733</v>
      </c>
      <c r="E5639">
        <v>33715</v>
      </c>
      <c r="F5639">
        <v>31434</v>
      </c>
      <c r="G5639">
        <v>-186840</v>
      </c>
      <c r="H5639">
        <v>91042</v>
      </c>
      <c r="I5639">
        <v>88380</v>
      </c>
      <c r="J5639">
        <v>1455</v>
      </c>
      <c r="K5639">
        <v>844755</v>
      </c>
      <c r="L5639">
        <v>116564</v>
      </c>
      <c r="M5639">
        <v>-240350</v>
      </c>
      <c r="N5639">
        <v>107344</v>
      </c>
      <c r="O5639" t="s">
        <v>5657</v>
      </c>
      <c r="P5639" s="9">
        <v>166528</v>
      </c>
      <c r="Q5639" s="9">
        <v>26503</v>
      </c>
      <c r="R5639" s="9">
        <v>193031</v>
      </c>
      <c r="S5639" s="9">
        <v>-78464</v>
      </c>
      <c r="T5639" s="10">
        <v>76491</v>
      </c>
      <c r="U5639" s="10">
        <v>1325</v>
      </c>
    </row>
    <row r="5640" spans="1:21" x14ac:dyDescent="0.35">
      <c r="A5640" t="s">
        <v>15</v>
      </c>
      <c r="B5640" t="s">
        <v>16</v>
      </c>
      <c r="C5640" t="s">
        <v>21</v>
      </c>
      <c r="D5640">
        <v>229839</v>
      </c>
      <c r="E5640">
        <v>12587</v>
      </c>
      <c r="F5640">
        <v>28133</v>
      </c>
      <c r="G5640">
        <v>-203793</v>
      </c>
      <c r="H5640">
        <v>66766</v>
      </c>
      <c r="I5640">
        <v>62532</v>
      </c>
      <c r="J5640">
        <v>1575</v>
      </c>
      <c r="K5640">
        <v>481338</v>
      </c>
      <c r="L5640">
        <v>168333</v>
      </c>
      <c r="M5640">
        <v>-81019</v>
      </c>
      <c r="N5640">
        <v>195365</v>
      </c>
      <c r="O5640" t="s">
        <v>5658</v>
      </c>
      <c r="P5640" s="9">
        <v>224717</v>
      </c>
      <c r="Q5640" s="9">
        <v>26744</v>
      </c>
      <c r="R5640" s="9">
        <v>251461</v>
      </c>
      <c r="S5640" s="9">
        <v>-66293</v>
      </c>
      <c r="T5640" s="10">
        <v>103398</v>
      </c>
      <c r="U5640" s="10">
        <v>3026</v>
      </c>
    </row>
    <row r="5641" spans="1:21" x14ac:dyDescent="0.35">
      <c r="A5641" t="s">
        <v>15</v>
      </c>
      <c r="B5641" t="s">
        <v>16</v>
      </c>
      <c r="C5641" t="s">
        <v>21</v>
      </c>
      <c r="D5641">
        <v>271233</v>
      </c>
      <c r="E5641">
        <v>46419</v>
      </c>
      <c r="F5641">
        <v>37669</v>
      </c>
      <c r="G5641">
        <v>-221824</v>
      </c>
      <c r="H5641">
        <v>133497</v>
      </c>
      <c r="I5641">
        <v>128712</v>
      </c>
      <c r="J5641">
        <v>3057</v>
      </c>
      <c r="K5641">
        <v>1077071</v>
      </c>
      <c r="L5641">
        <v>300245</v>
      </c>
      <c r="M5641">
        <v>-185622</v>
      </c>
      <c r="N5641">
        <v>239621</v>
      </c>
      <c r="O5641" t="s">
        <v>5659</v>
      </c>
      <c r="P5641" s="9">
        <v>258789</v>
      </c>
      <c r="Q5641" s="9">
        <v>19991</v>
      </c>
      <c r="R5641" s="9">
        <v>278780</v>
      </c>
      <c r="S5641" s="9">
        <v>-67996</v>
      </c>
      <c r="T5641" s="10">
        <v>102963</v>
      </c>
      <c r="U5641" s="10">
        <v>1653</v>
      </c>
    </row>
    <row r="5642" spans="1:21" x14ac:dyDescent="0.35">
      <c r="A5642" t="s">
        <v>15</v>
      </c>
      <c r="B5642" t="s">
        <v>16</v>
      </c>
      <c r="C5642" t="s">
        <v>21</v>
      </c>
      <c r="D5642">
        <v>214672</v>
      </c>
      <c r="E5642">
        <v>13654</v>
      </c>
      <c r="F5642">
        <v>33211</v>
      </c>
      <c r="G5642">
        <v>-191055</v>
      </c>
      <c r="H5642">
        <v>70482</v>
      </c>
      <c r="I5642">
        <v>66789</v>
      </c>
      <c r="J5642">
        <v>1394</v>
      </c>
      <c r="K5642">
        <v>459287</v>
      </c>
      <c r="L5642">
        <v>112726</v>
      </c>
      <c r="M5642">
        <v>-83006</v>
      </c>
      <c r="N5642">
        <v>149822</v>
      </c>
      <c r="O5642" t="s">
        <v>5660</v>
      </c>
      <c r="P5642" s="9">
        <v>228322</v>
      </c>
      <c r="Q5642" s="9">
        <v>29840</v>
      </c>
      <c r="R5642" s="9">
        <v>258162</v>
      </c>
      <c r="S5642" s="9">
        <v>-78684</v>
      </c>
      <c r="T5642" s="10">
        <v>100015</v>
      </c>
      <c r="U5642" s="10">
        <v>1857</v>
      </c>
    </row>
    <row r="5643" spans="1:21" x14ac:dyDescent="0.35">
      <c r="A5643" t="s">
        <v>15</v>
      </c>
      <c r="B5643" t="s">
        <v>20</v>
      </c>
      <c r="C5643" t="s">
        <v>21</v>
      </c>
      <c r="D5643">
        <v>213820</v>
      </c>
      <c r="E5643">
        <v>12926</v>
      </c>
      <c r="F5643">
        <v>47825</v>
      </c>
      <c r="G5643">
        <v>-197839</v>
      </c>
      <c r="H5643">
        <v>76732</v>
      </c>
      <c r="I5643">
        <v>73925</v>
      </c>
      <c r="J5643">
        <v>1821</v>
      </c>
      <c r="K5643">
        <v>620921</v>
      </c>
      <c r="L5643">
        <v>187027</v>
      </c>
      <c r="M5643">
        <v>-182804</v>
      </c>
      <c r="N5643">
        <v>70067</v>
      </c>
      <c r="O5643" t="s">
        <v>5661</v>
      </c>
      <c r="P5643" s="9">
        <v>203811</v>
      </c>
      <c r="Q5643" s="9">
        <v>21616</v>
      </c>
      <c r="R5643" s="9">
        <v>225427</v>
      </c>
      <c r="S5643" s="9">
        <v>-83538</v>
      </c>
      <c r="T5643" s="10">
        <v>82172</v>
      </c>
      <c r="U5643" s="10">
        <v>1598</v>
      </c>
    </row>
    <row r="5644" spans="1:21" x14ac:dyDescent="0.35">
      <c r="A5644" t="s">
        <v>15</v>
      </c>
      <c r="B5644" t="s">
        <v>16</v>
      </c>
      <c r="C5644" t="s">
        <v>21</v>
      </c>
      <c r="D5644">
        <v>298460</v>
      </c>
      <c r="E5644">
        <v>49163</v>
      </c>
      <c r="F5644">
        <v>63210</v>
      </c>
      <c r="G5644">
        <v>-278292</v>
      </c>
      <c r="H5644">
        <v>132541</v>
      </c>
      <c r="I5644">
        <v>123064</v>
      </c>
      <c r="J5644">
        <v>2491</v>
      </c>
      <c r="K5644">
        <v>884646</v>
      </c>
      <c r="L5644">
        <v>309381</v>
      </c>
      <c r="M5644">
        <v>-205731</v>
      </c>
      <c r="N5644">
        <v>243762</v>
      </c>
      <c r="O5644" t="s">
        <v>5662</v>
      </c>
      <c r="P5644" s="9">
        <v>207158</v>
      </c>
      <c r="Q5644" s="9">
        <v>35601</v>
      </c>
      <c r="R5644" s="9">
        <v>242759</v>
      </c>
      <c r="S5644" s="9">
        <v>-119759</v>
      </c>
      <c r="T5644" s="10">
        <v>78314</v>
      </c>
      <c r="U5644" s="10">
        <v>2103</v>
      </c>
    </row>
    <row r="5645" spans="1:21" x14ac:dyDescent="0.35">
      <c r="A5645" t="s">
        <v>15</v>
      </c>
      <c r="B5645" t="s">
        <v>20</v>
      </c>
      <c r="C5645" t="s">
        <v>21</v>
      </c>
      <c r="D5645">
        <v>270213</v>
      </c>
      <c r="E5645">
        <v>29874</v>
      </c>
      <c r="F5645">
        <v>41466</v>
      </c>
      <c r="G5645">
        <v>-261401</v>
      </c>
      <c r="H5645">
        <v>80152</v>
      </c>
      <c r="I5645">
        <v>75871</v>
      </c>
      <c r="J5645">
        <v>2222</v>
      </c>
      <c r="K5645">
        <v>760887</v>
      </c>
      <c r="L5645">
        <v>339151</v>
      </c>
      <c r="M5645">
        <v>-239440</v>
      </c>
      <c r="N5645">
        <v>112137</v>
      </c>
      <c r="O5645" t="s">
        <v>5663</v>
      </c>
      <c r="P5645" s="9">
        <v>171943</v>
      </c>
      <c r="Q5645" s="9">
        <v>31818</v>
      </c>
      <c r="R5645" s="9">
        <v>203761</v>
      </c>
      <c r="S5645" s="9">
        <v>-104947</v>
      </c>
      <c r="T5645" s="10">
        <v>50779</v>
      </c>
      <c r="U5645" s="10">
        <v>1257</v>
      </c>
    </row>
    <row r="5646" spans="1:21" x14ac:dyDescent="0.35">
      <c r="A5646" t="s">
        <v>15</v>
      </c>
      <c r="B5646" t="s">
        <v>16</v>
      </c>
      <c r="C5646" t="s">
        <v>21</v>
      </c>
      <c r="D5646">
        <v>187959</v>
      </c>
      <c r="E5646">
        <v>17102</v>
      </c>
      <c r="F5646">
        <v>32926</v>
      </c>
      <c r="G5646">
        <v>-180373</v>
      </c>
      <c r="H5646">
        <v>57614</v>
      </c>
      <c r="I5646">
        <v>59153</v>
      </c>
      <c r="J5646">
        <v>1327</v>
      </c>
      <c r="K5646">
        <v>471829</v>
      </c>
      <c r="L5646">
        <v>118717</v>
      </c>
      <c r="M5646">
        <v>-84736</v>
      </c>
      <c r="N5646">
        <v>118788</v>
      </c>
      <c r="O5646" t="s">
        <v>5664</v>
      </c>
      <c r="P5646" s="9">
        <v>154048</v>
      </c>
      <c r="Q5646" s="9">
        <v>10036</v>
      </c>
      <c r="R5646" s="9">
        <v>164084</v>
      </c>
      <c r="S5646" s="9">
        <v>-81655</v>
      </c>
      <c r="T5646" s="10">
        <v>71726</v>
      </c>
      <c r="U5646" s="10">
        <v>1819</v>
      </c>
    </row>
    <row r="5647" spans="1:21" x14ac:dyDescent="0.35">
      <c r="A5647" t="s">
        <v>15</v>
      </c>
      <c r="B5647" t="s">
        <v>20</v>
      </c>
      <c r="C5647" t="s">
        <v>17</v>
      </c>
      <c r="D5647">
        <v>274608</v>
      </c>
      <c r="E5647">
        <v>52389</v>
      </c>
      <c r="F5647">
        <v>49192</v>
      </c>
      <c r="G5647">
        <v>-233500</v>
      </c>
      <c r="H5647">
        <v>142689</v>
      </c>
      <c r="I5647">
        <v>133836</v>
      </c>
      <c r="J5647">
        <v>3916</v>
      </c>
      <c r="K5647">
        <v>988662</v>
      </c>
      <c r="L5647">
        <v>412776</v>
      </c>
      <c r="M5647">
        <v>-327692</v>
      </c>
      <c r="N5647">
        <v>140686</v>
      </c>
      <c r="O5647" t="s">
        <v>5665</v>
      </c>
      <c r="P5647" s="9">
        <v>186279</v>
      </c>
      <c r="Q5647" s="9">
        <v>26535</v>
      </c>
      <c r="R5647" s="9">
        <v>212814</v>
      </c>
      <c r="S5647" s="9">
        <v>-89114</v>
      </c>
      <c r="T5647" s="10">
        <v>90299</v>
      </c>
      <c r="U5647" s="10">
        <v>2470</v>
      </c>
    </row>
    <row r="5648" spans="1:21" x14ac:dyDescent="0.35">
      <c r="A5648" t="s">
        <v>15</v>
      </c>
      <c r="B5648" t="s">
        <v>16</v>
      </c>
      <c r="C5648" t="s">
        <v>17</v>
      </c>
      <c r="D5648">
        <v>159124</v>
      </c>
      <c r="E5648">
        <v>19736</v>
      </c>
      <c r="F5648">
        <v>22386</v>
      </c>
      <c r="G5648">
        <v>-130854</v>
      </c>
      <c r="H5648">
        <v>70392</v>
      </c>
      <c r="I5648">
        <v>69650</v>
      </c>
      <c r="J5648">
        <v>1304</v>
      </c>
      <c r="K5648">
        <v>420570</v>
      </c>
      <c r="L5648">
        <v>102645</v>
      </c>
      <c r="M5648">
        <v>-134825</v>
      </c>
      <c r="N5648">
        <v>62197</v>
      </c>
      <c r="O5648" t="s">
        <v>5666</v>
      </c>
      <c r="P5648" s="9">
        <v>206437</v>
      </c>
      <c r="Q5648" s="9">
        <v>16350</v>
      </c>
      <c r="R5648" s="9">
        <v>222787</v>
      </c>
      <c r="S5648" s="9">
        <v>-72931</v>
      </c>
      <c r="T5648" s="10">
        <v>65065</v>
      </c>
      <c r="U5648" s="10">
        <v>1894</v>
      </c>
    </row>
    <row r="5649" spans="1:21" x14ac:dyDescent="0.35">
      <c r="A5649" t="s">
        <v>15</v>
      </c>
      <c r="B5649" t="s">
        <v>20</v>
      </c>
      <c r="C5649" t="s">
        <v>21</v>
      </c>
      <c r="D5649">
        <v>187200</v>
      </c>
      <c r="E5649">
        <v>34721</v>
      </c>
      <c r="F5649">
        <v>25204</v>
      </c>
      <c r="G5649">
        <v>-158977</v>
      </c>
      <c r="H5649">
        <v>88148</v>
      </c>
      <c r="I5649">
        <v>81990</v>
      </c>
      <c r="J5649">
        <v>2054</v>
      </c>
      <c r="K5649">
        <v>429623</v>
      </c>
      <c r="L5649">
        <v>209421</v>
      </c>
      <c r="M5649">
        <v>-50489</v>
      </c>
      <c r="N5649">
        <v>119339</v>
      </c>
      <c r="O5649" t="s">
        <v>5667</v>
      </c>
      <c r="P5649" s="9">
        <v>199371</v>
      </c>
      <c r="Q5649" s="9">
        <v>27216</v>
      </c>
      <c r="R5649" s="9">
        <v>226587</v>
      </c>
      <c r="S5649" s="9">
        <v>-123599</v>
      </c>
      <c r="T5649" s="10">
        <v>75408</v>
      </c>
      <c r="U5649" s="10">
        <v>1057</v>
      </c>
    </row>
    <row r="5650" spans="1:21" x14ac:dyDescent="0.35">
      <c r="A5650" t="s">
        <v>15</v>
      </c>
      <c r="B5650" t="s">
        <v>20</v>
      </c>
      <c r="C5650" t="s">
        <v>17</v>
      </c>
      <c r="D5650">
        <v>239844</v>
      </c>
      <c r="E5650">
        <v>44445</v>
      </c>
      <c r="F5650">
        <v>56054</v>
      </c>
      <c r="G5650">
        <v>-228060</v>
      </c>
      <c r="H5650">
        <v>112283</v>
      </c>
      <c r="I5650">
        <v>105063</v>
      </c>
      <c r="J5650">
        <v>2619</v>
      </c>
      <c r="K5650">
        <v>781532</v>
      </c>
      <c r="L5650">
        <v>330555</v>
      </c>
      <c r="M5650">
        <v>-138986</v>
      </c>
      <c r="N5650">
        <v>180624</v>
      </c>
      <c r="O5650" t="s">
        <v>5668</v>
      </c>
      <c r="P5650" s="9">
        <v>197268</v>
      </c>
      <c r="Q5650" s="9">
        <v>14465</v>
      </c>
      <c r="R5650" s="9">
        <v>211733</v>
      </c>
      <c r="S5650" s="9">
        <v>-115511</v>
      </c>
      <c r="T5650" s="10">
        <v>73311</v>
      </c>
      <c r="U5650" s="10">
        <v>1270</v>
      </c>
    </row>
    <row r="5651" spans="1:21" x14ac:dyDescent="0.35">
      <c r="A5651" t="s">
        <v>15</v>
      </c>
      <c r="B5651" t="s">
        <v>16</v>
      </c>
      <c r="C5651" t="s">
        <v>21</v>
      </c>
      <c r="D5651">
        <v>278122</v>
      </c>
      <c r="E5651">
        <v>18756</v>
      </c>
      <c r="F5651">
        <v>54266</v>
      </c>
      <c r="G5651">
        <v>-262348</v>
      </c>
      <c r="H5651">
        <v>88796</v>
      </c>
      <c r="I5651">
        <v>83747</v>
      </c>
      <c r="J5651">
        <v>1848</v>
      </c>
      <c r="K5651">
        <v>1033026</v>
      </c>
      <c r="L5651">
        <v>327189</v>
      </c>
      <c r="M5651">
        <v>-245122</v>
      </c>
      <c r="N5651">
        <v>203156</v>
      </c>
      <c r="O5651" t="s">
        <v>5669</v>
      </c>
      <c r="P5651" s="9">
        <v>275971</v>
      </c>
      <c r="Q5651" s="9">
        <v>19930</v>
      </c>
      <c r="R5651" s="9">
        <v>295901</v>
      </c>
      <c r="S5651" s="9">
        <v>-66924</v>
      </c>
      <c r="T5651" s="10">
        <v>85369</v>
      </c>
      <c r="U5651" s="10">
        <v>1762</v>
      </c>
    </row>
    <row r="5652" spans="1:21" x14ac:dyDescent="0.35">
      <c r="A5652" t="s">
        <v>15</v>
      </c>
      <c r="B5652" t="s">
        <v>16</v>
      </c>
      <c r="C5652" t="s">
        <v>17</v>
      </c>
      <c r="D5652">
        <v>179668</v>
      </c>
      <c r="E5652">
        <v>9913</v>
      </c>
      <c r="F5652">
        <v>29981</v>
      </c>
      <c r="G5652">
        <v>-165102</v>
      </c>
      <c r="H5652">
        <v>54460</v>
      </c>
      <c r="I5652">
        <v>57108</v>
      </c>
      <c r="J5652">
        <v>662</v>
      </c>
      <c r="K5652">
        <v>493193</v>
      </c>
      <c r="L5652">
        <v>246544</v>
      </c>
      <c r="M5652">
        <v>-129462</v>
      </c>
      <c r="N5652">
        <v>158881</v>
      </c>
      <c r="O5652" t="s">
        <v>5670</v>
      </c>
      <c r="P5652" s="9">
        <v>215569</v>
      </c>
      <c r="Q5652" s="9">
        <v>12982</v>
      </c>
      <c r="R5652" s="9">
        <v>228551</v>
      </c>
      <c r="S5652" s="9">
        <v>-61506</v>
      </c>
      <c r="T5652" s="10">
        <v>69034</v>
      </c>
      <c r="U5652" s="10">
        <v>1023</v>
      </c>
    </row>
    <row r="5653" spans="1:21" x14ac:dyDescent="0.35">
      <c r="A5653" t="s">
        <v>15</v>
      </c>
      <c r="B5653" t="s">
        <v>16</v>
      </c>
      <c r="C5653" t="s">
        <v>21</v>
      </c>
      <c r="D5653">
        <v>277884</v>
      </c>
      <c r="E5653">
        <v>30717</v>
      </c>
      <c r="F5653">
        <v>32074</v>
      </c>
      <c r="G5653">
        <v>-258542</v>
      </c>
      <c r="H5653">
        <v>82133</v>
      </c>
      <c r="I5653">
        <v>74836</v>
      </c>
      <c r="J5653">
        <v>770</v>
      </c>
      <c r="K5653">
        <v>893643</v>
      </c>
      <c r="L5653">
        <v>97274</v>
      </c>
      <c r="M5653">
        <v>-236120</v>
      </c>
      <c r="N5653">
        <v>176650</v>
      </c>
      <c r="O5653" t="s">
        <v>5671</v>
      </c>
      <c r="P5653" s="9">
        <v>187444</v>
      </c>
      <c r="Q5653" s="9">
        <v>21749</v>
      </c>
      <c r="R5653" s="9">
        <v>209193</v>
      </c>
      <c r="S5653" s="9">
        <v>-104638</v>
      </c>
      <c r="T5653" s="10">
        <v>94199</v>
      </c>
      <c r="U5653" s="10">
        <v>1587</v>
      </c>
    </row>
    <row r="5654" spans="1:21" x14ac:dyDescent="0.35">
      <c r="A5654" t="s">
        <v>15</v>
      </c>
      <c r="B5654" t="s">
        <v>16</v>
      </c>
      <c r="C5654" t="s">
        <v>17</v>
      </c>
      <c r="D5654">
        <v>213183</v>
      </c>
      <c r="E5654">
        <v>21306</v>
      </c>
      <c r="F5654">
        <v>22086</v>
      </c>
      <c r="G5654">
        <v>-212686</v>
      </c>
      <c r="H5654">
        <v>43889</v>
      </c>
      <c r="I5654">
        <v>40878</v>
      </c>
      <c r="J5654">
        <v>475</v>
      </c>
      <c r="K5654">
        <v>519148</v>
      </c>
      <c r="L5654">
        <v>84942</v>
      </c>
      <c r="M5654">
        <v>-207480</v>
      </c>
      <c r="N5654">
        <v>99259</v>
      </c>
      <c r="O5654" t="s">
        <v>5672</v>
      </c>
      <c r="P5654" s="9">
        <v>246453</v>
      </c>
      <c r="Q5654" s="9">
        <v>22215</v>
      </c>
      <c r="R5654" s="9">
        <v>268668</v>
      </c>
      <c r="S5654" s="9">
        <v>-156997</v>
      </c>
      <c r="T5654" s="10">
        <v>97868</v>
      </c>
      <c r="U5654" s="10">
        <v>2798</v>
      </c>
    </row>
    <row r="5655" spans="1:21" x14ac:dyDescent="0.35">
      <c r="A5655" t="s">
        <v>15</v>
      </c>
      <c r="B5655" t="s">
        <v>16</v>
      </c>
      <c r="C5655" t="s">
        <v>17</v>
      </c>
      <c r="D5655">
        <v>175948</v>
      </c>
      <c r="E5655">
        <v>33103</v>
      </c>
      <c r="F5655">
        <v>28616</v>
      </c>
      <c r="G5655">
        <v>-150512</v>
      </c>
      <c r="H5655">
        <v>87155</v>
      </c>
      <c r="I5655">
        <v>80971</v>
      </c>
      <c r="J5655">
        <v>1925</v>
      </c>
      <c r="K5655">
        <v>626237</v>
      </c>
      <c r="L5655">
        <v>286267</v>
      </c>
      <c r="M5655">
        <v>-84401</v>
      </c>
      <c r="N5655">
        <v>68268</v>
      </c>
      <c r="O5655" t="s">
        <v>5673</v>
      </c>
      <c r="P5655" s="9">
        <v>233021</v>
      </c>
      <c r="Q5655" s="9">
        <v>33516</v>
      </c>
      <c r="R5655" s="9">
        <v>266537</v>
      </c>
      <c r="S5655" s="9">
        <v>-142214</v>
      </c>
      <c r="T5655" s="10">
        <v>93457</v>
      </c>
      <c r="U5655" s="10">
        <v>2178</v>
      </c>
    </row>
    <row r="5656" spans="1:21" x14ac:dyDescent="0.35">
      <c r="A5656" t="s">
        <v>15</v>
      </c>
      <c r="B5656" t="s">
        <v>20</v>
      </c>
      <c r="C5656" t="s">
        <v>21</v>
      </c>
      <c r="D5656">
        <v>267278</v>
      </c>
      <c r="E5656">
        <v>25075</v>
      </c>
      <c r="F5656">
        <v>36475</v>
      </c>
      <c r="G5656">
        <v>-236669</v>
      </c>
      <c r="H5656">
        <v>92159</v>
      </c>
      <c r="I5656">
        <v>93446</v>
      </c>
      <c r="J5656">
        <v>2471</v>
      </c>
      <c r="K5656">
        <v>627685</v>
      </c>
      <c r="L5656">
        <v>237533</v>
      </c>
      <c r="M5656">
        <v>-98801</v>
      </c>
      <c r="N5656">
        <v>191445</v>
      </c>
      <c r="O5656" t="s">
        <v>5674</v>
      </c>
      <c r="P5656" s="9">
        <v>273064</v>
      </c>
      <c r="Q5656" s="9">
        <v>30909</v>
      </c>
      <c r="R5656" s="9">
        <v>303973</v>
      </c>
      <c r="S5656" s="9">
        <v>-156835</v>
      </c>
      <c r="T5656" s="10">
        <v>76860</v>
      </c>
      <c r="U5656" s="10">
        <v>2033</v>
      </c>
    </row>
    <row r="5657" spans="1:21" x14ac:dyDescent="0.35">
      <c r="A5657" t="s">
        <v>15</v>
      </c>
      <c r="B5657" t="s">
        <v>16</v>
      </c>
      <c r="C5657" t="s">
        <v>21</v>
      </c>
      <c r="D5657">
        <v>154948</v>
      </c>
      <c r="E5657">
        <v>9614</v>
      </c>
      <c r="F5657">
        <v>17705</v>
      </c>
      <c r="G5657">
        <v>-144324</v>
      </c>
      <c r="H5657">
        <v>37943</v>
      </c>
      <c r="I5657">
        <v>38248</v>
      </c>
      <c r="J5657">
        <v>775</v>
      </c>
      <c r="K5657">
        <v>397290</v>
      </c>
      <c r="L5657">
        <v>71669</v>
      </c>
      <c r="M5657">
        <v>-140146</v>
      </c>
      <c r="N5657">
        <v>79441</v>
      </c>
      <c r="O5657" t="s">
        <v>5675</v>
      </c>
      <c r="P5657" s="9">
        <v>321424</v>
      </c>
      <c r="Q5657" s="9">
        <v>20900</v>
      </c>
      <c r="R5657" s="9">
        <v>342324</v>
      </c>
      <c r="S5657" s="9">
        <v>-182334</v>
      </c>
      <c r="T5657" s="10">
        <v>139361</v>
      </c>
      <c r="U5657" s="10">
        <v>3307</v>
      </c>
    </row>
    <row r="5658" spans="1:21" x14ac:dyDescent="0.35">
      <c r="A5658" t="s">
        <v>15</v>
      </c>
      <c r="B5658" t="s">
        <v>20</v>
      </c>
      <c r="C5658" t="s">
        <v>17</v>
      </c>
      <c r="D5658">
        <v>265470</v>
      </c>
      <c r="E5658">
        <v>17420</v>
      </c>
      <c r="F5658">
        <v>37610</v>
      </c>
      <c r="G5658">
        <v>-243773</v>
      </c>
      <c r="H5658">
        <v>76727</v>
      </c>
      <c r="I5658">
        <v>74582</v>
      </c>
      <c r="J5658">
        <v>1454</v>
      </c>
      <c r="K5658">
        <v>655417</v>
      </c>
      <c r="L5658">
        <v>235279</v>
      </c>
      <c r="M5658">
        <v>-181959</v>
      </c>
      <c r="N5658">
        <v>233016</v>
      </c>
      <c r="O5658" t="s">
        <v>5676</v>
      </c>
      <c r="P5658" s="9">
        <v>186203</v>
      </c>
      <c r="Q5658" s="9">
        <v>35026</v>
      </c>
      <c r="R5658" s="9">
        <v>221229</v>
      </c>
      <c r="S5658" s="9">
        <v>-48155</v>
      </c>
      <c r="T5658" s="10">
        <v>88102</v>
      </c>
      <c r="U5658" s="10">
        <v>1252</v>
      </c>
    </row>
    <row r="5659" spans="1:21" x14ac:dyDescent="0.35">
      <c r="A5659" t="s">
        <v>15</v>
      </c>
      <c r="B5659" t="s">
        <v>20</v>
      </c>
      <c r="C5659" t="s">
        <v>21</v>
      </c>
      <c r="D5659">
        <v>266914</v>
      </c>
      <c r="E5659">
        <v>24952</v>
      </c>
      <c r="F5659">
        <v>64719</v>
      </c>
      <c r="G5659">
        <v>-262085</v>
      </c>
      <c r="H5659">
        <v>94500</v>
      </c>
      <c r="I5659">
        <v>91275</v>
      </c>
      <c r="J5659">
        <v>2385</v>
      </c>
      <c r="K5659">
        <v>870688</v>
      </c>
      <c r="L5659">
        <v>429350</v>
      </c>
      <c r="M5659">
        <v>-111271</v>
      </c>
      <c r="N5659">
        <v>227910</v>
      </c>
      <c r="O5659" t="s">
        <v>5677</v>
      </c>
      <c r="P5659" s="9">
        <v>155547</v>
      </c>
      <c r="Q5659" s="9">
        <v>21648</v>
      </c>
      <c r="R5659" s="9">
        <v>177195</v>
      </c>
      <c r="S5659" s="9">
        <v>-50381</v>
      </c>
      <c r="T5659" s="10">
        <v>71354</v>
      </c>
      <c r="U5659" s="10">
        <v>2089</v>
      </c>
    </row>
    <row r="5660" spans="1:21" x14ac:dyDescent="0.35">
      <c r="A5660" t="s">
        <v>15</v>
      </c>
      <c r="B5660" t="s">
        <v>20</v>
      </c>
      <c r="C5660" t="s">
        <v>21</v>
      </c>
      <c r="D5660">
        <v>272877</v>
      </c>
      <c r="E5660">
        <v>44866</v>
      </c>
      <c r="F5660">
        <v>29973</v>
      </c>
      <c r="G5660">
        <v>-269983</v>
      </c>
      <c r="H5660">
        <v>77733</v>
      </c>
      <c r="I5660">
        <v>72772</v>
      </c>
      <c r="J5660">
        <v>2001</v>
      </c>
      <c r="K5660">
        <v>1006860</v>
      </c>
      <c r="L5660">
        <v>248669</v>
      </c>
      <c r="M5660">
        <v>-219320</v>
      </c>
      <c r="N5660">
        <v>126905</v>
      </c>
      <c r="O5660" t="s">
        <v>5678</v>
      </c>
      <c r="P5660" s="9">
        <v>256161</v>
      </c>
      <c r="Q5660" s="9">
        <v>39232</v>
      </c>
      <c r="R5660" s="9">
        <v>295393</v>
      </c>
      <c r="S5660" s="9">
        <v>-112498</v>
      </c>
      <c r="T5660" s="10">
        <v>156893</v>
      </c>
      <c r="U5660" s="10">
        <v>2568</v>
      </c>
    </row>
    <row r="5661" spans="1:21" x14ac:dyDescent="0.35">
      <c r="A5661" t="s">
        <v>15</v>
      </c>
      <c r="B5661" t="s">
        <v>16</v>
      </c>
      <c r="C5661" t="s">
        <v>21</v>
      </c>
      <c r="D5661">
        <v>290609</v>
      </c>
      <c r="E5661">
        <v>18737</v>
      </c>
      <c r="F5661">
        <v>40265</v>
      </c>
      <c r="G5661">
        <v>-247618</v>
      </c>
      <c r="H5661">
        <v>101993</v>
      </c>
      <c r="I5661">
        <v>106140</v>
      </c>
      <c r="J5661">
        <v>2378</v>
      </c>
      <c r="K5661">
        <v>781576</v>
      </c>
      <c r="L5661">
        <v>182516</v>
      </c>
      <c r="M5661">
        <v>-107629</v>
      </c>
      <c r="N5661">
        <v>193735</v>
      </c>
      <c r="O5661" t="s">
        <v>5679</v>
      </c>
      <c r="P5661" s="9">
        <v>269629</v>
      </c>
      <c r="Q5661" s="9">
        <v>23982</v>
      </c>
      <c r="R5661" s="9">
        <v>293611</v>
      </c>
      <c r="S5661" s="9">
        <v>-60941</v>
      </c>
      <c r="T5661" s="10">
        <v>89730</v>
      </c>
      <c r="U5661" s="10">
        <v>2196</v>
      </c>
    </row>
    <row r="5662" spans="1:21" x14ac:dyDescent="0.35">
      <c r="A5662" t="s">
        <v>15</v>
      </c>
      <c r="B5662" t="s">
        <v>16</v>
      </c>
      <c r="C5662" t="s">
        <v>21</v>
      </c>
      <c r="D5662">
        <v>152045</v>
      </c>
      <c r="E5662">
        <v>23203</v>
      </c>
      <c r="F5662">
        <v>22221</v>
      </c>
      <c r="G5662">
        <v>-149332</v>
      </c>
      <c r="H5662">
        <v>48137</v>
      </c>
      <c r="I5662">
        <v>49550</v>
      </c>
      <c r="J5662">
        <v>840</v>
      </c>
      <c r="K5662">
        <v>512639</v>
      </c>
      <c r="L5662">
        <v>97229</v>
      </c>
      <c r="M5662">
        <v>-78717</v>
      </c>
      <c r="N5662">
        <v>132043</v>
      </c>
      <c r="O5662" t="s">
        <v>5680</v>
      </c>
      <c r="P5662" s="9">
        <v>217584</v>
      </c>
      <c r="Q5662" s="9">
        <v>29451</v>
      </c>
      <c r="R5662" s="9">
        <v>247035</v>
      </c>
      <c r="S5662" s="9">
        <v>-103822</v>
      </c>
      <c r="T5662" s="10">
        <v>56219</v>
      </c>
      <c r="U5662" s="10">
        <v>704</v>
      </c>
    </row>
    <row r="5663" spans="1:21" x14ac:dyDescent="0.35">
      <c r="A5663" t="s">
        <v>15</v>
      </c>
      <c r="B5663" t="s">
        <v>16</v>
      </c>
      <c r="C5663" t="s">
        <v>21</v>
      </c>
      <c r="D5663">
        <v>282449</v>
      </c>
      <c r="E5663">
        <v>35495</v>
      </c>
      <c r="F5663">
        <v>67189</v>
      </c>
      <c r="G5663">
        <v>-253647</v>
      </c>
      <c r="H5663">
        <v>131486</v>
      </c>
      <c r="I5663">
        <v>131957</v>
      </c>
      <c r="J5663">
        <v>1399</v>
      </c>
      <c r="K5663">
        <v>813575</v>
      </c>
      <c r="L5663">
        <v>202286</v>
      </c>
      <c r="M5663">
        <v>-132006</v>
      </c>
      <c r="N5663">
        <v>136123</v>
      </c>
      <c r="O5663" t="s">
        <v>5681</v>
      </c>
      <c r="P5663" s="9">
        <v>291355</v>
      </c>
      <c r="Q5663" s="9">
        <v>50786</v>
      </c>
      <c r="R5663" s="9">
        <v>342141</v>
      </c>
      <c r="S5663" s="9">
        <v>-188167</v>
      </c>
      <c r="T5663" s="10">
        <v>87035</v>
      </c>
      <c r="U5663" s="10">
        <v>2103</v>
      </c>
    </row>
    <row r="5664" spans="1:21" x14ac:dyDescent="0.35">
      <c r="A5664" t="s">
        <v>15</v>
      </c>
      <c r="B5664" t="s">
        <v>20</v>
      </c>
      <c r="C5664" t="s">
        <v>21</v>
      </c>
      <c r="D5664">
        <v>161510</v>
      </c>
      <c r="E5664">
        <v>23213</v>
      </c>
      <c r="F5664">
        <v>17088</v>
      </c>
      <c r="G5664">
        <v>-131296</v>
      </c>
      <c r="H5664">
        <v>70515</v>
      </c>
      <c r="I5664">
        <v>73440</v>
      </c>
      <c r="J5664">
        <v>1914</v>
      </c>
      <c r="K5664">
        <v>532916</v>
      </c>
      <c r="L5664">
        <v>258787</v>
      </c>
      <c r="M5664">
        <v>-93102</v>
      </c>
      <c r="N5664">
        <v>119446</v>
      </c>
      <c r="O5664" t="s">
        <v>5682</v>
      </c>
      <c r="P5664" s="9">
        <v>229248</v>
      </c>
      <c r="Q5664" s="9">
        <v>42197</v>
      </c>
      <c r="R5664" s="9">
        <v>271445</v>
      </c>
      <c r="S5664" s="9">
        <v>-69188</v>
      </c>
      <c r="T5664" s="10">
        <v>106220</v>
      </c>
      <c r="U5664" s="10">
        <v>2846</v>
      </c>
    </row>
    <row r="5665" spans="1:21" x14ac:dyDescent="0.35">
      <c r="A5665" t="s">
        <v>15</v>
      </c>
      <c r="B5665" t="s">
        <v>20</v>
      </c>
      <c r="C5665" t="s">
        <v>21</v>
      </c>
      <c r="D5665">
        <v>167686</v>
      </c>
      <c r="E5665">
        <v>17963</v>
      </c>
      <c r="F5665">
        <v>26035</v>
      </c>
      <c r="G5665">
        <v>-146844</v>
      </c>
      <c r="H5665">
        <v>64840</v>
      </c>
      <c r="I5665">
        <v>60359</v>
      </c>
      <c r="J5665">
        <v>1491</v>
      </c>
      <c r="K5665">
        <v>466020</v>
      </c>
      <c r="L5665">
        <v>126095</v>
      </c>
      <c r="M5665">
        <v>-144913</v>
      </c>
      <c r="N5665">
        <v>73330</v>
      </c>
      <c r="O5665" t="s">
        <v>5683</v>
      </c>
      <c r="P5665" s="9">
        <v>161596</v>
      </c>
      <c r="Q5665" s="9">
        <v>9819</v>
      </c>
      <c r="R5665" s="9">
        <v>171415</v>
      </c>
      <c r="S5665" s="9">
        <v>-74672</v>
      </c>
      <c r="T5665" s="10">
        <v>40757</v>
      </c>
      <c r="U5665" s="10">
        <v>724</v>
      </c>
    </row>
    <row r="5666" spans="1:21" x14ac:dyDescent="0.35">
      <c r="A5666" t="s">
        <v>15</v>
      </c>
      <c r="B5666" t="s">
        <v>20</v>
      </c>
      <c r="C5666" t="s">
        <v>21</v>
      </c>
      <c r="D5666">
        <v>193775</v>
      </c>
      <c r="E5666">
        <v>11443</v>
      </c>
      <c r="F5666">
        <v>39281</v>
      </c>
      <c r="G5666">
        <v>-175618</v>
      </c>
      <c r="H5666">
        <v>68881</v>
      </c>
      <c r="I5666">
        <v>67060</v>
      </c>
      <c r="J5666">
        <v>700</v>
      </c>
      <c r="K5666">
        <v>459835</v>
      </c>
      <c r="L5666">
        <v>75506</v>
      </c>
      <c r="M5666">
        <v>-112787</v>
      </c>
      <c r="N5666">
        <v>166202</v>
      </c>
      <c r="O5666" t="s">
        <v>5684</v>
      </c>
      <c r="P5666" s="9">
        <v>205037</v>
      </c>
      <c r="Q5666" s="9">
        <v>19862</v>
      </c>
      <c r="R5666" s="9">
        <v>224899</v>
      </c>
      <c r="S5666" s="9">
        <v>-69611</v>
      </c>
      <c r="T5666" s="10">
        <v>83707</v>
      </c>
      <c r="U5666" s="10">
        <v>1175</v>
      </c>
    </row>
    <row r="5667" spans="1:21" x14ac:dyDescent="0.35">
      <c r="A5667" t="s">
        <v>15</v>
      </c>
      <c r="B5667" t="s">
        <v>16</v>
      </c>
      <c r="C5667" t="s">
        <v>21</v>
      </c>
      <c r="D5667">
        <v>156545</v>
      </c>
      <c r="E5667">
        <v>16061</v>
      </c>
      <c r="F5667">
        <v>23453</v>
      </c>
      <c r="G5667">
        <v>-126442</v>
      </c>
      <c r="H5667">
        <v>69617</v>
      </c>
      <c r="I5667">
        <v>67427</v>
      </c>
      <c r="J5667">
        <v>993</v>
      </c>
      <c r="K5667">
        <v>417838</v>
      </c>
      <c r="L5667">
        <v>88626</v>
      </c>
      <c r="M5667">
        <v>-65342</v>
      </c>
      <c r="N5667">
        <v>137317</v>
      </c>
      <c r="O5667" t="s">
        <v>5685</v>
      </c>
      <c r="P5667" s="9">
        <v>273323</v>
      </c>
      <c r="Q5667" s="9">
        <v>43805</v>
      </c>
      <c r="R5667" s="9">
        <v>317128</v>
      </c>
      <c r="S5667" s="9">
        <v>-160381</v>
      </c>
      <c r="T5667" s="10">
        <v>108336</v>
      </c>
      <c r="U5667" s="10">
        <v>3057</v>
      </c>
    </row>
    <row r="5668" spans="1:21" x14ac:dyDescent="0.35">
      <c r="A5668" t="s">
        <v>15</v>
      </c>
      <c r="B5668" t="s">
        <v>20</v>
      </c>
      <c r="C5668" t="s">
        <v>17</v>
      </c>
      <c r="D5668">
        <v>292521</v>
      </c>
      <c r="E5668">
        <v>23451</v>
      </c>
      <c r="F5668">
        <v>72957</v>
      </c>
      <c r="G5668">
        <v>-278856</v>
      </c>
      <c r="H5668">
        <v>110073</v>
      </c>
      <c r="I5668">
        <v>113682</v>
      </c>
      <c r="J5668">
        <v>2684</v>
      </c>
      <c r="K5668">
        <v>1080796</v>
      </c>
      <c r="L5668">
        <v>196768</v>
      </c>
      <c r="M5668">
        <v>-411673</v>
      </c>
      <c r="N5668">
        <v>237845</v>
      </c>
      <c r="O5668" t="s">
        <v>5686</v>
      </c>
      <c r="P5668" s="9">
        <v>282632</v>
      </c>
      <c r="Q5668" s="9">
        <v>19682</v>
      </c>
      <c r="R5668" s="9">
        <v>302314</v>
      </c>
      <c r="S5668" s="9">
        <v>-132580</v>
      </c>
      <c r="T5668" s="10">
        <v>100848</v>
      </c>
      <c r="U5668" s="10">
        <v>1893</v>
      </c>
    </row>
    <row r="5669" spans="1:21" x14ac:dyDescent="0.35">
      <c r="A5669" t="s">
        <v>15</v>
      </c>
      <c r="B5669" t="s">
        <v>16</v>
      </c>
      <c r="C5669" t="s">
        <v>21</v>
      </c>
      <c r="D5669">
        <v>181174</v>
      </c>
      <c r="E5669">
        <v>10951</v>
      </c>
      <c r="F5669">
        <v>38436</v>
      </c>
      <c r="G5669">
        <v>-154153</v>
      </c>
      <c r="H5669">
        <v>76408</v>
      </c>
      <c r="I5669">
        <v>79322</v>
      </c>
      <c r="J5669">
        <v>1673</v>
      </c>
      <c r="K5669">
        <v>487105</v>
      </c>
      <c r="L5669">
        <v>75153</v>
      </c>
      <c r="M5669">
        <v>-185756</v>
      </c>
      <c r="N5669">
        <v>119657</v>
      </c>
      <c r="O5669" t="s">
        <v>5687</v>
      </c>
      <c r="P5669" s="9">
        <v>187256</v>
      </c>
      <c r="Q5669" s="9">
        <v>34694</v>
      </c>
      <c r="R5669" s="9">
        <v>221950</v>
      </c>
      <c r="S5669" s="9">
        <v>-117068</v>
      </c>
      <c r="T5669" s="10">
        <v>62968</v>
      </c>
      <c r="U5669" s="10">
        <v>1585</v>
      </c>
    </row>
    <row r="5670" spans="1:21" x14ac:dyDescent="0.35">
      <c r="A5670" t="s">
        <v>15</v>
      </c>
      <c r="B5670" t="s">
        <v>16</v>
      </c>
      <c r="C5670" t="s">
        <v>21</v>
      </c>
      <c r="D5670">
        <v>284176</v>
      </c>
      <c r="E5670">
        <v>50389</v>
      </c>
      <c r="F5670">
        <v>64252</v>
      </c>
      <c r="G5670">
        <v>-281420</v>
      </c>
      <c r="H5670">
        <v>117397</v>
      </c>
      <c r="I5670">
        <v>106856</v>
      </c>
      <c r="J5670">
        <v>2860</v>
      </c>
      <c r="K5670">
        <v>1064263</v>
      </c>
      <c r="L5670">
        <v>356417</v>
      </c>
      <c r="M5670">
        <v>-293292</v>
      </c>
      <c r="N5670">
        <v>153047</v>
      </c>
      <c r="O5670" t="s">
        <v>5688</v>
      </c>
      <c r="P5670" s="9">
        <v>149125</v>
      </c>
      <c r="Q5670" s="9">
        <v>23667</v>
      </c>
      <c r="R5670" s="9">
        <v>172792</v>
      </c>
      <c r="S5670" s="9">
        <v>-83542</v>
      </c>
      <c r="T5670" s="10">
        <v>91354</v>
      </c>
      <c r="U5670" s="10">
        <v>2496</v>
      </c>
    </row>
    <row r="5671" spans="1:21" x14ac:dyDescent="0.35">
      <c r="A5671" t="s">
        <v>15</v>
      </c>
      <c r="B5671" t="s">
        <v>16</v>
      </c>
      <c r="C5671" t="s">
        <v>21</v>
      </c>
      <c r="D5671">
        <v>206291</v>
      </c>
      <c r="E5671">
        <v>16381</v>
      </c>
      <c r="F5671">
        <v>24415</v>
      </c>
      <c r="G5671">
        <v>-188637</v>
      </c>
      <c r="H5671">
        <v>58450</v>
      </c>
      <c r="I5671">
        <v>60142</v>
      </c>
      <c r="J5671">
        <v>1339</v>
      </c>
      <c r="K5671">
        <v>526459</v>
      </c>
      <c r="L5671">
        <v>102217</v>
      </c>
      <c r="M5671">
        <v>-209901</v>
      </c>
      <c r="N5671">
        <v>173417</v>
      </c>
      <c r="O5671" t="s">
        <v>5689</v>
      </c>
      <c r="P5671" s="9">
        <v>272651</v>
      </c>
      <c r="Q5671" s="9">
        <v>54019</v>
      </c>
      <c r="R5671" s="9">
        <v>326670</v>
      </c>
      <c r="S5671" s="9">
        <v>-191317</v>
      </c>
      <c r="T5671" s="10">
        <v>119206</v>
      </c>
      <c r="U5671" s="10">
        <v>3345</v>
      </c>
    </row>
    <row r="5672" spans="1:21" x14ac:dyDescent="0.35">
      <c r="A5672" t="s">
        <v>15</v>
      </c>
      <c r="B5672" t="s">
        <v>16</v>
      </c>
      <c r="C5672" t="s">
        <v>17</v>
      </c>
      <c r="D5672">
        <v>212944</v>
      </c>
      <c r="E5672">
        <v>23261</v>
      </c>
      <c r="F5672">
        <v>29448</v>
      </c>
      <c r="G5672">
        <v>-171881</v>
      </c>
      <c r="H5672">
        <v>93772</v>
      </c>
      <c r="I5672">
        <v>94826</v>
      </c>
      <c r="J5672">
        <v>2227</v>
      </c>
      <c r="K5672">
        <v>533296</v>
      </c>
      <c r="L5672">
        <v>241294</v>
      </c>
      <c r="M5672">
        <v>-205964</v>
      </c>
      <c r="N5672">
        <v>145123</v>
      </c>
      <c r="O5672" t="s">
        <v>5690</v>
      </c>
      <c r="P5672" s="9">
        <v>269549</v>
      </c>
      <c r="Q5672" s="9">
        <v>33608</v>
      </c>
      <c r="R5672" s="9">
        <v>303157</v>
      </c>
      <c r="S5672" s="9">
        <v>-98545</v>
      </c>
      <c r="T5672" s="10">
        <v>91408</v>
      </c>
      <c r="U5672" s="10">
        <v>2389</v>
      </c>
    </row>
    <row r="5673" spans="1:21" x14ac:dyDescent="0.35">
      <c r="A5673" t="s">
        <v>15</v>
      </c>
      <c r="B5673" t="s">
        <v>16</v>
      </c>
      <c r="C5673" t="s">
        <v>21</v>
      </c>
      <c r="D5673">
        <v>155441</v>
      </c>
      <c r="E5673">
        <v>11222</v>
      </c>
      <c r="F5673">
        <v>24324</v>
      </c>
      <c r="G5673">
        <v>-133856</v>
      </c>
      <c r="H5673">
        <v>57131</v>
      </c>
      <c r="I5673">
        <v>53013</v>
      </c>
      <c r="J5673">
        <v>1455</v>
      </c>
      <c r="K5673">
        <v>482635</v>
      </c>
      <c r="L5673">
        <v>87016</v>
      </c>
      <c r="M5673">
        <v>-126436</v>
      </c>
      <c r="N5673">
        <v>57989</v>
      </c>
      <c r="O5673" t="s">
        <v>5691</v>
      </c>
      <c r="P5673" s="9">
        <v>207526</v>
      </c>
      <c r="Q5673" s="9">
        <v>17100</v>
      </c>
      <c r="R5673" s="9">
        <v>224626</v>
      </c>
      <c r="S5673" s="9">
        <v>-111455</v>
      </c>
      <c r="T5673" s="10">
        <v>68904</v>
      </c>
      <c r="U5673" s="10">
        <v>1242</v>
      </c>
    </row>
    <row r="5674" spans="1:21" x14ac:dyDescent="0.35">
      <c r="A5674" t="s">
        <v>15</v>
      </c>
      <c r="B5674" t="s">
        <v>16</v>
      </c>
      <c r="C5674" t="s">
        <v>21</v>
      </c>
      <c r="D5674">
        <v>177290</v>
      </c>
      <c r="E5674">
        <v>32474</v>
      </c>
      <c r="F5674">
        <v>37286</v>
      </c>
      <c r="G5674">
        <v>-143515</v>
      </c>
      <c r="H5674">
        <v>103535</v>
      </c>
      <c r="I5674">
        <v>96259</v>
      </c>
      <c r="J5674">
        <v>1577</v>
      </c>
      <c r="K5674">
        <v>581608</v>
      </c>
      <c r="L5674">
        <v>68651</v>
      </c>
      <c r="M5674">
        <v>-182505</v>
      </c>
      <c r="N5674">
        <v>104628</v>
      </c>
      <c r="O5674" t="s">
        <v>5692</v>
      </c>
      <c r="P5674" s="9">
        <v>252267</v>
      </c>
      <c r="Q5674" s="9">
        <v>30993</v>
      </c>
      <c r="R5674" s="9">
        <v>283260</v>
      </c>
      <c r="S5674" s="9">
        <v>-78255</v>
      </c>
      <c r="T5674" s="10">
        <v>108730</v>
      </c>
      <c r="U5674" s="10">
        <v>1576</v>
      </c>
    </row>
    <row r="5675" spans="1:21" x14ac:dyDescent="0.35">
      <c r="A5675" t="s">
        <v>15</v>
      </c>
      <c r="B5675" t="s">
        <v>20</v>
      </c>
      <c r="C5675" t="s">
        <v>21</v>
      </c>
      <c r="D5675">
        <v>277532</v>
      </c>
      <c r="E5675">
        <v>28034</v>
      </c>
      <c r="F5675">
        <v>55456</v>
      </c>
      <c r="G5675">
        <v>-238241</v>
      </c>
      <c r="H5675">
        <v>122781</v>
      </c>
      <c r="I5675">
        <v>126704</v>
      </c>
      <c r="J5675">
        <v>3232</v>
      </c>
      <c r="K5675">
        <v>1041282</v>
      </c>
      <c r="L5675">
        <v>207534</v>
      </c>
      <c r="M5675">
        <v>-299455</v>
      </c>
      <c r="N5675">
        <v>94954</v>
      </c>
      <c r="O5675" t="s">
        <v>5693</v>
      </c>
      <c r="P5675" s="9">
        <v>282772</v>
      </c>
      <c r="Q5675" s="9">
        <v>31291</v>
      </c>
      <c r="R5675" s="9">
        <v>314063</v>
      </c>
      <c r="S5675" s="9">
        <v>-113819</v>
      </c>
      <c r="T5675" s="10">
        <v>113973</v>
      </c>
      <c r="U5675" s="10">
        <v>1663</v>
      </c>
    </row>
    <row r="5676" spans="1:21" x14ac:dyDescent="0.35">
      <c r="A5676" t="s">
        <v>15</v>
      </c>
      <c r="B5676" t="s">
        <v>16</v>
      </c>
      <c r="C5676" t="s">
        <v>17</v>
      </c>
      <c r="D5676">
        <v>293661</v>
      </c>
      <c r="E5676">
        <v>35409</v>
      </c>
      <c r="F5676">
        <v>35157</v>
      </c>
      <c r="G5676">
        <v>-268925</v>
      </c>
      <c r="H5676">
        <v>95302</v>
      </c>
      <c r="I5676">
        <v>95260</v>
      </c>
      <c r="J5676">
        <v>2812</v>
      </c>
      <c r="K5676">
        <v>1018462</v>
      </c>
      <c r="L5676">
        <v>432877</v>
      </c>
      <c r="M5676">
        <v>-158307</v>
      </c>
      <c r="N5676">
        <v>255795</v>
      </c>
      <c r="O5676" t="s">
        <v>5694</v>
      </c>
      <c r="P5676" s="9">
        <v>262341</v>
      </c>
      <c r="Q5676" s="9">
        <v>25785</v>
      </c>
      <c r="R5676" s="9">
        <v>288126</v>
      </c>
      <c r="S5676" s="9">
        <v>-77068</v>
      </c>
      <c r="T5676" s="10">
        <v>102347</v>
      </c>
      <c r="U5676" s="10">
        <v>1544</v>
      </c>
    </row>
    <row r="5677" spans="1:21" x14ac:dyDescent="0.35">
      <c r="A5677" t="s">
        <v>15</v>
      </c>
      <c r="B5677" t="s">
        <v>16</v>
      </c>
      <c r="C5677" t="s">
        <v>21</v>
      </c>
      <c r="D5677">
        <v>292202</v>
      </c>
      <c r="E5677">
        <v>45120</v>
      </c>
      <c r="F5677">
        <v>54468</v>
      </c>
      <c r="G5677">
        <v>-252042</v>
      </c>
      <c r="H5677">
        <v>139748</v>
      </c>
      <c r="I5677">
        <v>139238</v>
      </c>
      <c r="J5677">
        <v>1435</v>
      </c>
      <c r="K5677">
        <v>906140</v>
      </c>
      <c r="L5677">
        <v>179667</v>
      </c>
      <c r="M5677">
        <v>-202567</v>
      </c>
      <c r="N5677">
        <v>180141</v>
      </c>
      <c r="O5677" t="s">
        <v>5695</v>
      </c>
      <c r="P5677" s="9">
        <v>294632</v>
      </c>
      <c r="Q5677" s="9">
        <v>35372</v>
      </c>
      <c r="R5677" s="9">
        <v>330004</v>
      </c>
      <c r="S5677" s="9">
        <v>-138407</v>
      </c>
      <c r="T5677" s="10">
        <v>135561</v>
      </c>
      <c r="U5677" s="10">
        <v>3272</v>
      </c>
    </row>
    <row r="5678" spans="1:21" x14ac:dyDescent="0.35">
      <c r="A5678" t="s">
        <v>15</v>
      </c>
      <c r="B5678" t="s">
        <v>20</v>
      </c>
      <c r="C5678" t="s">
        <v>17</v>
      </c>
      <c r="D5678">
        <v>233660</v>
      </c>
      <c r="E5678">
        <v>24246</v>
      </c>
      <c r="F5678">
        <v>32540</v>
      </c>
      <c r="G5678">
        <v>-219851</v>
      </c>
      <c r="H5678">
        <v>70595</v>
      </c>
      <c r="I5678">
        <v>65359</v>
      </c>
      <c r="J5678">
        <v>1338</v>
      </c>
      <c r="K5678">
        <v>710755</v>
      </c>
      <c r="L5678">
        <v>326885</v>
      </c>
      <c r="M5678">
        <v>-190373</v>
      </c>
      <c r="N5678">
        <v>197197</v>
      </c>
      <c r="O5678" t="s">
        <v>5696</v>
      </c>
      <c r="P5678" s="9">
        <v>169928</v>
      </c>
      <c r="Q5678" s="9">
        <v>9666</v>
      </c>
      <c r="R5678" s="9">
        <v>179594</v>
      </c>
      <c r="S5678" s="9">
        <v>-52549</v>
      </c>
      <c r="T5678" s="10">
        <v>56759</v>
      </c>
      <c r="U5678" s="10">
        <v>1523</v>
      </c>
    </row>
    <row r="5679" spans="1:21" x14ac:dyDescent="0.35">
      <c r="A5679" t="s">
        <v>15</v>
      </c>
      <c r="B5679" t="s">
        <v>16</v>
      </c>
      <c r="C5679" t="s">
        <v>21</v>
      </c>
      <c r="D5679">
        <v>213971</v>
      </c>
      <c r="E5679">
        <v>41659</v>
      </c>
      <c r="F5679">
        <v>36805</v>
      </c>
      <c r="G5679">
        <v>-187308</v>
      </c>
      <c r="H5679">
        <v>105127</v>
      </c>
      <c r="I5679">
        <v>105816</v>
      </c>
      <c r="J5679">
        <v>1765</v>
      </c>
      <c r="K5679">
        <v>671662</v>
      </c>
      <c r="L5679">
        <v>246430</v>
      </c>
      <c r="M5679">
        <v>-224506</v>
      </c>
      <c r="N5679">
        <v>107721</v>
      </c>
      <c r="O5679" t="s">
        <v>5697</v>
      </c>
      <c r="P5679" s="9">
        <v>265881</v>
      </c>
      <c r="Q5679" s="9">
        <v>43649</v>
      </c>
      <c r="R5679" s="9">
        <v>309530</v>
      </c>
      <c r="S5679" s="9">
        <v>-171551</v>
      </c>
      <c r="T5679" s="10">
        <v>95831</v>
      </c>
      <c r="U5679" s="10">
        <v>1700</v>
      </c>
    </row>
    <row r="5680" spans="1:21" x14ac:dyDescent="0.35">
      <c r="A5680" t="s">
        <v>15</v>
      </c>
      <c r="B5680" t="s">
        <v>20</v>
      </c>
      <c r="C5680" t="s">
        <v>21</v>
      </c>
      <c r="D5680">
        <v>162575</v>
      </c>
      <c r="E5680">
        <v>28901</v>
      </c>
      <c r="F5680">
        <v>25088</v>
      </c>
      <c r="G5680">
        <v>-150550</v>
      </c>
      <c r="H5680">
        <v>66014</v>
      </c>
      <c r="I5680">
        <v>65205</v>
      </c>
      <c r="J5680">
        <v>698</v>
      </c>
      <c r="K5680">
        <v>334644</v>
      </c>
      <c r="L5680">
        <v>149721</v>
      </c>
      <c r="M5680">
        <v>-73844</v>
      </c>
      <c r="N5680">
        <v>54371</v>
      </c>
      <c r="O5680" t="s">
        <v>5698</v>
      </c>
      <c r="P5680" s="9">
        <v>173852</v>
      </c>
      <c r="Q5680" s="9">
        <v>12463</v>
      </c>
      <c r="R5680" s="9">
        <v>186315</v>
      </c>
      <c r="S5680" s="9">
        <v>-53906</v>
      </c>
      <c r="T5680" s="10">
        <v>37689</v>
      </c>
      <c r="U5680" s="10">
        <v>441</v>
      </c>
    </row>
    <row r="5681" spans="1:21" x14ac:dyDescent="0.35">
      <c r="A5681" t="s">
        <v>15</v>
      </c>
      <c r="B5681" t="s">
        <v>16</v>
      </c>
      <c r="C5681" t="s">
        <v>21</v>
      </c>
      <c r="D5681">
        <v>209344</v>
      </c>
      <c r="E5681">
        <v>20551</v>
      </c>
      <c r="F5681">
        <v>46992</v>
      </c>
      <c r="G5681">
        <v>-184898</v>
      </c>
      <c r="H5681">
        <v>91989</v>
      </c>
      <c r="I5681">
        <v>85609</v>
      </c>
      <c r="J5681">
        <v>1493</v>
      </c>
      <c r="K5681">
        <v>790363</v>
      </c>
      <c r="L5681">
        <v>348172</v>
      </c>
      <c r="M5681">
        <v>-226862</v>
      </c>
      <c r="N5681">
        <v>138736</v>
      </c>
      <c r="O5681" t="s">
        <v>5699</v>
      </c>
      <c r="P5681" s="9">
        <v>155890</v>
      </c>
      <c r="Q5681" s="9">
        <v>25079</v>
      </c>
      <c r="R5681" s="9">
        <v>180969</v>
      </c>
      <c r="S5681" s="9">
        <v>-81529</v>
      </c>
      <c r="T5681" s="10">
        <v>80133</v>
      </c>
      <c r="U5681" s="10">
        <v>2400</v>
      </c>
    </row>
    <row r="5682" spans="1:21" x14ac:dyDescent="0.35">
      <c r="A5682" t="s">
        <v>15</v>
      </c>
      <c r="B5682" t="s">
        <v>16</v>
      </c>
      <c r="C5682" t="s">
        <v>17</v>
      </c>
      <c r="D5682">
        <v>174723</v>
      </c>
      <c r="E5682">
        <v>13856</v>
      </c>
      <c r="F5682">
        <v>23254</v>
      </c>
      <c r="G5682">
        <v>-157538</v>
      </c>
      <c r="H5682">
        <v>54295</v>
      </c>
      <c r="I5682">
        <v>49241</v>
      </c>
      <c r="J5682">
        <v>1379</v>
      </c>
      <c r="K5682">
        <v>412646</v>
      </c>
      <c r="L5682">
        <v>154591</v>
      </c>
      <c r="M5682">
        <v>-117130</v>
      </c>
      <c r="N5682">
        <v>75990</v>
      </c>
      <c r="O5682" t="s">
        <v>5700</v>
      </c>
      <c r="P5682" s="9">
        <v>177408</v>
      </c>
      <c r="Q5682" s="9">
        <v>17676</v>
      </c>
      <c r="R5682" s="9">
        <v>195084</v>
      </c>
      <c r="S5682" s="9">
        <v>-95828</v>
      </c>
      <c r="T5682" s="10">
        <v>60862</v>
      </c>
      <c r="U5682" s="10">
        <v>1813</v>
      </c>
    </row>
    <row r="5683" spans="1:21" x14ac:dyDescent="0.35">
      <c r="A5683" t="s">
        <v>15</v>
      </c>
      <c r="B5683" t="s">
        <v>16</v>
      </c>
      <c r="C5683" t="s">
        <v>21</v>
      </c>
      <c r="D5683">
        <v>227862</v>
      </c>
      <c r="E5683">
        <v>29188</v>
      </c>
      <c r="F5683">
        <v>29789</v>
      </c>
      <c r="G5683">
        <v>-219125</v>
      </c>
      <c r="H5683">
        <v>67714</v>
      </c>
      <c r="I5683">
        <v>63948</v>
      </c>
      <c r="J5683">
        <v>889</v>
      </c>
      <c r="K5683">
        <v>793093</v>
      </c>
      <c r="L5683">
        <v>373229</v>
      </c>
      <c r="M5683">
        <v>-238774</v>
      </c>
      <c r="N5683">
        <v>94678</v>
      </c>
      <c r="O5683" t="s">
        <v>5701</v>
      </c>
      <c r="P5683" s="9">
        <v>208222</v>
      </c>
      <c r="Q5683" s="9">
        <v>34356</v>
      </c>
      <c r="R5683" s="9">
        <v>242578</v>
      </c>
      <c r="S5683" s="9">
        <v>-82048</v>
      </c>
      <c r="T5683" s="10">
        <v>100991</v>
      </c>
      <c r="U5683" s="10">
        <v>2584</v>
      </c>
    </row>
    <row r="5684" spans="1:21" x14ac:dyDescent="0.35">
      <c r="A5684" t="s">
        <v>15</v>
      </c>
      <c r="B5684" t="s">
        <v>20</v>
      </c>
      <c r="C5684" t="s">
        <v>17</v>
      </c>
      <c r="D5684">
        <v>204261</v>
      </c>
      <c r="E5684">
        <v>28161</v>
      </c>
      <c r="F5684">
        <v>23742</v>
      </c>
      <c r="G5684">
        <v>-167893</v>
      </c>
      <c r="H5684">
        <v>88271</v>
      </c>
      <c r="I5684">
        <v>92196</v>
      </c>
      <c r="J5684">
        <v>1213</v>
      </c>
      <c r="K5684">
        <v>590236</v>
      </c>
      <c r="L5684">
        <v>137869</v>
      </c>
      <c r="M5684">
        <v>-124210</v>
      </c>
      <c r="N5684">
        <v>99612</v>
      </c>
      <c r="O5684" t="s">
        <v>5702</v>
      </c>
      <c r="P5684" s="9">
        <v>170027</v>
      </c>
      <c r="Q5684" s="9">
        <v>34596</v>
      </c>
      <c r="R5684" s="9">
        <v>204623</v>
      </c>
      <c r="S5684" s="9">
        <v>-86772</v>
      </c>
      <c r="T5684" s="10">
        <v>91520</v>
      </c>
      <c r="U5684" s="10">
        <v>1448</v>
      </c>
    </row>
    <row r="5685" spans="1:21" x14ac:dyDescent="0.35">
      <c r="A5685" t="s">
        <v>15</v>
      </c>
      <c r="B5685" t="s">
        <v>20</v>
      </c>
      <c r="C5685" t="s">
        <v>21</v>
      </c>
      <c r="D5685">
        <v>281240</v>
      </c>
      <c r="E5685">
        <v>39884</v>
      </c>
      <c r="F5685">
        <v>41999</v>
      </c>
      <c r="G5685">
        <v>-239293</v>
      </c>
      <c r="H5685">
        <v>123830</v>
      </c>
      <c r="I5685">
        <v>121916</v>
      </c>
      <c r="J5685">
        <v>2123</v>
      </c>
      <c r="K5685">
        <v>655733</v>
      </c>
      <c r="L5685">
        <v>199324</v>
      </c>
      <c r="M5685">
        <v>-95166</v>
      </c>
      <c r="N5685">
        <v>206999</v>
      </c>
      <c r="O5685" t="s">
        <v>5703</v>
      </c>
      <c r="P5685" s="9">
        <v>233509</v>
      </c>
      <c r="Q5685" s="9">
        <v>16411</v>
      </c>
      <c r="R5685" s="9">
        <v>249920</v>
      </c>
      <c r="S5685" s="9">
        <v>-52679</v>
      </c>
      <c r="T5685" s="10">
        <v>75570</v>
      </c>
      <c r="U5685" s="10">
        <v>2084</v>
      </c>
    </row>
    <row r="5686" spans="1:21" x14ac:dyDescent="0.35">
      <c r="A5686" t="s">
        <v>15</v>
      </c>
      <c r="B5686" t="s">
        <v>16</v>
      </c>
      <c r="C5686" t="s">
        <v>21</v>
      </c>
      <c r="D5686">
        <v>297118</v>
      </c>
      <c r="E5686">
        <v>56278</v>
      </c>
      <c r="F5686">
        <v>70223</v>
      </c>
      <c r="G5686">
        <v>-293659</v>
      </c>
      <c r="H5686">
        <v>129960</v>
      </c>
      <c r="I5686">
        <v>134559</v>
      </c>
      <c r="J5686">
        <v>1751</v>
      </c>
      <c r="K5686">
        <v>741362</v>
      </c>
      <c r="L5686">
        <v>303281</v>
      </c>
      <c r="M5686">
        <v>-99840</v>
      </c>
      <c r="N5686">
        <v>213639</v>
      </c>
      <c r="O5686" t="s">
        <v>5704</v>
      </c>
      <c r="P5686" s="9">
        <v>262190</v>
      </c>
      <c r="Q5686" s="9">
        <v>32488</v>
      </c>
      <c r="R5686" s="9">
        <v>294678</v>
      </c>
      <c r="S5686" s="9">
        <v>-171472</v>
      </c>
      <c r="T5686" s="10">
        <v>105330</v>
      </c>
      <c r="U5686" s="10">
        <v>2270</v>
      </c>
    </row>
    <row r="5687" spans="1:21" x14ac:dyDescent="0.35">
      <c r="A5687" t="s">
        <v>15</v>
      </c>
      <c r="B5687" t="s">
        <v>16</v>
      </c>
      <c r="C5687" t="s">
        <v>21</v>
      </c>
      <c r="D5687">
        <v>259699</v>
      </c>
      <c r="E5687">
        <v>35918</v>
      </c>
      <c r="F5687">
        <v>38724</v>
      </c>
      <c r="G5687">
        <v>-230238</v>
      </c>
      <c r="H5687">
        <v>104103</v>
      </c>
      <c r="I5687">
        <v>100892</v>
      </c>
      <c r="J5687">
        <v>1107</v>
      </c>
      <c r="K5687">
        <v>808946</v>
      </c>
      <c r="L5687">
        <v>299399</v>
      </c>
      <c r="M5687">
        <v>-219533</v>
      </c>
      <c r="N5687">
        <v>147979</v>
      </c>
      <c r="O5687" t="s">
        <v>5705</v>
      </c>
      <c r="P5687" s="9">
        <v>169717</v>
      </c>
      <c r="Q5687" s="9">
        <v>15754</v>
      </c>
      <c r="R5687" s="9">
        <v>185471</v>
      </c>
      <c r="S5687" s="9">
        <v>-65550</v>
      </c>
      <c r="T5687" s="10">
        <v>63261</v>
      </c>
      <c r="U5687" s="10">
        <v>1397</v>
      </c>
    </row>
    <row r="5688" spans="1:21" x14ac:dyDescent="0.35">
      <c r="A5688" t="s">
        <v>15</v>
      </c>
      <c r="B5688" t="s">
        <v>16</v>
      </c>
      <c r="C5688" t="s">
        <v>17</v>
      </c>
      <c r="D5688">
        <v>244933</v>
      </c>
      <c r="E5688">
        <v>37831</v>
      </c>
      <c r="F5688">
        <v>43874</v>
      </c>
      <c r="G5688">
        <v>-199336</v>
      </c>
      <c r="H5688">
        <v>127302</v>
      </c>
      <c r="I5688">
        <v>116212</v>
      </c>
      <c r="J5688">
        <v>3218</v>
      </c>
      <c r="K5688">
        <v>976146</v>
      </c>
      <c r="L5688">
        <v>479308</v>
      </c>
      <c r="M5688">
        <v>-198071</v>
      </c>
      <c r="N5688">
        <v>104286</v>
      </c>
      <c r="O5688" t="s">
        <v>5706</v>
      </c>
      <c r="P5688" s="9">
        <v>268994</v>
      </c>
      <c r="Q5688" s="9">
        <v>19503</v>
      </c>
      <c r="R5688" s="9">
        <v>288497</v>
      </c>
      <c r="S5688" s="9">
        <v>-153064</v>
      </c>
      <c r="T5688" s="10">
        <v>91478</v>
      </c>
      <c r="U5688" s="10">
        <v>2189</v>
      </c>
    </row>
    <row r="5689" spans="1:21" x14ac:dyDescent="0.35">
      <c r="A5689" t="s">
        <v>15</v>
      </c>
      <c r="B5689" t="s">
        <v>16</v>
      </c>
      <c r="C5689" t="s">
        <v>21</v>
      </c>
      <c r="D5689">
        <v>254742</v>
      </c>
      <c r="E5689">
        <v>34644</v>
      </c>
      <c r="F5689">
        <v>61614</v>
      </c>
      <c r="G5689">
        <v>-227348</v>
      </c>
      <c r="H5689">
        <v>123652</v>
      </c>
      <c r="I5689">
        <v>117322</v>
      </c>
      <c r="J5689">
        <v>1576</v>
      </c>
      <c r="K5689">
        <v>894826</v>
      </c>
      <c r="L5689">
        <v>294709</v>
      </c>
      <c r="M5689">
        <v>-331668</v>
      </c>
      <c r="N5689">
        <v>162336</v>
      </c>
      <c r="O5689" t="s">
        <v>5707</v>
      </c>
      <c r="P5689" s="9">
        <v>281093</v>
      </c>
      <c r="Q5689" s="9">
        <v>23162</v>
      </c>
      <c r="R5689" s="9">
        <v>304255</v>
      </c>
      <c r="S5689" s="9">
        <v>-153041</v>
      </c>
      <c r="T5689" s="10">
        <v>104443</v>
      </c>
      <c r="U5689" s="10">
        <v>1764</v>
      </c>
    </row>
    <row r="5690" spans="1:21" x14ac:dyDescent="0.35">
      <c r="A5690" t="s">
        <v>15</v>
      </c>
      <c r="B5690" t="s">
        <v>16</v>
      </c>
      <c r="C5690" t="s">
        <v>21</v>
      </c>
      <c r="D5690">
        <v>251971</v>
      </c>
      <c r="E5690">
        <v>13923</v>
      </c>
      <c r="F5690">
        <v>61315</v>
      </c>
      <c r="G5690">
        <v>-212085</v>
      </c>
      <c r="H5690">
        <v>115124</v>
      </c>
      <c r="I5690">
        <v>110650</v>
      </c>
      <c r="J5690">
        <v>2012</v>
      </c>
      <c r="K5690">
        <v>872808</v>
      </c>
      <c r="L5690">
        <v>284571</v>
      </c>
      <c r="M5690">
        <v>-296076</v>
      </c>
      <c r="N5690">
        <v>199309</v>
      </c>
      <c r="O5690" t="s">
        <v>5708</v>
      </c>
      <c r="P5690" s="9">
        <v>153301</v>
      </c>
      <c r="Q5690" s="9">
        <v>24510</v>
      </c>
      <c r="R5690" s="9">
        <v>177811</v>
      </c>
      <c r="S5690" s="9">
        <v>-47152</v>
      </c>
      <c r="T5690" s="10">
        <v>59839</v>
      </c>
      <c r="U5690" s="10">
        <v>1444</v>
      </c>
    </row>
    <row r="5691" spans="1:21" x14ac:dyDescent="0.35">
      <c r="A5691" t="s">
        <v>15</v>
      </c>
      <c r="B5691" t="s">
        <v>20</v>
      </c>
      <c r="C5691" t="s">
        <v>17</v>
      </c>
      <c r="D5691">
        <v>281372</v>
      </c>
      <c r="E5691">
        <v>15074</v>
      </c>
      <c r="F5691">
        <v>53700</v>
      </c>
      <c r="G5691">
        <v>-265458</v>
      </c>
      <c r="H5691">
        <v>84688</v>
      </c>
      <c r="I5691">
        <v>87791</v>
      </c>
      <c r="J5691">
        <v>2424</v>
      </c>
      <c r="K5691">
        <v>937745</v>
      </c>
      <c r="L5691">
        <v>426071</v>
      </c>
      <c r="M5691">
        <v>-126881</v>
      </c>
      <c r="N5691">
        <v>183516</v>
      </c>
      <c r="O5691" t="s">
        <v>5709</v>
      </c>
      <c r="P5691" s="9">
        <v>305701</v>
      </c>
      <c r="Q5691" s="9">
        <v>46801</v>
      </c>
      <c r="R5691" s="9">
        <v>352502</v>
      </c>
      <c r="S5691" s="9">
        <v>-160437</v>
      </c>
      <c r="T5691" s="10">
        <v>136822</v>
      </c>
      <c r="U5691" s="10">
        <v>1759</v>
      </c>
    </row>
    <row r="5692" spans="1:21" x14ac:dyDescent="0.35">
      <c r="A5692" t="s">
        <v>15</v>
      </c>
      <c r="B5692" t="s">
        <v>16</v>
      </c>
      <c r="C5692" t="s">
        <v>17</v>
      </c>
      <c r="D5692">
        <v>245876</v>
      </c>
      <c r="E5692">
        <v>17807</v>
      </c>
      <c r="F5692">
        <v>45182</v>
      </c>
      <c r="G5692">
        <v>-234499</v>
      </c>
      <c r="H5692">
        <v>74366</v>
      </c>
      <c r="I5692">
        <v>77779</v>
      </c>
      <c r="J5692">
        <v>1620</v>
      </c>
      <c r="K5692">
        <v>893271</v>
      </c>
      <c r="L5692">
        <v>205821</v>
      </c>
      <c r="M5692">
        <v>-149211</v>
      </c>
      <c r="N5692">
        <v>146069</v>
      </c>
      <c r="O5692" t="s">
        <v>5710</v>
      </c>
      <c r="P5692" s="9">
        <v>205707</v>
      </c>
      <c r="Q5692" s="9">
        <v>20749</v>
      </c>
      <c r="R5692" s="9">
        <v>226456</v>
      </c>
      <c r="S5692" s="9">
        <v>-98193</v>
      </c>
      <c r="T5692" s="10">
        <v>107765</v>
      </c>
      <c r="U5692" s="10">
        <v>2359</v>
      </c>
    </row>
    <row r="5693" spans="1:21" x14ac:dyDescent="0.35">
      <c r="A5693" t="s">
        <v>15</v>
      </c>
      <c r="B5693" t="s">
        <v>20</v>
      </c>
      <c r="C5693" t="s">
        <v>21</v>
      </c>
      <c r="D5693">
        <v>171370</v>
      </c>
      <c r="E5693">
        <v>31385</v>
      </c>
      <c r="F5693">
        <v>30714</v>
      </c>
      <c r="G5693">
        <v>-154525</v>
      </c>
      <c r="H5693">
        <v>78944</v>
      </c>
      <c r="I5693">
        <v>73880</v>
      </c>
      <c r="J5693">
        <v>1758</v>
      </c>
      <c r="K5693">
        <v>448789</v>
      </c>
      <c r="L5693">
        <v>98760</v>
      </c>
      <c r="M5693">
        <v>-167934</v>
      </c>
      <c r="N5693">
        <v>138230</v>
      </c>
      <c r="O5693" t="s">
        <v>5711</v>
      </c>
      <c r="P5693" s="9">
        <v>296174</v>
      </c>
      <c r="Q5693" s="9">
        <v>31523</v>
      </c>
      <c r="R5693" s="9">
        <v>327697</v>
      </c>
      <c r="S5693" s="9">
        <v>-101329</v>
      </c>
      <c r="T5693" s="10">
        <v>118173</v>
      </c>
      <c r="U5693" s="10">
        <v>1668</v>
      </c>
    </row>
    <row r="5694" spans="1:21" x14ac:dyDescent="0.35">
      <c r="A5694" t="s">
        <v>15</v>
      </c>
      <c r="B5694" t="s">
        <v>16</v>
      </c>
      <c r="C5694" t="s">
        <v>21</v>
      </c>
      <c r="D5694">
        <v>158162</v>
      </c>
      <c r="E5694">
        <v>12496</v>
      </c>
      <c r="F5694">
        <v>36113</v>
      </c>
      <c r="G5694">
        <v>-148604</v>
      </c>
      <c r="H5694">
        <v>58167</v>
      </c>
      <c r="I5694">
        <v>58898</v>
      </c>
      <c r="J5694">
        <v>1537</v>
      </c>
      <c r="K5694">
        <v>525658</v>
      </c>
      <c r="L5694">
        <v>81601</v>
      </c>
      <c r="M5694">
        <v>-164538</v>
      </c>
      <c r="N5694">
        <v>97207</v>
      </c>
      <c r="O5694" t="s">
        <v>5712</v>
      </c>
      <c r="P5694" s="9">
        <v>300739</v>
      </c>
      <c r="Q5694" s="9">
        <v>37584</v>
      </c>
      <c r="R5694" s="9">
        <v>338323</v>
      </c>
      <c r="S5694" s="9">
        <v>-194974</v>
      </c>
      <c r="T5694" s="10">
        <v>127261</v>
      </c>
      <c r="U5694" s="10">
        <v>3644</v>
      </c>
    </row>
    <row r="5695" spans="1:21" x14ac:dyDescent="0.35">
      <c r="A5695" t="s">
        <v>15</v>
      </c>
      <c r="B5695" t="s">
        <v>16</v>
      </c>
      <c r="C5695" t="s">
        <v>17</v>
      </c>
      <c r="D5695">
        <v>162457</v>
      </c>
      <c r="E5695">
        <v>12950</v>
      </c>
      <c r="F5695">
        <v>30657</v>
      </c>
      <c r="G5695">
        <v>-158557</v>
      </c>
      <c r="H5695">
        <v>47507</v>
      </c>
      <c r="I5695">
        <v>44198</v>
      </c>
      <c r="J5695">
        <v>1194</v>
      </c>
      <c r="K5695">
        <v>456946</v>
      </c>
      <c r="L5695">
        <v>82542</v>
      </c>
      <c r="M5695">
        <v>-46900</v>
      </c>
      <c r="N5695">
        <v>79005</v>
      </c>
      <c r="O5695" t="s">
        <v>5713</v>
      </c>
      <c r="P5695" s="9">
        <v>227944</v>
      </c>
      <c r="Q5695" s="9">
        <v>14420</v>
      </c>
      <c r="R5695" s="9">
        <v>242364</v>
      </c>
      <c r="S5695" s="9">
        <v>-55414</v>
      </c>
      <c r="T5695" s="10">
        <v>58584</v>
      </c>
      <c r="U5695" s="10">
        <v>1484</v>
      </c>
    </row>
    <row r="5696" spans="1:21" x14ac:dyDescent="0.35">
      <c r="A5696" t="s">
        <v>15</v>
      </c>
      <c r="B5696" t="s">
        <v>16</v>
      </c>
      <c r="C5696" t="s">
        <v>21</v>
      </c>
      <c r="D5696">
        <v>213035</v>
      </c>
      <c r="E5696">
        <v>42413</v>
      </c>
      <c r="F5696">
        <v>42404</v>
      </c>
      <c r="G5696">
        <v>-209895</v>
      </c>
      <c r="H5696">
        <v>87957</v>
      </c>
      <c r="I5696">
        <v>85044</v>
      </c>
      <c r="J5696">
        <v>877</v>
      </c>
      <c r="K5696">
        <v>438492</v>
      </c>
      <c r="L5696">
        <v>47284</v>
      </c>
      <c r="M5696">
        <v>-74327</v>
      </c>
      <c r="N5696">
        <v>92415</v>
      </c>
      <c r="O5696" t="s">
        <v>5714</v>
      </c>
      <c r="P5696" s="9">
        <v>174336</v>
      </c>
      <c r="Q5696" s="9">
        <v>36697</v>
      </c>
      <c r="R5696" s="9">
        <v>211033</v>
      </c>
      <c r="S5696" s="9">
        <v>-79378</v>
      </c>
      <c r="T5696" s="10">
        <v>93091</v>
      </c>
      <c r="U5696" s="10">
        <v>1921</v>
      </c>
    </row>
    <row r="5697" spans="1:21" x14ac:dyDescent="0.35">
      <c r="A5697" t="s">
        <v>15</v>
      </c>
      <c r="B5697" t="s">
        <v>16</v>
      </c>
      <c r="C5697" t="s">
        <v>21</v>
      </c>
      <c r="D5697">
        <v>271459</v>
      </c>
      <c r="E5697">
        <v>20277</v>
      </c>
      <c r="F5697">
        <v>32581</v>
      </c>
      <c r="G5697">
        <v>-260224</v>
      </c>
      <c r="H5697">
        <v>64093</v>
      </c>
      <c r="I5697">
        <v>58018</v>
      </c>
      <c r="J5697">
        <v>1204</v>
      </c>
      <c r="K5697">
        <v>827446</v>
      </c>
      <c r="L5697">
        <v>233573</v>
      </c>
      <c r="M5697">
        <v>-250014</v>
      </c>
      <c r="N5697">
        <v>170976</v>
      </c>
      <c r="O5697" t="s">
        <v>5715</v>
      </c>
      <c r="P5697" s="9">
        <v>305263</v>
      </c>
      <c r="Q5697" s="9">
        <v>52259</v>
      </c>
      <c r="R5697" s="9">
        <v>357522</v>
      </c>
      <c r="S5697" s="9">
        <v>-115323</v>
      </c>
      <c r="T5697" s="10">
        <v>128662</v>
      </c>
      <c r="U5697" s="10">
        <v>3231</v>
      </c>
    </row>
    <row r="5698" spans="1:21" x14ac:dyDescent="0.35">
      <c r="A5698" t="s">
        <v>15</v>
      </c>
      <c r="B5698" t="s">
        <v>16</v>
      </c>
      <c r="C5698" t="s">
        <v>21</v>
      </c>
      <c r="D5698">
        <v>255094</v>
      </c>
      <c r="E5698">
        <v>13930</v>
      </c>
      <c r="F5698">
        <v>57838</v>
      </c>
      <c r="G5698">
        <v>-246906</v>
      </c>
      <c r="H5698">
        <v>79956</v>
      </c>
      <c r="I5698">
        <v>79833</v>
      </c>
      <c r="J5698">
        <v>2240</v>
      </c>
      <c r="K5698">
        <v>781086</v>
      </c>
      <c r="L5698">
        <v>184343</v>
      </c>
      <c r="M5698">
        <v>-126988</v>
      </c>
      <c r="N5698">
        <v>87766</v>
      </c>
      <c r="O5698" t="s">
        <v>5716</v>
      </c>
      <c r="P5698" s="9">
        <v>218510</v>
      </c>
      <c r="Q5698" s="9">
        <v>11560</v>
      </c>
      <c r="R5698" s="9">
        <v>230070</v>
      </c>
      <c r="S5698" s="9">
        <v>-107692</v>
      </c>
      <c r="T5698" s="10">
        <v>84897</v>
      </c>
      <c r="U5698" s="10">
        <v>1902</v>
      </c>
    </row>
    <row r="5699" spans="1:21" x14ac:dyDescent="0.35">
      <c r="A5699" t="s">
        <v>15</v>
      </c>
      <c r="B5699" t="s">
        <v>16</v>
      </c>
      <c r="C5699" t="s">
        <v>21</v>
      </c>
      <c r="D5699">
        <v>248523</v>
      </c>
      <c r="E5699">
        <v>34299</v>
      </c>
      <c r="F5699">
        <v>55746</v>
      </c>
      <c r="G5699">
        <v>-236422</v>
      </c>
      <c r="H5699">
        <v>102146</v>
      </c>
      <c r="I5699">
        <v>91987</v>
      </c>
      <c r="J5699">
        <v>1306</v>
      </c>
      <c r="K5699">
        <v>498212</v>
      </c>
      <c r="L5699">
        <v>193962</v>
      </c>
      <c r="M5699">
        <v>-189553</v>
      </c>
      <c r="N5699">
        <v>189757</v>
      </c>
      <c r="O5699" t="s">
        <v>5717</v>
      </c>
      <c r="P5699" s="9">
        <v>178188</v>
      </c>
      <c r="Q5699" s="9">
        <v>14796</v>
      </c>
      <c r="R5699" s="9">
        <v>192984</v>
      </c>
      <c r="S5699" s="9">
        <v>-75305</v>
      </c>
      <c r="T5699" s="10">
        <v>54910</v>
      </c>
      <c r="U5699" s="10">
        <v>960</v>
      </c>
    </row>
    <row r="5700" spans="1:21" x14ac:dyDescent="0.35">
      <c r="A5700" t="s">
        <v>15</v>
      </c>
      <c r="B5700" t="s">
        <v>16</v>
      </c>
      <c r="C5700" t="s">
        <v>21</v>
      </c>
      <c r="D5700">
        <v>246829</v>
      </c>
      <c r="E5700">
        <v>33843</v>
      </c>
      <c r="F5700">
        <v>35324</v>
      </c>
      <c r="G5700">
        <v>-241865</v>
      </c>
      <c r="H5700">
        <v>74131</v>
      </c>
      <c r="I5700">
        <v>67386</v>
      </c>
      <c r="J5700">
        <v>1146</v>
      </c>
      <c r="K5700">
        <v>791679</v>
      </c>
      <c r="L5700">
        <v>395160</v>
      </c>
      <c r="M5700">
        <v>-249382</v>
      </c>
      <c r="N5700">
        <v>75903</v>
      </c>
      <c r="O5700" t="s">
        <v>5718</v>
      </c>
      <c r="P5700" s="9">
        <v>246846</v>
      </c>
      <c r="Q5700" s="9">
        <v>24129</v>
      </c>
      <c r="R5700" s="9">
        <v>270975</v>
      </c>
      <c r="S5700" s="9">
        <v>-81004</v>
      </c>
      <c r="T5700" s="10">
        <v>72317</v>
      </c>
      <c r="U5700" s="10">
        <v>1582</v>
      </c>
    </row>
    <row r="5701" spans="1:21" x14ac:dyDescent="0.35">
      <c r="A5701" t="s">
        <v>15</v>
      </c>
      <c r="B5701" t="s">
        <v>20</v>
      </c>
      <c r="C5701" t="s">
        <v>17</v>
      </c>
      <c r="D5701">
        <v>297836</v>
      </c>
      <c r="E5701">
        <v>48255</v>
      </c>
      <c r="F5701">
        <v>45927</v>
      </c>
      <c r="G5701">
        <v>-268647</v>
      </c>
      <c r="H5701">
        <v>123371</v>
      </c>
      <c r="I5701">
        <v>111153</v>
      </c>
      <c r="J5701">
        <v>2864</v>
      </c>
      <c r="K5701">
        <v>1058862</v>
      </c>
      <c r="L5701">
        <v>514116</v>
      </c>
      <c r="M5701">
        <v>-114788</v>
      </c>
      <c r="N5701">
        <v>255130</v>
      </c>
      <c r="O5701" t="s">
        <v>5719</v>
      </c>
      <c r="P5701" s="9">
        <v>289084</v>
      </c>
      <c r="Q5701" s="9">
        <v>41843</v>
      </c>
      <c r="R5701" s="9">
        <v>330927</v>
      </c>
      <c r="S5701" s="9">
        <v>-98221</v>
      </c>
      <c r="T5701" s="10">
        <v>110584</v>
      </c>
      <c r="U5701" s="10">
        <v>2582</v>
      </c>
    </row>
    <row r="5702" spans="1:21" x14ac:dyDescent="0.35">
      <c r="A5702" t="s">
        <v>15</v>
      </c>
      <c r="B5702" t="s">
        <v>16</v>
      </c>
      <c r="C5702" t="s">
        <v>21</v>
      </c>
      <c r="D5702">
        <v>184782</v>
      </c>
      <c r="E5702">
        <v>25802</v>
      </c>
      <c r="F5702">
        <v>25801</v>
      </c>
      <c r="G5702">
        <v>-148889</v>
      </c>
      <c r="H5702">
        <v>87496</v>
      </c>
      <c r="I5702">
        <v>83993</v>
      </c>
      <c r="J5702">
        <v>1034</v>
      </c>
      <c r="K5702">
        <v>506115</v>
      </c>
      <c r="L5702">
        <v>251001</v>
      </c>
      <c r="M5702">
        <v>-92545</v>
      </c>
      <c r="N5702">
        <v>77102</v>
      </c>
      <c r="O5702" t="s">
        <v>5720</v>
      </c>
      <c r="P5702" s="9">
        <v>232910</v>
      </c>
      <c r="Q5702" s="9">
        <v>35995</v>
      </c>
      <c r="R5702" s="9">
        <v>268905</v>
      </c>
      <c r="S5702" s="9">
        <v>-152393</v>
      </c>
      <c r="T5702" s="10">
        <v>127314</v>
      </c>
      <c r="U5702" s="10">
        <v>1837</v>
      </c>
    </row>
    <row r="5703" spans="1:21" x14ac:dyDescent="0.35">
      <c r="A5703" t="s">
        <v>15</v>
      </c>
      <c r="B5703" t="s">
        <v>16</v>
      </c>
      <c r="C5703" t="s">
        <v>21</v>
      </c>
      <c r="D5703">
        <v>270417</v>
      </c>
      <c r="E5703">
        <v>22451</v>
      </c>
      <c r="F5703">
        <v>36926</v>
      </c>
      <c r="G5703">
        <v>-266651</v>
      </c>
      <c r="H5703">
        <v>63143</v>
      </c>
      <c r="I5703">
        <v>64291</v>
      </c>
      <c r="J5703">
        <v>1356</v>
      </c>
      <c r="K5703">
        <v>1058240</v>
      </c>
      <c r="L5703">
        <v>117769</v>
      </c>
      <c r="M5703">
        <v>-393998</v>
      </c>
      <c r="N5703">
        <v>142153</v>
      </c>
      <c r="O5703" t="s">
        <v>5721</v>
      </c>
      <c r="P5703" s="9">
        <v>155927</v>
      </c>
      <c r="Q5703" s="9">
        <v>25875</v>
      </c>
      <c r="R5703" s="9">
        <v>181802</v>
      </c>
      <c r="S5703" s="9">
        <v>-46282</v>
      </c>
      <c r="T5703" s="10">
        <v>91594</v>
      </c>
      <c r="U5703" s="10">
        <v>1133</v>
      </c>
    </row>
    <row r="5704" spans="1:21" x14ac:dyDescent="0.35">
      <c r="A5704" t="s">
        <v>15</v>
      </c>
      <c r="B5704" t="s">
        <v>16</v>
      </c>
      <c r="C5704" t="s">
        <v>17</v>
      </c>
      <c r="D5704">
        <v>150238</v>
      </c>
      <c r="E5704">
        <v>22843</v>
      </c>
      <c r="F5704">
        <v>21079</v>
      </c>
      <c r="G5704">
        <v>-126602</v>
      </c>
      <c r="H5704">
        <v>67558</v>
      </c>
      <c r="I5704">
        <v>66509</v>
      </c>
      <c r="J5704">
        <v>1884</v>
      </c>
      <c r="K5704">
        <v>470566</v>
      </c>
      <c r="L5704">
        <v>206799</v>
      </c>
      <c r="M5704">
        <v>-136647</v>
      </c>
      <c r="N5704">
        <v>117820</v>
      </c>
      <c r="O5704" t="s">
        <v>5722</v>
      </c>
      <c r="P5704" s="9">
        <v>170475</v>
      </c>
      <c r="Q5704" s="9">
        <v>29237</v>
      </c>
      <c r="R5704" s="9">
        <v>199712</v>
      </c>
      <c r="S5704" s="9">
        <v>-42236</v>
      </c>
      <c r="T5704" s="10">
        <v>66678</v>
      </c>
      <c r="U5704" s="10">
        <v>1289</v>
      </c>
    </row>
    <row r="5705" spans="1:21" x14ac:dyDescent="0.35">
      <c r="A5705" t="s">
        <v>15</v>
      </c>
      <c r="B5705" t="s">
        <v>16</v>
      </c>
      <c r="C5705" t="s">
        <v>21</v>
      </c>
      <c r="D5705">
        <v>203160</v>
      </c>
      <c r="E5705">
        <v>32664</v>
      </c>
      <c r="F5705">
        <v>42065</v>
      </c>
      <c r="G5705">
        <v>-164719</v>
      </c>
      <c r="H5705">
        <v>113170</v>
      </c>
      <c r="I5705">
        <v>117528</v>
      </c>
      <c r="J5705">
        <v>1596</v>
      </c>
      <c r="K5705">
        <v>598038</v>
      </c>
      <c r="L5705">
        <v>80922</v>
      </c>
      <c r="M5705">
        <v>-121014</v>
      </c>
      <c r="N5705">
        <v>111402</v>
      </c>
      <c r="O5705" t="s">
        <v>5723</v>
      </c>
      <c r="P5705" s="9">
        <v>289137</v>
      </c>
      <c r="Q5705" s="9">
        <v>13490</v>
      </c>
      <c r="R5705" s="9">
        <v>302627</v>
      </c>
      <c r="S5705" s="9">
        <v>-162740</v>
      </c>
      <c r="T5705" s="10">
        <v>66282</v>
      </c>
      <c r="U5705" s="10">
        <v>1952</v>
      </c>
    </row>
    <row r="5706" spans="1:21" x14ac:dyDescent="0.35">
      <c r="A5706" t="s">
        <v>15</v>
      </c>
      <c r="B5706" t="s">
        <v>20</v>
      </c>
      <c r="C5706" t="s">
        <v>21</v>
      </c>
      <c r="D5706">
        <v>221178</v>
      </c>
      <c r="E5706">
        <v>27491</v>
      </c>
      <c r="F5706">
        <v>30336</v>
      </c>
      <c r="G5706">
        <v>-214841</v>
      </c>
      <c r="H5706">
        <v>64164</v>
      </c>
      <c r="I5706">
        <v>58192</v>
      </c>
      <c r="J5706">
        <v>665</v>
      </c>
      <c r="K5706">
        <v>488062</v>
      </c>
      <c r="L5706">
        <v>164866</v>
      </c>
      <c r="M5706">
        <v>-78229</v>
      </c>
      <c r="N5706">
        <v>151901</v>
      </c>
      <c r="O5706" t="s">
        <v>5724</v>
      </c>
      <c r="P5706" s="9">
        <v>217695</v>
      </c>
      <c r="Q5706" s="9">
        <v>24446</v>
      </c>
      <c r="R5706" s="9">
        <v>242141</v>
      </c>
      <c r="S5706" s="9">
        <v>-90814</v>
      </c>
      <c r="T5706" s="10">
        <v>59475</v>
      </c>
      <c r="U5706" s="10">
        <v>1222</v>
      </c>
    </row>
    <row r="5707" spans="1:21" x14ac:dyDescent="0.35">
      <c r="A5707" t="s">
        <v>15</v>
      </c>
      <c r="B5707" t="s">
        <v>16</v>
      </c>
      <c r="C5707" t="s">
        <v>17</v>
      </c>
      <c r="D5707">
        <v>240804</v>
      </c>
      <c r="E5707">
        <v>37607</v>
      </c>
      <c r="F5707">
        <v>46865</v>
      </c>
      <c r="G5707">
        <v>-221652</v>
      </c>
      <c r="H5707">
        <v>103624</v>
      </c>
      <c r="I5707">
        <v>99519</v>
      </c>
      <c r="J5707">
        <v>2653</v>
      </c>
      <c r="K5707">
        <v>732632</v>
      </c>
      <c r="L5707">
        <v>91770</v>
      </c>
      <c r="M5707">
        <v>-93913</v>
      </c>
      <c r="N5707">
        <v>83362</v>
      </c>
      <c r="O5707" t="s">
        <v>5725</v>
      </c>
      <c r="P5707" s="9">
        <v>166125</v>
      </c>
      <c r="Q5707" s="9">
        <v>8698</v>
      </c>
      <c r="R5707" s="9">
        <v>174823</v>
      </c>
      <c r="S5707" s="9">
        <v>-53415</v>
      </c>
      <c r="T5707" s="10">
        <v>68562</v>
      </c>
      <c r="U5707" s="10">
        <v>1385</v>
      </c>
    </row>
    <row r="5708" spans="1:21" x14ac:dyDescent="0.35">
      <c r="A5708" t="s">
        <v>15</v>
      </c>
      <c r="B5708" t="s">
        <v>16</v>
      </c>
      <c r="C5708" t="s">
        <v>21</v>
      </c>
      <c r="D5708">
        <v>229391</v>
      </c>
      <c r="E5708">
        <v>42075</v>
      </c>
      <c r="F5708">
        <v>37559</v>
      </c>
      <c r="G5708">
        <v>-185059</v>
      </c>
      <c r="H5708">
        <v>123966</v>
      </c>
      <c r="I5708">
        <v>124787</v>
      </c>
      <c r="J5708">
        <v>3261</v>
      </c>
      <c r="K5708">
        <v>711473</v>
      </c>
      <c r="L5708">
        <v>196085</v>
      </c>
      <c r="M5708">
        <v>-127951</v>
      </c>
      <c r="N5708">
        <v>196977</v>
      </c>
      <c r="O5708" t="s">
        <v>5726</v>
      </c>
      <c r="P5708" s="9">
        <v>234448</v>
      </c>
      <c r="Q5708" s="9">
        <v>42739</v>
      </c>
      <c r="R5708" s="9">
        <v>277187</v>
      </c>
      <c r="S5708" s="9">
        <v>-137261</v>
      </c>
      <c r="T5708" s="10">
        <v>75360</v>
      </c>
      <c r="U5708" s="10">
        <v>1907</v>
      </c>
    </row>
    <row r="5709" spans="1:21" x14ac:dyDescent="0.35">
      <c r="A5709" t="s">
        <v>15</v>
      </c>
      <c r="B5709" t="s">
        <v>16</v>
      </c>
      <c r="C5709" t="s">
        <v>21</v>
      </c>
      <c r="D5709">
        <v>228745</v>
      </c>
      <c r="E5709">
        <v>43498</v>
      </c>
      <c r="F5709">
        <v>46821</v>
      </c>
      <c r="G5709">
        <v>-202649</v>
      </c>
      <c r="H5709">
        <v>116415</v>
      </c>
      <c r="I5709">
        <v>112467</v>
      </c>
      <c r="J5709">
        <v>1954</v>
      </c>
      <c r="K5709">
        <v>507143</v>
      </c>
      <c r="L5709">
        <v>79630</v>
      </c>
      <c r="M5709">
        <v>-177916</v>
      </c>
      <c r="N5709">
        <v>81783</v>
      </c>
      <c r="O5709" t="s">
        <v>5727</v>
      </c>
      <c r="P5709" s="9">
        <v>187504</v>
      </c>
      <c r="Q5709" s="9">
        <v>9928</v>
      </c>
      <c r="R5709" s="9">
        <v>197432</v>
      </c>
      <c r="S5709" s="9">
        <v>-49998</v>
      </c>
      <c r="T5709" s="10">
        <v>72506</v>
      </c>
      <c r="U5709" s="10">
        <v>804</v>
      </c>
    </row>
    <row r="5710" spans="1:21" x14ac:dyDescent="0.35">
      <c r="A5710" t="s">
        <v>15</v>
      </c>
      <c r="B5710" t="s">
        <v>16</v>
      </c>
      <c r="C5710" t="s">
        <v>17</v>
      </c>
      <c r="D5710">
        <v>234147</v>
      </c>
      <c r="E5710">
        <v>46810</v>
      </c>
      <c r="F5710">
        <v>31421</v>
      </c>
      <c r="G5710">
        <v>-197418</v>
      </c>
      <c r="H5710">
        <v>114960</v>
      </c>
      <c r="I5710">
        <v>114125</v>
      </c>
      <c r="J5710">
        <v>2371</v>
      </c>
      <c r="K5710">
        <v>770866</v>
      </c>
      <c r="L5710">
        <v>159744</v>
      </c>
      <c r="M5710">
        <v>-140763</v>
      </c>
      <c r="N5710">
        <v>166898</v>
      </c>
      <c r="O5710" t="s">
        <v>5728</v>
      </c>
      <c r="P5710" s="9">
        <v>225409</v>
      </c>
      <c r="Q5710" s="9">
        <v>33517</v>
      </c>
      <c r="R5710" s="9">
        <v>258926</v>
      </c>
      <c r="S5710" s="9">
        <v>-123697</v>
      </c>
      <c r="T5710" s="10">
        <v>89370</v>
      </c>
      <c r="U5710" s="10">
        <v>1451</v>
      </c>
    </row>
    <row r="5711" spans="1:21" x14ac:dyDescent="0.35">
      <c r="A5711" t="s">
        <v>15</v>
      </c>
      <c r="B5711" t="s">
        <v>16</v>
      </c>
      <c r="C5711" t="s">
        <v>21</v>
      </c>
      <c r="D5711">
        <v>207031</v>
      </c>
      <c r="E5711">
        <v>14323</v>
      </c>
      <c r="F5711">
        <v>41563</v>
      </c>
      <c r="G5711">
        <v>-196855</v>
      </c>
      <c r="H5711">
        <v>66062</v>
      </c>
      <c r="I5711">
        <v>63499</v>
      </c>
      <c r="J5711">
        <v>1807</v>
      </c>
      <c r="K5711">
        <v>566392</v>
      </c>
      <c r="L5711">
        <v>81399</v>
      </c>
      <c r="M5711">
        <v>-215073</v>
      </c>
      <c r="N5711">
        <v>126050</v>
      </c>
      <c r="O5711" t="s">
        <v>5729</v>
      </c>
      <c r="P5711" s="9">
        <v>185111</v>
      </c>
      <c r="Q5711" s="9">
        <v>32309</v>
      </c>
      <c r="R5711" s="9">
        <v>217420</v>
      </c>
      <c r="S5711" s="9">
        <v>-102267</v>
      </c>
      <c r="T5711" s="10">
        <v>81812</v>
      </c>
      <c r="U5711" s="10">
        <v>1810</v>
      </c>
    </row>
    <row r="5712" spans="1:21" x14ac:dyDescent="0.35">
      <c r="A5712" t="s">
        <v>15</v>
      </c>
      <c r="B5712" t="s">
        <v>20</v>
      </c>
      <c r="C5712" t="s">
        <v>21</v>
      </c>
      <c r="D5712">
        <v>257134</v>
      </c>
      <c r="E5712">
        <v>46225</v>
      </c>
      <c r="F5712">
        <v>52400</v>
      </c>
      <c r="G5712">
        <v>-216639</v>
      </c>
      <c r="H5712">
        <v>139120</v>
      </c>
      <c r="I5712">
        <v>137556</v>
      </c>
      <c r="J5712">
        <v>3171</v>
      </c>
      <c r="K5712">
        <v>790074</v>
      </c>
      <c r="L5712">
        <v>366395</v>
      </c>
      <c r="M5712">
        <v>-262137</v>
      </c>
      <c r="N5712">
        <v>197087</v>
      </c>
      <c r="O5712" t="s">
        <v>5730</v>
      </c>
      <c r="P5712" s="9">
        <v>285740</v>
      </c>
      <c r="Q5712" s="9">
        <v>22980</v>
      </c>
      <c r="R5712" s="9">
        <v>308720</v>
      </c>
      <c r="S5712" s="9">
        <v>-183888</v>
      </c>
      <c r="T5712" s="10">
        <v>115702</v>
      </c>
      <c r="U5712" s="10">
        <v>1557</v>
      </c>
    </row>
    <row r="5713" spans="1:21" x14ac:dyDescent="0.35">
      <c r="A5713" t="s">
        <v>15</v>
      </c>
      <c r="B5713" t="s">
        <v>20</v>
      </c>
      <c r="C5713" t="s">
        <v>17</v>
      </c>
      <c r="D5713">
        <v>197892</v>
      </c>
      <c r="E5713">
        <v>19846</v>
      </c>
      <c r="F5713">
        <v>44807</v>
      </c>
      <c r="G5713">
        <v>-165742</v>
      </c>
      <c r="H5713">
        <v>96803</v>
      </c>
      <c r="I5713">
        <v>94395</v>
      </c>
      <c r="J5713">
        <v>1295</v>
      </c>
      <c r="K5713">
        <v>442867</v>
      </c>
      <c r="L5713">
        <v>121875</v>
      </c>
      <c r="M5713">
        <v>-90804</v>
      </c>
      <c r="N5713">
        <v>125981</v>
      </c>
      <c r="O5713" t="s">
        <v>5731</v>
      </c>
      <c r="P5713" s="9">
        <v>259058</v>
      </c>
      <c r="Q5713" s="9">
        <v>25499</v>
      </c>
      <c r="R5713" s="9">
        <v>284557</v>
      </c>
      <c r="S5713" s="9">
        <v>-140596</v>
      </c>
      <c r="T5713" s="10">
        <v>134059</v>
      </c>
      <c r="U5713" s="10">
        <v>1442</v>
      </c>
    </row>
    <row r="5714" spans="1:21" x14ac:dyDescent="0.35">
      <c r="A5714" t="s">
        <v>15</v>
      </c>
      <c r="B5714" t="s">
        <v>16</v>
      </c>
      <c r="C5714" t="s">
        <v>21</v>
      </c>
      <c r="D5714">
        <v>196438</v>
      </c>
      <c r="E5714">
        <v>26744</v>
      </c>
      <c r="F5714">
        <v>20312</v>
      </c>
      <c r="G5714">
        <v>-191484</v>
      </c>
      <c r="H5714">
        <v>52010</v>
      </c>
      <c r="I5714">
        <v>47802</v>
      </c>
      <c r="J5714">
        <v>934</v>
      </c>
      <c r="K5714">
        <v>656440</v>
      </c>
      <c r="L5714">
        <v>104151</v>
      </c>
      <c r="M5714">
        <v>-253948</v>
      </c>
      <c r="N5714">
        <v>90449</v>
      </c>
      <c r="O5714" t="s">
        <v>5732</v>
      </c>
      <c r="P5714" s="9">
        <v>265216</v>
      </c>
      <c r="Q5714" s="9">
        <v>33724</v>
      </c>
      <c r="R5714" s="9">
        <v>298940</v>
      </c>
      <c r="S5714" s="9">
        <v>-69311</v>
      </c>
      <c r="T5714" s="10">
        <v>117925</v>
      </c>
      <c r="U5714" s="10">
        <v>2780</v>
      </c>
    </row>
    <row r="5715" spans="1:21" x14ac:dyDescent="0.35">
      <c r="A5715" t="s">
        <v>15</v>
      </c>
      <c r="B5715" t="s">
        <v>20</v>
      </c>
      <c r="C5715" t="s">
        <v>21</v>
      </c>
      <c r="D5715">
        <v>296342</v>
      </c>
      <c r="E5715">
        <v>41613</v>
      </c>
      <c r="F5715">
        <v>52346</v>
      </c>
      <c r="G5715">
        <v>-268762</v>
      </c>
      <c r="H5715">
        <v>121539</v>
      </c>
      <c r="I5715">
        <v>111125</v>
      </c>
      <c r="J5715">
        <v>2802</v>
      </c>
      <c r="K5715">
        <v>633030</v>
      </c>
      <c r="L5715">
        <v>84577</v>
      </c>
      <c r="M5715">
        <v>-120469</v>
      </c>
      <c r="N5715">
        <v>187532</v>
      </c>
      <c r="O5715" t="s">
        <v>5733</v>
      </c>
      <c r="P5715" s="9">
        <v>158692</v>
      </c>
      <c r="Q5715" s="9">
        <v>28038</v>
      </c>
      <c r="R5715" s="9">
        <v>186730</v>
      </c>
      <c r="S5715" s="9">
        <v>-78427</v>
      </c>
      <c r="T5715" s="10">
        <v>94987</v>
      </c>
      <c r="U5715" s="10">
        <v>1468</v>
      </c>
    </row>
    <row r="5716" spans="1:21" x14ac:dyDescent="0.35">
      <c r="A5716" t="s">
        <v>15</v>
      </c>
      <c r="B5716" t="s">
        <v>16</v>
      </c>
      <c r="C5716" t="s">
        <v>21</v>
      </c>
      <c r="D5716">
        <v>289752</v>
      </c>
      <c r="E5716">
        <v>38582</v>
      </c>
      <c r="F5716">
        <v>68867</v>
      </c>
      <c r="G5716">
        <v>-246429</v>
      </c>
      <c r="H5716">
        <v>150772</v>
      </c>
      <c r="I5716">
        <v>157699</v>
      </c>
      <c r="J5716">
        <v>2194</v>
      </c>
      <c r="K5716">
        <v>748385</v>
      </c>
      <c r="L5716">
        <v>349756</v>
      </c>
      <c r="M5716">
        <v>-295993</v>
      </c>
      <c r="N5716">
        <v>162152</v>
      </c>
      <c r="O5716" t="s">
        <v>5734</v>
      </c>
      <c r="P5716" s="9">
        <v>285080</v>
      </c>
      <c r="Q5716" s="9">
        <v>33197</v>
      </c>
      <c r="R5716" s="9">
        <v>318277</v>
      </c>
      <c r="S5716" s="9">
        <v>-124703</v>
      </c>
      <c r="T5716" s="10">
        <v>149762</v>
      </c>
      <c r="U5716" s="10">
        <v>3621</v>
      </c>
    </row>
    <row r="5717" spans="1:21" x14ac:dyDescent="0.35">
      <c r="A5717" t="s">
        <v>15</v>
      </c>
      <c r="B5717" t="s">
        <v>16</v>
      </c>
      <c r="C5717" t="s">
        <v>21</v>
      </c>
      <c r="D5717">
        <v>171403</v>
      </c>
      <c r="E5717">
        <v>32454</v>
      </c>
      <c r="F5717">
        <v>42310</v>
      </c>
      <c r="G5717">
        <v>-141683</v>
      </c>
      <c r="H5717">
        <v>104484</v>
      </c>
      <c r="I5717">
        <v>106578</v>
      </c>
      <c r="J5717">
        <v>2354</v>
      </c>
      <c r="K5717">
        <v>620283</v>
      </c>
      <c r="L5717">
        <v>156828</v>
      </c>
      <c r="M5717">
        <v>-202828</v>
      </c>
      <c r="N5717">
        <v>73703</v>
      </c>
      <c r="O5717" t="s">
        <v>5735</v>
      </c>
      <c r="P5717" s="9">
        <v>235871</v>
      </c>
      <c r="Q5717" s="9">
        <v>29455</v>
      </c>
      <c r="R5717" s="9">
        <v>265326</v>
      </c>
      <c r="S5717" s="9">
        <v>-130014</v>
      </c>
      <c r="T5717" s="10">
        <v>73746</v>
      </c>
      <c r="U5717" s="10">
        <v>1232</v>
      </c>
    </row>
    <row r="5718" spans="1:21" x14ac:dyDescent="0.35">
      <c r="A5718" t="s">
        <v>15</v>
      </c>
      <c r="B5718" t="s">
        <v>20</v>
      </c>
      <c r="C5718" t="s">
        <v>17</v>
      </c>
      <c r="D5718">
        <v>248815</v>
      </c>
      <c r="E5718">
        <v>33016</v>
      </c>
      <c r="F5718">
        <v>50393</v>
      </c>
      <c r="G5718">
        <v>-199564</v>
      </c>
      <c r="H5718">
        <v>132660</v>
      </c>
      <c r="I5718">
        <v>135164</v>
      </c>
      <c r="J5718">
        <v>2293</v>
      </c>
      <c r="K5718">
        <v>960883</v>
      </c>
      <c r="L5718">
        <v>338389</v>
      </c>
      <c r="M5718">
        <v>-314706</v>
      </c>
      <c r="N5718">
        <v>85775</v>
      </c>
      <c r="O5718" t="s">
        <v>5736</v>
      </c>
      <c r="P5718" s="9">
        <v>206879</v>
      </c>
      <c r="Q5718" s="9">
        <v>25364</v>
      </c>
      <c r="R5718" s="9">
        <v>232243</v>
      </c>
      <c r="S5718" s="9">
        <v>-87302</v>
      </c>
      <c r="T5718" s="10">
        <v>73913</v>
      </c>
      <c r="U5718" s="10">
        <v>1776</v>
      </c>
    </row>
    <row r="5719" spans="1:21" x14ac:dyDescent="0.35">
      <c r="A5719" t="s">
        <v>15</v>
      </c>
      <c r="B5719" t="s">
        <v>16</v>
      </c>
      <c r="C5719" t="s">
        <v>21</v>
      </c>
      <c r="D5719">
        <v>281610</v>
      </c>
      <c r="E5719">
        <v>49043</v>
      </c>
      <c r="F5719">
        <v>57883</v>
      </c>
      <c r="G5719">
        <v>-249760</v>
      </c>
      <c r="H5719">
        <v>138776</v>
      </c>
      <c r="I5719">
        <v>133573</v>
      </c>
      <c r="J5719">
        <v>1971</v>
      </c>
      <c r="K5719">
        <v>936972</v>
      </c>
      <c r="L5719">
        <v>367290</v>
      </c>
      <c r="M5719">
        <v>-190956</v>
      </c>
      <c r="N5719">
        <v>224661</v>
      </c>
      <c r="O5719" t="s">
        <v>5737</v>
      </c>
      <c r="P5719" s="9">
        <v>247164</v>
      </c>
      <c r="Q5719" s="9">
        <v>40189</v>
      </c>
      <c r="R5719" s="9">
        <v>287353</v>
      </c>
      <c r="S5719" s="9">
        <v>-99366</v>
      </c>
      <c r="T5719" s="10">
        <v>113571</v>
      </c>
      <c r="U5719" s="10">
        <v>2761</v>
      </c>
    </row>
    <row r="5720" spans="1:21" x14ac:dyDescent="0.35">
      <c r="A5720" t="s">
        <v>15</v>
      </c>
      <c r="B5720" t="s">
        <v>16</v>
      </c>
      <c r="C5720" t="s">
        <v>21</v>
      </c>
      <c r="D5720">
        <v>167829</v>
      </c>
      <c r="E5720">
        <v>32183</v>
      </c>
      <c r="F5720">
        <v>23867</v>
      </c>
      <c r="G5720">
        <v>-144201</v>
      </c>
      <c r="H5720">
        <v>79678</v>
      </c>
      <c r="I5720">
        <v>73698</v>
      </c>
      <c r="J5720">
        <v>1429</v>
      </c>
      <c r="K5720">
        <v>661405</v>
      </c>
      <c r="L5720">
        <v>117847</v>
      </c>
      <c r="M5720">
        <v>-171432</v>
      </c>
      <c r="N5720">
        <v>111790</v>
      </c>
      <c r="O5720" t="s">
        <v>5738</v>
      </c>
      <c r="P5720" s="9">
        <v>214466</v>
      </c>
      <c r="Q5720" s="9">
        <v>34247</v>
      </c>
      <c r="R5720" s="9">
        <v>248713</v>
      </c>
      <c r="S5720" s="9">
        <v>-90201</v>
      </c>
      <c r="T5720" s="10">
        <v>79091</v>
      </c>
      <c r="U5720" s="10">
        <v>2371</v>
      </c>
    </row>
    <row r="5721" spans="1:21" x14ac:dyDescent="0.35">
      <c r="A5721" t="s">
        <v>15</v>
      </c>
      <c r="B5721" t="s">
        <v>20</v>
      </c>
      <c r="C5721" t="s">
        <v>21</v>
      </c>
      <c r="D5721">
        <v>194583</v>
      </c>
      <c r="E5721">
        <v>33356</v>
      </c>
      <c r="F5721">
        <v>39416</v>
      </c>
      <c r="G5721">
        <v>-155808</v>
      </c>
      <c r="H5721">
        <v>111547</v>
      </c>
      <c r="I5721">
        <v>114292</v>
      </c>
      <c r="J5721">
        <v>3052</v>
      </c>
      <c r="K5721">
        <v>474427</v>
      </c>
      <c r="L5721">
        <v>157670</v>
      </c>
      <c r="M5721">
        <v>-185464</v>
      </c>
      <c r="N5721">
        <v>88692</v>
      </c>
      <c r="O5721" t="s">
        <v>5739</v>
      </c>
      <c r="P5721" s="9">
        <v>267897</v>
      </c>
      <c r="Q5721" s="9">
        <v>29709</v>
      </c>
      <c r="R5721" s="9">
        <v>297606</v>
      </c>
      <c r="S5721" s="9">
        <v>-86846</v>
      </c>
      <c r="T5721" s="10">
        <v>94591</v>
      </c>
      <c r="U5721" s="10">
        <v>2836</v>
      </c>
    </row>
    <row r="5722" spans="1:21" x14ac:dyDescent="0.35">
      <c r="A5722" t="s">
        <v>15</v>
      </c>
      <c r="B5722" t="s">
        <v>20</v>
      </c>
      <c r="C5722" t="s">
        <v>21</v>
      </c>
      <c r="D5722">
        <v>267921</v>
      </c>
      <c r="E5722">
        <v>49421</v>
      </c>
      <c r="F5722">
        <v>63414</v>
      </c>
      <c r="G5722">
        <v>-229015</v>
      </c>
      <c r="H5722">
        <v>151741</v>
      </c>
      <c r="I5722">
        <v>153938</v>
      </c>
      <c r="J5722">
        <v>4512</v>
      </c>
      <c r="K5722">
        <v>953390</v>
      </c>
      <c r="L5722">
        <v>168418</v>
      </c>
      <c r="M5722">
        <v>-203446</v>
      </c>
      <c r="N5722">
        <v>93314</v>
      </c>
      <c r="O5722" t="s">
        <v>5740</v>
      </c>
      <c r="P5722" s="9">
        <v>228277</v>
      </c>
      <c r="Q5722" s="9">
        <v>20270</v>
      </c>
      <c r="R5722" s="9">
        <v>248547</v>
      </c>
      <c r="S5722" s="9">
        <v>-79377</v>
      </c>
      <c r="T5722" s="10">
        <v>97475</v>
      </c>
      <c r="U5722" s="10">
        <v>1184</v>
      </c>
    </row>
    <row r="5723" spans="1:21" x14ac:dyDescent="0.35">
      <c r="A5723" t="s">
        <v>15</v>
      </c>
      <c r="B5723" t="s">
        <v>16</v>
      </c>
      <c r="C5723" t="s">
        <v>21</v>
      </c>
      <c r="D5723">
        <v>160059</v>
      </c>
      <c r="E5723">
        <v>15918</v>
      </c>
      <c r="F5723">
        <v>28799</v>
      </c>
      <c r="G5723">
        <v>-143831</v>
      </c>
      <c r="H5723">
        <v>60945</v>
      </c>
      <c r="I5723">
        <v>62198</v>
      </c>
      <c r="J5723">
        <v>1576</v>
      </c>
      <c r="K5723">
        <v>526739</v>
      </c>
      <c r="L5723">
        <v>138311</v>
      </c>
      <c r="M5723">
        <v>-185844</v>
      </c>
      <c r="N5723">
        <v>119107</v>
      </c>
      <c r="O5723" t="s">
        <v>5741</v>
      </c>
      <c r="P5723" s="9">
        <v>258855</v>
      </c>
      <c r="Q5723" s="9">
        <v>44518</v>
      </c>
      <c r="R5723" s="9">
        <v>303373</v>
      </c>
      <c r="S5723" s="9">
        <v>-173681</v>
      </c>
      <c r="T5723" s="10">
        <v>122316</v>
      </c>
      <c r="U5723" s="10">
        <v>2321</v>
      </c>
    </row>
    <row r="5724" spans="1:21" x14ac:dyDescent="0.35">
      <c r="A5724" t="s">
        <v>15</v>
      </c>
      <c r="B5724" t="s">
        <v>16</v>
      </c>
      <c r="C5724" t="s">
        <v>21</v>
      </c>
      <c r="D5724">
        <v>180360</v>
      </c>
      <c r="E5724">
        <v>30754</v>
      </c>
      <c r="F5724">
        <v>21843</v>
      </c>
      <c r="G5724">
        <v>-168357</v>
      </c>
      <c r="H5724">
        <v>64600</v>
      </c>
      <c r="I5724">
        <v>60369</v>
      </c>
      <c r="J5724">
        <v>1551</v>
      </c>
      <c r="K5724">
        <v>369297</v>
      </c>
      <c r="L5724">
        <v>65661</v>
      </c>
      <c r="M5724">
        <v>-65548</v>
      </c>
      <c r="N5724">
        <v>140648</v>
      </c>
      <c r="O5724" t="s">
        <v>5742</v>
      </c>
      <c r="P5724" s="9">
        <v>213535</v>
      </c>
      <c r="Q5724" s="9">
        <v>35845</v>
      </c>
      <c r="R5724" s="9">
        <v>249380</v>
      </c>
      <c r="S5724" s="9">
        <v>-96052</v>
      </c>
      <c r="T5724" s="10">
        <v>94125</v>
      </c>
      <c r="U5724" s="10">
        <v>1085</v>
      </c>
    </row>
    <row r="5725" spans="1:21" x14ac:dyDescent="0.35">
      <c r="A5725" t="s">
        <v>15</v>
      </c>
      <c r="B5725" t="s">
        <v>20</v>
      </c>
      <c r="C5725" t="s">
        <v>17</v>
      </c>
      <c r="D5725">
        <v>297646</v>
      </c>
      <c r="E5725">
        <v>44402</v>
      </c>
      <c r="F5725">
        <v>44795</v>
      </c>
      <c r="G5725">
        <v>-253822</v>
      </c>
      <c r="H5725">
        <v>133021</v>
      </c>
      <c r="I5725">
        <v>135039</v>
      </c>
      <c r="J5725">
        <v>3532</v>
      </c>
      <c r="K5725">
        <v>1052912</v>
      </c>
      <c r="L5725">
        <v>160896</v>
      </c>
      <c r="M5725">
        <v>-108440</v>
      </c>
      <c r="N5725">
        <v>225881</v>
      </c>
      <c r="O5725" t="s">
        <v>5743</v>
      </c>
      <c r="P5725" s="9">
        <v>178645</v>
      </c>
      <c r="Q5725" s="9">
        <v>29558</v>
      </c>
      <c r="R5725" s="9">
        <v>208203</v>
      </c>
      <c r="S5725" s="9">
        <v>-72779</v>
      </c>
      <c r="T5725" s="10">
        <v>73243</v>
      </c>
      <c r="U5725" s="10">
        <v>1950</v>
      </c>
    </row>
    <row r="5726" spans="1:21" x14ac:dyDescent="0.35">
      <c r="A5726" t="s">
        <v>15</v>
      </c>
      <c r="B5726" t="s">
        <v>16</v>
      </c>
      <c r="C5726" t="s">
        <v>21</v>
      </c>
      <c r="D5726">
        <v>292373</v>
      </c>
      <c r="E5726">
        <v>51582</v>
      </c>
      <c r="F5726">
        <v>67654</v>
      </c>
      <c r="G5726">
        <v>-237631</v>
      </c>
      <c r="H5726">
        <v>173978</v>
      </c>
      <c r="I5726">
        <v>178748</v>
      </c>
      <c r="J5726">
        <v>2240</v>
      </c>
      <c r="K5726">
        <v>833075</v>
      </c>
      <c r="L5726">
        <v>234030</v>
      </c>
      <c r="M5726">
        <v>-328325</v>
      </c>
      <c r="N5726">
        <v>144721</v>
      </c>
      <c r="O5726" t="s">
        <v>5744</v>
      </c>
      <c r="P5726" s="9">
        <v>243528</v>
      </c>
      <c r="Q5726" s="9">
        <v>30751</v>
      </c>
      <c r="R5726" s="9">
        <v>274279</v>
      </c>
      <c r="S5726" s="9">
        <v>-96239</v>
      </c>
      <c r="T5726" s="10">
        <v>82553</v>
      </c>
      <c r="U5726" s="10">
        <v>2444</v>
      </c>
    </row>
    <row r="5727" spans="1:21" x14ac:dyDescent="0.35">
      <c r="A5727" t="s">
        <v>15</v>
      </c>
      <c r="B5727" t="s">
        <v>16</v>
      </c>
      <c r="C5727" t="s">
        <v>17</v>
      </c>
      <c r="D5727">
        <v>222625</v>
      </c>
      <c r="E5727">
        <v>17298</v>
      </c>
      <c r="F5727">
        <v>47841</v>
      </c>
      <c r="G5727">
        <v>-192623</v>
      </c>
      <c r="H5727">
        <v>95141</v>
      </c>
      <c r="I5727">
        <v>85901</v>
      </c>
      <c r="J5727">
        <v>1486</v>
      </c>
      <c r="K5727">
        <v>584363</v>
      </c>
      <c r="L5727">
        <v>82846</v>
      </c>
      <c r="M5727">
        <v>-195973</v>
      </c>
      <c r="N5727">
        <v>85326</v>
      </c>
      <c r="O5727" t="s">
        <v>5745</v>
      </c>
      <c r="P5727" s="9">
        <v>244110</v>
      </c>
      <c r="Q5727" s="9">
        <v>17289</v>
      </c>
      <c r="R5727" s="9">
        <v>261399</v>
      </c>
      <c r="S5727" s="9">
        <v>-126966</v>
      </c>
      <c r="T5727" s="10">
        <v>84261</v>
      </c>
      <c r="U5727" s="10">
        <v>1029</v>
      </c>
    </row>
    <row r="5728" spans="1:21" x14ac:dyDescent="0.35">
      <c r="A5728" t="s">
        <v>15</v>
      </c>
      <c r="B5728" t="s">
        <v>16</v>
      </c>
      <c r="C5728" t="s">
        <v>21</v>
      </c>
      <c r="D5728">
        <v>152271</v>
      </c>
      <c r="E5728">
        <v>14971</v>
      </c>
      <c r="F5728">
        <v>29482</v>
      </c>
      <c r="G5728">
        <v>-135465</v>
      </c>
      <c r="H5728">
        <v>61259</v>
      </c>
      <c r="I5728">
        <v>63971</v>
      </c>
      <c r="J5728">
        <v>641</v>
      </c>
      <c r="K5728">
        <v>360988</v>
      </c>
      <c r="L5728">
        <v>136737</v>
      </c>
      <c r="M5728">
        <v>-88747</v>
      </c>
      <c r="N5728">
        <v>57741</v>
      </c>
      <c r="O5728" t="s">
        <v>5746</v>
      </c>
      <c r="P5728" s="9">
        <v>146071</v>
      </c>
      <c r="Q5728" s="9">
        <v>26094</v>
      </c>
      <c r="R5728" s="9">
        <v>172165</v>
      </c>
      <c r="S5728" s="9">
        <v>-81657</v>
      </c>
      <c r="T5728" s="10">
        <v>59249</v>
      </c>
      <c r="U5728" s="10">
        <v>735</v>
      </c>
    </row>
    <row r="5729" spans="1:21" x14ac:dyDescent="0.35">
      <c r="A5729" t="s">
        <v>15</v>
      </c>
      <c r="B5729" t="s">
        <v>16</v>
      </c>
      <c r="C5729" t="s">
        <v>21</v>
      </c>
      <c r="D5729">
        <v>248750</v>
      </c>
      <c r="E5729">
        <v>36194</v>
      </c>
      <c r="F5729">
        <v>58116</v>
      </c>
      <c r="G5729">
        <v>-215282</v>
      </c>
      <c r="H5729">
        <v>127778</v>
      </c>
      <c r="I5729">
        <v>131936</v>
      </c>
      <c r="J5729">
        <v>3705</v>
      </c>
      <c r="K5729">
        <v>817132</v>
      </c>
      <c r="L5729">
        <v>166527</v>
      </c>
      <c r="M5729">
        <v>-106732</v>
      </c>
      <c r="N5729">
        <v>191533</v>
      </c>
      <c r="O5729" t="s">
        <v>5747</v>
      </c>
      <c r="P5729" s="9">
        <v>159081</v>
      </c>
      <c r="Q5729" s="9">
        <v>26729</v>
      </c>
      <c r="R5729" s="9">
        <v>185810</v>
      </c>
      <c r="S5729" s="9">
        <v>-71367</v>
      </c>
      <c r="T5729" s="10">
        <v>49392</v>
      </c>
      <c r="U5729" s="10">
        <v>875</v>
      </c>
    </row>
    <row r="5730" spans="1:21" x14ac:dyDescent="0.35">
      <c r="A5730" t="s">
        <v>15</v>
      </c>
      <c r="B5730" t="s">
        <v>16</v>
      </c>
      <c r="C5730" t="s">
        <v>17</v>
      </c>
      <c r="D5730">
        <v>213841</v>
      </c>
      <c r="E5730">
        <v>11786</v>
      </c>
      <c r="F5730">
        <v>52992</v>
      </c>
      <c r="G5730">
        <v>-175486</v>
      </c>
      <c r="H5730">
        <v>103133</v>
      </c>
      <c r="I5730">
        <v>103413</v>
      </c>
      <c r="J5730">
        <v>1320</v>
      </c>
      <c r="K5730">
        <v>571770</v>
      </c>
      <c r="L5730">
        <v>271752</v>
      </c>
      <c r="M5730">
        <v>-83950</v>
      </c>
      <c r="N5730">
        <v>85686</v>
      </c>
      <c r="O5730" t="s">
        <v>5748</v>
      </c>
      <c r="P5730" s="9">
        <v>193753</v>
      </c>
      <c r="Q5730" s="9">
        <v>24001</v>
      </c>
      <c r="R5730" s="9">
        <v>217754</v>
      </c>
      <c r="S5730" s="9">
        <v>-67884</v>
      </c>
      <c r="T5730" s="10">
        <v>75397</v>
      </c>
      <c r="U5730" s="10">
        <v>1498</v>
      </c>
    </row>
    <row r="5731" spans="1:21" x14ac:dyDescent="0.35">
      <c r="A5731" t="s">
        <v>15</v>
      </c>
      <c r="B5731" t="s">
        <v>20</v>
      </c>
      <c r="C5731" t="s">
        <v>21</v>
      </c>
      <c r="D5731">
        <v>247312</v>
      </c>
      <c r="E5731">
        <v>33427</v>
      </c>
      <c r="F5731">
        <v>39541</v>
      </c>
      <c r="G5731">
        <v>-237135</v>
      </c>
      <c r="H5731">
        <v>83145</v>
      </c>
      <c r="I5731">
        <v>79361</v>
      </c>
      <c r="J5731">
        <v>2289</v>
      </c>
      <c r="K5731">
        <v>624207</v>
      </c>
      <c r="L5731">
        <v>101357</v>
      </c>
      <c r="M5731">
        <v>-173604</v>
      </c>
      <c r="N5731">
        <v>93898</v>
      </c>
      <c r="O5731" t="s">
        <v>5749</v>
      </c>
      <c r="P5731" s="9">
        <v>271632</v>
      </c>
      <c r="Q5731" s="9">
        <v>18260</v>
      </c>
      <c r="R5731" s="9">
        <v>289892</v>
      </c>
      <c r="S5731" s="9">
        <v>-91110</v>
      </c>
      <c r="T5731" s="10">
        <v>78851</v>
      </c>
      <c r="U5731" s="10">
        <v>1270</v>
      </c>
    </row>
    <row r="5732" spans="1:21" x14ac:dyDescent="0.35">
      <c r="A5732" t="s">
        <v>15</v>
      </c>
      <c r="B5732" t="s">
        <v>20</v>
      </c>
      <c r="C5732" t="s">
        <v>17</v>
      </c>
      <c r="D5732">
        <v>204544</v>
      </c>
      <c r="E5732">
        <v>12207</v>
      </c>
      <c r="F5732">
        <v>30840</v>
      </c>
      <c r="G5732">
        <v>-194685</v>
      </c>
      <c r="H5732">
        <v>52906</v>
      </c>
      <c r="I5732">
        <v>51778</v>
      </c>
      <c r="J5732">
        <v>1126</v>
      </c>
      <c r="K5732">
        <v>736789</v>
      </c>
      <c r="L5732">
        <v>244360</v>
      </c>
      <c r="M5732">
        <v>-151656</v>
      </c>
      <c r="N5732">
        <v>177793</v>
      </c>
      <c r="O5732" t="s">
        <v>5750</v>
      </c>
      <c r="P5732" s="9">
        <v>266035</v>
      </c>
      <c r="Q5732" s="9">
        <v>31927</v>
      </c>
      <c r="R5732" s="9">
        <v>297962</v>
      </c>
      <c r="S5732" s="9">
        <v>-88190</v>
      </c>
      <c r="T5732" s="10">
        <v>89165</v>
      </c>
      <c r="U5732" s="10">
        <v>2457</v>
      </c>
    </row>
    <row r="5733" spans="1:21" x14ac:dyDescent="0.35">
      <c r="A5733" t="s">
        <v>15</v>
      </c>
      <c r="B5733" t="s">
        <v>20</v>
      </c>
      <c r="C5733" t="s">
        <v>17</v>
      </c>
      <c r="D5733">
        <v>236829</v>
      </c>
      <c r="E5733">
        <v>36416</v>
      </c>
      <c r="F5733">
        <v>55896</v>
      </c>
      <c r="G5733">
        <v>-227446</v>
      </c>
      <c r="H5733">
        <v>101695</v>
      </c>
      <c r="I5733">
        <v>95774</v>
      </c>
      <c r="J5733">
        <v>2675</v>
      </c>
      <c r="K5733">
        <v>893667</v>
      </c>
      <c r="L5733">
        <v>234145</v>
      </c>
      <c r="M5733">
        <v>-189216</v>
      </c>
      <c r="N5733">
        <v>158845</v>
      </c>
      <c r="O5733" t="s">
        <v>5751</v>
      </c>
      <c r="P5733" s="9">
        <v>278128</v>
      </c>
      <c r="Q5733" s="9">
        <v>36026</v>
      </c>
      <c r="R5733" s="9">
        <v>314154</v>
      </c>
      <c r="S5733" s="9">
        <v>-95459</v>
      </c>
      <c r="T5733" s="10">
        <v>108444</v>
      </c>
      <c r="U5733" s="10">
        <v>2953</v>
      </c>
    </row>
    <row r="5734" spans="1:21" x14ac:dyDescent="0.35">
      <c r="A5734" t="s">
        <v>15</v>
      </c>
      <c r="B5734" t="s">
        <v>16</v>
      </c>
      <c r="C5734" t="s">
        <v>17</v>
      </c>
      <c r="D5734">
        <v>156886</v>
      </c>
      <c r="E5734">
        <v>8983</v>
      </c>
      <c r="F5734">
        <v>32127</v>
      </c>
      <c r="G5734">
        <v>-143302</v>
      </c>
      <c r="H5734">
        <v>54694</v>
      </c>
      <c r="I5734">
        <v>55075</v>
      </c>
      <c r="J5734">
        <v>1235</v>
      </c>
      <c r="K5734">
        <v>566967</v>
      </c>
      <c r="L5734">
        <v>205565</v>
      </c>
      <c r="M5734">
        <v>-143349</v>
      </c>
      <c r="N5734">
        <v>131678</v>
      </c>
      <c r="O5734" t="s">
        <v>5752</v>
      </c>
      <c r="P5734" s="9">
        <v>194782</v>
      </c>
      <c r="Q5734" s="9">
        <v>12450</v>
      </c>
      <c r="R5734" s="9">
        <v>207232</v>
      </c>
      <c r="S5734" s="9">
        <v>-79390</v>
      </c>
      <c r="T5734" s="10">
        <v>87159</v>
      </c>
      <c r="U5734" s="10">
        <v>1548</v>
      </c>
    </row>
    <row r="5735" spans="1:21" x14ac:dyDescent="0.35">
      <c r="A5735" t="s">
        <v>15</v>
      </c>
      <c r="B5735" t="s">
        <v>16</v>
      </c>
      <c r="C5735" t="s">
        <v>21</v>
      </c>
      <c r="D5735">
        <v>214896</v>
      </c>
      <c r="E5735">
        <v>21227</v>
      </c>
      <c r="F5735">
        <v>38424</v>
      </c>
      <c r="G5735">
        <v>-214260</v>
      </c>
      <c r="H5735">
        <v>60287</v>
      </c>
      <c r="I5735">
        <v>59491</v>
      </c>
      <c r="J5735">
        <v>882</v>
      </c>
      <c r="K5735">
        <v>658645</v>
      </c>
      <c r="L5735">
        <v>99559</v>
      </c>
      <c r="M5735">
        <v>-263171</v>
      </c>
      <c r="N5735">
        <v>85735</v>
      </c>
      <c r="O5735" t="s">
        <v>5753</v>
      </c>
      <c r="P5735" s="9">
        <v>221265</v>
      </c>
      <c r="Q5735" s="9">
        <v>43436</v>
      </c>
      <c r="R5735" s="9">
        <v>264701</v>
      </c>
      <c r="S5735" s="9">
        <v>-52948</v>
      </c>
      <c r="T5735" s="10">
        <v>133049</v>
      </c>
      <c r="U5735" s="10">
        <v>1640</v>
      </c>
    </row>
    <row r="5736" spans="1:21" x14ac:dyDescent="0.35">
      <c r="A5736" t="s">
        <v>15</v>
      </c>
      <c r="B5736" t="s">
        <v>16</v>
      </c>
      <c r="C5736" t="s">
        <v>21</v>
      </c>
      <c r="D5736">
        <v>235302</v>
      </c>
      <c r="E5736">
        <v>24833</v>
      </c>
      <c r="F5736">
        <v>34495</v>
      </c>
      <c r="G5736">
        <v>-190033</v>
      </c>
      <c r="H5736">
        <v>104597</v>
      </c>
      <c r="I5736">
        <v>99437</v>
      </c>
      <c r="J5736">
        <v>1066</v>
      </c>
      <c r="K5736">
        <v>832981</v>
      </c>
      <c r="L5736">
        <v>109236</v>
      </c>
      <c r="M5736">
        <v>-330831</v>
      </c>
      <c r="N5736">
        <v>176727</v>
      </c>
      <c r="O5736" t="s">
        <v>5754</v>
      </c>
      <c r="P5736" s="9">
        <v>263360</v>
      </c>
      <c r="Q5736" s="9">
        <v>50602</v>
      </c>
      <c r="R5736" s="9">
        <v>313962</v>
      </c>
      <c r="S5736" s="9">
        <v>-128470</v>
      </c>
      <c r="T5736" s="10">
        <v>124274</v>
      </c>
      <c r="U5736" s="10">
        <v>3010</v>
      </c>
    </row>
    <row r="5737" spans="1:21" x14ac:dyDescent="0.35">
      <c r="A5737" t="s">
        <v>15</v>
      </c>
      <c r="B5737" t="s">
        <v>16</v>
      </c>
      <c r="C5737" t="s">
        <v>17</v>
      </c>
      <c r="D5737">
        <v>172455</v>
      </c>
      <c r="E5737">
        <v>20521</v>
      </c>
      <c r="F5737">
        <v>25614</v>
      </c>
      <c r="G5737">
        <v>-140886</v>
      </c>
      <c r="H5737">
        <v>77704</v>
      </c>
      <c r="I5737">
        <v>78481</v>
      </c>
      <c r="J5737">
        <v>1700</v>
      </c>
      <c r="K5737">
        <v>572588</v>
      </c>
      <c r="L5737">
        <v>68542</v>
      </c>
      <c r="M5737">
        <v>-201641</v>
      </c>
      <c r="N5737">
        <v>133020</v>
      </c>
      <c r="O5737" t="s">
        <v>5755</v>
      </c>
      <c r="P5737" s="9">
        <v>189471</v>
      </c>
      <c r="Q5737" s="9">
        <v>23916</v>
      </c>
      <c r="R5737" s="9">
        <v>213387</v>
      </c>
      <c r="S5737" s="9">
        <v>-69360</v>
      </c>
      <c r="T5737" s="10">
        <v>78090</v>
      </c>
      <c r="U5737" s="10">
        <v>1947</v>
      </c>
    </row>
    <row r="5738" spans="1:21" x14ac:dyDescent="0.35">
      <c r="A5738" t="s">
        <v>15</v>
      </c>
      <c r="B5738" t="s">
        <v>20</v>
      </c>
      <c r="C5738" t="s">
        <v>21</v>
      </c>
      <c r="D5738">
        <v>210798</v>
      </c>
      <c r="E5738">
        <v>37168</v>
      </c>
      <c r="F5738">
        <v>36030</v>
      </c>
      <c r="G5738">
        <v>-201909</v>
      </c>
      <c r="H5738">
        <v>82087</v>
      </c>
      <c r="I5738">
        <v>84187</v>
      </c>
      <c r="J5738">
        <v>1540</v>
      </c>
      <c r="K5738">
        <v>660751</v>
      </c>
      <c r="L5738">
        <v>75776</v>
      </c>
      <c r="M5738">
        <v>-132501</v>
      </c>
      <c r="N5738">
        <v>178773</v>
      </c>
      <c r="O5738" t="s">
        <v>5756</v>
      </c>
      <c r="P5738" s="9">
        <v>279269</v>
      </c>
      <c r="Q5738" s="9">
        <v>37929</v>
      </c>
      <c r="R5738" s="9">
        <v>317198</v>
      </c>
      <c r="S5738" s="9">
        <v>-77385</v>
      </c>
      <c r="T5738" s="10">
        <v>142701</v>
      </c>
      <c r="U5738" s="10">
        <v>3487</v>
      </c>
    </row>
    <row r="5739" spans="1:21" x14ac:dyDescent="0.35">
      <c r="A5739" t="s">
        <v>15</v>
      </c>
      <c r="B5739" t="s">
        <v>20</v>
      </c>
      <c r="C5739" t="s">
        <v>21</v>
      </c>
      <c r="D5739">
        <v>295572</v>
      </c>
      <c r="E5739">
        <v>17922</v>
      </c>
      <c r="F5739">
        <v>45308</v>
      </c>
      <c r="G5739">
        <v>-268075</v>
      </c>
      <c r="H5739">
        <v>90727</v>
      </c>
      <c r="I5739">
        <v>85177</v>
      </c>
      <c r="J5739">
        <v>1714</v>
      </c>
      <c r="K5739">
        <v>1097019</v>
      </c>
      <c r="L5739">
        <v>318253</v>
      </c>
      <c r="M5739">
        <v>-119047</v>
      </c>
      <c r="N5739">
        <v>234463</v>
      </c>
      <c r="O5739" t="s">
        <v>5757</v>
      </c>
      <c r="P5739" s="9">
        <v>194571</v>
      </c>
      <c r="Q5739" s="9">
        <v>40339</v>
      </c>
      <c r="R5739" s="9">
        <v>234910</v>
      </c>
      <c r="S5739" s="9">
        <v>-109629</v>
      </c>
      <c r="T5739" s="10">
        <v>99333</v>
      </c>
      <c r="U5739" s="10">
        <v>2299</v>
      </c>
    </row>
    <row r="5740" spans="1:21" x14ac:dyDescent="0.35">
      <c r="A5740" t="s">
        <v>15</v>
      </c>
      <c r="B5740" t="s">
        <v>20</v>
      </c>
      <c r="C5740" t="s">
        <v>21</v>
      </c>
      <c r="D5740">
        <v>206669</v>
      </c>
      <c r="E5740">
        <v>25336</v>
      </c>
      <c r="F5740">
        <v>42582</v>
      </c>
      <c r="G5740">
        <v>-170216</v>
      </c>
      <c r="H5740">
        <v>104371</v>
      </c>
      <c r="I5740">
        <v>101715</v>
      </c>
      <c r="J5740">
        <v>1220</v>
      </c>
      <c r="K5740">
        <v>467464</v>
      </c>
      <c r="L5740">
        <v>52370</v>
      </c>
      <c r="M5740">
        <v>-123802</v>
      </c>
      <c r="N5740">
        <v>159455</v>
      </c>
      <c r="O5740" t="s">
        <v>5758</v>
      </c>
      <c r="P5740" s="9">
        <v>265597</v>
      </c>
      <c r="Q5740" s="9">
        <v>22210</v>
      </c>
      <c r="R5740" s="9">
        <v>287807</v>
      </c>
      <c r="S5740" s="9">
        <v>-123314</v>
      </c>
      <c r="T5740" s="10">
        <v>80869</v>
      </c>
      <c r="U5740" s="10">
        <v>1002</v>
      </c>
    </row>
    <row r="5741" spans="1:21" x14ac:dyDescent="0.35">
      <c r="A5741" t="s">
        <v>15</v>
      </c>
      <c r="B5741" t="s">
        <v>16</v>
      </c>
      <c r="C5741" t="s">
        <v>21</v>
      </c>
      <c r="D5741">
        <v>174520</v>
      </c>
      <c r="E5741">
        <v>29657</v>
      </c>
      <c r="F5741">
        <v>33264</v>
      </c>
      <c r="G5741">
        <v>-169490</v>
      </c>
      <c r="H5741">
        <v>67951</v>
      </c>
      <c r="I5741">
        <v>67393</v>
      </c>
      <c r="J5741">
        <v>1627</v>
      </c>
      <c r="K5741">
        <v>403667</v>
      </c>
      <c r="L5741">
        <v>90288</v>
      </c>
      <c r="M5741">
        <v>-70468</v>
      </c>
      <c r="N5741">
        <v>83936</v>
      </c>
      <c r="O5741" t="s">
        <v>5759</v>
      </c>
      <c r="P5741" s="9">
        <v>265718</v>
      </c>
      <c r="Q5741" s="9">
        <v>43138</v>
      </c>
      <c r="R5741" s="9">
        <v>308856</v>
      </c>
      <c r="S5741" s="9">
        <v>-171545</v>
      </c>
      <c r="T5741" s="10">
        <v>143525</v>
      </c>
      <c r="U5741" s="10">
        <v>2478</v>
      </c>
    </row>
    <row r="5742" spans="1:21" x14ac:dyDescent="0.35">
      <c r="A5742" t="s">
        <v>15</v>
      </c>
      <c r="B5742" t="s">
        <v>16</v>
      </c>
      <c r="C5742" t="s">
        <v>21</v>
      </c>
      <c r="D5742">
        <v>159990</v>
      </c>
      <c r="E5742">
        <v>24802</v>
      </c>
      <c r="F5742">
        <v>26367</v>
      </c>
      <c r="G5742">
        <v>-137720</v>
      </c>
      <c r="H5742">
        <v>73439</v>
      </c>
      <c r="I5742">
        <v>68339</v>
      </c>
      <c r="J5742">
        <v>1620</v>
      </c>
      <c r="K5742">
        <v>436731</v>
      </c>
      <c r="L5742">
        <v>128312</v>
      </c>
      <c r="M5742">
        <v>-156748</v>
      </c>
      <c r="N5742">
        <v>79718</v>
      </c>
      <c r="O5742" t="s">
        <v>5760</v>
      </c>
      <c r="P5742" s="9">
        <v>261171</v>
      </c>
      <c r="Q5742" s="9">
        <v>34200</v>
      </c>
      <c r="R5742" s="9">
        <v>295371</v>
      </c>
      <c r="S5742" s="9">
        <v>-148773</v>
      </c>
      <c r="T5742" s="10">
        <v>100882</v>
      </c>
      <c r="U5742" s="10">
        <v>1689</v>
      </c>
    </row>
    <row r="5743" spans="1:21" x14ac:dyDescent="0.35">
      <c r="A5743" t="s">
        <v>15</v>
      </c>
      <c r="B5743" t="s">
        <v>16</v>
      </c>
      <c r="C5743" t="s">
        <v>17</v>
      </c>
      <c r="D5743">
        <v>158311</v>
      </c>
      <c r="E5743">
        <v>13990</v>
      </c>
      <c r="F5743">
        <v>32928</v>
      </c>
      <c r="G5743">
        <v>-157781</v>
      </c>
      <c r="H5743">
        <v>47448</v>
      </c>
      <c r="I5743">
        <v>48237</v>
      </c>
      <c r="J5743">
        <v>1246</v>
      </c>
      <c r="K5743">
        <v>465317</v>
      </c>
      <c r="L5743">
        <v>72295</v>
      </c>
      <c r="M5743">
        <v>-146647</v>
      </c>
      <c r="N5743">
        <v>47560</v>
      </c>
      <c r="O5743" t="s">
        <v>5761</v>
      </c>
      <c r="P5743" s="9">
        <v>185618</v>
      </c>
      <c r="Q5743" s="9">
        <v>32566</v>
      </c>
      <c r="R5743" s="9">
        <v>218184</v>
      </c>
      <c r="S5743" s="9">
        <v>-100085</v>
      </c>
      <c r="T5743" s="10">
        <v>72497</v>
      </c>
      <c r="U5743" s="10">
        <v>1300</v>
      </c>
    </row>
    <row r="5744" spans="1:21" x14ac:dyDescent="0.35">
      <c r="A5744" t="s">
        <v>15</v>
      </c>
      <c r="B5744" t="s">
        <v>16</v>
      </c>
      <c r="C5744" t="s">
        <v>21</v>
      </c>
      <c r="D5744">
        <v>282405</v>
      </c>
      <c r="E5744">
        <v>34944</v>
      </c>
      <c r="F5744">
        <v>51114</v>
      </c>
      <c r="G5744">
        <v>-275232</v>
      </c>
      <c r="H5744">
        <v>93231</v>
      </c>
      <c r="I5744">
        <v>95978</v>
      </c>
      <c r="J5744">
        <v>1951</v>
      </c>
      <c r="K5744">
        <v>931742</v>
      </c>
      <c r="L5744">
        <v>385513</v>
      </c>
      <c r="M5744">
        <v>-340674</v>
      </c>
      <c r="N5744">
        <v>134078</v>
      </c>
      <c r="O5744" t="s">
        <v>5762</v>
      </c>
      <c r="P5744" s="9">
        <v>278287</v>
      </c>
      <c r="Q5744" s="9">
        <v>45943</v>
      </c>
      <c r="R5744" s="9">
        <v>324230</v>
      </c>
      <c r="S5744" s="9">
        <v>-145292</v>
      </c>
      <c r="T5744" s="10">
        <v>93282</v>
      </c>
      <c r="U5744" s="10">
        <v>1676</v>
      </c>
    </row>
    <row r="5745" spans="1:21" x14ac:dyDescent="0.35">
      <c r="A5745" t="s">
        <v>15</v>
      </c>
      <c r="B5745" t="s">
        <v>16</v>
      </c>
      <c r="C5745" t="s">
        <v>17</v>
      </c>
      <c r="D5745">
        <v>171938</v>
      </c>
      <c r="E5745">
        <v>25588</v>
      </c>
      <c r="F5745">
        <v>31930</v>
      </c>
      <c r="G5745">
        <v>-141574</v>
      </c>
      <c r="H5745">
        <v>87882</v>
      </c>
      <c r="I5745">
        <v>86830</v>
      </c>
      <c r="J5745">
        <v>1902</v>
      </c>
      <c r="K5745">
        <v>430912</v>
      </c>
      <c r="L5745">
        <v>180180</v>
      </c>
      <c r="M5745">
        <v>-66440</v>
      </c>
      <c r="N5745">
        <v>96195</v>
      </c>
      <c r="O5745" t="s">
        <v>5763</v>
      </c>
      <c r="P5745" s="9">
        <v>168202</v>
      </c>
      <c r="Q5745" s="9">
        <v>20835</v>
      </c>
      <c r="R5745" s="9">
        <v>189037</v>
      </c>
      <c r="S5745" s="9">
        <v>-53627</v>
      </c>
      <c r="T5745" s="10">
        <v>65628</v>
      </c>
      <c r="U5745" s="10">
        <v>1788</v>
      </c>
    </row>
    <row r="5746" spans="1:21" x14ac:dyDescent="0.35">
      <c r="A5746" t="s">
        <v>15</v>
      </c>
      <c r="B5746" t="s">
        <v>16</v>
      </c>
      <c r="C5746" t="s">
        <v>21</v>
      </c>
      <c r="D5746">
        <v>177199</v>
      </c>
      <c r="E5746">
        <v>32548</v>
      </c>
      <c r="F5746">
        <v>25145</v>
      </c>
      <c r="G5746">
        <v>-156156</v>
      </c>
      <c r="H5746">
        <v>78736</v>
      </c>
      <c r="I5746">
        <v>74157</v>
      </c>
      <c r="J5746">
        <v>922</v>
      </c>
      <c r="K5746">
        <v>515883</v>
      </c>
      <c r="L5746">
        <v>59933</v>
      </c>
      <c r="M5746">
        <v>-174917</v>
      </c>
      <c r="N5746">
        <v>80938</v>
      </c>
      <c r="O5746" t="s">
        <v>5764</v>
      </c>
      <c r="P5746" s="9">
        <v>211404</v>
      </c>
      <c r="Q5746" s="9">
        <v>36796</v>
      </c>
      <c r="R5746" s="9">
        <v>248200</v>
      </c>
      <c r="S5746" s="9">
        <v>-112711</v>
      </c>
      <c r="T5746" s="10">
        <v>114876</v>
      </c>
      <c r="U5746" s="10">
        <v>2829</v>
      </c>
    </row>
    <row r="5747" spans="1:21" x14ac:dyDescent="0.35">
      <c r="A5747" t="s">
        <v>15</v>
      </c>
      <c r="B5747" t="s">
        <v>16</v>
      </c>
      <c r="C5747" t="s">
        <v>21</v>
      </c>
      <c r="D5747">
        <v>182097</v>
      </c>
      <c r="E5747">
        <v>28866</v>
      </c>
      <c r="F5747">
        <v>39482</v>
      </c>
      <c r="G5747">
        <v>-169752</v>
      </c>
      <c r="H5747">
        <v>80693</v>
      </c>
      <c r="I5747">
        <v>77756</v>
      </c>
      <c r="J5747">
        <v>1273</v>
      </c>
      <c r="K5747">
        <v>651736</v>
      </c>
      <c r="L5747">
        <v>171870</v>
      </c>
      <c r="M5747">
        <v>-259769</v>
      </c>
      <c r="N5747">
        <v>146770</v>
      </c>
      <c r="O5747" t="s">
        <v>5765</v>
      </c>
      <c r="P5747" s="9">
        <v>303022</v>
      </c>
      <c r="Q5747" s="9">
        <v>23998</v>
      </c>
      <c r="R5747" s="9">
        <v>327020</v>
      </c>
      <c r="S5747" s="9">
        <v>-150270</v>
      </c>
      <c r="T5747" s="10">
        <v>73729</v>
      </c>
      <c r="U5747" s="10">
        <v>1301</v>
      </c>
    </row>
    <row r="5748" spans="1:21" x14ac:dyDescent="0.35">
      <c r="A5748" t="s">
        <v>15</v>
      </c>
      <c r="B5748" t="s">
        <v>20</v>
      </c>
      <c r="C5748" t="s">
        <v>21</v>
      </c>
      <c r="D5748">
        <v>271026</v>
      </c>
      <c r="E5748">
        <v>17640</v>
      </c>
      <c r="F5748">
        <v>64744</v>
      </c>
      <c r="G5748">
        <v>-225998</v>
      </c>
      <c r="H5748">
        <v>127412</v>
      </c>
      <c r="I5748">
        <v>132099</v>
      </c>
      <c r="J5748">
        <v>3903</v>
      </c>
      <c r="K5748">
        <v>1050806</v>
      </c>
      <c r="L5748">
        <v>327640</v>
      </c>
      <c r="M5748">
        <v>-407827</v>
      </c>
      <c r="N5748">
        <v>121215</v>
      </c>
      <c r="O5748" t="s">
        <v>5766</v>
      </c>
      <c r="P5748" s="9">
        <v>237639</v>
      </c>
      <c r="Q5748" s="9">
        <v>16662</v>
      </c>
      <c r="R5748" s="9">
        <v>254301</v>
      </c>
      <c r="S5748" s="9">
        <v>-54230</v>
      </c>
      <c r="T5748" s="10">
        <v>75021</v>
      </c>
      <c r="U5748" s="10">
        <v>905</v>
      </c>
    </row>
    <row r="5749" spans="1:21" x14ac:dyDescent="0.35">
      <c r="A5749" t="s">
        <v>15</v>
      </c>
      <c r="B5749" t="s">
        <v>20</v>
      </c>
      <c r="C5749" t="s">
        <v>17</v>
      </c>
      <c r="D5749">
        <v>265425</v>
      </c>
      <c r="E5749">
        <v>35144</v>
      </c>
      <c r="F5749">
        <v>50386</v>
      </c>
      <c r="G5749">
        <v>-263862</v>
      </c>
      <c r="H5749">
        <v>87093</v>
      </c>
      <c r="I5749">
        <v>90322</v>
      </c>
      <c r="J5749">
        <v>2465</v>
      </c>
      <c r="K5749">
        <v>683982</v>
      </c>
      <c r="L5749">
        <v>121437</v>
      </c>
      <c r="M5749">
        <v>-128283</v>
      </c>
      <c r="N5749">
        <v>217986</v>
      </c>
      <c r="O5749" t="s">
        <v>5767</v>
      </c>
      <c r="P5749" s="9">
        <v>160674</v>
      </c>
      <c r="Q5749" s="9">
        <v>27074</v>
      </c>
      <c r="R5749" s="9">
        <v>187748</v>
      </c>
      <c r="S5749" s="9">
        <v>-99272</v>
      </c>
      <c r="T5749" s="10">
        <v>69613</v>
      </c>
      <c r="U5749" s="10">
        <v>1134</v>
      </c>
    </row>
    <row r="5750" spans="1:21" x14ac:dyDescent="0.35">
      <c r="A5750" t="s">
        <v>15</v>
      </c>
      <c r="B5750" t="s">
        <v>16</v>
      </c>
      <c r="C5750" t="s">
        <v>21</v>
      </c>
      <c r="D5750">
        <v>271994</v>
      </c>
      <c r="E5750">
        <v>25692</v>
      </c>
      <c r="F5750">
        <v>33214</v>
      </c>
      <c r="G5750">
        <v>-228924</v>
      </c>
      <c r="H5750">
        <v>101976</v>
      </c>
      <c r="I5750">
        <v>104989</v>
      </c>
      <c r="J5750">
        <v>2542</v>
      </c>
      <c r="K5750">
        <v>803975</v>
      </c>
      <c r="L5750">
        <v>115952</v>
      </c>
      <c r="M5750">
        <v>-269792</v>
      </c>
      <c r="N5750">
        <v>171993</v>
      </c>
      <c r="O5750" t="s">
        <v>5768</v>
      </c>
      <c r="P5750" s="9">
        <v>169286</v>
      </c>
      <c r="Q5750" s="9">
        <v>13713</v>
      </c>
      <c r="R5750" s="9">
        <v>182999</v>
      </c>
      <c r="S5750" s="9">
        <v>-74837</v>
      </c>
      <c r="T5750" s="10">
        <v>58229</v>
      </c>
      <c r="U5750" s="10">
        <v>1635</v>
      </c>
    </row>
    <row r="5751" spans="1:21" x14ac:dyDescent="0.35">
      <c r="A5751" t="s">
        <v>15</v>
      </c>
      <c r="B5751" t="s">
        <v>16</v>
      </c>
      <c r="C5751" t="s">
        <v>17</v>
      </c>
      <c r="D5751">
        <v>192237</v>
      </c>
      <c r="E5751">
        <v>32810</v>
      </c>
      <c r="F5751">
        <v>38776</v>
      </c>
      <c r="G5751">
        <v>-162439</v>
      </c>
      <c r="H5751">
        <v>101384</v>
      </c>
      <c r="I5751">
        <v>91536</v>
      </c>
      <c r="J5751">
        <v>1617</v>
      </c>
      <c r="K5751">
        <v>767091</v>
      </c>
      <c r="L5751">
        <v>105751</v>
      </c>
      <c r="M5751">
        <v>-159593</v>
      </c>
      <c r="N5751">
        <v>151844</v>
      </c>
      <c r="O5751" t="s">
        <v>5769</v>
      </c>
      <c r="P5751" s="9">
        <v>305026</v>
      </c>
      <c r="Q5751" s="9">
        <v>21510</v>
      </c>
      <c r="R5751" s="9">
        <v>326536</v>
      </c>
      <c r="S5751" s="9">
        <v>-126719</v>
      </c>
      <c r="T5751" s="10">
        <v>100380</v>
      </c>
      <c r="U5751" s="10">
        <v>2382</v>
      </c>
    </row>
    <row r="5752" spans="1:21" x14ac:dyDescent="0.35">
      <c r="A5752" t="s">
        <v>15</v>
      </c>
      <c r="B5752" t="s">
        <v>16</v>
      </c>
      <c r="C5752" t="s">
        <v>21</v>
      </c>
      <c r="D5752">
        <v>266107</v>
      </c>
      <c r="E5752">
        <v>43054</v>
      </c>
      <c r="F5752">
        <v>60443</v>
      </c>
      <c r="G5752">
        <v>-226051</v>
      </c>
      <c r="H5752">
        <v>143553</v>
      </c>
      <c r="I5752">
        <v>132166</v>
      </c>
      <c r="J5752">
        <v>3669</v>
      </c>
      <c r="K5752">
        <v>576003</v>
      </c>
      <c r="L5752">
        <v>79565</v>
      </c>
      <c r="M5752">
        <v>-110074</v>
      </c>
      <c r="N5752">
        <v>137057</v>
      </c>
      <c r="O5752" t="s">
        <v>5770</v>
      </c>
      <c r="P5752" s="9">
        <v>157931</v>
      </c>
      <c r="Q5752" s="9">
        <v>34214</v>
      </c>
      <c r="R5752" s="9">
        <v>192145</v>
      </c>
      <c r="S5752" s="9">
        <v>-103754</v>
      </c>
      <c r="T5752" s="10">
        <v>62775</v>
      </c>
      <c r="U5752" s="10">
        <v>1715</v>
      </c>
    </row>
    <row r="5753" spans="1:21" x14ac:dyDescent="0.35">
      <c r="A5753" t="s">
        <v>15</v>
      </c>
      <c r="B5753" t="s">
        <v>20</v>
      </c>
      <c r="C5753" t="s">
        <v>21</v>
      </c>
      <c r="D5753">
        <v>186151</v>
      </c>
      <c r="E5753">
        <v>34345</v>
      </c>
      <c r="F5753">
        <v>42440</v>
      </c>
      <c r="G5753">
        <v>-183041</v>
      </c>
      <c r="H5753">
        <v>79895</v>
      </c>
      <c r="I5753">
        <v>78559</v>
      </c>
      <c r="J5753">
        <v>2118</v>
      </c>
      <c r="K5753">
        <v>617440</v>
      </c>
      <c r="L5753">
        <v>204656</v>
      </c>
      <c r="M5753">
        <v>-182306</v>
      </c>
      <c r="N5753">
        <v>107307</v>
      </c>
      <c r="O5753" t="s">
        <v>5771</v>
      </c>
      <c r="P5753" s="9">
        <v>211269</v>
      </c>
      <c r="Q5753" s="9">
        <v>11109</v>
      </c>
      <c r="R5753" s="9">
        <v>222378</v>
      </c>
      <c r="S5753" s="9">
        <v>-95351</v>
      </c>
      <c r="T5753" s="10">
        <v>104968</v>
      </c>
      <c r="U5753" s="10">
        <v>1493</v>
      </c>
    </row>
    <row r="5754" spans="1:21" x14ac:dyDescent="0.35">
      <c r="A5754" t="s">
        <v>15</v>
      </c>
      <c r="B5754" t="s">
        <v>20</v>
      </c>
      <c r="C5754" t="s">
        <v>17</v>
      </c>
      <c r="D5754">
        <v>199249</v>
      </c>
      <c r="E5754">
        <v>15650</v>
      </c>
      <c r="F5754">
        <v>26537</v>
      </c>
      <c r="G5754">
        <v>-164221</v>
      </c>
      <c r="H5754">
        <v>77215</v>
      </c>
      <c r="I5754">
        <v>73777</v>
      </c>
      <c r="J5754">
        <v>2045</v>
      </c>
      <c r="K5754">
        <v>671346</v>
      </c>
      <c r="L5754">
        <v>96637</v>
      </c>
      <c r="M5754">
        <v>-131977</v>
      </c>
      <c r="N5754">
        <v>157091</v>
      </c>
      <c r="O5754" t="s">
        <v>5772</v>
      </c>
      <c r="P5754" s="9">
        <v>229739</v>
      </c>
      <c r="Q5754" s="9">
        <v>33973</v>
      </c>
      <c r="R5754" s="9">
        <v>263712</v>
      </c>
      <c r="S5754" s="9">
        <v>-123185</v>
      </c>
      <c r="T5754" s="10">
        <v>109572</v>
      </c>
      <c r="U5754" s="10">
        <v>2726</v>
      </c>
    </row>
    <row r="5755" spans="1:21" x14ac:dyDescent="0.35">
      <c r="A5755" t="s">
        <v>15</v>
      </c>
      <c r="B5755" t="s">
        <v>16</v>
      </c>
      <c r="C5755" t="s">
        <v>21</v>
      </c>
      <c r="D5755">
        <v>271373</v>
      </c>
      <c r="E5755">
        <v>35968</v>
      </c>
      <c r="F5755">
        <v>40541</v>
      </c>
      <c r="G5755">
        <v>-254388</v>
      </c>
      <c r="H5755">
        <v>93494</v>
      </c>
      <c r="I5755">
        <v>86176</v>
      </c>
      <c r="J5755">
        <v>1889</v>
      </c>
      <c r="K5755">
        <v>803239</v>
      </c>
      <c r="L5755">
        <v>229436</v>
      </c>
      <c r="M5755">
        <v>-136053</v>
      </c>
      <c r="N5755">
        <v>135831</v>
      </c>
      <c r="O5755" t="s">
        <v>5773</v>
      </c>
      <c r="P5755" s="9">
        <v>258474</v>
      </c>
      <c r="Q5755" s="9">
        <v>41619</v>
      </c>
      <c r="R5755" s="9">
        <v>300093</v>
      </c>
      <c r="S5755" s="9">
        <v>-75029</v>
      </c>
      <c r="T5755" s="10">
        <v>101865</v>
      </c>
      <c r="U5755" s="10">
        <v>2175</v>
      </c>
    </row>
    <row r="5756" spans="1:21" x14ac:dyDescent="0.35">
      <c r="A5756" t="s">
        <v>15</v>
      </c>
      <c r="B5756" t="s">
        <v>16</v>
      </c>
      <c r="C5756" t="s">
        <v>21</v>
      </c>
      <c r="D5756">
        <v>271170</v>
      </c>
      <c r="E5756">
        <v>24728</v>
      </c>
      <c r="F5756">
        <v>62552</v>
      </c>
      <c r="G5756">
        <v>-254080</v>
      </c>
      <c r="H5756">
        <v>104370</v>
      </c>
      <c r="I5756">
        <v>95373</v>
      </c>
      <c r="J5756">
        <v>1784</v>
      </c>
      <c r="K5756">
        <v>886567</v>
      </c>
      <c r="L5756">
        <v>383549</v>
      </c>
      <c r="M5756">
        <v>-223640</v>
      </c>
      <c r="N5756">
        <v>218654</v>
      </c>
      <c r="O5756" t="s">
        <v>5774</v>
      </c>
      <c r="P5756" s="9">
        <v>320263</v>
      </c>
      <c r="Q5756" s="9">
        <v>56363</v>
      </c>
      <c r="R5756" s="9">
        <v>376626</v>
      </c>
      <c r="S5756" s="9">
        <v>-134518</v>
      </c>
      <c r="T5756" s="10">
        <v>173933</v>
      </c>
      <c r="U5756" s="10">
        <v>3004</v>
      </c>
    </row>
    <row r="5757" spans="1:21" x14ac:dyDescent="0.35">
      <c r="A5757" t="s">
        <v>15</v>
      </c>
      <c r="B5757" t="s">
        <v>20</v>
      </c>
      <c r="C5757" t="s">
        <v>21</v>
      </c>
      <c r="D5757">
        <v>198183</v>
      </c>
      <c r="E5757">
        <v>38532</v>
      </c>
      <c r="F5757">
        <v>32452</v>
      </c>
      <c r="G5757">
        <v>-176493</v>
      </c>
      <c r="H5757">
        <v>92674</v>
      </c>
      <c r="I5757">
        <v>86514</v>
      </c>
      <c r="J5757">
        <v>1427</v>
      </c>
      <c r="K5757">
        <v>766773</v>
      </c>
      <c r="L5757">
        <v>264623</v>
      </c>
      <c r="M5757">
        <v>-133131</v>
      </c>
      <c r="N5757">
        <v>62607</v>
      </c>
      <c r="O5757" t="s">
        <v>5775</v>
      </c>
      <c r="P5757" s="9">
        <v>136865</v>
      </c>
      <c r="Q5757" s="9">
        <v>22959</v>
      </c>
      <c r="R5757" s="9">
        <v>159824</v>
      </c>
      <c r="S5757" s="9">
        <v>-77017</v>
      </c>
      <c r="T5757" s="10">
        <v>65516</v>
      </c>
      <c r="U5757" s="10">
        <v>1334</v>
      </c>
    </row>
    <row r="5758" spans="1:21" x14ac:dyDescent="0.35">
      <c r="A5758" t="s">
        <v>15</v>
      </c>
      <c r="B5758" t="s">
        <v>20</v>
      </c>
      <c r="C5758" t="s">
        <v>17</v>
      </c>
      <c r="D5758">
        <v>219376</v>
      </c>
      <c r="E5758">
        <v>43701</v>
      </c>
      <c r="F5758">
        <v>30481</v>
      </c>
      <c r="G5758">
        <v>-211433</v>
      </c>
      <c r="H5758">
        <v>82125</v>
      </c>
      <c r="I5758">
        <v>76140</v>
      </c>
      <c r="J5758">
        <v>1096</v>
      </c>
      <c r="K5758">
        <v>841697</v>
      </c>
      <c r="L5758">
        <v>346261</v>
      </c>
      <c r="M5758">
        <v>-91079</v>
      </c>
      <c r="N5758">
        <v>76965</v>
      </c>
      <c r="O5758" t="s">
        <v>5776</v>
      </c>
      <c r="P5758" s="9">
        <v>229502</v>
      </c>
      <c r="Q5758" s="9">
        <v>31326</v>
      </c>
      <c r="R5758" s="9">
        <v>260828</v>
      </c>
      <c r="S5758" s="9">
        <v>-118968</v>
      </c>
      <c r="T5758" s="10">
        <v>77063</v>
      </c>
      <c r="U5758" s="10">
        <v>1380</v>
      </c>
    </row>
    <row r="5759" spans="1:21" x14ac:dyDescent="0.35">
      <c r="A5759" t="s">
        <v>15</v>
      </c>
      <c r="B5759" t="s">
        <v>16</v>
      </c>
      <c r="C5759" t="s">
        <v>21</v>
      </c>
      <c r="D5759">
        <v>277128</v>
      </c>
      <c r="E5759">
        <v>46790</v>
      </c>
      <c r="F5759">
        <v>57590</v>
      </c>
      <c r="G5759">
        <v>-238804</v>
      </c>
      <c r="H5759">
        <v>142704</v>
      </c>
      <c r="I5759">
        <v>136971</v>
      </c>
      <c r="J5759">
        <v>1412</v>
      </c>
      <c r="K5759">
        <v>764044</v>
      </c>
      <c r="L5759">
        <v>107733</v>
      </c>
      <c r="M5759">
        <v>-268445</v>
      </c>
      <c r="N5759">
        <v>130616</v>
      </c>
      <c r="O5759" t="s">
        <v>5777</v>
      </c>
      <c r="P5759" s="9">
        <v>205766</v>
      </c>
      <c r="Q5759" s="9">
        <v>16878</v>
      </c>
      <c r="R5759" s="9">
        <v>222644</v>
      </c>
      <c r="S5759" s="9">
        <v>-113632</v>
      </c>
      <c r="T5759" s="10">
        <v>78984</v>
      </c>
      <c r="U5759" s="10">
        <v>1427</v>
      </c>
    </row>
    <row r="5760" spans="1:21" x14ac:dyDescent="0.35">
      <c r="A5760" t="s">
        <v>15</v>
      </c>
      <c r="B5760" t="s">
        <v>20</v>
      </c>
      <c r="C5760" t="s">
        <v>21</v>
      </c>
      <c r="D5760">
        <v>172286</v>
      </c>
      <c r="E5760">
        <v>13115</v>
      </c>
      <c r="F5760">
        <v>24732</v>
      </c>
      <c r="G5760">
        <v>-169587</v>
      </c>
      <c r="H5760">
        <v>40546</v>
      </c>
      <c r="I5760">
        <v>39994</v>
      </c>
      <c r="J5760">
        <v>656</v>
      </c>
      <c r="K5760">
        <v>584644</v>
      </c>
      <c r="L5760">
        <v>128456</v>
      </c>
      <c r="M5760">
        <v>-88898</v>
      </c>
      <c r="N5760">
        <v>132926</v>
      </c>
      <c r="O5760" t="s">
        <v>5778</v>
      </c>
      <c r="P5760" s="9">
        <v>247412</v>
      </c>
      <c r="Q5760" s="9">
        <v>34708</v>
      </c>
      <c r="R5760" s="9">
        <v>282120</v>
      </c>
      <c r="S5760" s="9">
        <v>-144150</v>
      </c>
      <c r="T5760" s="10">
        <v>67511</v>
      </c>
      <c r="U5760" s="10">
        <v>1754</v>
      </c>
    </row>
    <row r="5761" spans="1:21" x14ac:dyDescent="0.35">
      <c r="A5761" t="s">
        <v>15</v>
      </c>
      <c r="B5761" t="s">
        <v>16</v>
      </c>
      <c r="C5761" t="s">
        <v>21</v>
      </c>
      <c r="D5761">
        <v>283570</v>
      </c>
      <c r="E5761">
        <v>14690</v>
      </c>
      <c r="F5761">
        <v>65873</v>
      </c>
      <c r="G5761">
        <v>-268311</v>
      </c>
      <c r="H5761">
        <v>95822</v>
      </c>
      <c r="I5761">
        <v>88804</v>
      </c>
      <c r="J5761">
        <v>1038</v>
      </c>
      <c r="K5761">
        <v>599113</v>
      </c>
      <c r="L5761">
        <v>184070</v>
      </c>
      <c r="M5761">
        <v>-125002</v>
      </c>
      <c r="N5761">
        <v>114627</v>
      </c>
      <c r="O5761" t="s">
        <v>5779</v>
      </c>
      <c r="P5761" s="9">
        <v>271182</v>
      </c>
      <c r="Q5761" s="9">
        <v>39946</v>
      </c>
      <c r="R5761" s="9">
        <v>311128</v>
      </c>
      <c r="S5761" s="9">
        <v>-64188</v>
      </c>
      <c r="T5761" s="10">
        <v>137237</v>
      </c>
      <c r="U5761" s="10">
        <v>3806</v>
      </c>
    </row>
    <row r="5762" spans="1:21" x14ac:dyDescent="0.35">
      <c r="A5762" t="s">
        <v>15</v>
      </c>
      <c r="B5762" t="s">
        <v>20</v>
      </c>
      <c r="C5762" t="s">
        <v>21</v>
      </c>
      <c r="D5762">
        <v>175475</v>
      </c>
      <c r="E5762">
        <v>12196</v>
      </c>
      <c r="F5762">
        <v>27452</v>
      </c>
      <c r="G5762">
        <v>-151513</v>
      </c>
      <c r="H5762">
        <v>63610</v>
      </c>
      <c r="I5762">
        <v>62622</v>
      </c>
      <c r="J5762">
        <v>1690</v>
      </c>
      <c r="K5762">
        <v>562666</v>
      </c>
      <c r="L5762">
        <v>120754</v>
      </c>
      <c r="M5762">
        <v>-70284</v>
      </c>
      <c r="N5762">
        <v>119465</v>
      </c>
      <c r="O5762" t="s">
        <v>5780</v>
      </c>
      <c r="P5762" s="9">
        <v>185072</v>
      </c>
      <c r="Q5762" s="9">
        <v>19445</v>
      </c>
      <c r="R5762" s="9">
        <v>204517</v>
      </c>
      <c r="S5762" s="9">
        <v>-58186</v>
      </c>
      <c r="T5762" s="10">
        <v>80007</v>
      </c>
      <c r="U5762" s="10">
        <v>2273</v>
      </c>
    </row>
    <row r="5763" spans="1:21" x14ac:dyDescent="0.35">
      <c r="A5763" t="s">
        <v>15</v>
      </c>
      <c r="B5763" t="s">
        <v>16</v>
      </c>
      <c r="C5763" t="s">
        <v>17</v>
      </c>
      <c r="D5763">
        <v>152115</v>
      </c>
      <c r="E5763">
        <v>19907</v>
      </c>
      <c r="F5763">
        <v>34362</v>
      </c>
      <c r="G5763">
        <v>-140634</v>
      </c>
      <c r="H5763">
        <v>65750</v>
      </c>
      <c r="I5763">
        <v>60766</v>
      </c>
      <c r="J5763">
        <v>694</v>
      </c>
      <c r="K5763">
        <v>593684</v>
      </c>
      <c r="L5763">
        <v>145817</v>
      </c>
      <c r="M5763">
        <v>-164277</v>
      </c>
      <c r="N5763">
        <v>132268</v>
      </c>
      <c r="O5763" t="s">
        <v>5781</v>
      </c>
      <c r="P5763" s="9">
        <v>138418</v>
      </c>
      <c r="Q5763" s="9">
        <v>18194</v>
      </c>
      <c r="R5763" s="9">
        <v>156612</v>
      </c>
      <c r="S5763" s="9">
        <v>-33728</v>
      </c>
      <c r="T5763" s="10">
        <v>67436</v>
      </c>
      <c r="U5763" s="10">
        <v>908</v>
      </c>
    </row>
    <row r="5764" spans="1:21" x14ac:dyDescent="0.35">
      <c r="A5764" t="s">
        <v>15</v>
      </c>
      <c r="B5764" t="s">
        <v>20</v>
      </c>
      <c r="C5764" t="s">
        <v>21</v>
      </c>
      <c r="D5764">
        <v>161531</v>
      </c>
      <c r="E5764">
        <v>21374</v>
      </c>
      <c r="F5764">
        <v>26098</v>
      </c>
      <c r="G5764">
        <v>-156117</v>
      </c>
      <c r="H5764">
        <v>52886</v>
      </c>
      <c r="I5764">
        <v>54330</v>
      </c>
      <c r="J5764">
        <v>664</v>
      </c>
      <c r="K5764">
        <v>381068</v>
      </c>
      <c r="L5764">
        <v>108760</v>
      </c>
      <c r="M5764">
        <v>-45945</v>
      </c>
      <c r="N5764">
        <v>87877</v>
      </c>
      <c r="O5764" t="s">
        <v>5782</v>
      </c>
      <c r="P5764" s="9">
        <v>222899</v>
      </c>
      <c r="Q5764" s="9">
        <v>25782</v>
      </c>
      <c r="R5764" s="9">
        <v>248681</v>
      </c>
      <c r="S5764" s="9">
        <v>-63101</v>
      </c>
      <c r="T5764" s="10">
        <v>107328</v>
      </c>
      <c r="U5764" s="10">
        <v>2024</v>
      </c>
    </row>
    <row r="5765" spans="1:21" x14ac:dyDescent="0.35">
      <c r="A5765" t="s">
        <v>15</v>
      </c>
      <c r="B5765" t="s">
        <v>16</v>
      </c>
      <c r="C5765" t="s">
        <v>21</v>
      </c>
      <c r="D5765">
        <v>253283</v>
      </c>
      <c r="E5765">
        <v>38239</v>
      </c>
      <c r="F5765">
        <v>32432</v>
      </c>
      <c r="G5765">
        <v>-206768</v>
      </c>
      <c r="H5765">
        <v>117186</v>
      </c>
      <c r="I5765">
        <v>109155</v>
      </c>
      <c r="J5765">
        <v>1819</v>
      </c>
      <c r="K5765">
        <v>816717</v>
      </c>
      <c r="L5765">
        <v>362989</v>
      </c>
      <c r="M5765">
        <v>-170289</v>
      </c>
      <c r="N5765">
        <v>127362</v>
      </c>
      <c r="O5765" t="s">
        <v>5783</v>
      </c>
      <c r="P5765" s="9">
        <v>216170</v>
      </c>
      <c r="Q5765" s="9">
        <v>16527</v>
      </c>
      <c r="R5765" s="9">
        <v>232697</v>
      </c>
      <c r="S5765" s="9">
        <v>-135232</v>
      </c>
      <c r="T5765" s="10">
        <v>86694</v>
      </c>
      <c r="U5765" s="10">
        <v>2165</v>
      </c>
    </row>
    <row r="5766" spans="1:21" x14ac:dyDescent="0.35">
      <c r="A5766" t="s">
        <v>15</v>
      </c>
      <c r="B5766" t="s">
        <v>16</v>
      </c>
      <c r="C5766" t="s">
        <v>21</v>
      </c>
      <c r="D5766">
        <v>194416</v>
      </c>
      <c r="E5766">
        <v>37361</v>
      </c>
      <c r="F5766">
        <v>35212</v>
      </c>
      <c r="G5766">
        <v>-173543</v>
      </c>
      <c r="H5766">
        <v>93446</v>
      </c>
      <c r="I5766">
        <v>84685</v>
      </c>
      <c r="J5766">
        <v>1422</v>
      </c>
      <c r="K5766">
        <v>591907</v>
      </c>
      <c r="L5766">
        <v>144987</v>
      </c>
      <c r="M5766">
        <v>-59217</v>
      </c>
      <c r="N5766">
        <v>124012</v>
      </c>
      <c r="O5766" t="s">
        <v>5784</v>
      </c>
      <c r="P5766" s="9">
        <v>304386</v>
      </c>
      <c r="Q5766" s="9">
        <v>24675</v>
      </c>
      <c r="R5766" s="9">
        <v>329061</v>
      </c>
      <c r="S5766" s="9">
        <v>-187708</v>
      </c>
      <c r="T5766" s="10">
        <v>121821</v>
      </c>
      <c r="U5766" s="10">
        <v>2400</v>
      </c>
    </row>
    <row r="5767" spans="1:21" x14ac:dyDescent="0.35">
      <c r="A5767" t="s">
        <v>15</v>
      </c>
      <c r="B5767" t="s">
        <v>16</v>
      </c>
      <c r="C5767" t="s">
        <v>17</v>
      </c>
      <c r="D5767">
        <v>232727</v>
      </c>
      <c r="E5767">
        <v>33650</v>
      </c>
      <c r="F5767">
        <v>55971</v>
      </c>
      <c r="G5767">
        <v>-217939</v>
      </c>
      <c r="H5767">
        <v>104409</v>
      </c>
      <c r="I5767">
        <v>97607</v>
      </c>
      <c r="J5767">
        <v>1074</v>
      </c>
      <c r="K5767">
        <v>540003</v>
      </c>
      <c r="L5767">
        <v>122126</v>
      </c>
      <c r="M5767">
        <v>-214976</v>
      </c>
      <c r="N5767">
        <v>122487</v>
      </c>
      <c r="O5767" t="s">
        <v>5785</v>
      </c>
      <c r="P5767" s="9">
        <v>181495</v>
      </c>
      <c r="Q5767" s="9">
        <v>32189</v>
      </c>
      <c r="R5767" s="9">
        <v>213684</v>
      </c>
      <c r="S5767" s="9">
        <v>-103879</v>
      </c>
      <c r="T5767" s="10">
        <v>88351</v>
      </c>
      <c r="U5767" s="10">
        <v>2130</v>
      </c>
    </row>
    <row r="5768" spans="1:21" x14ac:dyDescent="0.35">
      <c r="A5768" t="s">
        <v>15</v>
      </c>
      <c r="B5768" t="s">
        <v>16</v>
      </c>
      <c r="C5768" t="s">
        <v>21</v>
      </c>
      <c r="D5768">
        <v>252256</v>
      </c>
      <c r="E5768">
        <v>43526</v>
      </c>
      <c r="F5768">
        <v>46246</v>
      </c>
      <c r="G5768">
        <v>-205282</v>
      </c>
      <c r="H5768">
        <v>136746</v>
      </c>
      <c r="I5768">
        <v>138880</v>
      </c>
      <c r="J5768">
        <v>2447</v>
      </c>
      <c r="K5768">
        <v>889023</v>
      </c>
      <c r="L5768">
        <v>123662</v>
      </c>
      <c r="M5768">
        <v>-329031</v>
      </c>
      <c r="N5768">
        <v>157339</v>
      </c>
      <c r="O5768" t="s">
        <v>5786</v>
      </c>
      <c r="P5768" s="9">
        <v>288516</v>
      </c>
      <c r="Q5768" s="9">
        <v>48898</v>
      </c>
      <c r="R5768" s="9">
        <v>337414</v>
      </c>
      <c r="S5768" s="9">
        <v>-201251</v>
      </c>
      <c r="T5768" s="10">
        <v>134275</v>
      </c>
      <c r="U5768" s="10">
        <v>3067</v>
      </c>
    </row>
    <row r="5769" spans="1:21" x14ac:dyDescent="0.35">
      <c r="A5769" t="s">
        <v>15</v>
      </c>
      <c r="B5769" t="s">
        <v>16</v>
      </c>
      <c r="C5769" t="s">
        <v>21</v>
      </c>
      <c r="D5769">
        <v>186807</v>
      </c>
      <c r="E5769">
        <v>12182</v>
      </c>
      <c r="F5769">
        <v>42599</v>
      </c>
      <c r="G5769">
        <v>-177836</v>
      </c>
      <c r="H5769">
        <v>63752</v>
      </c>
      <c r="I5769">
        <v>66690</v>
      </c>
      <c r="J5769">
        <v>1019</v>
      </c>
      <c r="K5769">
        <v>504380</v>
      </c>
      <c r="L5769">
        <v>245340</v>
      </c>
      <c r="M5769">
        <v>-78494</v>
      </c>
      <c r="N5769">
        <v>92208</v>
      </c>
      <c r="O5769" t="s">
        <v>5787</v>
      </c>
      <c r="P5769" s="9">
        <v>207380</v>
      </c>
      <c r="Q5769" s="9">
        <v>37184</v>
      </c>
      <c r="R5769" s="9">
        <v>244564</v>
      </c>
      <c r="S5769" s="9">
        <v>-75348</v>
      </c>
      <c r="T5769" s="10">
        <v>89406</v>
      </c>
      <c r="U5769" s="10">
        <v>1438</v>
      </c>
    </row>
    <row r="5770" spans="1:21" x14ac:dyDescent="0.35">
      <c r="A5770" t="s">
        <v>15</v>
      </c>
      <c r="B5770" t="s">
        <v>20</v>
      </c>
      <c r="C5770" t="s">
        <v>17</v>
      </c>
      <c r="D5770">
        <v>246690</v>
      </c>
      <c r="E5770">
        <v>48247</v>
      </c>
      <c r="F5770">
        <v>26541</v>
      </c>
      <c r="G5770">
        <v>-205570</v>
      </c>
      <c r="H5770">
        <v>115908</v>
      </c>
      <c r="I5770">
        <v>116475</v>
      </c>
      <c r="J5770">
        <v>1257</v>
      </c>
      <c r="K5770">
        <v>844679</v>
      </c>
      <c r="L5770">
        <v>125367</v>
      </c>
      <c r="M5770">
        <v>-305619</v>
      </c>
      <c r="N5770">
        <v>129400</v>
      </c>
      <c r="O5770" t="s">
        <v>5788</v>
      </c>
      <c r="P5770" s="9">
        <v>175706</v>
      </c>
      <c r="Q5770" s="9">
        <v>34699</v>
      </c>
      <c r="R5770" s="9">
        <v>210405</v>
      </c>
      <c r="S5770" s="9">
        <v>-106511</v>
      </c>
      <c r="T5770" s="10">
        <v>76559</v>
      </c>
      <c r="U5770" s="10">
        <v>2136</v>
      </c>
    </row>
    <row r="5771" spans="1:21" x14ac:dyDescent="0.35">
      <c r="A5771" t="s">
        <v>15</v>
      </c>
      <c r="B5771" t="s">
        <v>20</v>
      </c>
      <c r="C5771" t="s">
        <v>17</v>
      </c>
      <c r="D5771">
        <v>191768</v>
      </c>
      <c r="E5771">
        <v>20356</v>
      </c>
      <c r="F5771">
        <v>19334</v>
      </c>
      <c r="G5771">
        <v>-190968</v>
      </c>
      <c r="H5771">
        <v>40490</v>
      </c>
      <c r="I5771">
        <v>41428</v>
      </c>
      <c r="J5771">
        <v>658</v>
      </c>
      <c r="K5771">
        <v>409797</v>
      </c>
      <c r="L5771">
        <v>146837</v>
      </c>
      <c r="M5771">
        <v>-69266</v>
      </c>
      <c r="N5771">
        <v>105813</v>
      </c>
      <c r="O5771" t="s">
        <v>5789</v>
      </c>
      <c r="P5771" s="9">
        <v>229512</v>
      </c>
      <c r="Q5771" s="9">
        <v>44543</v>
      </c>
      <c r="R5771" s="9">
        <v>274055</v>
      </c>
      <c r="S5771" s="9">
        <v>-104773</v>
      </c>
      <c r="T5771" s="10">
        <v>125583</v>
      </c>
      <c r="U5771" s="10">
        <v>2409</v>
      </c>
    </row>
    <row r="5772" spans="1:21" x14ac:dyDescent="0.35">
      <c r="A5772" t="s">
        <v>15</v>
      </c>
      <c r="B5772" t="s">
        <v>20</v>
      </c>
      <c r="C5772" t="s">
        <v>21</v>
      </c>
      <c r="D5772">
        <v>250628</v>
      </c>
      <c r="E5772">
        <v>46876</v>
      </c>
      <c r="F5772">
        <v>26025</v>
      </c>
      <c r="G5772">
        <v>-207802</v>
      </c>
      <c r="H5772">
        <v>115727</v>
      </c>
      <c r="I5772">
        <v>110109</v>
      </c>
      <c r="J5772">
        <v>1871</v>
      </c>
      <c r="K5772">
        <v>937462</v>
      </c>
      <c r="L5772">
        <v>146049</v>
      </c>
      <c r="M5772">
        <v>-343842</v>
      </c>
      <c r="N5772">
        <v>146476</v>
      </c>
      <c r="O5772" t="s">
        <v>5790</v>
      </c>
      <c r="P5772" s="9">
        <v>287218</v>
      </c>
      <c r="Q5772" s="9">
        <v>34949</v>
      </c>
      <c r="R5772" s="9">
        <v>322167</v>
      </c>
      <c r="S5772" s="9">
        <v>-81557</v>
      </c>
      <c r="T5772" s="10">
        <v>99760</v>
      </c>
      <c r="U5772" s="10">
        <v>1504</v>
      </c>
    </row>
    <row r="5773" spans="1:21" x14ac:dyDescent="0.35">
      <c r="A5773" t="s">
        <v>15</v>
      </c>
      <c r="B5773" t="s">
        <v>20</v>
      </c>
      <c r="C5773" t="s">
        <v>21</v>
      </c>
      <c r="D5773">
        <v>219072</v>
      </c>
      <c r="E5773">
        <v>30986</v>
      </c>
      <c r="F5773">
        <v>50428</v>
      </c>
      <c r="G5773">
        <v>-181362</v>
      </c>
      <c r="H5773">
        <v>119124</v>
      </c>
      <c r="I5773">
        <v>116937</v>
      </c>
      <c r="J5773">
        <v>1420</v>
      </c>
      <c r="K5773">
        <v>699717</v>
      </c>
      <c r="L5773">
        <v>224744</v>
      </c>
      <c r="M5773">
        <v>-204896</v>
      </c>
      <c r="N5773">
        <v>161401</v>
      </c>
      <c r="O5773" t="s">
        <v>5791</v>
      </c>
      <c r="P5773" s="9">
        <v>289594</v>
      </c>
      <c r="Q5773" s="9">
        <v>21851</v>
      </c>
      <c r="R5773" s="9">
        <v>311445</v>
      </c>
      <c r="S5773" s="9">
        <v>-131540</v>
      </c>
      <c r="T5773" s="10">
        <v>106602</v>
      </c>
      <c r="U5773" s="10">
        <v>1973</v>
      </c>
    </row>
    <row r="5774" spans="1:21" x14ac:dyDescent="0.35">
      <c r="A5774" t="s">
        <v>15</v>
      </c>
      <c r="B5774" t="s">
        <v>16</v>
      </c>
      <c r="C5774" t="s">
        <v>21</v>
      </c>
      <c r="D5774">
        <v>208498</v>
      </c>
      <c r="E5774">
        <v>22576</v>
      </c>
      <c r="F5774">
        <v>29151</v>
      </c>
      <c r="G5774">
        <v>-186799</v>
      </c>
      <c r="H5774">
        <v>73426</v>
      </c>
      <c r="I5774">
        <v>75403</v>
      </c>
      <c r="J5774">
        <v>1327</v>
      </c>
      <c r="K5774">
        <v>795127</v>
      </c>
      <c r="L5774">
        <v>164723</v>
      </c>
      <c r="M5774">
        <v>-279283</v>
      </c>
      <c r="N5774">
        <v>135875</v>
      </c>
      <c r="O5774" t="s">
        <v>5792</v>
      </c>
      <c r="P5774" s="9">
        <v>144668</v>
      </c>
      <c r="Q5774" s="9">
        <v>30020</v>
      </c>
      <c r="R5774" s="9">
        <v>174688</v>
      </c>
      <c r="S5774" s="9">
        <v>-38489</v>
      </c>
      <c r="T5774" s="10">
        <v>71950</v>
      </c>
      <c r="U5774" s="10">
        <v>1988</v>
      </c>
    </row>
    <row r="5775" spans="1:21" x14ac:dyDescent="0.35">
      <c r="A5775" t="s">
        <v>15</v>
      </c>
      <c r="B5775" t="s">
        <v>20</v>
      </c>
      <c r="C5775" t="s">
        <v>17</v>
      </c>
      <c r="D5775">
        <v>266123</v>
      </c>
      <c r="E5775">
        <v>51268</v>
      </c>
      <c r="F5775">
        <v>40109</v>
      </c>
      <c r="G5775">
        <v>-256486</v>
      </c>
      <c r="H5775">
        <v>101014</v>
      </c>
      <c r="I5775">
        <v>102426</v>
      </c>
      <c r="J5775">
        <v>2388</v>
      </c>
      <c r="K5775">
        <v>966547</v>
      </c>
      <c r="L5775">
        <v>180630</v>
      </c>
      <c r="M5775">
        <v>-266562</v>
      </c>
      <c r="N5775">
        <v>131217</v>
      </c>
      <c r="O5775" t="s">
        <v>5793</v>
      </c>
      <c r="P5775" s="9">
        <v>272275</v>
      </c>
      <c r="Q5775" s="9">
        <v>18750</v>
      </c>
      <c r="R5775" s="9">
        <v>291025</v>
      </c>
      <c r="S5775" s="9">
        <v>-148526</v>
      </c>
      <c r="T5775" s="10">
        <v>77978</v>
      </c>
      <c r="U5775" s="10">
        <v>1179</v>
      </c>
    </row>
    <row r="5776" spans="1:21" x14ac:dyDescent="0.35">
      <c r="A5776" t="s">
        <v>15</v>
      </c>
      <c r="B5776" t="s">
        <v>16</v>
      </c>
      <c r="C5776" t="s">
        <v>21</v>
      </c>
      <c r="D5776">
        <v>234738</v>
      </c>
      <c r="E5776">
        <v>16985</v>
      </c>
      <c r="F5776">
        <v>28149</v>
      </c>
      <c r="G5776">
        <v>-215632</v>
      </c>
      <c r="H5776">
        <v>64240</v>
      </c>
      <c r="I5776">
        <v>64442</v>
      </c>
      <c r="J5776">
        <v>1676</v>
      </c>
      <c r="K5776">
        <v>922639</v>
      </c>
      <c r="L5776">
        <v>353472</v>
      </c>
      <c r="M5776">
        <v>-295188</v>
      </c>
      <c r="N5776">
        <v>92152</v>
      </c>
      <c r="O5776" t="s">
        <v>5794</v>
      </c>
      <c r="P5776" s="9">
        <v>153978</v>
      </c>
      <c r="Q5776" s="9">
        <v>25697</v>
      </c>
      <c r="R5776" s="9">
        <v>179675</v>
      </c>
      <c r="S5776" s="9">
        <v>-107573</v>
      </c>
      <c r="T5776" s="10">
        <v>79038</v>
      </c>
      <c r="U5776" s="10">
        <v>1581</v>
      </c>
    </row>
    <row r="5777" spans="1:21" x14ac:dyDescent="0.35">
      <c r="A5777" t="s">
        <v>15</v>
      </c>
      <c r="B5777" t="s">
        <v>16</v>
      </c>
      <c r="C5777" t="s">
        <v>21</v>
      </c>
      <c r="D5777">
        <v>179257</v>
      </c>
      <c r="E5777">
        <v>19001</v>
      </c>
      <c r="F5777">
        <v>24502</v>
      </c>
      <c r="G5777">
        <v>-155912</v>
      </c>
      <c r="H5777">
        <v>66848</v>
      </c>
      <c r="I5777">
        <v>66135</v>
      </c>
      <c r="J5777">
        <v>1713</v>
      </c>
      <c r="K5777">
        <v>676342</v>
      </c>
      <c r="L5777">
        <v>234824</v>
      </c>
      <c r="M5777">
        <v>-136033</v>
      </c>
      <c r="N5777">
        <v>105158</v>
      </c>
      <c r="O5777" t="s">
        <v>5795</v>
      </c>
      <c r="P5777" s="9">
        <v>283066</v>
      </c>
      <c r="Q5777" s="9">
        <v>14413</v>
      </c>
      <c r="R5777" s="9">
        <v>297479</v>
      </c>
      <c r="S5777" s="9">
        <v>-151726</v>
      </c>
      <c r="T5777" s="10">
        <v>99406</v>
      </c>
      <c r="U5777" s="10">
        <v>2078</v>
      </c>
    </row>
    <row r="5778" spans="1:21" x14ac:dyDescent="0.35">
      <c r="A5778" t="s">
        <v>15</v>
      </c>
      <c r="B5778" t="s">
        <v>20</v>
      </c>
      <c r="C5778" t="s">
        <v>21</v>
      </c>
      <c r="D5778">
        <v>231353</v>
      </c>
      <c r="E5778">
        <v>28565</v>
      </c>
      <c r="F5778">
        <v>34163</v>
      </c>
      <c r="G5778">
        <v>-209893</v>
      </c>
      <c r="H5778">
        <v>84188</v>
      </c>
      <c r="I5778">
        <v>80301</v>
      </c>
      <c r="J5778">
        <v>1062</v>
      </c>
      <c r="K5778">
        <v>555850</v>
      </c>
      <c r="L5778">
        <v>276205</v>
      </c>
      <c r="M5778">
        <v>-56432</v>
      </c>
      <c r="N5778">
        <v>191480</v>
      </c>
      <c r="O5778" t="s">
        <v>5796</v>
      </c>
      <c r="P5778" s="9">
        <v>186948</v>
      </c>
      <c r="Q5778" s="9">
        <v>15717</v>
      </c>
      <c r="R5778" s="9">
        <v>202665</v>
      </c>
      <c r="S5778" s="9">
        <v>-48918</v>
      </c>
      <c r="T5778" s="10">
        <v>43144</v>
      </c>
      <c r="U5778" s="10">
        <v>534</v>
      </c>
    </row>
    <row r="5779" spans="1:21" x14ac:dyDescent="0.35">
      <c r="A5779" t="s">
        <v>15</v>
      </c>
      <c r="B5779" t="s">
        <v>16</v>
      </c>
      <c r="C5779" t="s">
        <v>21</v>
      </c>
      <c r="D5779">
        <v>188313</v>
      </c>
      <c r="E5779">
        <v>30756</v>
      </c>
      <c r="F5779">
        <v>29747</v>
      </c>
      <c r="G5779">
        <v>-185540</v>
      </c>
      <c r="H5779">
        <v>63276</v>
      </c>
      <c r="I5779">
        <v>60952</v>
      </c>
      <c r="J5779">
        <v>1124</v>
      </c>
      <c r="K5779">
        <v>542744</v>
      </c>
      <c r="L5779">
        <v>89363</v>
      </c>
      <c r="M5779">
        <v>-199755</v>
      </c>
      <c r="N5779">
        <v>138355</v>
      </c>
      <c r="O5779" t="s">
        <v>5797</v>
      </c>
      <c r="P5779" s="9">
        <v>244945</v>
      </c>
      <c r="Q5779" s="9">
        <v>22560</v>
      </c>
      <c r="R5779" s="9">
        <v>267505</v>
      </c>
      <c r="S5779" s="9">
        <v>-129167</v>
      </c>
      <c r="T5779" s="10">
        <v>91833</v>
      </c>
      <c r="U5779" s="10">
        <v>1450</v>
      </c>
    </row>
    <row r="5780" spans="1:21" x14ac:dyDescent="0.35">
      <c r="A5780" t="s">
        <v>15</v>
      </c>
      <c r="B5780" t="s">
        <v>20</v>
      </c>
      <c r="C5780" t="s">
        <v>17</v>
      </c>
      <c r="D5780">
        <v>243654</v>
      </c>
      <c r="E5780">
        <v>45652</v>
      </c>
      <c r="F5780">
        <v>33030</v>
      </c>
      <c r="G5780">
        <v>-226713</v>
      </c>
      <c r="H5780">
        <v>95623</v>
      </c>
      <c r="I5780">
        <v>96389</v>
      </c>
      <c r="J5780">
        <v>989</v>
      </c>
      <c r="K5780">
        <v>947403</v>
      </c>
      <c r="L5780">
        <v>327629</v>
      </c>
      <c r="M5780">
        <v>-285753</v>
      </c>
      <c r="N5780">
        <v>92113</v>
      </c>
      <c r="O5780" t="s">
        <v>5798</v>
      </c>
      <c r="P5780" s="9">
        <v>232582</v>
      </c>
      <c r="Q5780" s="9">
        <v>16400</v>
      </c>
      <c r="R5780" s="9">
        <v>248982</v>
      </c>
      <c r="S5780" s="9">
        <v>-142044</v>
      </c>
      <c r="T5780" s="10">
        <v>75465</v>
      </c>
      <c r="U5780" s="10">
        <v>2138</v>
      </c>
    </row>
    <row r="5781" spans="1:21" x14ac:dyDescent="0.35">
      <c r="A5781" t="s">
        <v>15</v>
      </c>
      <c r="B5781" t="s">
        <v>16</v>
      </c>
      <c r="C5781" t="s">
        <v>17</v>
      </c>
      <c r="D5781">
        <v>264751</v>
      </c>
      <c r="E5781">
        <v>44337</v>
      </c>
      <c r="F5781">
        <v>36160</v>
      </c>
      <c r="G5781">
        <v>-233535</v>
      </c>
      <c r="H5781">
        <v>111713</v>
      </c>
      <c r="I5781">
        <v>113933</v>
      </c>
      <c r="J5781">
        <v>1611</v>
      </c>
      <c r="K5781">
        <v>638794</v>
      </c>
      <c r="L5781">
        <v>211398</v>
      </c>
      <c r="M5781">
        <v>-137094</v>
      </c>
      <c r="N5781">
        <v>121146</v>
      </c>
      <c r="O5781" t="s">
        <v>5799</v>
      </c>
      <c r="P5781" s="9">
        <v>167320</v>
      </c>
      <c r="Q5781" s="9">
        <v>21458</v>
      </c>
      <c r="R5781" s="9">
        <v>188778</v>
      </c>
      <c r="S5781" s="9">
        <v>-72193</v>
      </c>
      <c r="T5781" s="10">
        <v>80161</v>
      </c>
      <c r="U5781" s="10">
        <v>1469</v>
      </c>
    </row>
    <row r="5782" spans="1:21" x14ac:dyDescent="0.35">
      <c r="A5782" t="s">
        <v>15</v>
      </c>
      <c r="B5782" t="s">
        <v>16</v>
      </c>
      <c r="C5782" t="s">
        <v>21</v>
      </c>
      <c r="D5782">
        <v>159411</v>
      </c>
      <c r="E5782">
        <v>30808</v>
      </c>
      <c r="F5782">
        <v>39313</v>
      </c>
      <c r="G5782">
        <v>-145306</v>
      </c>
      <c r="H5782">
        <v>84226</v>
      </c>
      <c r="I5782">
        <v>76992</v>
      </c>
      <c r="J5782">
        <v>1790</v>
      </c>
      <c r="K5782">
        <v>339304</v>
      </c>
      <c r="L5782">
        <v>144109</v>
      </c>
      <c r="M5782">
        <v>-64689</v>
      </c>
      <c r="N5782">
        <v>53598</v>
      </c>
      <c r="O5782" t="s">
        <v>5800</v>
      </c>
      <c r="P5782" s="9">
        <v>265600</v>
      </c>
      <c r="Q5782" s="9">
        <v>22786</v>
      </c>
      <c r="R5782" s="9">
        <v>288386</v>
      </c>
      <c r="S5782" s="9">
        <v>-101937</v>
      </c>
      <c r="T5782" s="10">
        <v>51290</v>
      </c>
      <c r="U5782" s="10">
        <v>528</v>
      </c>
    </row>
    <row r="5783" spans="1:21" x14ac:dyDescent="0.35">
      <c r="A5783" t="s">
        <v>15</v>
      </c>
      <c r="B5783" t="s">
        <v>16</v>
      </c>
      <c r="C5783" t="s">
        <v>17</v>
      </c>
      <c r="D5783">
        <v>174777</v>
      </c>
      <c r="E5783">
        <v>16370</v>
      </c>
      <c r="F5783">
        <v>43305</v>
      </c>
      <c r="G5783">
        <v>-148191</v>
      </c>
      <c r="H5783">
        <v>86261</v>
      </c>
      <c r="I5783">
        <v>83844</v>
      </c>
      <c r="J5783">
        <v>1804</v>
      </c>
      <c r="K5783">
        <v>386381</v>
      </c>
      <c r="L5783">
        <v>56322</v>
      </c>
      <c r="M5783">
        <v>-152166</v>
      </c>
      <c r="N5783">
        <v>120370</v>
      </c>
      <c r="O5783" t="s">
        <v>5801</v>
      </c>
      <c r="P5783" s="9">
        <v>165470</v>
      </c>
      <c r="Q5783" s="9">
        <v>8349</v>
      </c>
      <c r="R5783" s="9">
        <v>173819</v>
      </c>
      <c r="S5783" s="9">
        <v>-54140</v>
      </c>
      <c r="T5783" s="10">
        <v>56723</v>
      </c>
      <c r="U5783" s="10">
        <v>1014</v>
      </c>
    </row>
    <row r="5784" spans="1:21" x14ac:dyDescent="0.35">
      <c r="A5784" t="s">
        <v>15</v>
      </c>
      <c r="B5784" t="s">
        <v>16</v>
      </c>
      <c r="C5784" t="s">
        <v>21</v>
      </c>
      <c r="D5784">
        <v>228886</v>
      </c>
      <c r="E5784">
        <v>28485</v>
      </c>
      <c r="F5784">
        <v>55185</v>
      </c>
      <c r="G5784">
        <v>-212373</v>
      </c>
      <c r="H5784">
        <v>100183</v>
      </c>
      <c r="I5784">
        <v>104977</v>
      </c>
      <c r="J5784">
        <v>1756</v>
      </c>
      <c r="K5784">
        <v>772144</v>
      </c>
      <c r="L5784">
        <v>191768</v>
      </c>
      <c r="M5784">
        <v>-135231</v>
      </c>
      <c r="N5784">
        <v>141834</v>
      </c>
      <c r="O5784" t="s">
        <v>5802</v>
      </c>
      <c r="P5784" s="9">
        <v>206649</v>
      </c>
      <c r="Q5784" s="9">
        <v>14474</v>
      </c>
      <c r="R5784" s="9">
        <v>221123</v>
      </c>
      <c r="S5784" s="9">
        <v>-83914</v>
      </c>
      <c r="T5784" s="10">
        <v>50659</v>
      </c>
      <c r="U5784" s="10">
        <v>1415</v>
      </c>
    </row>
    <row r="5785" spans="1:21" x14ac:dyDescent="0.35">
      <c r="A5785" t="s">
        <v>15</v>
      </c>
      <c r="B5785" t="s">
        <v>16</v>
      </c>
      <c r="C5785" t="s">
        <v>17</v>
      </c>
      <c r="D5785">
        <v>294344</v>
      </c>
      <c r="E5785">
        <v>16254</v>
      </c>
      <c r="F5785">
        <v>36194</v>
      </c>
      <c r="G5785">
        <v>-255926</v>
      </c>
      <c r="H5785">
        <v>90866</v>
      </c>
      <c r="I5785">
        <v>90120</v>
      </c>
      <c r="J5785">
        <v>2523</v>
      </c>
      <c r="K5785">
        <v>733089</v>
      </c>
      <c r="L5785">
        <v>353237</v>
      </c>
      <c r="M5785">
        <v>-235231</v>
      </c>
      <c r="N5785">
        <v>108505</v>
      </c>
      <c r="O5785" t="s">
        <v>5803</v>
      </c>
      <c r="P5785" s="9">
        <v>206243</v>
      </c>
      <c r="Q5785" s="9">
        <v>35695</v>
      </c>
      <c r="R5785" s="9">
        <v>241938</v>
      </c>
      <c r="S5785" s="9">
        <v>-76089</v>
      </c>
      <c r="T5785" s="10">
        <v>90227</v>
      </c>
      <c r="U5785" s="10">
        <v>2426</v>
      </c>
    </row>
    <row r="5786" spans="1:21" x14ac:dyDescent="0.35">
      <c r="A5786" t="s">
        <v>15</v>
      </c>
      <c r="B5786" t="s">
        <v>20</v>
      </c>
      <c r="C5786" t="s">
        <v>17</v>
      </c>
      <c r="D5786">
        <v>168556</v>
      </c>
      <c r="E5786">
        <v>32444</v>
      </c>
      <c r="F5786">
        <v>35311</v>
      </c>
      <c r="G5786">
        <v>-148638</v>
      </c>
      <c r="H5786">
        <v>87673</v>
      </c>
      <c r="I5786">
        <v>91853</v>
      </c>
      <c r="J5786">
        <v>2111</v>
      </c>
      <c r="K5786">
        <v>523619</v>
      </c>
      <c r="L5786">
        <v>69232</v>
      </c>
      <c r="M5786">
        <v>-155445</v>
      </c>
      <c r="N5786">
        <v>58511</v>
      </c>
      <c r="O5786" t="s">
        <v>5804</v>
      </c>
      <c r="P5786" s="9">
        <v>147095</v>
      </c>
      <c r="Q5786" s="9">
        <v>12941</v>
      </c>
      <c r="R5786" s="9">
        <v>160036</v>
      </c>
      <c r="S5786" s="9">
        <v>-72445</v>
      </c>
      <c r="T5786" s="10">
        <v>37289</v>
      </c>
      <c r="U5786" s="10">
        <v>573</v>
      </c>
    </row>
    <row r="5787" spans="1:21" x14ac:dyDescent="0.35">
      <c r="A5787" t="s">
        <v>15</v>
      </c>
      <c r="B5787" t="s">
        <v>16</v>
      </c>
      <c r="C5787" t="s">
        <v>21</v>
      </c>
      <c r="D5787">
        <v>288263</v>
      </c>
      <c r="E5787">
        <v>22398</v>
      </c>
      <c r="F5787">
        <v>59732</v>
      </c>
      <c r="G5787">
        <v>-264434</v>
      </c>
      <c r="H5787">
        <v>105959</v>
      </c>
      <c r="I5787">
        <v>102718</v>
      </c>
      <c r="J5787">
        <v>1777</v>
      </c>
      <c r="K5787">
        <v>714009</v>
      </c>
      <c r="L5787">
        <v>307371</v>
      </c>
      <c r="M5787">
        <v>-163168</v>
      </c>
      <c r="N5787">
        <v>182350</v>
      </c>
      <c r="O5787" t="s">
        <v>5805</v>
      </c>
      <c r="P5787" s="9">
        <v>154184</v>
      </c>
      <c r="Q5787" s="9">
        <v>10442</v>
      </c>
      <c r="R5787" s="9">
        <v>164626</v>
      </c>
      <c r="S5787" s="9">
        <v>-88251</v>
      </c>
      <c r="T5787" s="10">
        <v>53565</v>
      </c>
      <c r="U5787" s="10">
        <v>571</v>
      </c>
    </row>
    <row r="5788" spans="1:21" x14ac:dyDescent="0.35">
      <c r="A5788" t="s">
        <v>15</v>
      </c>
      <c r="B5788" t="s">
        <v>20</v>
      </c>
      <c r="C5788" t="s">
        <v>21</v>
      </c>
      <c r="D5788">
        <v>176833</v>
      </c>
      <c r="E5788">
        <v>32182</v>
      </c>
      <c r="F5788">
        <v>33531</v>
      </c>
      <c r="G5788">
        <v>-143434</v>
      </c>
      <c r="H5788">
        <v>99112</v>
      </c>
      <c r="I5788">
        <v>99274</v>
      </c>
      <c r="J5788">
        <v>1125</v>
      </c>
      <c r="K5788">
        <v>699264</v>
      </c>
      <c r="L5788">
        <v>231478</v>
      </c>
      <c r="M5788">
        <v>-100499</v>
      </c>
      <c r="N5788">
        <v>97156</v>
      </c>
      <c r="O5788" t="s">
        <v>5806</v>
      </c>
      <c r="P5788" s="9">
        <v>252723</v>
      </c>
      <c r="Q5788" s="9">
        <v>19779</v>
      </c>
      <c r="R5788" s="9">
        <v>272502</v>
      </c>
      <c r="S5788" s="9">
        <v>-104333</v>
      </c>
      <c r="T5788" s="10">
        <v>48769</v>
      </c>
      <c r="U5788" s="10">
        <v>779</v>
      </c>
    </row>
    <row r="5789" spans="1:21" x14ac:dyDescent="0.35">
      <c r="A5789" t="s">
        <v>15</v>
      </c>
      <c r="B5789" t="s">
        <v>16</v>
      </c>
      <c r="C5789" t="s">
        <v>21</v>
      </c>
      <c r="D5789">
        <v>212069</v>
      </c>
      <c r="E5789">
        <v>10949</v>
      </c>
      <c r="F5789">
        <v>25456</v>
      </c>
      <c r="G5789">
        <v>-178211</v>
      </c>
      <c r="H5789">
        <v>70263</v>
      </c>
      <c r="I5789">
        <v>64615</v>
      </c>
      <c r="J5789">
        <v>1572</v>
      </c>
      <c r="K5789">
        <v>701563</v>
      </c>
      <c r="L5789">
        <v>97792</v>
      </c>
      <c r="M5789">
        <v>-204799</v>
      </c>
      <c r="N5789">
        <v>79776</v>
      </c>
      <c r="O5789" t="s">
        <v>5807</v>
      </c>
      <c r="P5789" s="9">
        <v>281796</v>
      </c>
      <c r="Q5789" s="9">
        <v>31244</v>
      </c>
      <c r="R5789" s="9">
        <v>313040</v>
      </c>
      <c r="S5789" s="9">
        <v>-152141</v>
      </c>
      <c r="T5789" s="10">
        <v>108959</v>
      </c>
      <c r="U5789" s="10">
        <v>1712</v>
      </c>
    </row>
    <row r="5790" spans="1:21" x14ac:dyDescent="0.35">
      <c r="A5790" t="s">
        <v>15</v>
      </c>
      <c r="B5790" t="s">
        <v>16</v>
      </c>
      <c r="C5790" t="s">
        <v>17</v>
      </c>
      <c r="D5790">
        <v>291097</v>
      </c>
      <c r="E5790">
        <v>36547</v>
      </c>
      <c r="F5790">
        <v>57305</v>
      </c>
      <c r="G5790">
        <v>-264838</v>
      </c>
      <c r="H5790">
        <v>120111</v>
      </c>
      <c r="I5790">
        <v>123326</v>
      </c>
      <c r="J5790">
        <v>2849</v>
      </c>
      <c r="K5790">
        <v>716469</v>
      </c>
      <c r="L5790">
        <v>98483</v>
      </c>
      <c r="M5790">
        <v>-101972</v>
      </c>
      <c r="N5790">
        <v>149776</v>
      </c>
      <c r="O5790" t="s">
        <v>5808</v>
      </c>
      <c r="P5790" s="9">
        <v>306977</v>
      </c>
      <c r="Q5790" s="9">
        <v>34388</v>
      </c>
      <c r="R5790" s="9">
        <v>341365</v>
      </c>
      <c r="S5790" s="9">
        <v>-89588</v>
      </c>
      <c r="T5790" s="10">
        <v>118258</v>
      </c>
      <c r="U5790" s="10">
        <v>1228</v>
      </c>
    </row>
    <row r="5791" spans="1:21" x14ac:dyDescent="0.35">
      <c r="A5791" t="s">
        <v>15</v>
      </c>
      <c r="B5791" t="s">
        <v>20</v>
      </c>
      <c r="C5791" t="s">
        <v>21</v>
      </c>
      <c r="D5791">
        <v>265082</v>
      </c>
      <c r="E5791">
        <v>36903</v>
      </c>
      <c r="F5791">
        <v>58419</v>
      </c>
      <c r="G5791">
        <v>-233195</v>
      </c>
      <c r="H5791">
        <v>127209</v>
      </c>
      <c r="I5791">
        <v>123363</v>
      </c>
      <c r="J5791">
        <v>2756</v>
      </c>
      <c r="K5791">
        <v>711756</v>
      </c>
      <c r="L5791">
        <v>320581</v>
      </c>
      <c r="M5791">
        <v>-159393</v>
      </c>
      <c r="N5791">
        <v>115012</v>
      </c>
      <c r="O5791" t="s">
        <v>5809</v>
      </c>
      <c r="P5791" s="9">
        <v>250011</v>
      </c>
      <c r="Q5791" s="9">
        <v>27044</v>
      </c>
      <c r="R5791" s="9">
        <v>277055</v>
      </c>
      <c r="S5791" s="9">
        <v>-124981</v>
      </c>
      <c r="T5791" s="10">
        <v>105122</v>
      </c>
      <c r="U5791" s="10">
        <v>1616</v>
      </c>
    </row>
    <row r="5792" spans="1:21" x14ac:dyDescent="0.35">
      <c r="A5792" t="s">
        <v>15</v>
      </c>
      <c r="B5792" t="s">
        <v>16</v>
      </c>
      <c r="C5792" t="s">
        <v>21</v>
      </c>
      <c r="D5792">
        <v>289376</v>
      </c>
      <c r="E5792">
        <v>49738</v>
      </c>
      <c r="F5792">
        <v>41342</v>
      </c>
      <c r="G5792">
        <v>-238216</v>
      </c>
      <c r="H5792">
        <v>142240</v>
      </c>
      <c r="I5792">
        <v>139232</v>
      </c>
      <c r="J5792">
        <v>3119</v>
      </c>
      <c r="K5792">
        <v>957667</v>
      </c>
      <c r="L5792">
        <v>415455</v>
      </c>
      <c r="M5792">
        <v>-133175</v>
      </c>
      <c r="N5792">
        <v>90102</v>
      </c>
      <c r="O5792" t="s">
        <v>5810</v>
      </c>
      <c r="P5792" s="9">
        <v>183270</v>
      </c>
      <c r="Q5792" s="9">
        <v>13574</v>
      </c>
      <c r="R5792" s="9">
        <v>196844</v>
      </c>
      <c r="S5792" s="9">
        <v>-96323</v>
      </c>
      <c r="T5792" s="10">
        <v>67013</v>
      </c>
      <c r="U5792" s="10">
        <v>1319</v>
      </c>
    </row>
    <row r="5793" spans="1:21" x14ac:dyDescent="0.35">
      <c r="A5793" t="s">
        <v>15</v>
      </c>
      <c r="B5793" t="s">
        <v>16</v>
      </c>
      <c r="C5793" t="s">
        <v>17</v>
      </c>
      <c r="D5793">
        <v>238696</v>
      </c>
      <c r="E5793">
        <v>41212</v>
      </c>
      <c r="F5793">
        <v>40958</v>
      </c>
      <c r="G5793">
        <v>-227105</v>
      </c>
      <c r="H5793">
        <v>93761</v>
      </c>
      <c r="I5793">
        <v>94631</v>
      </c>
      <c r="J5793">
        <v>2140</v>
      </c>
      <c r="K5793">
        <v>548051</v>
      </c>
      <c r="L5793">
        <v>269332</v>
      </c>
      <c r="M5793">
        <v>-57744</v>
      </c>
      <c r="N5793">
        <v>196201</v>
      </c>
      <c r="O5793" t="s">
        <v>5811</v>
      </c>
      <c r="P5793" s="9">
        <v>171146</v>
      </c>
      <c r="Q5793" s="9">
        <v>22750</v>
      </c>
      <c r="R5793" s="9">
        <v>193896</v>
      </c>
      <c r="S5793" s="9">
        <v>-66354</v>
      </c>
      <c r="T5793" s="10">
        <v>68693</v>
      </c>
      <c r="U5793" s="10">
        <v>1184</v>
      </c>
    </row>
    <row r="5794" spans="1:21" x14ac:dyDescent="0.35">
      <c r="A5794" t="s">
        <v>15</v>
      </c>
      <c r="B5794" t="s">
        <v>16</v>
      </c>
      <c r="C5794" t="s">
        <v>21</v>
      </c>
      <c r="D5794">
        <v>214937</v>
      </c>
      <c r="E5794">
        <v>11735</v>
      </c>
      <c r="F5794">
        <v>30144</v>
      </c>
      <c r="G5794">
        <v>-212742</v>
      </c>
      <c r="H5794">
        <v>44074</v>
      </c>
      <c r="I5794">
        <v>44704</v>
      </c>
      <c r="J5794">
        <v>464</v>
      </c>
      <c r="K5794">
        <v>762141</v>
      </c>
      <c r="L5794">
        <v>265558</v>
      </c>
      <c r="M5794">
        <v>-182876</v>
      </c>
      <c r="N5794">
        <v>76974</v>
      </c>
      <c r="O5794" t="s">
        <v>5812</v>
      </c>
      <c r="P5794" s="9">
        <v>250994</v>
      </c>
      <c r="Q5794" s="9">
        <v>35422</v>
      </c>
      <c r="R5794" s="9">
        <v>286416</v>
      </c>
      <c r="S5794" s="9">
        <v>-122719</v>
      </c>
      <c r="T5794" s="10">
        <v>119040</v>
      </c>
      <c r="U5794" s="10">
        <v>2631</v>
      </c>
    </row>
    <row r="5795" spans="1:21" x14ac:dyDescent="0.35">
      <c r="A5795" t="s">
        <v>15</v>
      </c>
      <c r="B5795" t="s">
        <v>16</v>
      </c>
      <c r="C5795" t="s">
        <v>21</v>
      </c>
      <c r="D5795">
        <v>177142</v>
      </c>
      <c r="E5795">
        <v>21158</v>
      </c>
      <c r="F5795">
        <v>32303</v>
      </c>
      <c r="G5795">
        <v>-143249</v>
      </c>
      <c r="H5795">
        <v>87354</v>
      </c>
      <c r="I5795">
        <v>79323</v>
      </c>
      <c r="J5795">
        <v>2269</v>
      </c>
      <c r="K5795">
        <v>559431</v>
      </c>
      <c r="L5795">
        <v>138931</v>
      </c>
      <c r="M5795">
        <v>-140714</v>
      </c>
      <c r="N5795">
        <v>138130</v>
      </c>
      <c r="O5795" t="s">
        <v>5813</v>
      </c>
      <c r="P5795" s="9">
        <v>324191</v>
      </c>
      <c r="Q5795" s="9">
        <v>28707</v>
      </c>
      <c r="R5795" s="9">
        <v>352898</v>
      </c>
      <c r="S5795" s="9">
        <v>-107171</v>
      </c>
      <c r="T5795" s="10">
        <v>127467</v>
      </c>
      <c r="U5795" s="10">
        <v>3787</v>
      </c>
    </row>
    <row r="5796" spans="1:21" x14ac:dyDescent="0.35">
      <c r="A5796" t="s">
        <v>15</v>
      </c>
      <c r="B5796" t="s">
        <v>16</v>
      </c>
      <c r="C5796" t="s">
        <v>17</v>
      </c>
      <c r="D5796">
        <v>221758</v>
      </c>
      <c r="E5796">
        <v>40516</v>
      </c>
      <c r="F5796">
        <v>32683</v>
      </c>
      <c r="G5796">
        <v>-190064</v>
      </c>
      <c r="H5796">
        <v>104893</v>
      </c>
      <c r="I5796">
        <v>109396</v>
      </c>
      <c r="J5796">
        <v>2940</v>
      </c>
      <c r="K5796">
        <v>741747</v>
      </c>
      <c r="L5796">
        <v>301819</v>
      </c>
      <c r="M5796">
        <v>-161316</v>
      </c>
      <c r="N5796">
        <v>112850</v>
      </c>
      <c r="O5796" t="s">
        <v>5814</v>
      </c>
      <c r="P5796" s="9">
        <v>272048</v>
      </c>
      <c r="Q5796" s="9">
        <v>27338</v>
      </c>
      <c r="R5796" s="9">
        <v>299386</v>
      </c>
      <c r="S5796" s="9">
        <v>-67109</v>
      </c>
      <c r="T5796" s="10">
        <v>106681</v>
      </c>
      <c r="U5796" s="10">
        <v>2440</v>
      </c>
    </row>
    <row r="5797" spans="1:21" x14ac:dyDescent="0.35">
      <c r="A5797" t="s">
        <v>15</v>
      </c>
      <c r="B5797" t="s">
        <v>16</v>
      </c>
      <c r="C5797" t="s">
        <v>21</v>
      </c>
      <c r="D5797">
        <v>159116</v>
      </c>
      <c r="E5797">
        <v>29991</v>
      </c>
      <c r="F5797">
        <v>18414</v>
      </c>
      <c r="G5797">
        <v>-128761</v>
      </c>
      <c r="H5797">
        <v>78760</v>
      </c>
      <c r="I5797">
        <v>81591</v>
      </c>
      <c r="J5797">
        <v>1886</v>
      </c>
      <c r="K5797">
        <v>330550</v>
      </c>
      <c r="L5797">
        <v>91444</v>
      </c>
      <c r="M5797">
        <v>-47228</v>
      </c>
      <c r="N5797">
        <v>85262</v>
      </c>
      <c r="O5797" t="s">
        <v>5815</v>
      </c>
      <c r="P5797" s="9">
        <v>141041</v>
      </c>
      <c r="Q5797" s="9">
        <v>28380</v>
      </c>
      <c r="R5797" s="9">
        <v>169421</v>
      </c>
      <c r="S5797" s="9">
        <v>-73807</v>
      </c>
      <c r="T5797" s="10">
        <v>71261</v>
      </c>
      <c r="U5797" s="10">
        <v>1235</v>
      </c>
    </row>
    <row r="5798" spans="1:21" x14ac:dyDescent="0.35">
      <c r="A5798" t="s">
        <v>15</v>
      </c>
      <c r="B5798" t="s">
        <v>20</v>
      </c>
      <c r="C5798" t="s">
        <v>21</v>
      </c>
      <c r="D5798">
        <v>294055</v>
      </c>
      <c r="E5798">
        <v>16687</v>
      </c>
      <c r="F5798">
        <v>48288</v>
      </c>
      <c r="G5798">
        <v>-284212</v>
      </c>
      <c r="H5798">
        <v>74818</v>
      </c>
      <c r="I5798">
        <v>75253</v>
      </c>
      <c r="J5798">
        <v>1392</v>
      </c>
      <c r="K5798">
        <v>1035229</v>
      </c>
      <c r="L5798">
        <v>438648</v>
      </c>
      <c r="M5798">
        <v>-262899</v>
      </c>
      <c r="N5798">
        <v>241137</v>
      </c>
      <c r="O5798" t="s">
        <v>5816</v>
      </c>
      <c r="P5798" s="9">
        <v>251615</v>
      </c>
      <c r="Q5798" s="9">
        <v>18514</v>
      </c>
      <c r="R5798" s="9">
        <v>270129</v>
      </c>
      <c r="S5798" s="9">
        <v>-79914</v>
      </c>
      <c r="T5798" s="10">
        <v>77946</v>
      </c>
      <c r="U5798" s="10">
        <v>1479</v>
      </c>
    </row>
    <row r="5799" spans="1:21" x14ac:dyDescent="0.35">
      <c r="A5799" t="s">
        <v>15</v>
      </c>
      <c r="B5799" t="s">
        <v>20</v>
      </c>
      <c r="C5799" t="s">
        <v>21</v>
      </c>
      <c r="D5799">
        <v>216375</v>
      </c>
      <c r="E5799">
        <v>20422</v>
      </c>
      <c r="F5799">
        <v>37563</v>
      </c>
      <c r="G5799">
        <v>-178421</v>
      </c>
      <c r="H5799">
        <v>95939</v>
      </c>
      <c r="I5799">
        <v>87978</v>
      </c>
      <c r="J5799">
        <v>2446</v>
      </c>
      <c r="K5799">
        <v>785403</v>
      </c>
      <c r="L5799">
        <v>182539</v>
      </c>
      <c r="M5799">
        <v>-300738</v>
      </c>
      <c r="N5799">
        <v>181118</v>
      </c>
      <c r="O5799" t="s">
        <v>5817</v>
      </c>
      <c r="P5799" s="9">
        <v>187461</v>
      </c>
      <c r="Q5799" s="9">
        <v>30641</v>
      </c>
      <c r="R5799" s="9">
        <v>218102</v>
      </c>
      <c r="S5799" s="9">
        <v>-62144</v>
      </c>
      <c r="T5799" s="10">
        <v>68993</v>
      </c>
      <c r="U5799" s="10">
        <v>2022</v>
      </c>
    </row>
    <row r="5800" spans="1:21" x14ac:dyDescent="0.35">
      <c r="A5800" t="s">
        <v>15</v>
      </c>
      <c r="B5800" t="s">
        <v>20</v>
      </c>
      <c r="C5800" t="s">
        <v>21</v>
      </c>
      <c r="D5800">
        <v>173698</v>
      </c>
      <c r="E5800">
        <v>15562</v>
      </c>
      <c r="F5800">
        <v>39057</v>
      </c>
      <c r="G5800">
        <v>-144515</v>
      </c>
      <c r="H5800">
        <v>83802</v>
      </c>
      <c r="I5800">
        <v>87724</v>
      </c>
      <c r="J5800">
        <v>1534</v>
      </c>
      <c r="K5800">
        <v>465189</v>
      </c>
      <c r="L5800">
        <v>195557</v>
      </c>
      <c r="M5800">
        <v>-72550</v>
      </c>
      <c r="N5800">
        <v>70025</v>
      </c>
      <c r="O5800" t="s">
        <v>5818</v>
      </c>
      <c r="P5800" s="9">
        <v>155800</v>
      </c>
      <c r="Q5800" s="9">
        <v>32637</v>
      </c>
      <c r="R5800" s="9">
        <v>188437</v>
      </c>
      <c r="S5800" s="9">
        <v>-82865</v>
      </c>
      <c r="T5800" s="10">
        <v>84105</v>
      </c>
      <c r="U5800" s="10">
        <v>1333</v>
      </c>
    </row>
    <row r="5801" spans="1:21" x14ac:dyDescent="0.35">
      <c r="A5801" t="s">
        <v>15</v>
      </c>
      <c r="B5801" t="s">
        <v>16</v>
      </c>
      <c r="C5801" t="s">
        <v>17</v>
      </c>
      <c r="D5801">
        <v>256310</v>
      </c>
      <c r="E5801">
        <v>46002</v>
      </c>
      <c r="F5801">
        <v>55182</v>
      </c>
      <c r="G5801">
        <v>-230754</v>
      </c>
      <c r="H5801">
        <v>126740</v>
      </c>
      <c r="I5801">
        <v>117885</v>
      </c>
      <c r="J5801">
        <v>1861</v>
      </c>
      <c r="K5801">
        <v>577599</v>
      </c>
      <c r="L5801">
        <v>225880</v>
      </c>
      <c r="M5801">
        <v>-141564</v>
      </c>
      <c r="N5801">
        <v>169363</v>
      </c>
      <c r="O5801" t="s">
        <v>5819</v>
      </c>
      <c r="P5801" s="9">
        <v>274655</v>
      </c>
      <c r="Q5801" s="9">
        <v>23777</v>
      </c>
      <c r="R5801" s="9">
        <v>298432</v>
      </c>
      <c r="S5801" s="9">
        <v>-134955</v>
      </c>
      <c r="T5801" s="10">
        <v>89415</v>
      </c>
      <c r="U5801" s="10">
        <v>1441</v>
      </c>
    </row>
    <row r="5802" spans="1:21" x14ac:dyDescent="0.35">
      <c r="A5802" t="s">
        <v>15</v>
      </c>
      <c r="B5802" t="s">
        <v>16</v>
      </c>
      <c r="C5802" t="s">
        <v>21</v>
      </c>
      <c r="D5802">
        <v>273114</v>
      </c>
      <c r="E5802">
        <v>24464</v>
      </c>
      <c r="F5802">
        <v>58415</v>
      </c>
      <c r="G5802">
        <v>-241668</v>
      </c>
      <c r="H5802">
        <v>114325</v>
      </c>
      <c r="I5802">
        <v>118553</v>
      </c>
      <c r="J5802">
        <v>1910</v>
      </c>
      <c r="K5802">
        <v>810532</v>
      </c>
      <c r="L5802">
        <v>125422</v>
      </c>
      <c r="M5802">
        <v>-118567</v>
      </c>
      <c r="N5802">
        <v>105448</v>
      </c>
      <c r="O5802" t="s">
        <v>5820</v>
      </c>
      <c r="P5802" s="9">
        <v>300273</v>
      </c>
      <c r="Q5802" s="9">
        <v>20120</v>
      </c>
      <c r="R5802" s="9">
        <v>320393</v>
      </c>
      <c r="S5802" s="9">
        <v>-124284</v>
      </c>
      <c r="T5802" s="10">
        <v>64003</v>
      </c>
      <c r="U5802" s="10">
        <v>1841</v>
      </c>
    </row>
    <row r="5803" spans="1:21" x14ac:dyDescent="0.35">
      <c r="A5803" t="s">
        <v>15</v>
      </c>
      <c r="B5803" t="s">
        <v>20</v>
      </c>
      <c r="C5803" t="s">
        <v>21</v>
      </c>
      <c r="D5803">
        <v>272102</v>
      </c>
      <c r="E5803">
        <v>45239</v>
      </c>
      <c r="F5803">
        <v>43131</v>
      </c>
      <c r="G5803">
        <v>-236764</v>
      </c>
      <c r="H5803">
        <v>123708</v>
      </c>
      <c r="I5803">
        <v>111961</v>
      </c>
      <c r="J5803">
        <v>2238</v>
      </c>
      <c r="K5803">
        <v>726992</v>
      </c>
      <c r="L5803">
        <v>221608</v>
      </c>
      <c r="M5803">
        <v>-96926</v>
      </c>
      <c r="N5803">
        <v>213173</v>
      </c>
      <c r="O5803" t="s">
        <v>5821</v>
      </c>
      <c r="P5803" s="9">
        <v>220669</v>
      </c>
      <c r="Q5803" s="9">
        <v>12380</v>
      </c>
      <c r="R5803" s="9">
        <v>233049</v>
      </c>
      <c r="S5803" s="9">
        <v>-69906</v>
      </c>
      <c r="T5803" s="10">
        <v>57735</v>
      </c>
      <c r="U5803" s="10">
        <v>1683</v>
      </c>
    </row>
    <row r="5804" spans="1:21" x14ac:dyDescent="0.35">
      <c r="A5804" t="s">
        <v>15</v>
      </c>
      <c r="B5804" t="s">
        <v>16</v>
      </c>
      <c r="C5804" t="s">
        <v>17</v>
      </c>
      <c r="D5804">
        <v>180119</v>
      </c>
      <c r="E5804">
        <v>23426</v>
      </c>
      <c r="F5804">
        <v>34887</v>
      </c>
      <c r="G5804">
        <v>-156683</v>
      </c>
      <c r="H5804">
        <v>81749</v>
      </c>
      <c r="I5804">
        <v>83808</v>
      </c>
      <c r="J5804">
        <v>2469</v>
      </c>
      <c r="K5804">
        <v>416370</v>
      </c>
      <c r="L5804">
        <v>83300</v>
      </c>
      <c r="M5804">
        <v>-94634</v>
      </c>
      <c r="N5804">
        <v>98516</v>
      </c>
      <c r="O5804" t="s">
        <v>5822</v>
      </c>
      <c r="P5804" s="9">
        <v>187722</v>
      </c>
      <c r="Q5804" s="9">
        <v>40560</v>
      </c>
      <c r="R5804" s="9">
        <v>228282</v>
      </c>
      <c r="S5804" s="9">
        <v>-79030</v>
      </c>
      <c r="T5804" s="10">
        <v>100084</v>
      </c>
      <c r="U5804" s="10">
        <v>2995</v>
      </c>
    </row>
    <row r="5805" spans="1:21" x14ac:dyDescent="0.35">
      <c r="A5805" t="s">
        <v>15</v>
      </c>
      <c r="B5805" t="s">
        <v>16</v>
      </c>
      <c r="C5805" t="s">
        <v>21</v>
      </c>
      <c r="D5805">
        <v>243249</v>
      </c>
      <c r="E5805">
        <v>31836</v>
      </c>
      <c r="F5805">
        <v>33537</v>
      </c>
      <c r="G5805">
        <v>-223987</v>
      </c>
      <c r="H5805">
        <v>84635</v>
      </c>
      <c r="I5805">
        <v>79354</v>
      </c>
      <c r="J5805">
        <v>2060</v>
      </c>
      <c r="K5805">
        <v>915243</v>
      </c>
      <c r="L5805">
        <v>309961</v>
      </c>
      <c r="M5805">
        <v>-118042</v>
      </c>
      <c r="N5805">
        <v>151082</v>
      </c>
      <c r="O5805" t="s">
        <v>5823</v>
      </c>
      <c r="P5805" s="9">
        <v>202515</v>
      </c>
      <c r="Q5805" s="9">
        <v>14135</v>
      </c>
      <c r="R5805" s="9">
        <v>216650</v>
      </c>
      <c r="S5805" s="9">
        <v>-85925</v>
      </c>
      <c r="T5805" s="10">
        <v>63266</v>
      </c>
      <c r="U5805" s="10">
        <v>1850</v>
      </c>
    </row>
    <row r="5806" spans="1:21" x14ac:dyDescent="0.35">
      <c r="A5806" t="s">
        <v>15</v>
      </c>
      <c r="B5806" t="s">
        <v>20</v>
      </c>
      <c r="C5806" t="s">
        <v>21</v>
      </c>
      <c r="D5806">
        <v>211662</v>
      </c>
      <c r="E5806">
        <v>23876</v>
      </c>
      <c r="F5806">
        <v>28273</v>
      </c>
      <c r="G5806">
        <v>-173091</v>
      </c>
      <c r="H5806">
        <v>90720</v>
      </c>
      <c r="I5806">
        <v>86731</v>
      </c>
      <c r="J5806">
        <v>1067</v>
      </c>
      <c r="K5806">
        <v>514711</v>
      </c>
      <c r="L5806">
        <v>169691</v>
      </c>
      <c r="M5806">
        <v>-177452</v>
      </c>
      <c r="N5806">
        <v>156018</v>
      </c>
      <c r="O5806" t="s">
        <v>5824</v>
      </c>
      <c r="P5806" s="9">
        <v>232165</v>
      </c>
      <c r="Q5806" s="9">
        <v>37220</v>
      </c>
      <c r="R5806" s="9">
        <v>269385</v>
      </c>
      <c r="S5806" s="9">
        <v>-57144</v>
      </c>
      <c r="T5806" s="10">
        <v>118769</v>
      </c>
      <c r="U5806" s="10">
        <v>2750</v>
      </c>
    </row>
    <row r="5807" spans="1:21" x14ac:dyDescent="0.35">
      <c r="A5807" t="s">
        <v>15</v>
      </c>
      <c r="B5807" t="s">
        <v>16</v>
      </c>
      <c r="C5807" t="s">
        <v>21</v>
      </c>
      <c r="D5807">
        <v>157193</v>
      </c>
      <c r="E5807">
        <v>23519</v>
      </c>
      <c r="F5807">
        <v>21402</v>
      </c>
      <c r="G5807">
        <v>-145358</v>
      </c>
      <c r="H5807">
        <v>56756</v>
      </c>
      <c r="I5807">
        <v>57998</v>
      </c>
      <c r="J5807">
        <v>726</v>
      </c>
      <c r="K5807">
        <v>415653</v>
      </c>
      <c r="L5807">
        <v>50237</v>
      </c>
      <c r="M5807">
        <v>-76212</v>
      </c>
      <c r="N5807">
        <v>117335</v>
      </c>
      <c r="O5807" t="s">
        <v>5825</v>
      </c>
      <c r="P5807" s="9">
        <v>220360</v>
      </c>
      <c r="Q5807" s="9">
        <v>20712</v>
      </c>
      <c r="R5807" s="9">
        <v>241072</v>
      </c>
      <c r="S5807" s="9">
        <v>-122391</v>
      </c>
      <c r="T5807" s="10">
        <v>76313</v>
      </c>
      <c r="U5807" s="10">
        <v>1336</v>
      </c>
    </row>
    <row r="5808" spans="1:21" x14ac:dyDescent="0.35">
      <c r="A5808" t="s">
        <v>15</v>
      </c>
      <c r="B5808" t="s">
        <v>16</v>
      </c>
      <c r="C5808" t="s">
        <v>17</v>
      </c>
      <c r="D5808">
        <v>151063</v>
      </c>
      <c r="E5808">
        <v>10263</v>
      </c>
      <c r="F5808">
        <v>30909</v>
      </c>
      <c r="G5808">
        <v>-132269</v>
      </c>
      <c r="H5808">
        <v>59966</v>
      </c>
      <c r="I5808">
        <v>54773</v>
      </c>
      <c r="J5808">
        <v>964</v>
      </c>
      <c r="K5808">
        <v>451418</v>
      </c>
      <c r="L5808">
        <v>126227</v>
      </c>
      <c r="M5808">
        <v>-156990</v>
      </c>
      <c r="N5808">
        <v>98804</v>
      </c>
      <c r="O5808" t="s">
        <v>5826</v>
      </c>
      <c r="P5808" s="9">
        <v>220462</v>
      </c>
      <c r="Q5808" s="9">
        <v>24265</v>
      </c>
      <c r="R5808" s="9">
        <v>244727</v>
      </c>
      <c r="S5808" s="9">
        <v>-82689</v>
      </c>
      <c r="T5808" s="10">
        <v>65040</v>
      </c>
      <c r="U5808" s="10">
        <v>1374</v>
      </c>
    </row>
    <row r="5809" spans="1:21" x14ac:dyDescent="0.35">
      <c r="A5809" t="s">
        <v>15</v>
      </c>
      <c r="B5809" t="s">
        <v>16</v>
      </c>
      <c r="C5809" t="s">
        <v>17</v>
      </c>
      <c r="D5809">
        <v>182122</v>
      </c>
      <c r="E5809">
        <v>13302</v>
      </c>
      <c r="F5809">
        <v>28290</v>
      </c>
      <c r="G5809">
        <v>-179033</v>
      </c>
      <c r="H5809">
        <v>44681</v>
      </c>
      <c r="I5809">
        <v>41462</v>
      </c>
      <c r="J5809">
        <v>1139</v>
      </c>
      <c r="K5809">
        <v>697527</v>
      </c>
      <c r="L5809">
        <v>137973</v>
      </c>
      <c r="M5809">
        <v>-152353</v>
      </c>
      <c r="N5809">
        <v>121874</v>
      </c>
      <c r="O5809" t="s">
        <v>5827</v>
      </c>
      <c r="P5809" s="9">
        <v>189692</v>
      </c>
      <c r="Q5809" s="9">
        <v>20874</v>
      </c>
      <c r="R5809" s="9">
        <v>210566</v>
      </c>
      <c r="S5809" s="9">
        <v>-86106</v>
      </c>
      <c r="T5809" s="10">
        <v>83142</v>
      </c>
      <c r="U5809" s="10">
        <v>2169</v>
      </c>
    </row>
    <row r="5810" spans="1:21" x14ac:dyDescent="0.35">
      <c r="A5810" t="s">
        <v>15</v>
      </c>
      <c r="B5810" t="s">
        <v>16</v>
      </c>
      <c r="C5810" t="s">
        <v>17</v>
      </c>
      <c r="D5810">
        <v>261966</v>
      </c>
      <c r="E5810">
        <v>16144</v>
      </c>
      <c r="F5810">
        <v>32826</v>
      </c>
      <c r="G5810">
        <v>-228719</v>
      </c>
      <c r="H5810">
        <v>82217</v>
      </c>
      <c r="I5810">
        <v>79238</v>
      </c>
      <c r="J5810">
        <v>1486</v>
      </c>
      <c r="K5810">
        <v>659522</v>
      </c>
      <c r="L5810">
        <v>99832</v>
      </c>
      <c r="M5810">
        <v>-147637</v>
      </c>
      <c r="N5810">
        <v>205045</v>
      </c>
      <c r="O5810" t="s">
        <v>5828</v>
      </c>
      <c r="P5810" s="9">
        <v>201994</v>
      </c>
      <c r="Q5810" s="9">
        <v>12925</v>
      </c>
      <c r="R5810" s="9">
        <v>214919</v>
      </c>
      <c r="S5810" s="9">
        <v>-110599</v>
      </c>
      <c r="T5810" s="10">
        <v>68105</v>
      </c>
      <c r="U5810" s="10">
        <v>1715</v>
      </c>
    </row>
    <row r="5811" spans="1:21" x14ac:dyDescent="0.35">
      <c r="A5811" t="s">
        <v>15</v>
      </c>
      <c r="B5811" t="s">
        <v>16</v>
      </c>
      <c r="C5811" t="s">
        <v>17</v>
      </c>
      <c r="D5811">
        <v>225090</v>
      </c>
      <c r="E5811">
        <v>17842</v>
      </c>
      <c r="F5811">
        <v>39506</v>
      </c>
      <c r="G5811">
        <v>-219541</v>
      </c>
      <c r="H5811">
        <v>62897</v>
      </c>
      <c r="I5811">
        <v>63852</v>
      </c>
      <c r="J5811">
        <v>1050</v>
      </c>
      <c r="K5811">
        <v>569698</v>
      </c>
      <c r="L5811">
        <v>256770</v>
      </c>
      <c r="M5811">
        <v>-126741</v>
      </c>
      <c r="N5811">
        <v>155472</v>
      </c>
      <c r="O5811" t="s">
        <v>5829</v>
      </c>
      <c r="P5811" s="9">
        <v>244689</v>
      </c>
      <c r="Q5811" s="9">
        <v>25217</v>
      </c>
      <c r="R5811" s="9">
        <v>269906</v>
      </c>
      <c r="S5811" s="9">
        <v>-160054</v>
      </c>
      <c r="T5811" s="10">
        <v>109994</v>
      </c>
      <c r="U5811" s="10">
        <v>1327</v>
      </c>
    </row>
    <row r="5812" spans="1:21" x14ac:dyDescent="0.35">
      <c r="A5812" t="s">
        <v>15</v>
      </c>
      <c r="B5812" t="s">
        <v>16</v>
      </c>
      <c r="C5812" t="s">
        <v>17</v>
      </c>
      <c r="D5812">
        <v>237659</v>
      </c>
      <c r="E5812">
        <v>44779</v>
      </c>
      <c r="F5812">
        <v>37544</v>
      </c>
      <c r="G5812">
        <v>-208139</v>
      </c>
      <c r="H5812">
        <v>111843</v>
      </c>
      <c r="I5812">
        <v>116440</v>
      </c>
      <c r="J5812">
        <v>2542</v>
      </c>
      <c r="K5812">
        <v>800875</v>
      </c>
      <c r="L5812">
        <v>331914</v>
      </c>
      <c r="M5812">
        <v>-180086</v>
      </c>
      <c r="N5812">
        <v>120421</v>
      </c>
      <c r="O5812" t="s">
        <v>5830</v>
      </c>
      <c r="P5812" s="9">
        <v>214893</v>
      </c>
      <c r="Q5812" s="9">
        <v>25128</v>
      </c>
      <c r="R5812" s="9">
        <v>240021</v>
      </c>
      <c r="S5812" s="9">
        <v>-52435</v>
      </c>
      <c r="T5812" s="10">
        <v>68844</v>
      </c>
      <c r="U5812" s="10">
        <v>856</v>
      </c>
    </row>
    <row r="5813" spans="1:21" x14ac:dyDescent="0.35">
      <c r="A5813" t="s">
        <v>15</v>
      </c>
      <c r="B5813" t="s">
        <v>16</v>
      </c>
      <c r="C5813" t="s">
        <v>21</v>
      </c>
      <c r="D5813">
        <v>152036</v>
      </c>
      <c r="E5813">
        <v>9411</v>
      </c>
      <c r="F5813">
        <v>15834</v>
      </c>
      <c r="G5813">
        <v>-128331</v>
      </c>
      <c r="H5813">
        <v>48950</v>
      </c>
      <c r="I5813">
        <v>44362</v>
      </c>
      <c r="J5813">
        <v>1159</v>
      </c>
      <c r="K5813">
        <v>592339</v>
      </c>
      <c r="L5813">
        <v>73268</v>
      </c>
      <c r="M5813">
        <v>-234829</v>
      </c>
      <c r="N5813">
        <v>87822</v>
      </c>
      <c r="O5813" t="s">
        <v>5831</v>
      </c>
      <c r="P5813" s="9">
        <v>251120</v>
      </c>
      <c r="Q5813" s="9">
        <v>44136</v>
      </c>
      <c r="R5813" s="9">
        <v>295256</v>
      </c>
      <c r="S5813" s="9">
        <v>-156314</v>
      </c>
      <c r="T5813" s="10">
        <v>130171</v>
      </c>
      <c r="U5813" s="10">
        <v>3072</v>
      </c>
    </row>
    <row r="5814" spans="1:21" x14ac:dyDescent="0.35">
      <c r="A5814" t="s">
        <v>15</v>
      </c>
      <c r="B5814" t="s">
        <v>16</v>
      </c>
      <c r="C5814" t="s">
        <v>21</v>
      </c>
      <c r="D5814">
        <v>285811</v>
      </c>
      <c r="E5814">
        <v>21650</v>
      </c>
      <c r="F5814">
        <v>47534</v>
      </c>
      <c r="G5814">
        <v>-273357</v>
      </c>
      <c r="H5814">
        <v>81638</v>
      </c>
      <c r="I5814">
        <v>84411</v>
      </c>
      <c r="J5814">
        <v>2024</v>
      </c>
      <c r="K5814">
        <v>888010</v>
      </c>
      <c r="L5814">
        <v>262120</v>
      </c>
      <c r="M5814">
        <v>-258791</v>
      </c>
      <c r="N5814">
        <v>108570</v>
      </c>
      <c r="O5814" t="s">
        <v>5832</v>
      </c>
      <c r="P5814" s="9">
        <v>178733</v>
      </c>
      <c r="Q5814" s="9">
        <v>27520</v>
      </c>
      <c r="R5814" s="9">
        <v>206253</v>
      </c>
      <c r="S5814" s="9">
        <v>-97539</v>
      </c>
      <c r="T5814" s="10">
        <v>75959</v>
      </c>
      <c r="U5814" s="10">
        <v>2043</v>
      </c>
    </row>
    <row r="5815" spans="1:21" x14ac:dyDescent="0.35">
      <c r="A5815" t="s">
        <v>15</v>
      </c>
      <c r="B5815" t="s">
        <v>16</v>
      </c>
      <c r="C5815" t="s">
        <v>21</v>
      </c>
      <c r="D5815">
        <v>280486</v>
      </c>
      <c r="E5815">
        <v>54966</v>
      </c>
      <c r="F5815">
        <v>32041</v>
      </c>
      <c r="G5815">
        <v>-265261</v>
      </c>
      <c r="H5815">
        <v>102232</v>
      </c>
      <c r="I5815">
        <v>107178</v>
      </c>
      <c r="J5815">
        <v>1109</v>
      </c>
      <c r="K5815">
        <v>584467</v>
      </c>
      <c r="L5815">
        <v>143983</v>
      </c>
      <c r="M5815">
        <v>-218742</v>
      </c>
      <c r="N5815">
        <v>92648</v>
      </c>
      <c r="O5815" t="s">
        <v>5833</v>
      </c>
      <c r="P5815" s="9">
        <v>265246</v>
      </c>
      <c r="Q5815" s="9">
        <v>28211</v>
      </c>
      <c r="R5815" s="9">
        <v>293457</v>
      </c>
      <c r="S5815" s="9">
        <v>-114522</v>
      </c>
      <c r="T5815" s="10">
        <v>128306</v>
      </c>
      <c r="U5815" s="10">
        <v>3593</v>
      </c>
    </row>
    <row r="5816" spans="1:21" x14ac:dyDescent="0.35">
      <c r="A5816" t="s">
        <v>15</v>
      </c>
      <c r="B5816" t="s">
        <v>16</v>
      </c>
      <c r="C5816" t="s">
        <v>21</v>
      </c>
      <c r="D5816">
        <v>265730</v>
      </c>
      <c r="E5816">
        <v>47633</v>
      </c>
      <c r="F5816">
        <v>31142</v>
      </c>
      <c r="G5816">
        <v>-245390</v>
      </c>
      <c r="H5816">
        <v>99115</v>
      </c>
      <c r="I5816">
        <v>100853</v>
      </c>
      <c r="J5816">
        <v>1132</v>
      </c>
      <c r="K5816">
        <v>907353</v>
      </c>
      <c r="L5816">
        <v>241890</v>
      </c>
      <c r="M5816">
        <v>-245206</v>
      </c>
      <c r="N5816">
        <v>221813</v>
      </c>
      <c r="O5816" t="s">
        <v>5834</v>
      </c>
      <c r="P5816" s="9">
        <v>273647</v>
      </c>
      <c r="Q5816" s="9">
        <v>43939</v>
      </c>
      <c r="R5816" s="9">
        <v>317586</v>
      </c>
      <c r="S5816" s="9">
        <v>-106666</v>
      </c>
      <c r="T5816" s="10">
        <v>110065</v>
      </c>
      <c r="U5816" s="10">
        <v>2805</v>
      </c>
    </row>
    <row r="5817" spans="1:21" x14ac:dyDescent="0.35">
      <c r="A5817" t="s">
        <v>15</v>
      </c>
      <c r="B5817" t="s">
        <v>20</v>
      </c>
      <c r="C5817" t="s">
        <v>17</v>
      </c>
      <c r="D5817">
        <v>223596</v>
      </c>
      <c r="E5817">
        <v>18984</v>
      </c>
      <c r="F5817">
        <v>33503</v>
      </c>
      <c r="G5817">
        <v>-190786</v>
      </c>
      <c r="H5817">
        <v>85297</v>
      </c>
      <c r="I5817">
        <v>88175</v>
      </c>
      <c r="J5817">
        <v>901</v>
      </c>
      <c r="K5817">
        <v>593979</v>
      </c>
      <c r="L5817">
        <v>126573</v>
      </c>
      <c r="M5817">
        <v>-59646</v>
      </c>
      <c r="N5817">
        <v>165893</v>
      </c>
      <c r="O5817" t="s">
        <v>5835</v>
      </c>
      <c r="P5817" s="9">
        <v>202216</v>
      </c>
      <c r="Q5817" s="9">
        <v>16752</v>
      </c>
      <c r="R5817" s="9">
        <v>218968</v>
      </c>
      <c r="S5817" s="9">
        <v>-96872</v>
      </c>
      <c r="T5817" s="10">
        <v>83450</v>
      </c>
      <c r="U5817" s="10">
        <v>1741</v>
      </c>
    </row>
    <row r="5818" spans="1:21" x14ac:dyDescent="0.35">
      <c r="A5818" t="s">
        <v>15</v>
      </c>
      <c r="B5818" t="s">
        <v>20</v>
      </c>
      <c r="C5818" t="s">
        <v>21</v>
      </c>
      <c r="D5818">
        <v>172553</v>
      </c>
      <c r="E5818">
        <v>19268</v>
      </c>
      <c r="F5818">
        <v>26576</v>
      </c>
      <c r="G5818">
        <v>-146120</v>
      </c>
      <c r="H5818">
        <v>72277</v>
      </c>
      <c r="I5818">
        <v>66133</v>
      </c>
      <c r="J5818">
        <v>965</v>
      </c>
      <c r="K5818">
        <v>491405</v>
      </c>
      <c r="L5818">
        <v>96955</v>
      </c>
      <c r="M5818">
        <v>-118261</v>
      </c>
      <c r="N5818">
        <v>75831</v>
      </c>
      <c r="O5818" t="s">
        <v>5836</v>
      </c>
      <c r="P5818" s="9">
        <v>166712</v>
      </c>
      <c r="Q5818" s="9">
        <v>33680</v>
      </c>
      <c r="R5818" s="9">
        <v>200392</v>
      </c>
      <c r="S5818" s="9">
        <v>-95384</v>
      </c>
      <c r="T5818" s="10">
        <v>67387</v>
      </c>
      <c r="U5818" s="10">
        <v>924</v>
      </c>
    </row>
    <row r="5819" spans="1:21" x14ac:dyDescent="0.35">
      <c r="A5819" t="s">
        <v>15</v>
      </c>
      <c r="B5819" t="s">
        <v>16</v>
      </c>
      <c r="C5819" t="s">
        <v>21</v>
      </c>
      <c r="D5819">
        <v>251096</v>
      </c>
      <c r="E5819">
        <v>43460</v>
      </c>
      <c r="F5819">
        <v>60494</v>
      </c>
      <c r="G5819">
        <v>-244729</v>
      </c>
      <c r="H5819">
        <v>110321</v>
      </c>
      <c r="I5819">
        <v>113890</v>
      </c>
      <c r="J5819">
        <v>1398</v>
      </c>
      <c r="K5819">
        <v>671311</v>
      </c>
      <c r="L5819">
        <v>107837</v>
      </c>
      <c r="M5819">
        <v>-192075</v>
      </c>
      <c r="N5819">
        <v>220011</v>
      </c>
      <c r="O5819" t="s">
        <v>5837</v>
      </c>
      <c r="P5819" s="9">
        <v>273232</v>
      </c>
      <c r="Q5819" s="9">
        <v>29404</v>
      </c>
      <c r="R5819" s="9">
        <v>302636</v>
      </c>
      <c r="S5819" s="9">
        <v>-103352</v>
      </c>
      <c r="T5819" s="10">
        <v>119617</v>
      </c>
      <c r="U5819" s="10">
        <v>1442</v>
      </c>
    </row>
    <row r="5820" spans="1:21" x14ac:dyDescent="0.35">
      <c r="A5820" t="s">
        <v>15</v>
      </c>
      <c r="B5820" t="s">
        <v>20</v>
      </c>
      <c r="C5820" t="s">
        <v>17</v>
      </c>
      <c r="D5820">
        <v>244023</v>
      </c>
      <c r="E5820">
        <v>17561</v>
      </c>
      <c r="F5820">
        <v>30328</v>
      </c>
      <c r="G5820">
        <v>-239514</v>
      </c>
      <c r="H5820">
        <v>52398</v>
      </c>
      <c r="I5820">
        <v>49384</v>
      </c>
      <c r="J5820">
        <v>1416</v>
      </c>
      <c r="K5820">
        <v>637537</v>
      </c>
      <c r="L5820">
        <v>294128</v>
      </c>
      <c r="M5820">
        <v>-137067</v>
      </c>
      <c r="N5820">
        <v>197317</v>
      </c>
      <c r="O5820" t="s">
        <v>5838</v>
      </c>
      <c r="P5820" s="9">
        <v>289805</v>
      </c>
      <c r="Q5820" s="9">
        <v>19971</v>
      </c>
      <c r="R5820" s="9">
        <v>309776</v>
      </c>
      <c r="S5820" s="9">
        <v>-94765</v>
      </c>
      <c r="T5820" s="10">
        <v>81165</v>
      </c>
      <c r="U5820" s="10">
        <v>904</v>
      </c>
    </row>
    <row r="5821" spans="1:21" x14ac:dyDescent="0.35">
      <c r="A5821" t="s">
        <v>15</v>
      </c>
      <c r="B5821" t="s">
        <v>16</v>
      </c>
      <c r="C5821" t="s">
        <v>21</v>
      </c>
      <c r="D5821">
        <v>151397</v>
      </c>
      <c r="E5821">
        <v>25211</v>
      </c>
      <c r="F5821">
        <v>23540</v>
      </c>
      <c r="G5821">
        <v>-132870</v>
      </c>
      <c r="H5821">
        <v>67278</v>
      </c>
      <c r="I5821">
        <v>62160</v>
      </c>
      <c r="J5821">
        <v>776</v>
      </c>
      <c r="K5821">
        <v>508410</v>
      </c>
      <c r="L5821">
        <v>54265</v>
      </c>
      <c r="M5821">
        <v>-191729</v>
      </c>
      <c r="N5821">
        <v>86234</v>
      </c>
      <c r="O5821" t="s">
        <v>5839</v>
      </c>
      <c r="P5821" s="9">
        <v>215297</v>
      </c>
      <c r="Q5821" s="9">
        <v>30192</v>
      </c>
      <c r="R5821" s="9">
        <v>245489</v>
      </c>
      <c r="S5821" s="9">
        <v>-127983</v>
      </c>
      <c r="T5821" s="10">
        <v>74770</v>
      </c>
      <c r="U5821" s="10">
        <v>1275</v>
      </c>
    </row>
    <row r="5822" spans="1:21" x14ac:dyDescent="0.35">
      <c r="A5822" t="s">
        <v>15</v>
      </c>
      <c r="B5822" t="s">
        <v>16</v>
      </c>
      <c r="C5822" t="s">
        <v>17</v>
      </c>
      <c r="D5822">
        <v>220828</v>
      </c>
      <c r="E5822">
        <v>19560</v>
      </c>
      <c r="F5822">
        <v>39076</v>
      </c>
      <c r="G5822">
        <v>-206837</v>
      </c>
      <c r="H5822">
        <v>72627</v>
      </c>
      <c r="I5822">
        <v>72719</v>
      </c>
      <c r="J5822">
        <v>1407</v>
      </c>
      <c r="K5822">
        <v>759595</v>
      </c>
      <c r="L5822">
        <v>353510</v>
      </c>
      <c r="M5822">
        <v>-122536</v>
      </c>
      <c r="N5822">
        <v>114763</v>
      </c>
      <c r="O5822" t="s">
        <v>5840</v>
      </c>
      <c r="P5822" s="9">
        <v>308460</v>
      </c>
      <c r="Q5822" s="9">
        <v>33581</v>
      </c>
      <c r="R5822" s="9">
        <v>342041</v>
      </c>
      <c r="S5822" s="9">
        <v>-195978</v>
      </c>
      <c r="T5822" s="10">
        <v>115549</v>
      </c>
      <c r="U5822" s="10">
        <v>2499</v>
      </c>
    </row>
    <row r="5823" spans="1:21" x14ac:dyDescent="0.35">
      <c r="A5823" t="s">
        <v>15</v>
      </c>
      <c r="B5823" t="s">
        <v>20</v>
      </c>
      <c r="C5823" t="s">
        <v>21</v>
      </c>
      <c r="D5823">
        <v>262242</v>
      </c>
      <c r="E5823">
        <v>46005</v>
      </c>
      <c r="F5823">
        <v>31088</v>
      </c>
      <c r="G5823">
        <v>-255652</v>
      </c>
      <c r="H5823">
        <v>83683</v>
      </c>
      <c r="I5823">
        <v>84118</v>
      </c>
      <c r="J5823">
        <v>1836</v>
      </c>
      <c r="K5823">
        <v>854808</v>
      </c>
      <c r="L5823">
        <v>190707</v>
      </c>
      <c r="M5823">
        <v>-189782</v>
      </c>
      <c r="N5823">
        <v>222061</v>
      </c>
      <c r="O5823" t="s">
        <v>5841</v>
      </c>
      <c r="P5823" s="9">
        <v>299628</v>
      </c>
      <c r="Q5823" s="9">
        <v>16778</v>
      </c>
      <c r="R5823" s="9">
        <v>316406</v>
      </c>
      <c r="S5823" s="9">
        <v>-77304</v>
      </c>
      <c r="T5823" s="10">
        <v>70861</v>
      </c>
      <c r="U5823" s="10">
        <v>1378</v>
      </c>
    </row>
    <row r="5824" spans="1:21" x14ac:dyDescent="0.35">
      <c r="A5824" t="s">
        <v>15</v>
      </c>
      <c r="B5824" t="s">
        <v>16</v>
      </c>
      <c r="C5824" t="s">
        <v>21</v>
      </c>
      <c r="D5824">
        <v>154928</v>
      </c>
      <c r="E5824">
        <v>15709</v>
      </c>
      <c r="F5824">
        <v>20915</v>
      </c>
      <c r="G5824">
        <v>-128643</v>
      </c>
      <c r="H5824">
        <v>62909</v>
      </c>
      <c r="I5824">
        <v>60271</v>
      </c>
      <c r="J5824">
        <v>1288</v>
      </c>
      <c r="K5824">
        <v>450279</v>
      </c>
      <c r="L5824">
        <v>77746</v>
      </c>
      <c r="M5824">
        <v>-63308</v>
      </c>
      <c r="N5824">
        <v>99281</v>
      </c>
      <c r="O5824" t="s">
        <v>5842</v>
      </c>
      <c r="P5824" s="9">
        <v>176447</v>
      </c>
      <c r="Q5824" s="9">
        <v>34704</v>
      </c>
      <c r="R5824" s="9">
        <v>211151</v>
      </c>
      <c r="S5824" s="9">
        <v>-113393</v>
      </c>
      <c r="T5824" s="10">
        <v>77399</v>
      </c>
      <c r="U5824" s="10">
        <v>2315</v>
      </c>
    </row>
    <row r="5825" spans="1:21" x14ac:dyDescent="0.35">
      <c r="A5825" t="s">
        <v>15</v>
      </c>
      <c r="B5825" t="s">
        <v>16</v>
      </c>
      <c r="C5825" t="s">
        <v>17</v>
      </c>
      <c r="D5825">
        <v>242538</v>
      </c>
      <c r="E5825">
        <v>20258</v>
      </c>
      <c r="F5825">
        <v>46990</v>
      </c>
      <c r="G5825">
        <v>-219915</v>
      </c>
      <c r="H5825">
        <v>89871</v>
      </c>
      <c r="I5825">
        <v>84330</v>
      </c>
      <c r="J5825">
        <v>2270</v>
      </c>
      <c r="K5825">
        <v>803152</v>
      </c>
      <c r="L5825">
        <v>108256</v>
      </c>
      <c r="M5825">
        <v>-292786</v>
      </c>
      <c r="N5825">
        <v>206055</v>
      </c>
      <c r="O5825" t="s">
        <v>5843</v>
      </c>
      <c r="P5825" s="9">
        <v>250528</v>
      </c>
      <c r="Q5825" s="9">
        <v>49602</v>
      </c>
      <c r="R5825" s="9">
        <v>300130</v>
      </c>
      <c r="S5825" s="9">
        <v>-165436</v>
      </c>
      <c r="T5825" s="10">
        <v>149047</v>
      </c>
      <c r="U5825" s="10">
        <v>2053</v>
      </c>
    </row>
    <row r="5826" spans="1:21" x14ac:dyDescent="0.35">
      <c r="A5826" t="s">
        <v>15</v>
      </c>
      <c r="B5826" t="s">
        <v>16</v>
      </c>
      <c r="C5826" t="s">
        <v>21</v>
      </c>
      <c r="D5826">
        <v>226172</v>
      </c>
      <c r="E5826">
        <v>35922</v>
      </c>
      <c r="F5826">
        <v>43171</v>
      </c>
      <c r="G5826">
        <v>-202867</v>
      </c>
      <c r="H5826">
        <v>102398</v>
      </c>
      <c r="I5826">
        <v>100687</v>
      </c>
      <c r="J5826">
        <v>2036</v>
      </c>
      <c r="K5826">
        <v>709476</v>
      </c>
      <c r="L5826">
        <v>165784</v>
      </c>
      <c r="M5826">
        <v>-226591</v>
      </c>
      <c r="N5826">
        <v>98962</v>
      </c>
      <c r="O5826" t="s">
        <v>5844</v>
      </c>
      <c r="P5826" s="9">
        <v>321812</v>
      </c>
      <c r="Q5826" s="9">
        <v>43955</v>
      </c>
      <c r="R5826" s="9">
        <v>365767</v>
      </c>
      <c r="S5826" s="9">
        <v>-128580</v>
      </c>
      <c r="T5826" s="10">
        <v>106311</v>
      </c>
      <c r="U5826" s="10">
        <v>1066</v>
      </c>
    </row>
    <row r="5827" spans="1:21" x14ac:dyDescent="0.35">
      <c r="A5827" t="s">
        <v>15</v>
      </c>
      <c r="B5827" t="s">
        <v>16</v>
      </c>
      <c r="C5827" t="s">
        <v>21</v>
      </c>
      <c r="D5827">
        <v>185357</v>
      </c>
      <c r="E5827">
        <v>16174</v>
      </c>
      <c r="F5827">
        <v>19088</v>
      </c>
      <c r="G5827">
        <v>-183026</v>
      </c>
      <c r="H5827">
        <v>37593</v>
      </c>
      <c r="I5827">
        <v>36627</v>
      </c>
      <c r="J5827">
        <v>367</v>
      </c>
      <c r="K5827">
        <v>628829</v>
      </c>
      <c r="L5827">
        <v>76342</v>
      </c>
      <c r="M5827">
        <v>-216915</v>
      </c>
      <c r="N5827">
        <v>59607</v>
      </c>
      <c r="O5827" t="s">
        <v>5845</v>
      </c>
      <c r="P5827" s="9">
        <v>168625</v>
      </c>
      <c r="Q5827" s="9">
        <v>20162</v>
      </c>
      <c r="R5827" s="9">
        <v>188787</v>
      </c>
      <c r="S5827" s="9">
        <v>-62481</v>
      </c>
      <c r="T5827" s="10">
        <v>47541</v>
      </c>
      <c r="U5827" s="10">
        <v>934</v>
      </c>
    </row>
    <row r="5828" spans="1:21" x14ac:dyDescent="0.35">
      <c r="A5828" t="s">
        <v>15</v>
      </c>
      <c r="B5828" t="s">
        <v>16</v>
      </c>
      <c r="C5828" t="s">
        <v>21</v>
      </c>
      <c r="D5828">
        <v>283018</v>
      </c>
      <c r="E5828">
        <v>17044</v>
      </c>
      <c r="F5828">
        <v>52527</v>
      </c>
      <c r="G5828">
        <v>-234285</v>
      </c>
      <c r="H5828">
        <v>118304</v>
      </c>
      <c r="I5828">
        <v>113835</v>
      </c>
      <c r="J5828">
        <v>1767</v>
      </c>
      <c r="K5828">
        <v>650840</v>
      </c>
      <c r="L5828">
        <v>151232</v>
      </c>
      <c r="M5828">
        <v>-131326</v>
      </c>
      <c r="N5828">
        <v>184284</v>
      </c>
      <c r="O5828" t="s">
        <v>5846</v>
      </c>
      <c r="P5828" s="9">
        <v>167592</v>
      </c>
      <c r="Q5828" s="9">
        <v>23022</v>
      </c>
      <c r="R5828" s="9">
        <v>190614</v>
      </c>
      <c r="S5828" s="9">
        <v>-84298</v>
      </c>
      <c r="T5828" s="10">
        <v>58538</v>
      </c>
      <c r="U5828" s="10">
        <v>1462</v>
      </c>
    </row>
    <row r="5829" spans="1:21" x14ac:dyDescent="0.35">
      <c r="A5829" t="s">
        <v>15</v>
      </c>
      <c r="B5829" t="s">
        <v>16</v>
      </c>
      <c r="C5829" t="s">
        <v>21</v>
      </c>
      <c r="D5829">
        <v>184662</v>
      </c>
      <c r="E5829">
        <v>17872</v>
      </c>
      <c r="F5829">
        <v>29044</v>
      </c>
      <c r="G5829">
        <v>-180707</v>
      </c>
      <c r="H5829">
        <v>50871</v>
      </c>
      <c r="I5829">
        <v>48446</v>
      </c>
      <c r="J5829">
        <v>1420</v>
      </c>
      <c r="K5829">
        <v>703831</v>
      </c>
      <c r="L5829">
        <v>305331</v>
      </c>
      <c r="M5829">
        <v>-108274</v>
      </c>
      <c r="N5829">
        <v>134857</v>
      </c>
      <c r="O5829" t="s">
        <v>5847</v>
      </c>
      <c r="P5829" s="9">
        <v>255358</v>
      </c>
      <c r="Q5829" s="9">
        <v>38114</v>
      </c>
      <c r="R5829" s="9">
        <v>293472</v>
      </c>
      <c r="S5829" s="9">
        <v>-107793</v>
      </c>
      <c r="T5829" s="10">
        <v>120834</v>
      </c>
      <c r="U5829" s="10">
        <v>2825</v>
      </c>
    </row>
    <row r="5830" spans="1:21" x14ac:dyDescent="0.35">
      <c r="A5830" t="s">
        <v>15</v>
      </c>
      <c r="B5830" t="s">
        <v>20</v>
      </c>
      <c r="C5830" t="s">
        <v>17</v>
      </c>
      <c r="D5830">
        <v>175163</v>
      </c>
      <c r="E5830">
        <v>18163</v>
      </c>
      <c r="F5830">
        <v>24196</v>
      </c>
      <c r="G5830">
        <v>-153145</v>
      </c>
      <c r="H5830">
        <v>64377</v>
      </c>
      <c r="I5830">
        <v>63914</v>
      </c>
      <c r="J5830">
        <v>875</v>
      </c>
      <c r="K5830">
        <v>611046</v>
      </c>
      <c r="L5830">
        <v>191603</v>
      </c>
      <c r="M5830">
        <v>-171102</v>
      </c>
      <c r="N5830">
        <v>122585</v>
      </c>
      <c r="O5830" t="s">
        <v>5848</v>
      </c>
      <c r="P5830" s="9">
        <v>209336</v>
      </c>
      <c r="Q5830" s="9">
        <v>13833</v>
      </c>
      <c r="R5830" s="9">
        <v>223169</v>
      </c>
      <c r="S5830" s="9">
        <v>-56590</v>
      </c>
      <c r="T5830" s="10">
        <v>79502</v>
      </c>
      <c r="U5830" s="10">
        <v>1103</v>
      </c>
    </row>
    <row r="5831" spans="1:21" x14ac:dyDescent="0.35">
      <c r="A5831" t="s">
        <v>15</v>
      </c>
      <c r="B5831" t="s">
        <v>16</v>
      </c>
      <c r="C5831" t="s">
        <v>17</v>
      </c>
      <c r="D5831">
        <v>230435</v>
      </c>
      <c r="E5831">
        <v>19984</v>
      </c>
      <c r="F5831">
        <v>42474</v>
      </c>
      <c r="G5831">
        <v>-200896</v>
      </c>
      <c r="H5831">
        <v>91997</v>
      </c>
      <c r="I5831">
        <v>89051</v>
      </c>
      <c r="J5831">
        <v>2391</v>
      </c>
      <c r="K5831">
        <v>744482</v>
      </c>
      <c r="L5831">
        <v>186352</v>
      </c>
      <c r="M5831">
        <v>-189950</v>
      </c>
      <c r="N5831">
        <v>204687</v>
      </c>
      <c r="O5831" t="s">
        <v>5849</v>
      </c>
      <c r="P5831" s="9">
        <v>250967</v>
      </c>
      <c r="Q5831" s="9">
        <v>24774</v>
      </c>
      <c r="R5831" s="9">
        <v>275741</v>
      </c>
      <c r="S5831" s="9">
        <v>-163369</v>
      </c>
      <c r="T5831" s="10">
        <v>121525</v>
      </c>
      <c r="U5831" s="10">
        <v>1940</v>
      </c>
    </row>
    <row r="5832" spans="1:21" x14ac:dyDescent="0.35">
      <c r="A5832" t="s">
        <v>15</v>
      </c>
      <c r="B5832" t="s">
        <v>16</v>
      </c>
      <c r="C5832" t="s">
        <v>21</v>
      </c>
      <c r="D5832">
        <v>160173</v>
      </c>
      <c r="E5832">
        <v>16978</v>
      </c>
      <c r="F5832">
        <v>32282</v>
      </c>
      <c r="G5832">
        <v>-155211</v>
      </c>
      <c r="H5832">
        <v>54222</v>
      </c>
      <c r="I5832">
        <v>54666</v>
      </c>
      <c r="J5832">
        <v>889</v>
      </c>
      <c r="K5832">
        <v>533160</v>
      </c>
      <c r="L5832">
        <v>117405</v>
      </c>
      <c r="M5832">
        <v>-103051</v>
      </c>
      <c r="N5832">
        <v>102829</v>
      </c>
      <c r="O5832" t="s">
        <v>5850</v>
      </c>
      <c r="P5832" s="9">
        <v>322808</v>
      </c>
      <c r="Q5832" s="9">
        <v>53842</v>
      </c>
      <c r="R5832" s="9">
        <v>376650</v>
      </c>
      <c r="S5832" s="9">
        <v>-121255</v>
      </c>
      <c r="T5832" s="10">
        <v>114591</v>
      </c>
      <c r="U5832" s="10">
        <v>1832</v>
      </c>
    </row>
    <row r="5833" spans="1:21" x14ac:dyDescent="0.35">
      <c r="A5833" t="s">
        <v>15</v>
      </c>
      <c r="B5833" t="s">
        <v>16</v>
      </c>
      <c r="C5833" t="s">
        <v>17</v>
      </c>
      <c r="D5833">
        <v>235683</v>
      </c>
      <c r="E5833">
        <v>34604</v>
      </c>
      <c r="F5833">
        <v>52895</v>
      </c>
      <c r="G5833">
        <v>-205647</v>
      </c>
      <c r="H5833">
        <v>117535</v>
      </c>
      <c r="I5833">
        <v>115597</v>
      </c>
      <c r="J5833">
        <v>1541</v>
      </c>
      <c r="K5833">
        <v>827844</v>
      </c>
      <c r="L5833">
        <v>126249</v>
      </c>
      <c r="M5833">
        <v>-330381</v>
      </c>
      <c r="N5833">
        <v>72251</v>
      </c>
      <c r="O5833" t="s">
        <v>5851</v>
      </c>
      <c r="P5833" s="9">
        <v>291569</v>
      </c>
      <c r="Q5833" s="9">
        <v>37487</v>
      </c>
      <c r="R5833" s="9">
        <v>329056</v>
      </c>
      <c r="S5833" s="9">
        <v>-126136</v>
      </c>
      <c r="T5833" s="10">
        <v>145240</v>
      </c>
      <c r="U5833" s="10">
        <v>3085</v>
      </c>
    </row>
    <row r="5834" spans="1:21" x14ac:dyDescent="0.35">
      <c r="A5834" t="s">
        <v>15</v>
      </c>
      <c r="B5834" t="s">
        <v>16</v>
      </c>
      <c r="C5834" t="s">
        <v>21</v>
      </c>
      <c r="D5834">
        <v>168227</v>
      </c>
      <c r="E5834">
        <v>15590</v>
      </c>
      <c r="F5834">
        <v>31475</v>
      </c>
      <c r="G5834">
        <v>-134920</v>
      </c>
      <c r="H5834">
        <v>80372</v>
      </c>
      <c r="I5834">
        <v>74552</v>
      </c>
      <c r="J5834">
        <v>1119</v>
      </c>
      <c r="K5834">
        <v>573745</v>
      </c>
      <c r="L5834">
        <v>101844</v>
      </c>
      <c r="M5834">
        <v>-65765</v>
      </c>
      <c r="N5834">
        <v>72656</v>
      </c>
      <c r="O5834" t="s">
        <v>5852</v>
      </c>
      <c r="P5834" s="9">
        <v>202893</v>
      </c>
      <c r="Q5834" s="9">
        <v>22794</v>
      </c>
      <c r="R5834" s="9">
        <v>225687</v>
      </c>
      <c r="S5834" s="9">
        <v>-67179</v>
      </c>
      <c r="T5834" s="10">
        <v>77246</v>
      </c>
      <c r="U5834" s="10">
        <v>1224</v>
      </c>
    </row>
    <row r="5835" spans="1:21" x14ac:dyDescent="0.35">
      <c r="A5835" t="s">
        <v>15</v>
      </c>
      <c r="B5835" t="s">
        <v>16</v>
      </c>
      <c r="C5835" t="s">
        <v>17</v>
      </c>
      <c r="D5835">
        <v>151141</v>
      </c>
      <c r="E5835">
        <v>22783</v>
      </c>
      <c r="F5835">
        <v>28367</v>
      </c>
      <c r="G5835">
        <v>-143904</v>
      </c>
      <c r="H5835">
        <v>58387</v>
      </c>
      <c r="I5835">
        <v>52923</v>
      </c>
      <c r="J5835">
        <v>1441</v>
      </c>
      <c r="K5835">
        <v>596045</v>
      </c>
      <c r="L5835">
        <v>147019</v>
      </c>
      <c r="M5835">
        <v>-107040</v>
      </c>
      <c r="N5835">
        <v>48925</v>
      </c>
      <c r="O5835" t="s">
        <v>5853</v>
      </c>
      <c r="P5835" s="9">
        <v>289616</v>
      </c>
      <c r="Q5835" s="9">
        <v>47440</v>
      </c>
      <c r="R5835" s="9">
        <v>337056</v>
      </c>
      <c r="S5835" s="9">
        <v>-100410</v>
      </c>
      <c r="T5835" s="10">
        <v>94835</v>
      </c>
      <c r="U5835" s="10">
        <v>1173</v>
      </c>
    </row>
    <row r="5836" spans="1:21" x14ac:dyDescent="0.35">
      <c r="A5836" t="s">
        <v>15</v>
      </c>
      <c r="B5836" t="s">
        <v>20</v>
      </c>
      <c r="C5836" t="s">
        <v>17</v>
      </c>
      <c r="D5836">
        <v>225036</v>
      </c>
      <c r="E5836">
        <v>12664</v>
      </c>
      <c r="F5836">
        <v>39729</v>
      </c>
      <c r="G5836">
        <v>-215269</v>
      </c>
      <c r="H5836">
        <v>62160</v>
      </c>
      <c r="I5836">
        <v>56359</v>
      </c>
      <c r="J5836">
        <v>592</v>
      </c>
      <c r="K5836">
        <v>714452</v>
      </c>
      <c r="L5836">
        <v>114030</v>
      </c>
      <c r="M5836">
        <v>-242145</v>
      </c>
      <c r="N5836">
        <v>135201</v>
      </c>
      <c r="O5836" t="s">
        <v>5854</v>
      </c>
      <c r="P5836" s="9">
        <v>211737</v>
      </c>
      <c r="Q5836" s="9">
        <v>15647</v>
      </c>
      <c r="R5836" s="9">
        <v>227384</v>
      </c>
      <c r="S5836" s="9">
        <v>-127698</v>
      </c>
      <c r="T5836" s="10">
        <v>72983</v>
      </c>
      <c r="U5836" s="10">
        <v>1196</v>
      </c>
    </row>
    <row r="5837" spans="1:21" x14ac:dyDescent="0.35">
      <c r="A5837" t="s">
        <v>15</v>
      </c>
      <c r="B5837" t="s">
        <v>16</v>
      </c>
      <c r="C5837" t="s">
        <v>17</v>
      </c>
      <c r="D5837">
        <v>278787</v>
      </c>
      <c r="E5837">
        <v>44524</v>
      </c>
      <c r="F5837">
        <v>34162</v>
      </c>
      <c r="G5837">
        <v>-260108</v>
      </c>
      <c r="H5837">
        <v>97365</v>
      </c>
      <c r="I5837">
        <v>89798</v>
      </c>
      <c r="J5837">
        <v>2424</v>
      </c>
      <c r="K5837">
        <v>989991</v>
      </c>
      <c r="L5837">
        <v>186246</v>
      </c>
      <c r="M5837">
        <v>-233030</v>
      </c>
      <c r="N5837">
        <v>125183</v>
      </c>
      <c r="O5837" t="s">
        <v>5855</v>
      </c>
      <c r="P5837" s="9">
        <v>201396</v>
      </c>
      <c r="Q5837" s="9">
        <v>39618</v>
      </c>
      <c r="R5837" s="9">
        <v>241014</v>
      </c>
      <c r="S5837" s="9">
        <v>-126067</v>
      </c>
      <c r="T5837" s="10">
        <v>90070</v>
      </c>
      <c r="U5837" s="10">
        <v>1453</v>
      </c>
    </row>
    <row r="5838" spans="1:21" x14ac:dyDescent="0.35">
      <c r="A5838" t="s">
        <v>15</v>
      </c>
      <c r="B5838" t="s">
        <v>16</v>
      </c>
      <c r="C5838" t="s">
        <v>21</v>
      </c>
      <c r="D5838">
        <v>215644</v>
      </c>
      <c r="E5838">
        <v>42672</v>
      </c>
      <c r="F5838">
        <v>27309</v>
      </c>
      <c r="G5838">
        <v>-204981</v>
      </c>
      <c r="H5838">
        <v>80644</v>
      </c>
      <c r="I5838">
        <v>80069</v>
      </c>
      <c r="J5838">
        <v>1079</v>
      </c>
      <c r="K5838">
        <v>485100</v>
      </c>
      <c r="L5838">
        <v>80467</v>
      </c>
      <c r="M5838">
        <v>-65802</v>
      </c>
      <c r="N5838">
        <v>82057</v>
      </c>
      <c r="O5838" t="s">
        <v>5856</v>
      </c>
      <c r="P5838" s="9">
        <v>224052</v>
      </c>
      <c r="Q5838" s="9">
        <v>22105</v>
      </c>
      <c r="R5838" s="9">
        <v>246157</v>
      </c>
      <c r="S5838" s="9">
        <v>-110341</v>
      </c>
      <c r="T5838" s="10">
        <v>61792</v>
      </c>
      <c r="U5838" s="10">
        <v>760</v>
      </c>
    </row>
    <row r="5839" spans="1:21" x14ac:dyDescent="0.35">
      <c r="A5839" t="s">
        <v>15</v>
      </c>
      <c r="B5839" t="s">
        <v>20</v>
      </c>
      <c r="C5839" t="s">
        <v>21</v>
      </c>
      <c r="D5839">
        <v>280195</v>
      </c>
      <c r="E5839">
        <v>44525</v>
      </c>
      <c r="F5839">
        <v>55341</v>
      </c>
      <c r="G5839">
        <v>-250791</v>
      </c>
      <c r="H5839">
        <v>129270</v>
      </c>
      <c r="I5839">
        <v>127010</v>
      </c>
      <c r="J5839">
        <v>1498</v>
      </c>
      <c r="K5839">
        <v>595851</v>
      </c>
      <c r="L5839">
        <v>108485</v>
      </c>
      <c r="M5839">
        <v>-209159</v>
      </c>
      <c r="N5839">
        <v>128850</v>
      </c>
      <c r="O5839" t="s">
        <v>5857</v>
      </c>
      <c r="P5839" s="9">
        <v>174463</v>
      </c>
      <c r="Q5839" s="9">
        <v>33743</v>
      </c>
      <c r="R5839" s="9">
        <v>208206</v>
      </c>
      <c r="S5839" s="9">
        <v>-65558</v>
      </c>
      <c r="T5839" s="10">
        <v>76382</v>
      </c>
      <c r="U5839" s="10">
        <v>1825</v>
      </c>
    </row>
    <row r="5840" spans="1:21" x14ac:dyDescent="0.35">
      <c r="A5840" t="s">
        <v>15</v>
      </c>
      <c r="B5840" t="s">
        <v>16</v>
      </c>
      <c r="C5840" t="s">
        <v>21</v>
      </c>
      <c r="D5840">
        <v>182572</v>
      </c>
      <c r="E5840">
        <v>28129</v>
      </c>
      <c r="F5840">
        <v>25631</v>
      </c>
      <c r="G5840">
        <v>-148088</v>
      </c>
      <c r="H5840">
        <v>88244</v>
      </c>
      <c r="I5840">
        <v>80840</v>
      </c>
      <c r="J5840">
        <v>1487</v>
      </c>
      <c r="K5840">
        <v>382636</v>
      </c>
      <c r="L5840">
        <v>84764</v>
      </c>
      <c r="M5840">
        <v>-61444</v>
      </c>
      <c r="N5840">
        <v>66069</v>
      </c>
      <c r="O5840" t="s">
        <v>5858</v>
      </c>
      <c r="P5840" s="9">
        <v>190965</v>
      </c>
      <c r="Q5840" s="9">
        <v>33304</v>
      </c>
      <c r="R5840" s="9">
        <v>224269</v>
      </c>
      <c r="S5840" s="9">
        <v>-67717</v>
      </c>
      <c r="T5840" s="10">
        <v>89845</v>
      </c>
      <c r="U5840" s="10">
        <v>1485</v>
      </c>
    </row>
    <row r="5841" spans="1:21" x14ac:dyDescent="0.35">
      <c r="A5841" t="s">
        <v>15</v>
      </c>
      <c r="B5841" t="s">
        <v>16</v>
      </c>
      <c r="C5841" t="s">
        <v>21</v>
      </c>
      <c r="D5841">
        <v>290832</v>
      </c>
      <c r="E5841">
        <v>20597</v>
      </c>
      <c r="F5841">
        <v>43929</v>
      </c>
      <c r="G5841">
        <v>-253992</v>
      </c>
      <c r="H5841">
        <v>101366</v>
      </c>
      <c r="I5841">
        <v>106340</v>
      </c>
      <c r="J5841">
        <v>1772</v>
      </c>
      <c r="K5841">
        <v>1010677</v>
      </c>
      <c r="L5841">
        <v>159654</v>
      </c>
      <c r="M5841">
        <v>-188546</v>
      </c>
      <c r="N5841">
        <v>232692</v>
      </c>
      <c r="O5841" t="s">
        <v>5859</v>
      </c>
      <c r="P5841" s="9">
        <v>218152</v>
      </c>
      <c r="Q5841" s="9">
        <v>18352</v>
      </c>
      <c r="R5841" s="9">
        <v>236504</v>
      </c>
      <c r="S5841" s="9">
        <v>-138138</v>
      </c>
      <c r="T5841" s="10">
        <v>82274</v>
      </c>
      <c r="U5841" s="10">
        <v>1196</v>
      </c>
    </row>
    <row r="5842" spans="1:21" x14ac:dyDescent="0.35">
      <c r="A5842" t="s">
        <v>15</v>
      </c>
      <c r="B5842" t="s">
        <v>16</v>
      </c>
      <c r="C5842" t="s">
        <v>21</v>
      </c>
      <c r="D5842">
        <v>258881</v>
      </c>
      <c r="E5842">
        <v>37237</v>
      </c>
      <c r="F5842">
        <v>46276</v>
      </c>
      <c r="G5842">
        <v>-214273</v>
      </c>
      <c r="H5842">
        <v>128121</v>
      </c>
      <c r="I5842">
        <v>122189</v>
      </c>
      <c r="J5842">
        <v>1653</v>
      </c>
      <c r="K5842">
        <v>965254</v>
      </c>
      <c r="L5842">
        <v>164904</v>
      </c>
      <c r="M5842">
        <v>-163514</v>
      </c>
      <c r="N5842">
        <v>206575</v>
      </c>
      <c r="O5842" t="s">
        <v>5860</v>
      </c>
      <c r="P5842" s="9">
        <v>275079</v>
      </c>
      <c r="Q5842" s="9">
        <v>15253</v>
      </c>
      <c r="R5842" s="9">
        <v>290332</v>
      </c>
      <c r="S5842" s="9">
        <v>-63971</v>
      </c>
      <c r="T5842" s="10">
        <v>90028</v>
      </c>
      <c r="U5842" s="10">
        <v>1494</v>
      </c>
    </row>
    <row r="5843" spans="1:21" x14ac:dyDescent="0.35">
      <c r="A5843" t="s">
        <v>15</v>
      </c>
      <c r="B5843" t="s">
        <v>16</v>
      </c>
      <c r="C5843" t="s">
        <v>21</v>
      </c>
      <c r="D5843">
        <v>294781</v>
      </c>
      <c r="E5843">
        <v>48648</v>
      </c>
      <c r="F5843">
        <v>69363</v>
      </c>
      <c r="G5843">
        <v>-240682</v>
      </c>
      <c r="H5843">
        <v>172110</v>
      </c>
      <c r="I5843">
        <v>160255</v>
      </c>
      <c r="J5843">
        <v>4732</v>
      </c>
      <c r="K5843">
        <v>1136470</v>
      </c>
      <c r="L5843">
        <v>469632</v>
      </c>
      <c r="M5843">
        <v>-169264</v>
      </c>
      <c r="N5843">
        <v>151403</v>
      </c>
      <c r="O5843" t="s">
        <v>5861</v>
      </c>
      <c r="P5843" s="9">
        <v>218425</v>
      </c>
      <c r="Q5843" s="9">
        <v>38829</v>
      </c>
      <c r="R5843" s="9">
        <v>257254</v>
      </c>
      <c r="S5843" s="9">
        <v>-139890</v>
      </c>
      <c r="T5843" s="10">
        <v>88172</v>
      </c>
      <c r="U5843" s="10">
        <v>1871</v>
      </c>
    </row>
    <row r="5844" spans="1:21" x14ac:dyDescent="0.35">
      <c r="A5844" t="s">
        <v>15</v>
      </c>
      <c r="B5844" t="s">
        <v>16</v>
      </c>
      <c r="C5844" t="s">
        <v>21</v>
      </c>
      <c r="D5844">
        <v>165815</v>
      </c>
      <c r="E5844">
        <v>28941</v>
      </c>
      <c r="F5844">
        <v>20755</v>
      </c>
      <c r="G5844">
        <v>-137411</v>
      </c>
      <c r="H5844">
        <v>78100</v>
      </c>
      <c r="I5844">
        <v>74453</v>
      </c>
      <c r="J5844">
        <v>1511</v>
      </c>
      <c r="K5844">
        <v>365289</v>
      </c>
      <c r="L5844">
        <v>55591</v>
      </c>
      <c r="M5844">
        <v>-106968</v>
      </c>
      <c r="N5844">
        <v>107650</v>
      </c>
      <c r="O5844" t="s">
        <v>5862</v>
      </c>
      <c r="P5844" s="9">
        <v>269566</v>
      </c>
      <c r="Q5844" s="9">
        <v>27720</v>
      </c>
      <c r="R5844" s="9">
        <v>297286</v>
      </c>
      <c r="S5844" s="9">
        <v>-154265</v>
      </c>
      <c r="T5844" s="10">
        <v>84588</v>
      </c>
      <c r="U5844" s="10">
        <v>1801</v>
      </c>
    </row>
    <row r="5845" spans="1:21" x14ac:dyDescent="0.35">
      <c r="A5845" t="s">
        <v>15</v>
      </c>
      <c r="B5845" t="s">
        <v>16</v>
      </c>
      <c r="C5845" t="s">
        <v>21</v>
      </c>
      <c r="D5845">
        <v>236045</v>
      </c>
      <c r="E5845">
        <v>24398</v>
      </c>
      <c r="F5845">
        <v>25996</v>
      </c>
      <c r="G5845">
        <v>-209688</v>
      </c>
      <c r="H5845">
        <v>76751</v>
      </c>
      <c r="I5845">
        <v>71047</v>
      </c>
      <c r="J5845">
        <v>1219</v>
      </c>
      <c r="K5845">
        <v>680061</v>
      </c>
      <c r="L5845">
        <v>69111</v>
      </c>
      <c r="M5845">
        <v>-145256</v>
      </c>
      <c r="N5845">
        <v>137029</v>
      </c>
      <c r="O5845" t="s">
        <v>5863</v>
      </c>
      <c r="P5845" s="9">
        <v>180797</v>
      </c>
      <c r="Q5845" s="9">
        <v>35265</v>
      </c>
      <c r="R5845" s="9">
        <v>216062</v>
      </c>
      <c r="S5845" s="9">
        <v>-55015</v>
      </c>
      <c r="T5845" s="10">
        <v>66168</v>
      </c>
      <c r="U5845" s="10">
        <v>1658</v>
      </c>
    </row>
    <row r="5846" spans="1:21" x14ac:dyDescent="0.35">
      <c r="A5846" t="s">
        <v>15</v>
      </c>
      <c r="B5846" t="s">
        <v>16</v>
      </c>
      <c r="C5846" t="s">
        <v>21</v>
      </c>
      <c r="D5846">
        <v>292700</v>
      </c>
      <c r="E5846">
        <v>20701</v>
      </c>
      <c r="F5846">
        <v>55048</v>
      </c>
      <c r="G5846">
        <v>-246942</v>
      </c>
      <c r="H5846">
        <v>121507</v>
      </c>
      <c r="I5846">
        <v>113089</v>
      </c>
      <c r="J5846">
        <v>2524</v>
      </c>
      <c r="K5846">
        <v>680961</v>
      </c>
      <c r="L5846">
        <v>175093</v>
      </c>
      <c r="M5846">
        <v>-118266</v>
      </c>
      <c r="N5846">
        <v>154223</v>
      </c>
      <c r="O5846" t="s">
        <v>5864</v>
      </c>
      <c r="P5846" s="9">
        <v>176683</v>
      </c>
      <c r="Q5846" s="9">
        <v>19601</v>
      </c>
      <c r="R5846" s="9">
        <v>196284</v>
      </c>
      <c r="S5846" s="9">
        <v>-111648</v>
      </c>
      <c r="T5846" s="10">
        <v>64920</v>
      </c>
      <c r="U5846" s="10">
        <v>1235</v>
      </c>
    </row>
    <row r="5847" spans="1:21" x14ac:dyDescent="0.35">
      <c r="A5847" t="s">
        <v>15</v>
      </c>
      <c r="B5847" t="s">
        <v>16</v>
      </c>
      <c r="C5847" t="s">
        <v>21</v>
      </c>
      <c r="D5847">
        <v>198844</v>
      </c>
      <c r="E5847">
        <v>36768</v>
      </c>
      <c r="F5847">
        <v>20139</v>
      </c>
      <c r="G5847">
        <v>-188463</v>
      </c>
      <c r="H5847">
        <v>67288</v>
      </c>
      <c r="I5847">
        <v>65528</v>
      </c>
      <c r="J5847">
        <v>1694</v>
      </c>
      <c r="K5847">
        <v>692300</v>
      </c>
      <c r="L5847">
        <v>81634</v>
      </c>
      <c r="M5847">
        <v>-222430</v>
      </c>
      <c r="N5847">
        <v>71457</v>
      </c>
      <c r="O5847" t="s">
        <v>5865</v>
      </c>
      <c r="P5847" s="9">
        <v>154255</v>
      </c>
      <c r="Q5847" s="9">
        <v>19984</v>
      </c>
      <c r="R5847" s="9">
        <v>174239</v>
      </c>
      <c r="S5847" s="9">
        <v>-38030</v>
      </c>
      <c r="T5847" s="10">
        <v>64846</v>
      </c>
      <c r="U5847" s="10">
        <v>1628</v>
      </c>
    </row>
    <row r="5848" spans="1:21" x14ac:dyDescent="0.35">
      <c r="A5848" t="s">
        <v>15</v>
      </c>
      <c r="B5848" t="s">
        <v>16</v>
      </c>
      <c r="C5848" t="s">
        <v>21</v>
      </c>
      <c r="D5848">
        <v>290828</v>
      </c>
      <c r="E5848">
        <v>19954</v>
      </c>
      <c r="F5848">
        <v>44001</v>
      </c>
      <c r="G5848">
        <v>-280521</v>
      </c>
      <c r="H5848">
        <v>74262</v>
      </c>
      <c r="I5848">
        <v>68233</v>
      </c>
      <c r="J5848">
        <v>1111</v>
      </c>
      <c r="K5848">
        <v>762153</v>
      </c>
      <c r="L5848">
        <v>154499</v>
      </c>
      <c r="M5848">
        <v>-84014</v>
      </c>
      <c r="N5848">
        <v>141688</v>
      </c>
      <c r="O5848" t="s">
        <v>5866</v>
      </c>
      <c r="P5848" s="9">
        <v>195474</v>
      </c>
      <c r="Q5848" s="9">
        <v>37457</v>
      </c>
      <c r="R5848" s="9">
        <v>232931</v>
      </c>
      <c r="S5848" s="9">
        <v>-118889</v>
      </c>
      <c r="T5848" s="10">
        <v>99834</v>
      </c>
      <c r="U5848" s="10">
        <v>1472</v>
      </c>
    </row>
    <row r="5849" spans="1:21" x14ac:dyDescent="0.35">
      <c r="A5849" t="s">
        <v>15</v>
      </c>
      <c r="B5849" t="s">
        <v>16</v>
      </c>
      <c r="C5849" t="s">
        <v>21</v>
      </c>
      <c r="D5849">
        <v>196369</v>
      </c>
      <c r="E5849">
        <v>13329</v>
      </c>
      <c r="F5849">
        <v>44687</v>
      </c>
      <c r="G5849">
        <v>-167151</v>
      </c>
      <c r="H5849">
        <v>87234</v>
      </c>
      <c r="I5849">
        <v>81123</v>
      </c>
      <c r="J5849">
        <v>1792</v>
      </c>
      <c r="K5849">
        <v>660332</v>
      </c>
      <c r="L5849">
        <v>169400</v>
      </c>
      <c r="M5849">
        <v>-113934</v>
      </c>
      <c r="N5849">
        <v>122530</v>
      </c>
      <c r="O5849" t="s">
        <v>5867</v>
      </c>
      <c r="P5849" s="9">
        <v>231223</v>
      </c>
      <c r="Q5849" s="9">
        <v>17511</v>
      </c>
      <c r="R5849" s="9">
        <v>248734</v>
      </c>
      <c r="S5849" s="9">
        <v>-125233</v>
      </c>
      <c r="T5849" s="10">
        <v>103185</v>
      </c>
      <c r="U5849" s="10">
        <v>2440</v>
      </c>
    </row>
    <row r="5850" spans="1:21" x14ac:dyDescent="0.35">
      <c r="A5850" t="s">
        <v>15</v>
      </c>
      <c r="B5850" t="s">
        <v>20</v>
      </c>
      <c r="C5850" t="s">
        <v>21</v>
      </c>
      <c r="D5850">
        <v>281659</v>
      </c>
      <c r="E5850">
        <v>42499</v>
      </c>
      <c r="F5850">
        <v>42066</v>
      </c>
      <c r="G5850">
        <v>-239801</v>
      </c>
      <c r="H5850">
        <v>126423</v>
      </c>
      <c r="I5850">
        <v>119448</v>
      </c>
      <c r="J5850">
        <v>1900</v>
      </c>
      <c r="K5850">
        <v>924766</v>
      </c>
      <c r="L5850">
        <v>446312</v>
      </c>
      <c r="M5850">
        <v>-171496</v>
      </c>
      <c r="N5850">
        <v>187356</v>
      </c>
      <c r="O5850" t="s">
        <v>5868</v>
      </c>
      <c r="P5850" s="9">
        <v>308354</v>
      </c>
      <c r="Q5850" s="9">
        <v>28707</v>
      </c>
      <c r="R5850" s="9">
        <v>337061</v>
      </c>
      <c r="S5850" s="9">
        <v>-180917</v>
      </c>
      <c r="T5850" s="10">
        <v>74262</v>
      </c>
      <c r="U5850" s="10">
        <v>1246</v>
      </c>
    </row>
    <row r="5851" spans="1:21" x14ac:dyDescent="0.35">
      <c r="A5851" t="s">
        <v>15</v>
      </c>
      <c r="B5851" t="s">
        <v>16</v>
      </c>
      <c r="C5851" t="s">
        <v>21</v>
      </c>
      <c r="D5851">
        <v>225765</v>
      </c>
      <c r="E5851">
        <v>24484</v>
      </c>
      <c r="F5851">
        <v>53562</v>
      </c>
      <c r="G5851">
        <v>-191183</v>
      </c>
      <c r="H5851">
        <v>112628</v>
      </c>
      <c r="I5851">
        <v>108627</v>
      </c>
      <c r="J5851">
        <v>2657</v>
      </c>
      <c r="K5851">
        <v>890040</v>
      </c>
      <c r="L5851">
        <v>385545</v>
      </c>
      <c r="M5851">
        <v>-151889</v>
      </c>
      <c r="N5851">
        <v>168400</v>
      </c>
      <c r="O5851" t="s">
        <v>5869</v>
      </c>
      <c r="P5851" s="9">
        <v>216718</v>
      </c>
      <c r="Q5851" s="9">
        <v>27615</v>
      </c>
      <c r="R5851" s="9">
        <v>244333</v>
      </c>
      <c r="S5851" s="9">
        <v>-93002</v>
      </c>
      <c r="T5851" s="10">
        <v>89806</v>
      </c>
      <c r="U5851" s="10">
        <v>1602</v>
      </c>
    </row>
    <row r="5852" spans="1:21" x14ac:dyDescent="0.35">
      <c r="A5852" t="s">
        <v>15</v>
      </c>
      <c r="B5852" t="s">
        <v>20</v>
      </c>
      <c r="C5852" t="s">
        <v>21</v>
      </c>
      <c r="D5852">
        <v>165035</v>
      </c>
      <c r="E5852">
        <v>25613</v>
      </c>
      <c r="F5852">
        <v>20987</v>
      </c>
      <c r="G5852">
        <v>-148164</v>
      </c>
      <c r="H5852">
        <v>63471</v>
      </c>
      <c r="I5852">
        <v>58312</v>
      </c>
      <c r="J5852">
        <v>915</v>
      </c>
      <c r="K5852">
        <v>593682</v>
      </c>
      <c r="L5852">
        <v>186434</v>
      </c>
      <c r="M5852">
        <v>-66173</v>
      </c>
      <c r="N5852">
        <v>115786</v>
      </c>
      <c r="O5852" t="s">
        <v>5870</v>
      </c>
      <c r="P5852" s="9">
        <v>254402</v>
      </c>
      <c r="Q5852" s="9">
        <v>20743</v>
      </c>
      <c r="R5852" s="9">
        <v>275145</v>
      </c>
      <c r="S5852" s="9">
        <v>-111554</v>
      </c>
      <c r="T5852" s="10">
        <v>87424</v>
      </c>
      <c r="U5852" s="10">
        <v>1074</v>
      </c>
    </row>
    <row r="5853" spans="1:21" x14ac:dyDescent="0.35">
      <c r="A5853" t="s">
        <v>15</v>
      </c>
      <c r="B5853" t="s">
        <v>20</v>
      </c>
      <c r="C5853" t="s">
        <v>17</v>
      </c>
      <c r="D5853">
        <v>216725</v>
      </c>
      <c r="E5853">
        <v>16483</v>
      </c>
      <c r="F5853">
        <v>25210</v>
      </c>
      <c r="G5853">
        <v>-212866</v>
      </c>
      <c r="H5853">
        <v>45552</v>
      </c>
      <c r="I5853">
        <v>44944</v>
      </c>
      <c r="J5853">
        <v>1175</v>
      </c>
      <c r="K5853">
        <v>837271</v>
      </c>
      <c r="L5853">
        <v>330502</v>
      </c>
      <c r="M5853">
        <v>-218658</v>
      </c>
      <c r="N5853">
        <v>84809</v>
      </c>
      <c r="O5853" t="s">
        <v>5871</v>
      </c>
      <c r="P5853" s="9">
        <v>245550</v>
      </c>
      <c r="Q5853" s="9">
        <v>46380</v>
      </c>
      <c r="R5853" s="9">
        <v>291930</v>
      </c>
      <c r="S5853" s="9">
        <v>-146941</v>
      </c>
      <c r="T5853" s="10">
        <v>152093</v>
      </c>
      <c r="U5853" s="10">
        <v>1689</v>
      </c>
    </row>
    <row r="5854" spans="1:21" x14ac:dyDescent="0.35">
      <c r="A5854" t="s">
        <v>15</v>
      </c>
      <c r="B5854" t="s">
        <v>16</v>
      </c>
      <c r="C5854" t="s">
        <v>21</v>
      </c>
      <c r="D5854">
        <v>194284</v>
      </c>
      <c r="E5854">
        <v>28376</v>
      </c>
      <c r="F5854">
        <v>28201</v>
      </c>
      <c r="G5854">
        <v>-164233</v>
      </c>
      <c r="H5854">
        <v>86628</v>
      </c>
      <c r="I5854">
        <v>89688</v>
      </c>
      <c r="J5854">
        <v>1200</v>
      </c>
      <c r="K5854">
        <v>655414</v>
      </c>
      <c r="L5854">
        <v>84082</v>
      </c>
      <c r="M5854">
        <v>-85344</v>
      </c>
      <c r="N5854">
        <v>65373</v>
      </c>
      <c r="O5854" t="s">
        <v>5872</v>
      </c>
      <c r="P5854" s="9">
        <v>165246</v>
      </c>
      <c r="Q5854" s="9">
        <v>15776</v>
      </c>
      <c r="R5854" s="9">
        <v>181022</v>
      </c>
      <c r="S5854" s="9">
        <v>-65700</v>
      </c>
      <c r="T5854" s="10">
        <v>91845</v>
      </c>
      <c r="U5854" s="10">
        <v>1232</v>
      </c>
    </row>
    <row r="5855" spans="1:21" x14ac:dyDescent="0.35">
      <c r="A5855" t="s">
        <v>15</v>
      </c>
      <c r="B5855" t="s">
        <v>16</v>
      </c>
      <c r="C5855" t="s">
        <v>17</v>
      </c>
      <c r="D5855">
        <v>178933</v>
      </c>
      <c r="E5855">
        <v>19755</v>
      </c>
      <c r="F5855">
        <v>44338</v>
      </c>
      <c r="G5855">
        <v>-160355</v>
      </c>
      <c r="H5855">
        <v>82671</v>
      </c>
      <c r="I5855">
        <v>75738</v>
      </c>
      <c r="J5855">
        <v>1788</v>
      </c>
      <c r="K5855">
        <v>492799</v>
      </c>
      <c r="L5855">
        <v>196500</v>
      </c>
      <c r="M5855">
        <v>-143342</v>
      </c>
      <c r="N5855">
        <v>92178</v>
      </c>
      <c r="O5855" t="s">
        <v>5873</v>
      </c>
      <c r="P5855" s="9">
        <v>219717</v>
      </c>
      <c r="Q5855" s="9">
        <v>12091</v>
      </c>
      <c r="R5855" s="9">
        <v>231808</v>
      </c>
      <c r="S5855" s="9">
        <v>-80322</v>
      </c>
      <c r="T5855" s="10">
        <v>58067</v>
      </c>
      <c r="U5855" s="10">
        <v>735</v>
      </c>
    </row>
    <row r="5856" spans="1:21" x14ac:dyDescent="0.35">
      <c r="A5856" t="s">
        <v>15</v>
      </c>
      <c r="B5856" t="s">
        <v>20</v>
      </c>
      <c r="C5856" t="s">
        <v>21</v>
      </c>
      <c r="D5856">
        <v>250603</v>
      </c>
      <c r="E5856">
        <v>20702</v>
      </c>
      <c r="F5856">
        <v>37666</v>
      </c>
      <c r="G5856">
        <v>-204901</v>
      </c>
      <c r="H5856">
        <v>104070</v>
      </c>
      <c r="I5856">
        <v>102386</v>
      </c>
      <c r="J5856">
        <v>1145</v>
      </c>
      <c r="K5856">
        <v>920071</v>
      </c>
      <c r="L5856">
        <v>437276</v>
      </c>
      <c r="M5856">
        <v>-227334</v>
      </c>
      <c r="N5856">
        <v>112600</v>
      </c>
      <c r="O5856" t="s">
        <v>5874</v>
      </c>
      <c r="P5856" s="9">
        <v>267569</v>
      </c>
      <c r="Q5856" s="9">
        <v>43449</v>
      </c>
      <c r="R5856" s="9">
        <v>311018</v>
      </c>
      <c r="S5856" s="9">
        <v>-141454</v>
      </c>
      <c r="T5856" s="10">
        <v>132775</v>
      </c>
      <c r="U5856" s="10">
        <v>2917</v>
      </c>
    </row>
    <row r="5857" spans="1:21" x14ac:dyDescent="0.35">
      <c r="A5857" t="s">
        <v>15</v>
      </c>
      <c r="B5857" t="s">
        <v>16</v>
      </c>
      <c r="C5857" t="s">
        <v>17</v>
      </c>
      <c r="D5857">
        <v>159549</v>
      </c>
      <c r="E5857">
        <v>11505</v>
      </c>
      <c r="F5857">
        <v>35571</v>
      </c>
      <c r="G5857">
        <v>-140640</v>
      </c>
      <c r="H5857">
        <v>65985</v>
      </c>
      <c r="I5857">
        <v>64467</v>
      </c>
      <c r="J5857">
        <v>1008</v>
      </c>
      <c r="K5857">
        <v>563887</v>
      </c>
      <c r="L5857">
        <v>228542</v>
      </c>
      <c r="M5857">
        <v>-181585</v>
      </c>
      <c r="N5857">
        <v>98208</v>
      </c>
      <c r="O5857" t="s">
        <v>5875</v>
      </c>
      <c r="P5857" s="9">
        <v>154141</v>
      </c>
      <c r="Q5857" s="9">
        <v>15816</v>
      </c>
      <c r="R5857" s="9">
        <v>169957</v>
      </c>
      <c r="S5857" s="9">
        <v>-39276</v>
      </c>
      <c r="T5857" s="10">
        <v>60653</v>
      </c>
      <c r="U5857" s="10">
        <v>1203</v>
      </c>
    </row>
    <row r="5858" spans="1:21" x14ac:dyDescent="0.35">
      <c r="A5858" t="s">
        <v>15</v>
      </c>
      <c r="B5858" t="s">
        <v>20</v>
      </c>
      <c r="C5858" t="s">
        <v>21</v>
      </c>
      <c r="D5858">
        <v>278836</v>
      </c>
      <c r="E5858">
        <v>23161</v>
      </c>
      <c r="F5858">
        <v>55684</v>
      </c>
      <c r="G5858">
        <v>-246260</v>
      </c>
      <c r="H5858">
        <v>111421</v>
      </c>
      <c r="I5858">
        <v>109869</v>
      </c>
      <c r="J5858">
        <v>1158</v>
      </c>
      <c r="K5858">
        <v>706968</v>
      </c>
      <c r="L5858">
        <v>229559</v>
      </c>
      <c r="M5858">
        <v>-165606</v>
      </c>
      <c r="N5858">
        <v>173518</v>
      </c>
      <c r="O5858" t="s">
        <v>5876</v>
      </c>
      <c r="P5858" s="9">
        <v>210137</v>
      </c>
      <c r="Q5858" s="9">
        <v>30402</v>
      </c>
      <c r="R5858" s="9">
        <v>240539</v>
      </c>
      <c r="S5858" s="9">
        <v>-57631</v>
      </c>
      <c r="T5858" s="10">
        <v>62628</v>
      </c>
      <c r="U5858" s="10">
        <v>1788</v>
      </c>
    </row>
    <row r="5859" spans="1:21" x14ac:dyDescent="0.35">
      <c r="A5859" t="s">
        <v>15</v>
      </c>
      <c r="B5859" t="s">
        <v>16</v>
      </c>
      <c r="C5859" t="s">
        <v>17</v>
      </c>
      <c r="D5859">
        <v>193675</v>
      </c>
      <c r="E5859">
        <v>15032</v>
      </c>
      <c r="F5859">
        <v>34873</v>
      </c>
      <c r="G5859">
        <v>-158115</v>
      </c>
      <c r="H5859">
        <v>85465</v>
      </c>
      <c r="I5859">
        <v>77488</v>
      </c>
      <c r="J5859">
        <v>2107</v>
      </c>
      <c r="K5859">
        <v>762957</v>
      </c>
      <c r="L5859">
        <v>204431</v>
      </c>
      <c r="M5859">
        <v>-227489</v>
      </c>
      <c r="N5859">
        <v>153981</v>
      </c>
      <c r="O5859" t="s">
        <v>5877</v>
      </c>
      <c r="P5859" s="9">
        <v>238223</v>
      </c>
      <c r="Q5859" s="9">
        <v>49115</v>
      </c>
      <c r="R5859" s="9">
        <v>287338</v>
      </c>
      <c r="S5859" s="9">
        <v>-77686</v>
      </c>
      <c r="T5859" s="10">
        <v>113250</v>
      </c>
      <c r="U5859" s="10">
        <v>3269</v>
      </c>
    </row>
    <row r="5860" spans="1:21" x14ac:dyDescent="0.35">
      <c r="A5860" t="s">
        <v>15</v>
      </c>
      <c r="B5860" t="s">
        <v>16</v>
      </c>
      <c r="C5860" t="s">
        <v>21</v>
      </c>
      <c r="D5860">
        <v>274066</v>
      </c>
      <c r="E5860">
        <v>22329</v>
      </c>
      <c r="F5860">
        <v>48633</v>
      </c>
      <c r="G5860">
        <v>-245583</v>
      </c>
      <c r="H5860">
        <v>99445</v>
      </c>
      <c r="I5860">
        <v>94570</v>
      </c>
      <c r="J5860">
        <v>2836</v>
      </c>
      <c r="K5860">
        <v>613931</v>
      </c>
      <c r="L5860">
        <v>89129</v>
      </c>
      <c r="M5860">
        <v>-125015</v>
      </c>
      <c r="N5860">
        <v>166768</v>
      </c>
      <c r="O5860" t="s">
        <v>5878</v>
      </c>
      <c r="P5860" s="9">
        <v>240377</v>
      </c>
      <c r="Q5860" s="9">
        <v>16853</v>
      </c>
      <c r="R5860" s="9">
        <v>257230</v>
      </c>
      <c r="S5860" s="9">
        <v>-117042</v>
      </c>
      <c r="T5860" s="10">
        <v>50417</v>
      </c>
      <c r="U5860" s="10">
        <v>1366</v>
      </c>
    </row>
    <row r="5861" spans="1:21" x14ac:dyDescent="0.35">
      <c r="A5861" t="s">
        <v>15</v>
      </c>
      <c r="B5861" t="s">
        <v>20</v>
      </c>
      <c r="C5861" t="s">
        <v>21</v>
      </c>
      <c r="D5861">
        <v>299238</v>
      </c>
      <c r="E5861">
        <v>33575</v>
      </c>
      <c r="F5861">
        <v>36405</v>
      </c>
      <c r="G5861">
        <v>-274494</v>
      </c>
      <c r="H5861">
        <v>94724</v>
      </c>
      <c r="I5861">
        <v>95862</v>
      </c>
      <c r="J5861">
        <v>1100</v>
      </c>
      <c r="K5861">
        <v>612186</v>
      </c>
      <c r="L5861">
        <v>146890</v>
      </c>
      <c r="M5861">
        <v>-180183</v>
      </c>
      <c r="N5861">
        <v>181218</v>
      </c>
      <c r="O5861" t="s">
        <v>5879</v>
      </c>
      <c r="P5861" s="9">
        <v>148191</v>
      </c>
      <c r="Q5861" s="9">
        <v>13244</v>
      </c>
      <c r="R5861" s="9">
        <v>161435</v>
      </c>
      <c r="S5861" s="9">
        <v>-46263</v>
      </c>
      <c r="T5861" s="10">
        <v>35896</v>
      </c>
      <c r="U5861" s="10">
        <v>660</v>
      </c>
    </row>
    <row r="5862" spans="1:21" x14ac:dyDescent="0.35">
      <c r="A5862" t="s">
        <v>15</v>
      </c>
      <c r="B5862" t="s">
        <v>16</v>
      </c>
      <c r="C5862" t="s">
        <v>17</v>
      </c>
      <c r="D5862">
        <v>289727</v>
      </c>
      <c r="E5862">
        <v>42872</v>
      </c>
      <c r="F5862">
        <v>45881</v>
      </c>
      <c r="G5862">
        <v>-247965</v>
      </c>
      <c r="H5862">
        <v>130515</v>
      </c>
      <c r="I5862">
        <v>124337</v>
      </c>
      <c r="J5862">
        <v>2047</v>
      </c>
      <c r="K5862">
        <v>1061909</v>
      </c>
      <c r="L5862">
        <v>149281</v>
      </c>
      <c r="M5862">
        <v>-248757</v>
      </c>
      <c r="N5862">
        <v>169311</v>
      </c>
      <c r="O5862" t="s">
        <v>5880</v>
      </c>
      <c r="P5862" s="9">
        <v>177276</v>
      </c>
      <c r="Q5862" s="9">
        <v>15854</v>
      </c>
      <c r="R5862" s="9">
        <v>193130</v>
      </c>
      <c r="S5862" s="9">
        <v>-89591</v>
      </c>
      <c r="T5862" s="10">
        <v>79156</v>
      </c>
      <c r="U5862" s="10">
        <v>1556</v>
      </c>
    </row>
    <row r="5863" spans="1:21" x14ac:dyDescent="0.35">
      <c r="A5863" t="s">
        <v>15</v>
      </c>
      <c r="B5863" t="s">
        <v>20</v>
      </c>
      <c r="C5863" t="s">
        <v>21</v>
      </c>
      <c r="D5863">
        <v>257890</v>
      </c>
      <c r="E5863">
        <v>22812</v>
      </c>
      <c r="F5863">
        <v>46336</v>
      </c>
      <c r="G5863">
        <v>-245965</v>
      </c>
      <c r="H5863">
        <v>81073</v>
      </c>
      <c r="I5863">
        <v>75020</v>
      </c>
      <c r="J5863">
        <v>1826</v>
      </c>
      <c r="K5863">
        <v>793731</v>
      </c>
      <c r="L5863">
        <v>204698</v>
      </c>
      <c r="M5863">
        <v>-216832</v>
      </c>
      <c r="N5863">
        <v>197759</v>
      </c>
      <c r="O5863" t="s">
        <v>5881</v>
      </c>
      <c r="P5863" s="9">
        <v>217069</v>
      </c>
      <c r="Q5863" s="9">
        <v>22685</v>
      </c>
      <c r="R5863" s="9">
        <v>239754</v>
      </c>
      <c r="S5863" s="9">
        <v>-120714</v>
      </c>
      <c r="T5863" s="10">
        <v>53552</v>
      </c>
      <c r="U5863" s="10">
        <v>1023</v>
      </c>
    </row>
    <row r="5864" spans="1:21" x14ac:dyDescent="0.35">
      <c r="A5864" t="s">
        <v>15</v>
      </c>
      <c r="B5864" t="s">
        <v>16</v>
      </c>
      <c r="C5864" t="s">
        <v>21</v>
      </c>
      <c r="D5864">
        <v>174044</v>
      </c>
      <c r="E5864">
        <v>26793</v>
      </c>
      <c r="F5864">
        <v>26557</v>
      </c>
      <c r="G5864">
        <v>-173013</v>
      </c>
      <c r="H5864">
        <v>54381</v>
      </c>
      <c r="I5864">
        <v>56331</v>
      </c>
      <c r="J5864">
        <v>1073</v>
      </c>
      <c r="K5864">
        <v>386400</v>
      </c>
      <c r="L5864">
        <v>119743</v>
      </c>
      <c r="M5864">
        <v>-145183</v>
      </c>
      <c r="N5864">
        <v>61819</v>
      </c>
      <c r="O5864" t="s">
        <v>5882</v>
      </c>
      <c r="P5864" s="9">
        <v>145600</v>
      </c>
      <c r="Q5864" s="9">
        <v>15916</v>
      </c>
      <c r="R5864" s="9">
        <v>161516</v>
      </c>
      <c r="S5864" s="9">
        <v>-90044</v>
      </c>
      <c r="T5864" s="10">
        <v>80886</v>
      </c>
      <c r="U5864" s="10">
        <v>2149</v>
      </c>
    </row>
    <row r="5865" spans="1:21" x14ac:dyDescent="0.35">
      <c r="A5865" t="s">
        <v>15</v>
      </c>
      <c r="B5865" t="s">
        <v>16</v>
      </c>
      <c r="C5865" t="s">
        <v>21</v>
      </c>
      <c r="D5865">
        <v>164678</v>
      </c>
      <c r="E5865">
        <v>30913</v>
      </c>
      <c r="F5865">
        <v>22768</v>
      </c>
      <c r="G5865">
        <v>-146236</v>
      </c>
      <c r="H5865">
        <v>72123</v>
      </c>
      <c r="I5865">
        <v>64943</v>
      </c>
      <c r="J5865">
        <v>719</v>
      </c>
      <c r="K5865">
        <v>643562</v>
      </c>
      <c r="L5865">
        <v>264072</v>
      </c>
      <c r="M5865">
        <v>-167391</v>
      </c>
      <c r="N5865">
        <v>68256</v>
      </c>
      <c r="O5865" t="s">
        <v>5883</v>
      </c>
      <c r="P5865" s="9">
        <v>284352</v>
      </c>
      <c r="Q5865" s="9">
        <v>49945</v>
      </c>
      <c r="R5865" s="9">
        <v>334297</v>
      </c>
      <c r="S5865" s="9">
        <v>-94365</v>
      </c>
      <c r="T5865" s="10">
        <v>100413</v>
      </c>
      <c r="U5865" s="10">
        <v>2697</v>
      </c>
    </row>
    <row r="5866" spans="1:21" x14ac:dyDescent="0.35">
      <c r="A5866" t="s">
        <v>15</v>
      </c>
      <c r="B5866" t="s">
        <v>20</v>
      </c>
      <c r="C5866" t="s">
        <v>21</v>
      </c>
      <c r="D5866">
        <v>239353</v>
      </c>
      <c r="E5866">
        <v>40533</v>
      </c>
      <c r="F5866">
        <v>52604</v>
      </c>
      <c r="G5866">
        <v>-231254</v>
      </c>
      <c r="H5866">
        <v>101236</v>
      </c>
      <c r="I5866">
        <v>96471</v>
      </c>
      <c r="J5866">
        <v>2133</v>
      </c>
      <c r="K5866">
        <v>549427</v>
      </c>
      <c r="L5866">
        <v>133594</v>
      </c>
      <c r="M5866">
        <v>-76484</v>
      </c>
      <c r="N5866">
        <v>88339</v>
      </c>
      <c r="O5866" t="s">
        <v>5884</v>
      </c>
      <c r="P5866" s="9">
        <v>254149</v>
      </c>
      <c r="Q5866" s="9">
        <v>39611</v>
      </c>
      <c r="R5866" s="9">
        <v>293760</v>
      </c>
      <c r="S5866" s="9">
        <v>-136552</v>
      </c>
      <c r="T5866" s="10">
        <v>73738</v>
      </c>
      <c r="U5866" s="10">
        <v>1003</v>
      </c>
    </row>
    <row r="5867" spans="1:21" x14ac:dyDescent="0.35">
      <c r="A5867" t="s">
        <v>15</v>
      </c>
      <c r="B5867" t="s">
        <v>20</v>
      </c>
      <c r="C5867" t="s">
        <v>21</v>
      </c>
      <c r="D5867">
        <v>265898</v>
      </c>
      <c r="E5867">
        <v>44310</v>
      </c>
      <c r="F5867">
        <v>64503</v>
      </c>
      <c r="G5867">
        <v>-249185</v>
      </c>
      <c r="H5867">
        <v>125526</v>
      </c>
      <c r="I5867">
        <v>120046</v>
      </c>
      <c r="J5867">
        <v>3059</v>
      </c>
      <c r="K5867">
        <v>955839</v>
      </c>
      <c r="L5867">
        <v>436126</v>
      </c>
      <c r="M5867">
        <v>-238073</v>
      </c>
      <c r="N5867">
        <v>212840</v>
      </c>
      <c r="O5867" t="s">
        <v>5885</v>
      </c>
      <c r="P5867" s="9">
        <v>175580</v>
      </c>
      <c r="Q5867" s="9">
        <v>20849</v>
      </c>
      <c r="R5867" s="9">
        <v>196429</v>
      </c>
      <c r="S5867" s="9">
        <v>-67790</v>
      </c>
      <c r="T5867" s="10">
        <v>87042</v>
      </c>
      <c r="U5867" s="10">
        <v>1942</v>
      </c>
    </row>
    <row r="5868" spans="1:21" x14ac:dyDescent="0.35">
      <c r="A5868" t="s">
        <v>15</v>
      </c>
      <c r="B5868" t="s">
        <v>16</v>
      </c>
      <c r="C5868" t="s">
        <v>21</v>
      </c>
      <c r="D5868">
        <v>208880</v>
      </c>
      <c r="E5868">
        <v>29496</v>
      </c>
      <c r="F5868">
        <v>48563</v>
      </c>
      <c r="G5868">
        <v>-169199</v>
      </c>
      <c r="H5868">
        <v>117740</v>
      </c>
      <c r="I5868">
        <v>119601</v>
      </c>
      <c r="J5868">
        <v>1423</v>
      </c>
      <c r="K5868">
        <v>671063</v>
      </c>
      <c r="L5868">
        <v>301928</v>
      </c>
      <c r="M5868">
        <v>-266689</v>
      </c>
      <c r="N5868">
        <v>153787</v>
      </c>
      <c r="O5868" t="s">
        <v>5886</v>
      </c>
      <c r="P5868" s="9">
        <v>159122</v>
      </c>
      <c r="Q5868" s="9">
        <v>8520</v>
      </c>
      <c r="R5868" s="9">
        <v>167642</v>
      </c>
      <c r="S5868" s="9">
        <v>-64882</v>
      </c>
      <c r="T5868" s="10">
        <v>36495</v>
      </c>
      <c r="U5868" s="10">
        <v>590</v>
      </c>
    </row>
    <row r="5869" spans="1:21" x14ac:dyDescent="0.35">
      <c r="A5869" t="s">
        <v>15</v>
      </c>
      <c r="B5869" t="s">
        <v>20</v>
      </c>
      <c r="C5869" t="s">
        <v>21</v>
      </c>
      <c r="D5869">
        <v>203371</v>
      </c>
      <c r="E5869">
        <v>21641</v>
      </c>
      <c r="F5869">
        <v>20554</v>
      </c>
      <c r="G5869">
        <v>-175847</v>
      </c>
      <c r="H5869">
        <v>69719</v>
      </c>
      <c r="I5869">
        <v>71989</v>
      </c>
      <c r="J5869">
        <v>2157</v>
      </c>
      <c r="K5869">
        <v>795353</v>
      </c>
      <c r="L5869">
        <v>247553</v>
      </c>
      <c r="M5869">
        <v>-172893</v>
      </c>
      <c r="N5869">
        <v>177432</v>
      </c>
      <c r="O5869" t="s">
        <v>5887</v>
      </c>
      <c r="P5869" s="9">
        <v>296982</v>
      </c>
      <c r="Q5869" s="9">
        <v>14719</v>
      </c>
      <c r="R5869" s="9">
        <v>311701</v>
      </c>
      <c r="S5869" s="9">
        <v>-178325</v>
      </c>
      <c r="T5869" s="10">
        <v>100403</v>
      </c>
      <c r="U5869" s="10">
        <v>1535</v>
      </c>
    </row>
    <row r="5870" spans="1:21" x14ac:dyDescent="0.35">
      <c r="A5870" t="s">
        <v>15</v>
      </c>
      <c r="B5870" t="s">
        <v>16</v>
      </c>
      <c r="C5870" t="s">
        <v>21</v>
      </c>
      <c r="D5870">
        <v>279697</v>
      </c>
      <c r="E5870">
        <v>50195</v>
      </c>
      <c r="F5870">
        <v>62310</v>
      </c>
      <c r="G5870">
        <v>-273287</v>
      </c>
      <c r="H5870">
        <v>118915</v>
      </c>
      <c r="I5870">
        <v>109325</v>
      </c>
      <c r="J5870">
        <v>2719</v>
      </c>
      <c r="K5870">
        <v>1105923</v>
      </c>
      <c r="L5870">
        <v>117304</v>
      </c>
      <c r="M5870">
        <v>-148358</v>
      </c>
      <c r="N5870">
        <v>195911</v>
      </c>
      <c r="O5870" t="s">
        <v>5888</v>
      </c>
      <c r="P5870" s="9">
        <v>208057</v>
      </c>
      <c r="Q5870" s="9">
        <v>21252</v>
      </c>
      <c r="R5870" s="9">
        <v>229309</v>
      </c>
      <c r="S5870" s="9">
        <v>-82199</v>
      </c>
      <c r="T5870" s="10">
        <v>97499</v>
      </c>
      <c r="U5870" s="10">
        <v>1985</v>
      </c>
    </row>
    <row r="5871" spans="1:21" x14ac:dyDescent="0.35">
      <c r="A5871" t="s">
        <v>15</v>
      </c>
      <c r="B5871" t="s">
        <v>16</v>
      </c>
      <c r="C5871" t="s">
        <v>17</v>
      </c>
      <c r="D5871">
        <v>191959</v>
      </c>
      <c r="E5871">
        <v>27399</v>
      </c>
      <c r="F5871">
        <v>29067</v>
      </c>
      <c r="G5871">
        <v>-156902</v>
      </c>
      <c r="H5871">
        <v>91523</v>
      </c>
      <c r="I5871">
        <v>88312</v>
      </c>
      <c r="J5871">
        <v>2144</v>
      </c>
      <c r="K5871">
        <v>488096</v>
      </c>
      <c r="L5871">
        <v>149266</v>
      </c>
      <c r="M5871">
        <v>-56731</v>
      </c>
      <c r="N5871">
        <v>78451</v>
      </c>
      <c r="O5871" t="s">
        <v>5889</v>
      </c>
      <c r="P5871" s="9">
        <v>305311</v>
      </c>
      <c r="Q5871" s="9">
        <v>31417</v>
      </c>
      <c r="R5871" s="9">
        <v>336728</v>
      </c>
      <c r="S5871" s="9">
        <v>-70242</v>
      </c>
      <c r="T5871" s="10">
        <v>108166</v>
      </c>
      <c r="U5871" s="10">
        <v>2227</v>
      </c>
    </row>
    <row r="5872" spans="1:21" x14ac:dyDescent="0.35">
      <c r="A5872" t="s">
        <v>15</v>
      </c>
      <c r="B5872" t="s">
        <v>16</v>
      </c>
      <c r="C5872" t="s">
        <v>21</v>
      </c>
      <c r="D5872">
        <v>174909</v>
      </c>
      <c r="E5872">
        <v>31875</v>
      </c>
      <c r="F5872">
        <v>29859</v>
      </c>
      <c r="G5872">
        <v>-161112</v>
      </c>
      <c r="H5872">
        <v>75531</v>
      </c>
      <c r="I5872">
        <v>78391</v>
      </c>
      <c r="J5872">
        <v>1246</v>
      </c>
      <c r="K5872">
        <v>620571</v>
      </c>
      <c r="L5872">
        <v>302100</v>
      </c>
      <c r="M5872">
        <v>-77138</v>
      </c>
      <c r="N5872">
        <v>64894</v>
      </c>
      <c r="O5872" t="s">
        <v>5890</v>
      </c>
      <c r="P5872" s="9">
        <v>225507</v>
      </c>
      <c r="Q5872" s="9">
        <v>13105</v>
      </c>
      <c r="R5872" s="9">
        <v>238612</v>
      </c>
      <c r="S5872" s="9">
        <v>-112751</v>
      </c>
      <c r="T5872" s="10">
        <v>94396</v>
      </c>
      <c r="U5872" s="10">
        <v>1748</v>
      </c>
    </row>
    <row r="5873" spans="1:21" x14ac:dyDescent="0.35">
      <c r="A5873" t="s">
        <v>15</v>
      </c>
      <c r="B5873" t="s">
        <v>16</v>
      </c>
      <c r="C5873" t="s">
        <v>21</v>
      </c>
      <c r="D5873">
        <v>289234</v>
      </c>
      <c r="E5873">
        <v>24028</v>
      </c>
      <c r="F5873">
        <v>37048</v>
      </c>
      <c r="G5873">
        <v>-248190</v>
      </c>
      <c r="H5873">
        <v>102120</v>
      </c>
      <c r="I5873">
        <v>106688</v>
      </c>
      <c r="J5873">
        <v>3007</v>
      </c>
      <c r="K5873">
        <v>838520</v>
      </c>
      <c r="L5873">
        <v>251553</v>
      </c>
      <c r="M5873">
        <v>-90196</v>
      </c>
      <c r="N5873">
        <v>225253</v>
      </c>
      <c r="O5873" t="s">
        <v>5891</v>
      </c>
      <c r="P5873" s="9">
        <v>263302</v>
      </c>
      <c r="Q5873" s="9">
        <v>18151</v>
      </c>
      <c r="R5873" s="9">
        <v>281453</v>
      </c>
      <c r="S5873" s="9">
        <v>-131837</v>
      </c>
      <c r="T5873" s="10">
        <v>91895</v>
      </c>
      <c r="U5873" s="10">
        <v>1518</v>
      </c>
    </row>
    <row r="5874" spans="1:21" x14ac:dyDescent="0.35">
      <c r="A5874" t="s">
        <v>15</v>
      </c>
      <c r="B5874" t="s">
        <v>20</v>
      </c>
      <c r="C5874" t="s">
        <v>21</v>
      </c>
      <c r="D5874">
        <v>187264</v>
      </c>
      <c r="E5874">
        <v>13065</v>
      </c>
      <c r="F5874">
        <v>23727</v>
      </c>
      <c r="G5874">
        <v>-162285</v>
      </c>
      <c r="H5874">
        <v>61771</v>
      </c>
      <c r="I5874">
        <v>56076</v>
      </c>
      <c r="J5874">
        <v>1236</v>
      </c>
      <c r="K5874">
        <v>571503</v>
      </c>
      <c r="L5874">
        <v>186112</v>
      </c>
      <c r="M5874">
        <v>-173221</v>
      </c>
      <c r="N5874">
        <v>153815</v>
      </c>
      <c r="O5874" t="s">
        <v>5892</v>
      </c>
      <c r="P5874" s="9">
        <v>167405</v>
      </c>
      <c r="Q5874" s="9">
        <v>16745</v>
      </c>
      <c r="R5874" s="9">
        <v>184150</v>
      </c>
      <c r="S5874" s="9">
        <v>-92601</v>
      </c>
      <c r="T5874" s="10">
        <v>69664</v>
      </c>
      <c r="U5874" s="10">
        <v>1106</v>
      </c>
    </row>
    <row r="5875" spans="1:21" x14ac:dyDescent="0.35">
      <c r="A5875" t="s">
        <v>15</v>
      </c>
      <c r="B5875" t="s">
        <v>20</v>
      </c>
      <c r="C5875" t="s">
        <v>21</v>
      </c>
      <c r="D5875">
        <v>298451</v>
      </c>
      <c r="E5875">
        <v>37174</v>
      </c>
      <c r="F5875">
        <v>59185</v>
      </c>
      <c r="G5875">
        <v>-266252</v>
      </c>
      <c r="H5875">
        <v>128558</v>
      </c>
      <c r="I5875">
        <v>127857</v>
      </c>
      <c r="J5875">
        <v>2417</v>
      </c>
      <c r="K5875">
        <v>1095324</v>
      </c>
      <c r="L5875">
        <v>448113</v>
      </c>
      <c r="M5875">
        <v>-196713</v>
      </c>
      <c r="N5875">
        <v>199125</v>
      </c>
      <c r="O5875" t="s">
        <v>5893</v>
      </c>
      <c r="P5875" s="9">
        <v>169923</v>
      </c>
      <c r="Q5875" s="9">
        <v>32083</v>
      </c>
      <c r="R5875" s="9">
        <v>202006</v>
      </c>
      <c r="S5875" s="9">
        <v>-112502</v>
      </c>
      <c r="T5875" s="10">
        <v>81914</v>
      </c>
      <c r="U5875" s="10">
        <v>1987</v>
      </c>
    </row>
    <row r="5876" spans="1:21" x14ac:dyDescent="0.35">
      <c r="A5876" t="s">
        <v>15</v>
      </c>
      <c r="B5876" t="s">
        <v>16</v>
      </c>
      <c r="C5876" t="s">
        <v>21</v>
      </c>
      <c r="D5876">
        <v>282293</v>
      </c>
      <c r="E5876">
        <v>32874</v>
      </c>
      <c r="F5876">
        <v>62853</v>
      </c>
      <c r="G5876">
        <v>-282194</v>
      </c>
      <c r="H5876">
        <v>95826</v>
      </c>
      <c r="I5876">
        <v>88097</v>
      </c>
      <c r="J5876">
        <v>1924</v>
      </c>
      <c r="K5876">
        <v>766005</v>
      </c>
      <c r="L5876">
        <v>329879</v>
      </c>
      <c r="M5876">
        <v>-294359</v>
      </c>
      <c r="N5876">
        <v>212947</v>
      </c>
      <c r="O5876" t="s">
        <v>5894</v>
      </c>
      <c r="P5876" s="9">
        <v>199220</v>
      </c>
      <c r="Q5876" s="9">
        <v>26208</v>
      </c>
      <c r="R5876" s="9">
        <v>225428</v>
      </c>
      <c r="S5876" s="9">
        <v>-94878</v>
      </c>
      <c r="T5876" s="10">
        <v>101121</v>
      </c>
      <c r="U5876" s="10">
        <v>1765</v>
      </c>
    </row>
    <row r="5877" spans="1:21" x14ac:dyDescent="0.35">
      <c r="A5877" t="s">
        <v>15</v>
      </c>
      <c r="B5877" t="s">
        <v>20</v>
      </c>
      <c r="C5877" t="s">
        <v>21</v>
      </c>
      <c r="D5877">
        <v>297908</v>
      </c>
      <c r="E5877">
        <v>56579</v>
      </c>
      <c r="F5877">
        <v>60605</v>
      </c>
      <c r="G5877">
        <v>-281233</v>
      </c>
      <c r="H5877">
        <v>133859</v>
      </c>
      <c r="I5877">
        <v>129974</v>
      </c>
      <c r="J5877">
        <v>3063</v>
      </c>
      <c r="K5877">
        <v>1064885</v>
      </c>
      <c r="L5877">
        <v>218338</v>
      </c>
      <c r="M5877">
        <v>-344306</v>
      </c>
      <c r="N5877">
        <v>264590</v>
      </c>
      <c r="O5877" t="s">
        <v>5895</v>
      </c>
      <c r="P5877" s="9">
        <v>205400</v>
      </c>
      <c r="Q5877" s="9">
        <v>36168</v>
      </c>
      <c r="R5877" s="9">
        <v>241568</v>
      </c>
      <c r="S5877" s="9">
        <v>-135866</v>
      </c>
      <c r="T5877" s="10">
        <v>85356</v>
      </c>
      <c r="U5877" s="10">
        <v>940</v>
      </c>
    </row>
    <row r="5878" spans="1:21" x14ac:dyDescent="0.35">
      <c r="A5878" t="s">
        <v>15</v>
      </c>
      <c r="B5878" t="s">
        <v>20</v>
      </c>
      <c r="C5878" t="s">
        <v>21</v>
      </c>
      <c r="D5878">
        <v>270487</v>
      </c>
      <c r="E5878">
        <v>24267</v>
      </c>
      <c r="F5878">
        <v>29966</v>
      </c>
      <c r="G5878">
        <v>-252542</v>
      </c>
      <c r="H5878">
        <v>72178</v>
      </c>
      <c r="I5878">
        <v>73630</v>
      </c>
      <c r="J5878">
        <v>1890</v>
      </c>
      <c r="K5878">
        <v>711300</v>
      </c>
      <c r="L5878">
        <v>144213</v>
      </c>
      <c r="M5878">
        <v>-236275</v>
      </c>
      <c r="N5878">
        <v>116847</v>
      </c>
      <c r="O5878" t="s">
        <v>5896</v>
      </c>
      <c r="P5878" s="9">
        <v>154912</v>
      </c>
      <c r="Q5878" s="9">
        <v>13231</v>
      </c>
      <c r="R5878" s="9">
        <v>168143</v>
      </c>
      <c r="S5878" s="9">
        <v>-56656</v>
      </c>
      <c r="T5878" s="10">
        <v>44063</v>
      </c>
      <c r="U5878" s="10">
        <v>1111</v>
      </c>
    </row>
    <row r="5879" spans="1:21" x14ac:dyDescent="0.35">
      <c r="A5879" t="s">
        <v>15</v>
      </c>
      <c r="B5879" t="s">
        <v>16</v>
      </c>
      <c r="C5879" t="s">
        <v>17</v>
      </c>
      <c r="D5879">
        <v>212412</v>
      </c>
      <c r="E5879">
        <v>29394</v>
      </c>
      <c r="F5879">
        <v>46744</v>
      </c>
      <c r="G5879">
        <v>-198739</v>
      </c>
      <c r="H5879">
        <v>89811</v>
      </c>
      <c r="I5879">
        <v>89547</v>
      </c>
      <c r="J5879">
        <v>1050</v>
      </c>
      <c r="K5879">
        <v>639579</v>
      </c>
      <c r="L5879">
        <v>287907</v>
      </c>
      <c r="M5879">
        <v>-162755</v>
      </c>
      <c r="N5879">
        <v>143606</v>
      </c>
      <c r="O5879" t="s">
        <v>5897</v>
      </c>
      <c r="P5879" s="9">
        <v>229097</v>
      </c>
      <c r="Q5879" s="9">
        <v>21721</v>
      </c>
      <c r="R5879" s="9">
        <v>250818</v>
      </c>
      <c r="S5879" s="9">
        <v>-61970</v>
      </c>
      <c r="T5879" s="10">
        <v>99756</v>
      </c>
      <c r="U5879" s="10">
        <v>2600</v>
      </c>
    </row>
    <row r="5880" spans="1:21" x14ac:dyDescent="0.35">
      <c r="A5880" t="s">
        <v>15</v>
      </c>
      <c r="B5880" t="s">
        <v>16</v>
      </c>
      <c r="C5880" t="s">
        <v>17</v>
      </c>
      <c r="D5880">
        <v>277456</v>
      </c>
      <c r="E5880">
        <v>35045</v>
      </c>
      <c r="F5880">
        <v>63027</v>
      </c>
      <c r="G5880">
        <v>-243345</v>
      </c>
      <c r="H5880">
        <v>132183</v>
      </c>
      <c r="I5880">
        <v>130744</v>
      </c>
      <c r="J5880">
        <v>3061</v>
      </c>
      <c r="K5880">
        <v>873793</v>
      </c>
      <c r="L5880">
        <v>177572</v>
      </c>
      <c r="M5880">
        <v>-156705</v>
      </c>
      <c r="N5880">
        <v>102523</v>
      </c>
      <c r="O5880" t="s">
        <v>5898</v>
      </c>
      <c r="P5880" s="9">
        <v>165140</v>
      </c>
      <c r="Q5880" s="9">
        <v>8839</v>
      </c>
      <c r="R5880" s="9">
        <v>173979</v>
      </c>
      <c r="S5880" s="9">
        <v>-96165</v>
      </c>
      <c r="T5880" s="10">
        <v>53773</v>
      </c>
      <c r="U5880" s="10">
        <v>935</v>
      </c>
    </row>
    <row r="5881" spans="1:21" x14ac:dyDescent="0.35">
      <c r="A5881" t="s">
        <v>15</v>
      </c>
      <c r="B5881" t="s">
        <v>20</v>
      </c>
      <c r="C5881" t="s">
        <v>21</v>
      </c>
      <c r="D5881">
        <v>285882</v>
      </c>
      <c r="E5881">
        <v>23536</v>
      </c>
      <c r="F5881">
        <v>59219</v>
      </c>
      <c r="G5881">
        <v>-285618</v>
      </c>
      <c r="H5881">
        <v>83019</v>
      </c>
      <c r="I5881">
        <v>77035</v>
      </c>
      <c r="J5881">
        <v>1091</v>
      </c>
      <c r="K5881">
        <v>1124605</v>
      </c>
      <c r="L5881">
        <v>179316</v>
      </c>
      <c r="M5881">
        <v>-192966</v>
      </c>
      <c r="N5881">
        <v>139559</v>
      </c>
      <c r="O5881" t="s">
        <v>5899</v>
      </c>
      <c r="P5881" s="9">
        <v>259177</v>
      </c>
      <c r="Q5881" s="9">
        <v>15843</v>
      </c>
      <c r="R5881" s="9">
        <v>275020</v>
      </c>
      <c r="S5881" s="9">
        <v>-97245</v>
      </c>
      <c r="T5881" s="10">
        <v>101532</v>
      </c>
      <c r="U5881" s="10">
        <v>2158</v>
      </c>
    </row>
    <row r="5882" spans="1:21" x14ac:dyDescent="0.35">
      <c r="A5882" t="s">
        <v>15</v>
      </c>
      <c r="B5882" t="s">
        <v>16</v>
      </c>
      <c r="C5882" t="s">
        <v>17</v>
      </c>
      <c r="D5882">
        <v>289648</v>
      </c>
      <c r="E5882">
        <v>46185</v>
      </c>
      <c r="F5882">
        <v>55557</v>
      </c>
      <c r="G5882">
        <v>-270511</v>
      </c>
      <c r="H5882">
        <v>120879</v>
      </c>
      <c r="I5882">
        <v>116425</v>
      </c>
      <c r="J5882">
        <v>2948</v>
      </c>
      <c r="K5882">
        <v>757058</v>
      </c>
      <c r="L5882">
        <v>134981</v>
      </c>
      <c r="M5882">
        <v>-116115</v>
      </c>
      <c r="N5882">
        <v>161554</v>
      </c>
      <c r="O5882" t="s">
        <v>5900</v>
      </c>
      <c r="P5882" s="9">
        <v>205075</v>
      </c>
      <c r="Q5882" s="9">
        <v>31481</v>
      </c>
      <c r="R5882" s="9">
        <v>236556</v>
      </c>
      <c r="S5882" s="9">
        <v>-100206</v>
      </c>
      <c r="T5882" s="10">
        <v>92739</v>
      </c>
      <c r="U5882" s="10">
        <v>1032</v>
      </c>
    </row>
    <row r="5883" spans="1:21" x14ac:dyDescent="0.35">
      <c r="A5883" t="s">
        <v>15</v>
      </c>
      <c r="B5883" t="s">
        <v>20</v>
      </c>
      <c r="C5883" t="s">
        <v>17</v>
      </c>
      <c r="D5883">
        <v>272543</v>
      </c>
      <c r="E5883">
        <v>31366</v>
      </c>
      <c r="F5883">
        <v>54703</v>
      </c>
      <c r="G5883">
        <v>-255428</v>
      </c>
      <c r="H5883">
        <v>103184</v>
      </c>
      <c r="I5883">
        <v>96057</v>
      </c>
      <c r="J5883">
        <v>2562</v>
      </c>
      <c r="K5883">
        <v>749565</v>
      </c>
      <c r="L5883">
        <v>191802</v>
      </c>
      <c r="M5883">
        <v>-243970</v>
      </c>
      <c r="N5883">
        <v>159197</v>
      </c>
      <c r="O5883" t="s">
        <v>5901</v>
      </c>
      <c r="P5883" s="9">
        <v>179166</v>
      </c>
      <c r="Q5883" s="9">
        <v>20788</v>
      </c>
      <c r="R5883" s="9">
        <v>199954</v>
      </c>
      <c r="S5883" s="9">
        <v>-42292</v>
      </c>
      <c r="T5883" s="10">
        <v>65501</v>
      </c>
      <c r="U5883" s="10">
        <v>1585</v>
      </c>
    </row>
    <row r="5884" spans="1:21" x14ac:dyDescent="0.35">
      <c r="A5884" t="s">
        <v>15</v>
      </c>
      <c r="B5884" t="s">
        <v>20</v>
      </c>
      <c r="C5884" t="s">
        <v>17</v>
      </c>
      <c r="D5884">
        <v>168688</v>
      </c>
      <c r="E5884">
        <v>18766</v>
      </c>
      <c r="F5884">
        <v>28373</v>
      </c>
      <c r="G5884">
        <v>-156570</v>
      </c>
      <c r="H5884">
        <v>59257</v>
      </c>
      <c r="I5884">
        <v>61960</v>
      </c>
      <c r="J5884">
        <v>1695</v>
      </c>
      <c r="K5884">
        <v>390004</v>
      </c>
      <c r="L5884">
        <v>105378</v>
      </c>
      <c r="M5884">
        <v>-142091</v>
      </c>
      <c r="N5884">
        <v>120365</v>
      </c>
      <c r="O5884" t="s">
        <v>5902</v>
      </c>
      <c r="P5884" s="9">
        <v>175844</v>
      </c>
      <c r="Q5884" s="9">
        <v>15708</v>
      </c>
      <c r="R5884" s="9">
        <v>191552</v>
      </c>
      <c r="S5884" s="9">
        <v>-87399</v>
      </c>
      <c r="T5884" s="10">
        <v>74910</v>
      </c>
      <c r="U5884" s="10">
        <v>2085</v>
      </c>
    </row>
    <row r="5885" spans="1:21" x14ac:dyDescent="0.35">
      <c r="A5885" t="s">
        <v>15</v>
      </c>
      <c r="B5885" t="s">
        <v>16</v>
      </c>
      <c r="C5885" t="s">
        <v>21</v>
      </c>
      <c r="D5885">
        <v>270217</v>
      </c>
      <c r="E5885">
        <v>48435</v>
      </c>
      <c r="F5885">
        <v>56495</v>
      </c>
      <c r="G5885">
        <v>-264444</v>
      </c>
      <c r="H5885">
        <v>110703</v>
      </c>
      <c r="I5885">
        <v>101306</v>
      </c>
      <c r="J5885">
        <v>3005</v>
      </c>
      <c r="K5885">
        <v>754313</v>
      </c>
      <c r="L5885">
        <v>84750</v>
      </c>
      <c r="M5885">
        <v>-255791</v>
      </c>
      <c r="N5885">
        <v>177143</v>
      </c>
      <c r="O5885" t="s">
        <v>5903</v>
      </c>
      <c r="P5885" s="9">
        <v>307937</v>
      </c>
      <c r="Q5885" s="9">
        <v>49129</v>
      </c>
      <c r="R5885" s="9">
        <v>357066</v>
      </c>
      <c r="S5885" s="9">
        <v>-172197</v>
      </c>
      <c r="T5885" s="10">
        <v>137048</v>
      </c>
      <c r="U5885" s="10">
        <v>1897</v>
      </c>
    </row>
    <row r="5886" spans="1:21" x14ac:dyDescent="0.35">
      <c r="A5886" t="s">
        <v>15</v>
      </c>
      <c r="B5886" t="s">
        <v>16</v>
      </c>
      <c r="C5886" t="s">
        <v>21</v>
      </c>
      <c r="D5886">
        <v>199931</v>
      </c>
      <c r="E5886">
        <v>26660</v>
      </c>
      <c r="F5886">
        <v>41511</v>
      </c>
      <c r="G5886">
        <v>-164223</v>
      </c>
      <c r="H5886">
        <v>103879</v>
      </c>
      <c r="I5886">
        <v>101125</v>
      </c>
      <c r="J5886">
        <v>1637</v>
      </c>
      <c r="K5886">
        <v>672596</v>
      </c>
      <c r="L5886">
        <v>142065</v>
      </c>
      <c r="M5886">
        <v>-103913</v>
      </c>
      <c r="N5886">
        <v>177375</v>
      </c>
      <c r="O5886" t="s">
        <v>5904</v>
      </c>
      <c r="P5886" s="9">
        <v>240690</v>
      </c>
      <c r="Q5886" s="9">
        <v>43951</v>
      </c>
      <c r="R5886" s="9">
        <v>284641</v>
      </c>
      <c r="S5886" s="9">
        <v>-60306</v>
      </c>
      <c r="T5886" s="10">
        <v>136767</v>
      </c>
      <c r="U5886" s="10">
        <v>2116</v>
      </c>
    </row>
    <row r="5887" spans="1:21" x14ac:dyDescent="0.35">
      <c r="A5887" t="s">
        <v>15</v>
      </c>
      <c r="B5887" t="s">
        <v>16</v>
      </c>
      <c r="C5887" t="s">
        <v>21</v>
      </c>
      <c r="D5887">
        <v>184369</v>
      </c>
      <c r="E5887">
        <v>29556</v>
      </c>
      <c r="F5887">
        <v>38782</v>
      </c>
      <c r="G5887">
        <v>-152729</v>
      </c>
      <c r="H5887">
        <v>99978</v>
      </c>
      <c r="I5887">
        <v>97909</v>
      </c>
      <c r="J5887">
        <v>1285</v>
      </c>
      <c r="K5887">
        <v>567844</v>
      </c>
      <c r="L5887">
        <v>199761</v>
      </c>
      <c r="M5887">
        <v>-94102</v>
      </c>
      <c r="N5887">
        <v>61051</v>
      </c>
      <c r="O5887" t="s">
        <v>5905</v>
      </c>
      <c r="P5887" s="9">
        <v>263858</v>
      </c>
      <c r="Q5887" s="9">
        <v>38105</v>
      </c>
      <c r="R5887" s="9">
        <v>301963</v>
      </c>
      <c r="S5887" s="9">
        <v>-151873</v>
      </c>
      <c r="T5887" s="10">
        <v>96037</v>
      </c>
      <c r="U5887" s="10">
        <v>1296</v>
      </c>
    </row>
    <row r="5888" spans="1:21" x14ac:dyDescent="0.35">
      <c r="A5888" t="s">
        <v>15</v>
      </c>
      <c r="B5888" t="s">
        <v>20</v>
      </c>
      <c r="C5888" t="s">
        <v>21</v>
      </c>
      <c r="D5888">
        <v>278912</v>
      </c>
      <c r="E5888">
        <v>41720</v>
      </c>
      <c r="F5888">
        <v>53019</v>
      </c>
      <c r="G5888">
        <v>-252095</v>
      </c>
      <c r="H5888">
        <v>121556</v>
      </c>
      <c r="I5888">
        <v>110773</v>
      </c>
      <c r="J5888">
        <v>2716</v>
      </c>
      <c r="K5888">
        <v>1027894</v>
      </c>
      <c r="L5888">
        <v>457657</v>
      </c>
      <c r="M5888">
        <v>-242891</v>
      </c>
      <c r="N5888">
        <v>231448</v>
      </c>
      <c r="O5888" t="s">
        <v>5906</v>
      </c>
      <c r="P5888" s="9">
        <v>228929</v>
      </c>
      <c r="Q5888" s="9">
        <v>33890</v>
      </c>
      <c r="R5888" s="9">
        <v>262819</v>
      </c>
      <c r="S5888" s="9">
        <v>-111920</v>
      </c>
      <c r="T5888" s="10">
        <v>130632</v>
      </c>
      <c r="U5888" s="10">
        <v>1902</v>
      </c>
    </row>
    <row r="5889" spans="1:21" x14ac:dyDescent="0.35">
      <c r="A5889" t="s">
        <v>15</v>
      </c>
      <c r="B5889" t="s">
        <v>20</v>
      </c>
      <c r="C5889" t="s">
        <v>21</v>
      </c>
      <c r="D5889">
        <v>240040</v>
      </c>
      <c r="E5889">
        <v>12654</v>
      </c>
      <c r="F5889">
        <v>36420</v>
      </c>
      <c r="G5889">
        <v>-236213</v>
      </c>
      <c r="H5889">
        <v>52901</v>
      </c>
      <c r="I5889">
        <v>55015</v>
      </c>
      <c r="J5889">
        <v>934</v>
      </c>
      <c r="K5889">
        <v>715245</v>
      </c>
      <c r="L5889">
        <v>151451</v>
      </c>
      <c r="M5889">
        <v>-190420</v>
      </c>
      <c r="N5889">
        <v>112076</v>
      </c>
      <c r="O5889" t="s">
        <v>5907</v>
      </c>
      <c r="P5889" s="9">
        <v>283476</v>
      </c>
      <c r="Q5889" s="9">
        <v>52892</v>
      </c>
      <c r="R5889" s="9">
        <v>336368</v>
      </c>
      <c r="S5889" s="9">
        <v>-109172</v>
      </c>
      <c r="T5889" s="10">
        <v>129523</v>
      </c>
      <c r="U5889" s="10">
        <v>3446</v>
      </c>
    </row>
    <row r="5890" spans="1:21" x14ac:dyDescent="0.35">
      <c r="A5890" t="s">
        <v>15</v>
      </c>
      <c r="B5890" t="s">
        <v>20</v>
      </c>
      <c r="C5890" t="s">
        <v>17</v>
      </c>
      <c r="D5890">
        <v>173889</v>
      </c>
      <c r="E5890">
        <v>10884</v>
      </c>
      <c r="F5890">
        <v>26041</v>
      </c>
      <c r="G5890">
        <v>-140359</v>
      </c>
      <c r="H5890">
        <v>70455</v>
      </c>
      <c r="I5890">
        <v>72075</v>
      </c>
      <c r="J5890">
        <v>1664</v>
      </c>
      <c r="K5890">
        <v>630022</v>
      </c>
      <c r="L5890">
        <v>237444</v>
      </c>
      <c r="M5890">
        <v>-183651</v>
      </c>
      <c r="N5890">
        <v>150403</v>
      </c>
      <c r="O5890" t="s">
        <v>5908</v>
      </c>
      <c r="P5890" s="9">
        <v>248780</v>
      </c>
      <c r="Q5890" s="9">
        <v>33860</v>
      </c>
      <c r="R5890" s="9">
        <v>282640</v>
      </c>
      <c r="S5890" s="9">
        <v>-101446</v>
      </c>
      <c r="T5890" s="10">
        <v>81897</v>
      </c>
      <c r="U5890" s="10">
        <v>2190</v>
      </c>
    </row>
    <row r="5891" spans="1:21" x14ac:dyDescent="0.35">
      <c r="A5891" t="s">
        <v>15</v>
      </c>
      <c r="B5891" t="s">
        <v>20</v>
      </c>
      <c r="C5891" t="s">
        <v>21</v>
      </c>
      <c r="D5891">
        <v>168029</v>
      </c>
      <c r="E5891">
        <v>10190</v>
      </c>
      <c r="F5891">
        <v>35956</v>
      </c>
      <c r="G5891">
        <v>-161477</v>
      </c>
      <c r="H5891">
        <v>52698</v>
      </c>
      <c r="I5891">
        <v>52538</v>
      </c>
      <c r="J5891">
        <v>1166</v>
      </c>
      <c r="K5891">
        <v>603512</v>
      </c>
      <c r="L5891">
        <v>62581</v>
      </c>
      <c r="M5891">
        <v>-77471</v>
      </c>
      <c r="N5891">
        <v>51734</v>
      </c>
      <c r="O5891" t="s">
        <v>5909</v>
      </c>
      <c r="P5891" s="9">
        <v>156489</v>
      </c>
      <c r="Q5891" s="9">
        <v>23856</v>
      </c>
      <c r="R5891" s="9">
        <v>180345</v>
      </c>
      <c r="S5891" s="9">
        <v>-58493</v>
      </c>
      <c r="T5891" s="10">
        <v>82871</v>
      </c>
      <c r="U5891" s="10">
        <v>1787</v>
      </c>
    </row>
    <row r="5892" spans="1:21" x14ac:dyDescent="0.35">
      <c r="A5892" t="s">
        <v>15</v>
      </c>
      <c r="B5892" t="s">
        <v>20</v>
      </c>
      <c r="C5892" t="s">
        <v>21</v>
      </c>
      <c r="D5892">
        <v>182407</v>
      </c>
      <c r="E5892">
        <v>11577</v>
      </c>
      <c r="F5892">
        <v>44047</v>
      </c>
      <c r="G5892">
        <v>-169727</v>
      </c>
      <c r="H5892">
        <v>68304</v>
      </c>
      <c r="I5892">
        <v>61794</v>
      </c>
      <c r="J5892">
        <v>1730</v>
      </c>
      <c r="K5892">
        <v>481568</v>
      </c>
      <c r="L5892">
        <v>201954</v>
      </c>
      <c r="M5892">
        <v>-182868</v>
      </c>
      <c r="N5892">
        <v>87751</v>
      </c>
      <c r="O5892" t="s">
        <v>5910</v>
      </c>
      <c r="P5892" s="9">
        <v>147844</v>
      </c>
      <c r="Q5892" s="9">
        <v>22990</v>
      </c>
      <c r="R5892" s="9">
        <v>170834</v>
      </c>
      <c r="S5892" s="9">
        <v>-56872</v>
      </c>
      <c r="T5892" s="10">
        <v>38343</v>
      </c>
      <c r="U5892" s="10">
        <v>781</v>
      </c>
    </row>
    <row r="5893" spans="1:21" x14ac:dyDescent="0.35">
      <c r="A5893" t="s">
        <v>15</v>
      </c>
      <c r="B5893" t="s">
        <v>20</v>
      </c>
      <c r="C5893" t="s">
        <v>17</v>
      </c>
      <c r="D5893">
        <v>284889</v>
      </c>
      <c r="E5893">
        <v>41123</v>
      </c>
      <c r="F5893">
        <v>64453</v>
      </c>
      <c r="G5893">
        <v>-240728</v>
      </c>
      <c r="H5893">
        <v>149737</v>
      </c>
      <c r="I5893">
        <v>145255</v>
      </c>
      <c r="J5893">
        <v>2635</v>
      </c>
      <c r="K5893">
        <v>950100</v>
      </c>
      <c r="L5893">
        <v>335368</v>
      </c>
      <c r="M5893">
        <v>-173553</v>
      </c>
      <c r="N5893">
        <v>130339</v>
      </c>
      <c r="O5893" t="s">
        <v>5911</v>
      </c>
      <c r="P5893" s="9">
        <v>246694</v>
      </c>
      <c r="Q5893" s="9">
        <v>50423</v>
      </c>
      <c r="R5893" s="9">
        <v>297117</v>
      </c>
      <c r="S5893" s="9">
        <v>-75110</v>
      </c>
      <c r="T5893" s="10">
        <v>80149</v>
      </c>
      <c r="U5893" s="10">
        <v>2164</v>
      </c>
    </row>
    <row r="5894" spans="1:21" x14ac:dyDescent="0.35">
      <c r="A5894" t="s">
        <v>15</v>
      </c>
      <c r="B5894" t="s">
        <v>16</v>
      </c>
      <c r="C5894" t="s">
        <v>21</v>
      </c>
      <c r="D5894">
        <v>251361</v>
      </c>
      <c r="E5894">
        <v>31364</v>
      </c>
      <c r="F5894">
        <v>41128</v>
      </c>
      <c r="G5894">
        <v>-202798</v>
      </c>
      <c r="H5894">
        <v>121055</v>
      </c>
      <c r="I5894">
        <v>117657</v>
      </c>
      <c r="J5894">
        <v>2772</v>
      </c>
      <c r="K5894">
        <v>713544</v>
      </c>
      <c r="L5894">
        <v>92425</v>
      </c>
      <c r="M5894">
        <v>-242140</v>
      </c>
      <c r="N5894">
        <v>160326</v>
      </c>
      <c r="O5894" t="s">
        <v>5912</v>
      </c>
      <c r="P5894" s="9">
        <v>184385</v>
      </c>
      <c r="Q5894" s="9">
        <v>19813</v>
      </c>
      <c r="R5894" s="9">
        <v>204198</v>
      </c>
      <c r="S5894" s="9">
        <v>-61273</v>
      </c>
      <c r="T5894" s="10">
        <v>47539</v>
      </c>
      <c r="U5894" s="10">
        <v>1244</v>
      </c>
    </row>
    <row r="5895" spans="1:21" x14ac:dyDescent="0.35">
      <c r="A5895" t="s">
        <v>15</v>
      </c>
      <c r="B5895" t="s">
        <v>16</v>
      </c>
      <c r="C5895" t="s">
        <v>21</v>
      </c>
      <c r="D5895">
        <v>240485</v>
      </c>
      <c r="E5895">
        <v>22141</v>
      </c>
      <c r="F5895">
        <v>37441</v>
      </c>
      <c r="G5895">
        <v>-233034</v>
      </c>
      <c r="H5895">
        <v>67033</v>
      </c>
      <c r="I5895">
        <v>63781</v>
      </c>
      <c r="J5895">
        <v>1406</v>
      </c>
      <c r="K5895">
        <v>635397</v>
      </c>
      <c r="L5895">
        <v>102791</v>
      </c>
      <c r="M5895">
        <v>-70825</v>
      </c>
      <c r="N5895">
        <v>166287</v>
      </c>
      <c r="O5895" t="s">
        <v>5913</v>
      </c>
      <c r="P5895" s="9">
        <v>241758</v>
      </c>
      <c r="Q5895" s="9">
        <v>44153</v>
      </c>
      <c r="R5895" s="9">
        <v>285911</v>
      </c>
      <c r="S5895" s="9">
        <v>-103829</v>
      </c>
      <c r="T5895" s="10">
        <v>123161</v>
      </c>
      <c r="U5895" s="10">
        <v>3258</v>
      </c>
    </row>
    <row r="5896" spans="1:21" x14ac:dyDescent="0.35">
      <c r="A5896" t="s">
        <v>15</v>
      </c>
      <c r="B5896" t="s">
        <v>16</v>
      </c>
      <c r="C5896" t="s">
        <v>21</v>
      </c>
      <c r="D5896">
        <v>193024</v>
      </c>
      <c r="E5896">
        <v>33448</v>
      </c>
      <c r="F5896">
        <v>25592</v>
      </c>
      <c r="G5896">
        <v>-167668</v>
      </c>
      <c r="H5896">
        <v>84396</v>
      </c>
      <c r="I5896">
        <v>86249</v>
      </c>
      <c r="J5896">
        <v>863</v>
      </c>
      <c r="K5896">
        <v>695618</v>
      </c>
      <c r="L5896">
        <v>244990</v>
      </c>
      <c r="M5896">
        <v>-174695</v>
      </c>
      <c r="N5896">
        <v>112566</v>
      </c>
      <c r="O5896" t="s">
        <v>5914</v>
      </c>
      <c r="P5896" s="9">
        <v>229279</v>
      </c>
      <c r="Q5896" s="9">
        <v>23749</v>
      </c>
      <c r="R5896" s="9">
        <v>253028</v>
      </c>
      <c r="S5896" s="9">
        <v>-62886</v>
      </c>
      <c r="T5896" s="10">
        <v>64416</v>
      </c>
      <c r="U5896" s="10">
        <v>1706</v>
      </c>
    </row>
    <row r="5897" spans="1:21" x14ac:dyDescent="0.35">
      <c r="A5897" t="s">
        <v>15</v>
      </c>
      <c r="B5897" t="s">
        <v>16</v>
      </c>
      <c r="C5897" t="s">
        <v>17</v>
      </c>
      <c r="D5897">
        <v>236444</v>
      </c>
      <c r="E5897">
        <v>45909</v>
      </c>
      <c r="F5897">
        <v>48872</v>
      </c>
      <c r="G5897">
        <v>-204074</v>
      </c>
      <c r="H5897">
        <v>127151</v>
      </c>
      <c r="I5897">
        <v>122098</v>
      </c>
      <c r="J5897">
        <v>1522</v>
      </c>
      <c r="K5897">
        <v>505429</v>
      </c>
      <c r="L5897">
        <v>238902</v>
      </c>
      <c r="M5897">
        <v>-129112</v>
      </c>
      <c r="N5897">
        <v>173102</v>
      </c>
      <c r="O5897" t="s">
        <v>5915</v>
      </c>
      <c r="P5897" s="9">
        <v>170697</v>
      </c>
      <c r="Q5897" s="9">
        <v>20577</v>
      </c>
      <c r="R5897" s="9">
        <v>191274</v>
      </c>
      <c r="S5897" s="9">
        <v>-98652</v>
      </c>
      <c r="T5897" s="10">
        <v>80620</v>
      </c>
      <c r="U5897" s="10">
        <v>1080</v>
      </c>
    </row>
    <row r="5898" spans="1:21" x14ac:dyDescent="0.35">
      <c r="A5898" t="s">
        <v>15</v>
      </c>
      <c r="B5898" t="s">
        <v>20</v>
      </c>
      <c r="C5898" t="s">
        <v>21</v>
      </c>
      <c r="D5898">
        <v>267298</v>
      </c>
      <c r="E5898">
        <v>23667</v>
      </c>
      <c r="F5898">
        <v>61107</v>
      </c>
      <c r="G5898">
        <v>-252477</v>
      </c>
      <c r="H5898">
        <v>99595</v>
      </c>
      <c r="I5898">
        <v>99314</v>
      </c>
      <c r="J5898">
        <v>1393</v>
      </c>
      <c r="K5898">
        <v>740182</v>
      </c>
      <c r="L5898">
        <v>294811</v>
      </c>
      <c r="M5898">
        <v>-257565</v>
      </c>
      <c r="N5898">
        <v>148739</v>
      </c>
      <c r="O5898" t="s">
        <v>5916</v>
      </c>
      <c r="P5898" s="9">
        <v>178456</v>
      </c>
      <c r="Q5898" s="9">
        <v>23311</v>
      </c>
      <c r="R5898" s="9">
        <v>201767</v>
      </c>
      <c r="S5898" s="9">
        <v>-95391</v>
      </c>
      <c r="T5898" s="10">
        <v>82547</v>
      </c>
      <c r="U5898" s="10">
        <v>1664</v>
      </c>
    </row>
    <row r="5899" spans="1:21" x14ac:dyDescent="0.35">
      <c r="A5899" t="s">
        <v>15</v>
      </c>
      <c r="B5899" t="s">
        <v>16</v>
      </c>
      <c r="C5899" t="s">
        <v>21</v>
      </c>
      <c r="D5899">
        <v>168377</v>
      </c>
      <c r="E5899">
        <v>22403</v>
      </c>
      <c r="F5899">
        <v>22596</v>
      </c>
      <c r="G5899">
        <v>-165949</v>
      </c>
      <c r="H5899">
        <v>47427</v>
      </c>
      <c r="I5899">
        <v>42742</v>
      </c>
      <c r="J5899">
        <v>950</v>
      </c>
      <c r="K5899">
        <v>442513</v>
      </c>
      <c r="L5899">
        <v>44690</v>
      </c>
      <c r="M5899">
        <v>-170206</v>
      </c>
      <c r="N5899">
        <v>138120</v>
      </c>
      <c r="O5899" t="s">
        <v>5917</v>
      </c>
      <c r="P5899" s="9">
        <v>252210</v>
      </c>
      <c r="Q5899" s="9">
        <v>41010</v>
      </c>
      <c r="R5899" s="9">
        <v>293220</v>
      </c>
      <c r="S5899" s="9">
        <v>-157710</v>
      </c>
      <c r="T5899" s="10">
        <v>139031</v>
      </c>
      <c r="U5899" s="10">
        <v>4032</v>
      </c>
    </row>
    <row r="5900" spans="1:21" x14ac:dyDescent="0.35">
      <c r="A5900" t="s">
        <v>15</v>
      </c>
      <c r="B5900" t="s">
        <v>16</v>
      </c>
      <c r="C5900" t="s">
        <v>17</v>
      </c>
      <c r="D5900">
        <v>258811</v>
      </c>
      <c r="E5900">
        <v>14934</v>
      </c>
      <c r="F5900">
        <v>29608</v>
      </c>
      <c r="G5900">
        <v>-233290</v>
      </c>
      <c r="H5900">
        <v>70063</v>
      </c>
      <c r="I5900">
        <v>69206</v>
      </c>
      <c r="J5900">
        <v>934</v>
      </c>
      <c r="K5900">
        <v>798770</v>
      </c>
      <c r="L5900">
        <v>213862</v>
      </c>
      <c r="M5900">
        <v>-283491</v>
      </c>
      <c r="N5900">
        <v>175675</v>
      </c>
      <c r="O5900" t="s">
        <v>5918</v>
      </c>
      <c r="P5900" s="9">
        <v>222409</v>
      </c>
      <c r="Q5900" s="9">
        <v>20152</v>
      </c>
      <c r="R5900" s="9">
        <v>242561</v>
      </c>
      <c r="S5900" s="9">
        <v>-141828</v>
      </c>
      <c r="T5900" s="10">
        <v>72909</v>
      </c>
      <c r="U5900" s="10">
        <v>964</v>
      </c>
    </row>
    <row r="5901" spans="1:21" x14ac:dyDescent="0.35">
      <c r="A5901" t="s">
        <v>15</v>
      </c>
      <c r="B5901" t="s">
        <v>20</v>
      </c>
      <c r="C5901" t="s">
        <v>21</v>
      </c>
      <c r="D5901">
        <v>165517</v>
      </c>
      <c r="E5901">
        <v>17639</v>
      </c>
      <c r="F5901">
        <v>22962</v>
      </c>
      <c r="G5901">
        <v>-159229</v>
      </c>
      <c r="H5901">
        <v>46889</v>
      </c>
      <c r="I5901">
        <v>42515</v>
      </c>
      <c r="J5901">
        <v>501</v>
      </c>
      <c r="K5901">
        <v>349941</v>
      </c>
      <c r="L5901">
        <v>90140</v>
      </c>
      <c r="M5901">
        <v>-125371</v>
      </c>
      <c r="N5901">
        <v>71403</v>
      </c>
      <c r="O5901" t="s">
        <v>5919</v>
      </c>
      <c r="P5901" s="9">
        <v>273513</v>
      </c>
      <c r="Q5901" s="9">
        <v>49986</v>
      </c>
      <c r="R5901" s="9">
        <v>323499</v>
      </c>
      <c r="S5901" s="9">
        <v>-132396</v>
      </c>
      <c r="T5901" s="10">
        <v>151272</v>
      </c>
      <c r="U5901" s="10">
        <v>3103</v>
      </c>
    </row>
    <row r="5902" spans="1:21" x14ac:dyDescent="0.35">
      <c r="A5902" t="s">
        <v>15</v>
      </c>
      <c r="B5902" t="s">
        <v>20</v>
      </c>
      <c r="C5902" t="s">
        <v>21</v>
      </c>
      <c r="D5902">
        <v>295074</v>
      </c>
      <c r="E5902">
        <v>30328</v>
      </c>
      <c r="F5902">
        <v>49868</v>
      </c>
      <c r="G5902">
        <v>-264696</v>
      </c>
      <c r="H5902">
        <v>110574</v>
      </c>
      <c r="I5902">
        <v>101942</v>
      </c>
      <c r="J5902">
        <v>2958</v>
      </c>
      <c r="K5902">
        <v>793314</v>
      </c>
      <c r="L5902">
        <v>246558</v>
      </c>
      <c r="M5902">
        <v>-106211</v>
      </c>
      <c r="N5902">
        <v>227283</v>
      </c>
      <c r="O5902" t="s">
        <v>5920</v>
      </c>
      <c r="P5902" s="9">
        <v>215241</v>
      </c>
      <c r="Q5902" s="9">
        <v>33724</v>
      </c>
      <c r="R5902" s="9">
        <v>248965</v>
      </c>
      <c r="S5902" s="9">
        <v>-101730</v>
      </c>
      <c r="T5902" s="10">
        <v>127017</v>
      </c>
      <c r="U5902" s="10">
        <v>2098</v>
      </c>
    </row>
    <row r="5903" spans="1:21" x14ac:dyDescent="0.35">
      <c r="A5903" t="s">
        <v>15</v>
      </c>
      <c r="B5903" t="s">
        <v>20</v>
      </c>
      <c r="C5903" t="s">
        <v>21</v>
      </c>
      <c r="D5903">
        <v>201804</v>
      </c>
      <c r="E5903">
        <v>22895</v>
      </c>
      <c r="F5903">
        <v>46974</v>
      </c>
      <c r="G5903">
        <v>-188595</v>
      </c>
      <c r="H5903">
        <v>83078</v>
      </c>
      <c r="I5903">
        <v>76917</v>
      </c>
      <c r="J5903">
        <v>1605</v>
      </c>
      <c r="K5903">
        <v>737660</v>
      </c>
      <c r="L5903">
        <v>331933</v>
      </c>
      <c r="M5903">
        <v>-221984</v>
      </c>
      <c r="N5903">
        <v>101226</v>
      </c>
      <c r="O5903" t="s">
        <v>5921</v>
      </c>
      <c r="P5903" s="9">
        <v>253042</v>
      </c>
      <c r="Q5903" s="9">
        <v>49389</v>
      </c>
      <c r="R5903" s="9">
        <v>302431</v>
      </c>
      <c r="S5903" s="9">
        <v>-155089</v>
      </c>
      <c r="T5903" s="10">
        <v>139506</v>
      </c>
      <c r="U5903" s="10">
        <v>3607</v>
      </c>
    </row>
    <row r="5904" spans="1:21" x14ac:dyDescent="0.35">
      <c r="A5904" t="s">
        <v>15</v>
      </c>
      <c r="B5904" t="s">
        <v>20</v>
      </c>
      <c r="C5904" t="s">
        <v>21</v>
      </c>
      <c r="D5904">
        <v>296237</v>
      </c>
      <c r="E5904">
        <v>41678</v>
      </c>
      <c r="F5904">
        <v>43308</v>
      </c>
      <c r="G5904">
        <v>-275170</v>
      </c>
      <c r="H5904">
        <v>106053</v>
      </c>
      <c r="I5904">
        <v>107400</v>
      </c>
      <c r="J5904">
        <v>2246</v>
      </c>
      <c r="K5904">
        <v>691038</v>
      </c>
      <c r="L5904">
        <v>271946</v>
      </c>
      <c r="M5904">
        <v>-107632</v>
      </c>
      <c r="N5904">
        <v>176150</v>
      </c>
      <c r="O5904" t="s">
        <v>5922</v>
      </c>
      <c r="P5904" s="9">
        <v>259182</v>
      </c>
      <c r="Q5904" s="9">
        <v>31465</v>
      </c>
      <c r="R5904" s="9">
        <v>290647</v>
      </c>
      <c r="S5904" s="9">
        <v>-130786</v>
      </c>
      <c r="T5904" s="10">
        <v>105130</v>
      </c>
      <c r="U5904" s="10">
        <v>1795</v>
      </c>
    </row>
    <row r="5905" spans="1:21" x14ac:dyDescent="0.35">
      <c r="A5905" t="s">
        <v>15</v>
      </c>
      <c r="B5905" t="s">
        <v>16</v>
      </c>
      <c r="C5905" t="s">
        <v>17</v>
      </c>
      <c r="D5905">
        <v>293058</v>
      </c>
      <c r="E5905">
        <v>53131</v>
      </c>
      <c r="F5905">
        <v>61113</v>
      </c>
      <c r="G5905">
        <v>-247194</v>
      </c>
      <c r="H5905">
        <v>160108</v>
      </c>
      <c r="I5905">
        <v>159762</v>
      </c>
      <c r="J5905">
        <v>4307</v>
      </c>
      <c r="K5905">
        <v>660564</v>
      </c>
      <c r="L5905">
        <v>89519</v>
      </c>
      <c r="M5905">
        <v>-229266</v>
      </c>
      <c r="N5905">
        <v>225872</v>
      </c>
      <c r="O5905" t="s">
        <v>5923</v>
      </c>
      <c r="P5905" s="9">
        <v>179126</v>
      </c>
      <c r="Q5905" s="9">
        <v>27763</v>
      </c>
      <c r="R5905" s="9">
        <v>206889</v>
      </c>
      <c r="S5905" s="9">
        <v>-105414</v>
      </c>
      <c r="T5905" s="10">
        <v>76480</v>
      </c>
      <c r="U5905" s="10">
        <v>1725</v>
      </c>
    </row>
    <row r="5906" spans="1:21" x14ac:dyDescent="0.35">
      <c r="A5906" t="s">
        <v>15</v>
      </c>
      <c r="B5906" t="s">
        <v>16</v>
      </c>
      <c r="C5906" t="s">
        <v>21</v>
      </c>
      <c r="D5906">
        <v>207484</v>
      </c>
      <c r="E5906">
        <v>28725</v>
      </c>
      <c r="F5906">
        <v>29642</v>
      </c>
      <c r="G5906">
        <v>-173501</v>
      </c>
      <c r="H5906">
        <v>92350</v>
      </c>
      <c r="I5906">
        <v>86303</v>
      </c>
      <c r="J5906">
        <v>2320</v>
      </c>
      <c r="K5906">
        <v>484159</v>
      </c>
      <c r="L5906">
        <v>55953</v>
      </c>
      <c r="M5906">
        <v>-113991</v>
      </c>
      <c r="N5906">
        <v>110954</v>
      </c>
      <c r="O5906" t="s">
        <v>5924</v>
      </c>
      <c r="P5906" s="9">
        <v>163326</v>
      </c>
      <c r="Q5906" s="9">
        <v>29037</v>
      </c>
      <c r="R5906" s="9">
        <v>192363</v>
      </c>
      <c r="S5906" s="9">
        <v>-78516</v>
      </c>
      <c r="T5906" s="10">
        <v>80160</v>
      </c>
      <c r="U5906" s="10">
        <v>1304</v>
      </c>
    </row>
    <row r="5907" spans="1:21" x14ac:dyDescent="0.35">
      <c r="A5907" t="s">
        <v>15</v>
      </c>
      <c r="B5907" t="s">
        <v>20</v>
      </c>
      <c r="C5907" t="s">
        <v>21</v>
      </c>
      <c r="D5907">
        <v>276786</v>
      </c>
      <c r="E5907">
        <v>47264</v>
      </c>
      <c r="F5907">
        <v>37109</v>
      </c>
      <c r="G5907">
        <v>-272352</v>
      </c>
      <c r="H5907">
        <v>88807</v>
      </c>
      <c r="I5907">
        <v>81182</v>
      </c>
      <c r="J5907">
        <v>1388</v>
      </c>
      <c r="K5907">
        <v>615284</v>
      </c>
      <c r="L5907">
        <v>76275</v>
      </c>
      <c r="M5907">
        <v>-206894</v>
      </c>
      <c r="N5907">
        <v>119247</v>
      </c>
      <c r="O5907" t="s">
        <v>5925</v>
      </c>
      <c r="P5907" s="9">
        <v>246756</v>
      </c>
      <c r="Q5907" s="9">
        <v>43736</v>
      </c>
      <c r="R5907" s="9">
        <v>290492</v>
      </c>
      <c r="S5907" s="9">
        <v>-60281</v>
      </c>
      <c r="T5907" s="10">
        <v>141869</v>
      </c>
      <c r="U5907" s="10">
        <v>2108</v>
      </c>
    </row>
    <row r="5908" spans="1:21" x14ac:dyDescent="0.35">
      <c r="A5908" t="s">
        <v>15</v>
      </c>
      <c r="B5908" t="s">
        <v>16</v>
      </c>
      <c r="C5908" t="s">
        <v>17</v>
      </c>
      <c r="D5908">
        <v>185605</v>
      </c>
      <c r="E5908">
        <v>13734</v>
      </c>
      <c r="F5908">
        <v>39616</v>
      </c>
      <c r="G5908">
        <v>-184986</v>
      </c>
      <c r="H5908">
        <v>53969</v>
      </c>
      <c r="I5908">
        <v>51629</v>
      </c>
      <c r="J5908">
        <v>916</v>
      </c>
      <c r="K5908">
        <v>695399</v>
      </c>
      <c r="L5908">
        <v>168638</v>
      </c>
      <c r="M5908">
        <v>-79849</v>
      </c>
      <c r="N5908">
        <v>93908</v>
      </c>
      <c r="O5908" t="s">
        <v>5926</v>
      </c>
      <c r="P5908" s="9">
        <v>186306</v>
      </c>
      <c r="Q5908" s="9">
        <v>36438</v>
      </c>
      <c r="R5908" s="9">
        <v>222744</v>
      </c>
      <c r="S5908" s="9">
        <v>-102531</v>
      </c>
      <c r="T5908" s="10">
        <v>88029</v>
      </c>
      <c r="U5908" s="10">
        <v>2095</v>
      </c>
    </row>
    <row r="5909" spans="1:21" x14ac:dyDescent="0.35">
      <c r="A5909" t="s">
        <v>15</v>
      </c>
      <c r="B5909" t="s">
        <v>16</v>
      </c>
      <c r="C5909" t="s">
        <v>21</v>
      </c>
      <c r="D5909">
        <v>275739</v>
      </c>
      <c r="E5909">
        <v>50696</v>
      </c>
      <c r="F5909">
        <v>56861</v>
      </c>
      <c r="G5909">
        <v>-232440</v>
      </c>
      <c r="H5909">
        <v>150856</v>
      </c>
      <c r="I5909">
        <v>138762</v>
      </c>
      <c r="J5909">
        <v>3041</v>
      </c>
      <c r="K5909">
        <v>903107</v>
      </c>
      <c r="L5909">
        <v>251707</v>
      </c>
      <c r="M5909">
        <v>-209782</v>
      </c>
      <c r="N5909">
        <v>135592</v>
      </c>
      <c r="O5909" t="s">
        <v>5927</v>
      </c>
      <c r="P5909" s="9">
        <v>221768</v>
      </c>
      <c r="Q5909" s="9">
        <v>32597</v>
      </c>
      <c r="R5909" s="9">
        <v>254365</v>
      </c>
      <c r="S5909" s="9">
        <v>-81090</v>
      </c>
      <c r="T5909" s="10">
        <v>86859</v>
      </c>
      <c r="U5909" s="10">
        <v>1579</v>
      </c>
    </row>
    <row r="5910" spans="1:21" x14ac:dyDescent="0.35">
      <c r="A5910" t="s">
        <v>15</v>
      </c>
      <c r="B5910" t="s">
        <v>16</v>
      </c>
      <c r="C5910" t="s">
        <v>17</v>
      </c>
      <c r="D5910">
        <v>167064</v>
      </c>
      <c r="E5910">
        <v>17242</v>
      </c>
      <c r="F5910">
        <v>37829</v>
      </c>
      <c r="G5910">
        <v>-157818</v>
      </c>
      <c r="H5910">
        <v>64317</v>
      </c>
      <c r="I5910">
        <v>66189</v>
      </c>
      <c r="J5910">
        <v>1120</v>
      </c>
      <c r="K5910">
        <v>662829</v>
      </c>
      <c r="L5910">
        <v>206133</v>
      </c>
      <c r="M5910">
        <v>-92577</v>
      </c>
      <c r="N5910">
        <v>68000</v>
      </c>
      <c r="O5910" t="s">
        <v>5928</v>
      </c>
      <c r="P5910" s="9">
        <v>193158</v>
      </c>
      <c r="Q5910" s="9">
        <v>14314</v>
      </c>
      <c r="R5910" s="9">
        <v>207472</v>
      </c>
      <c r="S5910" s="9">
        <v>-70245</v>
      </c>
      <c r="T5910" s="10">
        <v>58761</v>
      </c>
      <c r="U5910" s="10">
        <v>1731</v>
      </c>
    </row>
    <row r="5911" spans="1:21" x14ac:dyDescent="0.35">
      <c r="A5911" t="s">
        <v>15</v>
      </c>
      <c r="B5911" t="s">
        <v>20</v>
      </c>
      <c r="C5911" t="s">
        <v>21</v>
      </c>
      <c r="D5911">
        <v>246058</v>
      </c>
      <c r="E5911">
        <v>12715</v>
      </c>
      <c r="F5911">
        <v>54550</v>
      </c>
      <c r="G5911">
        <v>-244015</v>
      </c>
      <c r="H5911">
        <v>69308</v>
      </c>
      <c r="I5911">
        <v>66274</v>
      </c>
      <c r="J5911">
        <v>1899</v>
      </c>
      <c r="K5911">
        <v>652420</v>
      </c>
      <c r="L5911">
        <v>325602</v>
      </c>
      <c r="M5911">
        <v>-165403</v>
      </c>
      <c r="N5911">
        <v>202022</v>
      </c>
      <c r="O5911" t="s">
        <v>5929</v>
      </c>
      <c r="P5911" s="9">
        <v>154376</v>
      </c>
      <c r="Q5911" s="9">
        <v>18763</v>
      </c>
      <c r="R5911" s="9">
        <v>173139</v>
      </c>
      <c r="S5911" s="9">
        <v>-55123</v>
      </c>
      <c r="T5911" s="10">
        <v>65776</v>
      </c>
      <c r="U5911" s="10">
        <v>1278</v>
      </c>
    </row>
    <row r="5912" spans="1:21" x14ac:dyDescent="0.35">
      <c r="A5912" t="s">
        <v>15</v>
      </c>
      <c r="B5912" t="s">
        <v>16</v>
      </c>
      <c r="C5912" t="s">
        <v>17</v>
      </c>
      <c r="D5912">
        <v>191240</v>
      </c>
      <c r="E5912">
        <v>38131</v>
      </c>
      <c r="F5912">
        <v>40217</v>
      </c>
      <c r="G5912">
        <v>-168265</v>
      </c>
      <c r="H5912">
        <v>101323</v>
      </c>
      <c r="I5912">
        <v>96938</v>
      </c>
      <c r="J5912">
        <v>1719</v>
      </c>
      <c r="K5912">
        <v>719213</v>
      </c>
      <c r="L5912">
        <v>349101</v>
      </c>
      <c r="M5912">
        <v>-136209</v>
      </c>
      <c r="N5912">
        <v>130396</v>
      </c>
      <c r="O5912" t="s">
        <v>5930</v>
      </c>
      <c r="P5912" s="9">
        <v>200603</v>
      </c>
      <c r="Q5912" s="9">
        <v>18360</v>
      </c>
      <c r="R5912" s="9">
        <v>218963</v>
      </c>
      <c r="S5912" s="9">
        <v>-99482</v>
      </c>
      <c r="T5912" s="10">
        <v>94469</v>
      </c>
      <c r="U5912" s="10">
        <v>1271</v>
      </c>
    </row>
    <row r="5913" spans="1:21" x14ac:dyDescent="0.35">
      <c r="A5913" t="s">
        <v>15</v>
      </c>
      <c r="B5913" t="s">
        <v>20</v>
      </c>
      <c r="C5913" t="s">
        <v>21</v>
      </c>
      <c r="D5913">
        <v>192876</v>
      </c>
      <c r="E5913">
        <v>26506</v>
      </c>
      <c r="F5913">
        <v>27427</v>
      </c>
      <c r="G5913">
        <v>-160668</v>
      </c>
      <c r="H5913">
        <v>86141</v>
      </c>
      <c r="I5913">
        <v>89730</v>
      </c>
      <c r="J5913">
        <v>952</v>
      </c>
      <c r="K5913">
        <v>678925</v>
      </c>
      <c r="L5913">
        <v>135712</v>
      </c>
      <c r="M5913">
        <v>-96340</v>
      </c>
      <c r="N5913">
        <v>154524</v>
      </c>
      <c r="O5913" t="s">
        <v>5931</v>
      </c>
      <c r="P5913" s="9">
        <v>164816</v>
      </c>
      <c r="Q5913" s="9">
        <v>19686</v>
      </c>
      <c r="R5913" s="9">
        <v>184502</v>
      </c>
      <c r="S5913" s="9">
        <v>-67338</v>
      </c>
      <c r="T5913" s="10">
        <v>52820</v>
      </c>
      <c r="U5913" s="10">
        <v>1519</v>
      </c>
    </row>
    <row r="5914" spans="1:21" x14ac:dyDescent="0.35">
      <c r="A5914" t="s">
        <v>15</v>
      </c>
      <c r="B5914" t="s">
        <v>16</v>
      </c>
      <c r="C5914" t="s">
        <v>21</v>
      </c>
      <c r="D5914">
        <v>237338</v>
      </c>
      <c r="E5914">
        <v>14844</v>
      </c>
      <c r="F5914">
        <v>40419</v>
      </c>
      <c r="G5914">
        <v>-213646</v>
      </c>
      <c r="H5914">
        <v>78955</v>
      </c>
      <c r="I5914">
        <v>75703</v>
      </c>
      <c r="J5914">
        <v>1828</v>
      </c>
      <c r="K5914">
        <v>862842</v>
      </c>
      <c r="L5914">
        <v>315382</v>
      </c>
      <c r="M5914">
        <v>-337672</v>
      </c>
      <c r="N5914">
        <v>136467</v>
      </c>
      <c r="O5914" t="s">
        <v>5932</v>
      </c>
      <c r="P5914" s="9">
        <v>214955</v>
      </c>
      <c r="Q5914" s="9">
        <v>33752</v>
      </c>
      <c r="R5914" s="9">
        <v>248707</v>
      </c>
      <c r="S5914" s="9">
        <v>-137598</v>
      </c>
      <c r="T5914" s="10">
        <v>91539</v>
      </c>
      <c r="U5914" s="10">
        <v>1243</v>
      </c>
    </row>
    <row r="5915" spans="1:21" x14ac:dyDescent="0.35">
      <c r="A5915" t="s">
        <v>15</v>
      </c>
      <c r="B5915" t="s">
        <v>16</v>
      </c>
      <c r="C5915" t="s">
        <v>21</v>
      </c>
      <c r="D5915">
        <v>271129</v>
      </c>
      <c r="E5915">
        <v>25620</v>
      </c>
      <c r="F5915">
        <v>36090</v>
      </c>
      <c r="G5915">
        <v>-265654</v>
      </c>
      <c r="H5915">
        <v>67185</v>
      </c>
      <c r="I5915">
        <v>69229</v>
      </c>
      <c r="J5915">
        <v>1266</v>
      </c>
      <c r="K5915">
        <v>945950</v>
      </c>
      <c r="L5915">
        <v>439038</v>
      </c>
      <c r="M5915">
        <v>-191856</v>
      </c>
      <c r="N5915">
        <v>104316</v>
      </c>
      <c r="O5915" t="s">
        <v>5933</v>
      </c>
      <c r="P5915" s="9">
        <v>183328</v>
      </c>
      <c r="Q5915" s="9">
        <v>10778</v>
      </c>
      <c r="R5915" s="9">
        <v>194106</v>
      </c>
      <c r="S5915" s="9">
        <v>-66859</v>
      </c>
      <c r="T5915" s="10">
        <v>80288</v>
      </c>
      <c r="U5915" s="10">
        <v>2028</v>
      </c>
    </row>
    <row r="5916" spans="1:21" x14ac:dyDescent="0.35">
      <c r="A5916" t="s">
        <v>15</v>
      </c>
      <c r="B5916" t="s">
        <v>16</v>
      </c>
      <c r="C5916" t="s">
        <v>21</v>
      </c>
      <c r="D5916">
        <v>164068</v>
      </c>
      <c r="E5916">
        <v>17701</v>
      </c>
      <c r="F5916">
        <v>38182</v>
      </c>
      <c r="G5916">
        <v>-134868</v>
      </c>
      <c r="H5916">
        <v>85083</v>
      </c>
      <c r="I5916">
        <v>80587</v>
      </c>
      <c r="J5916">
        <v>1997</v>
      </c>
      <c r="K5916">
        <v>434238</v>
      </c>
      <c r="L5916">
        <v>138695</v>
      </c>
      <c r="M5916">
        <v>-74656</v>
      </c>
      <c r="N5916">
        <v>127122</v>
      </c>
      <c r="O5916" t="s">
        <v>5934</v>
      </c>
      <c r="P5916" s="9">
        <v>266891</v>
      </c>
      <c r="Q5916" s="9">
        <v>35236</v>
      </c>
      <c r="R5916" s="9">
        <v>302127</v>
      </c>
      <c r="S5916" s="9">
        <v>-132596</v>
      </c>
      <c r="T5916" s="10">
        <v>98087</v>
      </c>
      <c r="U5916" s="10">
        <v>1915</v>
      </c>
    </row>
    <row r="5917" spans="1:21" x14ac:dyDescent="0.35">
      <c r="A5917" t="s">
        <v>15</v>
      </c>
      <c r="B5917" t="s">
        <v>16</v>
      </c>
      <c r="C5917" t="s">
        <v>21</v>
      </c>
      <c r="D5917">
        <v>170499</v>
      </c>
      <c r="E5917">
        <v>8822</v>
      </c>
      <c r="F5917">
        <v>34139</v>
      </c>
      <c r="G5917">
        <v>-152006</v>
      </c>
      <c r="H5917">
        <v>61454</v>
      </c>
      <c r="I5917">
        <v>61362</v>
      </c>
      <c r="J5917">
        <v>1688</v>
      </c>
      <c r="K5917">
        <v>540933</v>
      </c>
      <c r="L5917">
        <v>204157</v>
      </c>
      <c r="M5917">
        <v>-78516</v>
      </c>
      <c r="N5917">
        <v>120181</v>
      </c>
      <c r="O5917" t="s">
        <v>5935</v>
      </c>
      <c r="P5917" s="9">
        <v>181039</v>
      </c>
      <c r="Q5917" s="9">
        <v>23628</v>
      </c>
      <c r="R5917" s="9">
        <v>204667</v>
      </c>
      <c r="S5917" s="9">
        <v>-120576</v>
      </c>
      <c r="T5917" s="10">
        <v>79303</v>
      </c>
      <c r="U5917" s="10">
        <v>1696</v>
      </c>
    </row>
    <row r="5918" spans="1:21" x14ac:dyDescent="0.35">
      <c r="A5918" t="s">
        <v>15</v>
      </c>
      <c r="B5918" t="s">
        <v>20</v>
      </c>
      <c r="C5918" t="s">
        <v>21</v>
      </c>
      <c r="D5918">
        <v>155831</v>
      </c>
      <c r="E5918">
        <v>9911</v>
      </c>
      <c r="F5918">
        <v>36748</v>
      </c>
      <c r="G5918">
        <v>-137972</v>
      </c>
      <c r="H5918">
        <v>64518</v>
      </c>
      <c r="I5918">
        <v>62630</v>
      </c>
      <c r="J5918">
        <v>1687</v>
      </c>
      <c r="K5918">
        <v>553923</v>
      </c>
      <c r="L5918">
        <v>158574</v>
      </c>
      <c r="M5918">
        <v>-195577</v>
      </c>
      <c r="N5918">
        <v>87716</v>
      </c>
      <c r="O5918" t="s">
        <v>5936</v>
      </c>
      <c r="P5918" s="9">
        <v>185567</v>
      </c>
      <c r="Q5918" s="9">
        <v>35596</v>
      </c>
      <c r="R5918" s="9">
        <v>221163</v>
      </c>
      <c r="S5918" s="9">
        <v>-54411</v>
      </c>
      <c r="T5918" s="10">
        <v>78985</v>
      </c>
      <c r="U5918" s="10">
        <v>800</v>
      </c>
    </row>
    <row r="5919" spans="1:21" x14ac:dyDescent="0.35">
      <c r="A5919" t="s">
        <v>15</v>
      </c>
      <c r="B5919" t="s">
        <v>20</v>
      </c>
      <c r="C5919" t="s">
        <v>21</v>
      </c>
      <c r="D5919">
        <v>190282</v>
      </c>
      <c r="E5919">
        <v>31181</v>
      </c>
      <c r="F5919">
        <v>20036</v>
      </c>
      <c r="G5919">
        <v>-186363</v>
      </c>
      <c r="H5919">
        <v>55136</v>
      </c>
      <c r="I5919">
        <v>50349</v>
      </c>
      <c r="J5919">
        <v>542</v>
      </c>
      <c r="K5919">
        <v>727922</v>
      </c>
      <c r="L5919">
        <v>248411</v>
      </c>
      <c r="M5919">
        <v>-266545</v>
      </c>
      <c r="N5919">
        <v>81305</v>
      </c>
      <c r="O5919" t="s">
        <v>5937</v>
      </c>
      <c r="P5919" s="9">
        <v>208388</v>
      </c>
      <c r="Q5919" s="9">
        <v>28915</v>
      </c>
      <c r="R5919" s="9">
        <v>237303</v>
      </c>
      <c r="S5919" s="9">
        <v>-130659</v>
      </c>
      <c r="T5919" s="10">
        <v>107824</v>
      </c>
      <c r="U5919" s="10">
        <v>2439</v>
      </c>
    </row>
    <row r="5920" spans="1:21" x14ac:dyDescent="0.35">
      <c r="A5920" t="s">
        <v>15</v>
      </c>
      <c r="B5920" t="s">
        <v>16</v>
      </c>
      <c r="C5920" t="s">
        <v>21</v>
      </c>
      <c r="D5920">
        <v>258282</v>
      </c>
      <c r="E5920">
        <v>19262</v>
      </c>
      <c r="F5920">
        <v>43131</v>
      </c>
      <c r="G5920">
        <v>-222092</v>
      </c>
      <c r="H5920">
        <v>98583</v>
      </c>
      <c r="I5920">
        <v>93839</v>
      </c>
      <c r="J5920">
        <v>1994</v>
      </c>
      <c r="K5920">
        <v>574652</v>
      </c>
      <c r="L5920">
        <v>127603</v>
      </c>
      <c r="M5920">
        <v>-151274</v>
      </c>
      <c r="N5920">
        <v>200122</v>
      </c>
      <c r="O5920" t="s">
        <v>5938</v>
      </c>
      <c r="P5920" s="9">
        <v>166452</v>
      </c>
      <c r="Q5920" s="9">
        <v>14213</v>
      </c>
      <c r="R5920" s="9">
        <v>180665</v>
      </c>
      <c r="S5920" s="9">
        <v>-98911</v>
      </c>
      <c r="T5920" s="10">
        <v>62804</v>
      </c>
      <c r="U5920" s="10">
        <v>1670</v>
      </c>
    </row>
    <row r="5921" spans="1:21" x14ac:dyDescent="0.35">
      <c r="A5921" t="s">
        <v>15</v>
      </c>
      <c r="B5921" t="s">
        <v>16</v>
      </c>
      <c r="C5921" t="s">
        <v>21</v>
      </c>
      <c r="D5921">
        <v>204572</v>
      </c>
      <c r="E5921">
        <v>37536</v>
      </c>
      <c r="F5921">
        <v>33369</v>
      </c>
      <c r="G5921">
        <v>-197393</v>
      </c>
      <c r="H5921">
        <v>78084</v>
      </c>
      <c r="I5921">
        <v>74374</v>
      </c>
      <c r="J5921">
        <v>1120</v>
      </c>
      <c r="K5921">
        <v>770908</v>
      </c>
      <c r="L5921">
        <v>136494</v>
      </c>
      <c r="M5921">
        <v>-279691</v>
      </c>
      <c r="N5921">
        <v>81492</v>
      </c>
      <c r="O5921" t="s">
        <v>5939</v>
      </c>
      <c r="P5921" s="9">
        <v>278397</v>
      </c>
      <c r="Q5921" s="9">
        <v>33966</v>
      </c>
      <c r="R5921" s="9">
        <v>312363</v>
      </c>
      <c r="S5921" s="9">
        <v>-108749</v>
      </c>
      <c r="T5921" s="10">
        <v>134728</v>
      </c>
      <c r="U5921" s="10">
        <v>3549</v>
      </c>
    </row>
    <row r="5922" spans="1:21" x14ac:dyDescent="0.35">
      <c r="A5922" t="s">
        <v>15</v>
      </c>
      <c r="B5922" t="s">
        <v>20</v>
      </c>
      <c r="C5922" t="s">
        <v>17</v>
      </c>
      <c r="D5922">
        <v>166948</v>
      </c>
      <c r="E5922">
        <v>30492</v>
      </c>
      <c r="F5922">
        <v>30272</v>
      </c>
      <c r="G5922">
        <v>-149698</v>
      </c>
      <c r="H5922">
        <v>78014</v>
      </c>
      <c r="I5922">
        <v>81232</v>
      </c>
      <c r="J5922">
        <v>1038</v>
      </c>
      <c r="K5922">
        <v>597718</v>
      </c>
      <c r="L5922">
        <v>142042</v>
      </c>
      <c r="M5922">
        <v>-142915</v>
      </c>
      <c r="N5922">
        <v>75113</v>
      </c>
      <c r="O5922" t="s">
        <v>5940</v>
      </c>
      <c r="P5922" s="9">
        <v>194117</v>
      </c>
      <c r="Q5922" s="9">
        <v>31327</v>
      </c>
      <c r="R5922" s="9">
        <v>225444</v>
      </c>
      <c r="S5922" s="9">
        <v>-123033</v>
      </c>
      <c r="T5922" s="10">
        <v>76648</v>
      </c>
      <c r="U5922" s="10">
        <v>1786</v>
      </c>
    </row>
    <row r="5923" spans="1:21" x14ac:dyDescent="0.35">
      <c r="A5923" t="s">
        <v>15</v>
      </c>
      <c r="B5923" t="s">
        <v>16</v>
      </c>
      <c r="C5923" t="s">
        <v>21</v>
      </c>
      <c r="D5923">
        <v>242534</v>
      </c>
      <c r="E5923">
        <v>34995</v>
      </c>
      <c r="F5923">
        <v>37951</v>
      </c>
      <c r="G5923">
        <v>-241798</v>
      </c>
      <c r="H5923">
        <v>73682</v>
      </c>
      <c r="I5923">
        <v>74445</v>
      </c>
      <c r="J5923">
        <v>2060</v>
      </c>
      <c r="K5923">
        <v>708558</v>
      </c>
      <c r="L5923">
        <v>129932</v>
      </c>
      <c r="M5923">
        <v>-98382</v>
      </c>
      <c r="N5923">
        <v>179824</v>
      </c>
      <c r="O5923" t="s">
        <v>5941</v>
      </c>
      <c r="P5923" s="9">
        <v>168469</v>
      </c>
      <c r="Q5923" s="9">
        <v>18533</v>
      </c>
      <c r="R5923" s="9">
        <v>187002</v>
      </c>
      <c r="S5923" s="9">
        <v>-105315</v>
      </c>
      <c r="T5923" s="10">
        <v>80394</v>
      </c>
      <c r="U5923" s="10">
        <v>1694</v>
      </c>
    </row>
    <row r="5924" spans="1:21" x14ac:dyDescent="0.35">
      <c r="A5924" t="s">
        <v>15</v>
      </c>
      <c r="B5924" t="s">
        <v>16</v>
      </c>
      <c r="C5924" t="s">
        <v>21</v>
      </c>
      <c r="D5924">
        <v>174730</v>
      </c>
      <c r="E5924">
        <v>16888</v>
      </c>
      <c r="F5924">
        <v>26977</v>
      </c>
      <c r="G5924">
        <v>-147485</v>
      </c>
      <c r="H5924">
        <v>71110</v>
      </c>
      <c r="I5924">
        <v>69021</v>
      </c>
      <c r="J5924">
        <v>1776</v>
      </c>
      <c r="K5924">
        <v>363512</v>
      </c>
      <c r="L5924">
        <v>148001</v>
      </c>
      <c r="M5924">
        <v>-109030</v>
      </c>
      <c r="N5924">
        <v>100993</v>
      </c>
      <c r="O5924" t="s">
        <v>5942</v>
      </c>
      <c r="P5924" s="9">
        <v>266798</v>
      </c>
      <c r="Q5924" s="9">
        <v>29375</v>
      </c>
      <c r="R5924" s="9">
        <v>296173</v>
      </c>
      <c r="S5924" s="9">
        <v>-148440</v>
      </c>
      <c r="T5924" s="10">
        <v>89756</v>
      </c>
      <c r="U5924" s="10">
        <v>1861</v>
      </c>
    </row>
    <row r="5925" spans="1:21" x14ac:dyDescent="0.35">
      <c r="A5925" t="s">
        <v>15</v>
      </c>
      <c r="B5925" t="s">
        <v>16</v>
      </c>
      <c r="C5925" t="s">
        <v>17</v>
      </c>
      <c r="D5925">
        <v>298786</v>
      </c>
      <c r="E5925">
        <v>52493</v>
      </c>
      <c r="F5925">
        <v>52211</v>
      </c>
      <c r="G5925">
        <v>-263307</v>
      </c>
      <c r="H5925">
        <v>140183</v>
      </c>
      <c r="I5925">
        <v>137758</v>
      </c>
      <c r="J5925">
        <v>3981</v>
      </c>
      <c r="K5925">
        <v>992256</v>
      </c>
      <c r="L5925">
        <v>139586</v>
      </c>
      <c r="M5925">
        <v>-203480</v>
      </c>
      <c r="N5925">
        <v>244460</v>
      </c>
      <c r="O5925" t="s">
        <v>5943</v>
      </c>
      <c r="P5925" s="9">
        <v>244911</v>
      </c>
      <c r="Q5925" s="9">
        <v>42549</v>
      </c>
      <c r="R5925" s="9">
        <v>287460</v>
      </c>
      <c r="S5925" s="9">
        <v>-127154</v>
      </c>
      <c r="T5925" s="10">
        <v>144101</v>
      </c>
      <c r="U5925" s="10">
        <v>3026</v>
      </c>
    </row>
    <row r="5926" spans="1:21" x14ac:dyDescent="0.35">
      <c r="A5926" t="s">
        <v>15</v>
      </c>
      <c r="B5926" t="s">
        <v>16</v>
      </c>
      <c r="C5926" t="s">
        <v>21</v>
      </c>
      <c r="D5926">
        <v>228351</v>
      </c>
      <c r="E5926">
        <v>17307</v>
      </c>
      <c r="F5926">
        <v>33438</v>
      </c>
      <c r="G5926">
        <v>-190359</v>
      </c>
      <c r="H5926">
        <v>88737</v>
      </c>
      <c r="I5926">
        <v>81634</v>
      </c>
      <c r="J5926">
        <v>2130</v>
      </c>
      <c r="K5926">
        <v>807430</v>
      </c>
      <c r="L5926">
        <v>360421</v>
      </c>
      <c r="M5926">
        <v>-148342</v>
      </c>
      <c r="N5926">
        <v>71015</v>
      </c>
      <c r="O5926" t="s">
        <v>5944</v>
      </c>
      <c r="P5926" s="9">
        <v>228133</v>
      </c>
      <c r="Q5926" s="9">
        <v>14194</v>
      </c>
      <c r="R5926" s="9">
        <v>242327</v>
      </c>
      <c r="S5926" s="9">
        <v>-119906</v>
      </c>
      <c r="T5926" s="10">
        <v>79557</v>
      </c>
      <c r="U5926" s="10">
        <v>1234</v>
      </c>
    </row>
    <row r="5927" spans="1:21" x14ac:dyDescent="0.35">
      <c r="A5927" t="s">
        <v>15</v>
      </c>
      <c r="B5927" t="s">
        <v>16</v>
      </c>
      <c r="C5927" t="s">
        <v>21</v>
      </c>
      <c r="D5927">
        <v>167874</v>
      </c>
      <c r="E5927">
        <v>17780</v>
      </c>
      <c r="F5927">
        <v>36951</v>
      </c>
      <c r="G5927">
        <v>-139510</v>
      </c>
      <c r="H5927">
        <v>83095</v>
      </c>
      <c r="I5927">
        <v>86249</v>
      </c>
      <c r="J5927">
        <v>1994</v>
      </c>
      <c r="K5927">
        <v>652528</v>
      </c>
      <c r="L5927">
        <v>281689</v>
      </c>
      <c r="M5927">
        <v>-161159</v>
      </c>
      <c r="N5927">
        <v>55667</v>
      </c>
      <c r="O5927" t="s">
        <v>5945</v>
      </c>
      <c r="P5927" s="9">
        <v>233136</v>
      </c>
      <c r="Q5927" s="9">
        <v>32692</v>
      </c>
      <c r="R5927" s="9">
        <v>265828</v>
      </c>
      <c r="S5927" s="9">
        <v>-75078</v>
      </c>
      <c r="T5927" s="10">
        <v>59025</v>
      </c>
      <c r="U5927" s="10">
        <v>951</v>
      </c>
    </row>
    <row r="5928" spans="1:21" x14ac:dyDescent="0.35">
      <c r="A5928" t="s">
        <v>15</v>
      </c>
      <c r="B5928" t="s">
        <v>16</v>
      </c>
      <c r="C5928" t="s">
        <v>21</v>
      </c>
      <c r="D5928">
        <v>205109</v>
      </c>
      <c r="E5928">
        <v>17848</v>
      </c>
      <c r="F5928">
        <v>26595</v>
      </c>
      <c r="G5928">
        <v>-172225</v>
      </c>
      <c r="H5928">
        <v>77327</v>
      </c>
      <c r="I5928">
        <v>76385</v>
      </c>
      <c r="J5928">
        <v>2113</v>
      </c>
      <c r="K5928">
        <v>643237</v>
      </c>
      <c r="L5928">
        <v>163087</v>
      </c>
      <c r="M5928">
        <v>-226703</v>
      </c>
      <c r="N5928">
        <v>135098</v>
      </c>
      <c r="O5928" t="s">
        <v>5946</v>
      </c>
      <c r="P5928" s="9">
        <v>186841</v>
      </c>
      <c r="Q5928" s="9">
        <v>38020</v>
      </c>
      <c r="R5928" s="9">
        <v>224861</v>
      </c>
      <c r="S5928" s="9">
        <v>-134752</v>
      </c>
      <c r="T5928" s="10">
        <v>101323</v>
      </c>
      <c r="U5928" s="10">
        <v>2155</v>
      </c>
    </row>
    <row r="5929" spans="1:21" x14ac:dyDescent="0.35">
      <c r="A5929" t="s">
        <v>15</v>
      </c>
      <c r="B5929" t="s">
        <v>16</v>
      </c>
      <c r="C5929" t="s">
        <v>21</v>
      </c>
      <c r="D5929">
        <v>279802</v>
      </c>
      <c r="E5929">
        <v>24412</v>
      </c>
      <c r="F5929">
        <v>52169</v>
      </c>
      <c r="G5929">
        <v>-274719</v>
      </c>
      <c r="H5929">
        <v>81664</v>
      </c>
      <c r="I5929">
        <v>80937</v>
      </c>
      <c r="J5929">
        <v>1109</v>
      </c>
      <c r="K5929">
        <v>624143</v>
      </c>
      <c r="L5929">
        <v>161147</v>
      </c>
      <c r="M5929">
        <v>-145791</v>
      </c>
      <c r="N5929">
        <v>215679</v>
      </c>
      <c r="O5929" t="s">
        <v>5947</v>
      </c>
      <c r="P5929" s="9">
        <v>138886</v>
      </c>
      <c r="Q5929" s="9">
        <v>21240</v>
      </c>
      <c r="R5929" s="9">
        <v>160126</v>
      </c>
      <c r="S5929" s="9">
        <v>-43439</v>
      </c>
      <c r="T5929" s="10">
        <v>76033</v>
      </c>
      <c r="U5929" s="10">
        <v>1465</v>
      </c>
    </row>
    <row r="5930" spans="1:21" x14ac:dyDescent="0.35">
      <c r="A5930" t="s">
        <v>15</v>
      </c>
      <c r="B5930" t="s">
        <v>16</v>
      </c>
      <c r="C5930" t="s">
        <v>21</v>
      </c>
      <c r="D5930">
        <v>246728</v>
      </c>
      <c r="E5930">
        <v>48154</v>
      </c>
      <c r="F5930">
        <v>54493</v>
      </c>
      <c r="G5930">
        <v>-218391</v>
      </c>
      <c r="H5930">
        <v>130984</v>
      </c>
      <c r="I5930">
        <v>118920</v>
      </c>
      <c r="J5930">
        <v>1853</v>
      </c>
      <c r="K5930">
        <v>824223</v>
      </c>
      <c r="L5930">
        <v>112815</v>
      </c>
      <c r="M5930">
        <v>-207800</v>
      </c>
      <c r="N5930">
        <v>172563</v>
      </c>
      <c r="O5930" t="s">
        <v>5948</v>
      </c>
      <c r="P5930" s="9">
        <v>287271</v>
      </c>
      <c r="Q5930" s="9">
        <v>39362</v>
      </c>
      <c r="R5930" s="9">
        <v>326633</v>
      </c>
      <c r="S5930" s="9">
        <v>-91924</v>
      </c>
      <c r="T5930" s="10">
        <v>120177</v>
      </c>
      <c r="U5930" s="10">
        <v>3317</v>
      </c>
    </row>
    <row r="5931" spans="1:21" x14ac:dyDescent="0.35">
      <c r="A5931" t="s">
        <v>15</v>
      </c>
      <c r="B5931" t="s">
        <v>16</v>
      </c>
      <c r="C5931" t="s">
        <v>21</v>
      </c>
      <c r="D5931">
        <v>251284</v>
      </c>
      <c r="E5931">
        <v>44084</v>
      </c>
      <c r="F5931">
        <v>60531</v>
      </c>
      <c r="G5931">
        <v>-216053</v>
      </c>
      <c r="H5931">
        <v>139846</v>
      </c>
      <c r="I5931">
        <v>145964</v>
      </c>
      <c r="J5931">
        <v>1658</v>
      </c>
      <c r="K5931">
        <v>503082</v>
      </c>
      <c r="L5931">
        <v>71232</v>
      </c>
      <c r="M5931">
        <v>-90917</v>
      </c>
      <c r="N5931">
        <v>167443</v>
      </c>
      <c r="O5931" t="s">
        <v>5949</v>
      </c>
      <c r="P5931" s="9">
        <v>253752</v>
      </c>
      <c r="Q5931" s="9">
        <v>51353</v>
      </c>
      <c r="R5931" s="9">
        <v>305105</v>
      </c>
      <c r="S5931" s="9">
        <v>-167881</v>
      </c>
      <c r="T5931" s="10">
        <v>129405</v>
      </c>
      <c r="U5931" s="10">
        <v>3797</v>
      </c>
    </row>
    <row r="5932" spans="1:21" x14ac:dyDescent="0.35">
      <c r="A5932" t="s">
        <v>15</v>
      </c>
      <c r="B5932" t="s">
        <v>16</v>
      </c>
      <c r="C5932" t="s">
        <v>21</v>
      </c>
      <c r="D5932">
        <v>277673</v>
      </c>
      <c r="E5932">
        <v>36646</v>
      </c>
      <c r="F5932">
        <v>44823</v>
      </c>
      <c r="G5932">
        <v>-269943</v>
      </c>
      <c r="H5932">
        <v>89199</v>
      </c>
      <c r="I5932">
        <v>90426</v>
      </c>
      <c r="J5932">
        <v>2289</v>
      </c>
      <c r="K5932">
        <v>558066</v>
      </c>
      <c r="L5932">
        <v>69637</v>
      </c>
      <c r="M5932">
        <v>-105417</v>
      </c>
      <c r="N5932">
        <v>113392</v>
      </c>
      <c r="O5932" t="s">
        <v>5950</v>
      </c>
      <c r="P5932" s="9">
        <v>171854</v>
      </c>
      <c r="Q5932" s="9">
        <v>12448</v>
      </c>
      <c r="R5932" s="9">
        <v>184302</v>
      </c>
      <c r="S5932" s="9">
        <v>-73086</v>
      </c>
      <c r="T5932" s="10">
        <v>41861</v>
      </c>
      <c r="U5932" s="10">
        <v>1200</v>
      </c>
    </row>
    <row r="5933" spans="1:21" x14ac:dyDescent="0.35">
      <c r="A5933" t="s">
        <v>15</v>
      </c>
      <c r="B5933" t="s">
        <v>16</v>
      </c>
      <c r="C5933" t="s">
        <v>21</v>
      </c>
      <c r="D5933">
        <v>228571</v>
      </c>
      <c r="E5933">
        <v>15034</v>
      </c>
      <c r="F5933">
        <v>34613</v>
      </c>
      <c r="G5933">
        <v>-191564</v>
      </c>
      <c r="H5933">
        <v>86654</v>
      </c>
      <c r="I5933">
        <v>84481</v>
      </c>
      <c r="J5933">
        <v>2187</v>
      </c>
      <c r="K5933">
        <v>818623</v>
      </c>
      <c r="L5933">
        <v>218621</v>
      </c>
      <c r="M5933">
        <v>-300509</v>
      </c>
      <c r="N5933">
        <v>88945</v>
      </c>
      <c r="O5933" t="s">
        <v>5951</v>
      </c>
      <c r="P5933" s="9">
        <v>164223</v>
      </c>
      <c r="Q5933" s="9">
        <v>11730</v>
      </c>
      <c r="R5933" s="9">
        <v>175953</v>
      </c>
      <c r="S5933" s="9">
        <v>-97715</v>
      </c>
      <c r="T5933" s="10">
        <v>62089</v>
      </c>
      <c r="U5933" s="10">
        <v>1444</v>
      </c>
    </row>
    <row r="5934" spans="1:21" x14ac:dyDescent="0.35">
      <c r="A5934" t="s">
        <v>15</v>
      </c>
      <c r="B5934" t="s">
        <v>16</v>
      </c>
      <c r="C5934" t="s">
        <v>21</v>
      </c>
      <c r="D5934">
        <v>261340</v>
      </c>
      <c r="E5934">
        <v>43078</v>
      </c>
      <c r="F5934">
        <v>39729</v>
      </c>
      <c r="G5934">
        <v>-249288</v>
      </c>
      <c r="H5934">
        <v>94859</v>
      </c>
      <c r="I5934">
        <v>87221</v>
      </c>
      <c r="J5934">
        <v>1321</v>
      </c>
      <c r="K5934">
        <v>840199</v>
      </c>
      <c r="L5934">
        <v>212602</v>
      </c>
      <c r="M5934">
        <v>-169543</v>
      </c>
      <c r="N5934">
        <v>160614</v>
      </c>
      <c r="O5934" t="s">
        <v>5952</v>
      </c>
      <c r="P5934" s="9">
        <v>176956</v>
      </c>
      <c r="Q5934" s="9">
        <v>32491</v>
      </c>
      <c r="R5934" s="9">
        <v>209447</v>
      </c>
      <c r="S5934" s="9">
        <v>-116748</v>
      </c>
      <c r="T5934" s="10">
        <v>92958</v>
      </c>
      <c r="U5934" s="10">
        <v>2064</v>
      </c>
    </row>
    <row r="5935" spans="1:21" x14ac:dyDescent="0.35">
      <c r="A5935" t="s">
        <v>15</v>
      </c>
      <c r="B5935" t="s">
        <v>20</v>
      </c>
      <c r="C5935" t="s">
        <v>17</v>
      </c>
      <c r="D5935">
        <v>206922</v>
      </c>
      <c r="E5935">
        <v>18615</v>
      </c>
      <c r="F5935">
        <v>49613</v>
      </c>
      <c r="G5935">
        <v>-196997</v>
      </c>
      <c r="H5935">
        <v>78153</v>
      </c>
      <c r="I5935">
        <v>78253</v>
      </c>
      <c r="J5935">
        <v>1973</v>
      </c>
      <c r="K5935">
        <v>788221</v>
      </c>
      <c r="L5935">
        <v>201109</v>
      </c>
      <c r="M5935">
        <v>-275195</v>
      </c>
      <c r="N5935">
        <v>99163</v>
      </c>
      <c r="O5935" t="s">
        <v>5953</v>
      </c>
      <c r="P5935" s="9">
        <v>209005</v>
      </c>
      <c r="Q5935" s="9">
        <v>29082</v>
      </c>
      <c r="R5935" s="9">
        <v>238087</v>
      </c>
      <c r="S5935" s="9">
        <v>-107878</v>
      </c>
      <c r="T5935" s="10">
        <v>84311</v>
      </c>
      <c r="U5935" s="10">
        <v>2279</v>
      </c>
    </row>
    <row r="5936" spans="1:21" x14ac:dyDescent="0.35">
      <c r="A5936" t="s">
        <v>15</v>
      </c>
      <c r="B5936" t="s">
        <v>20</v>
      </c>
      <c r="C5936" t="s">
        <v>21</v>
      </c>
      <c r="D5936">
        <v>225432</v>
      </c>
      <c r="E5936">
        <v>22439</v>
      </c>
      <c r="F5936">
        <v>25593</v>
      </c>
      <c r="G5936">
        <v>-220724</v>
      </c>
      <c r="H5936">
        <v>52740</v>
      </c>
      <c r="I5936">
        <v>51164</v>
      </c>
      <c r="J5936">
        <v>579</v>
      </c>
      <c r="K5936">
        <v>785813</v>
      </c>
      <c r="L5936">
        <v>379787</v>
      </c>
      <c r="M5936">
        <v>-215872</v>
      </c>
      <c r="N5936">
        <v>136591</v>
      </c>
      <c r="O5936" t="s">
        <v>5954</v>
      </c>
      <c r="P5936" s="9">
        <v>249095</v>
      </c>
      <c r="Q5936" s="9">
        <v>22553</v>
      </c>
      <c r="R5936" s="9">
        <v>271648</v>
      </c>
      <c r="S5936" s="9">
        <v>-121644</v>
      </c>
      <c r="T5936" s="10">
        <v>87403</v>
      </c>
      <c r="U5936" s="10">
        <v>1123</v>
      </c>
    </row>
    <row r="5937" spans="1:21" x14ac:dyDescent="0.35">
      <c r="A5937" t="s">
        <v>15</v>
      </c>
      <c r="B5937" t="s">
        <v>16</v>
      </c>
      <c r="C5937" t="s">
        <v>17</v>
      </c>
      <c r="D5937">
        <v>195569</v>
      </c>
      <c r="E5937">
        <v>17805</v>
      </c>
      <c r="F5937">
        <v>41034</v>
      </c>
      <c r="G5937">
        <v>-170172</v>
      </c>
      <c r="H5937">
        <v>84236</v>
      </c>
      <c r="I5937">
        <v>82799</v>
      </c>
      <c r="J5937">
        <v>2171</v>
      </c>
      <c r="K5937">
        <v>616791</v>
      </c>
      <c r="L5937">
        <v>292274</v>
      </c>
      <c r="M5937">
        <v>-72020</v>
      </c>
      <c r="N5937">
        <v>126881</v>
      </c>
      <c r="O5937" t="s">
        <v>5955</v>
      </c>
      <c r="P5937" s="9">
        <v>235986</v>
      </c>
      <c r="Q5937" s="9">
        <v>37251</v>
      </c>
      <c r="R5937" s="9">
        <v>273237</v>
      </c>
      <c r="S5937" s="9">
        <v>-78095</v>
      </c>
      <c r="T5937" s="10">
        <v>127628</v>
      </c>
      <c r="U5937" s="10">
        <v>2801</v>
      </c>
    </row>
    <row r="5938" spans="1:21" x14ac:dyDescent="0.35">
      <c r="A5938" t="s">
        <v>15</v>
      </c>
      <c r="B5938" t="s">
        <v>20</v>
      </c>
      <c r="C5938" t="s">
        <v>17</v>
      </c>
      <c r="D5938">
        <v>207415</v>
      </c>
      <c r="E5938">
        <v>18361</v>
      </c>
      <c r="F5938">
        <v>40537</v>
      </c>
      <c r="G5938">
        <v>-183136</v>
      </c>
      <c r="H5938">
        <v>83177</v>
      </c>
      <c r="I5938">
        <v>78608</v>
      </c>
      <c r="J5938">
        <v>1051</v>
      </c>
      <c r="K5938">
        <v>675281</v>
      </c>
      <c r="L5938">
        <v>224458</v>
      </c>
      <c r="M5938">
        <v>-164566</v>
      </c>
      <c r="N5938">
        <v>109556</v>
      </c>
      <c r="O5938" t="s">
        <v>5956</v>
      </c>
      <c r="P5938" s="9">
        <v>164733</v>
      </c>
      <c r="Q5938" s="9">
        <v>29892</v>
      </c>
      <c r="R5938" s="9">
        <v>194625</v>
      </c>
      <c r="S5938" s="9">
        <v>-112862</v>
      </c>
      <c r="T5938" s="10">
        <v>66542</v>
      </c>
      <c r="U5938" s="10">
        <v>1004</v>
      </c>
    </row>
    <row r="5939" spans="1:21" x14ac:dyDescent="0.35">
      <c r="A5939" t="s">
        <v>15</v>
      </c>
      <c r="B5939" t="s">
        <v>20</v>
      </c>
      <c r="C5939" t="s">
        <v>17</v>
      </c>
      <c r="D5939">
        <v>225520</v>
      </c>
      <c r="E5939">
        <v>17977</v>
      </c>
      <c r="F5939">
        <v>38692</v>
      </c>
      <c r="G5939">
        <v>-195723</v>
      </c>
      <c r="H5939">
        <v>86466</v>
      </c>
      <c r="I5939">
        <v>79666</v>
      </c>
      <c r="J5939">
        <v>1124</v>
      </c>
      <c r="K5939">
        <v>625287</v>
      </c>
      <c r="L5939">
        <v>179086</v>
      </c>
      <c r="M5939">
        <v>-93819</v>
      </c>
      <c r="N5939">
        <v>186780</v>
      </c>
      <c r="O5939" t="s">
        <v>5957</v>
      </c>
      <c r="P5939" s="9">
        <v>218937</v>
      </c>
      <c r="Q5939" s="9">
        <v>40196</v>
      </c>
      <c r="R5939" s="9">
        <v>259133</v>
      </c>
      <c r="S5939" s="9">
        <v>-52688</v>
      </c>
      <c r="T5939" s="10">
        <v>121328</v>
      </c>
      <c r="U5939" s="10">
        <v>1509</v>
      </c>
    </row>
    <row r="5940" spans="1:21" x14ac:dyDescent="0.35">
      <c r="A5940" t="s">
        <v>15</v>
      </c>
      <c r="B5940" t="s">
        <v>20</v>
      </c>
      <c r="C5940" t="s">
        <v>17</v>
      </c>
      <c r="D5940">
        <v>164992</v>
      </c>
      <c r="E5940">
        <v>15934</v>
      </c>
      <c r="F5940">
        <v>31231</v>
      </c>
      <c r="G5940">
        <v>-141235</v>
      </c>
      <c r="H5940">
        <v>70922</v>
      </c>
      <c r="I5940">
        <v>64187</v>
      </c>
      <c r="J5940">
        <v>1566</v>
      </c>
      <c r="K5940">
        <v>331650</v>
      </c>
      <c r="L5940">
        <v>126243</v>
      </c>
      <c r="M5940">
        <v>-43594</v>
      </c>
      <c r="N5940">
        <v>82402</v>
      </c>
      <c r="O5940" t="s">
        <v>5958</v>
      </c>
      <c r="P5940" s="9">
        <v>235985</v>
      </c>
      <c r="Q5940" s="9">
        <v>25333</v>
      </c>
      <c r="R5940" s="9">
        <v>261318</v>
      </c>
      <c r="S5940" s="9">
        <v>-134597</v>
      </c>
      <c r="T5940" s="10">
        <v>68402</v>
      </c>
      <c r="U5940" s="10">
        <v>1355</v>
      </c>
    </row>
    <row r="5941" spans="1:21" x14ac:dyDescent="0.35">
      <c r="A5941" t="s">
        <v>15</v>
      </c>
      <c r="B5941" t="s">
        <v>20</v>
      </c>
      <c r="C5941" t="s">
        <v>21</v>
      </c>
      <c r="D5941">
        <v>258271</v>
      </c>
      <c r="E5941">
        <v>18874</v>
      </c>
      <c r="F5941">
        <v>39197</v>
      </c>
      <c r="G5941">
        <v>-212537</v>
      </c>
      <c r="H5941">
        <v>103805</v>
      </c>
      <c r="I5941">
        <v>102392</v>
      </c>
      <c r="J5941">
        <v>1649</v>
      </c>
      <c r="K5941">
        <v>559146</v>
      </c>
      <c r="L5941">
        <v>131297</v>
      </c>
      <c r="M5941">
        <v>-61582</v>
      </c>
      <c r="N5941">
        <v>82335</v>
      </c>
      <c r="O5941" t="s">
        <v>5959</v>
      </c>
      <c r="P5941" s="9">
        <v>236682</v>
      </c>
      <c r="Q5941" s="9">
        <v>26832</v>
      </c>
      <c r="R5941" s="9">
        <v>263514</v>
      </c>
      <c r="S5941" s="9">
        <v>-93140</v>
      </c>
      <c r="T5941" s="10">
        <v>78929</v>
      </c>
      <c r="U5941" s="10">
        <v>1437</v>
      </c>
    </row>
    <row r="5942" spans="1:21" x14ac:dyDescent="0.35">
      <c r="A5942" t="s">
        <v>15</v>
      </c>
      <c r="B5942" t="s">
        <v>20</v>
      </c>
      <c r="C5942" t="s">
        <v>21</v>
      </c>
      <c r="D5942">
        <v>153990</v>
      </c>
      <c r="E5942">
        <v>25999</v>
      </c>
      <c r="F5942">
        <v>18882</v>
      </c>
      <c r="G5942">
        <v>-124362</v>
      </c>
      <c r="H5942">
        <v>74509</v>
      </c>
      <c r="I5942">
        <v>74412</v>
      </c>
      <c r="J5942">
        <v>2068</v>
      </c>
      <c r="K5942">
        <v>494324</v>
      </c>
      <c r="L5942">
        <v>63556</v>
      </c>
      <c r="M5942">
        <v>-78988</v>
      </c>
      <c r="N5942">
        <v>64374</v>
      </c>
      <c r="O5942" t="s">
        <v>5960</v>
      </c>
      <c r="P5942" s="9">
        <v>264751</v>
      </c>
      <c r="Q5942" s="9">
        <v>35357</v>
      </c>
      <c r="R5942" s="9">
        <v>300108</v>
      </c>
      <c r="S5942" s="9">
        <v>-170427</v>
      </c>
      <c r="T5942" s="10">
        <v>96874</v>
      </c>
      <c r="U5942" s="10">
        <v>1307</v>
      </c>
    </row>
    <row r="5943" spans="1:21" x14ac:dyDescent="0.35">
      <c r="A5943" t="s">
        <v>15</v>
      </c>
      <c r="B5943" t="s">
        <v>16</v>
      </c>
      <c r="C5943" t="s">
        <v>17</v>
      </c>
      <c r="D5943">
        <v>150736</v>
      </c>
      <c r="E5943">
        <v>29018</v>
      </c>
      <c r="F5943">
        <v>31780</v>
      </c>
      <c r="G5943">
        <v>-147828</v>
      </c>
      <c r="H5943">
        <v>63706</v>
      </c>
      <c r="I5943">
        <v>61555</v>
      </c>
      <c r="J5943">
        <v>1813</v>
      </c>
      <c r="K5943">
        <v>487538</v>
      </c>
      <c r="L5943">
        <v>155812</v>
      </c>
      <c r="M5943">
        <v>-173075</v>
      </c>
      <c r="N5943">
        <v>73187</v>
      </c>
      <c r="O5943" t="s">
        <v>5961</v>
      </c>
      <c r="P5943" s="9">
        <v>257866</v>
      </c>
      <c r="Q5943" s="9">
        <v>31854</v>
      </c>
      <c r="R5943" s="9">
        <v>289720</v>
      </c>
      <c r="S5943" s="9">
        <v>-166171</v>
      </c>
      <c r="T5943" s="10">
        <v>114811</v>
      </c>
      <c r="U5943" s="10">
        <v>1939</v>
      </c>
    </row>
    <row r="5944" spans="1:21" x14ac:dyDescent="0.35">
      <c r="A5944" t="s">
        <v>15</v>
      </c>
      <c r="B5944" t="s">
        <v>16</v>
      </c>
      <c r="C5944" t="s">
        <v>17</v>
      </c>
      <c r="D5944">
        <v>201995</v>
      </c>
      <c r="E5944">
        <v>38609</v>
      </c>
      <c r="F5944">
        <v>44209</v>
      </c>
      <c r="G5944">
        <v>-179820</v>
      </c>
      <c r="H5944">
        <v>104993</v>
      </c>
      <c r="I5944">
        <v>96390</v>
      </c>
      <c r="J5944">
        <v>2830</v>
      </c>
      <c r="K5944">
        <v>420092</v>
      </c>
      <c r="L5944">
        <v>147352</v>
      </c>
      <c r="M5944">
        <v>-166862</v>
      </c>
      <c r="N5944">
        <v>93441</v>
      </c>
      <c r="O5944" t="s">
        <v>5962</v>
      </c>
      <c r="P5944" s="9">
        <v>172915</v>
      </c>
      <c r="Q5944" s="9">
        <v>27845</v>
      </c>
      <c r="R5944" s="9">
        <v>200760</v>
      </c>
      <c r="S5944" s="9">
        <v>-95323</v>
      </c>
      <c r="T5944" s="10">
        <v>81008</v>
      </c>
      <c r="U5944" s="10">
        <v>1944</v>
      </c>
    </row>
    <row r="5945" spans="1:21" x14ac:dyDescent="0.35">
      <c r="A5945" t="s">
        <v>15</v>
      </c>
      <c r="B5945" t="s">
        <v>20</v>
      </c>
      <c r="C5945" t="s">
        <v>17</v>
      </c>
      <c r="D5945">
        <v>265446</v>
      </c>
      <c r="E5945">
        <v>14061</v>
      </c>
      <c r="F5945">
        <v>51178</v>
      </c>
      <c r="G5945">
        <v>-232273</v>
      </c>
      <c r="H5945">
        <v>98412</v>
      </c>
      <c r="I5945">
        <v>94252</v>
      </c>
      <c r="J5945">
        <v>1100</v>
      </c>
      <c r="K5945">
        <v>618599</v>
      </c>
      <c r="L5945">
        <v>131525</v>
      </c>
      <c r="M5945">
        <v>-78262</v>
      </c>
      <c r="N5945">
        <v>110874</v>
      </c>
      <c r="O5945" t="s">
        <v>5963</v>
      </c>
      <c r="P5945" s="9">
        <v>165108</v>
      </c>
      <c r="Q5945" s="9">
        <v>16834</v>
      </c>
      <c r="R5945" s="9">
        <v>181942</v>
      </c>
      <c r="S5945" s="9">
        <v>-97356</v>
      </c>
      <c r="T5945" s="10">
        <v>67945</v>
      </c>
      <c r="U5945" s="10">
        <v>1061</v>
      </c>
    </row>
    <row r="5946" spans="1:21" x14ac:dyDescent="0.35">
      <c r="A5946" t="s">
        <v>15</v>
      </c>
      <c r="B5946" t="s">
        <v>20</v>
      </c>
      <c r="C5946" t="s">
        <v>21</v>
      </c>
      <c r="D5946">
        <v>196806</v>
      </c>
      <c r="E5946">
        <v>27947</v>
      </c>
      <c r="F5946">
        <v>42092</v>
      </c>
      <c r="G5946">
        <v>-164583</v>
      </c>
      <c r="H5946">
        <v>102262</v>
      </c>
      <c r="I5946">
        <v>95912</v>
      </c>
      <c r="J5946">
        <v>2513</v>
      </c>
      <c r="K5946">
        <v>720873</v>
      </c>
      <c r="L5946">
        <v>259536</v>
      </c>
      <c r="M5946">
        <v>-144740</v>
      </c>
      <c r="N5946">
        <v>124860</v>
      </c>
      <c r="O5946" t="s">
        <v>5964</v>
      </c>
      <c r="P5946" s="9">
        <v>213530</v>
      </c>
      <c r="Q5946" s="9">
        <v>26773</v>
      </c>
      <c r="R5946" s="9">
        <v>240303</v>
      </c>
      <c r="S5946" s="9">
        <v>-94834</v>
      </c>
      <c r="T5946" s="10">
        <v>88839</v>
      </c>
      <c r="U5946" s="10">
        <v>995</v>
      </c>
    </row>
    <row r="5947" spans="1:21" x14ac:dyDescent="0.35">
      <c r="A5947" t="s">
        <v>15</v>
      </c>
      <c r="B5947" t="s">
        <v>16</v>
      </c>
      <c r="C5947" t="s">
        <v>21</v>
      </c>
      <c r="D5947">
        <v>242443</v>
      </c>
      <c r="E5947">
        <v>34664</v>
      </c>
      <c r="F5947">
        <v>57704</v>
      </c>
      <c r="G5947">
        <v>-240896</v>
      </c>
      <c r="H5947">
        <v>93915</v>
      </c>
      <c r="I5947">
        <v>91273</v>
      </c>
      <c r="J5947">
        <v>1498</v>
      </c>
      <c r="K5947">
        <v>514141</v>
      </c>
      <c r="L5947">
        <v>131275</v>
      </c>
      <c r="M5947">
        <v>-88218</v>
      </c>
      <c r="N5947">
        <v>86590</v>
      </c>
      <c r="O5947" t="s">
        <v>5965</v>
      </c>
      <c r="P5947" s="9">
        <v>169283</v>
      </c>
      <c r="Q5947" s="9">
        <v>30360</v>
      </c>
      <c r="R5947" s="9">
        <v>199643</v>
      </c>
      <c r="S5947" s="9">
        <v>-110688</v>
      </c>
      <c r="T5947" s="10">
        <v>81170</v>
      </c>
      <c r="U5947" s="10">
        <v>2020</v>
      </c>
    </row>
    <row r="5948" spans="1:21" x14ac:dyDescent="0.35">
      <c r="A5948" t="s">
        <v>15</v>
      </c>
      <c r="B5948" t="s">
        <v>16</v>
      </c>
      <c r="C5948" t="s">
        <v>21</v>
      </c>
      <c r="D5948">
        <v>154357</v>
      </c>
      <c r="E5948">
        <v>27944</v>
      </c>
      <c r="F5948">
        <v>27212</v>
      </c>
      <c r="G5948">
        <v>-133694</v>
      </c>
      <c r="H5948">
        <v>75819</v>
      </c>
      <c r="I5948">
        <v>68969</v>
      </c>
      <c r="J5948">
        <v>1812</v>
      </c>
      <c r="K5948">
        <v>332261</v>
      </c>
      <c r="L5948">
        <v>56421</v>
      </c>
      <c r="M5948">
        <v>-58500</v>
      </c>
      <c r="N5948">
        <v>54596</v>
      </c>
      <c r="O5948" t="s">
        <v>5966</v>
      </c>
      <c r="P5948" s="9">
        <v>263870</v>
      </c>
      <c r="Q5948" s="9">
        <v>43884</v>
      </c>
      <c r="R5948" s="9">
        <v>307754</v>
      </c>
      <c r="S5948" s="9">
        <v>-98137</v>
      </c>
      <c r="T5948" s="10">
        <v>145834</v>
      </c>
      <c r="U5948" s="10">
        <v>2269</v>
      </c>
    </row>
    <row r="5949" spans="1:21" x14ac:dyDescent="0.35">
      <c r="A5949" t="s">
        <v>15</v>
      </c>
      <c r="B5949" t="s">
        <v>20</v>
      </c>
      <c r="C5949" t="s">
        <v>21</v>
      </c>
      <c r="D5949">
        <v>178343</v>
      </c>
      <c r="E5949">
        <v>10873</v>
      </c>
      <c r="F5949">
        <v>25580</v>
      </c>
      <c r="G5949">
        <v>-157616</v>
      </c>
      <c r="H5949">
        <v>57180</v>
      </c>
      <c r="I5949">
        <v>53565</v>
      </c>
      <c r="J5949">
        <v>1004</v>
      </c>
      <c r="K5949">
        <v>547099</v>
      </c>
      <c r="L5949">
        <v>251698</v>
      </c>
      <c r="M5949">
        <v>-177527</v>
      </c>
      <c r="N5949">
        <v>68984</v>
      </c>
      <c r="O5949" t="s">
        <v>5967</v>
      </c>
      <c r="P5949" s="9">
        <v>175808</v>
      </c>
      <c r="Q5949" s="9">
        <v>25948</v>
      </c>
      <c r="R5949" s="9">
        <v>201756</v>
      </c>
      <c r="S5949" s="9">
        <v>-97059</v>
      </c>
      <c r="T5949" s="10">
        <v>75432</v>
      </c>
      <c r="U5949" s="10">
        <v>1418</v>
      </c>
    </row>
    <row r="5950" spans="1:21" x14ac:dyDescent="0.35">
      <c r="A5950" t="s">
        <v>15</v>
      </c>
      <c r="B5950" t="s">
        <v>16</v>
      </c>
      <c r="C5950" t="s">
        <v>17</v>
      </c>
      <c r="D5950">
        <v>249830</v>
      </c>
      <c r="E5950">
        <v>21512</v>
      </c>
      <c r="F5950">
        <v>29955</v>
      </c>
      <c r="G5950">
        <v>-246107</v>
      </c>
      <c r="H5950">
        <v>55190</v>
      </c>
      <c r="I5950">
        <v>50817</v>
      </c>
      <c r="J5950">
        <v>578</v>
      </c>
      <c r="K5950">
        <v>529244</v>
      </c>
      <c r="L5950">
        <v>264178</v>
      </c>
      <c r="M5950">
        <v>-119236</v>
      </c>
      <c r="N5950">
        <v>82560</v>
      </c>
      <c r="O5950" t="s">
        <v>5968</v>
      </c>
      <c r="P5950" s="9">
        <v>196566</v>
      </c>
      <c r="Q5950" s="9">
        <v>29086</v>
      </c>
      <c r="R5950" s="9">
        <v>225652</v>
      </c>
      <c r="S5950" s="9">
        <v>-50162</v>
      </c>
      <c r="T5950" s="10">
        <v>93241</v>
      </c>
      <c r="U5950" s="10">
        <v>1051</v>
      </c>
    </row>
    <row r="5951" spans="1:21" x14ac:dyDescent="0.35">
      <c r="A5951" t="s">
        <v>15</v>
      </c>
      <c r="B5951" t="s">
        <v>16</v>
      </c>
      <c r="C5951" t="s">
        <v>21</v>
      </c>
      <c r="D5951">
        <v>177261</v>
      </c>
      <c r="E5951">
        <v>23540</v>
      </c>
      <c r="F5951">
        <v>27690</v>
      </c>
      <c r="G5951">
        <v>-160230</v>
      </c>
      <c r="H5951">
        <v>68261</v>
      </c>
      <c r="I5951">
        <v>65761</v>
      </c>
      <c r="J5951">
        <v>1604</v>
      </c>
      <c r="K5951">
        <v>659090</v>
      </c>
      <c r="L5951">
        <v>321483</v>
      </c>
      <c r="M5951">
        <v>-178301</v>
      </c>
      <c r="N5951">
        <v>157560</v>
      </c>
      <c r="O5951" t="s">
        <v>5969</v>
      </c>
      <c r="P5951" s="9">
        <v>253513</v>
      </c>
      <c r="Q5951" s="9">
        <v>29950</v>
      </c>
      <c r="R5951" s="9">
        <v>283463</v>
      </c>
      <c r="S5951" s="9">
        <v>-70465</v>
      </c>
      <c r="T5951" s="10">
        <v>74835</v>
      </c>
      <c r="U5951" s="10">
        <v>1700</v>
      </c>
    </row>
    <row r="5952" spans="1:21" x14ac:dyDescent="0.35">
      <c r="A5952" t="s">
        <v>15</v>
      </c>
      <c r="B5952" t="s">
        <v>16</v>
      </c>
      <c r="C5952" t="s">
        <v>21</v>
      </c>
      <c r="D5952">
        <v>162756</v>
      </c>
      <c r="E5952">
        <v>31959</v>
      </c>
      <c r="F5952">
        <v>17834</v>
      </c>
      <c r="G5952">
        <v>-155719</v>
      </c>
      <c r="H5952">
        <v>56830</v>
      </c>
      <c r="I5952">
        <v>59425</v>
      </c>
      <c r="J5952">
        <v>1377</v>
      </c>
      <c r="K5952">
        <v>502011</v>
      </c>
      <c r="L5952">
        <v>125297</v>
      </c>
      <c r="M5952">
        <v>-126585</v>
      </c>
      <c r="N5952">
        <v>48951</v>
      </c>
      <c r="O5952" t="s">
        <v>5970</v>
      </c>
      <c r="P5952" s="9">
        <v>166372</v>
      </c>
      <c r="Q5952" s="9">
        <v>33272</v>
      </c>
      <c r="R5952" s="9">
        <v>199644</v>
      </c>
      <c r="S5952" s="9">
        <v>-91985</v>
      </c>
      <c r="T5952" s="10">
        <v>86717</v>
      </c>
      <c r="U5952" s="10">
        <v>1395</v>
      </c>
    </row>
    <row r="5953" spans="1:21" x14ac:dyDescent="0.35">
      <c r="A5953" t="s">
        <v>15</v>
      </c>
      <c r="B5953" t="s">
        <v>20</v>
      </c>
      <c r="C5953" t="s">
        <v>17</v>
      </c>
      <c r="D5953">
        <v>191717</v>
      </c>
      <c r="E5953">
        <v>28831</v>
      </c>
      <c r="F5953">
        <v>45256</v>
      </c>
      <c r="G5953">
        <v>-184565</v>
      </c>
      <c r="H5953">
        <v>81239</v>
      </c>
      <c r="I5953">
        <v>84956</v>
      </c>
      <c r="J5953">
        <v>1034</v>
      </c>
      <c r="K5953">
        <v>743663</v>
      </c>
      <c r="L5953">
        <v>117051</v>
      </c>
      <c r="M5953">
        <v>-125871</v>
      </c>
      <c r="N5953">
        <v>137546</v>
      </c>
      <c r="O5953" t="s">
        <v>5971</v>
      </c>
      <c r="P5953" s="9">
        <v>179718</v>
      </c>
      <c r="Q5953" s="9">
        <v>23282</v>
      </c>
      <c r="R5953" s="9">
        <v>203000</v>
      </c>
      <c r="S5953" s="9">
        <v>-97729</v>
      </c>
      <c r="T5953" s="10">
        <v>84550</v>
      </c>
      <c r="U5953" s="10">
        <v>2374</v>
      </c>
    </row>
    <row r="5954" spans="1:21" x14ac:dyDescent="0.35">
      <c r="A5954" t="s">
        <v>15</v>
      </c>
      <c r="B5954" t="s">
        <v>16</v>
      </c>
      <c r="C5954" t="s">
        <v>21</v>
      </c>
      <c r="D5954">
        <v>298010</v>
      </c>
      <c r="E5954">
        <v>52686</v>
      </c>
      <c r="F5954">
        <v>73445</v>
      </c>
      <c r="G5954">
        <v>-253506</v>
      </c>
      <c r="H5954">
        <v>170635</v>
      </c>
      <c r="I5954">
        <v>160423</v>
      </c>
      <c r="J5954">
        <v>2671</v>
      </c>
      <c r="K5954">
        <v>1103527</v>
      </c>
      <c r="L5954">
        <v>400418</v>
      </c>
      <c r="M5954">
        <v>-205015</v>
      </c>
      <c r="N5954">
        <v>209181</v>
      </c>
      <c r="O5954" t="s">
        <v>5972</v>
      </c>
      <c r="P5954" s="9">
        <v>167366</v>
      </c>
      <c r="Q5954" s="9">
        <v>18102</v>
      </c>
      <c r="R5954" s="9">
        <v>185468</v>
      </c>
      <c r="S5954" s="9">
        <v>-74830</v>
      </c>
      <c r="T5954" s="10">
        <v>73120</v>
      </c>
      <c r="U5954" s="10">
        <v>1335</v>
      </c>
    </row>
    <row r="5955" spans="1:21" x14ac:dyDescent="0.35">
      <c r="A5955" t="s">
        <v>15</v>
      </c>
      <c r="B5955" t="s">
        <v>16</v>
      </c>
      <c r="C5955" t="s">
        <v>21</v>
      </c>
      <c r="D5955">
        <v>202703</v>
      </c>
      <c r="E5955">
        <v>19714</v>
      </c>
      <c r="F5955">
        <v>44503</v>
      </c>
      <c r="G5955">
        <v>-186266</v>
      </c>
      <c r="H5955">
        <v>80654</v>
      </c>
      <c r="I5955">
        <v>84035</v>
      </c>
      <c r="J5955">
        <v>2502</v>
      </c>
      <c r="K5955">
        <v>640907</v>
      </c>
      <c r="L5955">
        <v>152968</v>
      </c>
      <c r="M5955">
        <v>-72776</v>
      </c>
      <c r="N5955">
        <v>66030</v>
      </c>
      <c r="O5955" t="s">
        <v>5973</v>
      </c>
      <c r="P5955" s="9">
        <v>196796</v>
      </c>
      <c r="Q5955" s="9">
        <v>14042</v>
      </c>
      <c r="R5955" s="9">
        <v>210838</v>
      </c>
      <c r="S5955" s="9">
        <v>-59242</v>
      </c>
      <c r="T5955" s="10">
        <v>61611</v>
      </c>
      <c r="U5955" s="10">
        <v>828</v>
      </c>
    </row>
    <row r="5956" spans="1:21" x14ac:dyDescent="0.35">
      <c r="A5956" t="s">
        <v>15</v>
      </c>
      <c r="B5956" t="s">
        <v>16</v>
      </c>
      <c r="C5956" t="s">
        <v>17</v>
      </c>
      <c r="D5956">
        <v>151585</v>
      </c>
      <c r="E5956">
        <v>18849</v>
      </c>
      <c r="F5956">
        <v>15883</v>
      </c>
      <c r="G5956">
        <v>-125162</v>
      </c>
      <c r="H5956">
        <v>61155</v>
      </c>
      <c r="I5956">
        <v>58379</v>
      </c>
      <c r="J5956">
        <v>1175</v>
      </c>
      <c r="K5956">
        <v>578723</v>
      </c>
      <c r="L5956">
        <v>143952</v>
      </c>
      <c r="M5956">
        <v>-78096</v>
      </c>
      <c r="N5956">
        <v>53812</v>
      </c>
      <c r="O5956" t="s">
        <v>5974</v>
      </c>
      <c r="P5956" s="9">
        <v>270576</v>
      </c>
      <c r="Q5956" s="9">
        <v>34884</v>
      </c>
      <c r="R5956" s="9">
        <v>305460</v>
      </c>
      <c r="S5956" s="9">
        <v>-137728</v>
      </c>
      <c r="T5956" s="10">
        <v>82042</v>
      </c>
      <c r="U5956" s="10">
        <v>1525</v>
      </c>
    </row>
    <row r="5957" spans="1:21" x14ac:dyDescent="0.35">
      <c r="A5957" t="s">
        <v>15</v>
      </c>
      <c r="B5957" t="s">
        <v>20</v>
      </c>
      <c r="C5957" t="s">
        <v>21</v>
      </c>
      <c r="D5957">
        <v>199716</v>
      </c>
      <c r="E5957">
        <v>13198</v>
      </c>
      <c r="F5957">
        <v>29240</v>
      </c>
      <c r="G5957">
        <v>-192121</v>
      </c>
      <c r="H5957">
        <v>50033</v>
      </c>
      <c r="I5957">
        <v>47181</v>
      </c>
      <c r="J5957">
        <v>1056</v>
      </c>
      <c r="K5957">
        <v>627878</v>
      </c>
      <c r="L5957">
        <v>208462</v>
      </c>
      <c r="M5957">
        <v>-242622</v>
      </c>
      <c r="N5957">
        <v>147323</v>
      </c>
      <c r="O5957" t="s">
        <v>5975</v>
      </c>
      <c r="P5957" s="9">
        <v>268542</v>
      </c>
      <c r="Q5957" s="9">
        <v>16399</v>
      </c>
      <c r="R5957" s="9">
        <v>284941</v>
      </c>
      <c r="S5957" s="9">
        <v>-91957</v>
      </c>
      <c r="T5957" s="10">
        <v>52466</v>
      </c>
      <c r="U5957" s="10">
        <v>1504</v>
      </c>
    </row>
    <row r="5958" spans="1:21" x14ac:dyDescent="0.35">
      <c r="A5958" t="s">
        <v>15</v>
      </c>
      <c r="B5958" t="s">
        <v>16</v>
      </c>
      <c r="C5958" t="s">
        <v>21</v>
      </c>
      <c r="D5958">
        <v>273027</v>
      </c>
      <c r="E5958">
        <v>44862</v>
      </c>
      <c r="F5958">
        <v>40774</v>
      </c>
      <c r="G5958">
        <v>-225039</v>
      </c>
      <c r="H5958">
        <v>133624</v>
      </c>
      <c r="I5958">
        <v>137567</v>
      </c>
      <c r="J5958">
        <v>2664</v>
      </c>
      <c r="K5958">
        <v>597616</v>
      </c>
      <c r="L5958">
        <v>212119</v>
      </c>
      <c r="M5958">
        <v>-105071</v>
      </c>
      <c r="N5958">
        <v>197960</v>
      </c>
      <c r="O5958" t="s">
        <v>5976</v>
      </c>
      <c r="P5958" s="9">
        <v>237092</v>
      </c>
      <c r="Q5958" s="9">
        <v>52834</v>
      </c>
      <c r="R5958" s="9">
        <v>289926</v>
      </c>
      <c r="S5958" s="9">
        <v>-135423</v>
      </c>
      <c r="T5958" s="10">
        <v>116560</v>
      </c>
      <c r="U5958" s="10">
        <v>2199</v>
      </c>
    </row>
    <row r="5959" spans="1:21" x14ac:dyDescent="0.35">
      <c r="A5959" t="s">
        <v>15</v>
      </c>
      <c r="B5959" t="s">
        <v>20</v>
      </c>
      <c r="C5959" t="s">
        <v>21</v>
      </c>
      <c r="D5959">
        <v>153622</v>
      </c>
      <c r="E5959">
        <v>13026</v>
      </c>
      <c r="F5959">
        <v>34242</v>
      </c>
      <c r="G5959">
        <v>-123112</v>
      </c>
      <c r="H5959">
        <v>77778</v>
      </c>
      <c r="I5959">
        <v>75305</v>
      </c>
      <c r="J5959">
        <v>1203</v>
      </c>
      <c r="K5959">
        <v>538198</v>
      </c>
      <c r="L5959">
        <v>140950</v>
      </c>
      <c r="M5959">
        <v>-157385</v>
      </c>
      <c r="N5959">
        <v>119558</v>
      </c>
      <c r="O5959" t="s">
        <v>5977</v>
      </c>
      <c r="P5959" s="9">
        <v>233012</v>
      </c>
      <c r="Q5959" s="9">
        <v>33227</v>
      </c>
      <c r="R5959" s="9">
        <v>266239</v>
      </c>
      <c r="S5959" s="9">
        <v>-156786</v>
      </c>
      <c r="T5959" s="10">
        <v>104669</v>
      </c>
      <c r="U5959" s="10">
        <v>1176</v>
      </c>
    </row>
    <row r="5960" spans="1:21" x14ac:dyDescent="0.35">
      <c r="A5960" t="s">
        <v>15</v>
      </c>
      <c r="B5960" t="s">
        <v>16</v>
      </c>
      <c r="C5960" t="s">
        <v>21</v>
      </c>
      <c r="D5960">
        <v>162612</v>
      </c>
      <c r="E5960">
        <v>22552</v>
      </c>
      <c r="F5960">
        <v>27955</v>
      </c>
      <c r="G5960">
        <v>-144593</v>
      </c>
      <c r="H5960">
        <v>68526</v>
      </c>
      <c r="I5960">
        <v>68234</v>
      </c>
      <c r="J5960">
        <v>797</v>
      </c>
      <c r="K5960">
        <v>473737</v>
      </c>
      <c r="L5960">
        <v>222151</v>
      </c>
      <c r="M5960">
        <v>-140811</v>
      </c>
      <c r="N5960">
        <v>81978</v>
      </c>
      <c r="O5960" t="s">
        <v>5978</v>
      </c>
      <c r="P5960" s="9">
        <v>197292</v>
      </c>
      <c r="Q5960" s="9">
        <v>27714</v>
      </c>
      <c r="R5960" s="9">
        <v>225006</v>
      </c>
      <c r="S5960" s="9">
        <v>-84491</v>
      </c>
      <c r="T5960" s="10">
        <v>86094</v>
      </c>
      <c r="U5960" s="10">
        <v>2332</v>
      </c>
    </row>
    <row r="5961" spans="1:21" x14ac:dyDescent="0.35">
      <c r="A5961" t="s">
        <v>15</v>
      </c>
      <c r="B5961" t="s">
        <v>16</v>
      </c>
      <c r="C5961" t="s">
        <v>21</v>
      </c>
      <c r="D5961">
        <v>282672</v>
      </c>
      <c r="E5961">
        <v>46356</v>
      </c>
      <c r="F5961">
        <v>54028</v>
      </c>
      <c r="G5961">
        <v>-282289</v>
      </c>
      <c r="H5961">
        <v>100767</v>
      </c>
      <c r="I5961">
        <v>99561</v>
      </c>
      <c r="J5961">
        <v>1055</v>
      </c>
      <c r="K5961">
        <v>593980</v>
      </c>
      <c r="L5961">
        <v>177812</v>
      </c>
      <c r="M5961">
        <v>-228809</v>
      </c>
      <c r="N5961">
        <v>234280</v>
      </c>
      <c r="O5961" t="s">
        <v>5979</v>
      </c>
      <c r="P5961" s="9">
        <v>265795</v>
      </c>
      <c r="Q5961" s="9">
        <v>37369</v>
      </c>
      <c r="R5961" s="9">
        <v>303164</v>
      </c>
      <c r="S5961" s="9">
        <v>-127252</v>
      </c>
      <c r="T5961" s="10">
        <v>111116</v>
      </c>
      <c r="U5961" s="10">
        <v>2696</v>
      </c>
    </row>
    <row r="5962" spans="1:21" x14ac:dyDescent="0.35">
      <c r="A5962" t="s">
        <v>15</v>
      </c>
      <c r="B5962" t="s">
        <v>16</v>
      </c>
      <c r="C5962" t="s">
        <v>21</v>
      </c>
      <c r="D5962">
        <v>257686</v>
      </c>
      <c r="E5962">
        <v>26808</v>
      </c>
      <c r="F5962">
        <v>61545</v>
      </c>
      <c r="G5962">
        <v>-230198</v>
      </c>
      <c r="H5962">
        <v>115841</v>
      </c>
      <c r="I5962">
        <v>111526</v>
      </c>
      <c r="J5962">
        <v>1494</v>
      </c>
      <c r="K5962">
        <v>698662</v>
      </c>
      <c r="L5962">
        <v>176968</v>
      </c>
      <c r="M5962">
        <v>-99733</v>
      </c>
      <c r="N5962">
        <v>150111</v>
      </c>
      <c r="O5962" t="s">
        <v>5980</v>
      </c>
      <c r="P5962" s="9">
        <v>226283</v>
      </c>
      <c r="Q5962" s="9">
        <v>26239</v>
      </c>
      <c r="R5962" s="9">
        <v>252522</v>
      </c>
      <c r="S5962" s="9">
        <v>-133056</v>
      </c>
      <c r="T5962" s="10">
        <v>89898</v>
      </c>
      <c r="U5962" s="10">
        <v>900</v>
      </c>
    </row>
    <row r="5963" spans="1:21" x14ac:dyDescent="0.35">
      <c r="A5963" t="s">
        <v>15</v>
      </c>
      <c r="B5963" t="s">
        <v>16</v>
      </c>
      <c r="C5963" t="s">
        <v>21</v>
      </c>
      <c r="D5963">
        <v>172663</v>
      </c>
      <c r="E5963">
        <v>27642</v>
      </c>
      <c r="F5963">
        <v>33416</v>
      </c>
      <c r="G5963">
        <v>-169691</v>
      </c>
      <c r="H5963">
        <v>64030</v>
      </c>
      <c r="I5963">
        <v>59084</v>
      </c>
      <c r="J5963">
        <v>981</v>
      </c>
      <c r="K5963">
        <v>512739</v>
      </c>
      <c r="L5963">
        <v>212924</v>
      </c>
      <c r="M5963">
        <v>-159389</v>
      </c>
      <c r="N5963">
        <v>57693</v>
      </c>
      <c r="O5963" t="s">
        <v>5981</v>
      </c>
      <c r="P5963" s="9">
        <v>205184</v>
      </c>
      <c r="Q5963" s="9">
        <v>20031</v>
      </c>
      <c r="R5963" s="9">
        <v>225215</v>
      </c>
      <c r="S5963" s="9">
        <v>-74160</v>
      </c>
      <c r="T5963" s="10">
        <v>100840</v>
      </c>
      <c r="U5963" s="10">
        <v>1977</v>
      </c>
    </row>
    <row r="5964" spans="1:21" x14ac:dyDescent="0.35">
      <c r="A5964" t="s">
        <v>15</v>
      </c>
      <c r="B5964" t="s">
        <v>20</v>
      </c>
      <c r="C5964" t="s">
        <v>21</v>
      </c>
      <c r="D5964">
        <v>184856</v>
      </c>
      <c r="E5964">
        <v>33881</v>
      </c>
      <c r="F5964">
        <v>34634</v>
      </c>
      <c r="G5964">
        <v>-160422</v>
      </c>
      <c r="H5964">
        <v>92949</v>
      </c>
      <c r="I5964">
        <v>95915</v>
      </c>
      <c r="J5964">
        <v>1049</v>
      </c>
      <c r="K5964">
        <v>719819</v>
      </c>
      <c r="L5964">
        <v>107084</v>
      </c>
      <c r="M5964">
        <v>-274253</v>
      </c>
      <c r="N5964">
        <v>104802</v>
      </c>
      <c r="O5964" t="s">
        <v>5982</v>
      </c>
      <c r="P5964" s="9">
        <v>267111</v>
      </c>
      <c r="Q5964" s="9">
        <v>17822</v>
      </c>
      <c r="R5964" s="9">
        <v>284933</v>
      </c>
      <c r="S5964" s="9">
        <v>-130718</v>
      </c>
      <c r="T5964" s="10">
        <v>73429</v>
      </c>
      <c r="U5964" s="10">
        <v>1349</v>
      </c>
    </row>
    <row r="5965" spans="1:21" x14ac:dyDescent="0.35">
      <c r="A5965" t="s">
        <v>15</v>
      </c>
      <c r="B5965" t="s">
        <v>16</v>
      </c>
      <c r="C5965" t="s">
        <v>17</v>
      </c>
      <c r="D5965">
        <v>217316</v>
      </c>
      <c r="E5965">
        <v>11626</v>
      </c>
      <c r="F5965">
        <v>33984</v>
      </c>
      <c r="G5965">
        <v>-181315</v>
      </c>
      <c r="H5965">
        <v>81611</v>
      </c>
      <c r="I5965">
        <v>81981</v>
      </c>
      <c r="J5965">
        <v>1265</v>
      </c>
      <c r="K5965">
        <v>779426</v>
      </c>
      <c r="L5965">
        <v>91179</v>
      </c>
      <c r="M5965">
        <v>-220978</v>
      </c>
      <c r="N5965">
        <v>187974</v>
      </c>
      <c r="O5965" t="s">
        <v>5983</v>
      </c>
      <c r="P5965" s="9">
        <v>295004</v>
      </c>
      <c r="Q5965" s="9">
        <v>47808</v>
      </c>
      <c r="R5965" s="9">
        <v>342812</v>
      </c>
      <c r="S5965" s="9">
        <v>-121068</v>
      </c>
      <c r="T5965" s="10">
        <v>113155</v>
      </c>
      <c r="U5965" s="10">
        <v>1180</v>
      </c>
    </row>
    <row r="5966" spans="1:21" x14ac:dyDescent="0.35">
      <c r="A5966" t="s">
        <v>15</v>
      </c>
      <c r="B5966" t="s">
        <v>20</v>
      </c>
      <c r="C5966" t="s">
        <v>21</v>
      </c>
      <c r="D5966">
        <v>252667</v>
      </c>
      <c r="E5966">
        <v>47538</v>
      </c>
      <c r="F5966">
        <v>39694</v>
      </c>
      <c r="G5966">
        <v>-220280</v>
      </c>
      <c r="H5966">
        <v>119619</v>
      </c>
      <c r="I5966">
        <v>113441</v>
      </c>
      <c r="J5966">
        <v>2119</v>
      </c>
      <c r="K5966">
        <v>623031</v>
      </c>
      <c r="L5966">
        <v>191666</v>
      </c>
      <c r="M5966">
        <v>-161107</v>
      </c>
      <c r="N5966">
        <v>172363</v>
      </c>
      <c r="O5966" t="s">
        <v>5984</v>
      </c>
      <c r="P5966" s="9">
        <v>237370</v>
      </c>
      <c r="Q5966" s="9">
        <v>31658</v>
      </c>
      <c r="R5966" s="9">
        <v>269028</v>
      </c>
      <c r="S5966" s="9">
        <v>-154176</v>
      </c>
      <c r="T5966" s="10">
        <v>69764</v>
      </c>
      <c r="U5966" s="10">
        <v>1994</v>
      </c>
    </row>
    <row r="5967" spans="1:21" x14ac:dyDescent="0.35">
      <c r="A5967" t="s">
        <v>15</v>
      </c>
      <c r="B5967" t="s">
        <v>16</v>
      </c>
      <c r="C5967" t="s">
        <v>21</v>
      </c>
      <c r="D5967">
        <v>229490</v>
      </c>
      <c r="E5967">
        <v>19227</v>
      </c>
      <c r="F5967">
        <v>50062</v>
      </c>
      <c r="G5967">
        <v>-218902</v>
      </c>
      <c r="H5967">
        <v>79877</v>
      </c>
      <c r="I5967">
        <v>75769</v>
      </c>
      <c r="J5967">
        <v>1199</v>
      </c>
      <c r="K5967">
        <v>671169</v>
      </c>
      <c r="L5967">
        <v>160831</v>
      </c>
      <c r="M5967">
        <v>-137075</v>
      </c>
      <c r="N5967">
        <v>173856</v>
      </c>
      <c r="O5967" t="s">
        <v>5985</v>
      </c>
      <c r="P5967" s="9">
        <v>276492</v>
      </c>
      <c r="Q5967" s="9">
        <v>31081</v>
      </c>
      <c r="R5967" s="9">
        <v>307573</v>
      </c>
      <c r="S5967" s="9">
        <v>-100412</v>
      </c>
      <c r="T5967" s="10">
        <v>91552</v>
      </c>
      <c r="U5967" s="10">
        <v>2000</v>
      </c>
    </row>
    <row r="5968" spans="1:21" x14ac:dyDescent="0.35">
      <c r="A5968" t="s">
        <v>15</v>
      </c>
      <c r="B5968" t="s">
        <v>20</v>
      </c>
      <c r="C5968" t="s">
        <v>21</v>
      </c>
      <c r="D5968">
        <v>178551</v>
      </c>
      <c r="E5968">
        <v>29828</v>
      </c>
      <c r="F5968">
        <v>28919</v>
      </c>
      <c r="G5968">
        <v>-150600</v>
      </c>
      <c r="H5968">
        <v>86698</v>
      </c>
      <c r="I5968">
        <v>80825</v>
      </c>
      <c r="J5968">
        <v>1857</v>
      </c>
      <c r="K5968">
        <v>675055</v>
      </c>
      <c r="L5968">
        <v>295791</v>
      </c>
      <c r="M5968">
        <v>-180729</v>
      </c>
      <c r="N5968">
        <v>119131</v>
      </c>
      <c r="O5968" t="s">
        <v>5986</v>
      </c>
      <c r="P5968" s="9">
        <v>224963</v>
      </c>
      <c r="Q5968" s="9">
        <v>31571</v>
      </c>
      <c r="R5968" s="9">
        <v>256534</v>
      </c>
      <c r="S5968" s="9">
        <v>-56223</v>
      </c>
      <c r="T5968" s="10">
        <v>99325</v>
      </c>
      <c r="U5968" s="10">
        <v>2393</v>
      </c>
    </row>
    <row r="5969" spans="1:21" x14ac:dyDescent="0.35">
      <c r="A5969" t="s">
        <v>15</v>
      </c>
      <c r="B5969" t="s">
        <v>16</v>
      </c>
      <c r="C5969" t="s">
        <v>21</v>
      </c>
      <c r="D5969">
        <v>161222</v>
      </c>
      <c r="E5969">
        <v>21670</v>
      </c>
      <c r="F5969">
        <v>23550</v>
      </c>
      <c r="G5969">
        <v>-154211</v>
      </c>
      <c r="H5969">
        <v>52231</v>
      </c>
      <c r="I5969">
        <v>50536</v>
      </c>
      <c r="J5969">
        <v>586</v>
      </c>
      <c r="K5969">
        <v>457157</v>
      </c>
      <c r="L5969">
        <v>218487</v>
      </c>
      <c r="M5969">
        <v>-79802</v>
      </c>
      <c r="N5969">
        <v>90530</v>
      </c>
      <c r="O5969" t="s">
        <v>5987</v>
      </c>
      <c r="P5969" s="9">
        <v>218067</v>
      </c>
      <c r="Q5969" s="9">
        <v>45351</v>
      </c>
      <c r="R5969" s="9">
        <v>263418</v>
      </c>
      <c r="S5969" s="9">
        <v>-114720</v>
      </c>
      <c r="T5969" s="10">
        <v>74729</v>
      </c>
      <c r="U5969" s="10">
        <v>1613</v>
      </c>
    </row>
    <row r="5970" spans="1:21" x14ac:dyDescent="0.35">
      <c r="A5970" t="s">
        <v>15</v>
      </c>
      <c r="B5970" t="s">
        <v>16</v>
      </c>
      <c r="C5970" t="s">
        <v>17</v>
      </c>
      <c r="D5970">
        <v>156674</v>
      </c>
      <c r="E5970">
        <v>20277</v>
      </c>
      <c r="F5970">
        <v>37265</v>
      </c>
      <c r="G5970">
        <v>-150556</v>
      </c>
      <c r="H5970">
        <v>63660</v>
      </c>
      <c r="I5970">
        <v>66492</v>
      </c>
      <c r="J5970">
        <v>1515</v>
      </c>
      <c r="K5970">
        <v>461541</v>
      </c>
      <c r="L5970">
        <v>117419</v>
      </c>
      <c r="M5970">
        <v>-154438</v>
      </c>
      <c r="N5970">
        <v>56912</v>
      </c>
      <c r="O5970" t="s">
        <v>5988</v>
      </c>
      <c r="P5970" s="9">
        <v>179654</v>
      </c>
      <c r="Q5970" s="9">
        <v>30691</v>
      </c>
      <c r="R5970" s="9">
        <v>210345</v>
      </c>
      <c r="S5970" s="9">
        <v>-59662</v>
      </c>
      <c r="T5970" s="10">
        <v>95598</v>
      </c>
      <c r="U5970" s="10">
        <v>2547</v>
      </c>
    </row>
    <row r="5971" spans="1:21" x14ac:dyDescent="0.35">
      <c r="A5971" t="s">
        <v>15</v>
      </c>
      <c r="B5971" t="s">
        <v>20</v>
      </c>
      <c r="C5971" t="s">
        <v>21</v>
      </c>
      <c r="D5971">
        <v>249546</v>
      </c>
      <c r="E5971">
        <v>30725</v>
      </c>
      <c r="F5971">
        <v>47545</v>
      </c>
      <c r="G5971">
        <v>-229654</v>
      </c>
      <c r="H5971">
        <v>98162</v>
      </c>
      <c r="I5971">
        <v>89261</v>
      </c>
      <c r="J5971">
        <v>932</v>
      </c>
      <c r="K5971">
        <v>930335</v>
      </c>
      <c r="L5971">
        <v>183600</v>
      </c>
      <c r="M5971">
        <v>-168253</v>
      </c>
      <c r="N5971">
        <v>136831</v>
      </c>
      <c r="O5971" t="s">
        <v>5989</v>
      </c>
      <c r="P5971" s="9">
        <v>245758</v>
      </c>
      <c r="Q5971" s="9">
        <v>48625</v>
      </c>
      <c r="R5971" s="9">
        <v>294383</v>
      </c>
      <c r="S5971" s="9">
        <v>-91725</v>
      </c>
      <c r="T5971" s="10">
        <v>134134</v>
      </c>
      <c r="U5971" s="10">
        <v>1424</v>
      </c>
    </row>
    <row r="5972" spans="1:21" x14ac:dyDescent="0.35">
      <c r="A5972" t="s">
        <v>15</v>
      </c>
      <c r="B5972" t="s">
        <v>20</v>
      </c>
      <c r="C5972" t="s">
        <v>21</v>
      </c>
      <c r="D5972">
        <v>209776</v>
      </c>
      <c r="E5972">
        <v>22051</v>
      </c>
      <c r="F5972">
        <v>45757</v>
      </c>
      <c r="G5972">
        <v>-177256</v>
      </c>
      <c r="H5972">
        <v>100328</v>
      </c>
      <c r="I5972">
        <v>96298</v>
      </c>
      <c r="J5972">
        <v>1290</v>
      </c>
      <c r="K5972">
        <v>599330</v>
      </c>
      <c r="L5972">
        <v>154728</v>
      </c>
      <c r="M5972">
        <v>-206058</v>
      </c>
      <c r="N5972">
        <v>114763</v>
      </c>
      <c r="O5972" t="s">
        <v>5990</v>
      </c>
      <c r="P5972" s="9">
        <v>221394</v>
      </c>
      <c r="Q5972" s="9">
        <v>36067</v>
      </c>
      <c r="R5972" s="9">
        <v>257461</v>
      </c>
      <c r="S5972" s="9">
        <v>-111628</v>
      </c>
      <c r="T5972" s="10">
        <v>75412</v>
      </c>
      <c r="U5972" s="10">
        <v>1540</v>
      </c>
    </row>
    <row r="5973" spans="1:21" x14ac:dyDescent="0.35">
      <c r="A5973" t="s">
        <v>15</v>
      </c>
      <c r="B5973" t="s">
        <v>16</v>
      </c>
      <c r="C5973" t="s">
        <v>21</v>
      </c>
      <c r="D5973">
        <v>170853</v>
      </c>
      <c r="E5973">
        <v>14757</v>
      </c>
      <c r="F5973">
        <v>33475</v>
      </c>
      <c r="G5973">
        <v>-139938</v>
      </c>
      <c r="H5973">
        <v>79147</v>
      </c>
      <c r="I5973">
        <v>71935</v>
      </c>
      <c r="J5973">
        <v>1033</v>
      </c>
      <c r="K5973">
        <v>422600</v>
      </c>
      <c r="L5973">
        <v>54942</v>
      </c>
      <c r="M5973">
        <v>-85337</v>
      </c>
      <c r="N5973">
        <v>138161</v>
      </c>
      <c r="O5973" t="s">
        <v>5991</v>
      </c>
      <c r="P5973" s="9">
        <v>298928</v>
      </c>
      <c r="Q5973" s="9">
        <v>41034</v>
      </c>
      <c r="R5973" s="9">
        <v>339962</v>
      </c>
      <c r="S5973" s="9">
        <v>-129504</v>
      </c>
      <c r="T5973" s="10">
        <v>119638</v>
      </c>
      <c r="U5973" s="10">
        <v>1327</v>
      </c>
    </row>
    <row r="5974" spans="1:21" x14ac:dyDescent="0.35">
      <c r="A5974" t="s">
        <v>15</v>
      </c>
      <c r="B5974" t="s">
        <v>16</v>
      </c>
      <c r="C5974" t="s">
        <v>21</v>
      </c>
      <c r="D5974">
        <v>250038</v>
      </c>
      <c r="E5974">
        <v>20060</v>
      </c>
      <c r="F5974">
        <v>40238</v>
      </c>
      <c r="G5974">
        <v>-218122</v>
      </c>
      <c r="H5974">
        <v>92214</v>
      </c>
      <c r="I5974">
        <v>93866</v>
      </c>
      <c r="J5974">
        <v>1227</v>
      </c>
      <c r="K5974">
        <v>837894</v>
      </c>
      <c r="L5974">
        <v>87055</v>
      </c>
      <c r="M5974">
        <v>-122338</v>
      </c>
      <c r="N5974">
        <v>101051</v>
      </c>
      <c r="O5974" t="s">
        <v>5992</v>
      </c>
      <c r="P5974" s="9">
        <v>265297</v>
      </c>
      <c r="Q5974" s="9">
        <v>52391</v>
      </c>
      <c r="R5974" s="9">
        <v>317688</v>
      </c>
      <c r="S5974" s="9">
        <v>-108028</v>
      </c>
      <c r="T5974" s="10">
        <v>165348</v>
      </c>
      <c r="U5974" s="10">
        <v>3062</v>
      </c>
    </row>
    <row r="5975" spans="1:21" x14ac:dyDescent="0.35">
      <c r="A5975" t="s">
        <v>15</v>
      </c>
      <c r="B5975" t="s">
        <v>16</v>
      </c>
      <c r="C5975" t="s">
        <v>21</v>
      </c>
      <c r="D5975">
        <v>163629</v>
      </c>
      <c r="E5975">
        <v>27567</v>
      </c>
      <c r="F5975">
        <v>33327</v>
      </c>
      <c r="G5975">
        <v>-132977</v>
      </c>
      <c r="H5975">
        <v>91546</v>
      </c>
      <c r="I5975">
        <v>86668</v>
      </c>
      <c r="J5975">
        <v>2598</v>
      </c>
      <c r="K5975">
        <v>453951</v>
      </c>
      <c r="L5975">
        <v>219264</v>
      </c>
      <c r="M5975">
        <v>-142931</v>
      </c>
      <c r="N5975">
        <v>138147</v>
      </c>
      <c r="O5975" t="s">
        <v>5993</v>
      </c>
      <c r="P5975" s="9">
        <v>207352</v>
      </c>
      <c r="Q5975" s="9">
        <v>18339</v>
      </c>
      <c r="R5975" s="9">
        <v>225691</v>
      </c>
      <c r="S5975" s="9">
        <v>-49535</v>
      </c>
      <c r="T5975" s="10">
        <v>63009</v>
      </c>
      <c r="U5975" s="10">
        <v>910</v>
      </c>
    </row>
    <row r="5976" spans="1:21" x14ac:dyDescent="0.35">
      <c r="A5976" t="s">
        <v>15</v>
      </c>
      <c r="B5976" t="s">
        <v>20</v>
      </c>
      <c r="C5976" t="s">
        <v>21</v>
      </c>
      <c r="D5976">
        <v>256673</v>
      </c>
      <c r="E5976">
        <v>41584</v>
      </c>
      <c r="F5976">
        <v>42295</v>
      </c>
      <c r="G5976">
        <v>-205698</v>
      </c>
      <c r="H5976">
        <v>134854</v>
      </c>
      <c r="I5976">
        <v>139614</v>
      </c>
      <c r="J5976">
        <v>2125</v>
      </c>
      <c r="K5976">
        <v>657437</v>
      </c>
      <c r="L5976">
        <v>230840</v>
      </c>
      <c r="M5976">
        <v>-152475</v>
      </c>
      <c r="N5976">
        <v>185404</v>
      </c>
      <c r="O5976" t="s">
        <v>5994</v>
      </c>
      <c r="P5976" s="9">
        <v>282366</v>
      </c>
      <c r="Q5976" s="9">
        <v>23767</v>
      </c>
      <c r="R5976" s="9">
        <v>306133</v>
      </c>
      <c r="S5976" s="9">
        <v>-73051</v>
      </c>
      <c r="T5976" s="10">
        <v>79541</v>
      </c>
      <c r="U5976" s="10">
        <v>1440</v>
      </c>
    </row>
    <row r="5977" spans="1:21" x14ac:dyDescent="0.35">
      <c r="A5977" t="s">
        <v>15</v>
      </c>
      <c r="B5977" t="s">
        <v>16</v>
      </c>
      <c r="C5977" t="s">
        <v>17</v>
      </c>
      <c r="D5977">
        <v>297212</v>
      </c>
      <c r="E5977">
        <v>46641</v>
      </c>
      <c r="F5977">
        <v>73014</v>
      </c>
      <c r="G5977">
        <v>-243374</v>
      </c>
      <c r="H5977">
        <v>173493</v>
      </c>
      <c r="I5977">
        <v>173691</v>
      </c>
      <c r="J5977">
        <v>4366</v>
      </c>
      <c r="K5977">
        <v>726060</v>
      </c>
      <c r="L5977">
        <v>165912</v>
      </c>
      <c r="M5977">
        <v>-217941</v>
      </c>
      <c r="N5977">
        <v>134684</v>
      </c>
      <c r="O5977" t="s">
        <v>5995</v>
      </c>
      <c r="P5977" s="9">
        <v>201931</v>
      </c>
      <c r="Q5977" s="9">
        <v>25320</v>
      </c>
      <c r="R5977" s="9">
        <v>227251</v>
      </c>
      <c r="S5977" s="9">
        <v>-99856</v>
      </c>
      <c r="T5977" s="10">
        <v>63595</v>
      </c>
      <c r="U5977" s="10">
        <v>1138</v>
      </c>
    </row>
    <row r="5978" spans="1:21" x14ac:dyDescent="0.35">
      <c r="A5978" t="s">
        <v>15</v>
      </c>
      <c r="B5978" t="s">
        <v>20</v>
      </c>
      <c r="C5978" t="s">
        <v>21</v>
      </c>
      <c r="D5978">
        <v>231351</v>
      </c>
      <c r="E5978">
        <v>41974</v>
      </c>
      <c r="F5978">
        <v>53929</v>
      </c>
      <c r="G5978">
        <v>-194639</v>
      </c>
      <c r="H5978">
        <v>132615</v>
      </c>
      <c r="I5978">
        <v>124409</v>
      </c>
      <c r="J5978">
        <v>2624</v>
      </c>
      <c r="K5978">
        <v>515917</v>
      </c>
      <c r="L5978">
        <v>112134</v>
      </c>
      <c r="M5978">
        <v>-173542</v>
      </c>
      <c r="N5978">
        <v>103428</v>
      </c>
      <c r="O5978" t="s">
        <v>5996</v>
      </c>
      <c r="P5978" s="9">
        <v>175020</v>
      </c>
      <c r="Q5978" s="9">
        <v>27751</v>
      </c>
      <c r="R5978" s="9">
        <v>202771</v>
      </c>
      <c r="S5978" s="9">
        <v>-100806</v>
      </c>
      <c r="T5978" s="10">
        <v>69629</v>
      </c>
      <c r="U5978" s="10">
        <v>1586</v>
      </c>
    </row>
    <row r="5979" spans="1:21" x14ac:dyDescent="0.35">
      <c r="A5979" t="s">
        <v>15</v>
      </c>
      <c r="B5979" t="s">
        <v>16</v>
      </c>
      <c r="C5979" t="s">
        <v>17</v>
      </c>
      <c r="D5979">
        <v>285122</v>
      </c>
      <c r="E5979">
        <v>48731</v>
      </c>
      <c r="F5979">
        <v>29519</v>
      </c>
      <c r="G5979">
        <v>-252949</v>
      </c>
      <c r="H5979">
        <v>110423</v>
      </c>
      <c r="I5979">
        <v>103195</v>
      </c>
      <c r="J5979">
        <v>2906</v>
      </c>
      <c r="K5979">
        <v>810790</v>
      </c>
      <c r="L5979">
        <v>134521</v>
      </c>
      <c r="M5979">
        <v>-89929</v>
      </c>
      <c r="N5979">
        <v>166941</v>
      </c>
      <c r="O5979" t="s">
        <v>5997</v>
      </c>
      <c r="P5979" s="9">
        <v>217418</v>
      </c>
      <c r="Q5979" s="9">
        <v>27336</v>
      </c>
      <c r="R5979" s="9">
        <v>244754</v>
      </c>
      <c r="S5979" s="9">
        <v>-123380</v>
      </c>
      <c r="T5979" s="10">
        <v>76104</v>
      </c>
      <c r="U5979" s="10">
        <v>2132</v>
      </c>
    </row>
    <row r="5980" spans="1:21" x14ac:dyDescent="0.35">
      <c r="A5980" t="s">
        <v>15</v>
      </c>
      <c r="B5980" t="s">
        <v>20</v>
      </c>
      <c r="C5980" t="s">
        <v>21</v>
      </c>
      <c r="D5980">
        <v>281064</v>
      </c>
      <c r="E5980">
        <v>14146</v>
      </c>
      <c r="F5980">
        <v>54657</v>
      </c>
      <c r="G5980">
        <v>-256766</v>
      </c>
      <c r="H5980">
        <v>93101</v>
      </c>
      <c r="I5980">
        <v>92874</v>
      </c>
      <c r="J5980">
        <v>2287</v>
      </c>
      <c r="K5980">
        <v>898484</v>
      </c>
      <c r="L5980">
        <v>160241</v>
      </c>
      <c r="M5980">
        <v>-119848</v>
      </c>
      <c r="N5980">
        <v>159961</v>
      </c>
      <c r="O5980" t="s">
        <v>5998</v>
      </c>
      <c r="P5980" s="9">
        <v>234742</v>
      </c>
      <c r="Q5980" s="9">
        <v>26744</v>
      </c>
      <c r="R5980" s="9">
        <v>261486</v>
      </c>
      <c r="S5980" s="9">
        <v>-124356</v>
      </c>
      <c r="T5980" s="10">
        <v>72330</v>
      </c>
      <c r="U5980" s="10">
        <v>1740</v>
      </c>
    </row>
    <row r="5981" spans="1:21" x14ac:dyDescent="0.35">
      <c r="A5981" t="s">
        <v>15</v>
      </c>
      <c r="B5981" t="s">
        <v>20</v>
      </c>
      <c r="C5981" t="s">
        <v>21</v>
      </c>
      <c r="D5981">
        <v>237178</v>
      </c>
      <c r="E5981">
        <v>14362</v>
      </c>
      <c r="F5981">
        <v>45857</v>
      </c>
      <c r="G5981">
        <v>-194378</v>
      </c>
      <c r="H5981">
        <v>103019</v>
      </c>
      <c r="I5981">
        <v>98720</v>
      </c>
      <c r="J5981">
        <v>2694</v>
      </c>
      <c r="K5981">
        <v>809130</v>
      </c>
      <c r="L5981">
        <v>256371</v>
      </c>
      <c r="M5981">
        <v>-159516</v>
      </c>
      <c r="N5981">
        <v>135799</v>
      </c>
      <c r="O5981" t="s">
        <v>5999</v>
      </c>
      <c r="P5981" s="9">
        <v>244408</v>
      </c>
      <c r="Q5981" s="9">
        <v>42641</v>
      </c>
      <c r="R5981" s="9">
        <v>287049</v>
      </c>
      <c r="S5981" s="9">
        <v>-80071</v>
      </c>
      <c r="T5981" s="10">
        <v>97960</v>
      </c>
      <c r="U5981" s="10">
        <v>1581</v>
      </c>
    </row>
    <row r="5982" spans="1:21" x14ac:dyDescent="0.35">
      <c r="A5982" t="s">
        <v>15</v>
      </c>
      <c r="B5982" t="s">
        <v>16</v>
      </c>
      <c r="C5982" t="s">
        <v>17</v>
      </c>
      <c r="D5982">
        <v>208363</v>
      </c>
      <c r="E5982">
        <v>18882</v>
      </c>
      <c r="F5982">
        <v>50636</v>
      </c>
      <c r="G5982">
        <v>-168890</v>
      </c>
      <c r="H5982">
        <v>108991</v>
      </c>
      <c r="I5982">
        <v>114056</v>
      </c>
      <c r="J5982">
        <v>2649</v>
      </c>
      <c r="K5982">
        <v>630709</v>
      </c>
      <c r="L5982">
        <v>124204</v>
      </c>
      <c r="M5982">
        <v>-155481</v>
      </c>
      <c r="N5982">
        <v>134411</v>
      </c>
      <c r="O5982" t="s">
        <v>6000</v>
      </c>
      <c r="P5982" s="9">
        <v>231789</v>
      </c>
      <c r="Q5982" s="9">
        <v>43253</v>
      </c>
      <c r="R5982" s="9">
        <v>275042</v>
      </c>
      <c r="S5982" s="9">
        <v>-80335</v>
      </c>
      <c r="T5982" s="10">
        <v>123901</v>
      </c>
      <c r="U5982" s="10">
        <v>2455</v>
      </c>
    </row>
    <row r="5983" spans="1:21" x14ac:dyDescent="0.35">
      <c r="A5983" t="s">
        <v>15</v>
      </c>
      <c r="B5983" t="s">
        <v>20</v>
      </c>
      <c r="C5983" t="s">
        <v>21</v>
      </c>
      <c r="D5983">
        <v>206700</v>
      </c>
      <c r="E5983">
        <v>32593</v>
      </c>
      <c r="F5983">
        <v>51348</v>
      </c>
      <c r="G5983">
        <v>-178115</v>
      </c>
      <c r="H5983">
        <v>112526</v>
      </c>
      <c r="I5983">
        <v>106690</v>
      </c>
      <c r="J5983">
        <v>1987</v>
      </c>
      <c r="K5983">
        <v>711337</v>
      </c>
      <c r="L5983">
        <v>100089</v>
      </c>
      <c r="M5983">
        <v>-140352</v>
      </c>
      <c r="N5983">
        <v>171898</v>
      </c>
      <c r="O5983" t="s">
        <v>6001</v>
      </c>
      <c r="P5983" s="9">
        <v>226488</v>
      </c>
      <c r="Q5983" s="9">
        <v>35928</v>
      </c>
      <c r="R5983" s="9">
        <v>262416</v>
      </c>
      <c r="S5983" s="9">
        <v>-61026</v>
      </c>
      <c r="T5983" s="10">
        <v>131490</v>
      </c>
      <c r="U5983" s="10">
        <v>1484</v>
      </c>
    </row>
    <row r="5984" spans="1:21" x14ac:dyDescent="0.35">
      <c r="A5984" t="s">
        <v>15</v>
      </c>
      <c r="B5984" t="s">
        <v>16</v>
      </c>
      <c r="C5984" t="s">
        <v>21</v>
      </c>
      <c r="D5984">
        <v>152487</v>
      </c>
      <c r="E5984">
        <v>17364</v>
      </c>
      <c r="F5984">
        <v>31500</v>
      </c>
      <c r="G5984">
        <v>-124105</v>
      </c>
      <c r="H5984">
        <v>77246</v>
      </c>
      <c r="I5984">
        <v>71807</v>
      </c>
      <c r="J5984">
        <v>1698</v>
      </c>
      <c r="K5984">
        <v>522094</v>
      </c>
      <c r="L5984">
        <v>142857</v>
      </c>
      <c r="M5984">
        <v>-94289</v>
      </c>
      <c r="N5984">
        <v>113841</v>
      </c>
      <c r="O5984" t="s">
        <v>6002</v>
      </c>
      <c r="P5984" s="9">
        <v>261647</v>
      </c>
      <c r="Q5984" s="9">
        <v>19400</v>
      </c>
      <c r="R5984" s="9">
        <v>281047</v>
      </c>
      <c r="S5984" s="9">
        <v>-135323</v>
      </c>
      <c r="T5984" s="10">
        <v>65000</v>
      </c>
      <c r="U5984" s="10">
        <v>1786</v>
      </c>
    </row>
    <row r="5985" spans="1:21" x14ac:dyDescent="0.35">
      <c r="A5985" t="s">
        <v>15</v>
      </c>
      <c r="B5985" t="s">
        <v>16</v>
      </c>
      <c r="C5985" t="s">
        <v>21</v>
      </c>
      <c r="D5985">
        <v>242277</v>
      </c>
      <c r="E5985">
        <v>35715</v>
      </c>
      <c r="F5985">
        <v>45230</v>
      </c>
      <c r="G5985">
        <v>-233104</v>
      </c>
      <c r="H5985">
        <v>90118</v>
      </c>
      <c r="I5985">
        <v>82214</v>
      </c>
      <c r="J5985">
        <v>1131</v>
      </c>
      <c r="K5985">
        <v>830394</v>
      </c>
      <c r="L5985">
        <v>308826</v>
      </c>
      <c r="M5985">
        <v>-117512</v>
      </c>
      <c r="N5985">
        <v>76624</v>
      </c>
      <c r="O5985" t="s">
        <v>6003</v>
      </c>
      <c r="P5985" s="9">
        <v>282480</v>
      </c>
      <c r="Q5985" s="9">
        <v>12606</v>
      </c>
      <c r="R5985" s="9">
        <v>295086</v>
      </c>
      <c r="S5985" s="9">
        <v>-63792</v>
      </c>
      <c r="T5985" s="10">
        <v>118865</v>
      </c>
      <c r="U5985" s="10">
        <v>1719</v>
      </c>
    </row>
    <row r="5986" spans="1:21" x14ac:dyDescent="0.35">
      <c r="A5986" t="s">
        <v>15</v>
      </c>
      <c r="B5986" t="s">
        <v>20</v>
      </c>
      <c r="C5986" t="s">
        <v>17</v>
      </c>
      <c r="D5986">
        <v>283897</v>
      </c>
      <c r="E5986">
        <v>48567</v>
      </c>
      <c r="F5986">
        <v>64541</v>
      </c>
      <c r="G5986">
        <v>-265488</v>
      </c>
      <c r="H5986">
        <v>131517</v>
      </c>
      <c r="I5986">
        <v>128583</v>
      </c>
      <c r="J5986">
        <v>3457</v>
      </c>
      <c r="K5986">
        <v>880019</v>
      </c>
      <c r="L5986">
        <v>375072</v>
      </c>
      <c r="M5986">
        <v>-89163</v>
      </c>
      <c r="N5986">
        <v>133086</v>
      </c>
      <c r="O5986" t="s">
        <v>6004</v>
      </c>
      <c r="P5986" s="9">
        <v>145561</v>
      </c>
      <c r="Q5986" s="9">
        <v>16628</v>
      </c>
      <c r="R5986" s="9">
        <v>162189</v>
      </c>
      <c r="S5986" s="9">
        <v>-50717</v>
      </c>
      <c r="T5986" s="10">
        <v>64936</v>
      </c>
      <c r="U5986" s="10">
        <v>1777</v>
      </c>
    </row>
    <row r="5987" spans="1:21" x14ac:dyDescent="0.35">
      <c r="A5987" t="s">
        <v>15</v>
      </c>
      <c r="B5987" t="s">
        <v>16</v>
      </c>
      <c r="C5987" t="s">
        <v>21</v>
      </c>
      <c r="D5987">
        <v>179704</v>
      </c>
      <c r="E5987">
        <v>12642</v>
      </c>
      <c r="F5987">
        <v>37233</v>
      </c>
      <c r="G5987">
        <v>-165239</v>
      </c>
      <c r="H5987">
        <v>64340</v>
      </c>
      <c r="I5987">
        <v>61108</v>
      </c>
      <c r="J5987">
        <v>1712</v>
      </c>
      <c r="K5987">
        <v>637019</v>
      </c>
      <c r="L5987">
        <v>128312</v>
      </c>
      <c r="M5987">
        <v>-162449</v>
      </c>
      <c r="N5987">
        <v>127473</v>
      </c>
      <c r="O5987" t="s">
        <v>6005</v>
      </c>
      <c r="P5987" s="9">
        <v>197018</v>
      </c>
      <c r="Q5987" s="9">
        <v>30309</v>
      </c>
      <c r="R5987" s="9">
        <v>227327</v>
      </c>
      <c r="S5987" s="9">
        <v>-96224</v>
      </c>
      <c r="T5987" s="10">
        <v>79451</v>
      </c>
      <c r="U5987" s="10">
        <v>1333</v>
      </c>
    </row>
    <row r="5988" spans="1:21" x14ac:dyDescent="0.35">
      <c r="A5988" t="s">
        <v>15</v>
      </c>
      <c r="B5988" t="s">
        <v>20</v>
      </c>
      <c r="C5988" t="s">
        <v>17</v>
      </c>
      <c r="D5988">
        <v>206560</v>
      </c>
      <c r="E5988">
        <v>25426</v>
      </c>
      <c r="F5988">
        <v>48923</v>
      </c>
      <c r="G5988">
        <v>-177826</v>
      </c>
      <c r="H5988">
        <v>103083</v>
      </c>
      <c r="I5988">
        <v>102999</v>
      </c>
      <c r="J5988">
        <v>2843</v>
      </c>
      <c r="K5988">
        <v>560297</v>
      </c>
      <c r="L5988">
        <v>71111</v>
      </c>
      <c r="M5988">
        <v>-199499</v>
      </c>
      <c r="N5988">
        <v>167177</v>
      </c>
      <c r="O5988" t="s">
        <v>6006</v>
      </c>
      <c r="P5988" s="9">
        <v>213910</v>
      </c>
      <c r="Q5988" s="9">
        <v>36065</v>
      </c>
      <c r="R5988" s="9">
        <v>249975</v>
      </c>
      <c r="S5988" s="9">
        <v>-78070</v>
      </c>
      <c r="T5988" s="10">
        <v>61195</v>
      </c>
      <c r="U5988" s="10">
        <v>981</v>
      </c>
    </row>
    <row r="5989" spans="1:21" x14ac:dyDescent="0.35">
      <c r="A5989" t="s">
        <v>15</v>
      </c>
      <c r="B5989" t="s">
        <v>16</v>
      </c>
      <c r="C5989" t="s">
        <v>21</v>
      </c>
      <c r="D5989">
        <v>202476</v>
      </c>
      <c r="E5989">
        <v>22213</v>
      </c>
      <c r="F5989">
        <v>36992</v>
      </c>
      <c r="G5989">
        <v>-176429</v>
      </c>
      <c r="H5989">
        <v>85252</v>
      </c>
      <c r="I5989">
        <v>83791</v>
      </c>
      <c r="J5989">
        <v>2308</v>
      </c>
      <c r="K5989">
        <v>775630</v>
      </c>
      <c r="L5989">
        <v>164159</v>
      </c>
      <c r="M5989">
        <v>-231255</v>
      </c>
      <c r="N5989">
        <v>151428</v>
      </c>
      <c r="O5989" t="s">
        <v>6007</v>
      </c>
      <c r="P5989" s="9">
        <v>256944</v>
      </c>
      <c r="Q5989" s="9">
        <v>28122</v>
      </c>
      <c r="R5989" s="9">
        <v>285066</v>
      </c>
      <c r="S5989" s="9">
        <v>-99387</v>
      </c>
      <c r="T5989" s="10">
        <v>103094</v>
      </c>
      <c r="U5989" s="10">
        <v>2012</v>
      </c>
    </row>
    <row r="5990" spans="1:21" x14ac:dyDescent="0.35">
      <c r="A5990" t="s">
        <v>15</v>
      </c>
      <c r="B5990" t="s">
        <v>16</v>
      </c>
      <c r="C5990" t="s">
        <v>21</v>
      </c>
      <c r="D5990">
        <v>209979</v>
      </c>
      <c r="E5990">
        <v>13115</v>
      </c>
      <c r="F5990">
        <v>31840</v>
      </c>
      <c r="G5990">
        <v>-185707</v>
      </c>
      <c r="H5990">
        <v>69227</v>
      </c>
      <c r="I5990">
        <v>63319</v>
      </c>
      <c r="J5990">
        <v>1548</v>
      </c>
      <c r="K5990">
        <v>711970</v>
      </c>
      <c r="L5990">
        <v>310655</v>
      </c>
      <c r="M5990">
        <v>-214597</v>
      </c>
      <c r="N5990">
        <v>175132</v>
      </c>
      <c r="O5990" t="s">
        <v>6008</v>
      </c>
      <c r="P5990" s="9">
        <v>265147</v>
      </c>
      <c r="Q5990" s="9">
        <v>41380</v>
      </c>
      <c r="R5990" s="9">
        <v>306527</v>
      </c>
      <c r="S5990" s="9">
        <v>-116985</v>
      </c>
      <c r="T5990" s="10">
        <v>118410</v>
      </c>
      <c r="U5990" s="10">
        <v>2599</v>
      </c>
    </row>
    <row r="5991" spans="1:21" x14ac:dyDescent="0.35">
      <c r="A5991" t="s">
        <v>15</v>
      </c>
      <c r="B5991" t="s">
        <v>16</v>
      </c>
      <c r="C5991" t="s">
        <v>21</v>
      </c>
      <c r="D5991">
        <v>210527</v>
      </c>
      <c r="E5991">
        <v>25389</v>
      </c>
      <c r="F5991">
        <v>30582</v>
      </c>
      <c r="G5991">
        <v>-169548</v>
      </c>
      <c r="H5991">
        <v>96950</v>
      </c>
      <c r="I5991">
        <v>89551</v>
      </c>
      <c r="J5991">
        <v>1588</v>
      </c>
      <c r="K5991">
        <v>585546</v>
      </c>
      <c r="L5991">
        <v>278376</v>
      </c>
      <c r="M5991">
        <v>-83179</v>
      </c>
      <c r="N5991">
        <v>168840</v>
      </c>
      <c r="O5991" t="s">
        <v>6009</v>
      </c>
      <c r="P5991" s="9">
        <v>163435</v>
      </c>
      <c r="Q5991" s="9">
        <v>13481</v>
      </c>
      <c r="R5991" s="9">
        <v>176916</v>
      </c>
      <c r="S5991" s="9">
        <v>-83653</v>
      </c>
      <c r="T5991" s="10">
        <v>35861</v>
      </c>
      <c r="U5991" s="10">
        <v>504</v>
      </c>
    </row>
    <row r="5992" spans="1:21" x14ac:dyDescent="0.35">
      <c r="A5992" t="s">
        <v>15</v>
      </c>
      <c r="B5992" t="s">
        <v>16</v>
      </c>
      <c r="C5992" t="s">
        <v>21</v>
      </c>
      <c r="D5992">
        <v>153882</v>
      </c>
      <c r="E5992">
        <v>16554</v>
      </c>
      <c r="F5992">
        <v>28178</v>
      </c>
      <c r="G5992">
        <v>-125234</v>
      </c>
      <c r="H5992">
        <v>73380</v>
      </c>
      <c r="I5992">
        <v>75615</v>
      </c>
      <c r="J5992">
        <v>2249</v>
      </c>
      <c r="K5992">
        <v>374629</v>
      </c>
      <c r="L5992">
        <v>81000</v>
      </c>
      <c r="M5992">
        <v>-79928</v>
      </c>
      <c r="N5992">
        <v>77135</v>
      </c>
      <c r="O5992" t="s">
        <v>6010</v>
      </c>
      <c r="P5992" s="9">
        <v>277737</v>
      </c>
      <c r="Q5992" s="9">
        <v>42621</v>
      </c>
      <c r="R5992" s="9">
        <v>320358</v>
      </c>
      <c r="S5992" s="9">
        <v>-74600</v>
      </c>
      <c r="T5992" s="10">
        <v>110511</v>
      </c>
      <c r="U5992" s="10">
        <v>1321</v>
      </c>
    </row>
    <row r="5993" spans="1:21" x14ac:dyDescent="0.35">
      <c r="A5993" t="s">
        <v>15</v>
      </c>
      <c r="B5993" t="s">
        <v>16</v>
      </c>
      <c r="C5993" t="s">
        <v>17</v>
      </c>
      <c r="D5993">
        <v>241441</v>
      </c>
      <c r="E5993">
        <v>27322</v>
      </c>
      <c r="F5993">
        <v>41131</v>
      </c>
      <c r="G5993">
        <v>-218965</v>
      </c>
      <c r="H5993">
        <v>90929</v>
      </c>
      <c r="I5993">
        <v>86979</v>
      </c>
      <c r="J5993">
        <v>1707</v>
      </c>
      <c r="K5993">
        <v>598762</v>
      </c>
      <c r="L5993">
        <v>204880</v>
      </c>
      <c r="M5993">
        <v>-102060</v>
      </c>
      <c r="N5993">
        <v>216263</v>
      </c>
      <c r="O5993" t="s">
        <v>6011</v>
      </c>
      <c r="P5993" s="9">
        <v>215222</v>
      </c>
      <c r="Q5993" s="9">
        <v>18985</v>
      </c>
      <c r="R5993" s="9">
        <v>234207</v>
      </c>
      <c r="S5993" s="9">
        <v>-84613</v>
      </c>
      <c r="T5993" s="10">
        <v>113214</v>
      </c>
      <c r="U5993" s="10">
        <v>1496</v>
      </c>
    </row>
    <row r="5994" spans="1:21" x14ac:dyDescent="0.35">
      <c r="A5994" t="s">
        <v>15</v>
      </c>
      <c r="B5994" t="s">
        <v>20</v>
      </c>
      <c r="C5994" t="s">
        <v>17</v>
      </c>
      <c r="D5994">
        <v>174989</v>
      </c>
      <c r="E5994">
        <v>14593</v>
      </c>
      <c r="F5994">
        <v>22238</v>
      </c>
      <c r="G5994">
        <v>-145550</v>
      </c>
      <c r="H5994">
        <v>66270</v>
      </c>
      <c r="I5994">
        <v>65481</v>
      </c>
      <c r="J5994">
        <v>1671</v>
      </c>
      <c r="K5994">
        <v>469138</v>
      </c>
      <c r="L5994">
        <v>201794</v>
      </c>
      <c r="M5994">
        <v>-55104</v>
      </c>
      <c r="N5994">
        <v>132229</v>
      </c>
      <c r="O5994" t="s">
        <v>6012</v>
      </c>
      <c r="P5994" s="9">
        <v>278837</v>
      </c>
      <c r="Q5994" s="9">
        <v>35022</v>
      </c>
      <c r="R5994" s="9">
        <v>313859</v>
      </c>
      <c r="S5994" s="9">
        <v>-142188</v>
      </c>
      <c r="T5994" s="10">
        <v>100049</v>
      </c>
      <c r="U5994" s="10">
        <v>1755</v>
      </c>
    </row>
    <row r="5995" spans="1:21" x14ac:dyDescent="0.35">
      <c r="A5995" t="s">
        <v>15</v>
      </c>
      <c r="B5995" t="s">
        <v>20</v>
      </c>
      <c r="C5995" t="s">
        <v>17</v>
      </c>
      <c r="D5995">
        <v>253928</v>
      </c>
      <c r="E5995">
        <v>49743</v>
      </c>
      <c r="F5995">
        <v>55814</v>
      </c>
      <c r="G5995">
        <v>-227448</v>
      </c>
      <c r="H5995">
        <v>132037</v>
      </c>
      <c r="I5995">
        <v>120282</v>
      </c>
      <c r="J5995">
        <v>2670</v>
      </c>
      <c r="K5995">
        <v>733658</v>
      </c>
      <c r="L5995">
        <v>260536</v>
      </c>
      <c r="M5995">
        <v>-122534</v>
      </c>
      <c r="N5995">
        <v>80378</v>
      </c>
      <c r="O5995" t="s">
        <v>6013</v>
      </c>
      <c r="P5995" s="9">
        <v>276091</v>
      </c>
      <c r="Q5995" s="9">
        <v>51472</v>
      </c>
      <c r="R5995" s="9">
        <v>327563</v>
      </c>
      <c r="S5995" s="9">
        <v>-113385</v>
      </c>
      <c r="T5995" s="10">
        <v>117470</v>
      </c>
      <c r="U5995" s="10">
        <v>1535</v>
      </c>
    </row>
    <row r="5996" spans="1:21" x14ac:dyDescent="0.35">
      <c r="A5996" t="s">
        <v>15</v>
      </c>
      <c r="B5996" t="s">
        <v>20</v>
      </c>
      <c r="C5996" t="s">
        <v>21</v>
      </c>
      <c r="D5996">
        <v>214651</v>
      </c>
      <c r="E5996">
        <v>34261</v>
      </c>
      <c r="F5996">
        <v>35532</v>
      </c>
      <c r="G5996">
        <v>-189386</v>
      </c>
      <c r="H5996">
        <v>95058</v>
      </c>
      <c r="I5996">
        <v>85653</v>
      </c>
      <c r="J5996">
        <v>1279</v>
      </c>
      <c r="K5996">
        <v>557568</v>
      </c>
      <c r="L5996">
        <v>102305</v>
      </c>
      <c r="M5996">
        <v>-186383</v>
      </c>
      <c r="N5996">
        <v>159312</v>
      </c>
      <c r="O5996" t="s">
        <v>6014</v>
      </c>
      <c r="P5996" s="9">
        <v>257208</v>
      </c>
      <c r="Q5996" s="9">
        <v>26197</v>
      </c>
      <c r="R5996" s="9">
        <v>283405</v>
      </c>
      <c r="S5996" s="9">
        <v>-90491</v>
      </c>
      <c r="T5996" s="10">
        <v>105141</v>
      </c>
      <c r="U5996" s="10">
        <v>1178</v>
      </c>
    </row>
    <row r="5997" spans="1:21" x14ac:dyDescent="0.35">
      <c r="A5997" t="s">
        <v>15</v>
      </c>
      <c r="B5997" t="s">
        <v>16</v>
      </c>
      <c r="C5997" t="s">
        <v>17</v>
      </c>
      <c r="D5997">
        <v>215415</v>
      </c>
      <c r="E5997">
        <v>36468</v>
      </c>
      <c r="F5997">
        <v>47571</v>
      </c>
      <c r="G5997">
        <v>-191824</v>
      </c>
      <c r="H5997">
        <v>107630</v>
      </c>
      <c r="I5997">
        <v>112818</v>
      </c>
      <c r="J5997">
        <v>2573</v>
      </c>
      <c r="K5997">
        <v>727487</v>
      </c>
      <c r="L5997">
        <v>261790</v>
      </c>
      <c r="M5997">
        <v>-133935</v>
      </c>
      <c r="N5997">
        <v>77040</v>
      </c>
      <c r="O5997" t="s">
        <v>6015</v>
      </c>
      <c r="P5997" s="9">
        <v>234359</v>
      </c>
      <c r="Q5997" s="9">
        <v>32450</v>
      </c>
      <c r="R5997" s="9">
        <v>266809</v>
      </c>
      <c r="S5997" s="9">
        <v>-77694</v>
      </c>
      <c r="T5997" s="10">
        <v>128678</v>
      </c>
      <c r="U5997" s="10">
        <v>2036</v>
      </c>
    </row>
    <row r="5998" spans="1:21" x14ac:dyDescent="0.35">
      <c r="A5998" t="s">
        <v>15</v>
      </c>
      <c r="B5998" t="s">
        <v>20</v>
      </c>
      <c r="C5998" t="s">
        <v>21</v>
      </c>
      <c r="D5998">
        <v>279251</v>
      </c>
      <c r="E5998">
        <v>20958</v>
      </c>
      <c r="F5998">
        <v>58920</v>
      </c>
      <c r="G5998">
        <v>-242978</v>
      </c>
      <c r="H5998">
        <v>116151</v>
      </c>
      <c r="I5998">
        <v>105056</v>
      </c>
      <c r="J5998">
        <v>1417</v>
      </c>
      <c r="K5998">
        <v>955051</v>
      </c>
      <c r="L5998">
        <v>148272</v>
      </c>
      <c r="M5998">
        <v>-164156</v>
      </c>
      <c r="N5998">
        <v>106861</v>
      </c>
      <c r="O5998" t="s">
        <v>6016</v>
      </c>
      <c r="P5998" s="9">
        <v>215126</v>
      </c>
      <c r="Q5998" s="9">
        <v>16728</v>
      </c>
      <c r="R5998" s="9">
        <v>231854</v>
      </c>
      <c r="S5998" s="9">
        <v>-64862</v>
      </c>
      <c r="T5998" s="10">
        <v>79470</v>
      </c>
      <c r="U5998" s="10">
        <v>2341</v>
      </c>
    </row>
    <row r="5999" spans="1:21" x14ac:dyDescent="0.35">
      <c r="A5999" t="s">
        <v>15</v>
      </c>
      <c r="B5999" t="s">
        <v>16</v>
      </c>
      <c r="C5999" t="s">
        <v>21</v>
      </c>
      <c r="D5999">
        <v>224130</v>
      </c>
      <c r="E5999">
        <v>21030</v>
      </c>
      <c r="F5999">
        <v>42318</v>
      </c>
      <c r="G5999">
        <v>-183961</v>
      </c>
      <c r="H5999">
        <v>103517</v>
      </c>
      <c r="I5999">
        <v>103813</v>
      </c>
      <c r="J5999">
        <v>1513</v>
      </c>
      <c r="K5999">
        <v>608761</v>
      </c>
      <c r="L5999">
        <v>211355</v>
      </c>
      <c r="M5999">
        <v>-112554</v>
      </c>
      <c r="N5999">
        <v>100326</v>
      </c>
      <c r="O5999" t="s">
        <v>6017</v>
      </c>
      <c r="P5999" s="9">
        <v>227791</v>
      </c>
      <c r="Q5999" s="9">
        <v>29130</v>
      </c>
      <c r="R5999" s="9">
        <v>256921</v>
      </c>
      <c r="S5999" s="9">
        <v>-89320</v>
      </c>
      <c r="T5999" s="10">
        <v>86578</v>
      </c>
      <c r="U5999" s="10">
        <v>1871</v>
      </c>
    </row>
    <row r="6000" spans="1:21" x14ac:dyDescent="0.35">
      <c r="A6000" t="s">
        <v>15</v>
      </c>
      <c r="B6000" t="s">
        <v>20</v>
      </c>
      <c r="C6000" t="s">
        <v>21</v>
      </c>
      <c r="D6000">
        <v>191304</v>
      </c>
      <c r="E6000">
        <v>25555</v>
      </c>
      <c r="F6000">
        <v>35412</v>
      </c>
      <c r="G6000">
        <v>-185685</v>
      </c>
      <c r="H6000">
        <v>66586</v>
      </c>
      <c r="I6000">
        <v>60447</v>
      </c>
      <c r="J6000">
        <v>1210</v>
      </c>
      <c r="K6000">
        <v>689959</v>
      </c>
      <c r="L6000">
        <v>281583</v>
      </c>
      <c r="M6000">
        <v>-181986</v>
      </c>
      <c r="N6000">
        <v>83976</v>
      </c>
      <c r="O6000" t="s">
        <v>6018</v>
      </c>
      <c r="P6000" s="9">
        <v>160158</v>
      </c>
      <c r="Q6000" s="9">
        <v>26092</v>
      </c>
      <c r="R6000" s="9">
        <v>186250</v>
      </c>
      <c r="S6000" s="9">
        <v>-57187</v>
      </c>
      <c r="T6000" s="10">
        <v>70771</v>
      </c>
      <c r="U6000" s="10">
        <v>1917</v>
      </c>
    </row>
    <row r="6001" spans="1:21" x14ac:dyDescent="0.35">
      <c r="A6001" t="s">
        <v>15</v>
      </c>
      <c r="B6001" t="s">
        <v>20</v>
      </c>
      <c r="C6001" t="s">
        <v>21</v>
      </c>
      <c r="D6001">
        <v>180701</v>
      </c>
      <c r="E6001">
        <v>20615</v>
      </c>
      <c r="F6001">
        <v>43560</v>
      </c>
      <c r="G6001">
        <v>-154552</v>
      </c>
      <c r="H6001">
        <v>90324</v>
      </c>
      <c r="I6001">
        <v>90827</v>
      </c>
      <c r="J6001">
        <v>1679</v>
      </c>
      <c r="K6001">
        <v>434728</v>
      </c>
      <c r="L6001">
        <v>211466</v>
      </c>
      <c r="M6001">
        <v>-102699</v>
      </c>
      <c r="N6001">
        <v>75355</v>
      </c>
      <c r="O6001" t="s">
        <v>6019</v>
      </c>
      <c r="P6001" s="9">
        <v>189236</v>
      </c>
      <c r="Q6001" s="9">
        <v>17024</v>
      </c>
      <c r="R6001" s="9">
        <v>206260</v>
      </c>
      <c r="S6001" s="9">
        <v>-69392</v>
      </c>
      <c r="T6001" s="10">
        <v>71660</v>
      </c>
      <c r="U6001" s="10">
        <v>1520</v>
      </c>
    </row>
  </sheetData>
  <autoFilter ref="A1:O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A349E-D045-42FD-A5CE-F5B064538EF0}">
  <dimension ref="A1:K45"/>
  <sheetViews>
    <sheetView tabSelected="1" workbookViewId="0">
      <selection activeCell="A6" sqref="A6"/>
    </sheetView>
  </sheetViews>
  <sheetFormatPr defaultRowHeight="14.5" x14ac:dyDescent="0.35"/>
  <cols>
    <col min="1" max="1" width="21.90625" bestFit="1" customWidth="1"/>
    <col min="2" max="2" width="23.7265625" bestFit="1" customWidth="1"/>
    <col min="3" max="3" width="23.36328125" bestFit="1" customWidth="1"/>
    <col min="4" max="4" width="23.7265625" bestFit="1" customWidth="1"/>
    <col min="5" max="5" width="32.1796875" bestFit="1" customWidth="1"/>
    <col min="6" max="6" width="30" bestFit="1" customWidth="1"/>
    <col min="7" max="7" width="23.81640625" bestFit="1" customWidth="1"/>
    <col min="9" max="9" width="14.54296875" bestFit="1" customWidth="1"/>
    <col min="10" max="11" width="14.7265625" bestFit="1" customWidth="1"/>
  </cols>
  <sheetData>
    <row r="1" spans="1:11" x14ac:dyDescent="0.35">
      <c r="A1" s="1" t="s">
        <v>6020</v>
      </c>
    </row>
    <row r="2" spans="1:11" x14ac:dyDescent="0.35">
      <c r="A2" t="s">
        <v>15</v>
      </c>
    </row>
    <row r="4" spans="1:11" x14ac:dyDescent="0.35">
      <c r="A4" s="1" t="s">
        <v>6021</v>
      </c>
      <c r="I4" s="8" t="s">
        <v>6022</v>
      </c>
      <c r="J4" s="8"/>
      <c r="K4" s="8"/>
    </row>
    <row r="5" spans="1:11" x14ac:dyDescent="0.35">
      <c r="A5" s="2" t="s">
        <v>1</v>
      </c>
      <c r="B5" s="2" t="s">
        <v>6023</v>
      </c>
      <c r="C5" s="2" t="s">
        <v>6024</v>
      </c>
      <c r="D5" s="2" t="s">
        <v>6025</v>
      </c>
      <c r="E5" s="2" t="s">
        <v>6026</v>
      </c>
      <c r="F5" s="2" t="s">
        <v>6022</v>
      </c>
      <c r="G5" s="2" t="s">
        <v>6027</v>
      </c>
      <c r="I5" t="s">
        <v>1</v>
      </c>
      <c r="J5" s="2" t="s">
        <v>21</v>
      </c>
      <c r="K5" s="2" t="s">
        <v>17</v>
      </c>
    </row>
    <row r="6" spans="1:11" x14ac:dyDescent="0.35">
      <c r="A6" t="s">
        <v>16</v>
      </c>
      <c r="B6" s="5">
        <f>SUMIFS(SQL_data!D:D,SQL_data!$B:$B,Summary!$A6)</f>
        <v>812731465</v>
      </c>
      <c r="C6" s="5">
        <f>SUMIFS(SQL_data!E:E,SQL_data!$B:$B,Summary!$A6)</f>
        <v>100915897</v>
      </c>
      <c r="D6" s="5">
        <f>SUMIFS(SQL_data!F:F,SQL_data!$B:$B,Summary!$A6)</f>
        <v>142196313</v>
      </c>
      <c r="E6" s="5">
        <f>B6+C6-D6</f>
        <v>771451049</v>
      </c>
      <c r="F6" s="5">
        <f>-1*SUMIFS(SQL_data!G:G,SQL_data!$B:$B,Summary!$A6)</f>
        <v>731779148</v>
      </c>
      <c r="G6" s="5">
        <f>SUMIFS(SQL_data!H:H,SQL_data!$B:$B,Summary!$A6)</f>
        <v>324064527</v>
      </c>
      <c r="I6" t="s">
        <v>16</v>
      </c>
      <c r="J6" s="5">
        <f>-1*SUMIFS(SQL_data!G:G,SQL_data!$B:$B,Summary!$A6,SQL_data!$C:$C,Summary!J$5)</f>
        <v>517470084</v>
      </c>
      <c r="K6" s="5">
        <f>-1*SUMIFS(SQL_data!G:G,SQL_data!$B:$B,Summary!$A6,SQL_data!$C:$C,Summary!K$5)</f>
        <v>214309064</v>
      </c>
    </row>
    <row r="7" spans="1:11" x14ac:dyDescent="0.35">
      <c r="A7" t="s">
        <v>20</v>
      </c>
      <c r="B7" s="5">
        <f>SUMIFS(SQL_data!D:D,SQL_data!$B:$B,Summary!$A7)</f>
        <v>539331006</v>
      </c>
      <c r="C7" s="5">
        <f>SUMIFS(SQL_data!E:E,SQL_data!$B:$B,Summary!$A7)</f>
        <v>67764464</v>
      </c>
      <c r="D7" s="5">
        <f>SUMIFS(SQL_data!F:F,SQL_data!$B:$B,Summary!$A7)</f>
        <v>94006311</v>
      </c>
      <c r="E7" s="5">
        <f t="shared" ref="E7:E9" si="0">B7+C7-D7</f>
        <v>513089159</v>
      </c>
      <c r="F7" s="5">
        <f>-1*SUMIFS(SQL_data!G:G,SQL_data!$B:$B,Summary!$A7)</f>
        <v>485427789</v>
      </c>
      <c r="G7" s="5">
        <f>SUMIFS(SQL_data!H:H,SQL_data!$B:$B,Summary!$A7)</f>
        <v>215673992</v>
      </c>
      <c r="I7" t="s">
        <v>20</v>
      </c>
      <c r="J7" s="5">
        <f>-1*SUMIFS(SQL_data!G:G,SQL_data!$B:$B,Summary!$A7,SQL_data!$C:$C,Summary!J$5)</f>
        <v>332572515</v>
      </c>
      <c r="K7" s="5">
        <f>-1*SUMIFS(SQL_data!G:G,SQL_data!$B:$B,Summary!$A7,SQL_data!$C:$C,Summary!K$5)</f>
        <v>152855274</v>
      </c>
    </row>
    <row r="8" spans="1:11" x14ac:dyDescent="0.35">
      <c r="A8" t="s">
        <v>6028</v>
      </c>
      <c r="B8" s="6">
        <f>SUM(B6:B7)</f>
        <v>1352062471</v>
      </c>
      <c r="C8" s="6">
        <f>SUM(C6:C7)</f>
        <v>168680361</v>
      </c>
      <c r="D8" s="6">
        <f>SUM(D6:D7)</f>
        <v>236202624</v>
      </c>
      <c r="E8" s="6">
        <f>SUM(E6:E7)</f>
        <v>1284540208</v>
      </c>
      <c r="F8" s="6">
        <f>SUM(F6:F7)</f>
        <v>1217206937</v>
      </c>
      <c r="G8" s="6">
        <f>SUM(G6:G7)</f>
        <v>539738519</v>
      </c>
      <c r="I8" t="s">
        <v>6028</v>
      </c>
      <c r="J8" s="5">
        <f>SUM(J6:J7)</f>
        <v>850042599</v>
      </c>
      <c r="K8" s="5">
        <f>SUM(K6:K7)</f>
        <v>367164338</v>
      </c>
    </row>
    <row r="9" spans="1:11" x14ac:dyDescent="0.35">
      <c r="A9" t="s">
        <v>6029</v>
      </c>
      <c r="B9" s="7">
        <f>SUMIFS(SQL_data!D:D,SQL_data!$B:$B,"*")-B8</f>
        <v>0</v>
      </c>
      <c r="C9" s="7">
        <f>SUMIFS(SQL_data!E:E,SQL_data!$B:$B,"*")-C8</f>
        <v>0</v>
      </c>
      <c r="D9" s="7">
        <f>SUMIFS(SQL_data!F:F,SQL_data!$B:$B,"*")-D8</f>
        <v>0</v>
      </c>
      <c r="E9" s="7">
        <f t="shared" si="0"/>
        <v>0</v>
      </c>
      <c r="F9" s="7">
        <f>-1*SUMIFS(SQL_data!G:G,SQL_data!$B:$B,"*")-F8</f>
        <v>0</v>
      </c>
      <c r="G9" s="7">
        <f>SUMIFS(SQL_data!H:H,SQL_data!$B:$B,"*")-G8</f>
        <v>0</v>
      </c>
      <c r="I9" t="s">
        <v>6029</v>
      </c>
      <c r="J9" s="5">
        <f>-1*SUMIFS(SQL_data!G:G,SQL_data!$C:$C,J$5)-J8</f>
        <v>0</v>
      </c>
      <c r="K9" s="5">
        <f>-1*SUMIFS(SQL_data!G:G,SQL_data!$C:$C,K$5)-K8</f>
        <v>0</v>
      </c>
    </row>
    <row r="11" spans="1:11" x14ac:dyDescent="0.35">
      <c r="A11" s="1" t="s">
        <v>6035</v>
      </c>
    </row>
    <row r="12" spans="1:11" x14ac:dyDescent="0.35">
      <c r="A12" s="2" t="s">
        <v>6030</v>
      </c>
      <c r="B12" s="2" t="s">
        <v>6036</v>
      </c>
      <c r="C12" s="2" t="s">
        <v>6037</v>
      </c>
      <c r="D12" s="2" t="s">
        <v>6038</v>
      </c>
      <c r="E12" s="2" t="s">
        <v>6039</v>
      </c>
    </row>
    <row r="13" spans="1:11" x14ac:dyDescent="0.35">
      <c r="A13" t="s">
        <v>16</v>
      </c>
      <c r="B13" s="5">
        <f>SUMIFS(SQL_data!P:P,SQL_data!$B:$B,Summary!$A13)</f>
        <v>808592059</v>
      </c>
      <c r="C13" s="5">
        <f>SUMIFS(SQL_data!Q:Q,SQL_data!$B:$B,Summary!$A13)</f>
        <v>100689183</v>
      </c>
      <c r="D13" s="5">
        <f>SUMIFS(SQL_data!R:R,SQL_data!$B:$B,Summary!$A13)</f>
        <v>909281242</v>
      </c>
      <c r="E13" s="5">
        <f>-1*SUMIFS(SQL_data!S:S,SQL_data!$B:$B,Summary!$A13)</f>
        <v>364561435</v>
      </c>
    </row>
    <row r="14" spans="1:11" x14ac:dyDescent="0.35">
      <c r="A14" t="s">
        <v>20</v>
      </c>
      <c r="B14" s="5">
        <f>SUMIFS(SQL_data!P:P,SQL_data!$B:$B,Summary!$A14)</f>
        <v>539119628</v>
      </c>
      <c r="C14" s="5">
        <f>SUMIFS(SQL_data!Q:Q,SQL_data!$B:$B,Summary!$A14)</f>
        <v>66917757</v>
      </c>
      <c r="D14" s="5">
        <f>SUMIFS(SQL_data!R:R,SQL_data!$B:$B,Summary!$A14)</f>
        <v>606037385</v>
      </c>
      <c r="E14" s="5">
        <f>-1*SUMIFS(SQL_data!S:S,SQL_data!$B:$B,Summary!$A14)</f>
        <v>242785884</v>
      </c>
    </row>
    <row r="15" spans="1:11" x14ac:dyDescent="0.35">
      <c r="A15" t="s">
        <v>6028</v>
      </c>
      <c r="B15" s="6">
        <f>SUM(B13:B14)</f>
        <v>1347711687</v>
      </c>
      <c r="C15" s="6">
        <f t="shared" ref="C15:E15" si="1">SUM(C13:C14)</f>
        <v>167606940</v>
      </c>
      <c r="D15" s="6">
        <f t="shared" si="1"/>
        <v>1515318627</v>
      </c>
      <c r="E15" s="6">
        <f t="shared" si="1"/>
        <v>607347319</v>
      </c>
    </row>
    <row r="16" spans="1:11" x14ac:dyDescent="0.35">
      <c r="A16" t="s">
        <v>6029</v>
      </c>
      <c r="B16" s="7">
        <f>SUMIFS(SQL_data!P:P,SQL_data!$B:$B,"*")-B15</f>
        <v>0</v>
      </c>
      <c r="C16" s="7">
        <f>SUMIFS(SQL_data!Q:Q,SQL_data!$B:$B,"*")-C15</f>
        <v>0</v>
      </c>
      <c r="D16" s="7">
        <f>SUMIFS(SQL_data!R:R,SQL_data!$B:$B,"*")-D15</f>
        <v>0</v>
      </c>
      <c r="E16" s="7">
        <f>-1*SUMIFS(SQL_data!S:S,SQL_data!$B:$B,"*")-E15</f>
        <v>0</v>
      </c>
    </row>
    <row r="18" spans="1:6" s="9" customFormat="1" x14ac:dyDescent="0.35">
      <c r="A18" s="1" t="s">
        <v>6044</v>
      </c>
    </row>
    <row r="19" spans="1:6" s="9" customFormat="1" x14ac:dyDescent="0.35">
      <c r="A19" s="2" t="s">
        <v>6030</v>
      </c>
      <c r="B19" s="2" t="s">
        <v>6045</v>
      </c>
      <c r="C19" s="2" t="s">
        <v>6046</v>
      </c>
      <c r="D19" s="2" t="s">
        <v>6047</v>
      </c>
      <c r="E19" s="2" t="s">
        <v>6048</v>
      </c>
    </row>
    <row r="20" spans="1:6" s="9" customFormat="1" x14ac:dyDescent="0.35">
      <c r="A20" s="9" t="s">
        <v>16</v>
      </c>
      <c r="B20" s="5">
        <f>SUMIFS(SQL_data!T:T,SQL_data!$B:$B,Summary!$A20)</f>
        <v>316095305</v>
      </c>
      <c r="C20" s="5">
        <f>SUMIFS(SQL_data!U:U,SQL_data!$B:$B,Summary!$A20)</f>
        <v>6321413</v>
      </c>
      <c r="D20" s="5">
        <f>SUM(B20:C20)</f>
        <v>322416718</v>
      </c>
      <c r="E20" s="5">
        <f>D20</f>
        <v>322416718</v>
      </c>
    </row>
    <row r="21" spans="1:6" s="9" customFormat="1" x14ac:dyDescent="0.35">
      <c r="A21" s="9" t="s">
        <v>20</v>
      </c>
      <c r="B21" s="5">
        <f>SUMIFS(SQL_data!T:T,SQL_data!$B:$B,Summary!$A21)</f>
        <v>208633369</v>
      </c>
      <c r="C21" s="5">
        <f>SUMIFS(SQL_data!U:U,SQL_data!$B:$B,Summary!$A21)</f>
        <v>4131055</v>
      </c>
      <c r="D21" s="5">
        <f t="shared" ref="D21" si="2">SUM(B21:C21)</f>
        <v>212764424</v>
      </c>
      <c r="E21" s="5">
        <f t="shared" ref="E21" si="3">D21</f>
        <v>212764424</v>
      </c>
    </row>
    <row r="22" spans="1:6" s="9" customFormat="1" x14ac:dyDescent="0.35">
      <c r="A22" s="9" t="s">
        <v>6028</v>
      </c>
      <c r="B22" s="6">
        <f>SUM(B20:B21)</f>
        <v>524728674</v>
      </c>
      <c r="C22" s="6">
        <f>SUM(C20:C21)</f>
        <v>10452468</v>
      </c>
      <c r="D22" s="6">
        <f>SUM(D20:D21)</f>
        <v>535181142</v>
      </c>
      <c r="E22" s="6">
        <f>SUM(E20:E21)</f>
        <v>535181142</v>
      </c>
    </row>
    <row r="23" spans="1:6" s="9" customFormat="1" x14ac:dyDescent="0.35">
      <c r="A23" s="9" t="s">
        <v>6029</v>
      </c>
      <c r="B23" s="7">
        <f>SUMIFS(SQL_data!T:T,SQL_data!$B:$B,"*")-B22</f>
        <v>0</v>
      </c>
      <c r="C23" s="7">
        <f>SUMIFS(SQL_data!U:U,SQL_data!$B:$B,"*")-C22</f>
        <v>0</v>
      </c>
      <c r="D23" s="7">
        <f>SUM(B22,C22)-D22</f>
        <v>0</v>
      </c>
      <c r="E23" s="7">
        <f>D22-E22</f>
        <v>0</v>
      </c>
    </row>
    <row r="24" spans="1:6" s="9" customFormat="1" x14ac:dyDescent="0.35"/>
    <row r="25" spans="1:6" s="9" customFormat="1" x14ac:dyDescent="0.35"/>
    <row r="26" spans="1:6" x14ac:dyDescent="0.35">
      <c r="A26" s="1" t="s">
        <v>6031</v>
      </c>
    </row>
    <row r="27" spans="1:6" x14ac:dyDescent="0.35">
      <c r="A27" s="2" t="s">
        <v>6030</v>
      </c>
      <c r="B27" s="2" t="s">
        <v>6050</v>
      </c>
      <c r="C27" s="2" t="s">
        <v>6051</v>
      </c>
      <c r="D27" s="2" t="s">
        <v>6052</v>
      </c>
      <c r="E27" s="2" t="s">
        <v>6053</v>
      </c>
      <c r="F27" s="2" t="s">
        <v>6054</v>
      </c>
    </row>
    <row r="28" spans="1:6" x14ac:dyDescent="0.35">
      <c r="A28" t="s">
        <v>16</v>
      </c>
      <c r="B28" s="5">
        <f>SUMIFS(SQL_data!K:K,SQL_data!$B:$B,Summary!$A28)</f>
        <v>2435493885</v>
      </c>
      <c r="C28" s="5">
        <f>SUMIFS(SQL_data!L:L,SQL_data!$B:$B,Summary!$A28)</f>
        <v>723337977</v>
      </c>
      <c r="D28" s="5">
        <f>-1*SUMIFS(SQL_data!M:M,SQL_data!$B:$B,Summary!$A28)</f>
        <v>609494659</v>
      </c>
      <c r="E28" s="5">
        <f>B28+D28</f>
        <v>3044988544</v>
      </c>
      <c r="F28" s="5">
        <f>E28</f>
        <v>3044988544</v>
      </c>
    </row>
    <row r="29" spans="1:6" x14ac:dyDescent="0.35">
      <c r="A29" t="s">
        <v>20</v>
      </c>
      <c r="B29" s="5">
        <f>SUMIFS(SQL_data!K:K,SQL_data!$B:$B,Summary!$A29)</f>
        <v>1618492281</v>
      </c>
      <c r="C29" s="5">
        <f>SUMIFS(SQL_data!L:L,SQL_data!$B:$B,Summary!$A29)</f>
        <v>486882065</v>
      </c>
      <c r="D29" s="5">
        <f>-1*SUMIFS(SQL_data!M:M,SQL_data!$B:$B,Summary!$A29)</f>
        <v>400785999</v>
      </c>
      <c r="E29" s="5">
        <f t="shared" ref="E29:E31" si="4">B29+D29</f>
        <v>2019278280</v>
      </c>
      <c r="F29" s="5">
        <f>E29</f>
        <v>2019278280</v>
      </c>
    </row>
    <row r="30" spans="1:6" x14ac:dyDescent="0.35">
      <c r="A30" t="s">
        <v>6028</v>
      </c>
      <c r="B30" s="6">
        <f>SUM(B28:B29)</f>
        <v>4053986166</v>
      </c>
      <c r="C30" s="6">
        <f>SUM(C28:C29)</f>
        <v>1210220042</v>
      </c>
      <c r="D30" s="6">
        <f>SUM(D28:D29)</f>
        <v>1010280658</v>
      </c>
      <c r="E30" s="6">
        <f t="shared" ref="E30:F30" si="5">SUM(E28:E29)</f>
        <v>5064266824</v>
      </c>
      <c r="F30" s="6">
        <f t="shared" si="5"/>
        <v>5064266824</v>
      </c>
    </row>
    <row r="31" spans="1:6" x14ac:dyDescent="0.35">
      <c r="A31" t="s">
        <v>6029</v>
      </c>
      <c r="B31" s="7">
        <f>SUMIFS(SQL_data!K:K,SQL_data!$B:$B,"*")-B30</f>
        <v>0</v>
      </c>
      <c r="C31" s="7">
        <f>SUMIFS(SQL_data!L:L,SQL_data!$B:$B,"*")-C30</f>
        <v>0</v>
      </c>
      <c r="D31" s="7">
        <f>-1*SUMIFS(SQL_data!M:M,SQL_data!$B:$B,"*")-D30</f>
        <v>0</v>
      </c>
      <c r="E31" s="7">
        <f>B30+D30-E30</f>
        <v>0</v>
      </c>
      <c r="F31" s="7">
        <f>E30-F30</f>
        <v>0</v>
      </c>
    </row>
    <row r="33" spans="1:2" x14ac:dyDescent="0.35">
      <c r="A33" s="1" t="s">
        <v>6032</v>
      </c>
    </row>
    <row r="34" spans="1:2" x14ac:dyDescent="0.35">
      <c r="A34" s="2" t="s">
        <v>6030</v>
      </c>
      <c r="B34" s="2" t="s">
        <v>6055</v>
      </c>
    </row>
    <row r="35" spans="1:2" x14ac:dyDescent="0.35">
      <c r="A35" t="s">
        <v>16</v>
      </c>
      <c r="B35" s="5">
        <f>SUMIFS(SQL_data!N:N,SQL_data!$B:$B,Summary!$A35)</f>
        <v>486388531</v>
      </c>
    </row>
    <row r="36" spans="1:2" x14ac:dyDescent="0.35">
      <c r="A36" t="s">
        <v>20</v>
      </c>
      <c r="B36" s="5">
        <f>SUMIFS(SQL_data!N:N,SQL_data!$B:$B,Summary!$A36)</f>
        <v>323091171</v>
      </c>
    </row>
    <row r="37" spans="1:2" x14ac:dyDescent="0.35">
      <c r="A37" t="s">
        <v>6028</v>
      </c>
      <c r="B37" s="6">
        <f>SUM(B35:B36)</f>
        <v>809479702</v>
      </c>
    </row>
    <row r="38" spans="1:2" x14ac:dyDescent="0.35">
      <c r="A38" t="s">
        <v>6029</v>
      </c>
      <c r="B38" s="7">
        <f>SUMIFS(SQL_data!N:N,SQL_data!$B:$B,"*")-B37</f>
        <v>0</v>
      </c>
    </row>
    <row r="40" spans="1:2" x14ac:dyDescent="0.35">
      <c r="A40" s="1" t="s">
        <v>6033</v>
      </c>
    </row>
    <row r="41" spans="1:2" x14ac:dyDescent="0.35">
      <c r="A41" s="2" t="s">
        <v>6030</v>
      </c>
      <c r="B41" s="2" t="s">
        <v>6034</v>
      </c>
    </row>
    <row r="42" spans="1:2" x14ac:dyDescent="0.35">
      <c r="A42" t="s">
        <v>16</v>
      </c>
      <c r="B42">
        <f>COUNTIFS(SQL_data!$B:$B,Summary!$A42)</f>
        <v>3605</v>
      </c>
    </row>
    <row r="43" spans="1:2" x14ac:dyDescent="0.35">
      <c r="A43" t="s">
        <v>20</v>
      </c>
      <c r="B43" s="10">
        <f>COUNTIFS(SQL_data!$B:$B,Summary!$A43)</f>
        <v>2395</v>
      </c>
    </row>
    <row r="44" spans="1:2" x14ac:dyDescent="0.35">
      <c r="A44" t="s">
        <v>6028</v>
      </c>
      <c r="B44" s="3">
        <f>SUM(B42:B43)</f>
        <v>6000</v>
      </c>
    </row>
    <row r="45" spans="1:2" x14ac:dyDescent="0.35">
      <c r="A45" t="s">
        <v>6029</v>
      </c>
      <c r="B45" s="4">
        <f>COUNTIFS(SQL_data!$B:$B,"*")-1-B44</f>
        <v>0</v>
      </c>
    </row>
  </sheetData>
  <mergeCells count="1">
    <mergeCell ref="I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SQL_data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Pinkle Arora</cp:lastModifiedBy>
  <dcterms:created xsi:type="dcterms:W3CDTF">2026-04-06T13:25:42Z</dcterms:created>
  <dcterms:modified xsi:type="dcterms:W3CDTF">2026-04-06T14:51:27Z</dcterms:modified>
</cp:coreProperties>
</file>