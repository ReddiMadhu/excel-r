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neha266831_exlservice_com/Documents/Desktop/Neha/BI Migration/Excel to Python/"/>
    </mc:Choice>
  </mc:AlternateContent>
  <xr:revisionPtr revIDLastSave="23" documentId="8_{952D45BC-245C-4FEA-A0F3-6E7824AA57F1}" xr6:coauthVersionLast="47" xr6:coauthVersionMax="47" xr10:uidLastSave="{60A29FB9-AC15-478C-AB86-81A5AA9EB2A6}"/>
  <bookViews>
    <workbookView xWindow="-110" yWindow="-110" windowWidth="19420" windowHeight="11500" activeTab="1" xr2:uid="{00000000-000D-0000-FFFF-FFFF00000000}"/>
  </bookViews>
  <sheets>
    <sheet name="Summary" sheetId="1" r:id="rId1"/>
    <sheet name="Sheet1" sheetId="3" r:id="rId2"/>
    <sheet name="Warehouse 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0" i="1"/>
  <c r="D39" i="1"/>
  <c r="C45" i="1"/>
  <c r="C43" i="1"/>
  <c r="C42" i="1"/>
  <c r="C41" i="1"/>
  <c r="C40" i="1"/>
  <c r="C39" i="1"/>
  <c r="D31" i="1"/>
  <c r="D32" i="1" s="1"/>
  <c r="D26" i="1"/>
  <c r="D27" i="1" s="1"/>
  <c r="D22" i="1"/>
  <c r="E21" i="1"/>
  <c r="E22" i="1" s="1"/>
  <c r="D21" i="1"/>
  <c r="F21" i="1" s="1"/>
  <c r="F22" i="1" s="1"/>
  <c r="E16" i="1"/>
  <c r="D16" i="1"/>
  <c r="F16" i="1" s="1"/>
  <c r="F17" i="1" s="1"/>
  <c r="F12" i="1"/>
  <c r="F11" i="1"/>
  <c r="F6" i="1"/>
  <c r="F7" i="1" s="1"/>
  <c r="E6" i="1"/>
  <c r="E7" i="1" s="1"/>
  <c r="D6" i="1"/>
  <c r="D7" i="1" s="1"/>
  <c r="D38" i="1" l="1"/>
  <c r="D45" i="1" s="1"/>
  <c r="C38" i="1"/>
</calcChain>
</file>

<file path=xl/sharedStrings.xml><?xml version="1.0" encoding="utf-8"?>
<sst xmlns="http://schemas.openxmlformats.org/spreadsheetml/2006/main" count="7121" uniqueCount="1475">
  <si>
    <t>Worksite A UL Summary</t>
  </si>
  <si>
    <t>12/31/2025</t>
  </si>
  <si>
    <t>STAT Reserve</t>
  </si>
  <si>
    <t>Plan</t>
  </si>
  <si>
    <t>Product</t>
  </si>
  <si>
    <t>People Soft Code</t>
  </si>
  <si>
    <t>Gross Reserve</t>
  </si>
  <si>
    <t>3rd Party YRT</t>
  </si>
  <si>
    <t>Net Reserve</t>
  </si>
  <si>
    <t>LNL 211WULC12</t>
  </si>
  <si>
    <t>Ord UL Grp Worksite</t>
  </si>
  <si>
    <t>255710</t>
  </si>
  <si>
    <t>Tax Reserve</t>
  </si>
  <si>
    <t>GAAP Reserve</t>
  </si>
  <si>
    <t>Face Amount</t>
  </si>
  <si>
    <t>Gross Face</t>
  </si>
  <si>
    <t>Net Face</t>
  </si>
  <si>
    <t>Cash Value</t>
  </si>
  <si>
    <t>Count</t>
  </si>
  <si>
    <t>Policy Number</t>
  </si>
  <si>
    <t>Triton Plancode</t>
  </si>
  <si>
    <t>Accounting Date</t>
  </si>
  <si>
    <t>Plancode Description</t>
  </si>
  <si>
    <t>Ledger Product</t>
  </si>
  <si>
    <t>Face Amount - Base</t>
  </si>
  <si>
    <t>Face Amount - Ceded</t>
  </si>
  <si>
    <t>Cash Value - General Account</t>
  </si>
  <si>
    <t>Current Death Benefit - Base</t>
  </si>
  <si>
    <t>Death Benefit - Riders</t>
  </si>
  <si>
    <t>Captive Death Benefit</t>
  </si>
  <si>
    <t>Statutory Reserves - Total</t>
  </si>
  <si>
    <t>Statutory Reserves - Rider Subtotal</t>
  </si>
  <si>
    <t>Reinsurance Statutory - Reserve - Total</t>
  </si>
  <si>
    <t>Recapture Statutory - Reserve - Total</t>
  </si>
  <si>
    <t>Captive Statutory - Reserve - Total</t>
  </si>
  <si>
    <t>Captive Tax - Reserve - Total 2018</t>
  </si>
  <si>
    <t>GAAP Reserve - Total</t>
  </si>
  <si>
    <t>Reinsurance GAAP - Reserve - Total</t>
  </si>
  <si>
    <t>Recapture GAAP - Reserve - Total</t>
  </si>
  <si>
    <t>Statutory - Reserve - ADB</t>
  </si>
  <si>
    <t>Statutory - Reserve - WPA</t>
  </si>
  <si>
    <t>Statutory - Reserve - WPD</t>
  </si>
  <si>
    <t>Statutory Reserves - Excess Cash Value</t>
  </si>
  <si>
    <t>Statutory Reserves – Total Deficiency</t>
  </si>
  <si>
    <t>GAAP - Reserve - ADB</t>
  </si>
  <si>
    <t>GAAP - Reserve - WPA</t>
  </si>
  <si>
    <t>GAAP - Reserve - WPD</t>
  </si>
  <si>
    <t>P100000</t>
  </si>
  <si>
    <t>P100001</t>
  </si>
  <si>
    <t>P100002</t>
  </si>
  <si>
    <t>P100003</t>
  </si>
  <si>
    <t>P100004</t>
  </si>
  <si>
    <t>P100005</t>
  </si>
  <si>
    <t>P100006</t>
  </si>
  <si>
    <t>P100007</t>
  </si>
  <si>
    <t>P100008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</si>
  <si>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</si>
  <si>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</si>
  <si>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</si>
  <si>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</si>
  <si>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</si>
  <si>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</si>
  <si>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</si>
  <si>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</si>
  <si>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</si>
  <si>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</si>
  <si>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</si>
  <si>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</si>
  <si>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</si>
  <si>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</si>
  <si>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</si>
  <si>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</si>
  <si>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</si>
  <si>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</si>
  <si>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</si>
  <si>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</si>
  <si>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</si>
  <si>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</si>
  <si>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</si>
  <si>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</si>
  <si>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</si>
  <si>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</si>
  <si>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</si>
  <si>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</si>
  <si>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</si>
  <si>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</si>
  <si>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</si>
  <si>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</si>
  <si>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</si>
  <si>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</si>
  <si>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</si>
  <si>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</si>
  <si>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</si>
  <si>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</si>
  <si>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</si>
  <si>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</si>
  <si>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</si>
  <si>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</si>
  <si>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</si>
  <si>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</si>
  <si>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</si>
  <si>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</si>
  <si>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</si>
  <si>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</si>
  <si>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</si>
  <si>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</si>
  <si>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</si>
  <si>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</si>
  <si>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</si>
  <si>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</si>
  <si>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</si>
  <si>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</si>
  <si>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</si>
  <si>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</si>
  <si>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</si>
  <si>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</si>
  <si>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</si>
  <si>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</si>
  <si>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</si>
  <si>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</si>
  <si>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</si>
  <si>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</si>
  <si>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</si>
  <si>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</si>
  <si>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</si>
  <si>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</si>
  <si>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</si>
  <si>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</si>
  <si>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</si>
  <si>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</si>
  <si>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</si>
  <si>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</si>
  <si>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</si>
  <si>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</si>
  <si>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</si>
  <si>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</si>
  <si>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</si>
  <si>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</si>
  <si>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</si>
  <si>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</si>
  <si>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</si>
  <si>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</si>
  <si>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</si>
  <si>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</si>
  <si>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</si>
  <si>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</si>
  <si>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</si>
  <si>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</si>
  <si>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</si>
  <si>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</si>
  <si>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</si>
  <si>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</si>
  <si>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</si>
  <si>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</si>
  <si>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</si>
  <si>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</si>
  <si>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</si>
  <si>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</si>
  <si>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</si>
  <si>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</si>
  <si>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</si>
  <si>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</si>
  <si>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</si>
  <si>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</si>
  <si>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</si>
  <si>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</si>
  <si>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</si>
  <si>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</si>
  <si>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</si>
  <si>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</si>
  <si>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</si>
  <si>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</si>
  <si>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</si>
  <si>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</si>
  <si>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</si>
  <si>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</si>
  <si>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</si>
  <si>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</si>
  <si>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</si>
  <si>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</si>
  <si>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</si>
  <si>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</si>
  <si>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</si>
  <si>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</si>
  <si>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</si>
  <si>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</si>
  <si>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</si>
  <si>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</si>
  <si>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</si>
  <si>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</si>
  <si>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</si>
  <si>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</si>
  <si>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</si>
  <si>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</si>
  <si>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</si>
  <si>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</si>
  <si>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</si>
  <si>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</si>
  <si>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</si>
  <si>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</si>
  <si>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</si>
  <si>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</si>
  <si>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</si>
  <si>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</si>
  <si>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</si>
  <si>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</si>
  <si>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</si>
  <si>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</si>
  <si>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</si>
  <si>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</si>
  <si>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</si>
  <si>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</si>
  <si>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</si>
  <si>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</si>
  <si>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</si>
  <si>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</si>
  <si>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</si>
  <si>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</si>
  <si>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</si>
  <si>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</si>
  <si>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</si>
  <si>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</si>
  <si>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</si>
  <si>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</si>
  <si>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</si>
  <si>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</si>
  <si>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</si>
  <si>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</si>
  <si>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</si>
  <si>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</si>
  <si>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</si>
  <si>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</si>
  <si>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</si>
  <si>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</si>
  <si>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</si>
  <si>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</si>
  <si>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</si>
  <si>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</si>
  <si>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</si>
  <si>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</si>
  <si>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</si>
  <si>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</si>
  <si>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</si>
  <si>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</si>
  <si>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</si>
  <si>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</si>
  <si>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</si>
  <si>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</si>
  <si>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</si>
  <si>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</si>
  <si>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</si>
  <si>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</si>
  <si>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</si>
  <si>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</si>
  <si>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</si>
  <si>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</si>
  <si>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</si>
  <si>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</si>
  <si>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</si>
  <si>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</si>
  <si>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</si>
  <si>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</si>
  <si>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</si>
  <si>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</si>
  <si>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</si>
  <si>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</si>
  <si>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</si>
  <si>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</si>
  <si>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</si>
  <si>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</si>
  <si>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</si>
  <si>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</si>
  <si>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</si>
  <si>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</si>
  <si>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</si>
  <si>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</si>
  <si>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</si>
  <si>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</si>
  <si>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</si>
  <si>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</si>
  <si>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</si>
  <si>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</si>
  <si>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</si>
  <si>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</si>
  <si>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</si>
  <si>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</si>
  <si>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</si>
  <si>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</si>
  <si>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</si>
  <si>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</si>
  <si>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</si>
  <si>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</si>
  <si>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</si>
  <si>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</si>
  <si>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</si>
  <si>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</si>
  <si>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</si>
  <si>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</si>
  <si>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</si>
  <si>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</si>
  <si>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</si>
  <si>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</si>
  <si>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</si>
  <si>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</si>
  <si>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</si>
  <si>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</si>
  <si>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</si>
  <si>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</si>
  <si>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</si>
  <si>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</si>
  <si>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</si>
  <si>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</si>
  <si>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</si>
  <si>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</si>
  <si>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</si>
  <si>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</si>
  <si>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</si>
  <si>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</si>
  <si>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</si>
  <si>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</si>
  <si>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</si>
  <si>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</si>
  <si>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</si>
  <si>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</si>
  <si>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</si>
  <si>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</si>
  <si>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</si>
  <si>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</si>
  <si>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</si>
  <si>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</si>
  <si>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</si>
  <si>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</si>
  <si>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</si>
  <si>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</si>
  <si>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</si>
  <si>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</si>
  <si>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</si>
  <si>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</si>
  <si>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</si>
  <si>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</si>
  <si>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</si>
  <si>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</si>
  <si>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</si>
  <si>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</si>
  <si>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</si>
  <si>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</si>
  <si>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</si>
  <si>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</si>
  <si>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</si>
  <si>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</si>
  <si>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</si>
  <si>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</si>
  <si>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</si>
  <si>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</si>
  <si>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</si>
  <si>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</si>
  <si>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</si>
  <si>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</si>
  <si>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</si>
  <si>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</si>
  <si>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</si>
  <si>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</si>
  <si>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</si>
  <si>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</si>
  <si>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</si>
  <si>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</si>
  <si>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</si>
  <si>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</si>
  <si>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</si>
  <si>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</si>
  <si>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</si>
  <si>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</si>
  <si>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</si>
  <si>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</si>
  <si>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</si>
  <si>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</si>
  <si>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</si>
  <si>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</si>
  <si>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</si>
  <si>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</si>
  <si>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</si>
  <si>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</si>
  <si>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</si>
  <si>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</si>
  <si>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</si>
  <si>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</si>
  <si>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</si>
  <si>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</si>
  <si>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</si>
  <si>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</si>
  <si>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</si>
  <si>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</si>
  <si>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</si>
  <si>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</si>
  <si>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</si>
  <si>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</si>
  <si>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</si>
  <si>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</si>
  <si>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</si>
  <si>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</si>
  <si>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</si>
  <si>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</si>
  <si>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</si>
  <si>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</si>
  <si>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</si>
  <si>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</si>
  <si>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</si>
  <si>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</si>
  <si>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</si>
  <si>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</si>
  <si>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</si>
  <si>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</si>
  <si>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</si>
  <si>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</si>
  <si>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</si>
  <si>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</si>
  <si>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</si>
  <si>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</si>
  <si>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</si>
  <si>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</si>
  <si>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</si>
  <si>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</si>
  <si>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</si>
  <si>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</si>
  <si>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</si>
  <si>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</si>
  <si>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</si>
  <si>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</si>
  <si>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</si>
  <si>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</si>
  <si>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</si>
  <si>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</si>
  <si>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</si>
  <si>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</si>
  <si>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</si>
  <si>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</si>
  <si>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</si>
  <si>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</si>
  <si>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</si>
  <si>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</si>
  <si>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</si>
  <si>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</si>
  <si>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</si>
  <si>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</si>
  <si>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</si>
  <si>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</si>
  <si>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</si>
  <si>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</si>
  <si>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</si>
  <si>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</si>
  <si>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</si>
  <si>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</si>
  <si>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</si>
  <si>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</si>
  <si>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</si>
  <si>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</si>
  <si>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</si>
  <si>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</si>
  <si>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</si>
  <si>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</si>
  <si>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</si>
  <si>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</si>
  <si>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</si>
  <si>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</si>
  <si>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</si>
  <si>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</si>
  <si>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</si>
  <si>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</si>
  <si>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</si>
  <si>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</si>
  <si>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</si>
  <si>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</si>
  <si>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</si>
  <si>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</si>
  <si>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</si>
  <si>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</si>
  <si>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</si>
  <si>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</si>
  <si>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</si>
  <si>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</si>
  <si>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</si>
  <si>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</si>
  <si>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</si>
  <si>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</si>
  <si>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</si>
  <si>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</si>
  <si>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</si>
  <si>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</si>
  <si>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</si>
  <si>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</si>
  <si>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</si>
  <si>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</si>
  <si>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</si>
  <si>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</si>
  <si>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</si>
  <si>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</si>
  <si>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</si>
  <si>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</si>
  <si>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</si>
  <si>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</si>
  <si>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</si>
  <si>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</si>
  <si>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</si>
  <si>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</si>
  <si>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</si>
  <si>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</si>
  <si>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</si>
  <si>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</si>
  <si>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</si>
  <si>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</si>
  <si>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</si>
  <si>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</si>
  <si>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</si>
  <si>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</si>
  <si>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</si>
  <si>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</si>
  <si>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</si>
  <si>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</si>
  <si>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</si>
  <si>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</si>
  <si>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</si>
  <si>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</si>
  <si>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</si>
  <si>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</si>
  <si>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</si>
  <si>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</si>
  <si>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</si>
  <si>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</si>
  <si>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</si>
  <si>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</si>
  <si>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</si>
  <si>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</si>
  <si>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</si>
  <si>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</si>
  <si>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</si>
  <si>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</si>
  <si>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</si>
  <si>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</si>
  <si>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</si>
  <si>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</si>
  <si>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</si>
  <si>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</si>
  <si>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</si>
  <si>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</si>
  <si>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</si>
  <si>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</si>
  <si>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</si>
  <si>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</si>
  <si>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</si>
  <si>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</si>
  <si>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</si>
  <si>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</si>
  <si>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</si>
  <si>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</si>
  <si>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</si>
  <si>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</si>
  <si>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</si>
  <si>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</si>
  <si>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</si>
  <si>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</si>
  <si>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</si>
  <si>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</si>
  <si>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</si>
  <si>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</si>
  <si>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</si>
  <si>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</si>
  <si>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</si>
  <si>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</si>
  <si>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</si>
  <si>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</si>
  <si>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</si>
  <si>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</si>
  <si>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</si>
  <si>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</si>
  <si>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</si>
  <si>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</si>
  <si>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</si>
  <si>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</si>
  <si>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</si>
  <si>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</si>
  <si>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</si>
  <si>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</si>
  <si>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</si>
  <si>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</si>
  <si>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</si>
  <si>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</si>
  <si>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</si>
  <si>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</si>
  <si>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</si>
  <si>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</si>
  <si>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</si>
  <si>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</si>
  <si>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</si>
  <si>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</si>
  <si>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</si>
  <si>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</si>
  <si>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</si>
  <si>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</si>
  <si>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</si>
  <si>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</si>
  <si>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</si>
  <si>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</si>
  <si>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</si>
  <si>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</si>
  <si>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</si>
  <si>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</si>
  <si>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</si>
  <si>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</si>
  <si>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</si>
  <si>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</si>
  <si>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</si>
  <si>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</si>
  <si>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</si>
  <si>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</si>
  <si>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</si>
  <si>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</si>
  <si>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</si>
  <si>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</si>
  <si>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</si>
  <si>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</si>
  <si>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</si>
  <si>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</si>
  <si>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</si>
  <si>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</si>
  <si>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</si>
  <si>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</si>
  <si>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</si>
  <si>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</si>
  <si>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</si>
  <si>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</si>
  <si>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</si>
  <si>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</si>
  <si>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</si>
  <si>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</si>
  <si>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</si>
  <si>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</si>
  <si>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</si>
  <si>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</si>
  <si>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</si>
  <si>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</si>
  <si>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</si>
  <si>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</si>
  <si>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</si>
  <si>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</si>
  <si>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</si>
  <si>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</si>
  <si>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</si>
  <si>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</si>
  <si>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</si>
  <si>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</si>
  <si>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</si>
  <si>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</si>
  <si>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</si>
  <si>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</si>
  <si>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</si>
  <si>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</si>
  <si>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</si>
  <si>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</si>
  <si>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</si>
  <si>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</si>
  <si>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</si>
  <si>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</si>
  <si>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</si>
  <si>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</si>
  <si>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</si>
  <si>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</si>
  <si>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</si>
  <si>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</si>
  <si>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</si>
  <si>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</si>
  <si>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</si>
  <si>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</si>
  <si>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</si>
  <si>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</si>
  <si>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</si>
  <si>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</si>
  <si>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</si>
  <si>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</si>
  <si>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</si>
  <si>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</si>
  <si>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</si>
  <si>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</si>
  <si>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</si>
  <si>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</si>
  <si>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</si>
  <si>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</si>
  <si>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</si>
  <si>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</si>
  <si>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</si>
  <si>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</si>
  <si>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</si>
  <si>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</si>
  <si>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</si>
  <si>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</si>
  <si>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</si>
  <si>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</si>
  <si>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</si>
  <si>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</si>
  <si>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</si>
  <si>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</si>
  <si>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</si>
  <si>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</si>
  <si>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</si>
  <si>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</si>
  <si>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</si>
  <si>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</si>
  <si>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</si>
  <si>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</si>
  <si>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</si>
  <si>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</si>
  <si>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</si>
  <si>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</si>
  <si>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</si>
  <si>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</si>
  <si>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</si>
  <si>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</si>
  <si>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</si>
  <si>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</si>
  <si>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</si>
  <si>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</si>
  <si>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</si>
  <si>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</si>
  <si>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</si>
  <si>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</si>
  <si>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</si>
  <si>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</si>
  <si>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</si>
  <si>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</si>
  <si>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</si>
  <si>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</si>
  <si>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</si>
  <si>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</si>
  <si>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</si>
  <si>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</si>
  <si>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</si>
  <si>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</si>
  <si>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</si>
  <si>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</si>
  <si>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</si>
  <si>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</si>
  <si>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</si>
  <si>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</si>
  <si>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</si>
  <si>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</si>
  <si>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</si>
  <si>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</si>
  <si>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</si>
  <si>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</si>
  <si>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</si>
  <si>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</si>
  <si>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</si>
  <si>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</si>
  <si>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</si>
  <si>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</si>
  <si>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</si>
  <si>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</si>
  <si>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</si>
  <si>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</si>
  <si>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</si>
  <si>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</si>
  <si>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</si>
  <si>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</si>
  <si>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</si>
  <si>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</si>
  <si>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</si>
  <si>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</si>
  <si>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</si>
  <si>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</si>
  <si>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</si>
  <si>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</si>
  <si>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</si>
  <si>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</si>
  <si>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</si>
  <si>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</si>
  <si>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</si>
  <si>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</si>
  <si>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</si>
  <si>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</si>
  <si>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</si>
  <si>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</si>
  <si>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</si>
  <si>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</si>
  <si>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</si>
  <si>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</si>
  <si>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</si>
  <si>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</si>
  <si>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</si>
  <si>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</si>
  <si>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</si>
  <si>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</si>
  <si>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</si>
  <si>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</si>
  <si>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</si>
  <si>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</si>
  <si>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</si>
  <si>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</si>
  <si>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</si>
  <si>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</si>
  <si>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</si>
  <si>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</si>
  <si>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</si>
  <si>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</si>
  <si>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</si>
  <si>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</si>
  <si>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</si>
  <si>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</si>
  <si>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</si>
  <si>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</si>
  <si>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</si>
  <si>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</si>
  <si>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</si>
  <si>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</si>
  <si>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</si>
  <si>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</si>
  <si>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</si>
  <si>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</si>
  <si>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</si>
  <si>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</si>
  <si>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</si>
  <si>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</si>
  <si>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</si>
  <si>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</si>
  <si>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</si>
  <si>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</si>
  <si>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</si>
  <si>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</si>
  <si>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</si>
  <si>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</si>
  <si>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</si>
  <si>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</si>
  <si>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</si>
  <si>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</si>
  <si>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</si>
  <si>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</si>
  <si>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</si>
  <si>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</si>
  <si>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</si>
  <si>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</si>
  <si>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</si>
  <si>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</si>
  <si>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</si>
  <si>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</si>
  <si>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</si>
  <si>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</si>
  <si>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</si>
  <si>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</si>
  <si>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</si>
  <si>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</si>
  <si>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</si>
  <si>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</si>
  <si>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</si>
  <si>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</si>
  <si>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</si>
  <si>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</si>
  <si>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</si>
  <si>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</si>
  <si>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</si>
  <si>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</si>
  <si>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</si>
  <si>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</si>
  <si>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</si>
  <si>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</si>
  <si>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</si>
  <si>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</si>
  <si>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</si>
  <si>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</si>
  <si>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</si>
  <si>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</si>
  <si>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</si>
  <si>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</si>
  <si>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</si>
  <si>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</si>
  <si>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</si>
  <si>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</si>
  <si>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</si>
  <si>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</si>
  <si>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</si>
  <si>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</si>
  <si>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</si>
  <si>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</si>
  <si>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</si>
  <si>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</si>
  <si>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</si>
  <si>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</si>
  <si>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</si>
  <si>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</si>
  <si>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</si>
  <si>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</si>
  <si>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</si>
  <si>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</si>
  <si>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</si>
  <si>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</si>
  <si>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</si>
  <si>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</si>
  <si>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</si>
  <si>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</si>
  <si>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</si>
  <si>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</si>
  <si>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</si>
  <si>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</si>
  <si>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</si>
  <si>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</si>
  <si>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</si>
  <si>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</si>
  <si>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</si>
  <si>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</si>
  <si>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</si>
  <si>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</si>
  <si>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</si>
  <si>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</si>
  <si>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</si>
  <si>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</si>
  <si>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</si>
  <si>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</si>
  <si>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</si>
  <si>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</si>
  <si>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</si>
  <si>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</si>
  <si>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</si>
  <si>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</si>
  <si>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</si>
  <si>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</si>
  <si>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</si>
  <si>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</si>
  <si>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</si>
  <si>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</si>
  <si>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</si>
  <si>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</si>
  <si>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</si>
  <si>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</si>
  <si>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</si>
  <si>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</si>
  <si>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</si>
  <si>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</si>
  <si>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</si>
  <si>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</si>
  <si>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</si>
  <si>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</si>
  <si>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</si>
  <si>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</si>
  <si>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</si>
  <si>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</si>
  <si>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</si>
  <si>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</si>
  <si>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</si>
  <si>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</si>
  <si>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</si>
  <si>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</si>
  <si>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</si>
  <si>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</si>
  <si>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</si>
  <si>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</si>
  <si>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</si>
  <si>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</si>
  <si>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</si>
  <si>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</si>
  <si>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</si>
  <si>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</si>
  <si>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</si>
  <si>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</si>
  <si>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</si>
  <si>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</si>
  <si>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</si>
  <si>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</si>
  <si>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</si>
  <si>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</si>
  <si>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</si>
  <si>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</si>
  <si>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</si>
  <si>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</si>
  <si>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</si>
  <si>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</si>
  <si>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</si>
  <si>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</si>
  <si>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</si>
  <si>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</si>
  <si>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</si>
  <si>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</si>
  <si>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</si>
  <si>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</si>
  <si>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</si>
  <si>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</si>
  <si>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</si>
  <si>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</si>
  <si>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</si>
  <si>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</si>
  <si>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</si>
  <si>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</si>
  <si>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</si>
  <si>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</si>
  <si>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</si>
  <si>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</si>
  <si>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</si>
  <si>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</si>
  <si>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</si>
  <si>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</si>
  <si>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</si>
  <si>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</si>
  <si>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</si>
  <si>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</si>
  <si>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</si>
  <si>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</si>
  <si>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</si>
  <si>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</si>
  <si>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</si>
  <si>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</si>
  <si>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</si>
  <si>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</si>
  <si>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</si>
  <si>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</si>
  <si>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</si>
  <si>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</si>
  <si>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</si>
  <si>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</si>
  <si>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</si>
  <si>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</si>
  <si>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</si>
  <si>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</si>
  <si>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</si>
  <si>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</si>
  <si>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</si>
  <si>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</si>
  <si>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</si>
  <si>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</si>
  <si>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</si>
  <si>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</si>
  <si>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</si>
  <si>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</si>
  <si>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</si>
  <si>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</si>
  <si>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</si>
  <si>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</si>
  <si>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</si>
  <si>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</si>
  <si>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</si>
  <si>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</si>
  <si>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</si>
  <si>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</si>
  <si>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</si>
  <si>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</si>
  <si>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</si>
  <si>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</si>
  <si>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</si>
  <si>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</si>
  <si>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</si>
  <si>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</si>
  <si>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</si>
  <si>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</si>
  <si>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</si>
  <si>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</si>
  <si>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</si>
  <si>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</si>
  <si>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</si>
  <si>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</si>
  <si>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</si>
  <si>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</si>
  <si>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</si>
  <si>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</si>
  <si>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</si>
  <si>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</si>
  <si>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</si>
  <si>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</si>
  <si>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</si>
  <si>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</si>
  <si>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</si>
  <si>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</si>
  <si>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</si>
  <si>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</si>
  <si>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</si>
  <si>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</si>
  <si>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</si>
  <si>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</si>
  <si>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</si>
  <si>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</si>
  <si>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</si>
  <si>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</si>
  <si>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</si>
  <si>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</si>
  <si>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</si>
  <si>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</si>
  <si>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</si>
  <si>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</si>
  <si>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</si>
  <si>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</si>
  <si>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</si>
  <si>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</si>
  <si>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</si>
  <si>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</si>
  <si>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</si>
  <si>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</si>
  <si>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</si>
  <si>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</si>
  <si>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</si>
  <si>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</si>
  <si>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</si>
  <si>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</si>
  <si>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</si>
  <si>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</si>
  <si>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</si>
  <si>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</si>
  <si>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</si>
  <si>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</si>
  <si>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</si>
  <si>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</si>
  <si>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</si>
  <si>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</si>
  <si>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</si>
  <si>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</si>
  <si>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</si>
  <si>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</si>
  <si>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</si>
  <si>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</si>
  <si>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</si>
  <si>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</si>
  <si>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</si>
  <si>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</si>
  <si>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</si>
  <si>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</si>
  <si>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</si>
  <si>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</si>
  <si>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</si>
  <si>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</si>
  <si>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</si>
  <si>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</si>
  <si>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</si>
  <si>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</si>
  <si>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</si>
  <si>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</si>
  <si>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</si>
  <si>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</si>
  <si>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</si>
  <si>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</si>
  <si>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</si>
  <si>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</si>
  <si>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</si>
  <si>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</si>
  <si>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</si>
  <si>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</si>
  <si>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</si>
  <si>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</si>
  <si>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</si>
  <si>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</si>
  <si>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</si>
  <si>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</si>
  <si>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</si>
  <si>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</si>
  <si>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</si>
  <si>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</si>
  <si>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</si>
  <si>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</si>
  <si>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</si>
  <si>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</si>
  <si>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</si>
  <si>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</si>
  <si>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</si>
  <si>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</si>
  <si>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</si>
  <si>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</si>
  <si>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</si>
  <si>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</si>
  <si>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</si>
  <si>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</si>
  <si>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</si>
  <si>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</si>
  <si>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</si>
  <si>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</si>
  <si>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</si>
  <si>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</si>
  <si>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</si>
  <si>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</si>
  <si>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</si>
  <si>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</si>
  <si>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</si>
  <si>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</si>
  <si>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</si>
  <si>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</si>
  <si>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</si>
  <si>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</si>
  <si>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</si>
  <si>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</si>
  <si>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</si>
  <si>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</si>
  <si>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</si>
  <si>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</si>
  <si>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</si>
  <si>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</si>
  <si>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</si>
  <si>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</si>
  <si>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</si>
  <si>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</si>
  <si>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</si>
  <si>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</si>
  <si>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</si>
  <si>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</si>
  <si>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</si>
  <si>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</si>
  <si>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</si>
  <si>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</si>
  <si>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</si>
  <si>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</si>
  <si>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</si>
  <si>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</si>
  <si>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</si>
  <si>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</si>
  <si>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</si>
  <si>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</si>
  <si>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</si>
  <si>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</si>
  <si>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</si>
  <si>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</si>
  <si>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</si>
  <si>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</si>
  <si>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</si>
  <si>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</si>
  <si>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</si>
  <si>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</si>
  <si>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</si>
  <si>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</si>
  <si>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</si>
  <si>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</si>
  <si>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</si>
  <si>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</si>
  <si>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</si>
  <si>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</si>
  <si>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</si>
  <si>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</si>
  <si>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</si>
  <si>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</si>
  <si>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</si>
  <si>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</si>
  <si>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</si>
  <si>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</si>
  <si>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</si>
  <si>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</si>
  <si>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</si>
  <si>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</si>
  <si>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</si>
  <si>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</si>
  <si>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</si>
  <si>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</si>
  <si>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</si>
  <si>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</si>
  <si>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</si>
  <si>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</si>
  <si>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</si>
  <si>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</si>
  <si>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</si>
  <si>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</si>
  <si>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</si>
  <si>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</si>
  <si>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</si>
  <si>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</si>
  <si>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</si>
  <si>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</si>
  <si>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</si>
  <si>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</si>
  <si>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</si>
  <si>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</si>
  <si>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</si>
  <si>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</si>
  <si>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</si>
  <si>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</si>
  <si>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</si>
  <si>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</si>
  <si>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</si>
  <si>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</si>
  <si>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</si>
  <si>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</si>
  <si>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</si>
  <si>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</si>
  <si>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</si>
  <si>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</si>
  <si>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</si>
  <si>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</si>
  <si>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</si>
  <si>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</si>
  <si>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</si>
  <si>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</si>
  <si>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</si>
  <si>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</si>
  <si>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</si>
  <si>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</si>
  <si>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</si>
  <si>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</si>
  <si>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</si>
  <si>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</si>
  <si>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</si>
  <si>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</si>
  <si>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</si>
  <si>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</si>
  <si>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</si>
  <si>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</si>
  <si>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</si>
  <si>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</si>
  <si>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</si>
  <si>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</si>
  <si>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</si>
  <si>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</si>
  <si>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</si>
  <si>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</si>
  <si>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</si>
  <si>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</si>
  <si>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</si>
  <si>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</si>
  <si>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</si>
  <si>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</si>
  <si>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</si>
  <si>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</si>
  <si>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</si>
  <si>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</si>
  <si>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</si>
  <si>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</si>
  <si>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</si>
  <si>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</si>
  <si>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</si>
  <si>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</si>
  <si>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</si>
  <si>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</si>
  <si>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</si>
  <si>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</si>
  <si>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</si>
  <si>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</si>
  <si>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</si>
  <si>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</si>
  <si>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</si>
  <si>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</si>
  <si>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</si>
  <si>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</si>
  <si>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</si>
  <si>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</si>
  <si>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</si>
  <si>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</si>
  <si>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</si>
  <si>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</si>
  <si>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</si>
  <si>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</si>
  <si>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</si>
  <si>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</si>
  <si>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</si>
  <si>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</si>
  <si>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</si>
  <si>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</si>
  <si>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</si>
  <si>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</si>
  <si>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</si>
  <si>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</si>
  <si>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</si>
  <si>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</si>
  <si>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</si>
  <si>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</si>
  <si>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</si>
  <si>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</si>
  <si>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</si>
  <si>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</si>
  <si>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</si>
  <si>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</si>
  <si>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</si>
  <si>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</si>
  <si>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</si>
  <si>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</si>
  <si>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</si>
  <si>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</si>
  <si>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</si>
  <si>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</si>
  <si>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</si>
  <si>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</si>
  <si>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</si>
  <si>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</si>
  <si>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</si>
  <si>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</si>
  <si>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</si>
  <si>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</si>
  <si>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</si>
  <si>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</si>
  <si>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</si>
  <si>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</si>
  <si>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</si>
  <si>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</si>
  <si>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</si>
  <si>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</si>
  <si>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</si>
  <si>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</si>
  <si>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</si>
  <si>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</si>
  <si>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</si>
  <si>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</si>
  <si>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</si>
  <si>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</si>
  <si>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</si>
  <si>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</si>
  <si>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</si>
  <si>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</si>
  <si>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</si>
  <si>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</si>
  <si>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</si>
  <si>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</si>
  <si>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</si>
  <si>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</si>
  <si>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</si>
  <si>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</si>
  <si>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</si>
  <si>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</si>
  <si>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</si>
  <si>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</si>
  <si>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</si>
  <si>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</si>
  <si>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</si>
  <si>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</si>
  <si>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</si>
  <si>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</si>
  <si>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</si>
  <si>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</si>
  <si>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</si>
  <si>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</si>
  <si>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</si>
  <si>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</si>
  <si>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</si>
  <si>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</si>
  <si>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</si>
  <si>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</si>
  <si>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</si>
  <si>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</si>
  <si>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</si>
  <si>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</si>
  <si>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</si>
  <si>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</si>
  <si>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</si>
  <si>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</si>
  <si>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</si>
  <si>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</si>
  <si>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</si>
  <si>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</si>
  <si>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</si>
  <si>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</si>
  <si>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</si>
  <si>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</si>
  <si>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</si>
  <si>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</si>
  <si>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</si>
  <si>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</si>
  <si>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</si>
  <si>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</si>
  <si>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</si>
  <si>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</si>
  <si>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</si>
  <si>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</si>
  <si>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</si>
  <si>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Exhibit 5</t>
  </si>
  <si>
    <t>Section Desc</t>
  </si>
  <si>
    <t>Section</t>
  </si>
  <si>
    <t xml:space="preserve">Base </t>
  </si>
  <si>
    <t>ADB</t>
  </si>
  <si>
    <t>Active - Disabled (WP)</t>
  </si>
  <si>
    <t>Disabled - Disabled</t>
  </si>
  <si>
    <t>Excess CSV</t>
  </si>
  <si>
    <t>Deficiency Reserve</t>
  </si>
  <si>
    <t>Remainder</t>
  </si>
  <si>
    <t>Total</t>
  </si>
  <si>
    <t>A</t>
  </si>
  <si>
    <t>D</t>
  </si>
  <si>
    <t>E</t>
  </si>
  <si>
    <t>F</t>
  </si>
  <si>
    <t>G</t>
  </si>
  <si>
    <t>Logical step</t>
  </si>
  <si>
    <t>detect all data tabs</t>
  </si>
  <si>
    <t>loop across data tabs - and find any derived columns</t>
  </si>
  <si>
    <t>loop across derived column and create those columns</t>
  </si>
  <si>
    <t>AI/Non-AI</t>
  </si>
  <si>
    <t>??</t>
  </si>
  <si>
    <t>Non-AI</t>
  </si>
  <si>
    <t>Non-AP Approach</t>
  </si>
  <si>
    <t>Python library name - it will extract this info from VBA</t>
  </si>
  <si>
    <t>AI Approach</t>
  </si>
  <si>
    <t>Non-ai</t>
  </si>
  <si>
    <t>Python libraries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</si>
</sst>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0" fillId="0" borderId="1" xfId="1" applyNumberFormat="1" applyFont="1" applyBorder="1"/>
    <xf numFmtId="164" fontId="0" fillId="0" borderId="0" xfId="1" applyNumberFormat="1" applyFont="1"/>
    <xf numFmtId="164" fontId="0" fillId="3" borderId="0" xfId="1" applyNumberFormat="1" applyFont="1" applyFill="1"/>
    <xf numFmtId="0" fontId="4" fillId="0" borderId="0" xfId="0" applyFont="1"/>
    <xf numFmtId="0" fontId="0" fillId="0" borderId="2" xfId="0" applyBorder="1"/>
    <xf numFmtId="164" fontId="0" fillId="3" borderId="2" xfId="1" applyNumberFormat="1" applyFont="1" applyFill="1" applyBorder="1"/>
    <xf numFmtId="0" fontId="0" fillId="4" borderId="2" xfId="0" applyFill="1" applyBorder="1"/>
    <xf numFmtId="164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D15" sqref="D15"/>
    </sheetView>
  </sheetViews>
  <sheetFormatPr defaultRowHeight="14.5" x14ac:dyDescent="0.35"/>
  <cols>
    <col min="1" max="1" width="26.90625" bestFit="1" customWidth="1"/>
    <col min="2" max="2" width="18.1796875" bestFit="1" customWidth="1"/>
    <col min="3" max="3" width="15.1796875" bestFit="1" customWidth="1"/>
    <col min="4" max="4" width="14.7265625" bestFit="1" customWidth="1"/>
    <col min="5" max="6" width="13.7265625" bestFit="1" customWidth="1"/>
    <col min="8" max="8" width="9.81640625" bestFit="1" customWidth="1"/>
  </cols>
  <sheetData>
    <row r="1" spans="1:6" ht="18.5" x14ac:dyDescent="0.45">
      <c r="A1" s="1" t="s">
        <v>0</v>
      </c>
    </row>
    <row r="2" spans="1:6" x14ac:dyDescent="0.35">
      <c r="A2" t="s">
        <v>1</v>
      </c>
    </row>
    <row r="4" spans="1:6" x14ac:dyDescent="0.35">
      <c r="A4" s="2" t="s">
        <v>2</v>
      </c>
    </row>
    <row r="5" spans="1:6" x14ac:dyDescent="0.3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35">
      <c r="A6" t="s">
        <v>9</v>
      </c>
      <c r="B6" t="s">
        <v>10</v>
      </c>
      <c r="C6" t="s">
        <v>11</v>
      </c>
      <c r="D6" s="4">
        <f>SUMIFS('Warehouse Data'!L:L,'Warehouse Data'!$C:$C,Summary!$A$2,'Warehouse Data'!$B:$B,Summary!$A6)-SUMIFS('Warehouse Data'!M:M,'Warehouse Data'!$C:$C,Summary!$A$2,'Warehouse Data'!$B:$B,Summary!$A6)</f>
        <v>155471471</v>
      </c>
      <c r="E6" s="4">
        <f>SUMIFS('Warehouse Data'!N:N,'Warehouse Data'!$C:$C,Summary!$A$2,'Warehouse Data'!$B:$B,Summary!$A6)+SUMIFS('Warehouse Data'!O:O,'Warehouse Data'!$C:$C,Summary!$A$2,'Warehouse Data'!$B:$B,Summary!$A6)</f>
        <v>77734208</v>
      </c>
      <c r="F6" s="4">
        <f>-1*SUMIFS('Warehouse Data'!P:P,'Warehouse Data'!$C:$C,Summary!$A$2,'Warehouse Data'!$B:$B,Summary!$A6)</f>
        <v>77734901</v>
      </c>
    </row>
    <row r="7" spans="1:6" x14ac:dyDescent="0.35">
      <c r="D7" s="5">
        <f>SUM(D6)</f>
        <v>155471471</v>
      </c>
      <c r="E7" s="5">
        <f t="shared" ref="E7:F7" si="0">SUM(E6)</f>
        <v>77734208</v>
      </c>
      <c r="F7" s="6">
        <f t="shared" si="0"/>
        <v>77734901</v>
      </c>
    </row>
    <row r="9" spans="1:6" x14ac:dyDescent="0.35">
      <c r="A9" s="2" t="s">
        <v>12</v>
      </c>
    </row>
    <row r="10" spans="1:6" x14ac:dyDescent="0.35">
      <c r="A10" s="3" t="s">
        <v>3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</row>
    <row r="11" spans="1:6" x14ac:dyDescent="0.35">
      <c r="A11" t="s">
        <v>9</v>
      </c>
      <c r="B11" t="s">
        <v>10</v>
      </c>
      <c r="C11" t="s">
        <v>11</v>
      </c>
      <c r="D11" s="4"/>
      <c r="E11" s="4"/>
      <c r="F11" s="4">
        <f>-1*SUMIFS('Warehouse Data'!Q:Q,'Warehouse Data'!$C:$C,Summary!$A$2,'Warehouse Data'!$B:$B,Summary!$A11)</f>
        <v>48584137</v>
      </c>
    </row>
    <row r="12" spans="1:6" x14ac:dyDescent="0.35">
      <c r="D12" s="5"/>
      <c r="E12" s="5"/>
      <c r="F12" s="6">
        <f t="shared" ref="F12" si="1">SUM(F11)</f>
        <v>48584137</v>
      </c>
    </row>
    <row r="14" spans="1:6" x14ac:dyDescent="0.35">
      <c r="A14" s="2" t="s">
        <v>13</v>
      </c>
    </row>
    <row r="15" spans="1:6" x14ac:dyDescent="0.35">
      <c r="A15" s="3" t="s">
        <v>3</v>
      </c>
      <c r="B15" s="3" t="s">
        <v>4</v>
      </c>
      <c r="C15" s="3" t="s">
        <v>5</v>
      </c>
      <c r="D15" s="3" t="s">
        <v>6</v>
      </c>
      <c r="E15" s="3" t="s">
        <v>7</v>
      </c>
      <c r="F15" s="3" t="s">
        <v>8</v>
      </c>
    </row>
    <row r="16" spans="1:6" x14ac:dyDescent="0.35">
      <c r="A16" t="s">
        <v>9</v>
      </c>
      <c r="B16" t="s">
        <v>10</v>
      </c>
      <c r="C16" t="s">
        <v>11</v>
      </c>
      <c r="D16" s="4">
        <f>SUMIFS('Warehouse Data'!R:R,'Warehouse Data'!$C:$C,Summary!$A$2,'Warehouse Data'!$B:$B,Summary!$A16)</f>
        <v>193740431</v>
      </c>
      <c r="E16" s="4">
        <f>SUMIFS('Warehouse Data'!S:S,'Warehouse Data'!$C:$C,Summary!$A$2,'Warehouse Data'!$B:$B,Summary!$A16)+SUMIFS('Warehouse Data'!T:T,'Warehouse Data'!$C:$C,Summary!$A$2,'Warehouse Data'!$B:$B,Summary!$A16)</f>
        <v>77494916</v>
      </c>
      <c r="F16" s="4">
        <f>SUM(D16:E16)</f>
        <v>271235347</v>
      </c>
    </row>
    <row r="17" spans="1:6" x14ac:dyDescent="0.35">
      <c r="D17" s="5"/>
      <c r="E17" s="5"/>
      <c r="F17" s="6">
        <f t="shared" ref="F17" si="2">SUM(F16)</f>
        <v>271235347</v>
      </c>
    </row>
    <row r="19" spans="1:6" x14ac:dyDescent="0.35">
      <c r="A19" s="2" t="s">
        <v>14</v>
      </c>
    </row>
    <row r="20" spans="1:6" x14ac:dyDescent="0.35">
      <c r="A20" s="3" t="s">
        <v>3</v>
      </c>
      <c r="B20" s="3" t="s">
        <v>4</v>
      </c>
      <c r="C20" s="3" t="s">
        <v>5</v>
      </c>
      <c r="D20" s="3" t="s">
        <v>15</v>
      </c>
      <c r="E20" s="3" t="s">
        <v>7</v>
      </c>
      <c r="F20" s="3" t="s">
        <v>16</v>
      </c>
    </row>
    <row r="21" spans="1:6" x14ac:dyDescent="0.35">
      <c r="A21" t="s">
        <v>9</v>
      </c>
      <c r="B21" t="s">
        <v>10</v>
      </c>
      <c r="C21" t="s">
        <v>11</v>
      </c>
      <c r="D21" s="4">
        <f>SUMIFS('Warehouse Data'!F:F,'Warehouse Data'!$C:$C,Summary!$A$2,'Warehouse Data'!$B:$B,Summary!$A21)</f>
        <v>383301094</v>
      </c>
      <c r="E21" s="4">
        <f>-1*SUMIFS('Warehouse Data'!G:G,'Warehouse Data'!$C:$C,Summary!$A$2,'Warehouse Data'!$B:$B,Summary!$A21)</f>
        <v>152927776</v>
      </c>
      <c r="F21" s="4">
        <f>D21+E21</f>
        <v>536228870</v>
      </c>
    </row>
    <row r="22" spans="1:6" x14ac:dyDescent="0.35">
      <c r="D22" s="5">
        <f>SUM(D21)</f>
        <v>383301094</v>
      </c>
      <c r="E22" s="5">
        <f t="shared" ref="E22" si="3">SUM(E21)</f>
        <v>152927776</v>
      </c>
      <c r="F22" s="6">
        <f t="shared" ref="F22" si="4">SUM(F21)</f>
        <v>536228870</v>
      </c>
    </row>
    <row r="24" spans="1:6" x14ac:dyDescent="0.35">
      <c r="A24" s="2" t="s">
        <v>17</v>
      </c>
    </row>
    <row r="25" spans="1:6" x14ac:dyDescent="0.35">
      <c r="A25" s="3" t="s">
        <v>3</v>
      </c>
      <c r="B25" s="3" t="s">
        <v>4</v>
      </c>
      <c r="C25" s="3" t="s">
        <v>5</v>
      </c>
      <c r="D25" s="3" t="s">
        <v>17</v>
      </c>
    </row>
    <row r="26" spans="1:6" x14ac:dyDescent="0.35">
      <c r="A26" t="s">
        <v>9</v>
      </c>
      <c r="B26" t="s">
        <v>10</v>
      </c>
      <c r="C26" t="s">
        <v>11</v>
      </c>
      <c r="D26" s="4">
        <f>SUMIFS('Warehouse Data'!H:H,'Warehouse Data'!$C:$C,Summary!$A$2,'Warehouse Data'!$B:$B,Summary!$A26)</f>
        <v>116469605</v>
      </c>
    </row>
    <row r="27" spans="1:6" x14ac:dyDescent="0.35">
      <c r="D27" s="6">
        <f t="shared" ref="D27" si="5">SUM(D26)</f>
        <v>116469605</v>
      </c>
    </row>
    <row r="29" spans="1:6" x14ac:dyDescent="0.35">
      <c r="A29" s="2" t="s">
        <v>18</v>
      </c>
    </row>
    <row r="30" spans="1:6" x14ac:dyDescent="0.35">
      <c r="A30" s="3" t="s">
        <v>3</v>
      </c>
      <c r="B30" s="3" t="s">
        <v>4</v>
      </c>
      <c r="C30" s="3" t="s">
        <v>5</v>
      </c>
      <c r="D30" s="3" t="s">
        <v>18</v>
      </c>
    </row>
    <row r="31" spans="1:6" x14ac:dyDescent="0.35">
      <c r="A31" t="s">
        <v>9</v>
      </c>
      <c r="B31" t="s">
        <v>10</v>
      </c>
      <c r="C31" t="s">
        <v>11</v>
      </c>
      <c r="D31" s="4">
        <f>COUNTIFS('Warehouse Data'!$C:$C,Summary!$A$2,'Warehouse Data'!$B:$B,Summary!$A31)</f>
        <v>1400</v>
      </c>
    </row>
    <row r="32" spans="1:6" x14ac:dyDescent="0.35">
      <c r="D32" s="6">
        <f t="shared" ref="D32" si="6">SUM(D31)</f>
        <v>1400</v>
      </c>
    </row>
    <row r="35" spans="1:4" x14ac:dyDescent="0.35">
      <c r="A35" s="7" t="s">
        <v>1447</v>
      </c>
    </row>
    <row r="36" spans="1:4" x14ac:dyDescent="0.35">
      <c r="C36" s="10" t="s">
        <v>2</v>
      </c>
      <c r="D36" s="10" t="s">
        <v>13</v>
      </c>
    </row>
    <row r="37" spans="1:4" x14ac:dyDescent="0.35">
      <c r="A37" s="8" t="s">
        <v>1448</v>
      </c>
      <c r="B37" s="8" t="s">
        <v>1449</v>
      </c>
      <c r="C37" s="8" t="s">
        <v>8</v>
      </c>
      <c r="D37" s="8" t="s">
        <v>8</v>
      </c>
    </row>
    <row r="38" spans="1:4" x14ac:dyDescent="0.35">
      <c r="A38" s="8" t="s">
        <v>1450</v>
      </c>
      <c r="B38" s="8" t="s">
        <v>1458</v>
      </c>
      <c r="C38" s="11">
        <f>F7-SUM(C39:C44)</f>
        <v>29153582</v>
      </c>
      <c r="D38" s="11">
        <f>F17-SUM(D39:D44)</f>
        <v>251863331</v>
      </c>
    </row>
    <row r="39" spans="1:4" x14ac:dyDescent="0.35">
      <c r="A39" s="8" t="s">
        <v>1451</v>
      </c>
      <c r="B39" s="8" t="s">
        <v>1459</v>
      </c>
      <c r="C39" s="11">
        <f>SUMIFS('Warehouse Data'!U:U,'Warehouse Data'!$C:$C,Summary!$A$2)</f>
        <v>9716271</v>
      </c>
      <c r="D39" s="11">
        <f>SUMIFS('Warehouse Data'!Z:Z,'Warehouse Data'!$C:$C,Summary!$A$2)</f>
        <v>9686375</v>
      </c>
    </row>
    <row r="40" spans="1:4" x14ac:dyDescent="0.35">
      <c r="A40" s="8" t="s">
        <v>1452</v>
      </c>
      <c r="B40" s="8" t="s">
        <v>1460</v>
      </c>
      <c r="C40" s="11">
        <f>SUMIFS('Warehouse Data'!V:V,'Warehouse Data'!$C:$C,Summary!$A$2)</f>
        <v>5829459</v>
      </c>
      <c r="D40" s="11">
        <f>SUMIFS('Warehouse Data'!AA:AA,'Warehouse Data'!$C:$C,Summary!$A$2)</f>
        <v>5811517</v>
      </c>
    </row>
    <row r="41" spans="1:4" x14ac:dyDescent="0.35">
      <c r="A41" s="8" t="s">
        <v>1453</v>
      </c>
      <c r="B41" s="8" t="s">
        <v>1461</v>
      </c>
      <c r="C41" s="11">
        <f>SUMIFS('Warehouse Data'!W:W,'Warehouse Data'!$C:$C,Summary!$A$2)</f>
        <v>3886079</v>
      </c>
      <c r="D41" s="11">
        <f>SUMIFS('Warehouse Data'!AB:AB,'Warehouse Data'!$C:$C,Summary!$A$2)</f>
        <v>3874124</v>
      </c>
    </row>
    <row r="42" spans="1:4" x14ac:dyDescent="0.35">
      <c r="A42" s="8" t="s">
        <v>1454</v>
      </c>
      <c r="B42" s="8" t="s">
        <v>1462</v>
      </c>
      <c r="C42" s="11">
        <f>SUMIFS('Warehouse Data'!X:X,'Warehouse Data'!$C:$C,Summary!$A$2)</f>
        <v>19433239</v>
      </c>
      <c r="D42" s="11">
        <v>0</v>
      </c>
    </row>
    <row r="43" spans="1:4" x14ac:dyDescent="0.35">
      <c r="A43" s="8" t="s">
        <v>1455</v>
      </c>
      <c r="B43" s="8" t="s">
        <v>1462</v>
      </c>
      <c r="C43" s="11">
        <f>SUMIFS('Warehouse Data'!Y:Y,'Warehouse Data'!$C:$C,Summary!$A$2)</f>
        <v>9716271</v>
      </c>
      <c r="D43" s="11">
        <v>0</v>
      </c>
    </row>
    <row r="44" spans="1:4" x14ac:dyDescent="0.35">
      <c r="A44" s="8" t="s">
        <v>1456</v>
      </c>
      <c r="B44" s="8" t="s">
        <v>1462</v>
      </c>
      <c r="C44" s="11">
        <v>0</v>
      </c>
      <c r="D44" s="11">
        <v>0</v>
      </c>
    </row>
    <row r="45" spans="1:4" x14ac:dyDescent="0.35">
      <c r="A45" s="8" t="s">
        <v>1457</v>
      </c>
      <c r="B45" s="8" t="s">
        <v>1457</v>
      </c>
      <c r="C45" s="9">
        <f>SUM(C38:C44)</f>
        <v>77734901</v>
      </c>
      <c r="D45" s="9">
        <f>SUM(D38:D44)</f>
        <v>271235347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36EBC-69C9-4DD0-A392-084B9686C533}">
  <dimension ref="A3:E6"/>
  <sheetViews>
    <sheetView tabSelected="1" workbookViewId="0">
      <selection activeCell="A3" sqref="A3:E6"/>
    </sheetView>
  </sheetViews>
  <sheetFormatPr defaultRowHeight="14.5" x14ac:dyDescent="0.35"/>
  <cols>
    <col min="2" max="2" width="50.1796875" customWidth="1"/>
    <col min="3" max="3" width="9.1796875" bestFit="1" customWidth="1"/>
    <col min="4" max="4" width="46.08984375" bestFit="1" customWidth="1"/>
    <col min="5" max="5" width="35.26953125" customWidth="1"/>
  </cols>
  <sheetData>
    <row r="3" spans="1:5" x14ac:dyDescent="0.35">
      <c r="B3" s="7" t="s">
        <v>1463</v>
      </c>
      <c r="C3" s="7" t="s">
        <v>1467</v>
      </c>
      <c r="D3" s="7" t="s">
        <v>1470</v>
      </c>
      <c r="E3" s="7" t="s">
        <v>1472</v>
      </c>
    </row>
    <row r="4" spans="1:5" x14ac:dyDescent="0.35">
      <c r="A4">
        <v>1</v>
      </c>
      <c r="B4" t="s">
        <v>1464</v>
      </c>
      <c r="C4" t="s">
        <v>1468</v>
      </c>
    </row>
    <row r="5" spans="1:5" x14ac:dyDescent="0.35">
      <c r="A5">
        <v>2</v>
      </c>
      <c r="B5" t="s">
        <v>1465</v>
      </c>
      <c r="C5" t="s">
        <v>1469</v>
      </c>
      <c r="D5" t="s">
        <v>1471</v>
      </c>
    </row>
    <row r="6" spans="1:5" x14ac:dyDescent="0.35">
      <c r="A6">
        <v>3</v>
      </c>
      <c r="B6" t="s">
        <v>1466</v>
      </c>
      <c r="C6" t="s">
        <v>1473</v>
      </c>
      <c r="D6" t="s">
        <v>1474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4935-F8F5-4B17-A06A-4500EAF659AC}">
  <dimension ref="A1:AB1401"/>
  <sheetViews>
    <sheetView topLeftCell="Y1" workbookViewId="0">
      <selection activeCell="AH4" sqref="AH4"/>
    </sheetView>
  </sheetViews>
  <sheetFormatPr defaultRowHeight="14.5" x14ac:dyDescent="0.35"/>
  <cols>
    <col min="3" max="3" width="14.453125" bestFit="1" customWidth="1"/>
    <col min="6" max="6" width="17.36328125" bestFit="1" customWidth="1"/>
    <col min="7" max="7" width="18.7265625" bestFit="1" customWidth="1"/>
    <col min="8" max="8" width="25.54296875" bestFit="1" customWidth="1"/>
    <col min="9" max="9" width="24.7265625" bestFit="1" customWidth="1"/>
    <col min="10" max="10" width="19.08984375" bestFit="1" customWidth="1"/>
    <col min="11" max="11" width="19" bestFit="1" customWidth="1"/>
    <col min="12" max="12" width="22.26953125" bestFit="1" customWidth="1"/>
    <col min="13" max="13" width="30" bestFit="1" customWidth="1"/>
    <col min="14" max="14" width="33.453125" bestFit="1" customWidth="1"/>
    <col min="15" max="15" width="31.6328125" bestFit="1" customWidth="1"/>
    <col min="16" max="16" width="29.36328125" bestFit="1" customWidth="1"/>
    <col min="17" max="17" width="29" bestFit="1" customWidth="1"/>
    <col min="18" max="18" width="18.36328125" bestFit="1" customWidth="1"/>
    <col min="19" max="19" width="30.36328125" bestFit="1" customWidth="1"/>
    <col min="20" max="20" width="28.54296875" bestFit="1" customWidth="1"/>
    <col min="21" max="21" width="21.90625" bestFit="1" customWidth="1"/>
    <col min="22" max="22" width="22.36328125" bestFit="1" customWidth="1"/>
    <col min="23" max="23" width="22.453125" bestFit="1" customWidth="1"/>
    <col min="24" max="24" width="33.1796875" bestFit="1" customWidth="1"/>
    <col min="25" max="25" width="31.7265625" bestFit="1" customWidth="1"/>
    <col min="26" max="26" width="18.81640625" bestFit="1" customWidth="1"/>
    <col min="27" max="27" width="19.26953125" bestFit="1" customWidth="1"/>
    <col min="28" max="28" width="19.36328125" bestFit="1" customWidth="1"/>
  </cols>
  <sheetData>
    <row r="1" spans="1:28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</row>
    <row r="2" spans="1:28" x14ac:dyDescent="0.35">
      <c r="A2" t="s">
        <v>47</v>
      </c>
      <c r="B2" t="s">
        <v>9</v>
      </c>
      <c r="C2" t="s">
        <v>1</v>
      </c>
      <c r="D2" t="s">
        <v>10</v>
      </c>
      <c r="E2" t="s">
        <v>11</v>
      </c>
      <c r="F2">
        <v>393447</v>
      </c>
      <c r="G2">
        <v>-193747</v>
      </c>
      <c r="H2">
        <v>112811</v>
      </c>
      <c r="I2">
        <v>393447</v>
      </c>
      <c r="J2">
        <v>39344</v>
      </c>
      <c r="K2">
        <v>19672</v>
      </c>
      <c r="L2">
        <v>310943</v>
      </c>
      <c r="M2">
        <v>62188</v>
      </c>
      <c r="N2">
        <v>93282</v>
      </c>
      <c r="O2">
        <v>31094</v>
      </c>
      <c r="P2">
        <v>-124377</v>
      </c>
      <c r="Q2">
        <v>-77735</v>
      </c>
      <c r="R2">
        <v>352430</v>
      </c>
      <c r="S2">
        <v>105729</v>
      </c>
      <c r="T2">
        <v>35243</v>
      </c>
      <c r="U2">
        <v>15547</v>
      </c>
      <c r="V2">
        <v>9328</v>
      </c>
      <c r="W2">
        <v>6218</v>
      </c>
      <c r="X2">
        <v>31094</v>
      </c>
      <c r="Y2">
        <v>15547</v>
      </c>
      <c r="Z2">
        <v>17621</v>
      </c>
      <c r="AA2">
        <v>10572</v>
      </c>
      <c r="AB2">
        <v>7048</v>
      </c>
    </row>
    <row r="3" spans="1:28" x14ac:dyDescent="0.35">
      <c r="A3" t="s">
        <v>48</v>
      </c>
      <c r="B3" t="s">
        <v>9</v>
      </c>
      <c r="C3" t="s">
        <v>1</v>
      </c>
      <c r="D3" t="s">
        <v>10</v>
      </c>
      <c r="E3" t="s">
        <v>11</v>
      </c>
      <c r="F3">
        <v>496881</v>
      </c>
      <c r="G3">
        <v>-137992</v>
      </c>
      <c r="H3">
        <v>242311</v>
      </c>
      <c r="I3">
        <v>496881</v>
      </c>
      <c r="J3">
        <v>49688</v>
      </c>
      <c r="K3">
        <v>24844</v>
      </c>
      <c r="L3">
        <v>293697</v>
      </c>
      <c r="M3">
        <v>58739</v>
      </c>
      <c r="N3">
        <v>88109</v>
      </c>
      <c r="O3">
        <v>29369</v>
      </c>
      <c r="P3">
        <v>-117478</v>
      </c>
      <c r="Q3">
        <v>-73424</v>
      </c>
      <c r="R3">
        <v>340255</v>
      </c>
      <c r="S3">
        <v>102076</v>
      </c>
      <c r="T3">
        <v>34025</v>
      </c>
      <c r="U3">
        <v>14684</v>
      </c>
      <c r="V3">
        <v>8810</v>
      </c>
      <c r="W3">
        <v>5873</v>
      </c>
      <c r="X3">
        <v>29369</v>
      </c>
      <c r="Y3">
        <v>14684</v>
      </c>
      <c r="Z3">
        <v>17012</v>
      </c>
      <c r="AA3">
        <v>10207</v>
      </c>
      <c r="AB3">
        <v>6805</v>
      </c>
    </row>
    <row r="4" spans="1:28" x14ac:dyDescent="0.35">
      <c r="A4" t="s">
        <v>49</v>
      </c>
      <c r="B4" t="s">
        <v>9</v>
      </c>
      <c r="C4" t="s">
        <v>1</v>
      </c>
      <c r="D4" t="s">
        <v>10</v>
      </c>
      <c r="E4" t="s">
        <v>11</v>
      </c>
      <c r="F4">
        <v>147596</v>
      </c>
      <c r="G4">
        <v>-39531</v>
      </c>
      <c r="H4">
        <v>34052</v>
      </c>
      <c r="I4">
        <v>147596</v>
      </c>
      <c r="J4">
        <v>14759</v>
      </c>
      <c r="K4">
        <v>7379</v>
      </c>
      <c r="L4">
        <v>41098</v>
      </c>
      <c r="M4">
        <v>8219</v>
      </c>
      <c r="N4">
        <v>12329</v>
      </c>
      <c r="O4">
        <v>4109</v>
      </c>
      <c r="P4">
        <v>-16439</v>
      </c>
      <c r="Q4">
        <v>-10274</v>
      </c>
      <c r="R4">
        <v>35545</v>
      </c>
      <c r="S4">
        <v>10663</v>
      </c>
      <c r="T4">
        <v>3554</v>
      </c>
      <c r="U4">
        <v>2054</v>
      </c>
      <c r="V4">
        <v>1232</v>
      </c>
      <c r="W4">
        <v>821</v>
      </c>
      <c r="X4">
        <v>4109</v>
      </c>
      <c r="Y4">
        <v>2054</v>
      </c>
      <c r="Z4">
        <v>1777</v>
      </c>
      <c r="AA4">
        <v>1066</v>
      </c>
      <c r="AB4">
        <v>710</v>
      </c>
    </row>
    <row r="5" spans="1:28" x14ac:dyDescent="0.35">
      <c r="A5" t="s">
        <v>50</v>
      </c>
      <c r="B5" t="s">
        <v>9</v>
      </c>
      <c r="C5" t="s">
        <v>1</v>
      </c>
      <c r="D5" t="s">
        <v>10</v>
      </c>
      <c r="E5" t="s">
        <v>11</v>
      </c>
      <c r="F5">
        <v>488180</v>
      </c>
      <c r="G5">
        <v>-282330</v>
      </c>
      <c r="H5">
        <v>228242</v>
      </c>
      <c r="I5">
        <v>488180</v>
      </c>
      <c r="J5">
        <v>48818</v>
      </c>
      <c r="K5">
        <v>24409</v>
      </c>
      <c r="L5">
        <v>128104</v>
      </c>
      <c r="M5">
        <v>25620</v>
      </c>
      <c r="N5">
        <v>38431</v>
      </c>
      <c r="O5">
        <v>12810</v>
      </c>
      <c r="P5">
        <v>-51241</v>
      </c>
      <c r="Q5">
        <v>-32026</v>
      </c>
      <c r="R5">
        <v>151783</v>
      </c>
      <c r="S5">
        <v>45534</v>
      </c>
      <c r="T5">
        <v>15178</v>
      </c>
      <c r="U5">
        <v>6405</v>
      </c>
      <c r="V5">
        <v>3843</v>
      </c>
      <c r="W5">
        <v>2562</v>
      </c>
      <c r="X5">
        <v>12810</v>
      </c>
      <c r="Y5">
        <v>6405</v>
      </c>
      <c r="Z5">
        <v>7589</v>
      </c>
      <c r="AA5">
        <v>4553</v>
      </c>
      <c r="AB5">
        <v>3035</v>
      </c>
    </row>
    <row r="6" spans="1:28" x14ac:dyDescent="0.35">
      <c r="A6" t="s">
        <v>51</v>
      </c>
      <c r="B6" t="s">
        <v>9</v>
      </c>
      <c r="C6" t="s">
        <v>1</v>
      </c>
      <c r="D6" t="s">
        <v>10</v>
      </c>
      <c r="E6" t="s">
        <v>11</v>
      </c>
      <c r="F6">
        <v>255978</v>
      </c>
      <c r="G6">
        <v>-71707</v>
      </c>
      <c r="H6">
        <v>89010</v>
      </c>
      <c r="I6">
        <v>255978</v>
      </c>
      <c r="J6">
        <v>25597</v>
      </c>
      <c r="K6">
        <v>12798</v>
      </c>
      <c r="L6">
        <v>179761</v>
      </c>
      <c r="M6">
        <v>35952</v>
      </c>
      <c r="N6">
        <v>53928</v>
      </c>
      <c r="O6">
        <v>17976</v>
      </c>
      <c r="P6">
        <v>-71904</v>
      </c>
      <c r="Q6">
        <v>-44940</v>
      </c>
      <c r="R6">
        <v>204161</v>
      </c>
      <c r="S6">
        <v>61248</v>
      </c>
      <c r="T6">
        <v>20416</v>
      </c>
      <c r="U6">
        <v>8988</v>
      </c>
      <c r="V6">
        <v>5392</v>
      </c>
      <c r="W6">
        <v>3595</v>
      </c>
      <c r="X6">
        <v>17976</v>
      </c>
      <c r="Y6">
        <v>8988</v>
      </c>
      <c r="Z6">
        <v>10208</v>
      </c>
      <c r="AA6">
        <v>6124</v>
      </c>
      <c r="AB6">
        <v>4083</v>
      </c>
    </row>
    <row r="7" spans="1:28" x14ac:dyDescent="0.35">
      <c r="A7" t="s">
        <v>52</v>
      </c>
      <c r="B7" t="s">
        <v>9</v>
      </c>
      <c r="C7" t="s">
        <v>1</v>
      </c>
      <c r="D7" t="s">
        <v>10</v>
      </c>
      <c r="E7" t="s">
        <v>11</v>
      </c>
      <c r="F7">
        <v>206501</v>
      </c>
      <c r="G7">
        <v>-123793</v>
      </c>
      <c r="H7">
        <v>80494</v>
      </c>
      <c r="I7">
        <v>206501</v>
      </c>
      <c r="J7">
        <v>20650</v>
      </c>
      <c r="K7">
        <v>10325</v>
      </c>
      <c r="L7">
        <v>85813</v>
      </c>
      <c r="M7">
        <v>17162</v>
      </c>
      <c r="N7">
        <v>25743</v>
      </c>
      <c r="O7">
        <v>8581</v>
      </c>
      <c r="P7">
        <v>-34325</v>
      </c>
      <c r="Q7">
        <v>-21453</v>
      </c>
      <c r="R7">
        <v>91309</v>
      </c>
      <c r="S7">
        <v>27392</v>
      </c>
      <c r="T7">
        <v>9130</v>
      </c>
      <c r="U7">
        <v>4290</v>
      </c>
      <c r="V7">
        <v>2574</v>
      </c>
      <c r="W7">
        <v>1716</v>
      </c>
      <c r="X7">
        <v>8581</v>
      </c>
      <c r="Y7">
        <v>4290</v>
      </c>
      <c r="Z7">
        <v>4565</v>
      </c>
      <c r="AA7">
        <v>2739</v>
      </c>
      <c r="AB7">
        <v>1826</v>
      </c>
    </row>
    <row r="8" spans="1:28" x14ac:dyDescent="0.35">
      <c r="A8" t="s">
        <v>53</v>
      </c>
      <c r="B8" t="s">
        <v>9</v>
      </c>
      <c r="C8" t="s">
        <v>1</v>
      </c>
      <c r="D8" t="s">
        <v>10</v>
      </c>
      <c r="E8" t="s">
        <v>11</v>
      </c>
      <c r="F8">
        <v>271271</v>
      </c>
      <c r="G8">
        <v>-128505</v>
      </c>
      <c r="H8">
        <v>74241</v>
      </c>
      <c r="I8">
        <v>271271</v>
      </c>
      <c r="J8">
        <v>27127</v>
      </c>
      <c r="K8">
        <v>13563</v>
      </c>
      <c r="L8">
        <v>68352</v>
      </c>
      <c r="M8">
        <v>13670</v>
      </c>
      <c r="N8">
        <v>20505</v>
      </c>
      <c r="O8">
        <v>6835</v>
      </c>
      <c r="P8">
        <v>-27340</v>
      </c>
      <c r="Q8">
        <v>-17088</v>
      </c>
      <c r="R8">
        <v>74348</v>
      </c>
      <c r="S8">
        <v>22304</v>
      </c>
      <c r="T8">
        <v>7434</v>
      </c>
      <c r="U8">
        <v>3417</v>
      </c>
      <c r="V8">
        <v>2050</v>
      </c>
      <c r="W8">
        <v>1367</v>
      </c>
      <c r="X8">
        <v>6835</v>
      </c>
      <c r="Y8">
        <v>3417</v>
      </c>
      <c r="Z8">
        <v>3717</v>
      </c>
      <c r="AA8">
        <v>2230</v>
      </c>
      <c r="AB8">
        <v>1486</v>
      </c>
    </row>
    <row r="9" spans="1:28" x14ac:dyDescent="0.35">
      <c r="A9" t="s">
        <v>54</v>
      </c>
      <c r="B9" t="s">
        <v>9</v>
      </c>
      <c r="C9" t="s">
        <v>1</v>
      </c>
      <c r="D9" t="s">
        <v>10</v>
      </c>
      <c r="E9" t="s">
        <v>11</v>
      </c>
      <c r="F9">
        <v>132277</v>
      </c>
      <c r="G9">
        <v>-45597</v>
      </c>
      <c r="H9">
        <v>55659</v>
      </c>
      <c r="I9">
        <v>132277</v>
      </c>
      <c r="J9">
        <v>13227</v>
      </c>
      <c r="K9">
        <v>6613</v>
      </c>
      <c r="L9">
        <v>90457</v>
      </c>
      <c r="M9">
        <v>18091</v>
      </c>
      <c r="N9">
        <v>27137</v>
      </c>
      <c r="O9">
        <v>9045</v>
      </c>
      <c r="P9">
        <v>-36182</v>
      </c>
      <c r="Q9">
        <v>-22614</v>
      </c>
      <c r="R9">
        <v>95441</v>
      </c>
      <c r="S9">
        <v>28632</v>
      </c>
      <c r="T9">
        <v>9544</v>
      </c>
      <c r="U9">
        <v>4522</v>
      </c>
      <c r="V9">
        <v>2713</v>
      </c>
      <c r="W9">
        <v>1809</v>
      </c>
      <c r="X9">
        <v>9045</v>
      </c>
      <c r="Y9">
        <v>4522</v>
      </c>
      <c r="Z9">
        <v>4772</v>
      </c>
      <c r="AA9">
        <v>2863</v>
      </c>
      <c r="AB9">
        <v>1908</v>
      </c>
    </row>
    <row r="10" spans="1:28" x14ac:dyDescent="0.35">
      <c r="A10" t="s">
        <v>55</v>
      </c>
      <c r="B10" t="s">
        <v>9</v>
      </c>
      <c r="C10" t="s">
        <v>1</v>
      </c>
      <c r="D10" t="s">
        <v>10</v>
      </c>
      <c r="E10" t="s">
        <v>11</v>
      </c>
      <c r="F10">
        <v>253550</v>
      </c>
      <c r="G10">
        <v>-130800</v>
      </c>
      <c r="H10">
        <v>110413</v>
      </c>
      <c r="I10">
        <v>253550</v>
      </c>
      <c r="J10">
        <v>25355</v>
      </c>
      <c r="K10">
        <v>12677</v>
      </c>
      <c r="L10">
        <v>55794</v>
      </c>
      <c r="M10">
        <v>11158</v>
      </c>
      <c r="N10">
        <v>16738</v>
      </c>
      <c r="O10">
        <v>5579</v>
      </c>
      <c r="P10">
        <v>-22317</v>
      </c>
      <c r="Q10">
        <v>-13948</v>
      </c>
      <c r="R10">
        <v>59140</v>
      </c>
      <c r="S10">
        <v>17742</v>
      </c>
      <c r="T10">
        <v>5914</v>
      </c>
      <c r="U10">
        <v>2789</v>
      </c>
      <c r="V10">
        <v>1673</v>
      </c>
      <c r="W10">
        <v>1115</v>
      </c>
      <c r="X10">
        <v>5579</v>
      </c>
      <c r="Y10">
        <v>2789</v>
      </c>
      <c r="Z10">
        <v>2957</v>
      </c>
      <c r="AA10">
        <v>1774</v>
      </c>
      <c r="AB10">
        <v>1182</v>
      </c>
    </row>
    <row r="11" spans="1:28" x14ac:dyDescent="0.35">
      <c r="A11" t="s">
        <v>56</v>
      </c>
      <c r="B11" t="s">
        <v>9</v>
      </c>
      <c r="C11" t="s">
        <v>1</v>
      </c>
      <c r="D11" t="s">
        <v>10</v>
      </c>
      <c r="E11" t="s">
        <v>11</v>
      </c>
      <c r="F11">
        <v>478233</v>
      </c>
      <c r="G11">
        <v>-189523</v>
      </c>
      <c r="H11">
        <v>168522</v>
      </c>
      <c r="I11">
        <v>478233</v>
      </c>
      <c r="J11">
        <v>47823</v>
      </c>
      <c r="K11">
        <v>23911</v>
      </c>
      <c r="L11">
        <v>321740</v>
      </c>
      <c r="M11">
        <v>64348</v>
      </c>
      <c r="N11">
        <v>96522</v>
      </c>
      <c r="O11">
        <v>32174</v>
      </c>
      <c r="P11">
        <v>-128696</v>
      </c>
      <c r="Q11">
        <v>-80435</v>
      </c>
      <c r="R11">
        <v>295492</v>
      </c>
      <c r="S11">
        <v>88647</v>
      </c>
      <c r="T11">
        <v>29549</v>
      </c>
      <c r="U11">
        <v>16087</v>
      </c>
      <c r="V11">
        <v>9652</v>
      </c>
      <c r="W11">
        <v>6434</v>
      </c>
      <c r="X11">
        <v>32174</v>
      </c>
      <c r="Y11">
        <v>16087</v>
      </c>
      <c r="Z11">
        <v>14774</v>
      </c>
      <c r="AA11">
        <v>8864</v>
      </c>
      <c r="AB11">
        <v>5909</v>
      </c>
    </row>
    <row r="12" spans="1:28" x14ac:dyDescent="0.35">
      <c r="A12" t="s">
        <v>57</v>
      </c>
      <c r="B12" t="s">
        <v>9</v>
      </c>
      <c r="C12" t="s">
        <v>1</v>
      </c>
      <c r="D12" t="s">
        <v>10</v>
      </c>
      <c r="E12" t="s">
        <v>11</v>
      </c>
      <c r="F12">
        <v>86961</v>
      </c>
      <c r="G12">
        <v>-35316</v>
      </c>
      <c r="H12">
        <v>17405</v>
      </c>
      <c r="I12">
        <v>86961</v>
      </c>
      <c r="J12">
        <v>8696</v>
      </c>
      <c r="K12">
        <v>4348</v>
      </c>
      <c r="L12">
        <v>59372</v>
      </c>
      <c r="M12">
        <v>11874</v>
      </c>
      <c r="N12">
        <v>17811</v>
      </c>
      <c r="O12">
        <v>5937</v>
      </c>
      <c r="P12">
        <v>-23748</v>
      </c>
      <c r="Q12">
        <v>-14843</v>
      </c>
      <c r="R12">
        <v>57667</v>
      </c>
      <c r="S12">
        <v>17300</v>
      </c>
      <c r="T12">
        <v>5766</v>
      </c>
      <c r="U12">
        <v>2968</v>
      </c>
      <c r="V12">
        <v>1781</v>
      </c>
      <c r="W12">
        <v>1187</v>
      </c>
      <c r="X12">
        <v>5937</v>
      </c>
      <c r="Y12">
        <v>2968</v>
      </c>
      <c r="Z12">
        <v>2883</v>
      </c>
      <c r="AA12">
        <v>1730</v>
      </c>
      <c r="AB12">
        <v>1153</v>
      </c>
    </row>
    <row r="13" spans="1:28" x14ac:dyDescent="0.35">
      <c r="A13" t="s">
        <v>58</v>
      </c>
      <c r="B13" t="s">
        <v>9</v>
      </c>
      <c r="C13" t="s">
        <v>1</v>
      </c>
      <c r="D13" t="s">
        <v>10</v>
      </c>
      <c r="E13" t="s">
        <v>11</v>
      </c>
      <c r="F13">
        <v>239476</v>
      </c>
      <c r="G13">
        <v>-65990</v>
      </c>
      <c r="H13">
        <v>118764</v>
      </c>
      <c r="I13">
        <v>239476</v>
      </c>
      <c r="J13">
        <v>23947</v>
      </c>
      <c r="K13">
        <v>11973</v>
      </c>
      <c r="L13">
        <v>162979</v>
      </c>
      <c r="M13">
        <v>32595</v>
      </c>
      <c r="N13">
        <v>48893</v>
      </c>
      <c r="O13">
        <v>16297</v>
      </c>
      <c r="P13">
        <v>-65191</v>
      </c>
      <c r="Q13">
        <v>-40744</v>
      </c>
      <c r="R13">
        <v>193032</v>
      </c>
      <c r="S13">
        <v>57909</v>
      </c>
      <c r="T13">
        <v>19303</v>
      </c>
      <c r="U13">
        <v>8148</v>
      </c>
      <c r="V13">
        <v>4889</v>
      </c>
      <c r="W13">
        <v>3259</v>
      </c>
      <c r="X13">
        <v>16297</v>
      </c>
      <c r="Y13">
        <v>8148</v>
      </c>
      <c r="Z13">
        <v>9651</v>
      </c>
      <c r="AA13">
        <v>5790</v>
      </c>
      <c r="AB13">
        <v>3860</v>
      </c>
    </row>
    <row r="14" spans="1:28" x14ac:dyDescent="0.35">
      <c r="A14" t="s">
        <v>59</v>
      </c>
      <c r="B14" t="s">
        <v>9</v>
      </c>
      <c r="C14" t="s">
        <v>1</v>
      </c>
      <c r="D14" t="s">
        <v>10</v>
      </c>
      <c r="E14" t="s">
        <v>11</v>
      </c>
      <c r="F14">
        <v>181478</v>
      </c>
      <c r="G14">
        <v>-76369</v>
      </c>
      <c r="H14">
        <v>57716</v>
      </c>
      <c r="I14">
        <v>181478</v>
      </c>
      <c r="J14">
        <v>18147</v>
      </c>
      <c r="K14">
        <v>9073</v>
      </c>
      <c r="L14">
        <v>139569</v>
      </c>
      <c r="M14">
        <v>27913</v>
      </c>
      <c r="N14">
        <v>41870</v>
      </c>
      <c r="O14">
        <v>13956</v>
      </c>
      <c r="P14">
        <v>-55827</v>
      </c>
      <c r="Q14">
        <v>-34892</v>
      </c>
      <c r="R14">
        <v>122368</v>
      </c>
      <c r="S14">
        <v>36710</v>
      </c>
      <c r="T14">
        <v>12236</v>
      </c>
      <c r="U14">
        <v>6978</v>
      </c>
      <c r="V14">
        <v>4187</v>
      </c>
      <c r="W14">
        <v>2791</v>
      </c>
      <c r="X14">
        <v>13956</v>
      </c>
      <c r="Y14">
        <v>6978</v>
      </c>
      <c r="Z14">
        <v>6118</v>
      </c>
      <c r="AA14">
        <v>3671</v>
      </c>
      <c r="AB14">
        <v>2447</v>
      </c>
    </row>
    <row r="15" spans="1:28" x14ac:dyDescent="0.35">
      <c r="A15" t="s">
        <v>60</v>
      </c>
      <c r="B15" t="s">
        <v>9</v>
      </c>
      <c r="C15" t="s">
        <v>1</v>
      </c>
      <c r="D15" t="s">
        <v>10</v>
      </c>
      <c r="E15" t="s">
        <v>11</v>
      </c>
      <c r="F15">
        <v>349981</v>
      </c>
      <c r="G15">
        <v>-162332</v>
      </c>
      <c r="H15">
        <v>151725</v>
      </c>
      <c r="I15">
        <v>349981</v>
      </c>
      <c r="J15">
        <v>34998</v>
      </c>
      <c r="K15">
        <v>17499</v>
      </c>
      <c r="L15">
        <v>204985</v>
      </c>
      <c r="M15">
        <v>40997</v>
      </c>
      <c r="N15">
        <v>61495</v>
      </c>
      <c r="O15">
        <v>20498</v>
      </c>
      <c r="P15">
        <v>-81994</v>
      </c>
      <c r="Q15">
        <v>-51246</v>
      </c>
      <c r="R15">
        <v>172175</v>
      </c>
      <c r="S15">
        <v>51652</v>
      </c>
      <c r="T15">
        <v>17217</v>
      </c>
      <c r="U15">
        <v>10249</v>
      </c>
      <c r="V15">
        <v>6149</v>
      </c>
      <c r="W15">
        <v>4099</v>
      </c>
      <c r="X15">
        <v>20498</v>
      </c>
      <c r="Y15">
        <v>10249</v>
      </c>
      <c r="Z15">
        <v>8608</v>
      </c>
      <c r="AA15">
        <v>5165</v>
      </c>
      <c r="AB15">
        <v>3443</v>
      </c>
    </row>
    <row r="16" spans="1:28" x14ac:dyDescent="0.35">
      <c r="A16" t="s">
        <v>61</v>
      </c>
      <c r="B16" t="s">
        <v>9</v>
      </c>
      <c r="C16" t="s">
        <v>1</v>
      </c>
      <c r="D16" t="s">
        <v>10</v>
      </c>
      <c r="E16" t="s">
        <v>11</v>
      </c>
      <c r="F16">
        <v>62638</v>
      </c>
      <c r="G16">
        <v>-34603</v>
      </c>
      <c r="H16">
        <v>17483</v>
      </c>
      <c r="I16">
        <v>62638</v>
      </c>
      <c r="J16">
        <v>6263</v>
      </c>
      <c r="K16">
        <v>3131</v>
      </c>
      <c r="L16">
        <v>26135</v>
      </c>
      <c r="M16">
        <v>5227</v>
      </c>
      <c r="N16">
        <v>7840</v>
      </c>
      <c r="O16">
        <v>2613</v>
      </c>
      <c r="P16">
        <v>-10454</v>
      </c>
      <c r="Q16">
        <v>-6533</v>
      </c>
      <c r="R16">
        <v>24546</v>
      </c>
      <c r="S16">
        <v>7363</v>
      </c>
      <c r="T16">
        <v>2454</v>
      </c>
      <c r="U16">
        <v>1306</v>
      </c>
      <c r="V16">
        <v>784</v>
      </c>
      <c r="W16">
        <v>522</v>
      </c>
      <c r="X16">
        <v>2613</v>
      </c>
      <c r="Y16">
        <v>1306</v>
      </c>
      <c r="Z16">
        <v>1227</v>
      </c>
      <c r="AA16">
        <v>736</v>
      </c>
      <c r="AB16">
        <v>490</v>
      </c>
    </row>
    <row r="17" spans="1:28" x14ac:dyDescent="0.35">
      <c r="A17" t="s">
        <v>62</v>
      </c>
      <c r="B17" t="s">
        <v>9</v>
      </c>
      <c r="C17" t="s">
        <v>1</v>
      </c>
      <c r="D17" t="s">
        <v>10</v>
      </c>
      <c r="E17" t="s">
        <v>11</v>
      </c>
      <c r="F17">
        <v>337312</v>
      </c>
      <c r="G17">
        <v>-134603</v>
      </c>
      <c r="H17">
        <v>48000</v>
      </c>
      <c r="I17">
        <v>337312</v>
      </c>
      <c r="J17">
        <v>33731</v>
      </c>
      <c r="K17">
        <v>16865</v>
      </c>
      <c r="L17">
        <v>74645</v>
      </c>
      <c r="M17">
        <v>14929</v>
      </c>
      <c r="N17">
        <v>22393</v>
      </c>
      <c r="O17">
        <v>7464</v>
      </c>
      <c r="P17">
        <v>-29858</v>
      </c>
      <c r="Q17">
        <v>-18661</v>
      </c>
      <c r="R17">
        <v>65688</v>
      </c>
      <c r="S17">
        <v>19706</v>
      </c>
      <c r="T17">
        <v>6568</v>
      </c>
      <c r="U17">
        <v>3732</v>
      </c>
      <c r="V17">
        <v>2239</v>
      </c>
      <c r="W17">
        <v>1492</v>
      </c>
      <c r="X17">
        <v>7464</v>
      </c>
      <c r="Y17">
        <v>3732</v>
      </c>
      <c r="Z17">
        <v>3284</v>
      </c>
      <c r="AA17">
        <v>1970</v>
      </c>
      <c r="AB17">
        <v>1313</v>
      </c>
    </row>
    <row r="18" spans="1:28" x14ac:dyDescent="0.35">
      <c r="A18" t="s">
        <v>63</v>
      </c>
      <c r="B18" t="s">
        <v>9</v>
      </c>
      <c r="C18" t="s">
        <v>1</v>
      </c>
      <c r="D18" t="s">
        <v>10</v>
      </c>
      <c r="E18" t="s">
        <v>11</v>
      </c>
      <c r="F18">
        <v>126191</v>
      </c>
      <c r="G18">
        <v>-38126</v>
      </c>
      <c r="H18">
        <v>42788</v>
      </c>
      <c r="I18">
        <v>126191</v>
      </c>
      <c r="J18">
        <v>12619</v>
      </c>
      <c r="K18">
        <v>6309</v>
      </c>
      <c r="L18">
        <v>41729</v>
      </c>
      <c r="M18">
        <v>8345</v>
      </c>
      <c r="N18">
        <v>12518</v>
      </c>
      <c r="O18">
        <v>4172</v>
      </c>
      <c r="P18">
        <v>-16691</v>
      </c>
      <c r="Q18">
        <v>-10432</v>
      </c>
      <c r="R18">
        <v>37583</v>
      </c>
      <c r="S18">
        <v>11274</v>
      </c>
      <c r="T18">
        <v>3758</v>
      </c>
      <c r="U18">
        <v>2086</v>
      </c>
      <c r="V18">
        <v>1251</v>
      </c>
      <c r="W18">
        <v>834</v>
      </c>
      <c r="X18">
        <v>4172</v>
      </c>
      <c r="Y18">
        <v>2086</v>
      </c>
      <c r="Z18">
        <v>1879</v>
      </c>
      <c r="AA18">
        <v>1127</v>
      </c>
      <c r="AB18">
        <v>751</v>
      </c>
    </row>
    <row r="19" spans="1:28" x14ac:dyDescent="0.35">
      <c r="A19" t="s">
        <v>64</v>
      </c>
      <c r="B19" t="s">
        <v>9</v>
      </c>
      <c r="C19" t="s">
        <v>1</v>
      </c>
      <c r="D19" t="s">
        <v>10</v>
      </c>
      <c r="E19" t="s">
        <v>11</v>
      </c>
      <c r="F19">
        <v>461834</v>
      </c>
      <c r="G19">
        <v>-212832</v>
      </c>
      <c r="H19">
        <v>137310</v>
      </c>
      <c r="I19">
        <v>461834</v>
      </c>
      <c r="J19">
        <v>46183</v>
      </c>
      <c r="K19">
        <v>23091</v>
      </c>
      <c r="L19">
        <v>319487</v>
      </c>
      <c r="M19">
        <v>63897</v>
      </c>
      <c r="N19">
        <v>95846</v>
      </c>
      <c r="O19">
        <v>31948</v>
      </c>
      <c r="P19">
        <v>-127794</v>
      </c>
      <c r="Q19">
        <v>-79871</v>
      </c>
      <c r="R19">
        <v>347147</v>
      </c>
      <c r="S19">
        <v>104144</v>
      </c>
      <c r="T19">
        <v>34714</v>
      </c>
      <c r="U19">
        <v>15974</v>
      </c>
      <c r="V19">
        <v>9584</v>
      </c>
      <c r="W19">
        <v>6389</v>
      </c>
      <c r="X19">
        <v>31948</v>
      </c>
      <c r="Y19">
        <v>15974</v>
      </c>
      <c r="Z19">
        <v>17357</v>
      </c>
      <c r="AA19">
        <v>10414</v>
      </c>
      <c r="AB19">
        <v>6942</v>
      </c>
    </row>
    <row r="20" spans="1:28" x14ac:dyDescent="0.35">
      <c r="A20" t="s">
        <v>65</v>
      </c>
      <c r="B20" t="s">
        <v>9</v>
      </c>
      <c r="C20" t="s">
        <v>1</v>
      </c>
      <c r="D20" t="s">
        <v>10</v>
      </c>
      <c r="E20" t="s">
        <v>11</v>
      </c>
      <c r="F20">
        <v>119487</v>
      </c>
      <c r="G20">
        <v>-48018</v>
      </c>
      <c r="H20">
        <v>33011</v>
      </c>
      <c r="I20">
        <v>119487</v>
      </c>
      <c r="J20">
        <v>11948</v>
      </c>
      <c r="K20">
        <v>5974</v>
      </c>
      <c r="L20">
        <v>70295</v>
      </c>
      <c r="M20">
        <v>14059</v>
      </c>
      <c r="N20">
        <v>21088</v>
      </c>
      <c r="O20">
        <v>7029</v>
      </c>
      <c r="P20">
        <v>-28118</v>
      </c>
      <c r="Q20">
        <v>-17573</v>
      </c>
      <c r="R20">
        <v>78465</v>
      </c>
      <c r="S20">
        <v>23539</v>
      </c>
      <c r="T20">
        <v>7846</v>
      </c>
      <c r="U20">
        <v>3514</v>
      </c>
      <c r="V20">
        <v>2108</v>
      </c>
      <c r="W20">
        <v>1405</v>
      </c>
      <c r="X20">
        <v>7029</v>
      </c>
      <c r="Y20">
        <v>3514</v>
      </c>
      <c r="Z20">
        <v>3923</v>
      </c>
      <c r="AA20">
        <v>2353</v>
      </c>
      <c r="AB20">
        <v>1569</v>
      </c>
    </row>
    <row r="21" spans="1:28" x14ac:dyDescent="0.35">
      <c r="A21" t="s">
        <v>66</v>
      </c>
      <c r="B21" t="s">
        <v>9</v>
      </c>
      <c r="C21" t="s">
        <v>1</v>
      </c>
      <c r="D21" t="s">
        <v>10</v>
      </c>
      <c r="E21" t="s">
        <v>11</v>
      </c>
      <c r="F21">
        <v>345194</v>
      </c>
      <c r="G21">
        <v>-121721</v>
      </c>
      <c r="H21">
        <v>157315</v>
      </c>
      <c r="I21">
        <v>345194</v>
      </c>
      <c r="J21">
        <v>34519</v>
      </c>
      <c r="K21">
        <v>17259</v>
      </c>
      <c r="L21">
        <v>147708</v>
      </c>
      <c r="M21">
        <v>29541</v>
      </c>
      <c r="N21">
        <v>44312</v>
      </c>
      <c r="O21">
        <v>14770</v>
      </c>
      <c r="P21">
        <v>-59083</v>
      </c>
      <c r="Q21">
        <v>-36927</v>
      </c>
      <c r="R21">
        <v>165789</v>
      </c>
      <c r="S21">
        <v>49736</v>
      </c>
      <c r="T21">
        <v>16578</v>
      </c>
      <c r="U21">
        <v>7385</v>
      </c>
      <c r="V21">
        <v>4431</v>
      </c>
      <c r="W21">
        <v>2954</v>
      </c>
      <c r="X21">
        <v>14770</v>
      </c>
      <c r="Y21">
        <v>7385</v>
      </c>
      <c r="Z21">
        <v>8289</v>
      </c>
      <c r="AA21">
        <v>4973</v>
      </c>
      <c r="AB21">
        <v>3315</v>
      </c>
    </row>
    <row r="22" spans="1:28" x14ac:dyDescent="0.35">
      <c r="A22" t="s">
        <v>67</v>
      </c>
      <c r="B22" t="s">
        <v>9</v>
      </c>
      <c r="C22" t="s">
        <v>1</v>
      </c>
      <c r="D22" t="s">
        <v>10</v>
      </c>
      <c r="E22" t="s">
        <v>11</v>
      </c>
      <c r="F22">
        <v>137696</v>
      </c>
      <c r="G22">
        <v>-52336</v>
      </c>
      <c r="H22">
        <v>24083</v>
      </c>
      <c r="I22">
        <v>137696</v>
      </c>
      <c r="J22">
        <v>13769</v>
      </c>
      <c r="K22">
        <v>6884</v>
      </c>
      <c r="L22">
        <v>32876</v>
      </c>
      <c r="M22">
        <v>6575</v>
      </c>
      <c r="N22">
        <v>9862</v>
      </c>
      <c r="O22">
        <v>3287</v>
      </c>
      <c r="P22">
        <v>-13150</v>
      </c>
      <c r="Q22">
        <v>-8219</v>
      </c>
      <c r="R22">
        <v>39095</v>
      </c>
      <c r="S22">
        <v>11728</v>
      </c>
      <c r="T22">
        <v>3909</v>
      </c>
      <c r="U22">
        <v>1643</v>
      </c>
      <c r="V22">
        <v>986</v>
      </c>
      <c r="W22">
        <v>657</v>
      </c>
      <c r="X22">
        <v>3287</v>
      </c>
      <c r="Y22">
        <v>1643</v>
      </c>
      <c r="Z22">
        <v>1954</v>
      </c>
      <c r="AA22">
        <v>1172</v>
      </c>
      <c r="AB22">
        <v>781</v>
      </c>
    </row>
    <row r="23" spans="1:28" x14ac:dyDescent="0.35">
      <c r="A23" t="s">
        <v>68</v>
      </c>
      <c r="B23" t="s">
        <v>9</v>
      </c>
      <c r="C23" t="s">
        <v>1</v>
      </c>
      <c r="D23" t="s">
        <v>10</v>
      </c>
      <c r="E23" t="s">
        <v>11</v>
      </c>
      <c r="F23">
        <v>174702</v>
      </c>
      <c r="G23">
        <v>-45198</v>
      </c>
      <c r="H23">
        <v>28010</v>
      </c>
      <c r="I23">
        <v>174702</v>
      </c>
      <c r="J23">
        <v>17470</v>
      </c>
      <c r="K23">
        <v>8735</v>
      </c>
      <c r="L23">
        <v>55868</v>
      </c>
      <c r="M23">
        <v>11173</v>
      </c>
      <c r="N23">
        <v>16760</v>
      </c>
      <c r="O23">
        <v>5586</v>
      </c>
      <c r="P23">
        <v>-22347</v>
      </c>
      <c r="Q23">
        <v>-13967</v>
      </c>
      <c r="R23">
        <v>64367</v>
      </c>
      <c r="S23">
        <v>19310</v>
      </c>
      <c r="T23">
        <v>6436</v>
      </c>
      <c r="U23">
        <v>2793</v>
      </c>
      <c r="V23">
        <v>1676</v>
      </c>
      <c r="W23">
        <v>1117</v>
      </c>
      <c r="X23">
        <v>5586</v>
      </c>
      <c r="Y23">
        <v>2793</v>
      </c>
      <c r="Z23">
        <v>3218</v>
      </c>
      <c r="AA23">
        <v>1931</v>
      </c>
      <c r="AB23">
        <v>1287</v>
      </c>
    </row>
    <row r="24" spans="1:28" x14ac:dyDescent="0.35">
      <c r="A24" t="s">
        <v>69</v>
      </c>
      <c r="B24" t="s">
        <v>9</v>
      </c>
      <c r="C24" t="s">
        <v>1</v>
      </c>
      <c r="D24" t="s">
        <v>10</v>
      </c>
      <c r="E24" t="s">
        <v>11</v>
      </c>
      <c r="F24">
        <v>54663</v>
      </c>
      <c r="G24">
        <v>-21106</v>
      </c>
      <c r="H24">
        <v>13170</v>
      </c>
      <c r="I24">
        <v>54663</v>
      </c>
      <c r="J24">
        <v>5466</v>
      </c>
      <c r="K24">
        <v>2733</v>
      </c>
      <c r="L24">
        <v>25086</v>
      </c>
      <c r="M24">
        <v>5017</v>
      </c>
      <c r="N24">
        <v>7525</v>
      </c>
      <c r="O24">
        <v>2508</v>
      </c>
      <c r="P24">
        <v>-10034</v>
      </c>
      <c r="Q24">
        <v>-6271</v>
      </c>
      <c r="R24">
        <v>20725</v>
      </c>
      <c r="S24">
        <v>6217</v>
      </c>
      <c r="T24">
        <v>2072</v>
      </c>
      <c r="U24">
        <v>1254</v>
      </c>
      <c r="V24">
        <v>752</v>
      </c>
      <c r="W24">
        <v>501</v>
      </c>
      <c r="X24">
        <v>2508</v>
      </c>
      <c r="Y24">
        <v>1254</v>
      </c>
      <c r="Z24">
        <v>1036</v>
      </c>
      <c r="AA24">
        <v>621</v>
      </c>
      <c r="AB24">
        <v>414</v>
      </c>
    </row>
    <row r="25" spans="1:28" x14ac:dyDescent="0.35">
      <c r="A25" t="s">
        <v>70</v>
      </c>
      <c r="B25" t="s">
        <v>9</v>
      </c>
      <c r="C25" t="s">
        <v>1</v>
      </c>
      <c r="D25" t="s">
        <v>10</v>
      </c>
      <c r="E25" t="s">
        <v>11</v>
      </c>
      <c r="F25">
        <v>298571</v>
      </c>
      <c r="G25">
        <v>-63667</v>
      </c>
      <c r="H25">
        <v>141604</v>
      </c>
      <c r="I25">
        <v>298571</v>
      </c>
      <c r="J25">
        <v>29857</v>
      </c>
      <c r="K25">
        <v>14928</v>
      </c>
      <c r="L25">
        <v>135937</v>
      </c>
      <c r="M25">
        <v>27187</v>
      </c>
      <c r="N25">
        <v>40781</v>
      </c>
      <c r="O25">
        <v>13593</v>
      </c>
      <c r="P25">
        <v>-54374</v>
      </c>
      <c r="Q25">
        <v>-33984</v>
      </c>
      <c r="R25">
        <v>114278</v>
      </c>
      <c r="S25">
        <v>34283</v>
      </c>
      <c r="T25">
        <v>11427</v>
      </c>
      <c r="U25">
        <v>6796</v>
      </c>
      <c r="V25">
        <v>4078</v>
      </c>
      <c r="W25">
        <v>2718</v>
      </c>
      <c r="X25">
        <v>13593</v>
      </c>
      <c r="Y25">
        <v>6796</v>
      </c>
      <c r="Z25">
        <v>5713</v>
      </c>
      <c r="AA25">
        <v>3428</v>
      </c>
      <c r="AB25">
        <v>2285</v>
      </c>
    </row>
    <row r="26" spans="1:28" x14ac:dyDescent="0.35">
      <c r="A26" t="s">
        <v>71</v>
      </c>
      <c r="B26" t="s">
        <v>9</v>
      </c>
      <c r="C26" t="s">
        <v>1</v>
      </c>
      <c r="D26" t="s">
        <v>10</v>
      </c>
      <c r="E26" t="s">
        <v>11</v>
      </c>
      <c r="F26">
        <v>125631</v>
      </c>
      <c r="G26">
        <v>-64826</v>
      </c>
      <c r="H26">
        <v>31424</v>
      </c>
      <c r="I26">
        <v>125631</v>
      </c>
      <c r="J26">
        <v>12563</v>
      </c>
      <c r="K26">
        <v>6281</v>
      </c>
      <c r="L26">
        <v>42302</v>
      </c>
      <c r="M26">
        <v>8460</v>
      </c>
      <c r="N26">
        <v>12690</v>
      </c>
      <c r="O26">
        <v>4230</v>
      </c>
      <c r="P26">
        <v>-16920</v>
      </c>
      <c r="Q26">
        <v>-10575</v>
      </c>
      <c r="R26">
        <v>46153</v>
      </c>
      <c r="S26">
        <v>13845</v>
      </c>
      <c r="T26">
        <v>4615</v>
      </c>
      <c r="U26">
        <v>2115</v>
      </c>
      <c r="V26">
        <v>1269</v>
      </c>
      <c r="W26">
        <v>846</v>
      </c>
      <c r="X26">
        <v>4230</v>
      </c>
      <c r="Y26">
        <v>2115</v>
      </c>
      <c r="Z26">
        <v>2307</v>
      </c>
      <c r="AA26">
        <v>1384</v>
      </c>
      <c r="AB26">
        <v>923</v>
      </c>
    </row>
    <row r="27" spans="1:28" x14ac:dyDescent="0.35">
      <c r="A27" t="s">
        <v>72</v>
      </c>
      <c r="B27" t="s">
        <v>9</v>
      </c>
      <c r="C27" t="s">
        <v>1</v>
      </c>
      <c r="D27" t="s">
        <v>10</v>
      </c>
      <c r="E27" t="s">
        <v>11</v>
      </c>
      <c r="F27">
        <v>403707</v>
      </c>
      <c r="G27">
        <v>-153835</v>
      </c>
      <c r="H27">
        <v>138349</v>
      </c>
      <c r="I27">
        <v>403707</v>
      </c>
      <c r="J27">
        <v>40370</v>
      </c>
      <c r="K27">
        <v>20185</v>
      </c>
      <c r="L27">
        <v>198020</v>
      </c>
      <c r="M27">
        <v>39604</v>
      </c>
      <c r="N27">
        <v>59406</v>
      </c>
      <c r="O27">
        <v>19802</v>
      </c>
      <c r="P27">
        <v>-79208</v>
      </c>
      <c r="Q27">
        <v>-49505</v>
      </c>
      <c r="R27">
        <v>198680</v>
      </c>
      <c r="S27">
        <v>59604</v>
      </c>
      <c r="T27">
        <v>19868</v>
      </c>
      <c r="U27">
        <v>9901</v>
      </c>
      <c r="V27">
        <v>5940</v>
      </c>
      <c r="W27">
        <v>3960</v>
      </c>
      <c r="X27">
        <v>19802</v>
      </c>
      <c r="Y27">
        <v>9901</v>
      </c>
      <c r="Z27">
        <v>9934</v>
      </c>
      <c r="AA27">
        <v>5960</v>
      </c>
      <c r="AB27">
        <v>3973</v>
      </c>
    </row>
    <row r="28" spans="1:28" x14ac:dyDescent="0.35">
      <c r="A28" t="s">
        <v>73</v>
      </c>
      <c r="B28" t="s">
        <v>9</v>
      </c>
      <c r="C28" t="s">
        <v>1</v>
      </c>
      <c r="D28" t="s">
        <v>10</v>
      </c>
      <c r="E28" t="s">
        <v>11</v>
      </c>
      <c r="F28">
        <v>443205</v>
      </c>
      <c r="G28">
        <v>-168464</v>
      </c>
      <c r="H28">
        <v>217757</v>
      </c>
      <c r="I28">
        <v>443205</v>
      </c>
      <c r="J28">
        <v>44320</v>
      </c>
      <c r="K28">
        <v>22160</v>
      </c>
      <c r="L28">
        <v>310992</v>
      </c>
      <c r="M28">
        <v>62198</v>
      </c>
      <c r="N28">
        <v>93297</v>
      </c>
      <c r="O28">
        <v>31099</v>
      </c>
      <c r="P28">
        <v>-124396</v>
      </c>
      <c r="Q28">
        <v>-77748</v>
      </c>
      <c r="R28">
        <v>267984</v>
      </c>
      <c r="S28">
        <v>80395</v>
      </c>
      <c r="T28">
        <v>26798</v>
      </c>
      <c r="U28">
        <v>15549</v>
      </c>
      <c r="V28">
        <v>9329</v>
      </c>
      <c r="W28">
        <v>6219</v>
      </c>
      <c r="X28">
        <v>31099</v>
      </c>
      <c r="Y28">
        <v>15549</v>
      </c>
      <c r="Z28">
        <v>13399</v>
      </c>
      <c r="AA28">
        <v>8039</v>
      </c>
      <c r="AB28">
        <v>5359</v>
      </c>
    </row>
    <row r="29" spans="1:28" x14ac:dyDescent="0.35">
      <c r="A29" t="s">
        <v>74</v>
      </c>
      <c r="B29" t="s">
        <v>9</v>
      </c>
      <c r="C29" t="s">
        <v>1</v>
      </c>
      <c r="D29" t="s">
        <v>10</v>
      </c>
      <c r="E29" t="s">
        <v>11</v>
      </c>
      <c r="F29">
        <v>125204</v>
      </c>
      <c r="G29">
        <v>-32623</v>
      </c>
      <c r="H29">
        <v>32593</v>
      </c>
      <c r="I29">
        <v>125204</v>
      </c>
      <c r="J29">
        <v>12520</v>
      </c>
      <c r="K29">
        <v>6260</v>
      </c>
      <c r="L29">
        <v>58564</v>
      </c>
      <c r="M29">
        <v>11712</v>
      </c>
      <c r="N29">
        <v>17569</v>
      </c>
      <c r="O29">
        <v>5856</v>
      </c>
      <c r="P29">
        <v>-23425</v>
      </c>
      <c r="Q29">
        <v>-14641</v>
      </c>
      <c r="R29">
        <v>69084</v>
      </c>
      <c r="S29">
        <v>20725</v>
      </c>
      <c r="T29">
        <v>6908</v>
      </c>
      <c r="U29">
        <v>2928</v>
      </c>
      <c r="V29">
        <v>1756</v>
      </c>
      <c r="W29">
        <v>1171</v>
      </c>
      <c r="X29">
        <v>5856</v>
      </c>
      <c r="Y29">
        <v>2928</v>
      </c>
      <c r="Z29">
        <v>3454</v>
      </c>
      <c r="AA29">
        <v>2072</v>
      </c>
      <c r="AB29">
        <v>1381</v>
      </c>
    </row>
    <row r="30" spans="1:28" x14ac:dyDescent="0.35">
      <c r="A30" t="s">
        <v>75</v>
      </c>
      <c r="B30" t="s">
        <v>9</v>
      </c>
      <c r="C30" t="s">
        <v>1</v>
      </c>
      <c r="D30" t="s">
        <v>10</v>
      </c>
      <c r="E30" t="s">
        <v>11</v>
      </c>
      <c r="F30">
        <v>377731</v>
      </c>
      <c r="G30">
        <v>-150006</v>
      </c>
      <c r="H30">
        <v>157523</v>
      </c>
      <c r="I30">
        <v>377731</v>
      </c>
      <c r="J30">
        <v>37773</v>
      </c>
      <c r="K30">
        <v>18886</v>
      </c>
      <c r="L30">
        <v>187695</v>
      </c>
      <c r="M30">
        <v>37539</v>
      </c>
      <c r="N30">
        <v>56308</v>
      </c>
      <c r="O30">
        <v>18769</v>
      </c>
      <c r="P30">
        <v>-75078</v>
      </c>
      <c r="Q30">
        <v>-46923</v>
      </c>
      <c r="R30">
        <v>208254</v>
      </c>
      <c r="S30">
        <v>62476</v>
      </c>
      <c r="T30">
        <v>20825</v>
      </c>
      <c r="U30">
        <v>9384</v>
      </c>
      <c r="V30">
        <v>5630</v>
      </c>
      <c r="W30">
        <v>3753</v>
      </c>
      <c r="X30">
        <v>18769</v>
      </c>
      <c r="Y30">
        <v>9384</v>
      </c>
      <c r="Z30">
        <v>10412</v>
      </c>
      <c r="AA30">
        <v>6247</v>
      </c>
      <c r="AB30">
        <v>4165</v>
      </c>
    </row>
    <row r="31" spans="1:28" x14ac:dyDescent="0.35">
      <c r="A31" t="s">
        <v>76</v>
      </c>
      <c r="B31" t="s">
        <v>9</v>
      </c>
      <c r="C31" t="s">
        <v>1</v>
      </c>
      <c r="D31" t="s">
        <v>10</v>
      </c>
      <c r="E31" t="s">
        <v>11</v>
      </c>
      <c r="F31">
        <v>296113</v>
      </c>
      <c r="G31">
        <v>-68615</v>
      </c>
      <c r="H31">
        <v>129659</v>
      </c>
      <c r="I31">
        <v>296113</v>
      </c>
      <c r="J31">
        <v>29611</v>
      </c>
      <c r="K31">
        <v>14805</v>
      </c>
      <c r="L31">
        <v>109307</v>
      </c>
      <c r="M31">
        <v>21861</v>
      </c>
      <c r="N31">
        <v>32792</v>
      </c>
      <c r="O31">
        <v>10930</v>
      </c>
      <c r="P31">
        <v>-43722</v>
      </c>
      <c r="Q31">
        <v>-27326</v>
      </c>
      <c r="R31">
        <v>111125</v>
      </c>
      <c r="S31">
        <v>33337</v>
      </c>
      <c r="T31">
        <v>11112</v>
      </c>
      <c r="U31">
        <v>5465</v>
      </c>
      <c r="V31">
        <v>3279</v>
      </c>
      <c r="W31">
        <v>2186</v>
      </c>
      <c r="X31">
        <v>10930</v>
      </c>
      <c r="Y31">
        <v>5465</v>
      </c>
      <c r="Z31">
        <v>5556</v>
      </c>
      <c r="AA31">
        <v>3333</v>
      </c>
      <c r="AB31">
        <v>2222</v>
      </c>
    </row>
    <row r="32" spans="1:28" x14ac:dyDescent="0.35">
      <c r="A32" t="s">
        <v>77</v>
      </c>
      <c r="B32" t="s">
        <v>9</v>
      </c>
      <c r="C32" t="s">
        <v>1</v>
      </c>
      <c r="D32" t="s">
        <v>10</v>
      </c>
      <c r="E32" t="s">
        <v>11</v>
      </c>
      <c r="F32">
        <v>170688</v>
      </c>
      <c r="G32">
        <v>-60994</v>
      </c>
      <c r="H32">
        <v>41126</v>
      </c>
      <c r="I32">
        <v>170688</v>
      </c>
      <c r="J32">
        <v>17068</v>
      </c>
      <c r="K32">
        <v>8534</v>
      </c>
      <c r="L32">
        <v>99376</v>
      </c>
      <c r="M32">
        <v>19875</v>
      </c>
      <c r="N32">
        <v>29812</v>
      </c>
      <c r="O32">
        <v>9937</v>
      </c>
      <c r="P32">
        <v>-39750</v>
      </c>
      <c r="Q32">
        <v>-24844</v>
      </c>
      <c r="R32">
        <v>84022</v>
      </c>
      <c r="S32">
        <v>25206</v>
      </c>
      <c r="T32">
        <v>8402</v>
      </c>
      <c r="U32">
        <v>4968</v>
      </c>
      <c r="V32">
        <v>2981</v>
      </c>
      <c r="W32">
        <v>1987</v>
      </c>
      <c r="X32">
        <v>9937</v>
      </c>
      <c r="Y32">
        <v>4968</v>
      </c>
      <c r="Z32">
        <v>4201</v>
      </c>
      <c r="AA32">
        <v>2520</v>
      </c>
      <c r="AB32">
        <v>1680</v>
      </c>
    </row>
    <row r="33" spans="1:28" x14ac:dyDescent="0.35">
      <c r="A33" t="s">
        <v>78</v>
      </c>
      <c r="B33" t="s">
        <v>9</v>
      </c>
      <c r="C33" t="s">
        <v>1</v>
      </c>
      <c r="D33" t="s">
        <v>10</v>
      </c>
      <c r="E33" t="s">
        <v>11</v>
      </c>
      <c r="F33">
        <v>188909</v>
      </c>
      <c r="G33">
        <v>-65967</v>
      </c>
      <c r="H33">
        <v>20385</v>
      </c>
      <c r="I33">
        <v>188909</v>
      </c>
      <c r="J33">
        <v>18890</v>
      </c>
      <c r="K33">
        <v>9445</v>
      </c>
      <c r="L33">
        <v>89601</v>
      </c>
      <c r="M33">
        <v>17920</v>
      </c>
      <c r="N33">
        <v>26880</v>
      </c>
      <c r="O33">
        <v>8960</v>
      </c>
      <c r="P33">
        <v>-35840</v>
      </c>
      <c r="Q33">
        <v>-22400</v>
      </c>
      <c r="R33">
        <v>102149</v>
      </c>
      <c r="S33">
        <v>30644</v>
      </c>
      <c r="T33">
        <v>10214</v>
      </c>
      <c r="U33">
        <v>4480</v>
      </c>
      <c r="V33">
        <v>2688</v>
      </c>
      <c r="W33">
        <v>1792</v>
      </c>
      <c r="X33">
        <v>8960</v>
      </c>
      <c r="Y33">
        <v>4480</v>
      </c>
      <c r="Z33">
        <v>5107</v>
      </c>
      <c r="AA33">
        <v>3064</v>
      </c>
      <c r="AB33">
        <v>2042</v>
      </c>
    </row>
    <row r="34" spans="1:28" x14ac:dyDescent="0.35">
      <c r="A34" t="s">
        <v>79</v>
      </c>
      <c r="B34" t="s">
        <v>9</v>
      </c>
      <c r="C34" t="s">
        <v>1</v>
      </c>
      <c r="D34" t="s">
        <v>10</v>
      </c>
      <c r="E34" t="s">
        <v>11</v>
      </c>
      <c r="F34">
        <v>176153</v>
      </c>
      <c r="G34">
        <v>-71485</v>
      </c>
      <c r="H34">
        <v>30780</v>
      </c>
      <c r="I34">
        <v>176153</v>
      </c>
      <c r="J34">
        <v>17615</v>
      </c>
      <c r="K34">
        <v>8807</v>
      </c>
      <c r="L34">
        <v>42924</v>
      </c>
      <c r="M34">
        <v>8584</v>
      </c>
      <c r="N34">
        <v>12877</v>
      </c>
      <c r="O34">
        <v>4292</v>
      </c>
      <c r="P34">
        <v>-17169</v>
      </c>
      <c r="Q34">
        <v>-10731</v>
      </c>
      <c r="R34">
        <v>50934</v>
      </c>
      <c r="S34">
        <v>15280</v>
      </c>
      <c r="T34">
        <v>5093</v>
      </c>
      <c r="U34">
        <v>2146</v>
      </c>
      <c r="V34">
        <v>1287</v>
      </c>
      <c r="W34">
        <v>858</v>
      </c>
      <c r="X34">
        <v>4292</v>
      </c>
      <c r="Y34">
        <v>2146</v>
      </c>
      <c r="Z34">
        <v>2546</v>
      </c>
      <c r="AA34">
        <v>1528</v>
      </c>
      <c r="AB34">
        <v>1018</v>
      </c>
    </row>
    <row r="35" spans="1:28" x14ac:dyDescent="0.35">
      <c r="A35" t="s">
        <v>80</v>
      </c>
      <c r="B35" t="s">
        <v>9</v>
      </c>
      <c r="C35" t="s">
        <v>1</v>
      </c>
      <c r="D35" t="s">
        <v>10</v>
      </c>
      <c r="E35" t="s">
        <v>11</v>
      </c>
      <c r="F35">
        <v>187985</v>
      </c>
      <c r="G35">
        <v>-110273</v>
      </c>
      <c r="H35">
        <v>46751</v>
      </c>
      <c r="I35">
        <v>187985</v>
      </c>
      <c r="J35">
        <v>18798</v>
      </c>
      <c r="K35">
        <v>9399</v>
      </c>
      <c r="L35">
        <v>88166</v>
      </c>
      <c r="M35">
        <v>17633</v>
      </c>
      <c r="N35">
        <v>26449</v>
      </c>
      <c r="O35">
        <v>8816</v>
      </c>
      <c r="P35">
        <v>-35266</v>
      </c>
      <c r="Q35">
        <v>-22041</v>
      </c>
      <c r="R35">
        <v>92668</v>
      </c>
      <c r="S35">
        <v>27800</v>
      </c>
      <c r="T35">
        <v>9266</v>
      </c>
      <c r="U35">
        <v>4408</v>
      </c>
      <c r="V35">
        <v>2644</v>
      </c>
      <c r="W35">
        <v>1763</v>
      </c>
      <c r="X35">
        <v>8816</v>
      </c>
      <c r="Y35">
        <v>4408</v>
      </c>
      <c r="Z35">
        <v>4633</v>
      </c>
      <c r="AA35">
        <v>2780</v>
      </c>
      <c r="AB35">
        <v>1853</v>
      </c>
    </row>
    <row r="36" spans="1:28" x14ac:dyDescent="0.35">
      <c r="A36" t="s">
        <v>81</v>
      </c>
      <c r="B36" t="s">
        <v>9</v>
      </c>
      <c r="C36" t="s">
        <v>1</v>
      </c>
      <c r="D36" t="s">
        <v>10</v>
      </c>
      <c r="E36" t="s">
        <v>11</v>
      </c>
      <c r="F36">
        <v>476001</v>
      </c>
      <c r="G36">
        <v>-142160</v>
      </c>
      <c r="H36">
        <v>229682</v>
      </c>
      <c r="I36">
        <v>476001</v>
      </c>
      <c r="J36">
        <v>47600</v>
      </c>
      <c r="K36">
        <v>23800</v>
      </c>
      <c r="L36">
        <v>169932</v>
      </c>
      <c r="M36">
        <v>33986</v>
      </c>
      <c r="N36">
        <v>50979</v>
      </c>
      <c r="O36">
        <v>16993</v>
      </c>
      <c r="P36">
        <v>-67972</v>
      </c>
      <c r="Q36">
        <v>-42483</v>
      </c>
      <c r="R36">
        <v>186184</v>
      </c>
      <c r="S36">
        <v>55855</v>
      </c>
      <c r="T36">
        <v>18618</v>
      </c>
      <c r="U36">
        <v>8496</v>
      </c>
      <c r="V36">
        <v>5097</v>
      </c>
      <c r="W36">
        <v>3398</v>
      </c>
      <c r="X36">
        <v>16993</v>
      </c>
      <c r="Y36">
        <v>8496</v>
      </c>
      <c r="Z36">
        <v>9309</v>
      </c>
      <c r="AA36">
        <v>5585</v>
      </c>
      <c r="AB36">
        <v>3723</v>
      </c>
    </row>
    <row r="37" spans="1:28" x14ac:dyDescent="0.35">
      <c r="A37" t="s">
        <v>82</v>
      </c>
      <c r="B37" t="s">
        <v>9</v>
      </c>
      <c r="C37" t="s">
        <v>1</v>
      </c>
      <c r="D37" t="s">
        <v>10</v>
      </c>
      <c r="E37" t="s">
        <v>11</v>
      </c>
      <c r="F37">
        <v>165841</v>
      </c>
      <c r="G37">
        <v>-97583</v>
      </c>
      <c r="H37">
        <v>31219</v>
      </c>
      <c r="I37">
        <v>165841</v>
      </c>
      <c r="J37">
        <v>16584</v>
      </c>
      <c r="K37">
        <v>8292</v>
      </c>
      <c r="L37">
        <v>81602</v>
      </c>
      <c r="M37">
        <v>16320</v>
      </c>
      <c r="N37">
        <v>24480</v>
      </c>
      <c r="O37">
        <v>8160</v>
      </c>
      <c r="P37">
        <v>-32640</v>
      </c>
      <c r="Q37">
        <v>-20400</v>
      </c>
      <c r="R37">
        <v>72028</v>
      </c>
      <c r="S37">
        <v>21608</v>
      </c>
      <c r="T37">
        <v>7202</v>
      </c>
      <c r="U37">
        <v>4080</v>
      </c>
      <c r="V37">
        <v>2448</v>
      </c>
      <c r="W37">
        <v>1632</v>
      </c>
      <c r="X37">
        <v>8160</v>
      </c>
      <c r="Y37">
        <v>4080</v>
      </c>
      <c r="Z37">
        <v>3601</v>
      </c>
      <c r="AA37">
        <v>2160</v>
      </c>
      <c r="AB37">
        <v>1440</v>
      </c>
    </row>
    <row r="38" spans="1:28" x14ac:dyDescent="0.35">
      <c r="A38" t="s">
        <v>83</v>
      </c>
      <c r="B38" t="s">
        <v>9</v>
      </c>
      <c r="C38" t="s">
        <v>1</v>
      </c>
      <c r="D38" t="s">
        <v>10</v>
      </c>
      <c r="E38" t="s">
        <v>11</v>
      </c>
      <c r="F38">
        <v>376936</v>
      </c>
      <c r="G38">
        <v>-97418</v>
      </c>
      <c r="H38">
        <v>130455</v>
      </c>
      <c r="I38">
        <v>376936</v>
      </c>
      <c r="J38">
        <v>37693</v>
      </c>
      <c r="K38">
        <v>18846</v>
      </c>
      <c r="L38">
        <v>105838</v>
      </c>
      <c r="M38">
        <v>21167</v>
      </c>
      <c r="N38">
        <v>31751</v>
      </c>
      <c r="O38">
        <v>10583</v>
      </c>
      <c r="P38">
        <v>-42335</v>
      </c>
      <c r="Q38">
        <v>-26459</v>
      </c>
      <c r="R38">
        <v>117150</v>
      </c>
      <c r="S38">
        <v>35145</v>
      </c>
      <c r="T38">
        <v>11715</v>
      </c>
      <c r="U38">
        <v>5291</v>
      </c>
      <c r="V38">
        <v>3175</v>
      </c>
      <c r="W38">
        <v>2116</v>
      </c>
      <c r="X38">
        <v>10583</v>
      </c>
      <c r="Y38">
        <v>5291</v>
      </c>
      <c r="Z38">
        <v>5857</v>
      </c>
      <c r="AA38">
        <v>3514</v>
      </c>
      <c r="AB38">
        <v>2343</v>
      </c>
    </row>
    <row r="39" spans="1:28" x14ac:dyDescent="0.35">
      <c r="A39" t="s">
        <v>84</v>
      </c>
      <c r="B39" t="s">
        <v>9</v>
      </c>
      <c r="C39" t="s">
        <v>1</v>
      </c>
      <c r="D39" t="s">
        <v>10</v>
      </c>
      <c r="E39" t="s">
        <v>11</v>
      </c>
      <c r="F39">
        <v>327621</v>
      </c>
      <c r="G39">
        <v>-67957</v>
      </c>
      <c r="H39">
        <v>33303</v>
      </c>
      <c r="I39">
        <v>327621</v>
      </c>
      <c r="J39">
        <v>32762</v>
      </c>
      <c r="K39">
        <v>16381</v>
      </c>
      <c r="L39">
        <v>225350</v>
      </c>
      <c r="M39">
        <v>45070</v>
      </c>
      <c r="N39">
        <v>67605</v>
      </c>
      <c r="O39">
        <v>22535</v>
      </c>
      <c r="P39">
        <v>-90140</v>
      </c>
      <c r="Q39">
        <v>-56337</v>
      </c>
      <c r="R39">
        <v>194805</v>
      </c>
      <c r="S39">
        <v>58441</v>
      </c>
      <c r="T39">
        <v>19480</v>
      </c>
      <c r="U39">
        <v>11267</v>
      </c>
      <c r="V39">
        <v>6760</v>
      </c>
      <c r="W39">
        <v>4507</v>
      </c>
      <c r="X39">
        <v>22535</v>
      </c>
      <c r="Y39">
        <v>11267</v>
      </c>
      <c r="Z39">
        <v>9740</v>
      </c>
      <c r="AA39">
        <v>5844</v>
      </c>
      <c r="AB39">
        <v>3896</v>
      </c>
    </row>
    <row r="40" spans="1:28" x14ac:dyDescent="0.35">
      <c r="A40" t="s">
        <v>85</v>
      </c>
      <c r="B40" t="s">
        <v>9</v>
      </c>
      <c r="C40" t="s">
        <v>1</v>
      </c>
      <c r="D40" t="s">
        <v>10</v>
      </c>
      <c r="E40" t="s">
        <v>11</v>
      </c>
      <c r="F40">
        <v>63230</v>
      </c>
      <c r="G40">
        <v>-17001</v>
      </c>
      <c r="H40">
        <v>30943</v>
      </c>
      <c r="I40">
        <v>63230</v>
      </c>
      <c r="J40">
        <v>6323</v>
      </c>
      <c r="K40">
        <v>3161</v>
      </c>
      <c r="L40">
        <v>18448</v>
      </c>
      <c r="M40">
        <v>3689</v>
      </c>
      <c r="N40">
        <v>5534</v>
      </c>
      <c r="O40">
        <v>1844</v>
      </c>
      <c r="P40">
        <v>-7379</v>
      </c>
      <c r="Q40">
        <v>-4612</v>
      </c>
      <c r="R40">
        <v>16707</v>
      </c>
      <c r="S40">
        <v>5012</v>
      </c>
      <c r="T40">
        <v>1670</v>
      </c>
      <c r="U40">
        <v>922</v>
      </c>
      <c r="V40">
        <v>553</v>
      </c>
      <c r="W40">
        <v>368</v>
      </c>
      <c r="X40">
        <v>1844</v>
      </c>
      <c r="Y40">
        <v>922</v>
      </c>
      <c r="Z40">
        <v>835</v>
      </c>
      <c r="AA40">
        <v>501</v>
      </c>
      <c r="AB40">
        <v>334</v>
      </c>
    </row>
    <row r="41" spans="1:28" x14ac:dyDescent="0.35">
      <c r="A41" t="s">
        <v>86</v>
      </c>
      <c r="B41" t="s">
        <v>9</v>
      </c>
      <c r="C41" t="s">
        <v>1</v>
      </c>
      <c r="D41" t="s">
        <v>10</v>
      </c>
      <c r="E41" t="s">
        <v>11</v>
      </c>
      <c r="F41">
        <v>492551</v>
      </c>
      <c r="G41">
        <v>-252143</v>
      </c>
      <c r="H41">
        <v>193136</v>
      </c>
      <c r="I41">
        <v>492551</v>
      </c>
      <c r="J41">
        <v>49255</v>
      </c>
      <c r="K41">
        <v>24627</v>
      </c>
      <c r="L41">
        <v>323205</v>
      </c>
      <c r="M41">
        <v>64641</v>
      </c>
      <c r="N41">
        <v>96961</v>
      </c>
      <c r="O41">
        <v>32320</v>
      </c>
      <c r="P41">
        <v>-129282</v>
      </c>
      <c r="Q41">
        <v>-80801</v>
      </c>
      <c r="R41">
        <v>362686</v>
      </c>
      <c r="S41">
        <v>108805</v>
      </c>
      <c r="T41">
        <v>36268</v>
      </c>
      <c r="U41">
        <v>16160</v>
      </c>
      <c r="V41">
        <v>9696</v>
      </c>
      <c r="W41">
        <v>6464</v>
      </c>
      <c r="X41">
        <v>32320</v>
      </c>
      <c r="Y41">
        <v>16160</v>
      </c>
      <c r="Z41">
        <v>18134</v>
      </c>
      <c r="AA41">
        <v>10880</v>
      </c>
      <c r="AB41">
        <v>7253</v>
      </c>
    </row>
    <row r="42" spans="1:28" x14ac:dyDescent="0.35">
      <c r="A42" t="s">
        <v>87</v>
      </c>
      <c r="B42" t="s">
        <v>9</v>
      </c>
      <c r="C42" t="s">
        <v>1</v>
      </c>
      <c r="D42" t="s">
        <v>10</v>
      </c>
      <c r="E42" t="s">
        <v>11</v>
      </c>
      <c r="F42">
        <v>290535</v>
      </c>
      <c r="G42">
        <v>-110457</v>
      </c>
      <c r="H42">
        <v>50980</v>
      </c>
      <c r="I42">
        <v>290535</v>
      </c>
      <c r="J42">
        <v>29053</v>
      </c>
      <c r="K42">
        <v>14526</v>
      </c>
      <c r="L42">
        <v>188249</v>
      </c>
      <c r="M42">
        <v>37649</v>
      </c>
      <c r="N42">
        <v>56474</v>
      </c>
      <c r="O42">
        <v>18824</v>
      </c>
      <c r="P42">
        <v>-75299</v>
      </c>
      <c r="Q42">
        <v>-47062</v>
      </c>
      <c r="R42">
        <v>220985</v>
      </c>
      <c r="S42">
        <v>66295</v>
      </c>
      <c r="T42">
        <v>22098</v>
      </c>
      <c r="U42">
        <v>9412</v>
      </c>
      <c r="V42">
        <v>5647</v>
      </c>
      <c r="W42">
        <v>3764</v>
      </c>
      <c r="X42">
        <v>18824</v>
      </c>
      <c r="Y42">
        <v>9412</v>
      </c>
      <c r="Z42">
        <v>11049</v>
      </c>
      <c r="AA42">
        <v>6629</v>
      </c>
      <c r="AB42">
        <v>4419</v>
      </c>
    </row>
    <row r="43" spans="1:28" x14ac:dyDescent="0.35">
      <c r="A43" t="s">
        <v>88</v>
      </c>
      <c r="B43" t="s">
        <v>9</v>
      </c>
      <c r="C43" t="s">
        <v>1</v>
      </c>
      <c r="D43" t="s">
        <v>10</v>
      </c>
      <c r="E43" t="s">
        <v>11</v>
      </c>
      <c r="F43">
        <v>213426</v>
      </c>
      <c r="G43">
        <v>-61143</v>
      </c>
      <c r="H43">
        <v>29673</v>
      </c>
      <c r="I43">
        <v>213426</v>
      </c>
      <c r="J43">
        <v>21342</v>
      </c>
      <c r="K43">
        <v>10671</v>
      </c>
      <c r="L43">
        <v>104531</v>
      </c>
      <c r="M43">
        <v>20906</v>
      </c>
      <c r="N43">
        <v>31359</v>
      </c>
      <c r="O43">
        <v>10453</v>
      </c>
      <c r="P43">
        <v>-41812</v>
      </c>
      <c r="Q43">
        <v>-26132</v>
      </c>
      <c r="R43">
        <v>110120</v>
      </c>
      <c r="S43">
        <v>33036</v>
      </c>
      <c r="T43">
        <v>11012</v>
      </c>
      <c r="U43">
        <v>5226</v>
      </c>
      <c r="V43">
        <v>3135</v>
      </c>
      <c r="W43">
        <v>2090</v>
      </c>
      <c r="X43">
        <v>10453</v>
      </c>
      <c r="Y43">
        <v>5226</v>
      </c>
      <c r="Z43">
        <v>5506</v>
      </c>
      <c r="AA43">
        <v>3303</v>
      </c>
      <c r="AB43">
        <v>2202</v>
      </c>
    </row>
    <row r="44" spans="1:28" x14ac:dyDescent="0.35">
      <c r="A44" t="s">
        <v>89</v>
      </c>
      <c r="B44" t="s">
        <v>9</v>
      </c>
      <c r="C44" t="s">
        <v>1</v>
      </c>
      <c r="D44" t="s">
        <v>10</v>
      </c>
      <c r="E44" t="s">
        <v>11</v>
      </c>
      <c r="F44">
        <v>455889</v>
      </c>
      <c r="G44">
        <v>-191668</v>
      </c>
      <c r="H44">
        <v>167247</v>
      </c>
      <c r="I44">
        <v>455889</v>
      </c>
      <c r="J44">
        <v>45588</v>
      </c>
      <c r="K44">
        <v>22794</v>
      </c>
      <c r="L44">
        <v>249952</v>
      </c>
      <c r="M44">
        <v>49990</v>
      </c>
      <c r="N44">
        <v>74985</v>
      </c>
      <c r="O44">
        <v>24995</v>
      </c>
      <c r="P44">
        <v>-99980</v>
      </c>
      <c r="Q44">
        <v>-62488</v>
      </c>
      <c r="R44">
        <v>283426</v>
      </c>
      <c r="S44">
        <v>85027</v>
      </c>
      <c r="T44">
        <v>28342</v>
      </c>
      <c r="U44">
        <v>12497</v>
      </c>
      <c r="V44">
        <v>7498</v>
      </c>
      <c r="W44">
        <v>4999</v>
      </c>
      <c r="X44">
        <v>24995</v>
      </c>
      <c r="Y44">
        <v>12497</v>
      </c>
      <c r="Z44">
        <v>14171</v>
      </c>
      <c r="AA44">
        <v>8502</v>
      </c>
      <c r="AB44">
        <v>5668</v>
      </c>
    </row>
    <row r="45" spans="1:28" x14ac:dyDescent="0.35">
      <c r="A45" t="s">
        <v>90</v>
      </c>
      <c r="B45" t="s">
        <v>9</v>
      </c>
      <c r="C45" t="s">
        <v>1</v>
      </c>
      <c r="D45" t="s">
        <v>10</v>
      </c>
      <c r="E45" t="s">
        <v>11</v>
      </c>
      <c r="F45">
        <v>170631</v>
      </c>
      <c r="G45">
        <v>-79986</v>
      </c>
      <c r="H45">
        <v>77691</v>
      </c>
      <c r="I45">
        <v>170631</v>
      </c>
      <c r="J45">
        <v>17063</v>
      </c>
      <c r="K45">
        <v>8531</v>
      </c>
      <c r="L45">
        <v>67545</v>
      </c>
      <c r="M45">
        <v>13509</v>
      </c>
      <c r="N45">
        <v>20263</v>
      </c>
      <c r="O45">
        <v>6754</v>
      </c>
      <c r="P45">
        <v>-27018</v>
      </c>
      <c r="Q45">
        <v>-16886</v>
      </c>
      <c r="R45">
        <v>77072</v>
      </c>
      <c r="S45">
        <v>23121</v>
      </c>
      <c r="T45">
        <v>7707</v>
      </c>
      <c r="U45">
        <v>3377</v>
      </c>
      <c r="V45">
        <v>2026</v>
      </c>
      <c r="W45">
        <v>1350</v>
      </c>
      <c r="X45">
        <v>6754</v>
      </c>
      <c r="Y45">
        <v>3377</v>
      </c>
      <c r="Z45">
        <v>3853</v>
      </c>
      <c r="AA45">
        <v>2312</v>
      </c>
      <c r="AB45">
        <v>1541</v>
      </c>
    </row>
    <row r="46" spans="1:28" x14ac:dyDescent="0.35">
      <c r="A46" t="s">
        <v>91</v>
      </c>
      <c r="B46" t="s">
        <v>9</v>
      </c>
      <c r="C46" t="s">
        <v>1</v>
      </c>
      <c r="D46" t="s">
        <v>10</v>
      </c>
      <c r="E46" t="s">
        <v>11</v>
      </c>
      <c r="F46">
        <v>425919</v>
      </c>
      <c r="G46">
        <v>-132454</v>
      </c>
      <c r="H46">
        <v>200947</v>
      </c>
      <c r="I46">
        <v>425919</v>
      </c>
      <c r="J46">
        <v>42591</v>
      </c>
      <c r="K46">
        <v>21295</v>
      </c>
      <c r="L46">
        <v>212047</v>
      </c>
      <c r="M46">
        <v>42409</v>
      </c>
      <c r="N46">
        <v>63614</v>
      </c>
      <c r="O46">
        <v>21204</v>
      </c>
      <c r="P46">
        <v>-84818</v>
      </c>
      <c r="Q46">
        <v>-53011</v>
      </c>
      <c r="R46">
        <v>173280</v>
      </c>
      <c r="S46">
        <v>51984</v>
      </c>
      <c r="T46">
        <v>17328</v>
      </c>
      <c r="U46">
        <v>10602</v>
      </c>
      <c r="V46">
        <v>6361</v>
      </c>
      <c r="W46">
        <v>4240</v>
      </c>
      <c r="X46">
        <v>21204</v>
      </c>
      <c r="Y46">
        <v>10602</v>
      </c>
      <c r="Z46">
        <v>8664</v>
      </c>
      <c r="AA46">
        <v>5198</v>
      </c>
      <c r="AB46">
        <v>3465</v>
      </c>
    </row>
    <row r="47" spans="1:28" x14ac:dyDescent="0.35">
      <c r="A47" t="s">
        <v>92</v>
      </c>
      <c r="B47" t="s">
        <v>9</v>
      </c>
      <c r="C47" t="s">
        <v>1</v>
      </c>
      <c r="D47" t="s">
        <v>10</v>
      </c>
      <c r="E47" t="s">
        <v>11</v>
      </c>
      <c r="F47">
        <v>422640</v>
      </c>
      <c r="G47">
        <v>-121744</v>
      </c>
      <c r="H47">
        <v>87433</v>
      </c>
      <c r="I47">
        <v>422640</v>
      </c>
      <c r="J47">
        <v>42264</v>
      </c>
      <c r="K47">
        <v>21132</v>
      </c>
      <c r="L47">
        <v>239863</v>
      </c>
      <c r="M47">
        <v>47972</v>
      </c>
      <c r="N47">
        <v>71958</v>
      </c>
      <c r="O47">
        <v>23986</v>
      </c>
      <c r="P47">
        <v>-95945</v>
      </c>
      <c r="Q47">
        <v>-59965</v>
      </c>
      <c r="R47">
        <v>275910</v>
      </c>
      <c r="S47">
        <v>82773</v>
      </c>
      <c r="T47">
        <v>27591</v>
      </c>
      <c r="U47">
        <v>11993</v>
      </c>
      <c r="V47">
        <v>7195</v>
      </c>
      <c r="W47">
        <v>4797</v>
      </c>
      <c r="X47">
        <v>23986</v>
      </c>
      <c r="Y47">
        <v>11993</v>
      </c>
      <c r="Z47">
        <v>13795</v>
      </c>
      <c r="AA47">
        <v>8277</v>
      </c>
      <c r="AB47">
        <v>5518</v>
      </c>
    </row>
    <row r="48" spans="1:28" x14ac:dyDescent="0.35">
      <c r="A48" t="s">
        <v>93</v>
      </c>
      <c r="B48" t="s">
        <v>9</v>
      </c>
      <c r="C48" t="s">
        <v>1</v>
      </c>
      <c r="D48" t="s">
        <v>10</v>
      </c>
      <c r="E48" t="s">
        <v>11</v>
      </c>
      <c r="F48">
        <v>67185</v>
      </c>
      <c r="G48">
        <v>-16656</v>
      </c>
      <c r="H48">
        <v>28058</v>
      </c>
      <c r="I48">
        <v>67185</v>
      </c>
      <c r="J48">
        <v>6718</v>
      </c>
      <c r="K48">
        <v>3359</v>
      </c>
      <c r="L48">
        <v>23105</v>
      </c>
      <c r="M48">
        <v>4621</v>
      </c>
      <c r="N48">
        <v>6931</v>
      </c>
      <c r="O48">
        <v>2310</v>
      </c>
      <c r="P48">
        <v>-9242</v>
      </c>
      <c r="Q48">
        <v>-5776</v>
      </c>
      <c r="R48">
        <v>18953</v>
      </c>
      <c r="S48">
        <v>5685</v>
      </c>
      <c r="T48">
        <v>1895</v>
      </c>
      <c r="U48">
        <v>1155</v>
      </c>
      <c r="V48">
        <v>693</v>
      </c>
      <c r="W48">
        <v>462</v>
      </c>
      <c r="X48">
        <v>2310</v>
      </c>
      <c r="Y48">
        <v>1155</v>
      </c>
      <c r="Z48">
        <v>947</v>
      </c>
      <c r="AA48">
        <v>568</v>
      </c>
      <c r="AB48">
        <v>379</v>
      </c>
    </row>
    <row r="49" spans="1:28" x14ac:dyDescent="0.35">
      <c r="A49" t="s">
        <v>94</v>
      </c>
      <c r="B49" t="s">
        <v>9</v>
      </c>
      <c r="C49" t="s">
        <v>1</v>
      </c>
      <c r="D49" t="s">
        <v>10</v>
      </c>
      <c r="E49" t="s">
        <v>11</v>
      </c>
      <c r="F49">
        <v>391973</v>
      </c>
      <c r="G49">
        <v>-201780</v>
      </c>
      <c r="H49">
        <v>162045</v>
      </c>
      <c r="I49">
        <v>391973</v>
      </c>
      <c r="J49">
        <v>39197</v>
      </c>
      <c r="K49">
        <v>19598</v>
      </c>
      <c r="L49">
        <v>233468</v>
      </c>
      <c r="M49">
        <v>46693</v>
      </c>
      <c r="N49">
        <v>70040</v>
      </c>
      <c r="O49">
        <v>23346</v>
      </c>
      <c r="P49">
        <v>-93387</v>
      </c>
      <c r="Q49">
        <v>-58367</v>
      </c>
      <c r="R49">
        <v>265252</v>
      </c>
      <c r="S49">
        <v>79575</v>
      </c>
      <c r="T49">
        <v>26525</v>
      </c>
      <c r="U49">
        <v>11673</v>
      </c>
      <c r="V49">
        <v>7004</v>
      </c>
      <c r="W49">
        <v>4669</v>
      </c>
      <c r="X49">
        <v>23346</v>
      </c>
      <c r="Y49">
        <v>11673</v>
      </c>
      <c r="Z49">
        <v>13262</v>
      </c>
      <c r="AA49">
        <v>7957</v>
      </c>
      <c r="AB49">
        <v>5305</v>
      </c>
    </row>
    <row r="50" spans="1:28" x14ac:dyDescent="0.35">
      <c r="A50" t="s">
        <v>95</v>
      </c>
      <c r="B50" t="s">
        <v>9</v>
      </c>
      <c r="C50" t="s">
        <v>1</v>
      </c>
      <c r="D50" t="s">
        <v>10</v>
      </c>
      <c r="E50" t="s">
        <v>11</v>
      </c>
      <c r="F50">
        <v>246374</v>
      </c>
      <c r="G50">
        <v>-145946</v>
      </c>
      <c r="H50">
        <v>112018</v>
      </c>
      <c r="I50">
        <v>246374</v>
      </c>
      <c r="J50">
        <v>24637</v>
      </c>
      <c r="K50">
        <v>12318</v>
      </c>
      <c r="L50">
        <v>103282</v>
      </c>
      <c r="M50">
        <v>20656</v>
      </c>
      <c r="N50">
        <v>30984</v>
      </c>
      <c r="O50">
        <v>10328</v>
      </c>
      <c r="P50">
        <v>-41312</v>
      </c>
      <c r="Q50">
        <v>-25820</v>
      </c>
      <c r="R50">
        <v>119612</v>
      </c>
      <c r="S50">
        <v>35883</v>
      </c>
      <c r="T50">
        <v>11961</v>
      </c>
      <c r="U50">
        <v>5164</v>
      </c>
      <c r="V50">
        <v>3098</v>
      </c>
      <c r="W50">
        <v>2065</v>
      </c>
      <c r="X50">
        <v>10328</v>
      </c>
      <c r="Y50">
        <v>5164</v>
      </c>
      <c r="Z50">
        <v>5980</v>
      </c>
      <c r="AA50">
        <v>3588</v>
      </c>
      <c r="AB50">
        <v>2392</v>
      </c>
    </row>
    <row r="51" spans="1:28" x14ac:dyDescent="0.35">
      <c r="A51" t="s">
        <v>96</v>
      </c>
      <c r="B51" t="s">
        <v>9</v>
      </c>
      <c r="C51" t="s">
        <v>1</v>
      </c>
      <c r="D51" t="s">
        <v>10</v>
      </c>
      <c r="E51" t="s">
        <v>11</v>
      </c>
      <c r="F51">
        <v>464224</v>
      </c>
      <c r="G51">
        <v>-137495</v>
      </c>
      <c r="H51">
        <v>208311</v>
      </c>
      <c r="I51">
        <v>464224</v>
      </c>
      <c r="J51">
        <v>46422</v>
      </c>
      <c r="K51">
        <v>23211</v>
      </c>
      <c r="L51">
        <v>160630</v>
      </c>
      <c r="M51">
        <v>32126</v>
      </c>
      <c r="N51">
        <v>48189</v>
      </c>
      <c r="O51">
        <v>16063</v>
      </c>
      <c r="P51">
        <v>-64252</v>
      </c>
      <c r="Q51">
        <v>-40157</v>
      </c>
      <c r="R51">
        <v>139035</v>
      </c>
      <c r="S51">
        <v>41710</v>
      </c>
      <c r="T51">
        <v>13903</v>
      </c>
      <c r="U51">
        <v>8031</v>
      </c>
      <c r="V51">
        <v>4818</v>
      </c>
      <c r="W51">
        <v>3212</v>
      </c>
      <c r="X51">
        <v>16063</v>
      </c>
      <c r="Y51">
        <v>8031</v>
      </c>
      <c r="Z51">
        <v>6951</v>
      </c>
      <c r="AA51">
        <v>4171</v>
      </c>
      <c r="AB51">
        <v>2780</v>
      </c>
    </row>
    <row r="52" spans="1:28" x14ac:dyDescent="0.35">
      <c r="A52" t="s">
        <v>97</v>
      </c>
      <c r="B52" t="s">
        <v>9</v>
      </c>
      <c r="C52" t="s">
        <v>1</v>
      </c>
      <c r="D52" t="s">
        <v>10</v>
      </c>
      <c r="E52" t="s">
        <v>11</v>
      </c>
      <c r="F52">
        <v>372119</v>
      </c>
      <c r="G52">
        <v>-148910</v>
      </c>
      <c r="H52">
        <v>157948</v>
      </c>
      <c r="I52">
        <v>372119</v>
      </c>
      <c r="J52">
        <v>37211</v>
      </c>
      <c r="K52">
        <v>18605</v>
      </c>
      <c r="L52">
        <v>182396</v>
      </c>
      <c r="M52">
        <v>36479</v>
      </c>
      <c r="N52">
        <v>54718</v>
      </c>
      <c r="O52">
        <v>18239</v>
      </c>
      <c r="P52">
        <v>-72958</v>
      </c>
      <c r="Q52">
        <v>-45599</v>
      </c>
      <c r="R52">
        <v>189207</v>
      </c>
      <c r="S52">
        <v>56762</v>
      </c>
      <c r="T52">
        <v>18920</v>
      </c>
      <c r="U52">
        <v>9119</v>
      </c>
      <c r="V52">
        <v>5471</v>
      </c>
      <c r="W52">
        <v>3647</v>
      </c>
      <c r="X52">
        <v>18239</v>
      </c>
      <c r="Y52">
        <v>9119</v>
      </c>
      <c r="Z52">
        <v>9460</v>
      </c>
      <c r="AA52">
        <v>5676</v>
      </c>
      <c r="AB52">
        <v>3784</v>
      </c>
    </row>
    <row r="53" spans="1:28" x14ac:dyDescent="0.35">
      <c r="A53" t="s">
        <v>98</v>
      </c>
      <c r="B53" t="s">
        <v>9</v>
      </c>
      <c r="C53" t="s">
        <v>1</v>
      </c>
      <c r="D53" t="s">
        <v>10</v>
      </c>
      <c r="E53" t="s">
        <v>11</v>
      </c>
      <c r="F53">
        <v>222283</v>
      </c>
      <c r="G53">
        <v>-46783</v>
      </c>
      <c r="H53">
        <v>93839</v>
      </c>
      <c r="I53">
        <v>222283</v>
      </c>
      <c r="J53">
        <v>22228</v>
      </c>
      <c r="K53">
        <v>11114</v>
      </c>
      <c r="L53">
        <v>76029</v>
      </c>
      <c r="M53">
        <v>15205</v>
      </c>
      <c r="N53">
        <v>22808</v>
      </c>
      <c r="O53">
        <v>7602</v>
      </c>
      <c r="P53">
        <v>-30411</v>
      </c>
      <c r="Q53">
        <v>-19007</v>
      </c>
      <c r="R53">
        <v>71168</v>
      </c>
      <c r="S53">
        <v>21350</v>
      </c>
      <c r="T53">
        <v>7116</v>
      </c>
      <c r="U53">
        <v>3801</v>
      </c>
      <c r="V53">
        <v>2280</v>
      </c>
      <c r="W53">
        <v>1520</v>
      </c>
      <c r="X53">
        <v>7602</v>
      </c>
      <c r="Y53">
        <v>3801</v>
      </c>
      <c r="Z53">
        <v>3558</v>
      </c>
      <c r="AA53">
        <v>2135</v>
      </c>
      <c r="AB53">
        <v>1423</v>
      </c>
    </row>
    <row r="54" spans="1:28" x14ac:dyDescent="0.35">
      <c r="A54" t="s">
        <v>99</v>
      </c>
      <c r="B54" t="s">
        <v>9</v>
      </c>
      <c r="C54" t="s">
        <v>1</v>
      </c>
      <c r="D54" t="s">
        <v>10</v>
      </c>
      <c r="E54" t="s">
        <v>11</v>
      </c>
      <c r="F54">
        <v>178069</v>
      </c>
      <c r="G54">
        <v>-75664</v>
      </c>
      <c r="H54">
        <v>22672</v>
      </c>
      <c r="I54">
        <v>178069</v>
      </c>
      <c r="J54">
        <v>17806</v>
      </c>
      <c r="K54">
        <v>8903</v>
      </c>
      <c r="L54">
        <v>126883</v>
      </c>
      <c r="M54">
        <v>25376</v>
      </c>
      <c r="N54">
        <v>38064</v>
      </c>
      <c r="O54">
        <v>12688</v>
      </c>
      <c r="P54">
        <v>-50753</v>
      </c>
      <c r="Q54">
        <v>-31720</v>
      </c>
      <c r="R54">
        <v>105386</v>
      </c>
      <c r="S54">
        <v>31615</v>
      </c>
      <c r="T54">
        <v>10538</v>
      </c>
      <c r="U54">
        <v>6344</v>
      </c>
      <c r="V54">
        <v>3806</v>
      </c>
      <c r="W54">
        <v>2537</v>
      </c>
      <c r="X54">
        <v>12688</v>
      </c>
      <c r="Y54">
        <v>6344</v>
      </c>
      <c r="Z54">
        <v>5269</v>
      </c>
      <c r="AA54">
        <v>3161</v>
      </c>
      <c r="AB54">
        <v>2107</v>
      </c>
    </row>
    <row r="55" spans="1:28" x14ac:dyDescent="0.35">
      <c r="A55" t="s">
        <v>100</v>
      </c>
      <c r="B55" t="s">
        <v>9</v>
      </c>
      <c r="C55" t="s">
        <v>1</v>
      </c>
      <c r="D55" t="s">
        <v>10</v>
      </c>
      <c r="E55" t="s">
        <v>11</v>
      </c>
      <c r="F55">
        <v>272152</v>
      </c>
      <c r="G55">
        <v>-160923</v>
      </c>
      <c r="H55">
        <v>95481</v>
      </c>
      <c r="I55">
        <v>272152</v>
      </c>
      <c r="J55">
        <v>27215</v>
      </c>
      <c r="K55">
        <v>13607</v>
      </c>
      <c r="L55">
        <v>135064</v>
      </c>
      <c r="M55">
        <v>27012</v>
      </c>
      <c r="N55">
        <v>40519</v>
      </c>
      <c r="O55">
        <v>13506</v>
      </c>
      <c r="P55">
        <v>-54025</v>
      </c>
      <c r="Q55">
        <v>-33766</v>
      </c>
      <c r="R55">
        <v>120698</v>
      </c>
      <c r="S55">
        <v>36209</v>
      </c>
      <c r="T55">
        <v>12069</v>
      </c>
      <c r="U55">
        <v>6753</v>
      </c>
      <c r="V55">
        <v>4051</v>
      </c>
      <c r="W55">
        <v>2701</v>
      </c>
      <c r="X55">
        <v>13506</v>
      </c>
      <c r="Y55">
        <v>6753</v>
      </c>
      <c r="Z55">
        <v>6034</v>
      </c>
      <c r="AA55">
        <v>3620</v>
      </c>
      <c r="AB55">
        <v>2413</v>
      </c>
    </row>
    <row r="56" spans="1:28" x14ac:dyDescent="0.35">
      <c r="A56" t="s">
        <v>101</v>
      </c>
      <c r="B56" t="s">
        <v>9</v>
      </c>
      <c r="C56" t="s">
        <v>1</v>
      </c>
      <c r="D56" t="s">
        <v>10</v>
      </c>
      <c r="E56" t="s">
        <v>11</v>
      </c>
      <c r="F56">
        <v>57434</v>
      </c>
      <c r="G56">
        <v>-32483</v>
      </c>
      <c r="H56">
        <v>19295</v>
      </c>
      <c r="I56">
        <v>57434</v>
      </c>
      <c r="J56">
        <v>5743</v>
      </c>
      <c r="K56">
        <v>2871</v>
      </c>
      <c r="L56">
        <v>23014</v>
      </c>
      <c r="M56">
        <v>4602</v>
      </c>
      <c r="N56">
        <v>6904</v>
      </c>
      <c r="O56">
        <v>2301</v>
      </c>
      <c r="P56">
        <v>-9205</v>
      </c>
      <c r="Q56">
        <v>-5753</v>
      </c>
      <c r="R56">
        <v>20136</v>
      </c>
      <c r="S56">
        <v>6040</v>
      </c>
      <c r="T56">
        <v>2013</v>
      </c>
      <c r="U56">
        <v>1150</v>
      </c>
      <c r="V56">
        <v>690</v>
      </c>
      <c r="W56">
        <v>460</v>
      </c>
      <c r="X56">
        <v>2301</v>
      </c>
      <c r="Y56">
        <v>1150</v>
      </c>
      <c r="Z56">
        <v>1006</v>
      </c>
      <c r="AA56">
        <v>604</v>
      </c>
      <c r="AB56">
        <v>402</v>
      </c>
    </row>
    <row r="57" spans="1:28" x14ac:dyDescent="0.35">
      <c r="A57" t="s">
        <v>102</v>
      </c>
      <c r="B57" t="s">
        <v>9</v>
      </c>
      <c r="C57" t="s">
        <v>1</v>
      </c>
      <c r="D57" t="s">
        <v>10</v>
      </c>
      <c r="E57" t="s">
        <v>11</v>
      </c>
      <c r="F57">
        <v>423338</v>
      </c>
      <c r="G57">
        <v>-145603</v>
      </c>
      <c r="H57">
        <v>97931</v>
      </c>
      <c r="I57">
        <v>423338</v>
      </c>
      <c r="J57">
        <v>42333</v>
      </c>
      <c r="K57">
        <v>21166</v>
      </c>
      <c r="L57">
        <v>140223</v>
      </c>
      <c r="M57">
        <v>28044</v>
      </c>
      <c r="N57">
        <v>42066</v>
      </c>
      <c r="O57">
        <v>14022</v>
      </c>
      <c r="P57">
        <v>-56089</v>
      </c>
      <c r="Q57">
        <v>-35055</v>
      </c>
      <c r="R57">
        <v>133536</v>
      </c>
      <c r="S57">
        <v>40060</v>
      </c>
      <c r="T57">
        <v>13353</v>
      </c>
      <c r="U57">
        <v>7011</v>
      </c>
      <c r="V57">
        <v>4206</v>
      </c>
      <c r="W57">
        <v>2804</v>
      </c>
      <c r="X57">
        <v>14022</v>
      </c>
      <c r="Y57">
        <v>7011</v>
      </c>
      <c r="Z57">
        <v>6676</v>
      </c>
      <c r="AA57">
        <v>4006</v>
      </c>
      <c r="AB57">
        <v>2670</v>
      </c>
    </row>
    <row r="58" spans="1:28" x14ac:dyDescent="0.35">
      <c r="A58" t="s">
        <v>103</v>
      </c>
      <c r="B58" t="s">
        <v>9</v>
      </c>
      <c r="C58" t="s">
        <v>1</v>
      </c>
      <c r="D58" t="s">
        <v>10</v>
      </c>
      <c r="E58" t="s">
        <v>11</v>
      </c>
      <c r="F58">
        <v>345082</v>
      </c>
      <c r="G58">
        <v>-76310</v>
      </c>
      <c r="H58">
        <v>96025</v>
      </c>
      <c r="I58">
        <v>345082</v>
      </c>
      <c r="J58">
        <v>34508</v>
      </c>
      <c r="K58">
        <v>17254</v>
      </c>
      <c r="L58">
        <v>243573</v>
      </c>
      <c r="M58">
        <v>48714</v>
      </c>
      <c r="N58">
        <v>73071</v>
      </c>
      <c r="O58">
        <v>24357</v>
      </c>
      <c r="P58">
        <v>-97429</v>
      </c>
      <c r="Q58">
        <v>-60893</v>
      </c>
      <c r="R58">
        <v>263744</v>
      </c>
      <c r="S58">
        <v>79123</v>
      </c>
      <c r="T58">
        <v>26374</v>
      </c>
      <c r="U58">
        <v>12178</v>
      </c>
      <c r="V58">
        <v>7307</v>
      </c>
      <c r="W58">
        <v>4871</v>
      </c>
      <c r="X58">
        <v>24357</v>
      </c>
      <c r="Y58">
        <v>12178</v>
      </c>
      <c r="Z58">
        <v>13187</v>
      </c>
      <c r="AA58">
        <v>7912</v>
      </c>
      <c r="AB58">
        <v>5274</v>
      </c>
    </row>
    <row r="59" spans="1:28" x14ac:dyDescent="0.35">
      <c r="A59" t="s">
        <v>104</v>
      </c>
      <c r="B59" t="s">
        <v>9</v>
      </c>
      <c r="C59" t="s">
        <v>1</v>
      </c>
      <c r="D59" t="s">
        <v>10</v>
      </c>
      <c r="E59" t="s">
        <v>11</v>
      </c>
      <c r="F59">
        <v>389454</v>
      </c>
      <c r="G59">
        <v>-175013</v>
      </c>
      <c r="H59">
        <v>49538</v>
      </c>
      <c r="I59">
        <v>389454</v>
      </c>
      <c r="J59">
        <v>38945</v>
      </c>
      <c r="K59">
        <v>19472</v>
      </c>
      <c r="L59">
        <v>163867</v>
      </c>
      <c r="M59">
        <v>32773</v>
      </c>
      <c r="N59">
        <v>49160</v>
      </c>
      <c r="O59">
        <v>16386</v>
      </c>
      <c r="P59">
        <v>-65546</v>
      </c>
      <c r="Q59">
        <v>-40966</v>
      </c>
      <c r="R59">
        <v>174810</v>
      </c>
      <c r="S59">
        <v>52443</v>
      </c>
      <c r="T59">
        <v>17481</v>
      </c>
      <c r="U59">
        <v>8193</v>
      </c>
      <c r="V59">
        <v>4916</v>
      </c>
      <c r="W59">
        <v>3277</v>
      </c>
      <c r="X59">
        <v>16386</v>
      </c>
      <c r="Y59">
        <v>8193</v>
      </c>
      <c r="Z59">
        <v>8740</v>
      </c>
      <c r="AA59">
        <v>5244</v>
      </c>
      <c r="AB59">
        <v>3496</v>
      </c>
    </row>
    <row r="60" spans="1:28" x14ac:dyDescent="0.35">
      <c r="A60" t="s">
        <v>105</v>
      </c>
      <c r="B60" t="s">
        <v>9</v>
      </c>
      <c r="C60" t="s">
        <v>1</v>
      </c>
      <c r="D60" t="s">
        <v>10</v>
      </c>
      <c r="E60" t="s">
        <v>11</v>
      </c>
      <c r="F60">
        <v>247390</v>
      </c>
      <c r="G60">
        <v>-100439</v>
      </c>
      <c r="H60">
        <v>79311</v>
      </c>
      <c r="I60">
        <v>247390</v>
      </c>
      <c r="J60">
        <v>24739</v>
      </c>
      <c r="K60">
        <v>12369</v>
      </c>
      <c r="L60">
        <v>100324</v>
      </c>
      <c r="M60">
        <v>20064</v>
      </c>
      <c r="N60">
        <v>30097</v>
      </c>
      <c r="O60">
        <v>10032</v>
      </c>
      <c r="P60">
        <v>-40129</v>
      </c>
      <c r="Q60">
        <v>-25081</v>
      </c>
      <c r="R60">
        <v>114881</v>
      </c>
      <c r="S60">
        <v>34464</v>
      </c>
      <c r="T60">
        <v>11488</v>
      </c>
      <c r="U60">
        <v>5016</v>
      </c>
      <c r="V60">
        <v>3009</v>
      </c>
      <c r="W60">
        <v>2006</v>
      </c>
      <c r="X60">
        <v>10032</v>
      </c>
      <c r="Y60">
        <v>5016</v>
      </c>
      <c r="Z60">
        <v>5744</v>
      </c>
      <c r="AA60">
        <v>3446</v>
      </c>
      <c r="AB60">
        <v>2297</v>
      </c>
    </row>
    <row r="61" spans="1:28" x14ac:dyDescent="0.35">
      <c r="A61" t="s">
        <v>106</v>
      </c>
      <c r="B61" t="s">
        <v>9</v>
      </c>
      <c r="C61" t="s">
        <v>1</v>
      </c>
      <c r="D61" t="s">
        <v>10</v>
      </c>
      <c r="E61" t="s">
        <v>11</v>
      </c>
      <c r="F61">
        <v>410707</v>
      </c>
      <c r="G61">
        <v>-155944</v>
      </c>
      <c r="H61">
        <v>187233</v>
      </c>
      <c r="I61">
        <v>410707</v>
      </c>
      <c r="J61">
        <v>41070</v>
      </c>
      <c r="K61">
        <v>20535</v>
      </c>
      <c r="L61">
        <v>224627</v>
      </c>
      <c r="M61">
        <v>44925</v>
      </c>
      <c r="N61">
        <v>67388</v>
      </c>
      <c r="O61">
        <v>22462</v>
      </c>
      <c r="P61">
        <v>-89850</v>
      </c>
      <c r="Q61">
        <v>-56156</v>
      </c>
      <c r="R61">
        <v>203685</v>
      </c>
      <c r="S61">
        <v>61105</v>
      </c>
      <c r="T61">
        <v>20368</v>
      </c>
      <c r="U61">
        <v>11231</v>
      </c>
      <c r="V61">
        <v>6738</v>
      </c>
      <c r="W61">
        <v>4492</v>
      </c>
      <c r="X61">
        <v>22462</v>
      </c>
      <c r="Y61">
        <v>11231</v>
      </c>
      <c r="Z61">
        <v>10184</v>
      </c>
      <c r="AA61">
        <v>6110</v>
      </c>
      <c r="AB61">
        <v>4073</v>
      </c>
    </row>
    <row r="62" spans="1:28" x14ac:dyDescent="0.35">
      <c r="A62" t="s">
        <v>107</v>
      </c>
      <c r="B62" t="s">
        <v>9</v>
      </c>
      <c r="C62" t="s">
        <v>1</v>
      </c>
      <c r="D62" t="s">
        <v>10</v>
      </c>
      <c r="E62" t="s">
        <v>11</v>
      </c>
      <c r="F62">
        <v>350324</v>
      </c>
      <c r="G62">
        <v>-90874</v>
      </c>
      <c r="H62">
        <v>56297</v>
      </c>
      <c r="I62">
        <v>350324</v>
      </c>
      <c r="J62">
        <v>35032</v>
      </c>
      <c r="K62">
        <v>17516</v>
      </c>
      <c r="L62">
        <v>251533</v>
      </c>
      <c r="M62">
        <v>50306</v>
      </c>
      <c r="N62">
        <v>75459</v>
      </c>
      <c r="O62">
        <v>25153</v>
      </c>
      <c r="P62">
        <v>-100613</v>
      </c>
      <c r="Q62">
        <v>-62883</v>
      </c>
      <c r="R62">
        <v>224190</v>
      </c>
      <c r="S62">
        <v>67257</v>
      </c>
      <c r="T62">
        <v>22419</v>
      </c>
      <c r="U62">
        <v>12576</v>
      </c>
      <c r="V62">
        <v>7545</v>
      </c>
      <c r="W62">
        <v>5030</v>
      </c>
      <c r="X62">
        <v>25153</v>
      </c>
      <c r="Y62">
        <v>12576</v>
      </c>
      <c r="Z62">
        <v>11209</v>
      </c>
      <c r="AA62">
        <v>6725</v>
      </c>
      <c r="AB62">
        <v>4483</v>
      </c>
    </row>
    <row r="63" spans="1:28" x14ac:dyDescent="0.35">
      <c r="A63" t="s">
        <v>108</v>
      </c>
      <c r="B63" t="s">
        <v>9</v>
      </c>
      <c r="C63" t="s">
        <v>1</v>
      </c>
      <c r="D63" t="s">
        <v>10</v>
      </c>
      <c r="E63" t="s">
        <v>11</v>
      </c>
      <c r="F63">
        <v>315475</v>
      </c>
      <c r="G63">
        <v>-73837</v>
      </c>
      <c r="H63">
        <v>57531</v>
      </c>
      <c r="I63">
        <v>315475</v>
      </c>
      <c r="J63">
        <v>31547</v>
      </c>
      <c r="K63">
        <v>15773</v>
      </c>
      <c r="L63">
        <v>235571</v>
      </c>
      <c r="M63">
        <v>47114</v>
      </c>
      <c r="N63">
        <v>70671</v>
      </c>
      <c r="O63">
        <v>23557</v>
      </c>
      <c r="P63">
        <v>-94228</v>
      </c>
      <c r="Q63">
        <v>-58892</v>
      </c>
      <c r="R63">
        <v>275643</v>
      </c>
      <c r="S63">
        <v>82692</v>
      </c>
      <c r="T63">
        <v>27564</v>
      </c>
      <c r="U63">
        <v>11778</v>
      </c>
      <c r="V63">
        <v>7067</v>
      </c>
      <c r="W63">
        <v>4711</v>
      </c>
      <c r="X63">
        <v>23557</v>
      </c>
      <c r="Y63">
        <v>11778</v>
      </c>
      <c r="Z63">
        <v>13782</v>
      </c>
      <c r="AA63">
        <v>8269</v>
      </c>
      <c r="AB63">
        <v>5512</v>
      </c>
    </row>
    <row r="64" spans="1:28" x14ac:dyDescent="0.35">
      <c r="A64" t="s">
        <v>109</v>
      </c>
      <c r="B64" t="s">
        <v>9</v>
      </c>
      <c r="C64" t="s">
        <v>1</v>
      </c>
      <c r="D64" t="s">
        <v>10</v>
      </c>
      <c r="E64" t="s">
        <v>11</v>
      </c>
      <c r="F64">
        <v>473849</v>
      </c>
      <c r="G64">
        <v>-152861</v>
      </c>
      <c r="H64">
        <v>221997</v>
      </c>
      <c r="I64">
        <v>473849</v>
      </c>
      <c r="J64">
        <v>47384</v>
      </c>
      <c r="K64">
        <v>23692</v>
      </c>
      <c r="L64">
        <v>302083</v>
      </c>
      <c r="M64">
        <v>60416</v>
      </c>
      <c r="N64">
        <v>90624</v>
      </c>
      <c r="O64">
        <v>30208</v>
      </c>
      <c r="P64">
        <v>-120833</v>
      </c>
      <c r="Q64">
        <v>-75520</v>
      </c>
      <c r="R64">
        <v>291155</v>
      </c>
      <c r="S64">
        <v>87346</v>
      </c>
      <c r="T64">
        <v>29115</v>
      </c>
      <c r="U64">
        <v>15104</v>
      </c>
      <c r="V64">
        <v>9062</v>
      </c>
      <c r="W64">
        <v>6041</v>
      </c>
      <c r="X64">
        <v>30208</v>
      </c>
      <c r="Y64">
        <v>15104</v>
      </c>
      <c r="Z64">
        <v>14557</v>
      </c>
      <c r="AA64">
        <v>8734</v>
      </c>
      <c r="AB64">
        <v>5823</v>
      </c>
    </row>
    <row r="65" spans="1:28" x14ac:dyDescent="0.35">
      <c r="A65" t="s">
        <v>110</v>
      </c>
      <c r="B65" t="s">
        <v>9</v>
      </c>
      <c r="C65" t="s">
        <v>1</v>
      </c>
      <c r="D65" t="s">
        <v>10</v>
      </c>
      <c r="E65" t="s">
        <v>11</v>
      </c>
      <c r="F65">
        <v>398302</v>
      </c>
      <c r="G65">
        <v>-234723</v>
      </c>
      <c r="H65">
        <v>104259</v>
      </c>
      <c r="I65">
        <v>398302</v>
      </c>
      <c r="J65">
        <v>39830</v>
      </c>
      <c r="K65">
        <v>19915</v>
      </c>
      <c r="L65">
        <v>96583</v>
      </c>
      <c r="M65">
        <v>19316</v>
      </c>
      <c r="N65">
        <v>28974</v>
      </c>
      <c r="O65">
        <v>9658</v>
      </c>
      <c r="P65">
        <v>-38633</v>
      </c>
      <c r="Q65">
        <v>-24145</v>
      </c>
      <c r="R65">
        <v>94045</v>
      </c>
      <c r="S65">
        <v>28213</v>
      </c>
      <c r="T65">
        <v>9404</v>
      </c>
      <c r="U65">
        <v>4829</v>
      </c>
      <c r="V65">
        <v>2897</v>
      </c>
      <c r="W65">
        <v>1931</v>
      </c>
      <c r="X65">
        <v>9658</v>
      </c>
      <c r="Y65">
        <v>4829</v>
      </c>
      <c r="Z65">
        <v>4702</v>
      </c>
      <c r="AA65">
        <v>2821</v>
      </c>
      <c r="AB65">
        <v>1880</v>
      </c>
    </row>
    <row r="66" spans="1:28" x14ac:dyDescent="0.35">
      <c r="A66" t="s">
        <v>111</v>
      </c>
      <c r="B66" t="s">
        <v>9</v>
      </c>
      <c r="C66" t="s">
        <v>1</v>
      </c>
      <c r="D66" t="s">
        <v>10</v>
      </c>
      <c r="E66" t="s">
        <v>11</v>
      </c>
      <c r="F66">
        <v>171317</v>
      </c>
      <c r="G66">
        <v>-57465</v>
      </c>
      <c r="H66">
        <v>81922</v>
      </c>
      <c r="I66">
        <v>171317</v>
      </c>
      <c r="J66">
        <v>17131</v>
      </c>
      <c r="K66">
        <v>8565</v>
      </c>
      <c r="L66">
        <v>60281</v>
      </c>
      <c r="M66">
        <v>12056</v>
      </c>
      <c r="N66">
        <v>18084</v>
      </c>
      <c r="O66">
        <v>6028</v>
      </c>
      <c r="P66">
        <v>-24112</v>
      </c>
      <c r="Q66">
        <v>-15070</v>
      </c>
      <c r="R66">
        <v>70287</v>
      </c>
      <c r="S66">
        <v>21086</v>
      </c>
      <c r="T66">
        <v>7028</v>
      </c>
      <c r="U66">
        <v>3014</v>
      </c>
      <c r="V66">
        <v>1808</v>
      </c>
      <c r="W66">
        <v>1205</v>
      </c>
      <c r="X66">
        <v>6028</v>
      </c>
      <c r="Y66">
        <v>3014</v>
      </c>
      <c r="Z66">
        <v>3514</v>
      </c>
      <c r="AA66">
        <v>2108</v>
      </c>
      <c r="AB66">
        <v>1405</v>
      </c>
    </row>
    <row r="67" spans="1:28" x14ac:dyDescent="0.35">
      <c r="A67" t="s">
        <v>112</v>
      </c>
      <c r="B67" t="s">
        <v>9</v>
      </c>
      <c r="C67" t="s">
        <v>1</v>
      </c>
      <c r="D67" t="s">
        <v>10</v>
      </c>
      <c r="E67" t="s">
        <v>11</v>
      </c>
      <c r="F67">
        <v>464603</v>
      </c>
      <c r="G67">
        <v>-209096</v>
      </c>
      <c r="H67">
        <v>146852</v>
      </c>
      <c r="I67">
        <v>464603</v>
      </c>
      <c r="J67">
        <v>46460</v>
      </c>
      <c r="K67">
        <v>23230</v>
      </c>
      <c r="L67">
        <v>353730</v>
      </c>
      <c r="M67">
        <v>70746</v>
      </c>
      <c r="N67">
        <v>106119</v>
      </c>
      <c r="O67">
        <v>35373</v>
      </c>
      <c r="P67">
        <v>-141492</v>
      </c>
      <c r="Q67">
        <v>-88432</v>
      </c>
      <c r="R67">
        <v>330527</v>
      </c>
      <c r="S67">
        <v>99158</v>
      </c>
      <c r="T67">
        <v>33052</v>
      </c>
      <c r="U67">
        <v>17686</v>
      </c>
      <c r="V67">
        <v>10611</v>
      </c>
      <c r="W67">
        <v>7074</v>
      </c>
      <c r="X67">
        <v>35373</v>
      </c>
      <c r="Y67">
        <v>17686</v>
      </c>
      <c r="Z67">
        <v>16526</v>
      </c>
      <c r="AA67">
        <v>9915</v>
      </c>
      <c r="AB67">
        <v>6610</v>
      </c>
    </row>
    <row r="68" spans="1:28" x14ac:dyDescent="0.35">
      <c r="A68" t="s">
        <v>113</v>
      </c>
      <c r="B68" t="s">
        <v>9</v>
      </c>
      <c r="C68" t="s">
        <v>1</v>
      </c>
      <c r="D68" t="s">
        <v>10</v>
      </c>
      <c r="E68" t="s">
        <v>11</v>
      </c>
      <c r="F68">
        <v>213796</v>
      </c>
      <c r="G68">
        <v>-85322</v>
      </c>
      <c r="H68">
        <v>81050</v>
      </c>
      <c r="I68">
        <v>213796</v>
      </c>
      <c r="J68">
        <v>21379</v>
      </c>
      <c r="K68">
        <v>10689</v>
      </c>
      <c r="L68">
        <v>114652</v>
      </c>
      <c r="M68">
        <v>22930</v>
      </c>
      <c r="N68">
        <v>34395</v>
      </c>
      <c r="O68">
        <v>11465</v>
      </c>
      <c r="P68">
        <v>-45860</v>
      </c>
      <c r="Q68">
        <v>-28663</v>
      </c>
      <c r="R68">
        <v>120885</v>
      </c>
      <c r="S68">
        <v>36265</v>
      </c>
      <c r="T68">
        <v>12088</v>
      </c>
      <c r="U68">
        <v>5732</v>
      </c>
      <c r="V68">
        <v>3439</v>
      </c>
      <c r="W68">
        <v>2293</v>
      </c>
      <c r="X68">
        <v>11465</v>
      </c>
      <c r="Y68">
        <v>5732</v>
      </c>
      <c r="Z68">
        <v>6044</v>
      </c>
      <c r="AA68">
        <v>3626</v>
      </c>
      <c r="AB68">
        <v>2417</v>
      </c>
    </row>
    <row r="69" spans="1:28" x14ac:dyDescent="0.35">
      <c r="A69" t="s">
        <v>114</v>
      </c>
      <c r="B69" t="s">
        <v>9</v>
      </c>
      <c r="C69" t="s">
        <v>1</v>
      </c>
      <c r="D69" t="s">
        <v>10</v>
      </c>
      <c r="E69" t="s">
        <v>11</v>
      </c>
      <c r="F69">
        <v>220701</v>
      </c>
      <c r="G69">
        <v>-108061</v>
      </c>
      <c r="H69">
        <v>105323</v>
      </c>
      <c r="I69">
        <v>220701</v>
      </c>
      <c r="J69">
        <v>22070</v>
      </c>
      <c r="K69">
        <v>11035</v>
      </c>
      <c r="L69">
        <v>171187</v>
      </c>
      <c r="M69">
        <v>34237</v>
      </c>
      <c r="N69">
        <v>51356</v>
      </c>
      <c r="O69">
        <v>17118</v>
      </c>
      <c r="P69">
        <v>-68474</v>
      </c>
      <c r="Q69">
        <v>-42796</v>
      </c>
      <c r="R69">
        <v>145787</v>
      </c>
      <c r="S69">
        <v>43736</v>
      </c>
      <c r="T69">
        <v>14578</v>
      </c>
      <c r="U69">
        <v>8559</v>
      </c>
      <c r="V69">
        <v>5135</v>
      </c>
      <c r="W69">
        <v>3423</v>
      </c>
      <c r="X69">
        <v>17118</v>
      </c>
      <c r="Y69">
        <v>8559</v>
      </c>
      <c r="Z69">
        <v>7289</v>
      </c>
      <c r="AA69">
        <v>4373</v>
      </c>
      <c r="AB69">
        <v>2915</v>
      </c>
    </row>
    <row r="70" spans="1:28" x14ac:dyDescent="0.35">
      <c r="A70" t="s">
        <v>115</v>
      </c>
      <c r="B70" t="s">
        <v>9</v>
      </c>
      <c r="C70" t="s">
        <v>1</v>
      </c>
      <c r="D70" t="s">
        <v>10</v>
      </c>
      <c r="E70" t="s">
        <v>11</v>
      </c>
      <c r="F70">
        <v>320818</v>
      </c>
      <c r="G70">
        <v>-144020</v>
      </c>
      <c r="H70">
        <v>124646</v>
      </c>
      <c r="I70">
        <v>320818</v>
      </c>
      <c r="J70">
        <v>32081</v>
      </c>
      <c r="K70">
        <v>16040</v>
      </c>
      <c r="L70">
        <v>254679</v>
      </c>
      <c r="M70">
        <v>50935</v>
      </c>
      <c r="N70">
        <v>76403</v>
      </c>
      <c r="O70">
        <v>25467</v>
      </c>
      <c r="P70">
        <v>-101871</v>
      </c>
      <c r="Q70">
        <v>-63669</v>
      </c>
      <c r="R70">
        <v>225862</v>
      </c>
      <c r="S70">
        <v>67758</v>
      </c>
      <c r="T70">
        <v>22586</v>
      </c>
      <c r="U70">
        <v>12733</v>
      </c>
      <c r="V70">
        <v>7640</v>
      </c>
      <c r="W70">
        <v>5093</v>
      </c>
      <c r="X70">
        <v>25467</v>
      </c>
      <c r="Y70">
        <v>12733</v>
      </c>
      <c r="Z70">
        <v>11293</v>
      </c>
      <c r="AA70">
        <v>6775</v>
      </c>
      <c r="AB70">
        <v>4517</v>
      </c>
    </row>
    <row r="71" spans="1:28" x14ac:dyDescent="0.35">
      <c r="A71" t="s">
        <v>116</v>
      </c>
      <c r="B71" t="s">
        <v>9</v>
      </c>
      <c r="C71" t="s">
        <v>1</v>
      </c>
      <c r="D71" t="s">
        <v>10</v>
      </c>
      <c r="E71" t="s">
        <v>11</v>
      </c>
      <c r="F71">
        <v>323268</v>
      </c>
      <c r="G71">
        <v>-134311</v>
      </c>
      <c r="H71">
        <v>61690</v>
      </c>
      <c r="I71">
        <v>323268</v>
      </c>
      <c r="J71">
        <v>32326</v>
      </c>
      <c r="K71">
        <v>16163</v>
      </c>
      <c r="L71">
        <v>90086</v>
      </c>
      <c r="M71">
        <v>18017</v>
      </c>
      <c r="N71">
        <v>27025</v>
      </c>
      <c r="O71">
        <v>9008</v>
      </c>
      <c r="P71">
        <v>-36034</v>
      </c>
      <c r="Q71">
        <v>-22521</v>
      </c>
      <c r="R71">
        <v>79157</v>
      </c>
      <c r="S71">
        <v>23747</v>
      </c>
      <c r="T71">
        <v>7915</v>
      </c>
      <c r="U71">
        <v>4504</v>
      </c>
      <c r="V71">
        <v>2702</v>
      </c>
      <c r="W71">
        <v>1801</v>
      </c>
      <c r="X71">
        <v>9008</v>
      </c>
      <c r="Y71">
        <v>4504</v>
      </c>
      <c r="Z71">
        <v>3957</v>
      </c>
      <c r="AA71">
        <v>2374</v>
      </c>
      <c r="AB71">
        <v>1583</v>
      </c>
    </row>
    <row r="72" spans="1:28" x14ac:dyDescent="0.35">
      <c r="A72" t="s">
        <v>117</v>
      </c>
      <c r="B72" t="s">
        <v>9</v>
      </c>
      <c r="C72" t="s">
        <v>1</v>
      </c>
      <c r="D72" t="s">
        <v>10</v>
      </c>
      <c r="E72" t="s">
        <v>11</v>
      </c>
      <c r="F72">
        <v>173019</v>
      </c>
      <c r="G72">
        <v>-99057</v>
      </c>
      <c r="H72">
        <v>51211</v>
      </c>
      <c r="I72">
        <v>173019</v>
      </c>
      <c r="J72">
        <v>17301</v>
      </c>
      <c r="K72">
        <v>8650</v>
      </c>
      <c r="L72">
        <v>122648</v>
      </c>
      <c r="M72">
        <v>24529</v>
      </c>
      <c r="N72">
        <v>36794</v>
      </c>
      <c r="O72">
        <v>12264</v>
      </c>
      <c r="P72">
        <v>-49059</v>
      </c>
      <c r="Q72">
        <v>-30662</v>
      </c>
      <c r="R72">
        <v>136999</v>
      </c>
      <c r="S72">
        <v>41099</v>
      </c>
      <c r="T72">
        <v>13699</v>
      </c>
      <c r="U72">
        <v>6132</v>
      </c>
      <c r="V72">
        <v>3679</v>
      </c>
      <c r="W72">
        <v>2452</v>
      </c>
      <c r="X72">
        <v>12264</v>
      </c>
      <c r="Y72">
        <v>6132</v>
      </c>
      <c r="Z72">
        <v>6849</v>
      </c>
      <c r="AA72">
        <v>4109</v>
      </c>
      <c r="AB72">
        <v>2739</v>
      </c>
    </row>
    <row r="73" spans="1:28" x14ac:dyDescent="0.35">
      <c r="A73" t="s">
        <v>118</v>
      </c>
      <c r="B73" t="s">
        <v>9</v>
      </c>
      <c r="C73" t="s">
        <v>1</v>
      </c>
      <c r="D73" t="s">
        <v>10</v>
      </c>
      <c r="E73" t="s">
        <v>11</v>
      </c>
      <c r="F73">
        <v>488497</v>
      </c>
      <c r="G73">
        <v>-234422</v>
      </c>
      <c r="H73">
        <v>97689</v>
      </c>
      <c r="I73">
        <v>488497</v>
      </c>
      <c r="J73">
        <v>48849</v>
      </c>
      <c r="K73">
        <v>24424</v>
      </c>
      <c r="L73">
        <v>211959</v>
      </c>
      <c r="M73">
        <v>42391</v>
      </c>
      <c r="N73">
        <v>63587</v>
      </c>
      <c r="O73">
        <v>21195</v>
      </c>
      <c r="P73">
        <v>-84783</v>
      </c>
      <c r="Q73">
        <v>-52989</v>
      </c>
      <c r="R73">
        <v>192424</v>
      </c>
      <c r="S73">
        <v>57727</v>
      </c>
      <c r="T73">
        <v>19242</v>
      </c>
      <c r="U73">
        <v>10597</v>
      </c>
      <c r="V73">
        <v>6358</v>
      </c>
      <c r="W73">
        <v>4239</v>
      </c>
      <c r="X73">
        <v>21195</v>
      </c>
      <c r="Y73">
        <v>10597</v>
      </c>
      <c r="Z73">
        <v>9621</v>
      </c>
      <c r="AA73">
        <v>5772</v>
      </c>
      <c r="AB73">
        <v>3848</v>
      </c>
    </row>
    <row r="74" spans="1:28" x14ac:dyDescent="0.35">
      <c r="A74" t="s">
        <v>119</v>
      </c>
      <c r="B74" t="s">
        <v>9</v>
      </c>
      <c r="C74" t="s">
        <v>1</v>
      </c>
      <c r="D74" t="s">
        <v>10</v>
      </c>
      <c r="E74" t="s">
        <v>11</v>
      </c>
      <c r="F74">
        <v>365427</v>
      </c>
      <c r="G74">
        <v>-132898</v>
      </c>
      <c r="H74">
        <v>159133</v>
      </c>
      <c r="I74">
        <v>365427</v>
      </c>
      <c r="J74">
        <v>36542</v>
      </c>
      <c r="K74">
        <v>18271</v>
      </c>
      <c r="L74">
        <v>165093</v>
      </c>
      <c r="M74">
        <v>33018</v>
      </c>
      <c r="N74">
        <v>49527</v>
      </c>
      <c r="O74">
        <v>16509</v>
      </c>
      <c r="P74">
        <v>-66037</v>
      </c>
      <c r="Q74">
        <v>-41273</v>
      </c>
      <c r="R74">
        <v>139570</v>
      </c>
      <c r="S74">
        <v>41871</v>
      </c>
      <c r="T74">
        <v>13957</v>
      </c>
      <c r="U74">
        <v>8254</v>
      </c>
      <c r="V74">
        <v>4952</v>
      </c>
      <c r="W74">
        <v>3301</v>
      </c>
      <c r="X74">
        <v>16509</v>
      </c>
      <c r="Y74">
        <v>8254</v>
      </c>
      <c r="Z74">
        <v>6978</v>
      </c>
      <c r="AA74">
        <v>4187</v>
      </c>
      <c r="AB74">
        <v>2791</v>
      </c>
    </row>
    <row r="75" spans="1:28" x14ac:dyDescent="0.35">
      <c r="A75" t="s">
        <v>120</v>
      </c>
      <c r="B75" t="s">
        <v>9</v>
      </c>
      <c r="C75" t="s">
        <v>1</v>
      </c>
      <c r="D75" t="s">
        <v>10</v>
      </c>
      <c r="E75" t="s">
        <v>11</v>
      </c>
      <c r="F75">
        <v>153103</v>
      </c>
      <c r="G75">
        <v>-32394</v>
      </c>
      <c r="H75">
        <v>69463</v>
      </c>
      <c r="I75">
        <v>153103</v>
      </c>
      <c r="J75">
        <v>15310</v>
      </c>
      <c r="K75">
        <v>7655</v>
      </c>
      <c r="L75">
        <v>106273</v>
      </c>
      <c r="M75">
        <v>21254</v>
      </c>
      <c r="N75">
        <v>31881</v>
      </c>
      <c r="O75">
        <v>10627</v>
      </c>
      <c r="P75">
        <v>-42509</v>
      </c>
      <c r="Q75">
        <v>-26568</v>
      </c>
      <c r="R75">
        <v>95815</v>
      </c>
      <c r="S75">
        <v>28744</v>
      </c>
      <c r="T75">
        <v>9581</v>
      </c>
      <c r="U75">
        <v>5313</v>
      </c>
      <c r="V75">
        <v>3188</v>
      </c>
      <c r="W75">
        <v>2125</v>
      </c>
      <c r="X75">
        <v>10627</v>
      </c>
      <c r="Y75">
        <v>5313</v>
      </c>
      <c r="Z75">
        <v>4790</v>
      </c>
      <c r="AA75">
        <v>2874</v>
      </c>
      <c r="AB75">
        <v>1916</v>
      </c>
    </row>
    <row r="76" spans="1:28" x14ac:dyDescent="0.35">
      <c r="A76" t="s">
        <v>121</v>
      </c>
      <c r="B76" t="s">
        <v>9</v>
      </c>
      <c r="C76" t="s">
        <v>1</v>
      </c>
      <c r="D76" t="s">
        <v>10</v>
      </c>
      <c r="E76" t="s">
        <v>11</v>
      </c>
      <c r="F76">
        <v>147408</v>
      </c>
      <c r="G76">
        <v>-81138</v>
      </c>
      <c r="H76">
        <v>52385</v>
      </c>
      <c r="I76">
        <v>147408</v>
      </c>
      <c r="J76">
        <v>14740</v>
      </c>
      <c r="K76">
        <v>7370</v>
      </c>
      <c r="L76">
        <v>33632</v>
      </c>
      <c r="M76">
        <v>6726</v>
      </c>
      <c r="N76">
        <v>10089</v>
      </c>
      <c r="O76">
        <v>3363</v>
      </c>
      <c r="P76">
        <v>-13452</v>
      </c>
      <c r="Q76">
        <v>-8408</v>
      </c>
      <c r="R76">
        <v>35126</v>
      </c>
      <c r="S76">
        <v>10537</v>
      </c>
      <c r="T76">
        <v>3512</v>
      </c>
      <c r="U76">
        <v>1681</v>
      </c>
      <c r="V76">
        <v>1008</v>
      </c>
      <c r="W76">
        <v>672</v>
      </c>
      <c r="X76">
        <v>3363</v>
      </c>
      <c r="Y76">
        <v>1681</v>
      </c>
      <c r="Z76">
        <v>1756</v>
      </c>
      <c r="AA76">
        <v>1053</v>
      </c>
      <c r="AB76">
        <v>702</v>
      </c>
    </row>
    <row r="77" spans="1:28" x14ac:dyDescent="0.35">
      <c r="A77" t="s">
        <v>122</v>
      </c>
      <c r="B77" t="s">
        <v>9</v>
      </c>
      <c r="C77" t="s">
        <v>1</v>
      </c>
      <c r="D77" t="s">
        <v>10</v>
      </c>
      <c r="E77" t="s">
        <v>11</v>
      </c>
      <c r="F77">
        <v>435125</v>
      </c>
      <c r="G77">
        <v>-205884</v>
      </c>
      <c r="H77">
        <v>188407</v>
      </c>
      <c r="I77">
        <v>435125</v>
      </c>
      <c r="J77">
        <v>43512</v>
      </c>
      <c r="K77">
        <v>21756</v>
      </c>
      <c r="L77">
        <v>220192</v>
      </c>
      <c r="M77">
        <v>44038</v>
      </c>
      <c r="N77">
        <v>66057</v>
      </c>
      <c r="O77">
        <v>22019</v>
      </c>
      <c r="P77">
        <v>-88076</v>
      </c>
      <c r="Q77">
        <v>-55048</v>
      </c>
      <c r="R77">
        <v>205667</v>
      </c>
      <c r="S77">
        <v>61700</v>
      </c>
      <c r="T77">
        <v>20566</v>
      </c>
      <c r="U77">
        <v>11009</v>
      </c>
      <c r="V77">
        <v>6605</v>
      </c>
      <c r="W77">
        <v>4403</v>
      </c>
      <c r="X77">
        <v>22019</v>
      </c>
      <c r="Y77">
        <v>11009</v>
      </c>
      <c r="Z77">
        <v>10283</v>
      </c>
      <c r="AA77">
        <v>6170</v>
      </c>
      <c r="AB77">
        <v>4113</v>
      </c>
    </row>
    <row r="78" spans="1:28" x14ac:dyDescent="0.35">
      <c r="A78" t="s">
        <v>123</v>
      </c>
      <c r="B78" t="s">
        <v>9</v>
      </c>
      <c r="C78" t="s">
        <v>1</v>
      </c>
      <c r="D78" t="s">
        <v>10</v>
      </c>
      <c r="E78" t="s">
        <v>11</v>
      </c>
      <c r="F78">
        <v>452029</v>
      </c>
      <c r="G78">
        <v>-181127</v>
      </c>
      <c r="H78">
        <v>54646</v>
      </c>
      <c r="I78">
        <v>452029</v>
      </c>
      <c r="J78">
        <v>45202</v>
      </c>
      <c r="K78">
        <v>22601</v>
      </c>
      <c r="L78">
        <v>353757</v>
      </c>
      <c r="M78">
        <v>70751</v>
      </c>
      <c r="N78">
        <v>106127</v>
      </c>
      <c r="O78">
        <v>35375</v>
      </c>
      <c r="P78">
        <v>-141502</v>
      </c>
      <c r="Q78">
        <v>-88439</v>
      </c>
      <c r="R78">
        <v>325908</v>
      </c>
      <c r="S78">
        <v>97772</v>
      </c>
      <c r="T78">
        <v>32590</v>
      </c>
      <c r="U78">
        <v>17687</v>
      </c>
      <c r="V78">
        <v>10612</v>
      </c>
      <c r="W78">
        <v>7075</v>
      </c>
      <c r="X78">
        <v>35375</v>
      </c>
      <c r="Y78">
        <v>17687</v>
      </c>
      <c r="Z78">
        <v>16295</v>
      </c>
      <c r="AA78">
        <v>9777</v>
      </c>
      <c r="AB78">
        <v>6518</v>
      </c>
    </row>
    <row r="79" spans="1:28" x14ac:dyDescent="0.35">
      <c r="A79" t="s">
        <v>124</v>
      </c>
      <c r="B79" t="s">
        <v>9</v>
      </c>
      <c r="C79" t="s">
        <v>1</v>
      </c>
      <c r="D79" t="s">
        <v>10</v>
      </c>
      <c r="E79" t="s">
        <v>11</v>
      </c>
      <c r="F79">
        <v>257713</v>
      </c>
      <c r="G79">
        <v>-126006</v>
      </c>
      <c r="H79">
        <v>56551</v>
      </c>
      <c r="I79">
        <v>257713</v>
      </c>
      <c r="J79">
        <v>25771</v>
      </c>
      <c r="K79">
        <v>12885</v>
      </c>
      <c r="L79">
        <v>131113</v>
      </c>
      <c r="M79">
        <v>26222</v>
      </c>
      <c r="N79">
        <v>39333</v>
      </c>
      <c r="O79">
        <v>13111</v>
      </c>
      <c r="P79">
        <v>-52445</v>
      </c>
      <c r="Q79">
        <v>-32778</v>
      </c>
      <c r="R79">
        <v>154081</v>
      </c>
      <c r="S79">
        <v>46224</v>
      </c>
      <c r="T79">
        <v>15408</v>
      </c>
      <c r="U79">
        <v>6555</v>
      </c>
      <c r="V79">
        <v>3933</v>
      </c>
      <c r="W79">
        <v>2622</v>
      </c>
      <c r="X79">
        <v>13111</v>
      </c>
      <c r="Y79">
        <v>6555</v>
      </c>
      <c r="Z79">
        <v>7704</v>
      </c>
      <c r="AA79">
        <v>4622</v>
      </c>
      <c r="AB79">
        <v>3081</v>
      </c>
    </row>
    <row r="80" spans="1:28" x14ac:dyDescent="0.35">
      <c r="A80" t="s">
        <v>125</v>
      </c>
      <c r="B80" t="s">
        <v>9</v>
      </c>
      <c r="C80" t="s">
        <v>1</v>
      </c>
      <c r="D80" t="s">
        <v>10</v>
      </c>
      <c r="E80" t="s">
        <v>11</v>
      </c>
      <c r="F80">
        <v>83951</v>
      </c>
      <c r="G80">
        <v>-39958</v>
      </c>
      <c r="H80">
        <v>35941</v>
      </c>
      <c r="I80">
        <v>83951</v>
      </c>
      <c r="J80">
        <v>8395</v>
      </c>
      <c r="K80">
        <v>4197</v>
      </c>
      <c r="L80">
        <v>36691</v>
      </c>
      <c r="M80">
        <v>7338</v>
      </c>
      <c r="N80">
        <v>11007</v>
      </c>
      <c r="O80">
        <v>3669</v>
      </c>
      <c r="P80">
        <v>-14676</v>
      </c>
      <c r="Q80">
        <v>-9172</v>
      </c>
      <c r="R80">
        <v>33580</v>
      </c>
      <c r="S80">
        <v>10074</v>
      </c>
      <c r="T80">
        <v>3358</v>
      </c>
      <c r="U80">
        <v>1834</v>
      </c>
      <c r="V80">
        <v>1100</v>
      </c>
      <c r="W80">
        <v>733</v>
      </c>
      <c r="X80">
        <v>3669</v>
      </c>
      <c r="Y80">
        <v>1834</v>
      </c>
      <c r="Z80">
        <v>1679</v>
      </c>
      <c r="AA80">
        <v>1007</v>
      </c>
      <c r="AB80">
        <v>671</v>
      </c>
    </row>
    <row r="81" spans="1:28" x14ac:dyDescent="0.35">
      <c r="A81" t="s">
        <v>126</v>
      </c>
      <c r="B81" t="s">
        <v>9</v>
      </c>
      <c r="C81" t="s">
        <v>1</v>
      </c>
      <c r="D81" t="s">
        <v>10</v>
      </c>
      <c r="E81" t="s">
        <v>11</v>
      </c>
      <c r="F81">
        <v>121832</v>
      </c>
      <c r="G81">
        <v>-51267</v>
      </c>
      <c r="H81">
        <v>25382</v>
      </c>
      <c r="I81">
        <v>121832</v>
      </c>
      <c r="J81">
        <v>12183</v>
      </c>
      <c r="K81">
        <v>6091</v>
      </c>
      <c r="L81">
        <v>51598</v>
      </c>
      <c r="M81">
        <v>10319</v>
      </c>
      <c r="N81">
        <v>15479</v>
      </c>
      <c r="O81">
        <v>5159</v>
      </c>
      <c r="P81">
        <v>-20639</v>
      </c>
      <c r="Q81">
        <v>-12899</v>
      </c>
      <c r="R81">
        <v>42555</v>
      </c>
      <c r="S81">
        <v>12766</v>
      </c>
      <c r="T81">
        <v>4255</v>
      </c>
      <c r="U81">
        <v>2579</v>
      </c>
      <c r="V81">
        <v>1547</v>
      </c>
      <c r="W81">
        <v>1031</v>
      </c>
      <c r="X81">
        <v>5159</v>
      </c>
      <c r="Y81">
        <v>2579</v>
      </c>
      <c r="Z81">
        <v>2127</v>
      </c>
      <c r="AA81">
        <v>1276</v>
      </c>
      <c r="AB81">
        <v>851</v>
      </c>
    </row>
    <row r="82" spans="1:28" x14ac:dyDescent="0.35">
      <c r="A82" t="s">
        <v>127</v>
      </c>
      <c r="B82" t="s">
        <v>9</v>
      </c>
      <c r="C82" t="s">
        <v>1</v>
      </c>
      <c r="D82" t="s">
        <v>10</v>
      </c>
      <c r="E82" t="s">
        <v>11</v>
      </c>
      <c r="F82">
        <v>286278</v>
      </c>
      <c r="G82">
        <v>-86550</v>
      </c>
      <c r="H82">
        <v>74819</v>
      </c>
      <c r="I82">
        <v>286278</v>
      </c>
      <c r="J82">
        <v>28627</v>
      </c>
      <c r="K82">
        <v>14313</v>
      </c>
      <c r="L82">
        <v>71860</v>
      </c>
      <c r="M82">
        <v>14372</v>
      </c>
      <c r="N82">
        <v>21558</v>
      </c>
      <c r="O82">
        <v>7186</v>
      </c>
      <c r="P82">
        <v>-28744</v>
      </c>
      <c r="Q82">
        <v>-17965</v>
      </c>
      <c r="R82">
        <v>84590</v>
      </c>
      <c r="S82">
        <v>25377</v>
      </c>
      <c r="T82">
        <v>8459</v>
      </c>
      <c r="U82">
        <v>3593</v>
      </c>
      <c r="V82">
        <v>2155</v>
      </c>
      <c r="W82">
        <v>1437</v>
      </c>
      <c r="X82">
        <v>7186</v>
      </c>
      <c r="Y82">
        <v>3593</v>
      </c>
      <c r="Z82">
        <v>4229</v>
      </c>
      <c r="AA82">
        <v>2537</v>
      </c>
      <c r="AB82">
        <v>1691</v>
      </c>
    </row>
    <row r="83" spans="1:28" x14ac:dyDescent="0.35">
      <c r="A83" t="s">
        <v>128</v>
      </c>
      <c r="B83" t="s">
        <v>9</v>
      </c>
      <c r="C83" t="s">
        <v>1</v>
      </c>
      <c r="D83" t="s">
        <v>10</v>
      </c>
      <c r="E83" t="s">
        <v>11</v>
      </c>
      <c r="F83">
        <v>292581</v>
      </c>
      <c r="G83">
        <v>-82471</v>
      </c>
      <c r="H83">
        <v>135514</v>
      </c>
      <c r="I83">
        <v>292581</v>
      </c>
      <c r="J83">
        <v>29258</v>
      </c>
      <c r="K83">
        <v>14629</v>
      </c>
      <c r="L83">
        <v>129665</v>
      </c>
      <c r="M83">
        <v>25933</v>
      </c>
      <c r="N83">
        <v>38899</v>
      </c>
      <c r="O83">
        <v>12966</v>
      </c>
      <c r="P83">
        <v>-51866</v>
      </c>
      <c r="Q83">
        <v>-32416</v>
      </c>
      <c r="R83">
        <v>128754</v>
      </c>
      <c r="S83">
        <v>38626</v>
      </c>
      <c r="T83">
        <v>12875</v>
      </c>
      <c r="U83">
        <v>6483</v>
      </c>
      <c r="V83">
        <v>3889</v>
      </c>
      <c r="W83">
        <v>2593</v>
      </c>
      <c r="X83">
        <v>12966</v>
      </c>
      <c r="Y83">
        <v>6483</v>
      </c>
      <c r="Z83">
        <v>6437</v>
      </c>
      <c r="AA83">
        <v>3862</v>
      </c>
      <c r="AB83">
        <v>2575</v>
      </c>
    </row>
    <row r="84" spans="1:28" x14ac:dyDescent="0.35">
      <c r="A84" t="s">
        <v>129</v>
      </c>
      <c r="B84" t="s">
        <v>9</v>
      </c>
      <c r="C84" t="s">
        <v>1</v>
      </c>
      <c r="D84" t="s">
        <v>10</v>
      </c>
      <c r="E84" t="s">
        <v>11</v>
      </c>
      <c r="F84">
        <v>201677</v>
      </c>
      <c r="G84">
        <v>-70534</v>
      </c>
      <c r="H84">
        <v>36283</v>
      </c>
      <c r="I84">
        <v>201677</v>
      </c>
      <c r="J84">
        <v>20167</v>
      </c>
      <c r="K84">
        <v>10083</v>
      </c>
      <c r="L84">
        <v>96339</v>
      </c>
      <c r="M84">
        <v>19267</v>
      </c>
      <c r="N84">
        <v>28901</v>
      </c>
      <c r="O84">
        <v>9633</v>
      </c>
      <c r="P84">
        <v>-38535</v>
      </c>
      <c r="Q84">
        <v>-24084</v>
      </c>
      <c r="R84">
        <v>110239</v>
      </c>
      <c r="S84">
        <v>33071</v>
      </c>
      <c r="T84">
        <v>11023</v>
      </c>
      <c r="U84">
        <v>4816</v>
      </c>
      <c r="V84">
        <v>2890</v>
      </c>
      <c r="W84">
        <v>1926</v>
      </c>
      <c r="X84">
        <v>9633</v>
      </c>
      <c r="Y84">
        <v>4816</v>
      </c>
      <c r="Z84">
        <v>5511</v>
      </c>
      <c r="AA84">
        <v>3307</v>
      </c>
      <c r="AB84">
        <v>2204</v>
      </c>
    </row>
    <row r="85" spans="1:28" x14ac:dyDescent="0.35">
      <c r="A85" t="s">
        <v>130</v>
      </c>
      <c r="B85" t="s">
        <v>9</v>
      </c>
      <c r="C85" t="s">
        <v>1</v>
      </c>
      <c r="D85" t="s">
        <v>10</v>
      </c>
      <c r="E85" t="s">
        <v>11</v>
      </c>
      <c r="F85">
        <v>353938</v>
      </c>
      <c r="G85">
        <v>-187505</v>
      </c>
      <c r="H85">
        <v>36771</v>
      </c>
      <c r="I85">
        <v>353938</v>
      </c>
      <c r="J85">
        <v>35393</v>
      </c>
      <c r="K85">
        <v>17696</v>
      </c>
      <c r="L85">
        <v>117923</v>
      </c>
      <c r="M85">
        <v>23584</v>
      </c>
      <c r="N85">
        <v>35376</v>
      </c>
      <c r="O85">
        <v>11792</v>
      </c>
      <c r="P85">
        <v>-47169</v>
      </c>
      <c r="Q85">
        <v>-29480</v>
      </c>
      <c r="R85">
        <v>119963</v>
      </c>
      <c r="S85">
        <v>35988</v>
      </c>
      <c r="T85">
        <v>11996</v>
      </c>
      <c r="U85">
        <v>5896</v>
      </c>
      <c r="V85">
        <v>3537</v>
      </c>
      <c r="W85">
        <v>2358</v>
      </c>
      <c r="X85">
        <v>11792</v>
      </c>
      <c r="Y85">
        <v>5896</v>
      </c>
      <c r="Z85">
        <v>5998</v>
      </c>
      <c r="AA85">
        <v>3598</v>
      </c>
      <c r="AB85">
        <v>2399</v>
      </c>
    </row>
    <row r="86" spans="1:28" x14ac:dyDescent="0.35">
      <c r="A86" t="s">
        <v>131</v>
      </c>
      <c r="B86" t="s">
        <v>9</v>
      </c>
      <c r="C86" t="s">
        <v>1</v>
      </c>
      <c r="D86" t="s">
        <v>10</v>
      </c>
      <c r="E86" t="s">
        <v>11</v>
      </c>
      <c r="F86">
        <v>59511</v>
      </c>
      <c r="G86">
        <v>-16296</v>
      </c>
      <c r="H86">
        <v>8455</v>
      </c>
      <c r="I86">
        <v>59511</v>
      </c>
      <c r="J86">
        <v>5951</v>
      </c>
      <c r="K86">
        <v>2975</v>
      </c>
      <c r="L86">
        <v>17667</v>
      </c>
      <c r="M86">
        <v>3533</v>
      </c>
      <c r="N86">
        <v>5300</v>
      </c>
      <c r="O86">
        <v>1766</v>
      </c>
      <c r="P86">
        <v>-7066</v>
      </c>
      <c r="Q86">
        <v>-4416</v>
      </c>
      <c r="R86">
        <v>17590</v>
      </c>
      <c r="S86">
        <v>5277</v>
      </c>
      <c r="T86">
        <v>1759</v>
      </c>
      <c r="U86">
        <v>883</v>
      </c>
      <c r="V86">
        <v>530</v>
      </c>
      <c r="W86">
        <v>353</v>
      </c>
      <c r="X86">
        <v>1766</v>
      </c>
      <c r="Y86">
        <v>883</v>
      </c>
      <c r="Z86">
        <v>879</v>
      </c>
      <c r="AA86">
        <v>527</v>
      </c>
      <c r="AB86">
        <v>351</v>
      </c>
    </row>
    <row r="87" spans="1:28" x14ac:dyDescent="0.35">
      <c r="A87" t="s">
        <v>132</v>
      </c>
      <c r="B87" t="s">
        <v>9</v>
      </c>
      <c r="C87" t="s">
        <v>1</v>
      </c>
      <c r="D87" t="s">
        <v>10</v>
      </c>
      <c r="E87" t="s">
        <v>11</v>
      </c>
      <c r="F87">
        <v>238489</v>
      </c>
      <c r="G87">
        <v>-102111</v>
      </c>
      <c r="H87">
        <v>114620</v>
      </c>
      <c r="I87">
        <v>238489</v>
      </c>
      <c r="J87">
        <v>23848</v>
      </c>
      <c r="K87">
        <v>11924</v>
      </c>
      <c r="L87">
        <v>122402</v>
      </c>
      <c r="M87">
        <v>24480</v>
      </c>
      <c r="N87">
        <v>36720</v>
      </c>
      <c r="O87">
        <v>12240</v>
      </c>
      <c r="P87">
        <v>-48960</v>
      </c>
      <c r="Q87">
        <v>-30600</v>
      </c>
      <c r="R87">
        <v>135929</v>
      </c>
      <c r="S87">
        <v>40778</v>
      </c>
      <c r="T87">
        <v>13592</v>
      </c>
      <c r="U87">
        <v>6120</v>
      </c>
      <c r="V87">
        <v>3672</v>
      </c>
      <c r="W87">
        <v>2448</v>
      </c>
      <c r="X87">
        <v>12240</v>
      </c>
      <c r="Y87">
        <v>6120</v>
      </c>
      <c r="Z87">
        <v>6796</v>
      </c>
      <c r="AA87">
        <v>4077</v>
      </c>
      <c r="AB87">
        <v>2718</v>
      </c>
    </row>
    <row r="88" spans="1:28" x14ac:dyDescent="0.35">
      <c r="A88" t="s">
        <v>133</v>
      </c>
      <c r="B88" t="s">
        <v>9</v>
      </c>
      <c r="C88" t="s">
        <v>1</v>
      </c>
      <c r="D88" t="s">
        <v>10</v>
      </c>
      <c r="E88" t="s">
        <v>11</v>
      </c>
      <c r="F88">
        <v>477269</v>
      </c>
      <c r="G88">
        <v>-156231</v>
      </c>
      <c r="H88">
        <v>133621</v>
      </c>
      <c r="I88">
        <v>477269</v>
      </c>
      <c r="J88">
        <v>47726</v>
      </c>
      <c r="K88">
        <v>23863</v>
      </c>
      <c r="L88">
        <v>179803</v>
      </c>
      <c r="M88">
        <v>35960</v>
      </c>
      <c r="N88">
        <v>53940</v>
      </c>
      <c r="O88">
        <v>17980</v>
      </c>
      <c r="P88">
        <v>-71921</v>
      </c>
      <c r="Q88">
        <v>-44950</v>
      </c>
      <c r="R88">
        <v>165267</v>
      </c>
      <c r="S88">
        <v>49580</v>
      </c>
      <c r="T88">
        <v>16526</v>
      </c>
      <c r="U88">
        <v>8990</v>
      </c>
      <c r="V88">
        <v>5394</v>
      </c>
      <c r="W88">
        <v>3596</v>
      </c>
      <c r="X88">
        <v>17980</v>
      </c>
      <c r="Y88">
        <v>8990</v>
      </c>
      <c r="Z88">
        <v>8263</v>
      </c>
      <c r="AA88">
        <v>4958</v>
      </c>
      <c r="AB88">
        <v>3305</v>
      </c>
    </row>
    <row r="89" spans="1:28" x14ac:dyDescent="0.35">
      <c r="A89" t="s">
        <v>134</v>
      </c>
      <c r="B89" t="s">
        <v>9</v>
      </c>
      <c r="C89" t="s">
        <v>1</v>
      </c>
      <c r="D89" t="s">
        <v>10</v>
      </c>
      <c r="E89" t="s">
        <v>11</v>
      </c>
      <c r="F89">
        <v>425188</v>
      </c>
      <c r="G89">
        <v>-167579</v>
      </c>
      <c r="H89">
        <v>108887</v>
      </c>
      <c r="I89">
        <v>425188</v>
      </c>
      <c r="J89">
        <v>42518</v>
      </c>
      <c r="K89">
        <v>21259</v>
      </c>
      <c r="L89">
        <v>256510</v>
      </c>
      <c r="M89">
        <v>51302</v>
      </c>
      <c r="N89">
        <v>76953</v>
      </c>
      <c r="O89">
        <v>25651</v>
      </c>
      <c r="P89">
        <v>-102604</v>
      </c>
      <c r="Q89">
        <v>-64127</v>
      </c>
      <c r="R89">
        <v>206259</v>
      </c>
      <c r="S89">
        <v>61877</v>
      </c>
      <c r="T89">
        <v>20625</v>
      </c>
      <c r="U89">
        <v>12825</v>
      </c>
      <c r="V89">
        <v>7695</v>
      </c>
      <c r="W89">
        <v>5130</v>
      </c>
      <c r="X89">
        <v>25651</v>
      </c>
      <c r="Y89">
        <v>12825</v>
      </c>
      <c r="Z89">
        <v>10312</v>
      </c>
      <c r="AA89">
        <v>6187</v>
      </c>
      <c r="AB89">
        <v>4125</v>
      </c>
    </row>
    <row r="90" spans="1:28" x14ac:dyDescent="0.35">
      <c r="A90" t="s">
        <v>135</v>
      </c>
      <c r="B90" t="s">
        <v>9</v>
      </c>
      <c r="C90" t="s">
        <v>1</v>
      </c>
      <c r="D90" t="s">
        <v>10</v>
      </c>
      <c r="E90" t="s">
        <v>11</v>
      </c>
      <c r="F90">
        <v>105349</v>
      </c>
      <c r="G90">
        <v>-30577</v>
      </c>
      <c r="H90">
        <v>15393</v>
      </c>
      <c r="I90">
        <v>105349</v>
      </c>
      <c r="J90">
        <v>10534</v>
      </c>
      <c r="K90">
        <v>5267</v>
      </c>
      <c r="L90">
        <v>57894</v>
      </c>
      <c r="M90">
        <v>11578</v>
      </c>
      <c r="N90">
        <v>17368</v>
      </c>
      <c r="O90">
        <v>5789</v>
      </c>
      <c r="P90">
        <v>-23157</v>
      </c>
      <c r="Q90">
        <v>-14473</v>
      </c>
      <c r="R90">
        <v>54313</v>
      </c>
      <c r="S90">
        <v>16293</v>
      </c>
      <c r="T90">
        <v>5431</v>
      </c>
      <c r="U90">
        <v>2894</v>
      </c>
      <c r="V90">
        <v>1736</v>
      </c>
      <c r="W90">
        <v>1157</v>
      </c>
      <c r="X90">
        <v>5789</v>
      </c>
      <c r="Y90">
        <v>2894</v>
      </c>
      <c r="Z90">
        <v>2715</v>
      </c>
      <c r="AA90">
        <v>1629</v>
      </c>
      <c r="AB90">
        <v>1086</v>
      </c>
    </row>
    <row r="91" spans="1:28" x14ac:dyDescent="0.35">
      <c r="A91" t="s">
        <v>136</v>
      </c>
      <c r="B91" t="s">
        <v>9</v>
      </c>
      <c r="C91" t="s">
        <v>1</v>
      </c>
      <c r="D91" t="s">
        <v>10</v>
      </c>
      <c r="E91" t="s">
        <v>11</v>
      </c>
      <c r="F91">
        <v>337378</v>
      </c>
      <c r="G91">
        <v>-137933</v>
      </c>
      <c r="H91">
        <v>57660</v>
      </c>
      <c r="I91">
        <v>337378</v>
      </c>
      <c r="J91">
        <v>33737</v>
      </c>
      <c r="K91">
        <v>16868</v>
      </c>
      <c r="L91">
        <v>107474</v>
      </c>
      <c r="M91">
        <v>21494</v>
      </c>
      <c r="N91">
        <v>32242</v>
      </c>
      <c r="O91">
        <v>10747</v>
      </c>
      <c r="P91">
        <v>-42989</v>
      </c>
      <c r="Q91">
        <v>-26868</v>
      </c>
      <c r="R91">
        <v>102218</v>
      </c>
      <c r="S91">
        <v>30665</v>
      </c>
      <c r="T91">
        <v>10221</v>
      </c>
      <c r="U91">
        <v>5373</v>
      </c>
      <c r="V91">
        <v>3224</v>
      </c>
      <c r="W91">
        <v>2149</v>
      </c>
      <c r="X91">
        <v>10747</v>
      </c>
      <c r="Y91">
        <v>5373</v>
      </c>
      <c r="Z91">
        <v>5110</v>
      </c>
      <c r="AA91">
        <v>3066</v>
      </c>
      <c r="AB91">
        <v>2044</v>
      </c>
    </row>
    <row r="92" spans="1:28" x14ac:dyDescent="0.35">
      <c r="A92" t="s">
        <v>137</v>
      </c>
      <c r="B92" t="s">
        <v>9</v>
      </c>
      <c r="C92" t="s">
        <v>1</v>
      </c>
      <c r="D92" t="s">
        <v>10</v>
      </c>
      <c r="E92" t="s">
        <v>11</v>
      </c>
      <c r="F92">
        <v>421782</v>
      </c>
      <c r="G92">
        <v>-160159</v>
      </c>
      <c r="H92">
        <v>180793</v>
      </c>
      <c r="I92">
        <v>421782</v>
      </c>
      <c r="J92">
        <v>42178</v>
      </c>
      <c r="K92">
        <v>21089</v>
      </c>
      <c r="L92">
        <v>166368</v>
      </c>
      <c r="M92">
        <v>33273</v>
      </c>
      <c r="N92">
        <v>49910</v>
      </c>
      <c r="O92">
        <v>16636</v>
      </c>
      <c r="P92">
        <v>-66547</v>
      </c>
      <c r="Q92">
        <v>-41592</v>
      </c>
      <c r="R92">
        <v>155477</v>
      </c>
      <c r="S92">
        <v>46643</v>
      </c>
      <c r="T92">
        <v>15547</v>
      </c>
      <c r="U92">
        <v>8318</v>
      </c>
      <c r="V92">
        <v>4991</v>
      </c>
      <c r="W92">
        <v>3327</v>
      </c>
      <c r="X92">
        <v>16636</v>
      </c>
      <c r="Y92">
        <v>8318</v>
      </c>
      <c r="Z92">
        <v>7773</v>
      </c>
      <c r="AA92">
        <v>4664</v>
      </c>
      <c r="AB92">
        <v>3109</v>
      </c>
    </row>
    <row r="93" spans="1:28" x14ac:dyDescent="0.35">
      <c r="A93" t="s">
        <v>138</v>
      </c>
      <c r="B93" t="s">
        <v>9</v>
      </c>
      <c r="C93" t="s">
        <v>1</v>
      </c>
      <c r="D93" t="s">
        <v>10</v>
      </c>
      <c r="E93" t="s">
        <v>11</v>
      </c>
      <c r="F93">
        <v>234591</v>
      </c>
      <c r="G93">
        <v>-79618</v>
      </c>
      <c r="H93">
        <v>59400</v>
      </c>
      <c r="I93">
        <v>234591</v>
      </c>
      <c r="J93">
        <v>23459</v>
      </c>
      <c r="K93">
        <v>11729</v>
      </c>
      <c r="L93">
        <v>183374</v>
      </c>
      <c r="M93">
        <v>36674</v>
      </c>
      <c r="N93">
        <v>55012</v>
      </c>
      <c r="O93">
        <v>18337</v>
      </c>
      <c r="P93">
        <v>-73349</v>
      </c>
      <c r="Q93">
        <v>-45843</v>
      </c>
      <c r="R93">
        <v>186758</v>
      </c>
      <c r="S93">
        <v>56027</v>
      </c>
      <c r="T93">
        <v>18675</v>
      </c>
      <c r="U93">
        <v>9168</v>
      </c>
      <c r="V93">
        <v>5501</v>
      </c>
      <c r="W93">
        <v>3667</v>
      </c>
      <c r="X93">
        <v>18337</v>
      </c>
      <c r="Y93">
        <v>9168</v>
      </c>
      <c r="Z93">
        <v>9337</v>
      </c>
      <c r="AA93">
        <v>5602</v>
      </c>
      <c r="AB93">
        <v>3735</v>
      </c>
    </row>
    <row r="94" spans="1:28" x14ac:dyDescent="0.35">
      <c r="A94" t="s">
        <v>139</v>
      </c>
      <c r="B94" t="s">
        <v>9</v>
      </c>
      <c r="C94" t="s">
        <v>1</v>
      </c>
      <c r="D94" t="s">
        <v>10</v>
      </c>
      <c r="E94" t="s">
        <v>11</v>
      </c>
      <c r="F94">
        <v>452455</v>
      </c>
      <c r="G94">
        <v>-201568</v>
      </c>
      <c r="H94">
        <v>212093</v>
      </c>
      <c r="I94">
        <v>452455</v>
      </c>
      <c r="J94">
        <v>45245</v>
      </c>
      <c r="K94">
        <v>22622</v>
      </c>
      <c r="L94">
        <v>198374</v>
      </c>
      <c r="M94">
        <v>39674</v>
      </c>
      <c r="N94">
        <v>59512</v>
      </c>
      <c r="O94">
        <v>19837</v>
      </c>
      <c r="P94">
        <v>-79349</v>
      </c>
      <c r="Q94">
        <v>-49593</v>
      </c>
      <c r="R94">
        <v>173951</v>
      </c>
      <c r="S94">
        <v>52185</v>
      </c>
      <c r="T94">
        <v>17395</v>
      </c>
      <c r="U94">
        <v>9918</v>
      </c>
      <c r="V94">
        <v>5951</v>
      </c>
      <c r="W94">
        <v>3967</v>
      </c>
      <c r="X94">
        <v>19837</v>
      </c>
      <c r="Y94">
        <v>9918</v>
      </c>
      <c r="Z94">
        <v>8697</v>
      </c>
      <c r="AA94">
        <v>5218</v>
      </c>
      <c r="AB94">
        <v>3479</v>
      </c>
    </row>
    <row r="95" spans="1:28" x14ac:dyDescent="0.35">
      <c r="A95" t="s">
        <v>140</v>
      </c>
      <c r="B95" t="s">
        <v>9</v>
      </c>
      <c r="C95" t="s">
        <v>1</v>
      </c>
      <c r="D95" t="s">
        <v>10</v>
      </c>
      <c r="E95" t="s">
        <v>11</v>
      </c>
      <c r="F95">
        <v>352048</v>
      </c>
      <c r="G95">
        <v>-79872</v>
      </c>
      <c r="H95">
        <v>122023</v>
      </c>
      <c r="I95">
        <v>352048</v>
      </c>
      <c r="J95">
        <v>35204</v>
      </c>
      <c r="K95">
        <v>17602</v>
      </c>
      <c r="L95">
        <v>216503</v>
      </c>
      <c r="M95">
        <v>43300</v>
      </c>
      <c r="N95">
        <v>64950</v>
      </c>
      <c r="O95">
        <v>21650</v>
      </c>
      <c r="P95">
        <v>-86601</v>
      </c>
      <c r="Q95">
        <v>-54125</v>
      </c>
      <c r="R95">
        <v>183676</v>
      </c>
      <c r="S95">
        <v>55102</v>
      </c>
      <c r="T95">
        <v>18367</v>
      </c>
      <c r="U95">
        <v>10825</v>
      </c>
      <c r="V95">
        <v>6495</v>
      </c>
      <c r="W95">
        <v>4330</v>
      </c>
      <c r="X95">
        <v>21650</v>
      </c>
      <c r="Y95">
        <v>10825</v>
      </c>
      <c r="Z95">
        <v>9183</v>
      </c>
      <c r="AA95">
        <v>5510</v>
      </c>
      <c r="AB95">
        <v>3673</v>
      </c>
    </row>
    <row r="96" spans="1:28" x14ac:dyDescent="0.35">
      <c r="A96" t="s">
        <v>141</v>
      </c>
      <c r="B96" t="s">
        <v>9</v>
      </c>
      <c r="C96" t="s">
        <v>1</v>
      </c>
      <c r="D96" t="s">
        <v>10</v>
      </c>
      <c r="E96" t="s">
        <v>11</v>
      </c>
      <c r="F96">
        <v>184142</v>
      </c>
      <c r="G96">
        <v>-95375</v>
      </c>
      <c r="H96">
        <v>70555</v>
      </c>
      <c r="I96">
        <v>184142</v>
      </c>
      <c r="J96">
        <v>18414</v>
      </c>
      <c r="K96">
        <v>9207</v>
      </c>
      <c r="L96">
        <v>140197</v>
      </c>
      <c r="M96">
        <v>28039</v>
      </c>
      <c r="N96">
        <v>42059</v>
      </c>
      <c r="O96">
        <v>14019</v>
      </c>
      <c r="P96">
        <v>-56078</v>
      </c>
      <c r="Q96">
        <v>-35049</v>
      </c>
      <c r="R96">
        <v>150543</v>
      </c>
      <c r="S96">
        <v>45162</v>
      </c>
      <c r="T96">
        <v>15054</v>
      </c>
      <c r="U96">
        <v>7009</v>
      </c>
      <c r="V96">
        <v>4205</v>
      </c>
      <c r="W96">
        <v>2803</v>
      </c>
      <c r="X96">
        <v>14019</v>
      </c>
      <c r="Y96">
        <v>7009</v>
      </c>
      <c r="Z96">
        <v>7527</v>
      </c>
      <c r="AA96">
        <v>4516</v>
      </c>
      <c r="AB96">
        <v>3010</v>
      </c>
    </row>
    <row r="97" spans="1:28" x14ac:dyDescent="0.35">
      <c r="A97" t="s">
        <v>142</v>
      </c>
      <c r="B97" t="s">
        <v>9</v>
      </c>
      <c r="C97" t="s">
        <v>1</v>
      </c>
      <c r="D97" t="s">
        <v>10</v>
      </c>
      <c r="E97" t="s">
        <v>11</v>
      </c>
      <c r="F97">
        <v>207377</v>
      </c>
      <c r="G97">
        <v>-68074</v>
      </c>
      <c r="H97">
        <v>82272</v>
      </c>
      <c r="I97">
        <v>207377</v>
      </c>
      <c r="J97">
        <v>20737</v>
      </c>
      <c r="K97">
        <v>10368</v>
      </c>
      <c r="L97">
        <v>97747</v>
      </c>
      <c r="M97">
        <v>19549</v>
      </c>
      <c r="N97">
        <v>29324</v>
      </c>
      <c r="O97">
        <v>9774</v>
      </c>
      <c r="P97">
        <v>-39098</v>
      </c>
      <c r="Q97">
        <v>-24436</v>
      </c>
      <c r="R97">
        <v>110548</v>
      </c>
      <c r="S97">
        <v>33164</v>
      </c>
      <c r="T97">
        <v>11054</v>
      </c>
      <c r="U97">
        <v>4887</v>
      </c>
      <c r="V97">
        <v>2932</v>
      </c>
      <c r="W97">
        <v>1954</v>
      </c>
      <c r="X97">
        <v>9774</v>
      </c>
      <c r="Y97">
        <v>4887</v>
      </c>
      <c r="Z97">
        <v>5527</v>
      </c>
      <c r="AA97">
        <v>3316</v>
      </c>
      <c r="AB97">
        <v>2210</v>
      </c>
    </row>
    <row r="98" spans="1:28" x14ac:dyDescent="0.35">
      <c r="A98" t="s">
        <v>143</v>
      </c>
      <c r="B98" t="s">
        <v>9</v>
      </c>
      <c r="C98" t="s">
        <v>1</v>
      </c>
      <c r="D98" t="s">
        <v>10</v>
      </c>
      <c r="E98" t="s">
        <v>11</v>
      </c>
      <c r="F98">
        <v>275912</v>
      </c>
      <c r="G98">
        <v>-147780</v>
      </c>
      <c r="H98">
        <v>123127</v>
      </c>
      <c r="I98">
        <v>275912</v>
      </c>
      <c r="J98">
        <v>27591</v>
      </c>
      <c r="K98">
        <v>13795</v>
      </c>
      <c r="L98">
        <v>72195</v>
      </c>
      <c r="M98">
        <v>14439</v>
      </c>
      <c r="N98">
        <v>21658</v>
      </c>
      <c r="O98">
        <v>7219</v>
      </c>
      <c r="P98">
        <v>-28878</v>
      </c>
      <c r="Q98">
        <v>-18048</v>
      </c>
      <c r="R98">
        <v>67164</v>
      </c>
      <c r="S98">
        <v>20149</v>
      </c>
      <c r="T98">
        <v>6716</v>
      </c>
      <c r="U98">
        <v>3609</v>
      </c>
      <c r="V98">
        <v>2165</v>
      </c>
      <c r="W98">
        <v>1443</v>
      </c>
      <c r="X98">
        <v>7219</v>
      </c>
      <c r="Y98">
        <v>3609</v>
      </c>
      <c r="Z98">
        <v>3358</v>
      </c>
      <c r="AA98">
        <v>2014</v>
      </c>
      <c r="AB98">
        <v>1343</v>
      </c>
    </row>
    <row r="99" spans="1:28" x14ac:dyDescent="0.35">
      <c r="A99" t="s">
        <v>144</v>
      </c>
      <c r="B99" t="s">
        <v>9</v>
      </c>
      <c r="C99" t="s">
        <v>1</v>
      </c>
      <c r="D99" t="s">
        <v>10</v>
      </c>
      <c r="E99" t="s">
        <v>11</v>
      </c>
      <c r="F99">
        <v>384133</v>
      </c>
      <c r="G99">
        <v>-121876</v>
      </c>
      <c r="H99">
        <v>89687</v>
      </c>
      <c r="I99">
        <v>384133</v>
      </c>
      <c r="J99">
        <v>38413</v>
      </c>
      <c r="K99">
        <v>19206</v>
      </c>
      <c r="L99">
        <v>118494</v>
      </c>
      <c r="M99">
        <v>23698</v>
      </c>
      <c r="N99">
        <v>35548</v>
      </c>
      <c r="O99">
        <v>11849</v>
      </c>
      <c r="P99">
        <v>-47397</v>
      </c>
      <c r="Q99">
        <v>-29623</v>
      </c>
      <c r="R99">
        <v>123905</v>
      </c>
      <c r="S99">
        <v>37171</v>
      </c>
      <c r="T99">
        <v>12390</v>
      </c>
      <c r="U99">
        <v>5924</v>
      </c>
      <c r="V99">
        <v>3554</v>
      </c>
      <c r="W99">
        <v>2369</v>
      </c>
      <c r="X99">
        <v>11849</v>
      </c>
      <c r="Y99">
        <v>5924</v>
      </c>
      <c r="Z99">
        <v>6195</v>
      </c>
      <c r="AA99">
        <v>3717</v>
      </c>
      <c r="AB99">
        <v>2478</v>
      </c>
    </row>
    <row r="100" spans="1:28" x14ac:dyDescent="0.35">
      <c r="A100" t="s">
        <v>145</v>
      </c>
      <c r="B100" t="s">
        <v>9</v>
      </c>
      <c r="C100" t="s">
        <v>1</v>
      </c>
      <c r="D100" t="s">
        <v>10</v>
      </c>
      <c r="E100" t="s">
        <v>11</v>
      </c>
      <c r="F100">
        <v>107738</v>
      </c>
      <c r="G100">
        <v>-55378</v>
      </c>
      <c r="H100">
        <v>27367</v>
      </c>
      <c r="I100">
        <v>107738</v>
      </c>
      <c r="J100">
        <v>10773</v>
      </c>
      <c r="K100">
        <v>5386</v>
      </c>
      <c r="L100">
        <v>43710</v>
      </c>
      <c r="M100">
        <v>8742</v>
      </c>
      <c r="N100">
        <v>13113</v>
      </c>
      <c r="O100">
        <v>4371</v>
      </c>
      <c r="P100">
        <v>-17484</v>
      </c>
      <c r="Q100">
        <v>-10927</v>
      </c>
      <c r="R100">
        <v>37807</v>
      </c>
      <c r="S100">
        <v>11342</v>
      </c>
      <c r="T100">
        <v>3780</v>
      </c>
      <c r="U100">
        <v>2185</v>
      </c>
      <c r="V100">
        <v>1311</v>
      </c>
      <c r="W100">
        <v>874</v>
      </c>
      <c r="X100">
        <v>4371</v>
      </c>
      <c r="Y100">
        <v>2185</v>
      </c>
      <c r="Z100">
        <v>1890</v>
      </c>
      <c r="AA100">
        <v>1134</v>
      </c>
      <c r="AB100">
        <v>756</v>
      </c>
    </row>
    <row r="101" spans="1:28" x14ac:dyDescent="0.35">
      <c r="A101" t="s">
        <v>146</v>
      </c>
      <c r="B101" t="s">
        <v>9</v>
      </c>
      <c r="C101" t="s">
        <v>1</v>
      </c>
      <c r="D101" t="s">
        <v>10</v>
      </c>
      <c r="E101" t="s">
        <v>11</v>
      </c>
      <c r="F101">
        <v>299089</v>
      </c>
      <c r="G101">
        <v>-115038</v>
      </c>
      <c r="H101">
        <v>135986</v>
      </c>
      <c r="I101">
        <v>299089</v>
      </c>
      <c r="J101">
        <v>29908</v>
      </c>
      <c r="K101">
        <v>14954</v>
      </c>
      <c r="L101">
        <v>227238</v>
      </c>
      <c r="M101">
        <v>45447</v>
      </c>
      <c r="N101">
        <v>68171</v>
      </c>
      <c r="O101">
        <v>22723</v>
      </c>
      <c r="P101">
        <v>-90895</v>
      </c>
      <c r="Q101">
        <v>-56809</v>
      </c>
      <c r="R101">
        <v>213399</v>
      </c>
      <c r="S101">
        <v>64019</v>
      </c>
      <c r="T101">
        <v>21339</v>
      </c>
      <c r="U101">
        <v>11361</v>
      </c>
      <c r="V101">
        <v>6817</v>
      </c>
      <c r="W101">
        <v>4544</v>
      </c>
      <c r="X101">
        <v>22723</v>
      </c>
      <c r="Y101">
        <v>11361</v>
      </c>
      <c r="Z101">
        <v>10669</v>
      </c>
      <c r="AA101">
        <v>6401</v>
      </c>
      <c r="AB101">
        <v>4267</v>
      </c>
    </row>
    <row r="102" spans="1:28" x14ac:dyDescent="0.35">
      <c r="A102" t="s">
        <v>147</v>
      </c>
      <c r="B102" t="s">
        <v>9</v>
      </c>
      <c r="C102" t="s">
        <v>1</v>
      </c>
      <c r="D102" t="s">
        <v>10</v>
      </c>
      <c r="E102" t="s">
        <v>11</v>
      </c>
      <c r="F102">
        <v>79556</v>
      </c>
      <c r="G102">
        <v>-16726</v>
      </c>
      <c r="H102">
        <v>39492</v>
      </c>
      <c r="I102">
        <v>79556</v>
      </c>
      <c r="J102">
        <v>7955</v>
      </c>
      <c r="K102">
        <v>3977</v>
      </c>
      <c r="L102">
        <v>20893</v>
      </c>
      <c r="M102">
        <v>4178</v>
      </c>
      <c r="N102">
        <v>6267</v>
      </c>
      <c r="O102">
        <v>2089</v>
      </c>
      <c r="P102">
        <v>-8357</v>
      </c>
      <c r="Q102">
        <v>-5223</v>
      </c>
      <c r="R102">
        <v>22676</v>
      </c>
      <c r="S102">
        <v>6802</v>
      </c>
      <c r="T102">
        <v>2267</v>
      </c>
      <c r="U102">
        <v>1044</v>
      </c>
      <c r="V102">
        <v>626</v>
      </c>
      <c r="W102">
        <v>417</v>
      </c>
      <c r="X102">
        <v>2089</v>
      </c>
      <c r="Y102">
        <v>1044</v>
      </c>
      <c r="Z102">
        <v>1133</v>
      </c>
      <c r="AA102">
        <v>680</v>
      </c>
      <c r="AB102">
        <v>453</v>
      </c>
    </row>
    <row r="103" spans="1:28" x14ac:dyDescent="0.35">
      <c r="A103" t="s">
        <v>148</v>
      </c>
      <c r="B103" t="s">
        <v>9</v>
      </c>
      <c r="C103" t="s">
        <v>1</v>
      </c>
      <c r="D103" t="s">
        <v>10</v>
      </c>
      <c r="E103" t="s">
        <v>11</v>
      </c>
      <c r="F103">
        <v>68640</v>
      </c>
      <c r="G103">
        <v>-16098</v>
      </c>
      <c r="H103">
        <v>11265</v>
      </c>
      <c r="I103">
        <v>68640</v>
      </c>
      <c r="J103">
        <v>6864</v>
      </c>
      <c r="K103">
        <v>3432</v>
      </c>
      <c r="L103">
        <v>44668</v>
      </c>
      <c r="M103">
        <v>8933</v>
      </c>
      <c r="N103">
        <v>13400</v>
      </c>
      <c r="O103">
        <v>4466</v>
      </c>
      <c r="P103">
        <v>-17867</v>
      </c>
      <c r="Q103">
        <v>-11167</v>
      </c>
      <c r="R103">
        <v>39995</v>
      </c>
      <c r="S103">
        <v>11998</v>
      </c>
      <c r="T103">
        <v>3999</v>
      </c>
      <c r="U103">
        <v>2233</v>
      </c>
      <c r="V103">
        <v>1340</v>
      </c>
      <c r="W103">
        <v>893</v>
      </c>
      <c r="X103">
        <v>4466</v>
      </c>
      <c r="Y103">
        <v>2233</v>
      </c>
      <c r="Z103">
        <v>1999</v>
      </c>
      <c r="AA103">
        <v>1199</v>
      </c>
      <c r="AB103">
        <v>799</v>
      </c>
    </row>
    <row r="104" spans="1:28" x14ac:dyDescent="0.35">
      <c r="A104" t="s">
        <v>149</v>
      </c>
      <c r="B104" t="s">
        <v>9</v>
      </c>
      <c r="C104" t="s">
        <v>1</v>
      </c>
      <c r="D104" t="s">
        <v>10</v>
      </c>
      <c r="E104" t="s">
        <v>11</v>
      </c>
      <c r="F104">
        <v>292880</v>
      </c>
      <c r="G104">
        <v>-140181</v>
      </c>
      <c r="H104">
        <v>38571</v>
      </c>
      <c r="I104">
        <v>292880</v>
      </c>
      <c r="J104">
        <v>29288</v>
      </c>
      <c r="K104">
        <v>14644</v>
      </c>
      <c r="L104">
        <v>73440</v>
      </c>
      <c r="M104">
        <v>14688</v>
      </c>
      <c r="N104">
        <v>22032</v>
      </c>
      <c r="O104">
        <v>7344</v>
      </c>
      <c r="P104">
        <v>-29376</v>
      </c>
      <c r="Q104">
        <v>-18360</v>
      </c>
      <c r="R104">
        <v>82469</v>
      </c>
      <c r="S104">
        <v>24740</v>
      </c>
      <c r="T104">
        <v>8246</v>
      </c>
      <c r="U104">
        <v>3672</v>
      </c>
      <c r="V104">
        <v>2203</v>
      </c>
      <c r="W104">
        <v>1468</v>
      </c>
      <c r="X104">
        <v>7344</v>
      </c>
      <c r="Y104">
        <v>3672</v>
      </c>
      <c r="Z104">
        <v>4123</v>
      </c>
      <c r="AA104">
        <v>2474</v>
      </c>
      <c r="AB104">
        <v>1649</v>
      </c>
    </row>
    <row r="105" spans="1:28" x14ac:dyDescent="0.35">
      <c r="A105" t="s">
        <v>150</v>
      </c>
      <c r="B105" t="s">
        <v>9</v>
      </c>
      <c r="C105" t="s">
        <v>1</v>
      </c>
      <c r="D105" t="s">
        <v>10</v>
      </c>
      <c r="E105" t="s">
        <v>11</v>
      </c>
      <c r="F105">
        <v>478500</v>
      </c>
      <c r="G105">
        <v>-126846</v>
      </c>
      <c r="H105">
        <v>159110</v>
      </c>
      <c r="I105">
        <v>478500</v>
      </c>
      <c r="J105">
        <v>47850</v>
      </c>
      <c r="K105">
        <v>23925</v>
      </c>
      <c r="L105">
        <v>107385</v>
      </c>
      <c r="M105">
        <v>21477</v>
      </c>
      <c r="N105">
        <v>32215</v>
      </c>
      <c r="O105">
        <v>10738</v>
      </c>
      <c r="P105">
        <v>-42954</v>
      </c>
      <c r="Q105">
        <v>-26846</v>
      </c>
      <c r="R105">
        <v>113992</v>
      </c>
      <c r="S105">
        <v>34197</v>
      </c>
      <c r="T105">
        <v>11399</v>
      </c>
      <c r="U105">
        <v>5369</v>
      </c>
      <c r="V105">
        <v>3221</v>
      </c>
      <c r="W105">
        <v>2147</v>
      </c>
      <c r="X105">
        <v>10738</v>
      </c>
      <c r="Y105">
        <v>5369</v>
      </c>
      <c r="Z105">
        <v>5699</v>
      </c>
      <c r="AA105">
        <v>3419</v>
      </c>
      <c r="AB105">
        <v>2279</v>
      </c>
    </row>
    <row r="106" spans="1:28" x14ac:dyDescent="0.35">
      <c r="A106" t="s">
        <v>151</v>
      </c>
      <c r="B106" t="s">
        <v>9</v>
      </c>
      <c r="C106" t="s">
        <v>1</v>
      </c>
      <c r="D106" t="s">
        <v>10</v>
      </c>
      <c r="E106" t="s">
        <v>11</v>
      </c>
      <c r="F106">
        <v>140219</v>
      </c>
      <c r="G106">
        <v>-39495</v>
      </c>
      <c r="H106">
        <v>57565</v>
      </c>
      <c r="I106">
        <v>140219</v>
      </c>
      <c r="J106">
        <v>14021</v>
      </c>
      <c r="K106">
        <v>7010</v>
      </c>
      <c r="L106">
        <v>71631</v>
      </c>
      <c r="M106">
        <v>14326</v>
      </c>
      <c r="N106">
        <v>21489</v>
      </c>
      <c r="O106">
        <v>7163</v>
      </c>
      <c r="P106">
        <v>-28652</v>
      </c>
      <c r="Q106">
        <v>-17907</v>
      </c>
      <c r="R106">
        <v>81078</v>
      </c>
      <c r="S106">
        <v>24323</v>
      </c>
      <c r="T106">
        <v>8107</v>
      </c>
      <c r="U106">
        <v>3581</v>
      </c>
      <c r="V106">
        <v>2148</v>
      </c>
      <c r="W106">
        <v>1432</v>
      </c>
      <c r="X106">
        <v>7163</v>
      </c>
      <c r="Y106">
        <v>3581</v>
      </c>
      <c r="Z106">
        <v>4053</v>
      </c>
      <c r="AA106">
        <v>2432</v>
      </c>
      <c r="AB106">
        <v>1621</v>
      </c>
    </row>
    <row r="107" spans="1:28" x14ac:dyDescent="0.35">
      <c r="A107" t="s">
        <v>152</v>
      </c>
      <c r="B107" t="s">
        <v>9</v>
      </c>
      <c r="C107" t="s">
        <v>1</v>
      </c>
      <c r="D107" t="s">
        <v>10</v>
      </c>
      <c r="E107" t="s">
        <v>11</v>
      </c>
      <c r="F107">
        <v>470920</v>
      </c>
      <c r="G107">
        <v>-135356</v>
      </c>
      <c r="H107">
        <v>66447</v>
      </c>
      <c r="I107">
        <v>470920</v>
      </c>
      <c r="J107">
        <v>47092</v>
      </c>
      <c r="K107">
        <v>23546</v>
      </c>
      <c r="L107">
        <v>281376</v>
      </c>
      <c r="M107">
        <v>56275</v>
      </c>
      <c r="N107">
        <v>84412</v>
      </c>
      <c r="O107">
        <v>28137</v>
      </c>
      <c r="P107">
        <v>-112550</v>
      </c>
      <c r="Q107">
        <v>-70344</v>
      </c>
      <c r="R107">
        <v>295976</v>
      </c>
      <c r="S107">
        <v>88792</v>
      </c>
      <c r="T107">
        <v>29597</v>
      </c>
      <c r="U107">
        <v>14068</v>
      </c>
      <c r="V107">
        <v>8441</v>
      </c>
      <c r="W107">
        <v>5627</v>
      </c>
      <c r="X107">
        <v>28137</v>
      </c>
      <c r="Y107">
        <v>14068</v>
      </c>
      <c r="Z107">
        <v>14798</v>
      </c>
      <c r="AA107">
        <v>8879</v>
      </c>
      <c r="AB107">
        <v>5919</v>
      </c>
    </row>
    <row r="108" spans="1:28" x14ac:dyDescent="0.35">
      <c r="A108" t="s">
        <v>153</v>
      </c>
      <c r="B108" t="s">
        <v>9</v>
      </c>
      <c r="C108" t="s">
        <v>1</v>
      </c>
      <c r="D108" t="s">
        <v>10</v>
      </c>
      <c r="E108" t="s">
        <v>11</v>
      </c>
      <c r="F108">
        <v>348914</v>
      </c>
      <c r="G108">
        <v>-139136</v>
      </c>
      <c r="H108">
        <v>160992</v>
      </c>
      <c r="I108">
        <v>348914</v>
      </c>
      <c r="J108">
        <v>34891</v>
      </c>
      <c r="K108">
        <v>17445</v>
      </c>
      <c r="L108">
        <v>233598</v>
      </c>
      <c r="M108">
        <v>46719</v>
      </c>
      <c r="N108">
        <v>70079</v>
      </c>
      <c r="O108">
        <v>23359</v>
      </c>
      <c r="P108">
        <v>-93439</v>
      </c>
      <c r="Q108">
        <v>-58399</v>
      </c>
      <c r="R108">
        <v>239226</v>
      </c>
      <c r="S108">
        <v>71767</v>
      </c>
      <c r="T108">
        <v>23922</v>
      </c>
      <c r="U108">
        <v>11679</v>
      </c>
      <c r="V108">
        <v>7007</v>
      </c>
      <c r="W108">
        <v>4671</v>
      </c>
      <c r="X108">
        <v>23359</v>
      </c>
      <c r="Y108">
        <v>11679</v>
      </c>
      <c r="Z108">
        <v>11961</v>
      </c>
      <c r="AA108">
        <v>7176</v>
      </c>
      <c r="AB108">
        <v>4784</v>
      </c>
    </row>
    <row r="109" spans="1:28" x14ac:dyDescent="0.35">
      <c r="A109" t="s">
        <v>154</v>
      </c>
      <c r="B109" t="s">
        <v>9</v>
      </c>
      <c r="C109" t="s">
        <v>1</v>
      </c>
      <c r="D109" t="s">
        <v>10</v>
      </c>
      <c r="E109" t="s">
        <v>11</v>
      </c>
      <c r="F109">
        <v>214178</v>
      </c>
      <c r="G109">
        <v>-86038</v>
      </c>
      <c r="H109">
        <v>31353</v>
      </c>
      <c r="I109">
        <v>214178</v>
      </c>
      <c r="J109">
        <v>21417</v>
      </c>
      <c r="K109">
        <v>10708</v>
      </c>
      <c r="L109">
        <v>69431</v>
      </c>
      <c r="M109">
        <v>13886</v>
      </c>
      <c r="N109">
        <v>20829</v>
      </c>
      <c r="O109">
        <v>6943</v>
      </c>
      <c r="P109">
        <v>-27772</v>
      </c>
      <c r="Q109">
        <v>-17357</v>
      </c>
      <c r="R109">
        <v>74033</v>
      </c>
      <c r="S109">
        <v>22209</v>
      </c>
      <c r="T109">
        <v>7403</v>
      </c>
      <c r="U109">
        <v>3471</v>
      </c>
      <c r="V109">
        <v>2082</v>
      </c>
      <c r="W109">
        <v>1388</v>
      </c>
      <c r="X109">
        <v>6943</v>
      </c>
      <c r="Y109">
        <v>3471</v>
      </c>
      <c r="Z109">
        <v>3701</v>
      </c>
      <c r="AA109">
        <v>2220</v>
      </c>
      <c r="AB109">
        <v>1480</v>
      </c>
    </row>
    <row r="110" spans="1:28" x14ac:dyDescent="0.35">
      <c r="A110" t="s">
        <v>155</v>
      </c>
      <c r="B110" t="s">
        <v>9</v>
      </c>
      <c r="C110" t="s">
        <v>1</v>
      </c>
      <c r="D110" t="s">
        <v>10</v>
      </c>
      <c r="E110" t="s">
        <v>11</v>
      </c>
      <c r="F110">
        <v>447144</v>
      </c>
      <c r="G110">
        <v>-160739</v>
      </c>
      <c r="H110">
        <v>104302</v>
      </c>
      <c r="I110">
        <v>447144</v>
      </c>
      <c r="J110">
        <v>44714</v>
      </c>
      <c r="K110">
        <v>22357</v>
      </c>
      <c r="L110">
        <v>140626</v>
      </c>
      <c r="M110">
        <v>28125</v>
      </c>
      <c r="N110">
        <v>42187</v>
      </c>
      <c r="O110">
        <v>14062</v>
      </c>
      <c r="P110">
        <v>-56250</v>
      </c>
      <c r="Q110">
        <v>-35156</v>
      </c>
      <c r="R110">
        <v>147087</v>
      </c>
      <c r="S110">
        <v>44126</v>
      </c>
      <c r="T110">
        <v>14708</v>
      </c>
      <c r="U110">
        <v>7031</v>
      </c>
      <c r="V110">
        <v>4218</v>
      </c>
      <c r="W110">
        <v>2812</v>
      </c>
      <c r="X110">
        <v>14062</v>
      </c>
      <c r="Y110">
        <v>7031</v>
      </c>
      <c r="Z110">
        <v>7354</v>
      </c>
      <c r="AA110">
        <v>4412</v>
      </c>
      <c r="AB110">
        <v>2941</v>
      </c>
    </row>
    <row r="111" spans="1:28" x14ac:dyDescent="0.35">
      <c r="A111" t="s">
        <v>156</v>
      </c>
      <c r="B111" t="s">
        <v>9</v>
      </c>
      <c r="C111" t="s">
        <v>1</v>
      </c>
      <c r="D111" t="s">
        <v>10</v>
      </c>
      <c r="E111" t="s">
        <v>11</v>
      </c>
      <c r="F111">
        <v>82404</v>
      </c>
      <c r="G111">
        <v>-19330</v>
      </c>
      <c r="H111">
        <v>28553</v>
      </c>
      <c r="I111">
        <v>82404</v>
      </c>
      <c r="J111">
        <v>8240</v>
      </c>
      <c r="K111">
        <v>4120</v>
      </c>
      <c r="L111">
        <v>32869</v>
      </c>
      <c r="M111">
        <v>6573</v>
      </c>
      <c r="N111">
        <v>9860</v>
      </c>
      <c r="O111">
        <v>3286</v>
      </c>
      <c r="P111">
        <v>-13147</v>
      </c>
      <c r="Q111">
        <v>-8217</v>
      </c>
      <c r="R111">
        <v>27166</v>
      </c>
      <c r="S111">
        <v>8149</v>
      </c>
      <c r="T111">
        <v>2716</v>
      </c>
      <c r="U111">
        <v>1643</v>
      </c>
      <c r="V111">
        <v>986</v>
      </c>
      <c r="W111">
        <v>657</v>
      </c>
      <c r="X111">
        <v>3286</v>
      </c>
      <c r="Y111">
        <v>1643</v>
      </c>
      <c r="Z111">
        <v>1358</v>
      </c>
      <c r="AA111">
        <v>814</v>
      </c>
      <c r="AB111">
        <v>543</v>
      </c>
    </row>
    <row r="112" spans="1:28" x14ac:dyDescent="0.35">
      <c r="A112" t="s">
        <v>157</v>
      </c>
      <c r="B112" t="s">
        <v>9</v>
      </c>
      <c r="C112" t="s">
        <v>1</v>
      </c>
      <c r="D112" t="s">
        <v>10</v>
      </c>
      <c r="E112" t="s">
        <v>11</v>
      </c>
      <c r="F112">
        <v>247871</v>
      </c>
      <c r="G112">
        <v>-83367</v>
      </c>
      <c r="H112">
        <v>33815</v>
      </c>
      <c r="I112">
        <v>247871</v>
      </c>
      <c r="J112">
        <v>24787</v>
      </c>
      <c r="K112">
        <v>12393</v>
      </c>
      <c r="L112">
        <v>173231</v>
      </c>
      <c r="M112">
        <v>34646</v>
      </c>
      <c r="N112">
        <v>51969</v>
      </c>
      <c r="O112">
        <v>17323</v>
      </c>
      <c r="P112">
        <v>-69292</v>
      </c>
      <c r="Q112">
        <v>-43307</v>
      </c>
      <c r="R112">
        <v>143904</v>
      </c>
      <c r="S112">
        <v>43171</v>
      </c>
      <c r="T112">
        <v>14390</v>
      </c>
      <c r="U112">
        <v>8661</v>
      </c>
      <c r="V112">
        <v>5196</v>
      </c>
      <c r="W112">
        <v>3464</v>
      </c>
      <c r="X112">
        <v>17323</v>
      </c>
      <c r="Y112">
        <v>8661</v>
      </c>
      <c r="Z112">
        <v>7195</v>
      </c>
      <c r="AA112">
        <v>4317</v>
      </c>
      <c r="AB112">
        <v>2878</v>
      </c>
    </row>
    <row r="113" spans="1:28" x14ac:dyDescent="0.35">
      <c r="A113" t="s">
        <v>158</v>
      </c>
      <c r="B113" t="s">
        <v>9</v>
      </c>
      <c r="C113" t="s">
        <v>1</v>
      </c>
      <c r="D113" t="s">
        <v>10</v>
      </c>
      <c r="E113" t="s">
        <v>11</v>
      </c>
      <c r="F113">
        <v>279303</v>
      </c>
      <c r="G113">
        <v>-63791</v>
      </c>
      <c r="H113">
        <v>91800</v>
      </c>
      <c r="I113">
        <v>279303</v>
      </c>
      <c r="J113">
        <v>27930</v>
      </c>
      <c r="K113">
        <v>13965</v>
      </c>
      <c r="L113">
        <v>168916</v>
      </c>
      <c r="M113">
        <v>33783</v>
      </c>
      <c r="N113">
        <v>50674</v>
      </c>
      <c r="O113">
        <v>16891</v>
      </c>
      <c r="P113">
        <v>-67566</v>
      </c>
      <c r="Q113">
        <v>-42229</v>
      </c>
      <c r="R113">
        <v>156559</v>
      </c>
      <c r="S113">
        <v>46967</v>
      </c>
      <c r="T113">
        <v>15655</v>
      </c>
      <c r="U113">
        <v>8445</v>
      </c>
      <c r="V113">
        <v>5067</v>
      </c>
      <c r="W113">
        <v>3378</v>
      </c>
      <c r="X113">
        <v>16891</v>
      </c>
      <c r="Y113">
        <v>8445</v>
      </c>
      <c r="Z113">
        <v>7827</v>
      </c>
      <c r="AA113">
        <v>4696</v>
      </c>
      <c r="AB113">
        <v>3131</v>
      </c>
    </row>
    <row r="114" spans="1:28" x14ac:dyDescent="0.35">
      <c r="A114" t="s">
        <v>159</v>
      </c>
      <c r="B114" t="s">
        <v>9</v>
      </c>
      <c r="C114" t="s">
        <v>1</v>
      </c>
      <c r="D114" t="s">
        <v>10</v>
      </c>
      <c r="E114" t="s">
        <v>11</v>
      </c>
      <c r="F114">
        <v>132611</v>
      </c>
      <c r="G114">
        <v>-61159</v>
      </c>
      <c r="H114">
        <v>23375</v>
      </c>
      <c r="I114">
        <v>132611</v>
      </c>
      <c r="J114">
        <v>13261</v>
      </c>
      <c r="K114">
        <v>6630</v>
      </c>
      <c r="L114">
        <v>72750</v>
      </c>
      <c r="M114">
        <v>14550</v>
      </c>
      <c r="N114">
        <v>21825</v>
      </c>
      <c r="O114">
        <v>7275</v>
      </c>
      <c r="P114">
        <v>-29100</v>
      </c>
      <c r="Q114">
        <v>-18187</v>
      </c>
      <c r="R114">
        <v>67219</v>
      </c>
      <c r="S114">
        <v>20165</v>
      </c>
      <c r="T114">
        <v>6721</v>
      </c>
      <c r="U114">
        <v>3637</v>
      </c>
      <c r="V114">
        <v>2182</v>
      </c>
      <c r="W114">
        <v>1455</v>
      </c>
      <c r="X114">
        <v>7275</v>
      </c>
      <c r="Y114">
        <v>3637</v>
      </c>
      <c r="Z114">
        <v>3360</v>
      </c>
      <c r="AA114">
        <v>2016</v>
      </c>
      <c r="AB114">
        <v>1344</v>
      </c>
    </row>
    <row r="115" spans="1:28" x14ac:dyDescent="0.35">
      <c r="A115" t="s">
        <v>160</v>
      </c>
      <c r="B115" t="s">
        <v>9</v>
      </c>
      <c r="C115" t="s">
        <v>1</v>
      </c>
      <c r="D115" t="s">
        <v>10</v>
      </c>
      <c r="E115" t="s">
        <v>11</v>
      </c>
      <c r="F115">
        <v>279632</v>
      </c>
      <c r="G115">
        <v>-156986</v>
      </c>
      <c r="H115">
        <v>136772</v>
      </c>
      <c r="I115">
        <v>279632</v>
      </c>
      <c r="J115">
        <v>27963</v>
      </c>
      <c r="K115">
        <v>13981</v>
      </c>
      <c r="L115">
        <v>126220</v>
      </c>
      <c r="M115">
        <v>25244</v>
      </c>
      <c r="N115">
        <v>37866</v>
      </c>
      <c r="O115">
        <v>12622</v>
      </c>
      <c r="P115">
        <v>-50488</v>
      </c>
      <c r="Q115">
        <v>-31555</v>
      </c>
      <c r="R115">
        <v>125475</v>
      </c>
      <c r="S115">
        <v>37642</v>
      </c>
      <c r="T115">
        <v>12547</v>
      </c>
      <c r="U115">
        <v>6311</v>
      </c>
      <c r="V115">
        <v>3786</v>
      </c>
      <c r="W115">
        <v>2524</v>
      </c>
      <c r="X115">
        <v>12622</v>
      </c>
      <c r="Y115">
        <v>6311</v>
      </c>
      <c r="Z115">
        <v>6273</v>
      </c>
      <c r="AA115">
        <v>3764</v>
      </c>
      <c r="AB115">
        <v>2509</v>
      </c>
    </row>
    <row r="116" spans="1:28" x14ac:dyDescent="0.35">
      <c r="A116" t="s">
        <v>161</v>
      </c>
      <c r="B116" t="s">
        <v>9</v>
      </c>
      <c r="C116" t="s">
        <v>1</v>
      </c>
      <c r="D116" t="s">
        <v>10</v>
      </c>
      <c r="E116" t="s">
        <v>11</v>
      </c>
      <c r="F116">
        <v>244772</v>
      </c>
      <c r="G116">
        <v>-53945</v>
      </c>
      <c r="H116">
        <v>86448</v>
      </c>
      <c r="I116">
        <v>244772</v>
      </c>
      <c r="J116">
        <v>24477</v>
      </c>
      <c r="K116">
        <v>12238</v>
      </c>
      <c r="L116">
        <v>80263</v>
      </c>
      <c r="M116">
        <v>16052</v>
      </c>
      <c r="N116">
        <v>24078</v>
      </c>
      <c r="O116">
        <v>8026</v>
      </c>
      <c r="P116">
        <v>-32105</v>
      </c>
      <c r="Q116">
        <v>-20065</v>
      </c>
      <c r="R116">
        <v>83041</v>
      </c>
      <c r="S116">
        <v>24912</v>
      </c>
      <c r="T116">
        <v>8304</v>
      </c>
      <c r="U116">
        <v>4013</v>
      </c>
      <c r="V116">
        <v>2407</v>
      </c>
      <c r="W116">
        <v>1605</v>
      </c>
      <c r="X116">
        <v>8026</v>
      </c>
      <c r="Y116">
        <v>4013</v>
      </c>
      <c r="Z116">
        <v>4152</v>
      </c>
      <c r="AA116">
        <v>2491</v>
      </c>
      <c r="AB116">
        <v>1660</v>
      </c>
    </row>
    <row r="117" spans="1:28" x14ac:dyDescent="0.35">
      <c r="A117" t="s">
        <v>162</v>
      </c>
      <c r="B117" t="s">
        <v>9</v>
      </c>
      <c r="C117" t="s">
        <v>1</v>
      </c>
      <c r="D117" t="s">
        <v>10</v>
      </c>
      <c r="E117" t="s">
        <v>11</v>
      </c>
      <c r="F117">
        <v>314858</v>
      </c>
      <c r="G117">
        <v>-109367</v>
      </c>
      <c r="H117">
        <v>92933</v>
      </c>
      <c r="I117">
        <v>314858</v>
      </c>
      <c r="J117">
        <v>31485</v>
      </c>
      <c r="K117">
        <v>15742</v>
      </c>
      <c r="L117">
        <v>119243</v>
      </c>
      <c r="M117">
        <v>23848</v>
      </c>
      <c r="N117">
        <v>35772</v>
      </c>
      <c r="O117">
        <v>11924</v>
      </c>
      <c r="P117">
        <v>-47697</v>
      </c>
      <c r="Q117">
        <v>-29810</v>
      </c>
      <c r="R117">
        <v>96517</v>
      </c>
      <c r="S117">
        <v>28955</v>
      </c>
      <c r="T117">
        <v>9651</v>
      </c>
      <c r="U117">
        <v>5962</v>
      </c>
      <c r="V117">
        <v>3577</v>
      </c>
      <c r="W117">
        <v>2384</v>
      </c>
      <c r="X117">
        <v>11924</v>
      </c>
      <c r="Y117">
        <v>5962</v>
      </c>
      <c r="Z117">
        <v>4825</v>
      </c>
      <c r="AA117">
        <v>2895</v>
      </c>
      <c r="AB117">
        <v>1930</v>
      </c>
    </row>
    <row r="118" spans="1:28" x14ac:dyDescent="0.35">
      <c r="A118" t="s">
        <v>163</v>
      </c>
      <c r="B118" t="s">
        <v>9</v>
      </c>
      <c r="C118" t="s">
        <v>1</v>
      </c>
      <c r="D118" t="s">
        <v>10</v>
      </c>
      <c r="E118" t="s">
        <v>11</v>
      </c>
      <c r="F118">
        <v>474803</v>
      </c>
      <c r="G118">
        <v>-183050</v>
      </c>
      <c r="H118">
        <v>134557</v>
      </c>
      <c r="I118">
        <v>474803</v>
      </c>
      <c r="J118">
        <v>47480</v>
      </c>
      <c r="K118">
        <v>23740</v>
      </c>
      <c r="L118">
        <v>275407</v>
      </c>
      <c r="M118">
        <v>55081</v>
      </c>
      <c r="N118">
        <v>82622</v>
      </c>
      <c r="O118">
        <v>27540</v>
      </c>
      <c r="P118">
        <v>-110162</v>
      </c>
      <c r="Q118">
        <v>-68851</v>
      </c>
      <c r="R118">
        <v>232641</v>
      </c>
      <c r="S118">
        <v>69792</v>
      </c>
      <c r="T118">
        <v>23264</v>
      </c>
      <c r="U118">
        <v>13770</v>
      </c>
      <c r="V118">
        <v>8262</v>
      </c>
      <c r="W118">
        <v>5508</v>
      </c>
      <c r="X118">
        <v>27540</v>
      </c>
      <c r="Y118">
        <v>13770</v>
      </c>
      <c r="Z118">
        <v>11632</v>
      </c>
      <c r="AA118">
        <v>6979</v>
      </c>
      <c r="AB118">
        <v>4652</v>
      </c>
    </row>
    <row r="119" spans="1:28" x14ac:dyDescent="0.35">
      <c r="A119" t="s">
        <v>164</v>
      </c>
      <c r="B119" t="s">
        <v>9</v>
      </c>
      <c r="C119" t="s">
        <v>1</v>
      </c>
      <c r="D119" t="s">
        <v>10</v>
      </c>
      <c r="E119" t="s">
        <v>11</v>
      </c>
      <c r="F119">
        <v>201525</v>
      </c>
      <c r="G119">
        <v>-76430</v>
      </c>
      <c r="H119">
        <v>52989</v>
      </c>
      <c r="I119">
        <v>201525</v>
      </c>
      <c r="J119">
        <v>20152</v>
      </c>
      <c r="K119">
        <v>10076</v>
      </c>
      <c r="L119">
        <v>82641</v>
      </c>
      <c r="M119">
        <v>16528</v>
      </c>
      <c r="N119">
        <v>24792</v>
      </c>
      <c r="O119">
        <v>8264</v>
      </c>
      <c r="P119">
        <v>-33056</v>
      </c>
      <c r="Q119">
        <v>-20660</v>
      </c>
      <c r="R119">
        <v>69763</v>
      </c>
      <c r="S119">
        <v>20928</v>
      </c>
      <c r="T119">
        <v>6976</v>
      </c>
      <c r="U119">
        <v>4132</v>
      </c>
      <c r="V119">
        <v>2479</v>
      </c>
      <c r="W119">
        <v>1652</v>
      </c>
      <c r="X119">
        <v>8264</v>
      </c>
      <c r="Y119">
        <v>4132</v>
      </c>
      <c r="Z119">
        <v>3488</v>
      </c>
      <c r="AA119">
        <v>2092</v>
      </c>
      <c r="AB119">
        <v>1395</v>
      </c>
    </row>
    <row r="120" spans="1:28" x14ac:dyDescent="0.35">
      <c r="A120" t="s">
        <v>165</v>
      </c>
      <c r="B120" t="s">
        <v>9</v>
      </c>
      <c r="C120" t="s">
        <v>1</v>
      </c>
      <c r="D120" t="s">
        <v>10</v>
      </c>
      <c r="E120" t="s">
        <v>11</v>
      </c>
      <c r="F120">
        <v>218180</v>
      </c>
      <c r="G120">
        <v>-117568</v>
      </c>
      <c r="H120">
        <v>77223</v>
      </c>
      <c r="I120">
        <v>218180</v>
      </c>
      <c r="J120">
        <v>21818</v>
      </c>
      <c r="K120">
        <v>10909</v>
      </c>
      <c r="L120">
        <v>120596</v>
      </c>
      <c r="M120">
        <v>24119</v>
      </c>
      <c r="N120">
        <v>36178</v>
      </c>
      <c r="O120">
        <v>12059</v>
      </c>
      <c r="P120">
        <v>-48238</v>
      </c>
      <c r="Q120">
        <v>-30149</v>
      </c>
      <c r="R120">
        <v>101061</v>
      </c>
      <c r="S120">
        <v>30318</v>
      </c>
      <c r="T120">
        <v>10106</v>
      </c>
      <c r="U120">
        <v>6029</v>
      </c>
      <c r="V120">
        <v>3617</v>
      </c>
      <c r="W120">
        <v>2411</v>
      </c>
      <c r="X120">
        <v>12059</v>
      </c>
      <c r="Y120">
        <v>6029</v>
      </c>
      <c r="Z120">
        <v>5053</v>
      </c>
      <c r="AA120">
        <v>3031</v>
      </c>
      <c r="AB120">
        <v>2021</v>
      </c>
    </row>
    <row r="121" spans="1:28" x14ac:dyDescent="0.35">
      <c r="A121" t="s">
        <v>166</v>
      </c>
      <c r="B121" t="s">
        <v>9</v>
      </c>
      <c r="C121" t="s">
        <v>1</v>
      </c>
      <c r="D121" t="s">
        <v>10</v>
      </c>
      <c r="E121" t="s">
        <v>11</v>
      </c>
      <c r="F121">
        <v>224046</v>
      </c>
      <c r="G121">
        <v>-106792</v>
      </c>
      <c r="H121">
        <v>110999</v>
      </c>
      <c r="I121">
        <v>224046</v>
      </c>
      <c r="J121">
        <v>22404</v>
      </c>
      <c r="K121">
        <v>11202</v>
      </c>
      <c r="L121">
        <v>158714</v>
      </c>
      <c r="M121">
        <v>31742</v>
      </c>
      <c r="N121">
        <v>47614</v>
      </c>
      <c r="O121">
        <v>15871</v>
      </c>
      <c r="P121">
        <v>-63485</v>
      </c>
      <c r="Q121">
        <v>-39678</v>
      </c>
      <c r="R121">
        <v>169371</v>
      </c>
      <c r="S121">
        <v>50811</v>
      </c>
      <c r="T121">
        <v>16937</v>
      </c>
      <c r="U121">
        <v>7935</v>
      </c>
      <c r="V121">
        <v>4761</v>
      </c>
      <c r="W121">
        <v>3174</v>
      </c>
      <c r="X121">
        <v>15871</v>
      </c>
      <c r="Y121">
        <v>7935</v>
      </c>
      <c r="Z121">
        <v>8468</v>
      </c>
      <c r="AA121">
        <v>5081</v>
      </c>
      <c r="AB121">
        <v>3387</v>
      </c>
    </row>
    <row r="122" spans="1:28" x14ac:dyDescent="0.35">
      <c r="A122" t="s">
        <v>167</v>
      </c>
      <c r="B122" t="s">
        <v>9</v>
      </c>
      <c r="C122" t="s">
        <v>1</v>
      </c>
      <c r="D122" t="s">
        <v>10</v>
      </c>
      <c r="E122" t="s">
        <v>11</v>
      </c>
      <c r="F122">
        <v>157176</v>
      </c>
      <c r="G122">
        <v>-33659</v>
      </c>
      <c r="H122">
        <v>47094</v>
      </c>
      <c r="I122">
        <v>157176</v>
      </c>
      <c r="J122">
        <v>15717</v>
      </c>
      <c r="K122">
        <v>7858</v>
      </c>
      <c r="L122">
        <v>125114</v>
      </c>
      <c r="M122">
        <v>25022</v>
      </c>
      <c r="N122">
        <v>37534</v>
      </c>
      <c r="O122">
        <v>12511</v>
      </c>
      <c r="P122">
        <v>-50045</v>
      </c>
      <c r="Q122">
        <v>-31278</v>
      </c>
      <c r="R122">
        <v>140289</v>
      </c>
      <c r="S122">
        <v>42086</v>
      </c>
      <c r="T122">
        <v>14028</v>
      </c>
      <c r="U122">
        <v>6255</v>
      </c>
      <c r="V122">
        <v>3753</v>
      </c>
      <c r="W122">
        <v>2502</v>
      </c>
      <c r="X122">
        <v>12511</v>
      </c>
      <c r="Y122">
        <v>6255</v>
      </c>
      <c r="Z122">
        <v>7014</v>
      </c>
      <c r="AA122">
        <v>4208</v>
      </c>
      <c r="AB122">
        <v>2805</v>
      </c>
    </row>
    <row r="123" spans="1:28" x14ac:dyDescent="0.35">
      <c r="A123" t="s">
        <v>168</v>
      </c>
      <c r="B123" t="s">
        <v>9</v>
      </c>
      <c r="C123" t="s">
        <v>1</v>
      </c>
      <c r="D123" t="s">
        <v>10</v>
      </c>
      <c r="E123" t="s">
        <v>11</v>
      </c>
      <c r="F123">
        <v>247529</v>
      </c>
      <c r="G123">
        <v>-127072</v>
      </c>
      <c r="H123">
        <v>107233</v>
      </c>
      <c r="I123">
        <v>247529</v>
      </c>
      <c r="J123">
        <v>24752</v>
      </c>
      <c r="K123">
        <v>12376</v>
      </c>
      <c r="L123">
        <v>137716</v>
      </c>
      <c r="M123">
        <v>27543</v>
      </c>
      <c r="N123">
        <v>41314</v>
      </c>
      <c r="O123">
        <v>13771</v>
      </c>
      <c r="P123">
        <v>-55086</v>
      </c>
      <c r="Q123">
        <v>-34429</v>
      </c>
      <c r="R123">
        <v>153602</v>
      </c>
      <c r="S123">
        <v>46080</v>
      </c>
      <c r="T123">
        <v>15360</v>
      </c>
      <c r="U123">
        <v>6885</v>
      </c>
      <c r="V123">
        <v>4131</v>
      </c>
      <c r="W123">
        <v>2754</v>
      </c>
      <c r="X123">
        <v>13771</v>
      </c>
      <c r="Y123">
        <v>6885</v>
      </c>
      <c r="Z123">
        <v>7680</v>
      </c>
      <c r="AA123">
        <v>4608</v>
      </c>
      <c r="AB123">
        <v>3072</v>
      </c>
    </row>
    <row r="124" spans="1:28" x14ac:dyDescent="0.35">
      <c r="A124" t="s">
        <v>169</v>
      </c>
      <c r="B124" t="s">
        <v>9</v>
      </c>
      <c r="C124" t="s">
        <v>1</v>
      </c>
      <c r="D124" t="s">
        <v>10</v>
      </c>
      <c r="E124" t="s">
        <v>11</v>
      </c>
      <c r="F124">
        <v>222052</v>
      </c>
      <c r="G124">
        <v>-124753</v>
      </c>
      <c r="H124">
        <v>53690</v>
      </c>
      <c r="I124">
        <v>222052</v>
      </c>
      <c r="J124">
        <v>22205</v>
      </c>
      <c r="K124">
        <v>11102</v>
      </c>
      <c r="L124">
        <v>131999</v>
      </c>
      <c r="M124">
        <v>26399</v>
      </c>
      <c r="N124">
        <v>39599</v>
      </c>
      <c r="O124">
        <v>13199</v>
      </c>
      <c r="P124">
        <v>-52799</v>
      </c>
      <c r="Q124">
        <v>-32999</v>
      </c>
      <c r="R124">
        <v>108216</v>
      </c>
      <c r="S124">
        <v>32464</v>
      </c>
      <c r="T124">
        <v>10821</v>
      </c>
      <c r="U124">
        <v>6599</v>
      </c>
      <c r="V124">
        <v>3959</v>
      </c>
      <c r="W124">
        <v>2639</v>
      </c>
      <c r="X124">
        <v>13199</v>
      </c>
      <c r="Y124">
        <v>6599</v>
      </c>
      <c r="Z124">
        <v>5410</v>
      </c>
      <c r="AA124">
        <v>3246</v>
      </c>
      <c r="AB124">
        <v>2164</v>
      </c>
    </row>
    <row r="125" spans="1:28" x14ac:dyDescent="0.35">
      <c r="A125" t="s">
        <v>170</v>
      </c>
      <c r="B125" t="s">
        <v>9</v>
      </c>
      <c r="C125" t="s">
        <v>1</v>
      </c>
      <c r="D125" t="s">
        <v>10</v>
      </c>
      <c r="E125" t="s">
        <v>11</v>
      </c>
      <c r="F125">
        <v>96704</v>
      </c>
      <c r="G125">
        <v>-29282</v>
      </c>
      <c r="H125">
        <v>39281</v>
      </c>
      <c r="I125">
        <v>96704</v>
      </c>
      <c r="J125">
        <v>9670</v>
      </c>
      <c r="K125">
        <v>4835</v>
      </c>
      <c r="L125">
        <v>56080</v>
      </c>
      <c r="M125">
        <v>11216</v>
      </c>
      <c r="N125">
        <v>16824</v>
      </c>
      <c r="O125">
        <v>5608</v>
      </c>
      <c r="P125">
        <v>-22432</v>
      </c>
      <c r="Q125">
        <v>-14020</v>
      </c>
      <c r="R125">
        <v>57046</v>
      </c>
      <c r="S125">
        <v>17113</v>
      </c>
      <c r="T125">
        <v>5704</v>
      </c>
      <c r="U125">
        <v>2804</v>
      </c>
      <c r="V125">
        <v>1682</v>
      </c>
      <c r="W125">
        <v>1121</v>
      </c>
      <c r="X125">
        <v>5608</v>
      </c>
      <c r="Y125">
        <v>2804</v>
      </c>
      <c r="Z125">
        <v>2852</v>
      </c>
      <c r="AA125">
        <v>1711</v>
      </c>
      <c r="AB125">
        <v>1140</v>
      </c>
    </row>
    <row r="126" spans="1:28" x14ac:dyDescent="0.35">
      <c r="A126" t="s">
        <v>171</v>
      </c>
      <c r="B126" t="s">
        <v>9</v>
      </c>
      <c r="C126" t="s">
        <v>1</v>
      </c>
      <c r="D126" t="s">
        <v>10</v>
      </c>
      <c r="E126" t="s">
        <v>11</v>
      </c>
      <c r="F126">
        <v>404341</v>
      </c>
      <c r="G126">
        <v>-202316</v>
      </c>
      <c r="H126">
        <v>45811</v>
      </c>
      <c r="I126">
        <v>404341</v>
      </c>
      <c r="J126">
        <v>40434</v>
      </c>
      <c r="K126">
        <v>20217</v>
      </c>
      <c r="L126">
        <v>179868</v>
      </c>
      <c r="M126">
        <v>35973</v>
      </c>
      <c r="N126">
        <v>53960</v>
      </c>
      <c r="O126">
        <v>17986</v>
      </c>
      <c r="P126">
        <v>-71947</v>
      </c>
      <c r="Q126">
        <v>-44967</v>
      </c>
      <c r="R126">
        <v>186244</v>
      </c>
      <c r="S126">
        <v>55873</v>
      </c>
      <c r="T126">
        <v>18624</v>
      </c>
      <c r="U126">
        <v>8993</v>
      </c>
      <c r="V126">
        <v>5396</v>
      </c>
      <c r="W126">
        <v>3597</v>
      </c>
      <c r="X126">
        <v>17986</v>
      </c>
      <c r="Y126">
        <v>8993</v>
      </c>
      <c r="Z126">
        <v>9312</v>
      </c>
      <c r="AA126">
        <v>5587</v>
      </c>
      <c r="AB126">
        <v>3724</v>
      </c>
    </row>
    <row r="127" spans="1:28" x14ac:dyDescent="0.35">
      <c r="A127" t="s">
        <v>172</v>
      </c>
      <c r="B127" t="s">
        <v>9</v>
      </c>
      <c r="C127" t="s">
        <v>1</v>
      </c>
      <c r="D127" t="s">
        <v>10</v>
      </c>
      <c r="E127" t="s">
        <v>11</v>
      </c>
      <c r="F127">
        <v>399913</v>
      </c>
      <c r="G127">
        <v>-194554</v>
      </c>
      <c r="H127">
        <v>71963</v>
      </c>
      <c r="I127">
        <v>399913</v>
      </c>
      <c r="J127">
        <v>39991</v>
      </c>
      <c r="K127">
        <v>19995</v>
      </c>
      <c r="L127">
        <v>144309</v>
      </c>
      <c r="M127">
        <v>28861</v>
      </c>
      <c r="N127">
        <v>43292</v>
      </c>
      <c r="O127">
        <v>14430</v>
      </c>
      <c r="P127">
        <v>-57723</v>
      </c>
      <c r="Q127">
        <v>-36077</v>
      </c>
      <c r="R127">
        <v>118870</v>
      </c>
      <c r="S127">
        <v>35661</v>
      </c>
      <c r="T127">
        <v>11887</v>
      </c>
      <c r="U127">
        <v>7215</v>
      </c>
      <c r="V127">
        <v>4329</v>
      </c>
      <c r="W127">
        <v>2886</v>
      </c>
      <c r="X127">
        <v>14430</v>
      </c>
      <c r="Y127">
        <v>7215</v>
      </c>
      <c r="Z127">
        <v>5943</v>
      </c>
      <c r="AA127">
        <v>3566</v>
      </c>
      <c r="AB127">
        <v>2377</v>
      </c>
    </row>
    <row r="128" spans="1:28" x14ac:dyDescent="0.35">
      <c r="A128" t="s">
        <v>173</v>
      </c>
      <c r="B128" t="s">
        <v>9</v>
      </c>
      <c r="C128" t="s">
        <v>1</v>
      </c>
      <c r="D128" t="s">
        <v>10</v>
      </c>
      <c r="E128" t="s">
        <v>11</v>
      </c>
      <c r="F128">
        <v>224769</v>
      </c>
      <c r="G128">
        <v>-131603</v>
      </c>
      <c r="H128">
        <v>44686</v>
      </c>
      <c r="I128">
        <v>224769</v>
      </c>
      <c r="J128">
        <v>22476</v>
      </c>
      <c r="K128">
        <v>11238</v>
      </c>
      <c r="L128">
        <v>165654</v>
      </c>
      <c r="M128">
        <v>33130</v>
      </c>
      <c r="N128">
        <v>49696</v>
      </c>
      <c r="O128">
        <v>16565</v>
      </c>
      <c r="P128">
        <v>-66261</v>
      </c>
      <c r="Q128">
        <v>-41413</v>
      </c>
      <c r="R128">
        <v>137603</v>
      </c>
      <c r="S128">
        <v>41280</v>
      </c>
      <c r="T128">
        <v>13760</v>
      </c>
      <c r="U128">
        <v>8282</v>
      </c>
      <c r="V128">
        <v>4969</v>
      </c>
      <c r="W128">
        <v>3313</v>
      </c>
      <c r="X128">
        <v>16565</v>
      </c>
      <c r="Y128">
        <v>8282</v>
      </c>
      <c r="Z128">
        <v>6880</v>
      </c>
      <c r="AA128">
        <v>4128</v>
      </c>
      <c r="AB128">
        <v>2752</v>
      </c>
    </row>
    <row r="129" spans="1:28" x14ac:dyDescent="0.35">
      <c r="A129" t="s">
        <v>174</v>
      </c>
      <c r="B129" t="s">
        <v>9</v>
      </c>
      <c r="C129" t="s">
        <v>1</v>
      </c>
      <c r="D129" t="s">
        <v>10</v>
      </c>
      <c r="E129" t="s">
        <v>11</v>
      </c>
      <c r="F129">
        <v>314861</v>
      </c>
      <c r="G129">
        <v>-184744</v>
      </c>
      <c r="H129">
        <v>122318</v>
      </c>
      <c r="I129">
        <v>314861</v>
      </c>
      <c r="J129">
        <v>31486</v>
      </c>
      <c r="K129">
        <v>15743</v>
      </c>
      <c r="L129">
        <v>103438</v>
      </c>
      <c r="M129">
        <v>20687</v>
      </c>
      <c r="N129">
        <v>31031</v>
      </c>
      <c r="O129">
        <v>10343</v>
      </c>
      <c r="P129">
        <v>-41375</v>
      </c>
      <c r="Q129">
        <v>-25859</v>
      </c>
      <c r="R129">
        <v>110993</v>
      </c>
      <c r="S129">
        <v>33297</v>
      </c>
      <c r="T129">
        <v>11099</v>
      </c>
      <c r="U129">
        <v>5171</v>
      </c>
      <c r="V129">
        <v>3103</v>
      </c>
      <c r="W129">
        <v>2068</v>
      </c>
      <c r="X129">
        <v>10343</v>
      </c>
      <c r="Y129">
        <v>5171</v>
      </c>
      <c r="Z129">
        <v>5549</v>
      </c>
      <c r="AA129">
        <v>3329</v>
      </c>
      <c r="AB129">
        <v>2219</v>
      </c>
    </row>
    <row r="130" spans="1:28" x14ac:dyDescent="0.35">
      <c r="A130" t="s">
        <v>175</v>
      </c>
      <c r="B130" t="s">
        <v>9</v>
      </c>
      <c r="C130" t="s">
        <v>1</v>
      </c>
      <c r="D130" t="s">
        <v>10</v>
      </c>
      <c r="E130" t="s">
        <v>11</v>
      </c>
      <c r="F130">
        <v>251796</v>
      </c>
      <c r="G130">
        <v>-138614</v>
      </c>
      <c r="H130">
        <v>103807</v>
      </c>
      <c r="I130">
        <v>251796</v>
      </c>
      <c r="J130">
        <v>25179</v>
      </c>
      <c r="K130">
        <v>12589</v>
      </c>
      <c r="L130">
        <v>101735</v>
      </c>
      <c r="M130">
        <v>20347</v>
      </c>
      <c r="N130">
        <v>30520</v>
      </c>
      <c r="O130">
        <v>10173</v>
      </c>
      <c r="P130">
        <v>-40694</v>
      </c>
      <c r="Q130">
        <v>-25433</v>
      </c>
      <c r="R130">
        <v>93225</v>
      </c>
      <c r="S130">
        <v>27967</v>
      </c>
      <c r="T130">
        <v>9322</v>
      </c>
      <c r="U130">
        <v>5086</v>
      </c>
      <c r="V130">
        <v>3052</v>
      </c>
      <c r="W130">
        <v>2034</v>
      </c>
      <c r="X130">
        <v>10173</v>
      </c>
      <c r="Y130">
        <v>5086</v>
      </c>
      <c r="Z130">
        <v>4661</v>
      </c>
      <c r="AA130">
        <v>2796</v>
      </c>
      <c r="AB130">
        <v>1864</v>
      </c>
    </row>
    <row r="131" spans="1:28" x14ac:dyDescent="0.35">
      <c r="A131" t="s">
        <v>176</v>
      </c>
      <c r="B131" t="s">
        <v>9</v>
      </c>
      <c r="C131" t="s">
        <v>1</v>
      </c>
      <c r="D131" t="s">
        <v>10</v>
      </c>
      <c r="E131" t="s">
        <v>11</v>
      </c>
      <c r="F131">
        <v>478728</v>
      </c>
      <c r="G131">
        <v>-166551</v>
      </c>
      <c r="H131">
        <v>133646</v>
      </c>
      <c r="I131">
        <v>478728</v>
      </c>
      <c r="J131">
        <v>47872</v>
      </c>
      <c r="K131">
        <v>23936</v>
      </c>
      <c r="L131">
        <v>130855</v>
      </c>
      <c r="M131">
        <v>26171</v>
      </c>
      <c r="N131">
        <v>39256</v>
      </c>
      <c r="O131">
        <v>13085</v>
      </c>
      <c r="P131">
        <v>-52342</v>
      </c>
      <c r="Q131">
        <v>-32713</v>
      </c>
      <c r="R131">
        <v>115207</v>
      </c>
      <c r="S131">
        <v>34562</v>
      </c>
      <c r="T131">
        <v>11520</v>
      </c>
      <c r="U131">
        <v>6542</v>
      </c>
      <c r="V131">
        <v>3925</v>
      </c>
      <c r="W131">
        <v>2617</v>
      </c>
      <c r="X131">
        <v>13085</v>
      </c>
      <c r="Y131">
        <v>6542</v>
      </c>
      <c r="Z131">
        <v>5760</v>
      </c>
      <c r="AA131">
        <v>3456</v>
      </c>
      <c r="AB131">
        <v>2304</v>
      </c>
    </row>
    <row r="132" spans="1:28" x14ac:dyDescent="0.35">
      <c r="A132" t="s">
        <v>177</v>
      </c>
      <c r="B132" t="s">
        <v>9</v>
      </c>
      <c r="C132" t="s">
        <v>1</v>
      </c>
      <c r="D132" t="s">
        <v>10</v>
      </c>
      <c r="E132" t="s">
        <v>11</v>
      </c>
      <c r="F132">
        <v>227238</v>
      </c>
      <c r="G132">
        <v>-71496</v>
      </c>
      <c r="H132">
        <v>90076</v>
      </c>
      <c r="I132">
        <v>227238</v>
      </c>
      <c r="J132">
        <v>22723</v>
      </c>
      <c r="K132">
        <v>11361</v>
      </c>
      <c r="L132">
        <v>145697</v>
      </c>
      <c r="M132">
        <v>29139</v>
      </c>
      <c r="N132">
        <v>43709</v>
      </c>
      <c r="O132">
        <v>14569</v>
      </c>
      <c r="P132">
        <v>-58278</v>
      </c>
      <c r="Q132">
        <v>-36424</v>
      </c>
      <c r="R132">
        <v>145599</v>
      </c>
      <c r="S132">
        <v>43679</v>
      </c>
      <c r="T132">
        <v>14559</v>
      </c>
      <c r="U132">
        <v>7284</v>
      </c>
      <c r="V132">
        <v>4370</v>
      </c>
      <c r="W132">
        <v>2913</v>
      </c>
      <c r="X132">
        <v>14569</v>
      </c>
      <c r="Y132">
        <v>7284</v>
      </c>
      <c r="Z132">
        <v>7279</v>
      </c>
      <c r="AA132">
        <v>4367</v>
      </c>
      <c r="AB132">
        <v>2911</v>
      </c>
    </row>
    <row r="133" spans="1:28" x14ac:dyDescent="0.35">
      <c r="A133" t="s">
        <v>178</v>
      </c>
      <c r="B133" t="s">
        <v>9</v>
      </c>
      <c r="C133" t="s">
        <v>1</v>
      </c>
      <c r="D133" t="s">
        <v>10</v>
      </c>
      <c r="E133" t="s">
        <v>11</v>
      </c>
      <c r="F133">
        <v>190640</v>
      </c>
      <c r="G133">
        <v>-44637</v>
      </c>
      <c r="H133">
        <v>48576</v>
      </c>
      <c r="I133">
        <v>190640</v>
      </c>
      <c r="J133">
        <v>19064</v>
      </c>
      <c r="K133">
        <v>9532</v>
      </c>
      <c r="L133">
        <v>72280</v>
      </c>
      <c r="M133">
        <v>14456</v>
      </c>
      <c r="N133">
        <v>21684</v>
      </c>
      <c r="O133">
        <v>7228</v>
      </c>
      <c r="P133">
        <v>-28912</v>
      </c>
      <c r="Q133">
        <v>-18070</v>
      </c>
      <c r="R133">
        <v>79299</v>
      </c>
      <c r="S133">
        <v>23789</v>
      </c>
      <c r="T133">
        <v>7929</v>
      </c>
      <c r="U133">
        <v>3614</v>
      </c>
      <c r="V133">
        <v>2168</v>
      </c>
      <c r="W133">
        <v>1445</v>
      </c>
      <c r="X133">
        <v>7228</v>
      </c>
      <c r="Y133">
        <v>3614</v>
      </c>
      <c r="Z133">
        <v>3964</v>
      </c>
      <c r="AA133">
        <v>2378</v>
      </c>
      <c r="AB133">
        <v>1585</v>
      </c>
    </row>
    <row r="134" spans="1:28" x14ac:dyDescent="0.35">
      <c r="A134" t="s">
        <v>179</v>
      </c>
      <c r="B134" t="s">
        <v>9</v>
      </c>
      <c r="C134" t="s">
        <v>1</v>
      </c>
      <c r="D134" t="s">
        <v>10</v>
      </c>
      <c r="E134" t="s">
        <v>11</v>
      </c>
      <c r="F134">
        <v>220884</v>
      </c>
      <c r="G134">
        <v>-115483</v>
      </c>
      <c r="H134">
        <v>49327</v>
      </c>
      <c r="I134">
        <v>220884</v>
      </c>
      <c r="J134">
        <v>22088</v>
      </c>
      <c r="K134">
        <v>11044</v>
      </c>
      <c r="L134">
        <v>90138</v>
      </c>
      <c r="M134">
        <v>18027</v>
      </c>
      <c r="N134">
        <v>27041</v>
      </c>
      <c r="O134">
        <v>9013</v>
      </c>
      <c r="P134">
        <v>-36055</v>
      </c>
      <c r="Q134">
        <v>-22534</v>
      </c>
      <c r="R134">
        <v>95375</v>
      </c>
      <c r="S134">
        <v>28612</v>
      </c>
      <c r="T134">
        <v>9537</v>
      </c>
      <c r="U134">
        <v>4506</v>
      </c>
      <c r="V134">
        <v>2704</v>
      </c>
      <c r="W134">
        <v>1802</v>
      </c>
      <c r="X134">
        <v>9013</v>
      </c>
      <c r="Y134">
        <v>4506</v>
      </c>
      <c r="Z134">
        <v>4768</v>
      </c>
      <c r="AA134">
        <v>2861</v>
      </c>
      <c r="AB134">
        <v>1907</v>
      </c>
    </row>
    <row r="135" spans="1:28" x14ac:dyDescent="0.35">
      <c r="A135" t="s">
        <v>180</v>
      </c>
      <c r="B135" t="s">
        <v>9</v>
      </c>
      <c r="C135" t="s">
        <v>1</v>
      </c>
      <c r="D135" t="s">
        <v>10</v>
      </c>
      <c r="E135" t="s">
        <v>11</v>
      </c>
      <c r="F135">
        <v>393007</v>
      </c>
      <c r="G135">
        <v>-190830</v>
      </c>
      <c r="H135">
        <v>65015</v>
      </c>
      <c r="I135">
        <v>393007</v>
      </c>
      <c r="J135">
        <v>39300</v>
      </c>
      <c r="K135">
        <v>19650</v>
      </c>
      <c r="L135">
        <v>178815</v>
      </c>
      <c r="M135">
        <v>35763</v>
      </c>
      <c r="N135">
        <v>53644</v>
      </c>
      <c r="O135">
        <v>17881</v>
      </c>
      <c r="P135">
        <v>-71526</v>
      </c>
      <c r="Q135">
        <v>-44703</v>
      </c>
      <c r="R135">
        <v>143055</v>
      </c>
      <c r="S135">
        <v>42916</v>
      </c>
      <c r="T135">
        <v>14305</v>
      </c>
      <c r="U135">
        <v>8940</v>
      </c>
      <c r="V135">
        <v>5364</v>
      </c>
      <c r="W135">
        <v>3576</v>
      </c>
      <c r="X135">
        <v>17881</v>
      </c>
      <c r="Y135">
        <v>8940</v>
      </c>
      <c r="Z135">
        <v>7152</v>
      </c>
      <c r="AA135">
        <v>4291</v>
      </c>
      <c r="AB135">
        <v>2861</v>
      </c>
    </row>
    <row r="136" spans="1:28" x14ac:dyDescent="0.35">
      <c r="A136" t="s">
        <v>181</v>
      </c>
      <c r="B136" t="s">
        <v>9</v>
      </c>
      <c r="C136" t="s">
        <v>1</v>
      </c>
      <c r="D136" t="s">
        <v>10</v>
      </c>
      <c r="E136" t="s">
        <v>11</v>
      </c>
      <c r="F136">
        <v>142475</v>
      </c>
      <c r="G136">
        <v>-61581</v>
      </c>
      <c r="H136">
        <v>45192</v>
      </c>
      <c r="I136">
        <v>142475</v>
      </c>
      <c r="J136">
        <v>14247</v>
      </c>
      <c r="K136">
        <v>7123</v>
      </c>
      <c r="L136">
        <v>107874</v>
      </c>
      <c r="M136">
        <v>21574</v>
      </c>
      <c r="N136">
        <v>32362</v>
      </c>
      <c r="O136">
        <v>10787</v>
      </c>
      <c r="P136">
        <v>-43149</v>
      </c>
      <c r="Q136">
        <v>-26968</v>
      </c>
      <c r="R136">
        <v>126704</v>
      </c>
      <c r="S136">
        <v>38011</v>
      </c>
      <c r="T136">
        <v>12670</v>
      </c>
      <c r="U136">
        <v>5393</v>
      </c>
      <c r="V136">
        <v>3236</v>
      </c>
      <c r="W136">
        <v>2157</v>
      </c>
      <c r="X136">
        <v>10787</v>
      </c>
      <c r="Y136">
        <v>5393</v>
      </c>
      <c r="Z136">
        <v>6335</v>
      </c>
      <c r="AA136">
        <v>3801</v>
      </c>
      <c r="AB136">
        <v>2534</v>
      </c>
    </row>
    <row r="137" spans="1:28" x14ac:dyDescent="0.35">
      <c r="A137" t="s">
        <v>182</v>
      </c>
      <c r="B137" t="s">
        <v>9</v>
      </c>
      <c r="C137" t="s">
        <v>1</v>
      </c>
      <c r="D137" t="s">
        <v>10</v>
      </c>
      <c r="E137" t="s">
        <v>11</v>
      </c>
      <c r="F137">
        <v>292798</v>
      </c>
      <c r="G137">
        <v>-169884</v>
      </c>
      <c r="H137">
        <v>55107</v>
      </c>
      <c r="I137">
        <v>292798</v>
      </c>
      <c r="J137">
        <v>29279</v>
      </c>
      <c r="K137">
        <v>14639</v>
      </c>
      <c r="L137">
        <v>92581</v>
      </c>
      <c r="M137">
        <v>18516</v>
      </c>
      <c r="N137">
        <v>27774</v>
      </c>
      <c r="O137">
        <v>9258</v>
      </c>
      <c r="P137">
        <v>-37032</v>
      </c>
      <c r="Q137">
        <v>-23145</v>
      </c>
      <c r="R137">
        <v>91456</v>
      </c>
      <c r="S137">
        <v>27436</v>
      </c>
      <c r="T137">
        <v>9145</v>
      </c>
      <c r="U137">
        <v>4629</v>
      </c>
      <c r="V137">
        <v>2777</v>
      </c>
      <c r="W137">
        <v>1851</v>
      </c>
      <c r="X137">
        <v>9258</v>
      </c>
      <c r="Y137">
        <v>4629</v>
      </c>
      <c r="Z137">
        <v>4572</v>
      </c>
      <c r="AA137">
        <v>2743</v>
      </c>
      <c r="AB137">
        <v>1829</v>
      </c>
    </row>
    <row r="138" spans="1:28" x14ac:dyDescent="0.35">
      <c r="A138" t="s">
        <v>183</v>
      </c>
      <c r="B138" t="s">
        <v>9</v>
      </c>
      <c r="C138" t="s">
        <v>1</v>
      </c>
      <c r="D138" t="s">
        <v>10</v>
      </c>
      <c r="E138" t="s">
        <v>11</v>
      </c>
      <c r="F138">
        <v>355381</v>
      </c>
      <c r="G138">
        <v>-138695</v>
      </c>
      <c r="H138">
        <v>121621</v>
      </c>
      <c r="I138">
        <v>355381</v>
      </c>
      <c r="J138">
        <v>35538</v>
      </c>
      <c r="K138">
        <v>17769</v>
      </c>
      <c r="L138">
        <v>178970</v>
      </c>
      <c r="M138">
        <v>35794</v>
      </c>
      <c r="N138">
        <v>53691</v>
      </c>
      <c r="O138">
        <v>17897</v>
      </c>
      <c r="P138">
        <v>-71588</v>
      </c>
      <c r="Q138">
        <v>-44742</v>
      </c>
      <c r="R138">
        <v>187122</v>
      </c>
      <c r="S138">
        <v>56136</v>
      </c>
      <c r="T138">
        <v>18712</v>
      </c>
      <c r="U138">
        <v>8948</v>
      </c>
      <c r="V138">
        <v>5369</v>
      </c>
      <c r="W138">
        <v>3579</v>
      </c>
      <c r="X138">
        <v>17897</v>
      </c>
      <c r="Y138">
        <v>8948</v>
      </c>
      <c r="Z138">
        <v>9356</v>
      </c>
      <c r="AA138">
        <v>5613</v>
      </c>
      <c r="AB138">
        <v>3742</v>
      </c>
    </row>
    <row r="139" spans="1:28" x14ac:dyDescent="0.35">
      <c r="A139" t="s">
        <v>184</v>
      </c>
      <c r="B139" t="s">
        <v>9</v>
      </c>
      <c r="C139" t="s">
        <v>1</v>
      </c>
      <c r="D139" t="s">
        <v>10</v>
      </c>
      <c r="E139" t="s">
        <v>11</v>
      </c>
      <c r="F139">
        <v>200371</v>
      </c>
      <c r="G139">
        <v>-94075</v>
      </c>
      <c r="H139">
        <v>77074</v>
      </c>
      <c r="I139">
        <v>200371</v>
      </c>
      <c r="J139">
        <v>20037</v>
      </c>
      <c r="K139">
        <v>10018</v>
      </c>
      <c r="L139">
        <v>142366</v>
      </c>
      <c r="M139">
        <v>28473</v>
      </c>
      <c r="N139">
        <v>42709</v>
      </c>
      <c r="O139">
        <v>14236</v>
      </c>
      <c r="P139">
        <v>-56946</v>
      </c>
      <c r="Q139">
        <v>-35591</v>
      </c>
      <c r="R139">
        <v>143801</v>
      </c>
      <c r="S139">
        <v>43140</v>
      </c>
      <c r="T139">
        <v>14380</v>
      </c>
      <c r="U139">
        <v>7118</v>
      </c>
      <c r="V139">
        <v>4270</v>
      </c>
      <c r="W139">
        <v>2847</v>
      </c>
      <c r="X139">
        <v>14236</v>
      </c>
      <c r="Y139">
        <v>7118</v>
      </c>
      <c r="Z139">
        <v>7190</v>
      </c>
      <c r="AA139">
        <v>4314</v>
      </c>
      <c r="AB139">
        <v>2876</v>
      </c>
    </row>
    <row r="140" spans="1:28" x14ac:dyDescent="0.35">
      <c r="A140" t="s">
        <v>185</v>
      </c>
      <c r="B140" t="s">
        <v>9</v>
      </c>
      <c r="C140" t="s">
        <v>1</v>
      </c>
      <c r="D140" t="s">
        <v>10</v>
      </c>
      <c r="E140" t="s">
        <v>11</v>
      </c>
      <c r="F140">
        <v>416653</v>
      </c>
      <c r="G140">
        <v>-109168</v>
      </c>
      <c r="H140">
        <v>47777</v>
      </c>
      <c r="I140">
        <v>416653</v>
      </c>
      <c r="J140">
        <v>41665</v>
      </c>
      <c r="K140">
        <v>20832</v>
      </c>
      <c r="L140">
        <v>189879</v>
      </c>
      <c r="M140">
        <v>37975</v>
      </c>
      <c r="N140">
        <v>56963</v>
      </c>
      <c r="O140">
        <v>18987</v>
      </c>
      <c r="P140">
        <v>-75951</v>
      </c>
      <c r="Q140">
        <v>-47469</v>
      </c>
      <c r="R140">
        <v>203578</v>
      </c>
      <c r="S140">
        <v>61073</v>
      </c>
      <c r="T140">
        <v>20357</v>
      </c>
      <c r="U140">
        <v>9493</v>
      </c>
      <c r="V140">
        <v>5696</v>
      </c>
      <c r="W140">
        <v>3797</v>
      </c>
      <c r="X140">
        <v>18987</v>
      </c>
      <c r="Y140">
        <v>9493</v>
      </c>
      <c r="Z140">
        <v>10178</v>
      </c>
      <c r="AA140">
        <v>6107</v>
      </c>
      <c r="AB140">
        <v>4071</v>
      </c>
    </row>
    <row r="141" spans="1:28" x14ac:dyDescent="0.35">
      <c r="A141" t="s">
        <v>186</v>
      </c>
      <c r="B141" t="s">
        <v>9</v>
      </c>
      <c r="C141" t="s">
        <v>1</v>
      </c>
      <c r="D141" t="s">
        <v>10</v>
      </c>
      <c r="E141" t="s">
        <v>11</v>
      </c>
      <c r="F141">
        <v>79205</v>
      </c>
      <c r="G141">
        <v>-28421</v>
      </c>
      <c r="H141">
        <v>14709</v>
      </c>
      <c r="I141">
        <v>79205</v>
      </c>
      <c r="J141">
        <v>7920</v>
      </c>
      <c r="K141">
        <v>3960</v>
      </c>
      <c r="L141">
        <v>49256</v>
      </c>
      <c r="M141">
        <v>9851</v>
      </c>
      <c r="N141">
        <v>14776</v>
      </c>
      <c r="O141">
        <v>4925</v>
      </c>
      <c r="P141">
        <v>-19702</v>
      </c>
      <c r="Q141">
        <v>-12314</v>
      </c>
      <c r="R141">
        <v>41561</v>
      </c>
      <c r="S141">
        <v>12468</v>
      </c>
      <c r="T141">
        <v>4156</v>
      </c>
      <c r="U141">
        <v>2462</v>
      </c>
      <c r="V141">
        <v>1477</v>
      </c>
      <c r="W141">
        <v>985</v>
      </c>
      <c r="X141">
        <v>4925</v>
      </c>
      <c r="Y141">
        <v>2462</v>
      </c>
      <c r="Z141">
        <v>2078</v>
      </c>
      <c r="AA141">
        <v>1246</v>
      </c>
      <c r="AB141">
        <v>831</v>
      </c>
    </row>
    <row r="142" spans="1:28" x14ac:dyDescent="0.35">
      <c r="A142" t="s">
        <v>187</v>
      </c>
      <c r="B142" t="s">
        <v>9</v>
      </c>
      <c r="C142" t="s">
        <v>1</v>
      </c>
      <c r="D142" t="s">
        <v>10</v>
      </c>
      <c r="E142" t="s">
        <v>11</v>
      </c>
      <c r="F142">
        <v>168453</v>
      </c>
      <c r="G142">
        <v>-68235</v>
      </c>
      <c r="H142">
        <v>68110</v>
      </c>
      <c r="I142">
        <v>168453</v>
      </c>
      <c r="J142">
        <v>16845</v>
      </c>
      <c r="K142">
        <v>8422</v>
      </c>
      <c r="L142">
        <v>129971</v>
      </c>
      <c r="M142">
        <v>25994</v>
      </c>
      <c r="N142">
        <v>38991</v>
      </c>
      <c r="O142">
        <v>12997</v>
      </c>
      <c r="P142">
        <v>-51988</v>
      </c>
      <c r="Q142">
        <v>-32492</v>
      </c>
      <c r="R142">
        <v>105909</v>
      </c>
      <c r="S142">
        <v>31772</v>
      </c>
      <c r="T142">
        <v>10590</v>
      </c>
      <c r="U142">
        <v>6498</v>
      </c>
      <c r="V142">
        <v>3899</v>
      </c>
      <c r="W142">
        <v>2599</v>
      </c>
      <c r="X142">
        <v>12997</v>
      </c>
      <c r="Y142">
        <v>6498</v>
      </c>
      <c r="Z142">
        <v>5295</v>
      </c>
      <c r="AA142">
        <v>3177</v>
      </c>
      <c r="AB142">
        <v>2118</v>
      </c>
    </row>
    <row r="143" spans="1:28" x14ac:dyDescent="0.35">
      <c r="A143" t="s">
        <v>188</v>
      </c>
      <c r="B143" t="s">
        <v>9</v>
      </c>
      <c r="C143" t="s">
        <v>1</v>
      </c>
      <c r="D143" t="s">
        <v>10</v>
      </c>
      <c r="E143" t="s">
        <v>11</v>
      </c>
      <c r="F143">
        <v>124390</v>
      </c>
      <c r="G143">
        <v>-47785</v>
      </c>
      <c r="H143">
        <v>28761</v>
      </c>
      <c r="I143">
        <v>124390</v>
      </c>
      <c r="J143">
        <v>12439</v>
      </c>
      <c r="K143">
        <v>6219</v>
      </c>
      <c r="L143">
        <v>80915</v>
      </c>
      <c r="M143">
        <v>16183</v>
      </c>
      <c r="N143">
        <v>24274</v>
      </c>
      <c r="O143">
        <v>8091</v>
      </c>
      <c r="P143">
        <v>-32366</v>
      </c>
      <c r="Q143">
        <v>-20228</v>
      </c>
      <c r="R143">
        <v>85330</v>
      </c>
      <c r="S143">
        <v>25599</v>
      </c>
      <c r="T143">
        <v>8533</v>
      </c>
      <c r="U143">
        <v>4045</v>
      </c>
      <c r="V143">
        <v>2427</v>
      </c>
      <c r="W143">
        <v>1618</v>
      </c>
      <c r="X143">
        <v>8091</v>
      </c>
      <c r="Y143">
        <v>4045</v>
      </c>
      <c r="Z143">
        <v>4266</v>
      </c>
      <c r="AA143">
        <v>2559</v>
      </c>
      <c r="AB143">
        <v>1706</v>
      </c>
    </row>
    <row r="144" spans="1:28" x14ac:dyDescent="0.35">
      <c r="A144" t="s">
        <v>189</v>
      </c>
      <c r="B144" t="s">
        <v>9</v>
      </c>
      <c r="C144" t="s">
        <v>1</v>
      </c>
      <c r="D144" t="s">
        <v>10</v>
      </c>
      <c r="E144" t="s">
        <v>11</v>
      </c>
      <c r="F144">
        <v>68226</v>
      </c>
      <c r="G144">
        <v>-24778</v>
      </c>
      <c r="H144">
        <v>29707</v>
      </c>
      <c r="I144">
        <v>68226</v>
      </c>
      <c r="J144">
        <v>6822</v>
      </c>
      <c r="K144">
        <v>3411</v>
      </c>
      <c r="L144">
        <v>51923</v>
      </c>
      <c r="M144">
        <v>10384</v>
      </c>
      <c r="N144">
        <v>15576</v>
      </c>
      <c r="O144">
        <v>5192</v>
      </c>
      <c r="P144">
        <v>-20769</v>
      </c>
      <c r="Q144">
        <v>-12980</v>
      </c>
      <c r="R144">
        <v>46024</v>
      </c>
      <c r="S144">
        <v>13807</v>
      </c>
      <c r="T144">
        <v>4602</v>
      </c>
      <c r="U144">
        <v>2596</v>
      </c>
      <c r="V144">
        <v>1557</v>
      </c>
      <c r="W144">
        <v>1038</v>
      </c>
      <c r="X144">
        <v>5192</v>
      </c>
      <c r="Y144">
        <v>2596</v>
      </c>
      <c r="Z144">
        <v>2301</v>
      </c>
      <c r="AA144">
        <v>1380</v>
      </c>
      <c r="AB144">
        <v>920</v>
      </c>
    </row>
    <row r="145" spans="1:28" x14ac:dyDescent="0.35">
      <c r="A145" t="s">
        <v>190</v>
      </c>
      <c r="B145" t="s">
        <v>9</v>
      </c>
      <c r="C145" t="s">
        <v>1</v>
      </c>
      <c r="D145" t="s">
        <v>10</v>
      </c>
      <c r="E145" t="s">
        <v>11</v>
      </c>
      <c r="F145">
        <v>213456</v>
      </c>
      <c r="G145">
        <v>-47617</v>
      </c>
      <c r="H145">
        <v>26611</v>
      </c>
      <c r="I145">
        <v>213456</v>
      </c>
      <c r="J145">
        <v>21345</v>
      </c>
      <c r="K145">
        <v>10672</v>
      </c>
      <c r="L145">
        <v>126110</v>
      </c>
      <c r="M145">
        <v>25222</v>
      </c>
      <c r="N145">
        <v>37833</v>
      </c>
      <c r="O145">
        <v>12611</v>
      </c>
      <c r="P145">
        <v>-50444</v>
      </c>
      <c r="Q145">
        <v>-31527</v>
      </c>
      <c r="R145">
        <v>140765</v>
      </c>
      <c r="S145">
        <v>42229</v>
      </c>
      <c r="T145">
        <v>14076</v>
      </c>
      <c r="U145">
        <v>6305</v>
      </c>
      <c r="V145">
        <v>3783</v>
      </c>
      <c r="W145">
        <v>2522</v>
      </c>
      <c r="X145">
        <v>12611</v>
      </c>
      <c r="Y145">
        <v>6305</v>
      </c>
      <c r="Z145">
        <v>7038</v>
      </c>
      <c r="AA145">
        <v>4222</v>
      </c>
      <c r="AB145">
        <v>2815</v>
      </c>
    </row>
    <row r="146" spans="1:28" x14ac:dyDescent="0.35">
      <c r="A146" t="s">
        <v>191</v>
      </c>
      <c r="B146" t="s">
        <v>9</v>
      </c>
      <c r="C146" t="s">
        <v>1</v>
      </c>
      <c r="D146" t="s">
        <v>10</v>
      </c>
      <c r="E146" t="s">
        <v>11</v>
      </c>
      <c r="F146">
        <v>450485</v>
      </c>
      <c r="G146">
        <v>-159453</v>
      </c>
      <c r="H146">
        <v>165112</v>
      </c>
      <c r="I146">
        <v>450485</v>
      </c>
      <c r="J146">
        <v>45048</v>
      </c>
      <c r="K146">
        <v>22524</v>
      </c>
      <c r="L146">
        <v>262137</v>
      </c>
      <c r="M146">
        <v>52427</v>
      </c>
      <c r="N146">
        <v>78641</v>
      </c>
      <c r="O146">
        <v>26213</v>
      </c>
      <c r="P146">
        <v>-104854</v>
      </c>
      <c r="Q146">
        <v>-65534</v>
      </c>
      <c r="R146">
        <v>219980</v>
      </c>
      <c r="S146">
        <v>65994</v>
      </c>
      <c r="T146">
        <v>21998</v>
      </c>
      <c r="U146">
        <v>13106</v>
      </c>
      <c r="V146">
        <v>7864</v>
      </c>
      <c r="W146">
        <v>5242</v>
      </c>
      <c r="X146">
        <v>26213</v>
      </c>
      <c r="Y146">
        <v>13106</v>
      </c>
      <c r="Z146">
        <v>10999</v>
      </c>
      <c r="AA146">
        <v>6599</v>
      </c>
      <c r="AB146">
        <v>4399</v>
      </c>
    </row>
    <row r="147" spans="1:28" x14ac:dyDescent="0.35">
      <c r="A147" t="s">
        <v>192</v>
      </c>
      <c r="B147" t="s">
        <v>9</v>
      </c>
      <c r="C147" t="s">
        <v>1</v>
      </c>
      <c r="D147" t="s">
        <v>10</v>
      </c>
      <c r="E147" t="s">
        <v>11</v>
      </c>
      <c r="F147">
        <v>417225</v>
      </c>
      <c r="G147">
        <v>-102147</v>
      </c>
      <c r="H147">
        <v>110025</v>
      </c>
      <c r="I147">
        <v>417225</v>
      </c>
      <c r="J147">
        <v>41722</v>
      </c>
      <c r="K147">
        <v>20861</v>
      </c>
      <c r="L147">
        <v>158073</v>
      </c>
      <c r="M147">
        <v>31614</v>
      </c>
      <c r="N147">
        <v>47421</v>
      </c>
      <c r="O147">
        <v>15807</v>
      </c>
      <c r="P147">
        <v>-63229</v>
      </c>
      <c r="Q147">
        <v>-39518</v>
      </c>
      <c r="R147">
        <v>185610</v>
      </c>
      <c r="S147">
        <v>55683</v>
      </c>
      <c r="T147">
        <v>18561</v>
      </c>
      <c r="U147">
        <v>7903</v>
      </c>
      <c r="V147">
        <v>4742</v>
      </c>
      <c r="W147">
        <v>3161</v>
      </c>
      <c r="X147">
        <v>15807</v>
      </c>
      <c r="Y147">
        <v>7903</v>
      </c>
      <c r="Z147">
        <v>9280</v>
      </c>
      <c r="AA147">
        <v>5568</v>
      </c>
      <c r="AB147">
        <v>3712</v>
      </c>
    </row>
    <row r="148" spans="1:28" x14ac:dyDescent="0.35">
      <c r="A148" t="s">
        <v>193</v>
      </c>
      <c r="B148" t="s">
        <v>9</v>
      </c>
      <c r="C148" t="s">
        <v>1</v>
      </c>
      <c r="D148" t="s">
        <v>10</v>
      </c>
      <c r="E148" t="s">
        <v>11</v>
      </c>
      <c r="F148">
        <v>88795</v>
      </c>
      <c r="G148">
        <v>-34182</v>
      </c>
      <c r="H148">
        <v>17601</v>
      </c>
      <c r="I148">
        <v>88795</v>
      </c>
      <c r="J148">
        <v>8879</v>
      </c>
      <c r="K148">
        <v>4439</v>
      </c>
      <c r="L148">
        <v>44526</v>
      </c>
      <c r="M148">
        <v>8905</v>
      </c>
      <c r="N148">
        <v>13357</v>
      </c>
      <c r="O148">
        <v>4452</v>
      </c>
      <c r="P148">
        <v>-17810</v>
      </c>
      <c r="Q148">
        <v>-11131</v>
      </c>
      <c r="R148">
        <v>45786</v>
      </c>
      <c r="S148">
        <v>13735</v>
      </c>
      <c r="T148">
        <v>4578</v>
      </c>
      <c r="U148">
        <v>2226</v>
      </c>
      <c r="V148">
        <v>1335</v>
      </c>
      <c r="W148">
        <v>890</v>
      </c>
      <c r="X148">
        <v>4452</v>
      </c>
      <c r="Y148">
        <v>2226</v>
      </c>
      <c r="Z148">
        <v>2289</v>
      </c>
      <c r="AA148">
        <v>1373</v>
      </c>
      <c r="AB148">
        <v>915</v>
      </c>
    </row>
    <row r="149" spans="1:28" x14ac:dyDescent="0.35">
      <c r="A149" t="s">
        <v>194</v>
      </c>
      <c r="B149" t="s">
        <v>9</v>
      </c>
      <c r="C149" t="s">
        <v>1</v>
      </c>
      <c r="D149" t="s">
        <v>10</v>
      </c>
      <c r="E149" t="s">
        <v>11</v>
      </c>
      <c r="F149">
        <v>228181</v>
      </c>
      <c r="G149">
        <v>-79737</v>
      </c>
      <c r="H149">
        <v>64064</v>
      </c>
      <c r="I149">
        <v>228181</v>
      </c>
      <c r="J149">
        <v>22818</v>
      </c>
      <c r="K149">
        <v>11409</v>
      </c>
      <c r="L149">
        <v>175211</v>
      </c>
      <c r="M149">
        <v>35042</v>
      </c>
      <c r="N149">
        <v>52563</v>
      </c>
      <c r="O149">
        <v>17521</v>
      </c>
      <c r="P149">
        <v>-70084</v>
      </c>
      <c r="Q149">
        <v>-43802</v>
      </c>
      <c r="R149">
        <v>201224</v>
      </c>
      <c r="S149">
        <v>60367</v>
      </c>
      <c r="T149">
        <v>20122</v>
      </c>
      <c r="U149">
        <v>8760</v>
      </c>
      <c r="V149">
        <v>5256</v>
      </c>
      <c r="W149">
        <v>3504</v>
      </c>
      <c r="X149">
        <v>17521</v>
      </c>
      <c r="Y149">
        <v>8760</v>
      </c>
      <c r="Z149">
        <v>10061</v>
      </c>
      <c r="AA149">
        <v>6036</v>
      </c>
      <c r="AB149">
        <v>4024</v>
      </c>
    </row>
    <row r="150" spans="1:28" x14ac:dyDescent="0.35">
      <c r="A150" t="s">
        <v>195</v>
      </c>
      <c r="B150" t="s">
        <v>9</v>
      </c>
      <c r="C150" t="s">
        <v>1</v>
      </c>
      <c r="D150" t="s">
        <v>10</v>
      </c>
      <c r="E150" t="s">
        <v>11</v>
      </c>
      <c r="F150">
        <v>95669</v>
      </c>
      <c r="G150">
        <v>-45307</v>
      </c>
      <c r="H150">
        <v>42213</v>
      </c>
      <c r="I150">
        <v>95669</v>
      </c>
      <c r="J150">
        <v>9566</v>
      </c>
      <c r="K150">
        <v>4783</v>
      </c>
      <c r="L150">
        <v>48391</v>
      </c>
      <c r="M150">
        <v>9678</v>
      </c>
      <c r="N150">
        <v>14517</v>
      </c>
      <c r="O150">
        <v>4839</v>
      </c>
      <c r="P150">
        <v>-19356</v>
      </c>
      <c r="Q150">
        <v>-12097</v>
      </c>
      <c r="R150">
        <v>55396</v>
      </c>
      <c r="S150">
        <v>16618</v>
      </c>
      <c r="T150">
        <v>5539</v>
      </c>
      <c r="U150">
        <v>2419</v>
      </c>
      <c r="V150">
        <v>1451</v>
      </c>
      <c r="W150">
        <v>967</v>
      </c>
      <c r="X150">
        <v>4839</v>
      </c>
      <c r="Y150">
        <v>2419</v>
      </c>
      <c r="Z150">
        <v>2769</v>
      </c>
      <c r="AA150">
        <v>1661</v>
      </c>
      <c r="AB150">
        <v>1107</v>
      </c>
    </row>
    <row r="151" spans="1:28" x14ac:dyDescent="0.35">
      <c r="A151" t="s">
        <v>196</v>
      </c>
      <c r="B151" t="s">
        <v>9</v>
      </c>
      <c r="C151" t="s">
        <v>1</v>
      </c>
      <c r="D151" t="s">
        <v>10</v>
      </c>
      <c r="E151" t="s">
        <v>11</v>
      </c>
      <c r="F151">
        <v>310671</v>
      </c>
      <c r="G151">
        <v>-106187</v>
      </c>
      <c r="H151">
        <v>129269</v>
      </c>
      <c r="I151">
        <v>310671</v>
      </c>
      <c r="J151">
        <v>31067</v>
      </c>
      <c r="K151">
        <v>15533</v>
      </c>
      <c r="L151">
        <v>242465</v>
      </c>
      <c r="M151">
        <v>48493</v>
      </c>
      <c r="N151">
        <v>72739</v>
      </c>
      <c r="O151">
        <v>24246</v>
      </c>
      <c r="P151">
        <v>-96986</v>
      </c>
      <c r="Q151">
        <v>-60616</v>
      </c>
      <c r="R151">
        <v>204360</v>
      </c>
      <c r="S151">
        <v>61308</v>
      </c>
      <c r="T151">
        <v>20436</v>
      </c>
      <c r="U151">
        <v>12123</v>
      </c>
      <c r="V151">
        <v>7273</v>
      </c>
      <c r="W151">
        <v>4849</v>
      </c>
      <c r="X151">
        <v>24246</v>
      </c>
      <c r="Y151">
        <v>12123</v>
      </c>
      <c r="Z151">
        <v>10218</v>
      </c>
      <c r="AA151">
        <v>6130</v>
      </c>
      <c r="AB151">
        <v>4087</v>
      </c>
    </row>
    <row r="152" spans="1:28" x14ac:dyDescent="0.35">
      <c r="A152" t="s">
        <v>197</v>
      </c>
      <c r="B152" t="s">
        <v>9</v>
      </c>
      <c r="C152" t="s">
        <v>1</v>
      </c>
      <c r="D152" t="s">
        <v>10</v>
      </c>
      <c r="E152" t="s">
        <v>11</v>
      </c>
      <c r="F152">
        <v>472904</v>
      </c>
      <c r="G152">
        <v>-237573</v>
      </c>
      <c r="H152">
        <v>149282</v>
      </c>
      <c r="I152">
        <v>472904</v>
      </c>
      <c r="J152">
        <v>47290</v>
      </c>
      <c r="K152">
        <v>23645</v>
      </c>
      <c r="L152">
        <v>162702</v>
      </c>
      <c r="M152">
        <v>32540</v>
      </c>
      <c r="N152">
        <v>48810</v>
      </c>
      <c r="O152">
        <v>16270</v>
      </c>
      <c r="P152">
        <v>-65080</v>
      </c>
      <c r="Q152">
        <v>-40675</v>
      </c>
      <c r="R152">
        <v>193569</v>
      </c>
      <c r="S152">
        <v>58070</v>
      </c>
      <c r="T152">
        <v>19356</v>
      </c>
      <c r="U152">
        <v>8135</v>
      </c>
      <c r="V152">
        <v>4881</v>
      </c>
      <c r="W152">
        <v>3254</v>
      </c>
      <c r="X152">
        <v>16270</v>
      </c>
      <c r="Y152">
        <v>8135</v>
      </c>
      <c r="Z152">
        <v>9678</v>
      </c>
      <c r="AA152">
        <v>5807</v>
      </c>
      <c r="AB152">
        <v>3871</v>
      </c>
    </row>
    <row r="153" spans="1:28" x14ac:dyDescent="0.35">
      <c r="A153" t="s">
        <v>198</v>
      </c>
      <c r="B153" t="s">
        <v>9</v>
      </c>
      <c r="C153" t="s">
        <v>1</v>
      </c>
      <c r="D153" t="s">
        <v>10</v>
      </c>
      <c r="E153" t="s">
        <v>11</v>
      </c>
      <c r="F153">
        <v>428827</v>
      </c>
      <c r="G153">
        <v>-87134</v>
      </c>
      <c r="H153">
        <v>207338</v>
      </c>
      <c r="I153">
        <v>428827</v>
      </c>
      <c r="J153">
        <v>42882</v>
      </c>
      <c r="K153">
        <v>21441</v>
      </c>
      <c r="L153">
        <v>238170</v>
      </c>
      <c r="M153">
        <v>47634</v>
      </c>
      <c r="N153">
        <v>71451</v>
      </c>
      <c r="O153">
        <v>23817</v>
      </c>
      <c r="P153">
        <v>-95268</v>
      </c>
      <c r="Q153">
        <v>-59542</v>
      </c>
      <c r="R153">
        <v>217260</v>
      </c>
      <c r="S153">
        <v>65178</v>
      </c>
      <c r="T153">
        <v>21726</v>
      </c>
      <c r="U153">
        <v>11908</v>
      </c>
      <c r="V153">
        <v>7145</v>
      </c>
      <c r="W153">
        <v>4763</v>
      </c>
      <c r="X153">
        <v>23817</v>
      </c>
      <c r="Y153">
        <v>11908</v>
      </c>
      <c r="Z153">
        <v>10863</v>
      </c>
      <c r="AA153">
        <v>6517</v>
      </c>
      <c r="AB153">
        <v>4345</v>
      </c>
    </row>
    <row r="154" spans="1:28" x14ac:dyDescent="0.35">
      <c r="A154" t="s">
        <v>199</v>
      </c>
      <c r="B154" t="s">
        <v>9</v>
      </c>
      <c r="C154" t="s">
        <v>1</v>
      </c>
      <c r="D154" t="s">
        <v>10</v>
      </c>
      <c r="E154" t="s">
        <v>11</v>
      </c>
      <c r="F154">
        <v>424383</v>
      </c>
      <c r="G154">
        <v>-162580</v>
      </c>
      <c r="H154">
        <v>139190</v>
      </c>
      <c r="I154">
        <v>424383</v>
      </c>
      <c r="J154">
        <v>42438</v>
      </c>
      <c r="K154">
        <v>21219</v>
      </c>
      <c r="L154">
        <v>87421</v>
      </c>
      <c r="M154">
        <v>17484</v>
      </c>
      <c r="N154">
        <v>26226</v>
      </c>
      <c r="O154">
        <v>8742</v>
      </c>
      <c r="P154">
        <v>-34968</v>
      </c>
      <c r="Q154">
        <v>-21855</v>
      </c>
      <c r="R154">
        <v>73298</v>
      </c>
      <c r="S154">
        <v>21989</v>
      </c>
      <c r="T154">
        <v>7329</v>
      </c>
      <c r="U154">
        <v>4371</v>
      </c>
      <c r="V154">
        <v>2622</v>
      </c>
      <c r="W154">
        <v>1748</v>
      </c>
      <c r="X154">
        <v>8742</v>
      </c>
      <c r="Y154">
        <v>4371</v>
      </c>
      <c r="Z154">
        <v>3664</v>
      </c>
      <c r="AA154">
        <v>2198</v>
      </c>
      <c r="AB154">
        <v>1465</v>
      </c>
    </row>
    <row r="155" spans="1:28" x14ac:dyDescent="0.35">
      <c r="A155" t="s">
        <v>200</v>
      </c>
      <c r="B155" t="s">
        <v>9</v>
      </c>
      <c r="C155" t="s">
        <v>1</v>
      </c>
      <c r="D155" t="s">
        <v>10</v>
      </c>
      <c r="E155" t="s">
        <v>11</v>
      </c>
      <c r="F155">
        <v>104358</v>
      </c>
      <c r="G155">
        <v>-55085</v>
      </c>
      <c r="H155">
        <v>23067</v>
      </c>
      <c r="I155">
        <v>104358</v>
      </c>
      <c r="J155">
        <v>10435</v>
      </c>
      <c r="K155">
        <v>5217</v>
      </c>
      <c r="L155">
        <v>82613</v>
      </c>
      <c r="M155">
        <v>16522</v>
      </c>
      <c r="N155">
        <v>24783</v>
      </c>
      <c r="O155">
        <v>8261</v>
      </c>
      <c r="P155">
        <v>-33045</v>
      </c>
      <c r="Q155">
        <v>-20653</v>
      </c>
      <c r="R155">
        <v>95426</v>
      </c>
      <c r="S155">
        <v>28627</v>
      </c>
      <c r="T155">
        <v>9542</v>
      </c>
      <c r="U155">
        <v>4130</v>
      </c>
      <c r="V155">
        <v>2478</v>
      </c>
      <c r="W155">
        <v>1652</v>
      </c>
      <c r="X155">
        <v>8261</v>
      </c>
      <c r="Y155">
        <v>4130</v>
      </c>
      <c r="Z155">
        <v>4771</v>
      </c>
      <c r="AA155">
        <v>2862</v>
      </c>
      <c r="AB155">
        <v>1908</v>
      </c>
    </row>
    <row r="156" spans="1:28" x14ac:dyDescent="0.35">
      <c r="A156" t="s">
        <v>201</v>
      </c>
      <c r="B156" t="s">
        <v>9</v>
      </c>
      <c r="C156" t="s">
        <v>1</v>
      </c>
      <c r="D156" t="s">
        <v>10</v>
      </c>
      <c r="E156" t="s">
        <v>11</v>
      </c>
      <c r="F156">
        <v>79893</v>
      </c>
      <c r="G156">
        <v>-38034</v>
      </c>
      <c r="H156">
        <v>10994</v>
      </c>
      <c r="I156">
        <v>79893</v>
      </c>
      <c r="J156">
        <v>7989</v>
      </c>
      <c r="K156">
        <v>3994</v>
      </c>
      <c r="L156">
        <v>16933</v>
      </c>
      <c r="M156">
        <v>3386</v>
      </c>
      <c r="N156">
        <v>5079</v>
      </c>
      <c r="O156">
        <v>1693</v>
      </c>
      <c r="P156">
        <v>-6773</v>
      </c>
      <c r="Q156">
        <v>-4233</v>
      </c>
      <c r="R156">
        <v>18450</v>
      </c>
      <c r="S156">
        <v>5535</v>
      </c>
      <c r="T156">
        <v>1845</v>
      </c>
      <c r="U156">
        <v>846</v>
      </c>
      <c r="V156">
        <v>507</v>
      </c>
      <c r="W156">
        <v>338</v>
      </c>
      <c r="X156">
        <v>1693</v>
      </c>
      <c r="Y156">
        <v>846</v>
      </c>
      <c r="Z156">
        <v>922</v>
      </c>
      <c r="AA156">
        <v>553</v>
      </c>
      <c r="AB156">
        <v>369</v>
      </c>
    </row>
    <row r="157" spans="1:28" x14ac:dyDescent="0.35">
      <c r="A157" t="s">
        <v>202</v>
      </c>
      <c r="B157" t="s">
        <v>9</v>
      </c>
      <c r="C157" t="s">
        <v>1</v>
      </c>
      <c r="D157" t="s">
        <v>10</v>
      </c>
      <c r="E157" t="s">
        <v>11</v>
      </c>
      <c r="F157">
        <v>62297</v>
      </c>
      <c r="G157">
        <v>-26092</v>
      </c>
      <c r="H157">
        <v>8896</v>
      </c>
      <c r="I157">
        <v>62297</v>
      </c>
      <c r="J157">
        <v>6229</v>
      </c>
      <c r="K157">
        <v>3114</v>
      </c>
      <c r="L157">
        <v>31348</v>
      </c>
      <c r="M157">
        <v>6269</v>
      </c>
      <c r="N157">
        <v>9404</v>
      </c>
      <c r="O157">
        <v>3134</v>
      </c>
      <c r="P157">
        <v>-12539</v>
      </c>
      <c r="Q157">
        <v>-7837</v>
      </c>
      <c r="R157">
        <v>27639</v>
      </c>
      <c r="S157">
        <v>8291</v>
      </c>
      <c r="T157">
        <v>2763</v>
      </c>
      <c r="U157">
        <v>1567</v>
      </c>
      <c r="V157">
        <v>940</v>
      </c>
      <c r="W157">
        <v>626</v>
      </c>
      <c r="X157">
        <v>3134</v>
      </c>
      <c r="Y157">
        <v>1567</v>
      </c>
      <c r="Z157">
        <v>1381</v>
      </c>
      <c r="AA157">
        <v>829</v>
      </c>
      <c r="AB157">
        <v>552</v>
      </c>
    </row>
    <row r="158" spans="1:28" x14ac:dyDescent="0.35">
      <c r="A158" t="s">
        <v>203</v>
      </c>
      <c r="B158" t="s">
        <v>9</v>
      </c>
      <c r="C158" t="s">
        <v>1</v>
      </c>
      <c r="D158" t="s">
        <v>10</v>
      </c>
      <c r="E158" t="s">
        <v>11</v>
      </c>
      <c r="F158">
        <v>212270</v>
      </c>
      <c r="G158">
        <v>-77527</v>
      </c>
      <c r="H158">
        <v>40516</v>
      </c>
      <c r="I158">
        <v>212270</v>
      </c>
      <c r="J158">
        <v>21227</v>
      </c>
      <c r="K158">
        <v>10613</v>
      </c>
      <c r="L158">
        <v>155093</v>
      </c>
      <c r="M158">
        <v>31018</v>
      </c>
      <c r="N158">
        <v>46527</v>
      </c>
      <c r="O158">
        <v>15509</v>
      </c>
      <c r="P158">
        <v>-62037</v>
      </c>
      <c r="Q158">
        <v>-38773</v>
      </c>
      <c r="R158">
        <v>169103</v>
      </c>
      <c r="S158">
        <v>50730</v>
      </c>
      <c r="T158">
        <v>16910</v>
      </c>
      <c r="U158">
        <v>7754</v>
      </c>
      <c r="V158">
        <v>4652</v>
      </c>
      <c r="W158">
        <v>3101</v>
      </c>
      <c r="X158">
        <v>15509</v>
      </c>
      <c r="Y158">
        <v>7754</v>
      </c>
      <c r="Z158">
        <v>8455</v>
      </c>
      <c r="AA158">
        <v>5073</v>
      </c>
      <c r="AB158">
        <v>3382</v>
      </c>
    </row>
    <row r="159" spans="1:28" x14ac:dyDescent="0.35">
      <c r="A159" t="s">
        <v>204</v>
      </c>
      <c r="B159" t="s">
        <v>9</v>
      </c>
      <c r="C159" t="s">
        <v>1</v>
      </c>
      <c r="D159" t="s">
        <v>10</v>
      </c>
      <c r="E159" t="s">
        <v>11</v>
      </c>
      <c r="F159">
        <v>340097</v>
      </c>
      <c r="G159">
        <v>-124082</v>
      </c>
      <c r="H159">
        <v>72143</v>
      </c>
      <c r="I159">
        <v>340097</v>
      </c>
      <c r="J159">
        <v>34009</v>
      </c>
      <c r="K159">
        <v>17004</v>
      </c>
      <c r="L159">
        <v>211392</v>
      </c>
      <c r="M159">
        <v>42278</v>
      </c>
      <c r="N159">
        <v>63417</v>
      </c>
      <c r="O159">
        <v>21139</v>
      </c>
      <c r="P159">
        <v>-84556</v>
      </c>
      <c r="Q159">
        <v>-52848</v>
      </c>
      <c r="R159">
        <v>230674</v>
      </c>
      <c r="S159">
        <v>69202</v>
      </c>
      <c r="T159">
        <v>23067</v>
      </c>
      <c r="U159">
        <v>10569</v>
      </c>
      <c r="V159">
        <v>6341</v>
      </c>
      <c r="W159">
        <v>4227</v>
      </c>
      <c r="X159">
        <v>21139</v>
      </c>
      <c r="Y159">
        <v>10569</v>
      </c>
      <c r="Z159">
        <v>11533</v>
      </c>
      <c r="AA159">
        <v>6920</v>
      </c>
      <c r="AB159">
        <v>4613</v>
      </c>
    </row>
    <row r="160" spans="1:28" x14ac:dyDescent="0.35">
      <c r="A160" t="s">
        <v>205</v>
      </c>
      <c r="B160" t="s">
        <v>9</v>
      </c>
      <c r="C160" t="s">
        <v>1</v>
      </c>
      <c r="D160" t="s">
        <v>10</v>
      </c>
      <c r="E160" t="s">
        <v>11</v>
      </c>
      <c r="F160">
        <v>403508</v>
      </c>
      <c r="G160">
        <v>-153279</v>
      </c>
      <c r="H160">
        <v>121707</v>
      </c>
      <c r="I160">
        <v>403508</v>
      </c>
      <c r="J160">
        <v>40350</v>
      </c>
      <c r="K160">
        <v>20175</v>
      </c>
      <c r="L160">
        <v>227389</v>
      </c>
      <c r="M160">
        <v>45477</v>
      </c>
      <c r="N160">
        <v>68216</v>
      </c>
      <c r="O160">
        <v>22738</v>
      </c>
      <c r="P160">
        <v>-90955</v>
      </c>
      <c r="Q160">
        <v>-56847</v>
      </c>
      <c r="R160">
        <v>264723</v>
      </c>
      <c r="S160">
        <v>79416</v>
      </c>
      <c r="T160">
        <v>26472</v>
      </c>
      <c r="U160">
        <v>11369</v>
      </c>
      <c r="V160">
        <v>6821</v>
      </c>
      <c r="W160">
        <v>4547</v>
      </c>
      <c r="X160">
        <v>22738</v>
      </c>
      <c r="Y160">
        <v>11369</v>
      </c>
      <c r="Z160">
        <v>13236</v>
      </c>
      <c r="AA160">
        <v>7941</v>
      </c>
      <c r="AB160">
        <v>5294</v>
      </c>
    </row>
    <row r="161" spans="1:28" x14ac:dyDescent="0.35">
      <c r="A161" t="s">
        <v>206</v>
      </c>
      <c r="B161" t="s">
        <v>9</v>
      </c>
      <c r="C161" t="s">
        <v>1</v>
      </c>
      <c r="D161" t="s">
        <v>10</v>
      </c>
      <c r="E161" t="s">
        <v>11</v>
      </c>
      <c r="F161">
        <v>442217</v>
      </c>
      <c r="G161">
        <v>-146993</v>
      </c>
      <c r="H161">
        <v>194142</v>
      </c>
      <c r="I161">
        <v>442217</v>
      </c>
      <c r="J161">
        <v>44221</v>
      </c>
      <c r="K161">
        <v>22110</v>
      </c>
      <c r="L161">
        <v>145722</v>
      </c>
      <c r="M161">
        <v>29144</v>
      </c>
      <c r="N161">
        <v>43716</v>
      </c>
      <c r="O161">
        <v>14572</v>
      </c>
      <c r="P161">
        <v>-58288</v>
      </c>
      <c r="Q161">
        <v>-36430</v>
      </c>
      <c r="R161">
        <v>168522</v>
      </c>
      <c r="S161">
        <v>50556</v>
      </c>
      <c r="T161">
        <v>16852</v>
      </c>
      <c r="U161">
        <v>7286</v>
      </c>
      <c r="V161">
        <v>4371</v>
      </c>
      <c r="W161">
        <v>2914</v>
      </c>
      <c r="X161">
        <v>14572</v>
      </c>
      <c r="Y161">
        <v>7286</v>
      </c>
      <c r="Z161">
        <v>8426</v>
      </c>
      <c r="AA161">
        <v>5055</v>
      </c>
      <c r="AB161">
        <v>3370</v>
      </c>
    </row>
    <row r="162" spans="1:28" x14ac:dyDescent="0.35">
      <c r="A162" t="s">
        <v>207</v>
      </c>
      <c r="B162" t="s">
        <v>9</v>
      </c>
      <c r="C162" t="s">
        <v>1</v>
      </c>
      <c r="D162" t="s">
        <v>10</v>
      </c>
      <c r="E162" t="s">
        <v>11</v>
      </c>
      <c r="F162">
        <v>81374</v>
      </c>
      <c r="G162">
        <v>-23327</v>
      </c>
      <c r="H162">
        <v>33349</v>
      </c>
      <c r="I162">
        <v>81374</v>
      </c>
      <c r="J162">
        <v>8137</v>
      </c>
      <c r="K162">
        <v>4068</v>
      </c>
      <c r="L162">
        <v>26199</v>
      </c>
      <c r="M162">
        <v>5239</v>
      </c>
      <c r="N162">
        <v>7859</v>
      </c>
      <c r="O162">
        <v>2619</v>
      </c>
      <c r="P162">
        <v>-10479</v>
      </c>
      <c r="Q162">
        <v>-6549</v>
      </c>
      <c r="R162">
        <v>22626</v>
      </c>
      <c r="S162">
        <v>6787</v>
      </c>
      <c r="T162">
        <v>2262</v>
      </c>
      <c r="U162">
        <v>1309</v>
      </c>
      <c r="V162">
        <v>785</v>
      </c>
      <c r="W162">
        <v>523</v>
      </c>
      <c r="X162">
        <v>2619</v>
      </c>
      <c r="Y162">
        <v>1309</v>
      </c>
      <c r="Z162">
        <v>1131</v>
      </c>
      <c r="AA162">
        <v>678</v>
      </c>
      <c r="AB162">
        <v>452</v>
      </c>
    </row>
    <row r="163" spans="1:28" x14ac:dyDescent="0.35">
      <c r="A163" t="s">
        <v>208</v>
      </c>
      <c r="B163" t="s">
        <v>9</v>
      </c>
      <c r="C163" t="s">
        <v>1</v>
      </c>
      <c r="D163" t="s">
        <v>10</v>
      </c>
      <c r="E163" t="s">
        <v>11</v>
      </c>
      <c r="F163">
        <v>454497</v>
      </c>
      <c r="G163">
        <v>-217378</v>
      </c>
      <c r="H163">
        <v>62395</v>
      </c>
      <c r="I163">
        <v>454497</v>
      </c>
      <c r="J163">
        <v>45449</v>
      </c>
      <c r="K163">
        <v>22724</v>
      </c>
      <c r="L163">
        <v>211896</v>
      </c>
      <c r="M163">
        <v>42379</v>
      </c>
      <c r="N163">
        <v>63568</v>
      </c>
      <c r="O163">
        <v>21189</v>
      </c>
      <c r="P163">
        <v>-84758</v>
      </c>
      <c r="Q163">
        <v>-52974</v>
      </c>
      <c r="R163">
        <v>172447</v>
      </c>
      <c r="S163">
        <v>51734</v>
      </c>
      <c r="T163">
        <v>17244</v>
      </c>
      <c r="U163">
        <v>10594</v>
      </c>
      <c r="V163">
        <v>6356</v>
      </c>
      <c r="W163">
        <v>4237</v>
      </c>
      <c r="X163">
        <v>21189</v>
      </c>
      <c r="Y163">
        <v>10594</v>
      </c>
      <c r="Z163">
        <v>8622</v>
      </c>
      <c r="AA163">
        <v>5173</v>
      </c>
      <c r="AB163">
        <v>3448</v>
      </c>
    </row>
    <row r="164" spans="1:28" x14ac:dyDescent="0.35">
      <c r="A164" t="s">
        <v>209</v>
      </c>
      <c r="B164" t="s">
        <v>9</v>
      </c>
      <c r="C164" t="s">
        <v>1</v>
      </c>
      <c r="D164" t="s">
        <v>10</v>
      </c>
      <c r="E164" t="s">
        <v>11</v>
      </c>
      <c r="F164">
        <v>140327</v>
      </c>
      <c r="G164">
        <v>-80962</v>
      </c>
      <c r="H164">
        <v>44158</v>
      </c>
      <c r="I164">
        <v>140327</v>
      </c>
      <c r="J164">
        <v>14032</v>
      </c>
      <c r="K164">
        <v>7016</v>
      </c>
      <c r="L164">
        <v>79982</v>
      </c>
      <c r="M164">
        <v>15996</v>
      </c>
      <c r="N164">
        <v>23994</v>
      </c>
      <c r="O164">
        <v>7998</v>
      </c>
      <c r="P164">
        <v>-31992</v>
      </c>
      <c r="Q164">
        <v>-19995</v>
      </c>
      <c r="R164">
        <v>91796</v>
      </c>
      <c r="S164">
        <v>27538</v>
      </c>
      <c r="T164">
        <v>9179</v>
      </c>
      <c r="U164">
        <v>3999</v>
      </c>
      <c r="V164">
        <v>2399</v>
      </c>
      <c r="W164">
        <v>1599</v>
      </c>
      <c r="X164">
        <v>7998</v>
      </c>
      <c r="Y164">
        <v>3999</v>
      </c>
      <c r="Z164">
        <v>4589</v>
      </c>
      <c r="AA164">
        <v>2753</v>
      </c>
      <c r="AB164">
        <v>1835</v>
      </c>
    </row>
    <row r="165" spans="1:28" x14ac:dyDescent="0.35">
      <c r="A165" t="s">
        <v>210</v>
      </c>
      <c r="B165" t="s">
        <v>9</v>
      </c>
      <c r="C165" t="s">
        <v>1</v>
      </c>
      <c r="D165" t="s">
        <v>10</v>
      </c>
      <c r="E165" t="s">
        <v>11</v>
      </c>
      <c r="F165">
        <v>215565</v>
      </c>
      <c r="G165">
        <v>-50842</v>
      </c>
      <c r="H165">
        <v>63987</v>
      </c>
      <c r="I165">
        <v>215565</v>
      </c>
      <c r="J165">
        <v>21556</v>
      </c>
      <c r="K165">
        <v>10778</v>
      </c>
      <c r="L165">
        <v>163539</v>
      </c>
      <c r="M165">
        <v>32707</v>
      </c>
      <c r="N165">
        <v>49061</v>
      </c>
      <c r="O165">
        <v>16353</v>
      </c>
      <c r="P165">
        <v>-65415</v>
      </c>
      <c r="Q165">
        <v>-40884</v>
      </c>
      <c r="R165">
        <v>168782</v>
      </c>
      <c r="S165">
        <v>50634</v>
      </c>
      <c r="T165">
        <v>16878</v>
      </c>
      <c r="U165">
        <v>8176</v>
      </c>
      <c r="V165">
        <v>4906</v>
      </c>
      <c r="W165">
        <v>3270</v>
      </c>
      <c r="X165">
        <v>16353</v>
      </c>
      <c r="Y165">
        <v>8176</v>
      </c>
      <c r="Z165">
        <v>8439</v>
      </c>
      <c r="AA165">
        <v>5063</v>
      </c>
      <c r="AB165">
        <v>3375</v>
      </c>
    </row>
    <row r="166" spans="1:28" x14ac:dyDescent="0.35">
      <c r="A166" t="s">
        <v>211</v>
      </c>
      <c r="B166" t="s">
        <v>9</v>
      </c>
      <c r="C166" t="s">
        <v>1</v>
      </c>
      <c r="D166" t="s">
        <v>10</v>
      </c>
      <c r="E166" t="s">
        <v>11</v>
      </c>
      <c r="F166">
        <v>232782</v>
      </c>
      <c r="G166">
        <v>-127788</v>
      </c>
      <c r="H166">
        <v>41402</v>
      </c>
      <c r="I166">
        <v>232782</v>
      </c>
      <c r="J166">
        <v>23278</v>
      </c>
      <c r="K166">
        <v>11639</v>
      </c>
      <c r="L166">
        <v>95265</v>
      </c>
      <c r="M166">
        <v>19053</v>
      </c>
      <c r="N166">
        <v>28579</v>
      </c>
      <c r="O166">
        <v>9526</v>
      </c>
      <c r="P166">
        <v>-38106</v>
      </c>
      <c r="Q166">
        <v>-23816</v>
      </c>
      <c r="R166">
        <v>96888</v>
      </c>
      <c r="S166">
        <v>29066</v>
      </c>
      <c r="T166">
        <v>9688</v>
      </c>
      <c r="U166">
        <v>4763</v>
      </c>
      <c r="V166">
        <v>2857</v>
      </c>
      <c r="W166">
        <v>1905</v>
      </c>
      <c r="X166">
        <v>9526</v>
      </c>
      <c r="Y166">
        <v>4763</v>
      </c>
      <c r="Z166">
        <v>4844</v>
      </c>
      <c r="AA166">
        <v>2906</v>
      </c>
      <c r="AB166">
        <v>1937</v>
      </c>
    </row>
    <row r="167" spans="1:28" x14ac:dyDescent="0.35">
      <c r="A167" t="s">
        <v>212</v>
      </c>
      <c r="B167" t="s">
        <v>9</v>
      </c>
      <c r="C167" t="s">
        <v>1</v>
      </c>
      <c r="D167" t="s">
        <v>10</v>
      </c>
      <c r="E167" t="s">
        <v>11</v>
      </c>
      <c r="F167">
        <v>289998</v>
      </c>
      <c r="G167">
        <v>-127403</v>
      </c>
      <c r="H167">
        <v>94717</v>
      </c>
      <c r="I167">
        <v>289998</v>
      </c>
      <c r="J167">
        <v>28999</v>
      </c>
      <c r="K167">
        <v>14499</v>
      </c>
      <c r="L167">
        <v>157303</v>
      </c>
      <c r="M167">
        <v>31460</v>
      </c>
      <c r="N167">
        <v>47190</v>
      </c>
      <c r="O167">
        <v>15730</v>
      </c>
      <c r="P167">
        <v>-62921</v>
      </c>
      <c r="Q167">
        <v>-39325</v>
      </c>
      <c r="R167">
        <v>170690</v>
      </c>
      <c r="S167">
        <v>51207</v>
      </c>
      <c r="T167">
        <v>17069</v>
      </c>
      <c r="U167">
        <v>7865</v>
      </c>
      <c r="V167">
        <v>4719</v>
      </c>
      <c r="W167">
        <v>3146</v>
      </c>
      <c r="X167">
        <v>15730</v>
      </c>
      <c r="Y167">
        <v>7865</v>
      </c>
      <c r="Z167">
        <v>8534</v>
      </c>
      <c r="AA167">
        <v>5120</v>
      </c>
      <c r="AB167">
        <v>3413</v>
      </c>
    </row>
    <row r="168" spans="1:28" x14ac:dyDescent="0.35">
      <c r="A168" t="s">
        <v>213</v>
      </c>
      <c r="B168" t="s">
        <v>9</v>
      </c>
      <c r="C168" t="s">
        <v>1</v>
      </c>
      <c r="D168" t="s">
        <v>10</v>
      </c>
      <c r="E168" t="s">
        <v>11</v>
      </c>
      <c r="F168">
        <v>374802</v>
      </c>
      <c r="G168">
        <v>-91586</v>
      </c>
      <c r="H168">
        <v>107214</v>
      </c>
      <c r="I168">
        <v>374802</v>
      </c>
      <c r="J168">
        <v>37480</v>
      </c>
      <c r="K168">
        <v>18740</v>
      </c>
      <c r="L168">
        <v>154591</v>
      </c>
      <c r="M168">
        <v>30918</v>
      </c>
      <c r="N168">
        <v>46377</v>
      </c>
      <c r="O168">
        <v>15459</v>
      </c>
      <c r="P168">
        <v>-61836</v>
      </c>
      <c r="Q168">
        <v>-38647</v>
      </c>
      <c r="R168">
        <v>128671</v>
      </c>
      <c r="S168">
        <v>38601</v>
      </c>
      <c r="T168">
        <v>12867</v>
      </c>
      <c r="U168">
        <v>7729</v>
      </c>
      <c r="V168">
        <v>4637</v>
      </c>
      <c r="W168">
        <v>3091</v>
      </c>
      <c r="X168">
        <v>15459</v>
      </c>
      <c r="Y168">
        <v>7729</v>
      </c>
      <c r="Z168">
        <v>6433</v>
      </c>
      <c r="AA168">
        <v>3860</v>
      </c>
      <c r="AB168">
        <v>2573</v>
      </c>
    </row>
    <row r="169" spans="1:28" x14ac:dyDescent="0.35">
      <c r="A169" t="s">
        <v>214</v>
      </c>
      <c r="B169" t="s">
        <v>9</v>
      </c>
      <c r="C169" t="s">
        <v>1</v>
      </c>
      <c r="D169" t="s">
        <v>10</v>
      </c>
      <c r="E169" t="s">
        <v>11</v>
      </c>
      <c r="F169">
        <v>87503</v>
      </c>
      <c r="G169">
        <v>-27912</v>
      </c>
      <c r="H169">
        <v>37055</v>
      </c>
      <c r="I169">
        <v>87503</v>
      </c>
      <c r="J169">
        <v>8750</v>
      </c>
      <c r="K169">
        <v>4375</v>
      </c>
      <c r="L169">
        <v>22723</v>
      </c>
      <c r="M169">
        <v>4544</v>
      </c>
      <c r="N169">
        <v>6816</v>
      </c>
      <c r="O169">
        <v>2272</v>
      </c>
      <c r="P169">
        <v>-9089</v>
      </c>
      <c r="Q169">
        <v>-5680</v>
      </c>
      <c r="R169">
        <v>25057</v>
      </c>
      <c r="S169">
        <v>7517</v>
      </c>
      <c r="T169">
        <v>2505</v>
      </c>
      <c r="U169">
        <v>1136</v>
      </c>
      <c r="V169">
        <v>681</v>
      </c>
      <c r="W169">
        <v>454</v>
      </c>
      <c r="X169">
        <v>2272</v>
      </c>
      <c r="Y169">
        <v>1136</v>
      </c>
      <c r="Z169">
        <v>1252</v>
      </c>
      <c r="AA169">
        <v>751</v>
      </c>
      <c r="AB169">
        <v>501</v>
      </c>
    </row>
    <row r="170" spans="1:28" x14ac:dyDescent="0.35">
      <c r="A170" t="s">
        <v>215</v>
      </c>
      <c r="B170" t="s">
        <v>9</v>
      </c>
      <c r="C170" t="s">
        <v>1</v>
      </c>
      <c r="D170" t="s">
        <v>10</v>
      </c>
      <c r="E170" t="s">
        <v>11</v>
      </c>
      <c r="F170">
        <v>436519</v>
      </c>
      <c r="G170">
        <v>-139806</v>
      </c>
      <c r="H170">
        <v>85110</v>
      </c>
      <c r="I170">
        <v>436519</v>
      </c>
      <c r="J170">
        <v>43651</v>
      </c>
      <c r="K170">
        <v>21825</v>
      </c>
      <c r="L170">
        <v>203446</v>
      </c>
      <c r="M170">
        <v>40689</v>
      </c>
      <c r="N170">
        <v>61033</v>
      </c>
      <c r="O170">
        <v>20344</v>
      </c>
      <c r="P170">
        <v>-81378</v>
      </c>
      <c r="Q170">
        <v>-50861</v>
      </c>
      <c r="R170">
        <v>173236</v>
      </c>
      <c r="S170">
        <v>51970</v>
      </c>
      <c r="T170">
        <v>17323</v>
      </c>
      <c r="U170">
        <v>10172</v>
      </c>
      <c r="V170">
        <v>6103</v>
      </c>
      <c r="W170">
        <v>4068</v>
      </c>
      <c r="X170">
        <v>20344</v>
      </c>
      <c r="Y170">
        <v>10172</v>
      </c>
      <c r="Z170">
        <v>8661</v>
      </c>
      <c r="AA170">
        <v>5197</v>
      </c>
      <c r="AB170">
        <v>3464</v>
      </c>
    </row>
    <row r="171" spans="1:28" x14ac:dyDescent="0.35">
      <c r="A171" t="s">
        <v>216</v>
      </c>
      <c r="B171" t="s">
        <v>9</v>
      </c>
      <c r="C171" t="s">
        <v>1</v>
      </c>
      <c r="D171" t="s">
        <v>10</v>
      </c>
      <c r="E171" t="s">
        <v>11</v>
      </c>
      <c r="F171">
        <v>269768</v>
      </c>
      <c r="G171">
        <v>-160873</v>
      </c>
      <c r="H171">
        <v>52218</v>
      </c>
      <c r="I171">
        <v>269768</v>
      </c>
      <c r="J171">
        <v>26976</v>
      </c>
      <c r="K171">
        <v>13488</v>
      </c>
      <c r="L171">
        <v>81983</v>
      </c>
      <c r="M171">
        <v>16396</v>
      </c>
      <c r="N171">
        <v>24594</v>
      </c>
      <c r="O171">
        <v>8198</v>
      </c>
      <c r="P171">
        <v>-32793</v>
      </c>
      <c r="Q171">
        <v>-20495</v>
      </c>
      <c r="R171">
        <v>82145</v>
      </c>
      <c r="S171">
        <v>24643</v>
      </c>
      <c r="T171">
        <v>8214</v>
      </c>
      <c r="U171">
        <v>4099</v>
      </c>
      <c r="V171">
        <v>2459</v>
      </c>
      <c r="W171">
        <v>1639</v>
      </c>
      <c r="X171">
        <v>8198</v>
      </c>
      <c r="Y171">
        <v>4099</v>
      </c>
      <c r="Z171">
        <v>4107</v>
      </c>
      <c r="AA171">
        <v>2464</v>
      </c>
      <c r="AB171">
        <v>1642</v>
      </c>
    </row>
    <row r="172" spans="1:28" x14ac:dyDescent="0.35">
      <c r="A172" t="s">
        <v>217</v>
      </c>
      <c r="B172" t="s">
        <v>9</v>
      </c>
      <c r="C172" t="s">
        <v>1</v>
      </c>
      <c r="D172" t="s">
        <v>10</v>
      </c>
      <c r="E172" t="s">
        <v>11</v>
      </c>
      <c r="F172">
        <v>224617</v>
      </c>
      <c r="G172">
        <v>-133233</v>
      </c>
      <c r="H172">
        <v>74867</v>
      </c>
      <c r="I172">
        <v>224617</v>
      </c>
      <c r="J172">
        <v>22461</v>
      </c>
      <c r="K172">
        <v>11230</v>
      </c>
      <c r="L172">
        <v>175179</v>
      </c>
      <c r="M172">
        <v>35035</v>
      </c>
      <c r="N172">
        <v>52553</v>
      </c>
      <c r="O172">
        <v>17517</v>
      </c>
      <c r="P172">
        <v>-70071</v>
      </c>
      <c r="Q172">
        <v>-43794</v>
      </c>
      <c r="R172">
        <v>145085</v>
      </c>
      <c r="S172">
        <v>43525</v>
      </c>
      <c r="T172">
        <v>14508</v>
      </c>
      <c r="U172">
        <v>8758</v>
      </c>
      <c r="V172">
        <v>5255</v>
      </c>
      <c r="W172">
        <v>3503</v>
      </c>
      <c r="X172">
        <v>17517</v>
      </c>
      <c r="Y172">
        <v>8758</v>
      </c>
      <c r="Z172">
        <v>7254</v>
      </c>
      <c r="AA172">
        <v>4352</v>
      </c>
      <c r="AB172">
        <v>2901</v>
      </c>
    </row>
    <row r="173" spans="1:28" x14ac:dyDescent="0.35">
      <c r="A173" t="s">
        <v>218</v>
      </c>
      <c r="B173" t="s">
        <v>9</v>
      </c>
      <c r="C173" t="s">
        <v>1</v>
      </c>
      <c r="D173" t="s">
        <v>10</v>
      </c>
      <c r="E173" t="s">
        <v>11</v>
      </c>
      <c r="F173">
        <v>98577</v>
      </c>
      <c r="G173">
        <v>-52806</v>
      </c>
      <c r="H173">
        <v>23801</v>
      </c>
      <c r="I173">
        <v>98577</v>
      </c>
      <c r="J173">
        <v>9857</v>
      </c>
      <c r="K173">
        <v>4928</v>
      </c>
      <c r="L173">
        <v>50030</v>
      </c>
      <c r="M173">
        <v>10006</v>
      </c>
      <c r="N173">
        <v>15009</v>
      </c>
      <c r="O173">
        <v>5003</v>
      </c>
      <c r="P173">
        <v>-20012</v>
      </c>
      <c r="Q173">
        <v>-12507</v>
      </c>
      <c r="R173">
        <v>54560</v>
      </c>
      <c r="S173">
        <v>16368</v>
      </c>
      <c r="T173">
        <v>5456</v>
      </c>
      <c r="U173">
        <v>2501</v>
      </c>
      <c r="V173">
        <v>1500</v>
      </c>
      <c r="W173">
        <v>1000</v>
      </c>
      <c r="X173">
        <v>5003</v>
      </c>
      <c r="Y173">
        <v>2501</v>
      </c>
      <c r="Z173">
        <v>2728</v>
      </c>
      <c r="AA173">
        <v>1636</v>
      </c>
      <c r="AB173">
        <v>1091</v>
      </c>
    </row>
    <row r="174" spans="1:28" x14ac:dyDescent="0.35">
      <c r="A174" t="s">
        <v>219</v>
      </c>
      <c r="B174" t="s">
        <v>9</v>
      </c>
      <c r="C174" t="s">
        <v>1</v>
      </c>
      <c r="D174" t="s">
        <v>10</v>
      </c>
      <c r="E174" t="s">
        <v>11</v>
      </c>
      <c r="F174">
        <v>196658</v>
      </c>
      <c r="G174">
        <v>-70498</v>
      </c>
      <c r="H174">
        <v>69613</v>
      </c>
      <c r="I174">
        <v>196658</v>
      </c>
      <c r="J174">
        <v>19665</v>
      </c>
      <c r="K174">
        <v>9832</v>
      </c>
      <c r="L174">
        <v>60548</v>
      </c>
      <c r="M174">
        <v>12109</v>
      </c>
      <c r="N174">
        <v>18164</v>
      </c>
      <c r="O174">
        <v>6054</v>
      </c>
      <c r="P174">
        <v>-24219</v>
      </c>
      <c r="Q174">
        <v>-15137</v>
      </c>
      <c r="R174">
        <v>55165</v>
      </c>
      <c r="S174">
        <v>16549</v>
      </c>
      <c r="T174">
        <v>5516</v>
      </c>
      <c r="U174">
        <v>3027</v>
      </c>
      <c r="V174">
        <v>1816</v>
      </c>
      <c r="W174">
        <v>1210</v>
      </c>
      <c r="X174">
        <v>6054</v>
      </c>
      <c r="Y174">
        <v>3027</v>
      </c>
      <c r="Z174">
        <v>2758</v>
      </c>
      <c r="AA174">
        <v>1654</v>
      </c>
      <c r="AB174">
        <v>1103</v>
      </c>
    </row>
    <row r="175" spans="1:28" x14ac:dyDescent="0.35">
      <c r="A175" t="s">
        <v>220</v>
      </c>
      <c r="B175" t="s">
        <v>9</v>
      </c>
      <c r="C175" t="s">
        <v>1</v>
      </c>
      <c r="D175" t="s">
        <v>10</v>
      </c>
      <c r="E175" t="s">
        <v>11</v>
      </c>
      <c r="F175">
        <v>383087</v>
      </c>
      <c r="G175">
        <v>-117915</v>
      </c>
      <c r="H175">
        <v>121810</v>
      </c>
      <c r="I175">
        <v>383087</v>
      </c>
      <c r="J175">
        <v>38308</v>
      </c>
      <c r="K175">
        <v>19154</v>
      </c>
      <c r="L175">
        <v>280861</v>
      </c>
      <c r="M175">
        <v>56172</v>
      </c>
      <c r="N175">
        <v>84258</v>
      </c>
      <c r="O175">
        <v>28086</v>
      </c>
      <c r="P175">
        <v>-112344</v>
      </c>
      <c r="Q175">
        <v>-70215</v>
      </c>
      <c r="R175">
        <v>305528</v>
      </c>
      <c r="S175">
        <v>91658</v>
      </c>
      <c r="T175">
        <v>30552</v>
      </c>
      <c r="U175">
        <v>14043</v>
      </c>
      <c r="V175">
        <v>8425</v>
      </c>
      <c r="W175">
        <v>5617</v>
      </c>
      <c r="X175">
        <v>28086</v>
      </c>
      <c r="Y175">
        <v>14043</v>
      </c>
      <c r="Z175">
        <v>15276</v>
      </c>
      <c r="AA175">
        <v>9165</v>
      </c>
      <c r="AB175">
        <v>6110</v>
      </c>
    </row>
    <row r="176" spans="1:28" x14ac:dyDescent="0.35">
      <c r="A176" t="s">
        <v>221</v>
      </c>
      <c r="B176" t="s">
        <v>9</v>
      </c>
      <c r="C176" t="s">
        <v>1</v>
      </c>
      <c r="D176" t="s">
        <v>10</v>
      </c>
      <c r="E176" t="s">
        <v>11</v>
      </c>
      <c r="F176">
        <v>212812</v>
      </c>
      <c r="G176">
        <v>-123791</v>
      </c>
      <c r="H176">
        <v>67504</v>
      </c>
      <c r="I176">
        <v>212812</v>
      </c>
      <c r="J176">
        <v>21281</v>
      </c>
      <c r="K176">
        <v>10640</v>
      </c>
      <c r="L176">
        <v>88134</v>
      </c>
      <c r="M176">
        <v>17626</v>
      </c>
      <c r="N176">
        <v>26440</v>
      </c>
      <c r="O176">
        <v>8813</v>
      </c>
      <c r="P176">
        <v>-35253</v>
      </c>
      <c r="Q176">
        <v>-22033</v>
      </c>
      <c r="R176">
        <v>88788</v>
      </c>
      <c r="S176">
        <v>26636</v>
      </c>
      <c r="T176">
        <v>8878</v>
      </c>
      <c r="U176">
        <v>4406</v>
      </c>
      <c r="V176">
        <v>2644</v>
      </c>
      <c r="W176">
        <v>1762</v>
      </c>
      <c r="X176">
        <v>8813</v>
      </c>
      <c r="Y176">
        <v>4406</v>
      </c>
      <c r="Z176">
        <v>4439</v>
      </c>
      <c r="AA176">
        <v>2663</v>
      </c>
      <c r="AB176">
        <v>1775</v>
      </c>
    </row>
    <row r="177" spans="1:28" x14ac:dyDescent="0.35">
      <c r="A177" t="s">
        <v>222</v>
      </c>
      <c r="B177" t="s">
        <v>9</v>
      </c>
      <c r="C177" t="s">
        <v>1</v>
      </c>
      <c r="D177" t="s">
        <v>10</v>
      </c>
      <c r="E177" t="s">
        <v>11</v>
      </c>
      <c r="F177">
        <v>391911</v>
      </c>
      <c r="G177">
        <v>-98887</v>
      </c>
      <c r="H177">
        <v>161609</v>
      </c>
      <c r="I177">
        <v>391911</v>
      </c>
      <c r="J177">
        <v>39191</v>
      </c>
      <c r="K177">
        <v>19595</v>
      </c>
      <c r="L177">
        <v>112686</v>
      </c>
      <c r="M177">
        <v>22537</v>
      </c>
      <c r="N177">
        <v>33805</v>
      </c>
      <c r="O177">
        <v>11268</v>
      </c>
      <c r="P177">
        <v>-45074</v>
      </c>
      <c r="Q177">
        <v>-28171</v>
      </c>
      <c r="R177">
        <v>127911</v>
      </c>
      <c r="S177">
        <v>38373</v>
      </c>
      <c r="T177">
        <v>12791</v>
      </c>
      <c r="U177">
        <v>5634</v>
      </c>
      <c r="V177">
        <v>3380</v>
      </c>
      <c r="W177">
        <v>2253</v>
      </c>
      <c r="X177">
        <v>11268</v>
      </c>
      <c r="Y177">
        <v>5634</v>
      </c>
      <c r="Z177">
        <v>6395</v>
      </c>
      <c r="AA177">
        <v>3837</v>
      </c>
      <c r="AB177">
        <v>2558</v>
      </c>
    </row>
    <row r="178" spans="1:28" x14ac:dyDescent="0.35">
      <c r="A178" t="s">
        <v>223</v>
      </c>
      <c r="B178" t="s">
        <v>9</v>
      </c>
      <c r="C178" t="s">
        <v>1</v>
      </c>
      <c r="D178" t="s">
        <v>10</v>
      </c>
      <c r="E178" t="s">
        <v>11</v>
      </c>
      <c r="F178">
        <v>359569</v>
      </c>
      <c r="G178">
        <v>-158499</v>
      </c>
      <c r="H178">
        <v>156841</v>
      </c>
      <c r="I178">
        <v>359569</v>
      </c>
      <c r="J178">
        <v>35956</v>
      </c>
      <c r="K178">
        <v>17978</v>
      </c>
      <c r="L178">
        <v>153743</v>
      </c>
      <c r="M178">
        <v>30748</v>
      </c>
      <c r="N178">
        <v>46122</v>
      </c>
      <c r="O178">
        <v>15374</v>
      </c>
      <c r="P178">
        <v>-61497</v>
      </c>
      <c r="Q178">
        <v>-38435</v>
      </c>
      <c r="R178">
        <v>127138</v>
      </c>
      <c r="S178">
        <v>38141</v>
      </c>
      <c r="T178">
        <v>12713</v>
      </c>
      <c r="U178">
        <v>7687</v>
      </c>
      <c r="V178">
        <v>4612</v>
      </c>
      <c r="W178">
        <v>3074</v>
      </c>
      <c r="X178">
        <v>15374</v>
      </c>
      <c r="Y178">
        <v>7687</v>
      </c>
      <c r="Z178">
        <v>6356</v>
      </c>
      <c r="AA178">
        <v>3814</v>
      </c>
      <c r="AB178">
        <v>2542</v>
      </c>
    </row>
    <row r="179" spans="1:28" x14ac:dyDescent="0.35">
      <c r="A179" t="s">
        <v>224</v>
      </c>
      <c r="B179" t="s">
        <v>9</v>
      </c>
      <c r="C179" t="s">
        <v>1</v>
      </c>
      <c r="D179" t="s">
        <v>10</v>
      </c>
      <c r="E179" t="s">
        <v>11</v>
      </c>
      <c r="F179">
        <v>418169</v>
      </c>
      <c r="G179">
        <v>-219914</v>
      </c>
      <c r="H179">
        <v>73883</v>
      </c>
      <c r="I179">
        <v>418169</v>
      </c>
      <c r="J179">
        <v>41816</v>
      </c>
      <c r="K179">
        <v>20908</v>
      </c>
      <c r="L179">
        <v>180162</v>
      </c>
      <c r="M179">
        <v>36032</v>
      </c>
      <c r="N179">
        <v>54048</v>
      </c>
      <c r="O179">
        <v>18016</v>
      </c>
      <c r="P179">
        <v>-72064</v>
      </c>
      <c r="Q179">
        <v>-45040</v>
      </c>
      <c r="R179">
        <v>152097</v>
      </c>
      <c r="S179">
        <v>45629</v>
      </c>
      <c r="T179">
        <v>15209</v>
      </c>
      <c r="U179">
        <v>9008</v>
      </c>
      <c r="V179">
        <v>5404</v>
      </c>
      <c r="W179">
        <v>3603</v>
      </c>
      <c r="X179">
        <v>18016</v>
      </c>
      <c r="Y179">
        <v>9008</v>
      </c>
      <c r="Z179">
        <v>7604</v>
      </c>
      <c r="AA179">
        <v>4562</v>
      </c>
      <c r="AB179">
        <v>3041</v>
      </c>
    </row>
    <row r="180" spans="1:28" x14ac:dyDescent="0.35">
      <c r="A180" t="s">
        <v>225</v>
      </c>
      <c r="B180" t="s">
        <v>9</v>
      </c>
      <c r="C180" t="s">
        <v>1</v>
      </c>
      <c r="D180" t="s">
        <v>10</v>
      </c>
      <c r="E180" t="s">
        <v>11</v>
      </c>
      <c r="F180">
        <v>248477</v>
      </c>
      <c r="G180">
        <v>-139822</v>
      </c>
      <c r="H180">
        <v>40419</v>
      </c>
      <c r="I180">
        <v>248477</v>
      </c>
      <c r="J180">
        <v>24847</v>
      </c>
      <c r="K180">
        <v>12423</v>
      </c>
      <c r="L180">
        <v>68324</v>
      </c>
      <c r="M180">
        <v>13664</v>
      </c>
      <c r="N180">
        <v>20497</v>
      </c>
      <c r="O180">
        <v>6832</v>
      </c>
      <c r="P180">
        <v>-27329</v>
      </c>
      <c r="Q180">
        <v>-17081</v>
      </c>
      <c r="R180">
        <v>65689</v>
      </c>
      <c r="S180">
        <v>19706</v>
      </c>
      <c r="T180">
        <v>6568</v>
      </c>
      <c r="U180">
        <v>3416</v>
      </c>
      <c r="V180">
        <v>2049</v>
      </c>
      <c r="W180">
        <v>1366</v>
      </c>
      <c r="X180">
        <v>6832</v>
      </c>
      <c r="Y180">
        <v>3416</v>
      </c>
      <c r="Z180">
        <v>3284</v>
      </c>
      <c r="AA180">
        <v>1970</v>
      </c>
      <c r="AB180">
        <v>1313</v>
      </c>
    </row>
    <row r="181" spans="1:28" x14ac:dyDescent="0.35">
      <c r="A181" t="s">
        <v>226</v>
      </c>
      <c r="B181" t="s">
        <v>9</v>
      </c>
      <c r="C181" t="s">
        <v>1</v>
      </c>
      <c r="D181" t="s">
        <v>10</v>
      </c>
      <c r="E181" t="s">
        <v>11</v>
      </c>
      <c r="F181">
        <v>345943</v>
      </c>
      <c r="G181">
        <v>-97217</v>
      </c>
      <c r="H181">
        <v>94129</v>
      </c>
      <c r="I181">
        <v>345943</v>
      </c>
      <c r="J181">
        <v>34594</v>
      </c>
      <c r="K181">
        <v>17297</v>
      </c>
      <c r="L181">
        <v>239756</v>
      </c>
      <c r="M181">
        <v>47951</v>
      </c>
      <c r="N181">
        <v>71926</v>
      </c>
      <c r="O181">
        <v>23975</v>
      </c>
      <c r="P181">
        <v>-95902</v>
      </c>
      <c r="Q181">
        <v>-59939</v>
      </c>
      <c r="R181">
        <v>274194</v>
      </c>
      <c r="S181">
        <v>82258</v>
      </c>
      <c r="T181">
        <v>27419</v>
      </c>
      <c r="U181">
        <v>11987</v>
      </c>
      <c r="V181">
        <v>7192</v>
      </c>
      <c r="W181">
        <v>4795</v>
      </c>
      <c r="X181">
        <v>23975</v>
      </c>
      <c r="Y181">
        <v>11987</v>
      </c>
      <c r="Z181">
        <v>13709</v>
      </c>
      <c r="AA181">
        <v>8225</v>
      </c>
      <c r="AB181">
        <v>5483</v>
      </c>
    </row>
    <row r="182" spans="1:28" x14ac:dyDescent="0.35">
      <c r="A182" t="s">
        <v>227</v>
      </c>
      <c r="B182" t="s">
        <v>9</v>
      </c>
      <c r="C182" t="s">
        <v>1</v>
      </c>
      <c r="D182" t="s">
        <v>10</v>
      </c>
      <c r="E182" t="s">
        <v>11</v>
      </c>
      <c r="F182">
        <v>285028</v>
      </c>
      <c r="G182">
        <v>-154951</v>
      </c>
      <c r="H182">
        <v>89580</v>
      </c>
      <c r="I182">
        <v>285028</v>
      </c>
      <c r="J182">
        <v>28502</v>
      </c>
      <c r="K182">
        <v>14251</v>
      </c>
      <c r="L182">
        <v>153616</v>
      </c>
      <c r="M182">
        <v>30723</v>
      </c>
      <c r="N182">
        <v>46084</v>
      </c>
      <c r="O182">
        <v>15361</v>
      </c>
      <c r="P182">
        <v>-61446</v>
      </c>
      <c r="Q182">
        <v>-38404</v>
      </c>
      <c r="R182">
        <v>125477</v>
      </c>
      <c r="S182">
        <v>37643</v>
      </c>
      <c r="T182">
        <v>12547</v>
      </c>
      <c r="U182">
        <v>7680</v>
      </c>
      <c r="V182">
        <v>4608</v>
      </c>
      <c r="W182">
        <v>3072</v>
      </c>
      <c r="X182">
        <v>15361</v>
      </c>
      <c r="Y182">
        <v>7680</v>
      </c>
      <c r="Z182">
        <v>6273</v>
      </c>
      <c r="AA182">
        <v>3764</v>
      </c>
      <c r="AB182">
        <v>2509</v>
      </c>
    </row>
    <row r="183" spans="1:28" x14ac:dyDescent="0.35">
      <c r="A183" t="s">
        <v>228</v>
      </c>
      <c r="B183" t="s">
        <v>9</v>
      </c>
      <c r="C183" t="s">
        <v>1</v>
      </c>
      <c r="D183" t="s">
        <v>10</v>
      </c>
      <c r="E183" t="s">
        <v>11</v>
      </c>
      <c r="F183">
        <v>138857</v>
      </c>
      <c r="G183">
        <v>-57463</v>
      </c>
      <c r="H183">
        <v>56878</v>
      </c>
      <c r="I183">
        <v>138857</v>
      </c>
      <c r="J183">
        <v>13885</v>
      </c>
      <c r="K183">
        <v>6942</v>
      </c>
      <c r="L183">
        <v>101048</v>
      </c>
      <c r="M183">
        <v>20209</v>
      </c>
      <c r="N183">
        <v>30314</v>
      </c>
      <c r="O183">
        <v>10104</v>
      </c>
      <c r="P183">
        <v>-40419</v>
      </c>
      <c r="Q183">
        <v>-25262</v>
      </c>
      <c r="R183">
        <v>106160</v>
      </c>
      <c r="S183">
        <v>31848</v>
      </c>
      <c r="T183">
        <v>10616</v>
      </c>
      <c r="U183">
        <v>5052</v>
      </c>
      <c r="V183">
        <v>3031</v>
      </c>
      <c r="W183">
        <v>2020</v>
      </c>
      <c r="X183">
        <v>10104</v>
      </c>
      <c r="Y183">
        <v>5052</v>
      </c>
      <c r="Z183">
        <v>5308</v>
      </c>
      <c r="AA183">
        <v>3184</v>
      </c>
      <c r="AB183">
        <v>2123</v>
      </c>
    </row>
    <row r="184" spans="1:28" x14ac:dyDescent="0.35">
      <c r="A184" t="s">
        <v>229</v>
      </c>
      <c r="B184" t="s">
        <v>9</v>
      </c>
      <c r="C184" t="s">
        <v>1</v>
      </c>
      <c r="D184" t="s">
        <v>10</v>
      </c>
      <c r="E184" t="s">
        <v>11</v>
      </c>
      <c r="F184">
        <v>449442</v>
      </c>
      <c r="G184">
        <v>-157080</v>
      </c>
      <c r="H184">
        <v>48625</v>
      </c>
      <c r="I184">
        <v>449442</v>
      </c>
      <c r="J184">
        <v>44944</v>
      </c>
      <c r="K184">
        <v>22472</v>
      </c>
      <c r="L184">
        <v>351150</v>
      </c>
      <c r="M184">
        <v>70230</v>
      </c>
      <c r="N184">
        <v>105345</v>
      </c>
      <c r="O184">
        <v>35115</v>
      </c>
      <c r="P184">
        <v>-140460</v>
      </c>
      <c r="Q184">
        <v>-87787</v>
      </c>
      <c r="R184">
        <v>281977</v>
      </c>
      <c r="S184">
        <v>84593</v>
      </c>
      <c r="T184">
        <v>28197</v>
      </c>
      <c r="U184">
        <v>17557</v>
      </c>
      <c r="V184">
        <v>10534</v>
      </c>
      <c r="W184">
        <v>7023</v>
      </c>
      <c r="X184">
        <v>35115</v>
      </c>
      <c r="Y184">
        <v>17557</v>
      </c>
      <c r="Z184">
        <v>14098</v>
      </c>
      <c r="AA184">
        <v>8459</v>
      </c>
      <c r="AB184">
        <v>5639</v>
      </c>
    </row>
    <row r="185" spans="1:28" x14ac:dyDescent="0.35">
      <c r="A185" t="s">
        <v>230</v>
      </c>
      <c r="B185" t="s">
        <v>9</v>
      </c>
      <c r="C185" t="s">
        <v>1</v>
      </c>
      <c r="D185" t="s">
        <v>10</v>
      </c>
      <c r="E185" t="s">
        <v>11</v>
      </c>
      <c r="F185">
        <v>457431</v>
      </c>
      <c r="G185">
        <v>-107129</v>
      </c>
      <c r="H185">
        <v>187390</v>
      </c>
      <c r="I185">
        <v>457431</v>
      </c>
      <c r="J185">
        <v>45743</v>
      </c>
      <c r="K185">
        <v>22871</v>
      </c>
      <c r="L185">
        <v>130367</v>
      </c>
      <c r="M185">
        <v>26073</v>
      </c>
      <c r="N185">
        <v>39110</v>
      </c>
      <c r="O185">
        <v>13036</v>
      </c>
      <c r="P185">
        <v>-52146</v>
      </c>
      <c r="Q185">
        <v>-32591</v>
      </c>
      <c r="R185">
        <v>149984</v>
      </c>
      <c r="S185">
        <v>44995</v>
      </c>
      <c r="T185">
        <v>14998</v>
      </c>
      <c r="U185">
        <v>6518</v>
      </c>
      <c r="V185">
        <v>3911</v>
      </c>
      <c r="W185">
        <v>2607</v>
      </c>
      <c r="X185">
        <v>13036</v>
      </c>
      <c r="Y185">
        <v>6518</v>
      </c>
      <c r="Z185">
        <v>7499</v>
      </c>
      <c r="AA185">
        <v>4499</v>
      </c>
      <c r="AB185">
        <v>2999</v>
      </c>
    </row>
    <row r="186" spans="1:28" x14ac:dyDescent="0.35">
      <c r="A186" t="s">
        <v>231</v>
      </c>
      <c r="B186" t="s">
        <v>9</v>
      </c>
      <c r="C186" t="s">
        <v>1</v>
      </c>
      <c r="D186" t="s">
        <v>10</v>
      </c>
      <c r="E186" t="s">
        <v>11</v>
      </c>
      <c r="F186">
        <v>95057</v>
      </c>
      <c r="G186">
        <v>-44451</v>
      </c>
      <c r="H186">
        <v>34509</v>
      </c>
      <c r="I186">
        <v>95057</v>
      </c>
      <c r="J186">
        <v>9505</v>
      </c>
      <c r="K186">
        <v>4752</v>
      </c>
      <c r="L186">
        <v>71718</v>
      </c>
      <c r="M186">
        <v>14343</v>
      </c>
      <c r="N186">
        <v>21515</v>
      </c>
      <c r="O186">
        <v>7171</v>
      </c>
      <c r="P186">
        <v>-28687</v>
      </c>
      <c r="Q186">
        <v>-17929</v>
      </c>
      <c r="R186">
        <v>77058</v>
      </c>
      <c r="S186">
        <v>23117</v>
      </c>
      <c r="T186">
        <v>7705</v>
      </c>
      <c r="U186">
        <v>3585</v>
      </c>
      <c r="V186">
        <v>2151</v>
      </c>
      <c r="W186">
        <v>1434</v>
      </c>
      <c r="X186">
        <v>7171</v>
      </c>
      <c r="Y186">
        <v>3585</v>
      </c>
      <c r="Z186">
        <v>3852</v>
      </c>
      <c r="AA186">
        <v>2311</v>
      </c>
      <c r="AB186">
        <v>1541</v>
      </c>
    </row>
    <row r="187" spans="1:28" x14ac:dyDescent="0.35">
      <c r="A187" t="s">
        <v>232</v>
      </c>
      <c r="B187" t="s">
        <v>9</v>
      </c>
      <c r="C187" t="s">
        <v>1</v>
      </c>
      <c r="D187" t="s">
        <v>10</v>
      </c>
      <c r="E187" t="s">
        <v>11</v>
      </c>
      <c r="F187">
        <v>285166</v>
      </c>
      <c r="G187">
        <v>-126561</v>
      </c>
      <c r="H187">
        <v>125144</v>
      </c>
      <c r="I187">
        <v>285166</v>
      </c>
      <c r="J187">
        <v>28516</v>
      </c>
      <c r="K187">
        <v>14258</v>
      </c>
      <c r="L187">
        <v>139902</v>
      </c>
      <c r="M187">
        <v>27980</v>
      </c>
      <c r="N187">
        <v>41970</v>
      </c>
      <c r="O187">
        <v>13990</v>
      </c>
      <c r="P187">
        <v>-55960</v>
      </c>
      <c r="Q187">
        <v>-34975</v>
      </c>
      <c r="R187">
        <v>152879</v>
      </c>
      <c r="S187">
        <v>45863</v>
      </c>
      <c r="T187">
        <v>15287</v>
      </c>
      <c r="U187">
        <v>6995</v>
      </c>
      <c r="V187">
        <v>4197</v>
      </c>
      <c r="W187">
        <v>2798</v>
      </c>
      <c r="X187">
        <v>13990</v>
      </c>
      <c r="Y187">
        <v>6995</v>
      </c>
      <c r="Z187">
        <v>7643</v>
      </c>
      <c r="AA187">
        <v>4586</v>
      </c>
      <c r="AB187">
        <v>3057</v>
      </c>
    </row>
    <row r="188" spans="1:28" x14ac:dyDescent="0.35">
      <c r="A188" t="s">
        <v>233</v>
      </c>
      <c r="B188" t="s">
        <v>9</v>
      </c>
      <c r="C188" t="s">
        <v>1</v>
      </c>
      <c r="D188" t="s">
        <v>10</v>
      </c>
      <c r="E188" t="s">
        <v>11</v>
      </c>
      <c r="F188">
        <v>469741</v>
      </c>
      <c r="G188">
        <v>-215312</v>
      </c>
      <c r="H188">
        <v>157049</v>
      </c>
      <c r="I188">
        <v>469741</v>
      </c>
      <c r="J188">
        <v>46974</v>
      </c>
      <c r="K188">
        <v>23487</v>
      </c>
      <c r="L188">
        <v>101801</v>
      </c>
      <c r="M188">
        <v>20360</v>
      </c>
      <c r="N188">
        <v>30540</v>
      </c>
      <c r="O188">
        <v>10180</v>
      </c>
      <c r="P188">
        <v>-40720</v>
      </c>
      <c r="Q188">
        <v>-25450</v>
      </c>
      <c r="R188">
        <v>105494</v>
      </c>
      <c r="S188">
        <v>31648</v>
      </c>
      <c r="T188">
        <v>10549</v>
      </c>
      <c r="U188">
        <v>5090</v>
      </c>
      <c r="V188">
        <v>3054</v>
      </c>
      <c r="W188">
        <v>2036</v>
      </c>
      <c r="X188">
        <v>10180</v>
      </c>
      <c r="Y188">
        <v>5090</v>
      </c>
      <c r="Z188">
        <v>5274</v>
      </c>
      <c r="AA188">
        <v>3164</v>
      </c>
      <c r="AB188">
        <v>2109</v>
      </c>
    </row>
    <row r="189" spans="1:28" x14ac:dyDescent="0.35">
      <c r="A189" t="s">
        <v>234</v>
      </c>
      <c r="B189" t="s">
        <v>9</v>
      </c>
      <c r="C189" t="s">
        <v>1</v>
      </c>
      <c r="D189" t="s">
        <v>10</v>
      </c>
      <c r="E189" t="s">
        <v>11</v>
      </c>
      <c r="F189">
        <v>202238</v>
      </c>
      <c r="G189">
        <v>-87152</v>
      </c>
      <c r="H189">
        <v>20855</v>
      </c>
      <c r="I189">
        <v>202238</v>
      </c>
      <c r="J189">
        <v>20223</v>
      </c>
      <c r="K189">
        <v>10111</v>
      </c>
      <c r="L189">
        <v>147271</v>
      </c>
      <c r="M189">
        <v>29454</v>
      </c>
      <c r="N189">
        <v>44181</v>
      </c>
      <c r="O189">
        <v>14727</v>
      </c>
      <c r="P189">
        <v>-58908</v>
      </c>
      <c r="Q189">
        <v>-36817</v>
      </c>
      <c r="R189">
        <v>157112</v>
      </c>
      <c r="S189">
        <v>47133</v>
      </c>
      <c r="T189">
        <v>15711</v>
      </c>
      <c r="U189">
        <v>7363</v>
      </c>
      <c r="V189">
        <v>4418</v>
      </c>
      <c r="W189">
        <v>2945</v>
      </c>
      <c r="X189">
        <v>14727</v>
      </c>
      <c r="Y189">
        <v>7363</v>
      </c>
      <c r="Z189">
        <v>7855</v>
      </c>
      <c r="AA189">
        <v>4713</v>
      </c>
      <c r="AB189">
        <v>3142</v>
      </c>
    </row>
    <row r="190" spans="1:28" x14ac:dyDescent="0.35">
      <c r="A190" t="s">
        <v>235</v>
      </c>
      <c r="B190" t="s">
        <v>9</v>
      </c>
      <c r="C190" t="s">
        <v>1</v>
      </c>
      <c r="D190" t="s">
        <v>10</v>
      </c>
      <c r="E190" t="s">
        <v>11</v>
      </c>
      <c r="F190">
        <v>285192</v>
      </c>
      <c r="G190">
        <v>-126560</v>
      </c>
      <c r="H190">
        <v>96624</v>
      </c>
      <c r="I190">
        <v>285192</v>
      </c>
      <c r="J190">
        <v>28519</v>
      </c>
      <c r="K190">
        <v>14259</v>
      </c>
      <c r="L190">
        <v>202471</v>
      </c>
      <c r="M190">
        <v>40494</v>
      </c>
      <c r="N190">
        <v>60741</v>
      </c>
      <c r="O190">
        <v>20247</v>
      </c>
      <c r="P190">
        <v>-80988</v>
      </c>
      <c r="Q190">
        <v>-50617</v>
      </c>
      <c r="R190">
        <v>201734</v>
      </c>
      <c r="S190">
        <v>60520</v>
      </c>
      <c r="T190">
        <v>20173</v>
      </c>
      <c r="U190">
        <v>10123</v>
      </c>
      <c r="V190">
        <v>6074</v>
      </c>
      <c r="W190">
        <v>4049</v>
      </c>
      <c r="X190">
        <v>20247</v>
      </c>
      <c r="Y190">
        <v>10123</v>
      </c>
      <c r="Z190">
        <v>10086</v>
      </c>
      <c r="AA190">
        <v>6052</v>
      </c>
      <c r="AB190">
        <v>4034</v>
      </c>
    </row>
    <row r="191" spans="1:28" x14ac:dyDescent="0.35">
      <c r="A191" t="s">
        <v>236</v>
      </c>
      <c r="B191" t="s">
        <v>9</v>
      </c>
      <c r="C191" t="s">
        <v>1</v>
      </c>
      <c r="D191" t="s">
        <v>10</v>
      </c>
      <c r="E191" t="s">
        <v>11</v>
      </c>
      <c r="F191">
        <v>191358</v>
      </c>
      <c r="G191">
        <v>-81480</v>
      </c>
      <c r="H191">
        <v>66181</v>
      </c>
      <c r="I191">
        <v>191358</v>
      </c>
      <c r="J191">
        <v>19135</v>
      </c>
      <c r="K191">
        <v>9567</v>
      </c>
      <c r="L191">
        <v>39144</v>
      </c>
      <c r="M191">
        <v>7828</v>
      </c>
      <c r="N191">
        <v>11743</v>
      </c>
      <c r="O191">
        <v>3914</v>
      </c>
      <c r="P191">
        <v>-15657</v>
      </c>
      <c r="Q191">
        <v>-9786</v>
      </c>
      <c r="R191">
        <v>32542</v>
      </c>
      <c r="S191">
        <v>9762</v>
      </c>
      <c r="T191">
        <v>3254</v>
      </c>
      <c r="U191">
        <v>1957</v>
      </c>
      <c r="V191">
        <v>1174</v>
      </c>
      <c r="W191">
        <v>782</v>
      </c>
      <c r="X191">
        <v>3914</v>
      </c>
      <c r="Y191">
        <v>1957</v>
      </c>
      <c r="Z191">
        <v>1627</v>
      </c>
      <c r="AA191">
        <v>976</v>
      </c>
      <c r="AB191">
        <v>650</v>
      </c>
    </row>
    <row r="192" spans="1:28" x14ac:dyDescent="0.35">
      <c r="A192" t="s">
        <v>237</v>
      </c>
      <c r="B192" t="s">
        <v>9</v>
      </c>
      <c r="C192" t="s">
        <v>1</v>
      </c>
      <c r="D192" t="s">
        <v>10</v>
      </c>
      <c r="E192" t="s">
        <v>11</v>
      </c>
      <c r="F192">
        <v>61136</v>
      </c>
      <c r="G192">
        <v>-21266</v>
      </c>
      <c r="H192">
        <v>29002</v>
      </c>
      <c r="I192">
        <v>61136</v>
      </c>
      <c r="J192">
        <v>6113</v>
      </c>
      <c r="K192">
        <v>3056</v>
      </c>
      <c r="L192">
        <v>24119</v>
      </c>
      <c r="M192">
        <v>4823</v>
      </c>
      <c r="N192">
        <v>7235</v>
      </c>
      <c r="O192">
        <v>2411</v>
      </c>
      <c r="P192">
        <v>-9647</v>
      </c>
      <c r="Q192">
        <v>-6029</v>
      </c>
      <c r="R192">
        <v>24280</v>
      </c>
      <c r="S192">
        <v>7284</v>
      </c>
      <c r="T192">
        <v>2428</v>
      </c>
      <c r="U192">
        <v>1205</v>
      </c>
      <c r="V192">
        <v>723</v>
      </c>
      <c r="W192">
        <v>482</v>
      </c>
      <c r="X192">
        <v>2411</v>
      </c>
      <c r="Y192">
        <v>1205</v>
      </c>
      <c r="Z192">
        <v>1214</v>
      </c>
      <c r="AA192">
        <v>728</v>
      </c>
      <c r="AB192">
        <v>485</v>
      </c>
    </row>
    <row r="193" spans="1:28" x14ac:dyDescent="0.35">
      <c r="A193" t="s">
        <v>238</v>
      </c>
      <c r="B193" t="s">
        <v>9</v>
      </c>
      <c r="C193" t="s">
        <v>1</v>
      </c>
      <c r="D193" t="s">
        <v>10</v>
      </c>
      <c r="E193" t="s">
        <v>11</v>
      </c>
      <c r="F193">
        <v>195222</v>
      </c>
      <c r="G193">
        <v>-72461</v>
      </c>
      <c r="H193">
        <v>48418</v>
      </c>
      <c r="I193">
        <v>195222</v>
      </c>
      <c r="J193">
        <v>19522</v>
      </c>
      <c r="K193">
        <v>9761</v>
      </c>
      <c r="L193">
        <v>122219</v>
      </c>
      <c r="M193">
        <v>24443</v>
      </c>
      <c r="N193">
        <v>36665</v>
      </c>
      <c r="O193">
        <v>12221</v>
      </c>
      <c r="P193">
        <v>-48887</v>
      </c>
      <c r="Q193">
        <v>-30554</v>
      </c>
      <c r="R193">
        <v>104575</v>
      </c>
      <c r="S193">
        <v>31372</v>
      </c>
      <c r="T193">
        <v>10457</v>
      </c>
      <c r="U193">
        <v>6110</v>
      </c>
      <c r="V193">
        <v>3666</v>
      </c>
      <c r="W193">
        <v>2444</v>
      </c>
      <c r="X193">
        <v>12221</v>
      </c>
      <c r="Y193">
        <v>6110</v>
      </c>
      <c r="Z193">
        <v>5228</v>
      </c>
      <c r="AA193">
        <v>3137</v>
      </c>
      <c r="AB193">
        <v>2091</v>
      </c>
    </row>
    <row r="194" spans="1:28" x14ac:dyDescent="0.35">
      <c r="A194" t="s">
        <v>239</v>
      </c>
      <c r="B194" t="s">
        <v>9</v>
      </c>
      <c r="C194" t="s">
        <v>1</v>
      </c>
      <c r="D194" t="s">
        <v>10</v>
      </c>
      <c r="E194" t="s">
        <v>11</v>
      </c>
      <c r="F194">
        <v>177871</v>
      </c>
      <c r="G194">
        <v>-61758</v>
      </c>
      <c r="H194">
        <v>78963</v>
      </c>
      <c r="I194">
        <v>177871</v>
      </c>
      <c r="J194">
        <v>17787</v>
      </c>
      <c r="K194">
        <v>8893</v>
      </c>
      <c r="L194">
        <v>61349</v>
      </c>
      <c r="M194">
        <v>12269</v>
      </c>
      <c r="N194">
        <v>18404</v>
      </c>
      <c r="O194">
        <v>6134</v>
      </c>
      <c r="P194">
        <v>-24539</v>
      </c>
      <c r="Q194">
        <v>-15337</v>
      </c>
      <c r="R194">
        <v>72342</v>
      </c>
      <c r="S194">
        <v>21702</v>
      </c>
      <c r="T194">
        <v>7234</v>
      </c>
      <c r="U194">
        <v>3067</v>
      </c>
      <c r="V194">
        <v>1840</v>
      </c>
      <c r="W194">
        <v>1226</v>
      </c>
      <c r="X194">
        <v>6134</v>
      </c>
      <c r="Y194">
        <v>3067</v>
      </c>
      <c r="Z194">
        <v>3617</v>
      </c>
      <c r="AA194">
        <v>2170</v>
      </c>
      <c r="AB194">
        <v>1446</v>
      </c>
    </row>
    <row r="195" spans="1:28" x14ac:dyDescent="0.35">
      <c r="A195" t="s">
        <v>240</v>
      </c>
      <c r="B195" t="s">
        <v>9</v>
      </c>
      <c r="C195" t="s">
        <v>1</v>
      </c>
      <c r="D195" t="s">
        <v>10</v>
      </c>
      <c r="E195" t="s">
        <v>11</v>
      </c>
      <c r="F195">
        <v>319028</v>
      </c>
      <c r="G195">
        <v>-72588</v>
      </c>
      <c r="H195">
        <v>60578</v>
      </c>
      <c r="I195">
        <v>319028</v>
      </c>
      <c r="J195">
        <v>31902</v>
      </c>
      <c r="K195">
        <v>15951</v>
      </c>
      <c r="L195">
        <v>160738</v>
      </c>
      <c r="M195">
        <v>32147</v>
      </c>
      <c r="N195">
        <v>48221</v>
      </c>
      <c r="O195">
        <v>16073</v>
      </c>
      <c r="P195">
        <v>-64295</v>
      </c>
      <c r="Q195">
        <v>-40184</v>
      </c>
      <c r="R195">
        <v>178220</v>
      </c>
      <c r="S195">
        <v>53466</v>
      </c>
      <c r="T195">
        <v>17822</v>
      </c>
      <c r="U195">
        <v>8036</v>
      </c>
      <c r="V195">
        <v>4822</v>
      </c>
      <c r="W195">
        <v>3214</v>
      </c>
      <c r="X195">
        <v>16073</v>
      </c>
      <c r="Y195">
        <v>8036</v>
      </c>
      <c r="Z195">
        <v>8911</v>
      </c>
      <c r="AA195">
        <v>5346</v>
      </c>
      <c r="AB195">
        <v>3564</v>
      </c>
    </row>
    <row r="196" spans="1:28" x14ac:dyDescent="0.35">
      <c r="A196" t="s">
        <v>241</v>
      </c>
      <c r="B196" t="s">
        <v>9</v>
      </c>
      <c r="C196" t="s">
        <v>1</v>
      </c>
      <c r="D196" t="s">
        <v>10</v>
      </c>
      <c r="E196" t="s">
        <v>11</v>
      </c>
      <c r="F196">
        <v>362282</v>
      </c>
      <c r="G196">
        <v>-147249</v>
      </c>
      <c r="H196">
        <v>111510</v>
      </c>
      <c r="I196">
        <v>362282</v>
      </c>
      <c r="J196">
        <v>36228</v>
      </c>
      <c r="K196">
        <v>18114</v>
      </c>
      <c r="L196">
        <v>258034</v>
      </c>
      <c r="M196">
        <v>51606</v>
      </c>
      <c r="N196">
        <v>77410</v>
      </c>
      <c r="O196">
        <v>25803</v>
      </c>
      <c r="P196">
        <v>-103213</v>
      </c>
      <c r="Q196">
        <v>-64508</v>
      </c>
      <c r="R196">
        <v>269378</v>
      </c>
      <c r="S196">
        <v>80813</v>
      </c>
      <c r="T196">
        <v>26937</v>
      </c>
      <c r="U196">
        <v>12901</v>
      </c>
      <c r="V196">
        <v>7741</v>
      </c>
      <c r="W196">
        <v>5160</v>
      </c>
      <c r="X196">
        <v>25803</v>
      </c>
      <c r="Y196">
        <v>12901</v>
      </c>
      <c r="Z196">
        <v>13468</v>
      </c>
      <c r="AA196">
        <v>8081</v>
      </c>
      <c r="AB196">
        <v>5387</v>
      </c>
    </row>
    <row r="197" spans="1:28" x14ac:dyDescent="0.35">
      <c r="A197" t="s">
        <v>242</v>
      </c>
      <c r="B197" t="s">
        <v>9</v>
      </c>
      <c r="C197" t="s">
        <v>1</v>
      </c>
      <c r="D197" t="s">
        <v>10</v>
      </c>
      <c r="E197" t="s">
        <v>11</v>
      </c>
      <c r="F197">
        <v>282892</v>
      </c>
      <c r="G197">
        <v>-95077</v>
      </c>
      <c r="H197">
        <v>66178</v>
      </c>
      <c r="I197">
        <v>282892</v>
      </c>
      <c r="J197">
        <v>28289</v>
      </c>
      <c r="K197">
        <v>14144</v>
      </c>
      <c r="L197">
        <v>163356</v>
      </c>
      <c r="M197">
        <v>32671</v>
      </c>
      <c r="N197">
        <v>49006</v>
      </c>
      <c r="O197">
        <v>16335</v>
      </c>
      <c r="P197">
        <v>-65342</v>
      </c>
      <c r="Q197">
        <v>-40839</v>
      </c>
      <c r="R197">
        <v>137406</v>
      </c>
      <c r="S197">
        <v>41221</v>
      </c>
      <c r="T197">
        <v>13740</v>
      </c>
      <c r="U197">
        <v>8167</v>
      </c>
      <c r="V197">
        <v>4900</v>
      </c>
      <c r="W197">
        <v>3267</v>
      </c>
      <c r="X197">
        <v>16335</v>
      </c>
      <c r="Y197">
        <v>8167</v>
      </c>
      <c r="Z197">
        <v>6870</v>
      </c>
      <c r="AA197">
        <v>4122</v>
      </c>
      <c r="AB197">
        <v>2748</v>
      </c>
    </row>
    <row r="198" spans="1:28" x14ac:dyDescent="0.35">
      <c r="A198" t="s">
        <v>243</v>
      </c>
      <c r="B198" t="s">
        <v>9</v>
      </c>
      <c r="C198" t="s">
        <v>1</v>
      </c>
      <c r="D198" t="s">
        <v>10</v>
      </c>
      <c r="E198" t="s">
        <v>11</v>
      </c>
      <c r="F198">
        <v>85241</v>
      </c>
      <c r="G198">
        <v>-32563</v>
      </c>
      <c r="H198">
        <v>12284</v>
      </c>
      <c r="I198">
        <v>85241</v>
      </c>
      <c r="J198">
        <v>8524</v>
      </c>
      <c r="K198">
        <v>4262</v>
      </c>
      <c r="L198">
        <v>32867</v>
      </c>
      <c r="M198">
        <v>6573</v>
      </c>
      <c r="N198">
        <v>9860</v>
      </c>
      <c r="O198">
        <v>3286</v>
      </c>
      <c r="P198">
        <v>-13146</v>
      </c>
      <c r="Q198">
        <v>-8216</v>
      </c>
      <c r="R198">
        <v>31294</v>
      </c>
      <c r="S198">
        <v>9388</v>
      </c>
      <c r="T198">
        <v>3129</v>
      </c>
      <c r="U198">
        <v>1643</v>
      </c>
      <c r="V198">
        <v>986</v>
      </c>
      <c r="W198">
        <v>657</v>
      </c>
      <c r="X198">
        <v>3286</v>
      </c>
      <c r="Y198">
        <v>1643</v>
      </c>
      <c r="Z198">
        <v>1564</v>
      </c>
      <c r="AA198">
        <v>938</v>
      </c>
      <c r="AB198">
        <v>625</v>
      </c>
    </row>
    <row r="199" spans="1:28" x14ac:dyDescent="0.35">
      <c r="A199" t="s">
        <v>244</v>
      </c>
      <c r="B199" t="s">
        <v>9</v>
      </c>
      <c r="C199" t="s">
        <v>1</v>
      </c>
      <c r="D199" t="s">
        <v>10</v>
      </c>
      <c r="E199" t="s">
        <v>11</v>
      </c>
      <c r="F199">
        <v>402199</v>
      </c>
      <c r="G199">
        <v>-176940</v>
      </c>
      <c r="H199">
        <v>132936</v>
      </c>
      <c r="I199">
        <v>402199</v>
      </c>
      <c r="J199">
        <v>40219</v>
      </c>
      <c r="K199">
        <v>20109</v>
      </c>
      <c r="L199">
        <v>178660</v>
      </c>
      <c r="M199">
        <v>35732</v>
      </c>
      <c r="N199">
        <v>53598</v>
      </c>
      <c r="O199">
        <v>17866</v>
      </c>
      <c r="P199">
        <v>-71464</v>
      </c>
      <c r="Q199">
        <v>-44665</v>
      </c>
      <c r="R199">
        <v>145102</v>
      </c>
      <c r="S199">
        <v>43530</v>
      </c>
      <c r="T199">
        <v>14510</v>
      </c>
      <c r="U199">
        <v>8933</v>
      </c>
      <c r="V199">
        <v>5359</v>
      </c>
      <c r="W199">
        <v>3573</v>
      </c>
      <c r="X199">
        <v>17866</v>
      </c>
      <c r="Y199">
        <v>8933</v>
      </c>
      <c r="Z199">
        <v>7255</v>
      </c>
      <c r="AA199">
        <v>4353</v>
      </c>
      <c r="AB199">
        <v>2902</v>
      </c>
    </row>
    <row r="200" spans="1:28" x14ac:dyDescent="0.35">
      <c r="A200" t="s">
        <v>245</v>
      </c>
      <c r="B200" t="s">
        <v>9</v>
      </c>
      <c r="C200" t="s">
        <v>1</v>
      </c>
      <c r="D200" t="s">
        <v>10</v>
      </c>
      <c r="E200" t="s">
        <v>11</v>
      </c>
      <c r="F200">
        <v>288433</v>
      </c>
      <c r="G200">
        <v>-132794</v>
      </c>
      <c r="H200">
        <v>41045</v>
      </c>
      <c r="I200">
        <v>288433</v>
      </c>
      <c r="J200">
        <v>28843</v>
      </c>
      <c r="K200">
        <v>14421</v>
      </c>
      <c r="L200">
        <v>150564</v>
      </c>
      <c r="M200">
        <v>30112</v>
      </c>
      <c r="N200">
        <v>45169</v>
      </c>
      <c r="O200">
        <v>15056</v>
      </c>
      <c r="P200">
        <v>-60225</v>
      </c>
      <c r="Q200">
        <v>-37641</v>
      </c>
      <c r="R200">
        <v>150521</v>
      </c>
      <c r="S200">
        <v>45156</v>
      </c>
      <c r="T200">
        <v>15052</v>
      </c>
      <c r="U200">
        <v>7528</v>
      </c>
      <c r="V200">
        <v>4516</v>
      </c>
      <c r="W200">
        <v>3011</v>
      </c>
      <c r="X200">
        <v>15056</v>
      </c>
      <c r="Y200">
        <v>7528</v>
      </c>
      <c r="Z200">
        <v>7526</v>
      </c>
      <c r="AA200">
        <v>4515</v>
      </c>
      <c r="AB200">
        <v>3010</v>
      </c>
    </row>
    <row r="201" spans="1:28" x14ac:dyDescent="0.35">
      <c r="A201" t="s">
        <v>246</v>
      </c>
      <c r="B201" t="s">
        <v>9</v>
      </c>
      <c r="C201" t="s">
        <v>1</v>
      </c>
      <c r="D201" t="s">
        <v>10</v>
      </c>
      <c r="E201" t="s">
        <v>11</v>
      </c>
      <c r="F201">
        <v>434186</v>
      </c>
      <c r="G201">
        <v>-175193</v>
      </c>
      <c r="H201">
        <v>90481</v>
      </c>
      <c r="I201">
        <v>434186</v>
      </c>
      <c r="J201">
        <v>43418</v>
      </c>
      <c r="K201">
        <v>21709</v>
      </c>
      <c r="L201">
        <v>113121</v>
      </c>
      <c r="M201">
        <v>22624</v>
      </c>
      <c r="N201">
        <v>33936</v>
      </c>
      <c r="O201">
        <v>11312</v>
      </c>
      <c r="P201">
        <v>-45248</v>
      </c>
      <c r="Q201">
        <v>-28280</v>
      </c>
      <c r="R201">
        <v>104428</v>
      </c>
      <c r="S201">
        <v>31328</v>
      </c>
      <c r="T201">
        <v>10442</v>
      </c>
      <c r="U201">
        <v>5656</v>
      </c>
      <c r="V201">
        <v>3393</v>
      </c>
      <c r="W201">
        <v>2262</v>
      </c>
      <c r="X201">
        <v>11312</v>
      </c>
      <c r="Y201">
        <v>5656</v>
      </c>
      <c r="Z201">
        <v>5221</v>
      </c>
      <c r="AA201">
        <v>3132</v>
      </c>
      <c r="AB201">
        <v>2088</v>
      </c>
    </row>
    <row r="202" spans="1:28" x14ac:dyDescent="0.35">
      <c r="A202" t="s">
        <v>247</v>
      </c>
      <c r="B202" t="s">
        <v>9</v>
      </c>
      <c r="C202" t="s">
        <v>1</v>
      </c>
      <c r="D202" t="s">
        <v>10</v>
      </c>
      <c r="E202" t="s">
        <v>11</v>
      </c>
      <c r="F202">
        <v>178424</v>
      </c>
      <c r="G202">
        <v>-89226</v>
      </c>
      <c r="H202">
        <v>44243</v>
      </c>
      <c r="I202">
        <v>178424</v>
      </c>
      <c r="J202">
        <v>17842</v>
      </c>
      <c r="K202">
        <v>8921</v>
      </c>
      <c r="L202">
        <v>106894</v>
      </c>
      <c r="M202">
        <v>21378</v>
      </c>
      <c r="N202">
        <v>32068</v>
      </c>
      <c r="O202">
        <v>10689</v>
      </c>
      <c r="P202">
        <v>-42757</v>
      </c>
      <c r="Q202">
        <v>-26723</v>
      </c>
      <c r="R202">
        <v>127235</v>
      </c>
      <c r="S202">
        <v>38170</v>
      </c>
      <c r="T202">
        <v>12723</v>
      </c>
      <c r="U202">
        <v>5344</v>
      </c>
      <c r="V202">
        <v>3206</v>
      </c>
      <c r="W202">
        <v>2137</v>
      </c>
      <c r="X202">
        <v>10689</v>
      </c>
      <c r="Y202">
        <v>5344</v>
      </c>
      <c r="Z202">
        <v>6361</v>
      </c>
      <c r="AA202">
        <v>3817</v>
      </c>
      <c r="AB202">
        <v>2544</v>
      </c>
    </row>
    <row r="203" spans="1:28" x14ac:dyDescent="0.35">
      <c r="A203" t="s">
        <v>248</v>
      </c>
      <c r="B203" t="s">
        <v>9</v>
      </c>
      <c r="C203" t="s">
        <v>1</v>
      </c>
      <c r="D203" t="s">
        <v>10</v>
      </c>
      <c r="E203" t="s">
        <v>11</v>
      </c>
      <c r="F203">
        <v>69574</v>
      </c>
      <c r="G203">
        <v>-38915</v>
      </c>
      <c r="H203">
        <v>9467</v>
      </c>
      <c r="I203">
        <v>69574</v>
      </c>
      <c r="J203">
        <v>6957</v>
      </c>
      <c r="K203">
        <v>3478</v>
      </c>
      <c r="L203">
        <v>44236</v>
      </c>
      <c r="M203">
        <v>8847</v>
      </c>
      <c r="N203">
        <v>13270</v>
      </c>
      <c r="O203">
        <v>4423</v>
      </c>
      <c r="P203">
        <v>-17694</v>
      </c>
      <c r="Q203">
        <v>-11059</v>
      </c>
      <c r="R203">
        <v>39777</v>
      </c>
      <c r="S203">
        <v>11933</v>
      </c>
      <c r="T203">
        <v>3977</v>
      </c>
      <c r="U203">
        <v>2211</v>
      </c>
      <c r="V203">
        <v>1327</v>
      </c>
      <c r="W203">
        <v>884</v>
      </c>
      <c r="X203">
        <v>4423</v>
      </c>
      <c r="Y203">
        <v>2211</v>
      </c>
      <c r="Z203">
        <v>1988</v>
      </c>
      <c r="AA203">
        <v>1193</v>
      </c>
      <c r="AB203">
        <v>795</v>
      </c>
    </row>
    <row r="204" spans="1:28" x14ac:dyDescent="0.35">
      <c r="A204" t="s">
        <v>249</v>
      </c>
      <c r="B204" t="s">
        <v>9</v>
      </c>
      <c r="C204" t="s">
        <v>1</v>
      </c>
      <c r="D204" t="s">
        <v>10</v>
      </c>
      <c r="E204" t="s">
        <v>11</v>
      </c>
      <c r="F204">
        <v>456941</v>
      </c>
      <c r="G204">
        <v>-124266</v>
      </c>
      <c r="H204">
        <v>227905</v>
      </c>
      <c r="I204">
        <v>456941</v>
      </c>
      <c r="J204">
        <v>45694</v>
      </c>
      <c r="K204">
        <v>22847</v>
      </c>
      <c r="L204">
        <v>298413</v>
      </c>
      <c r="M204">
        <v>59682</v>
      </c>
      <c r="N204">
        <v>89523</v>
      </c>
      <c r="O204">
        <v>29841</v>
      </c>
      <c r="P204">
        <v>-119365</v>
      </c>
      <c r="Q204">
        <v>-74603</v>
      </c>
      <c r="R204">
        <v>247786</v>
      </c>
      <c r="S204">
        <v>74335</v>
      </c>
      <c r="T204">
        <v>24778</v>
      </c>
      <c r="U204">
        <v>14920</v>
      </c>
      <c r="V204">
        <v>8952</v>
      </c>
      <c r="W204">
        <v>5968</v>
      </c>
      <c r="X204">
        <v>29841</v>
      </c>
      <c r="Y204">
        <v>14920</v>
      </c>
      <c r="Z204">
        <v>12389</v>
      </c>
      <c r="AA204">
        <v>7433</v>
      </c>
      <c r="AB204">
        <v>4955</v>
      </c>
    </row>
    <row r="205" spans="1:28" x14ac:dyDescent="0.35">
      <c r="A205" t="s">
        <v>250</v>
      </c>
      <c r="B205" t="s">
        <v>9</v>
      </c>
      <c r="C205" t="s">
        <v>1</v>
      </c>
      <c r="D205" t="s">
        <v>10</v>
      </c>
      <c r="E205" t="s">
        <v>11</v>
      </c>
      <c r="F205">
        <v>326506</v>
      </c>
      <c r="G205">
        <v>-113565</v>
      </c>
      <c r="H205">
        <v>90245</v>
      </c>
      <c r="I205">
        <v>326506</v>
      </c>
      <c r="J205">
        <v>32650</v>
      </c>
      <c r="K205">
        <v>16325</v>
      </c>
      <c r="L205">
        <v>129496</v>
      </c>
      <c r="M205">
        <v>25899</v>
      </c>
      <c r="N205">
        <v>38848</v>
      </c>
      <c r="O205">
        <v>12949</v>
      </c>
      <c r="P205">
        <v>-51798</v>
      </c>
      <c r="Q205">
        <v>-32374</v>
      </c>
      <c r="R205">
        <v>142571</v>
      </c>
      <c r="S205">
        <v>42771</v>
      </c>
      <c r="T205">
        <v>14257</v>
      </c>
      <c r="U205">
        <v>6474</v>
      </c>
      <c r="V205">
        <v>3884</v>
      </c>
      <c r="W205">
        <v>2589</v>
      </c>
      <c r="X205">
        <v>12949</v>
      </c>
      <c r="Y205">
        <v>6474</v>
      </c>
      <c r="Z205">
        <v>7128</v>
      </c>
      <c r="AA205">
        <v>4277</v>
      </c>
      <c r="AB205">
        <v>2851</v>
      </c>
    </row>
    <row r="206" spans="1:28" x14ac:dyDescent="0.35">
      <c r="A206" t="s">
        <v>251</v>
      </c>
      <c r="B206" t="s">
        <v>9</v>
      </c>
      <c r="C206" t="s">
        <v>1</v>
      </c>
      <c r="D206" t="s">
        <v>10</v>
      </c>
      <c r="E206" t="s">
        <v>11</v>
      </c>
      <c r="F206">
        <v>403770</v>
      </c>
      <c r="G206">
        <v>-139986</v>
      </c>
      <c r="H206">
        <v>101355</v>
      </c>
      <c r="I206">
        <v>403770</v>
      </c>
      <c r="J206">
        <v>40377</v>
      </c>
      <c r="K206">
        <v>20188</v>
      </c>
      <c r="L206">
        <v>114591</v>
      </c>
      <c r="M206">
        <v>22918</v>
      </c>
      <c r="N206">
        <v>34377</v>
      </c>
      <c r="O206">
        <v>11459</v>
      </c>
      <c r="P206">
        <v>-45836</v>
      </c>
      <c r="Q206">
        <v>-28647</v>
      </c>
      <c r="R206">
        <v>96559</v>
      </c>
      <c r="S206">
        <v>28967</v>
      </c>
      <c r="T206">
        <v>9655</v>
      </c>
      <c r="U206">
        <v>5729</v>
      </c>
      <c r="V206">
        <v>3437</v>
      </c>
      <c r="W206">
        <v>2291</v>
      </c>
      <c r="X206">
        <v>11459</v>
      </c>
      <c r="Y206">
        <v>5729</v>
      </c>
      <c r="Z206">
        <v>4827</v>
      </c>
      <c r="AA206">
        <v>2896</v>
      </c>
      <c r="AB206">
        <v>1931</v>
      </c>
    </row>
    <row r="207" spans="1:28" x14ac:dyDescent="0.35">
      <c r="A207" t="s">
        <v>252</v>
      </c>
      <c r="B207" t="s">
        <v>9</v>
      </c>
      <c r="C207" t="s">
        <v>1</v>
      </c>
      <c r="D207" t="s">
        <v>10</v>
      </c>
      <c r="E207" t="s">
        <v>11</v>
      </c>
      <c r="F207">
        <v>324873</v>
      </c>
      <c r="G207">
        <v>-123788</v>
      </c>
      <c r="H207">
        <v>141243</v>
      </c>
      <c r="I207">
        <v>324873</v>
      </c>
      <c r="J207">
        <v>32487</v>
      </c>
      <c r="K207">
        <v>16243</v>
      </c>
      <c r="L207">
        <v>250078</v>
      </c>
      <c r="M207">
        <v>50015</v>
      </c>
      <c r="N207">
        <v>75023</v>
      </c>
      <c r="O207">
        <v>25007</v>
      </c>
      <c r="P207">
        <v>-100031</v>
      </c>
      <c r="Q207">
        <v>-62519</v>
      </c>
      <c r="R207">
        <v>221812</v>
      </c>
      <c r="S207">
        <v>66543</v>
      </c>
      <c r="T207">
        <v>22181</v>
      </c>
      <c r="U207">
        <v>12503</v>
      </c>
      <c r="V207">
        <v>7502</v>
      </c>
      <c r="W207">
        <v>5001</v>
      </c>
      <c r="X207">
        <v>25007</v>
      </c>
      <c r="Y207">
        <v>12503</v>
      </c>
      <c r="Z207">
        <v>11090</v>
      </c>
      <c r="AA207">
        <v>6654</v>
      </c>
      <c r="AB207">
        <v>4436</v>
      </c>
    </row>
    <row r="208" spans="1:28" x14ac:dyDescent="0.35">
      <c r="A208" t="s">
        <v>253</v>
      </c>
      <c r="B208" t="s">
        <v>9</v>
      </c>
      <c r="C208" t="s">
        <v>1</v>
      </c>
      <c r="D208" t="s">
        <v>10</v>
      </c>
      <c r="E208" t="s">
        <v>11</v>
      </c>
      <c r="F208">
        <v>395341</v>
      </c>
      <c r="G208">
        <v>-172769</v>
      </c>
      <c r="H208">
        <v>74943</v>
      </c>
      <c r="I208">
        <v>395341</v>
      </c>
      <c r="J208">
        <v>39534</v>
      </c>
      <c r="K208">
        <v>19767</v>
      </c>
      <c r="L208">
        <v>200594</v>
      </c>
      <c r="M208">
        <v>40118</v>
      </c>
      <c r="N208">
        <v>60178</v>
      </c>
      <c r="O208">
        <v>20059</v>
      </c>
      <c r="P208">
        <v>-80237</v>
      </c>
      <c r="Q208">
        <v>-50148</v>
      </c>
      <c r="R208">
        <v>181434</v>
      </c>
      <c r="S208">
        <v>54430</v>
      </c>
      <c r="T208">
        <v>18143</v>
      </c>
      <c r="U208">
        <v>10029</v>
      </c>
      <c r="V208">
        <v>6017</v>
      </c>
      <c r="W208">
        <v>4011</v>
      </c>
      <c r="X208">
        <v>20059</v>
      </c>
      <c r="Y208">
        <v>10029</v>
      </c>
      <c r="Z208">
        <v>9071</v>
      </c>
      <c r="AA208">
        <v>5443</v>
      </c>
      <c r="AB208">
        <v>3628</v>
      </c>
    </row>
    <row r="209" spans="1:28" x14ac:dyDescent="0.35">
      <c r="A209" t="s">
        <v>254</v>
      </c>
      <c r="B209" t="s">
        <v>9</v>
      </c>
      <c r="C209" t="s">
        <v>1</v>
      </c>
      <c r="D209" t="s">
        <v>10</v>
      </c>
      <c r="E209" t="s">
        <v>11</v>
      </c>
      <c r="F209">
        <v>227380</v>
      </c>
      <c r="G209">
        <v>-60279</v>
      </c>
      <c r="H209">
        <v>108309</v>
      </c>
      <c r="I209">
        <v>227380</v>
      </c>
      <c r="J209">
        <v>22738</v>
      </c>
      <c r="K209">
        <v>11369</v>
      </c>
      <c r="L209">
        <v>129192</v>
      </c>
      <c r="M209">
        <v>25838</v>
      </c>
      <c r="N209">
        <v>38757</v>
      </c>
      <c r="O209">
        <v>12919</v>
      </c>
      <c r="P209">
        <v>-51676</v>
      </c>
      <c r="Q209">
        <v>-32298</v>
      </c>
      <c r="R209">
        <v>119455</v>
      </c>
      <c r="S209">
        <v>35836</v>
      </c>
      <c r="T209">
        <v>11945</v>
      </c>
      <c r="U209">
        <v>6459</v>
      </c>
      <c r="V209">
        <v>3875</v>
      </c>
      <c r="W209">
        <v>2583</v>
      </c>
      <c r="X209">
        <v>12919</v>
      </c>
      <c r="Y209">
        <v>6459</v>
      </c>
      <c r="Z209">
        <v>5972</v>
      </c>
      <c r="AA209">
        <v>3583</v>
      </c>
      <c r="AB209">
        <v>2389</v>
      </c>
    </row>
    <row r="210" spans="1:28" x14ac:dyDescent="0.35">
      <c r="A210" t="s">
        <v>255</v>
      </c>
      <c r="B210" t="s">
        <v>9</v>
      </c>
      <c r="C210" t="s">
        <v>1</v>
      </c>
      <c r="D210" t="s">
        <v>10</v>
      </c>
      <c r="E210" t="s">
        <v>11</v>
      </c>
      <c r="F210">
        <v>138318</v>
      </c>
      <c r="G210">
        <v>-64178</v>
      </c>
      <c r="H210">
        <v>34533</v>
      </c>
      <c r="I210">
        <v>138318</v>
      </c>
      <c r="J210">
        <v>13831</v>
      </c>
      <c r="K210">
        <v>6915</v>
      </c>
      <c r="L210">
        <v>88284</v>
      </c>
      <c r="M210">
        <v>17656</v>
      </c>
      <c r="N210">
        <v>26485</v>
      </c>
      <c r="O210">
        <v>8828</v>
      </c>
      <c r="P210">
        <v>-35313</v>
      </c>
      <c r="Q210">
        <v>-22071</v>
      </c>
      <c r="R210">
        <v>80767</v>
      </c>
      <c r="S210">
        <v>24230</v>
      </c>
      <c r="T210">
        <v>8076</v>
      </c>
      <c r="U210">
        <v>4414</v>
      </c>
      <c r="V210">
        <v>2648</v>
      </c>
      <c r="W210">
        <v>1765</v>
      </c>
      <c r="X210">
        <v>8828</v>
      </c>
      <c r="Y210">
        <v>4414</v>
      </c>
      <c r="Z210">
        <v>4038</v>
      </c>
      <c r="AA210">
        <v>2423</v>
      </c>
      <c r="AB210">
        <v>1615</v>
      </c>
    </row>
    <row r="211" spans="1:28" x14ac:dyDescent="0.35">
      <c r="A211" t="s">
        <v>256</v>
      </c>
      <c r="B211" t="s">
        <v>9</v>
      </c>
      <c r="C211" t="s">
        <v>1</v>
      </c>
      <c r="D211" t="s">
        <v>10</v>
      </c>
      <c r="E211" t="s">
        <v>11</v>
      </c>
      <c r="F211">
        <v>481819</v>
      </c>
      <c r="G211">
        <v>-154428</v>
      </c>
      <c r="H211">
        <v>196470</v>
      </c>
      <c r="I211">
        <v>481819</v>
      </c>
      <c r="J211">
        <v>48181</v>
      </c>
      <c r="K211">
        <v>24090</v>
      </c>
      <c r="L211">
        <v>363468</v>
      </c>
      <c r="M211">
        <v>72693</v>
      </c>
      <c r="N211">
        <v>109040</v>
      </c>
      <c r="O211">
        <v>36346</v>
      </c>
      <c r="P211">
        <v>-145387</v>
      </c>
      <c r="Q211">
        <v>-90867</v>
      </c>
      <c r="R211">
        <v>371667</v>
      </c>
      <c r="S211">
        <v>111500</v>
      </c>
      <c r="T211">
        <v>37166</v>
      </c>
      <c r="U211">
        <v>18173</v>
      </c>
      <c r="V211">
        <v>10904</v>
      </c>
      <c r="W211">
        <v>7269</v>
      </c>
      <c r="X211">
        <v>36346</v>
      </c>
      <c r="Y211">
        <v>18173</v>
      </c>
      <c r="Z211">
        <v>18583</v>
      </c>
      <c r="AA211">
        <v>11150</v>
      </c>
      <c r="AB211">
        <v>7433</v>
      </c>
    </row>
    <row r="212" spans="1:28" x14ac:dyDescent="0.35">
      <c r="A212" t="s">
        <v>257</v>
      </c>
      <c r="B212" t="s">
        <v>9</v>
      </c>
      <c r="C212" t="s">
        <v>1</v>
      </c>
      <c r="D212" t="s">
        <v>10</v>
      </c>
      <c r="E212" t="s">
        <v>11</v>
      </c>
      <c r="F212">
        <v>94935</v>
      </c>
      <c r="G212">
        <v>-40776</v>
      </c>
      <c r="H212">
        <v>17921</v>
      </c>
      <c r="I212">
        <v>94935</v>
      </c>
      <c r="J212">
        <v>9493</v>
      </c>
      <c r="K212">
        <v>4746</v>
      </c>
      <c r="L212">
        <v>44685</v>
      </c>
      <c r="M212">
        <v>8937</v>
      </c>
      <c r="N212">
        <v>13405</v>
      </c>
      <c r="O212">
        <v>4468</v>
      </c>
      <c r="P212">
        <v>-17874</v>
      </c>
      <c r="Q212">
        <v>-11171</v>
      </c>
      <c r="R212">
        <v>36066</v>
      </c>
      <c r="S212">
        <v>10819</v>
      </c>
      <c r="T212">
        <v>3606</v>
      </c>
      <c r="U212">
        <v>2234</v>
      </c>
      <c r="V212">
        <v>1340</v>
      </c>
      <c r="W212">
        <v>893</v>
      </c>
      <c r="X212">
        <v>4468</v>
      </c>
      <c r="Y212">
        <v>2234</v>
      </c>
      <c r="Z212">
        <v>1803</v>
      </c>
      <c r="AA212">
        <v>1081</v>
      </c>
      <c r="AB212">
        <v>721</v>
      </c>
    </row>
    <row r="213" spans="1:28" x14ac:dyDescent="0.35">
      <c r="A213" t="s">
        <v>258</v>
      </c>
      <c r="B213" t="s">
        <v>9</v>
      </c>
      <c r="C213" t="s">
        <v>1</v>
      </c>
      <c r="D213" t="s">
        <v>10</v>
      </c>
      <c r="E213" t="s">
        <v>11</v>
      </c>
      <c r="F213">
        <v>345924</v>
      </c>
      <c r="G213">
        <v>-174098</v>
      </c>
      <c r="H213">
        <v>56949</v>
      </c>
      <c r="I213">
        <v>345924</v>
      </c>
      <c r="J213">
        <v>34592</v>
      </c>
      <c r="K213">
        <v>17296</v>
      </c>
      <c r="L213">
        <v>262358</v>
      </c>
      <c r="M213">
        <v>52471</v>
      </c>
      <c r="N213">
        <v>78707</v>
      </c>
      <c r="O213">
        <v>26235</v>
      </c>
      <c r="P213">
        <v>-104943</v>
      </c>
      <c r="Q213">
        <v>-65589</v>
      </c>
      <c r="R213">
        <v>285206</v>
      </c>
      <c r="S213">
        <v>85561</v>
      </c>
      <c r="T213">
        <v>28520</v>
      </c>
      <c r="U213">
        <v>13117</v>
      </c>
      <c r="V213">
        <v>7870</v>
      </c>
      <c r="W213">
        <v>5247</v>
      </c>
      <c r="X213">
        <v>26235</v>
      </c>
      <c r="Y213">
        <v>13117</v>
      </c>
      <c r="Z213">
        <v>14260</v>
      </c>
      <c r="AA213">
        <v>8556</v>
      </c>
      <c r="AB213">
        <v>5704</v>
      </c>
    </row>
    <row r="214" spans="1:28" x14ac:dyDescent="0.35">
      <c r="A214" t="s">
        <v>259</v>
      </c>
      <c r="B214" t="s">
        <v>9</v>
      </c>
      <c r="C214" t="s">
        <v>1</v>
      </c>
      <c r="D214" t="s">
        <v>10</v>
      </c>
      <c r="E214" t="s">
        <v>11</v>
      </c>
      <c r="F214">
        <v>56144</v>
      </c>
      <c r="G214">
        <v>-24079</v>
      </c>
      <c r="H214">
        <v>13634</v>
      </c>
      <c r="I214">
        <v>56144</v>
      </c>
      <c r="J214">
        <v>5614</v>
      </c>
      <c r="K214">
        <v>2807</v>
      </c>
      <c r="L214">
        <v>40446</v>
      </c>
      <c r="M214">
        <v>8089</v>
      </c>
      <c r="N214">
        <v>12133</v>
      </c>
      <c r="O214">
        <v>4044</v>
      </c>
      <c r="P214">
        <v>-16178</v>
      </c>
      <c r="Q214">
        <v>-10111</v>
      </c>
      <c r="R214">
        <v>42519</v>
      </c>
      <c r="S214">
        <v>12755</v>
      </c>
      <c r="T214">
        <v>4251</v>
      </c>
      <c r="U214">
        <v>2022</v>
      </c>
      <c r="V214">
        <v>1213</v>
      </c>
      <c r="W214">
        <v>808</v>
      </c>
      <c r="X214">
        <v>4044</v>
      </c>
      <c r="Y214">
        <v>2022</v>
      </c>
      <c r="Z214">
        <v>2125</v>
      </c>
      <c r="AA214">
        <v>1275</v>
      </c>
      <c r="AB214">
        <v>850</v>
      </c>
    </row>
    <row r="215" spans="1:28" x14ac:dyDescent="0.35">
      <c r="A215" t="s">
        <v>260</v>
      </c>
      <c r="B215" t="s">
        <v>9</v>
      </c>
      <c r="C215" t="s">
        <v>1</v>
      </c>
      <c r="D215" t="s">
        <v>10</v>
      </c>
      <c r="E215" t="s">
        <v>11</v>
      </c>
      <c r="F215">
        <v>160456</v>
      </c>
      <c r="G215">
        <v>-45691</v>
      </c>
      <c r="H215">
        <v>20480</v>
      </c>
      <c r="I215">
        <v>160456</v>
      </c>
      <c r="J215">
        <v>16045</v>
      </c>
      <c r="K215">
        <v>8022</v>
      </c>
      <c r="L215">
        <v>95623</v>
      </c>
      <c r="M215">
        <v>19124</v>
      </c>
      <c r="N215">
        <v>28686</v>
      </c>
      <c r="O215">
        <v>9562</v>
      </c>
      <c r="P215">
        <v>-38249</v>
      </c>
      <c r="Q215">
        <v>-23905</v>
      </c>
      <c r="R215">
        <v>101072</v>
      </c>
      <c r="S215">
        <v>30321</v>
      </c>
      <c r="T215">
        <v>10107</v>
      </c>
      <c r="U215">
        <v>4781</v>
      </c>
      <c r="V215">
        <v>2868</v>
      </c>
      <c r="W215">
        <v>1912</v>
      </c>
      <c r="X215">
        <v>9562</v>
      </c>
      <c r="Y215">
        <v>4781</v>
      </c>
      <c r="Z215">
        <v>5053</v>
      </c>
      <c r="AA215">
        <v>3032</v>
      </c>
      <c r="AB215">
        <v>2021</v>
      </c>
    </row>
    <row r="216" spans="1:28" x14ac:dyDescent="0.35">
      <c r="A216" t="s">
        <v>261</v>
      </c>
      <c r="B216" t="s">
        <v>9</v>
      </c>
      <c r="C216" t="s">
        <v>1</v>
      </c>
      <c r="D216" t="s">
        <v>10</v>
      </c>
      <c r="E216" t="s">
        <v>11</v>
      </c>
      <c r="F216">
        <v>110804</v>
      </c>
      <c r="G216">
        <v>-23413</v>
      </c>
      <c r="H216">
        <v>50186</v>
      </c>
      <c r="I216">
        <v>110804</v>
      </c>
      <c r="J216">
        <v>11080</v>
      </c>
      <c r="K216">
        <v>5540</v>
      </c>
      <c r="L216">
        <v>54140</v>
      </c>
      <c r="M216">
        <v>10828</v>
      </c>
      <c r="N216">
        <v>16242</v>
      </c>
      <c r="O216">
        <v>5414</v>
      </c>
      <c r="P216">
        <v>-21656</v>
      </c>
      <c r="Q216">
        <v>-13535</v>
      </c>
      <c r="R216">
        <v>53996</v>
      </c>
      <c r="S216">
        <v>16198</v>
      </c>
      <c r="T216">
        <v>5399</v>
      </c>
      <c r="U216">
        <v>2707</v>
      </c>
      <c r="V216">
        <v>1624</v>
      </c>
      <c r="W216">
        <v>1082</v>
      </c>
      <c r="X216">
        <v>5414</v>
      </c>
      <c r="Y216">
        <v>2707</v>
      </c>
      <c r="Z216">
        <v>2699</v>
      </c>
      <c r="AA216">
        <v>1619</v>
      </c>
      <c r="AB216">
        <v>1079</v>
      </c>
    </row>
    <row r="217" spans="1:28" x14ac:dyDescent="0.35">
      <c r="A217" t="s">
        <v>262</v>
      </c>
      <c r="B217" t="s">
        <v>9</v>
      </c>
      <c r="C217" t="s">
        <v>1</v>
      </c>
      <c r="D217" t="s">
        <v>10</v>
      </c>
      <c r="E217" t="s">
        <v>11</v>
      </c>
      <c r="F217">
        <v>165572</v>
      </c>
      <c r="G217">
        <v>-84894</v>
      </c>
      <c r="H217">
        <v>26617</v>
      </c>
      <c r="I217">
        <v>165572</v>
      </c>
      <c r="J217">
        <v>16557</v>
      </c>
      <c r="K217">
        <v>8278</v>
      </c>
      <c r="L217">
        <v>42303</v>
      </c>
      <c r="M217">
        <v>8460</v>
      </c>
      <c r="N217">
        <v>12690</v>
      </c>
      <c r="O217">
        <v>4230</v>
      </c>
      <c r="P217">
        <v>-16921</v>
      </c>
      <c r="Q217">
        <v>-10575</v>
      </c>
      <c r="R217">
        <v>38825</v>
      </c>
      <c r="S217">
        <v>11647</v>
      </c>
      <c r="T217">
        <v>3882</v>
      </c>
      <c r="U217">
        <v>2115</v>
      </c>
      <c r="V217">
        <v>1269</v>
      </c>
      <c r="W217">
        <v>846</v>
      </c>
      <c r="X217">
        <v>4230</v>
      </c>
      <c r="Y217">
        <v>2115</v>
      </c>
      <c r="Z217">
        <v>1941</v>
      </c>
      <c r="AA217">
        <v>1164</v>
      </c>
      <c r="AB217">
        <v>776</v>
      </c>
    </row>
    <row r="218" spans="1:28" x14ac:dyDescent="0.35">
      <c r="A218" t="s">
        <v>263</v>
      </c>
      <c r="B218" t="s">
        <v>9</v>
      </c>
      <c r="C218" t="s">
        <v>1</v>
      </c>
      <c r="D218" t="s">
        <v>10</v>
      </c>
      <c r="E218" t="s">
        <v>11</v>
      </c>
      <c r="F218">
        <v>300972</v>
      </c>
      <c r="G218">
        <v>-75469</v>
      </c>
      <c r="H218">
        <v>117741</v>
      </c>
      <c r="I218">
        <v>300972</v>
      </c>
      <c r="J218">
        <v>30097</v>
      </c>
      <c r="K218">
        <v>15048</v>
      </c>
      <c r="L218">
        <v>218392</v>
      </c>
      <c r="M218">
        <v>43678</v>
      </c>
      <c r="N218">
        <v>65517</v>
      </c>
      <c r="O218">
        <v>21839</v>
      </c>
      <c r="P218">
        <v>-87356</v>
      </c>
      <c r="Q218">
        <v>-54598</v>
      </c>
      <c r="R218">
        <v>223093</v>
      </c>
      <c r="S218">
        <v>66927</v>
      </c>
      <c r="T218">
        <v>22309</v>
      </c>
      <c r="U218">
        <v>10919</v>
      </c>
      <c r="V218">
        <v>6551</v>
      </c>
      <c r="W218">
        <v>4367</v>
      </c>
      <c r="X218">
        <v>21839</v>
      </c>
      <c r="Y218">
        <v>10919</v>
      </c>
      <c r="Z218">
        <v>11154</v>
      </c>
      <c r="AA218">
        <v>6692</v>
      </c>
      <c r="AB218">
        <v>4461</v>
      </c>
    </row>
    <row r="219" spans="1:28" x14ac:dyDescent="0.35">
      <c r="A219" t="s">
        <v>264</v>
      </c>
      <c r="B219" t="s">
        <v>9</v>
      </c>
      <c r="C219" t="s">
        <v>1</v>
      </c>
      <c r="D219" t="s">
        <v>10</v>
      </c>
      <c r="E219" t="s">
        <v>11</v>
      </c>
      <c r="F219">
        <v>72819</v>
      </c>
      <c r="G219">
        <v>-35884</v>
      </c>
      <c r="H219">
        <v>27943</v>
      </c>
      <c r="I219">
        <v>72819</v>
      </c>
      <c r="J219">
        <v>7281</v>
      </c>
      <c r="K219">
        <v>3640</v>
      </c>
      <c r="L219">
        <v>22374</v>
      </c>
      <c r="M219">
        <v>4474</v>
      </c>
      <c r="N219">
        <v>6712</v>
      </c>
      <c r="O219">
        <v>2237</v>
      </c>
      <c r="P219">
        <v>-8949</v>
      </c>
      <c r="Q219">
        <v>-5593</v>
      </c>
      <c r="R219">
        <v>22214</v>
      </c>
      <c r="S219">
        <v>6664</v>
      </c>
      <c r="T219">
        <v>2221</v>
      </c>
      <c r="U219">
        <v>1118</v>
      </c>
      <c r="V219">
        <v>671</v>
      </c>
      <c r="W219">
        <v>447</v>
      </c>
      <c r="X219">
        <v>2237</v>
      </c>
      <c r="Y219">
        <v>1118</v>
      </c>
      <c r="Z219">
        <v>1110</v>
      </c>
      <c r="AA219">
        <v>666</v>
      </c>
      <c r="AB219">
        <v>444</v>
      </c>
    </row>
    <row r="220" spans="1:28" x14ac:dyDescent="0.35">
      <c r="A220" t="s">
        <v>265</v>
      </c>
      <c r="B220" t="s">
        <v>9</v>
      </c>
      <c r="C220" t="s">
        <v>1</v>
      </c>
      <c r="D220" t="s">
        <v>10</v>
      </c>
      <c r="E220" t="s">
        <v>11</v>
      </c>
      <c r="F220">
        <v>228381</v>
      </c>
      <c r="G220">
        <v>-118432</v>
      </c>
      <c r="H220">
        <v>88369</v>
      </c>
      <c r="I220">
        <v>228381</v>
      </c>
      <c r="J220">
        <v>22838</v>
      </c>
      <c r="K220">
        <v>11419</v>
      </c>
      <c r="L220">
        <v>176600</v>
      </c>
      <c r="M220">
        <v>35320</v>
      </c>
      <c r="N220">
        <v>52980</v>
      </c>
      <c r="O220">
        <v>17660</v>
      </c>
      <c r="P220">
        <v>-70640</v>
      </c>
      <c r="Q220">
        <v>-44150</v>
      </c>
      <c r="R220">
        <v>181298</v>
      </c>
      <c r="S220">
        <v>54389</v>
      </c>
      <c r="T220">
        <v>18129</v>
      </c>
      <c r="U220">
        <v>8830</v>
      </c>
      <c r="V220">
        <v>5298</v>
      </c>
      <c r="W220">
        <v>3532</v>
      </c>
      <c r="X220">
        <v>17660</v>
      </c>
      <c r="Y220">
        <v>8830</v>
      </c>
      <c r="Z220">
        <v>9064</v>
      </c>
      <c r="AA220">
        <v>5438</v>
      </c>
      <c r="AB220">
        <v>3625</v>
      </c>
    </row>
    <row r="221" spans="1:28" x14ac:dyDescent="0.35">
      <c r="A221" t="s">
        <v>266</v>
      </c>
      <c r="B221" t="s">
        <v>9</v>
      </c>
      <c r="C221" t="s">
        <v>1</v>
      </c>
      <c r="D221" t="s">
        <v>10</v>
      </c>
      <c r="E221" t="s">
        <v>11</v>
      </c>
      <c r="F221">
        <v>91448</v>
      </c>
      <c r="G221">
        <v>-19161</v>
      </c>
      <c r="H221">
        <v>14504</v>
      </c>
      <c r="I221">
        <v>91448</v>
      </c>
      <c r="J221">
        <v>9144</v>
      </c>
      <c r="K221">
        <v>4572</v>
      </c>
      <c r="L221">
        <v>63730</v>
      </c>
      <c r="M221">
        <v>12746</v>
      </c>
      <c r="N221">
        <v>19119</v>
      </c>
      <c r="O221">
        <v>6373</v>
      </c>
      <c r="P221">
        <v>-25492</v>
      </c>
      <c r="Q221">
        <v>-15932</v>
      </c>
      <c r="R221">
        <v>59706</v>
      </c>
      <c r="S221">
        <v>17911</v>
      </c>
      <c r="T221">
        <v>5970</v>
      </c>
      <c r="U221">
        <v>3186</v>
      </c>
      <c r="V221">
        <v>1911</v>
      </c>
      <c r="W221">
        <v>1274</v>
      </c>
      <c r="X221">
        <v>6373</v>
      </c>
      <c r="Y221">
        <v>3186</v>
      </c>
      <c r="Z221">
        <v>2985</v>
      </c>
      <c r="AA221">
        <v>1791</v>
      </c>
      <c r="AB221">
        <v>1194</v>
      </c>
    </row>
    <row r="222" spans="1:28" x14ac:dyDescent="0.35">
      <c r="A222" t="s">
        <v>267</v>
      </c>
      <c r="B222" t="s">
        <v>9</v>
      </c>
      <c r="C222" t="s">
        <v>1</v>
      </c>
      <c r="D222" t="s">
        <v>10</v>
      </c>
      <c r="E222" t="s">
        <v>11</v>
      </c>
      <c r="F222">
        <v>310880</v>
      </c>
      <c r="G222">
        <v>-159164</v>
      </c>
      <c r="H222">
        <v>75762</v>
      </c>
      <c r="I222">
        <v>310880</v>
      </c>
      <c r="J222">
        <v>31088</v>
      </c>
      <c r="K222">
        <v>15544</v>
      </c>
      <c r="L222">
        <v>248355</v>
      </c>
      <c r="M222">
        <v>49671</v>
      </c>
      <c r="N222">
        <v>74506</v>
      </c>
      <c r="O222">
        <v>24835</v>
      </c>
      <c r="P222">
        <v>-99342</v>
      </c>
      <c r="Q222">
        <v>-62088</v>
      </c>
      <c r="R222">
        <v>270098</v>
      </c>
      <c r="S222">
        <v>81029</v>
      </c>
      <c r="T222">
        <v>27009</v>
      </c>
      <c r="U222">
        <v>12417</v>
      </c>
      <c r="V222">
        <v>7450</v>
      </c>
      <c r="W222">
        <v>4967</v>
      </c>
      <c r="X222">
        <v>24835</v>
      </c>
      <c r="Y222">
        <v>12417</v>
      </c>
      <c r="Z222">
        <v>13504</v>
      </c>
      <c r="AA222">
        <v>8102</v>
      </c>
      <c r="AB222">
        <v>5401</v>
      </c>
    </row>
    <row r="223" spans="1:28" x14ac:dyDescent="0.35">
      <c r="A223" t="s">
        <v>268</v>
      </c>
      <c r="B223" t="s">
        <v>9</v>
      </c>
      <c r="C223" t="s">
        <v>1</v>
      </c>
      <c r="D223" t="s">
        <v>10</v>
      </c>
      <c r="E223" t="s">
        <v>11</v>
      </c>
      <c r="F223">
        <v>184859</v>
      </c>
      <c r="G223">
        <v>-88084</v>
      </c>
      <c r="H223">
        <v>33533</v>
      </c>
      <c r="I223">
        <v>184859</v>
      </c>
      <c r="J223">
        <v>18485</v>
      </c>
      <c r="K223">
        <v>9242</v>
      </c>
      <c r="L223">
        <v>85812</v>
      </c>
      <c r="M223">
        <v>17162</v>
      </c>
      <c r="N223">
        <v>25743</v>
      </c>
      <c r="O223">
        <v>8581</v>
      </c>
      <c r="P223">
        <v>-34324</v>
      </c>
      <c r="Q223">
        <v>-21453</v>
      </c>
      <c r="R223">
        <v>75551</v>
      </c>
      <c r="S223">
        <v>22665</v>
      </c>
      <c r="T223">
        <v>7555</v>
      </c>
      <c r="U223">
        <v>4290</v>
      </c>
      <c r="V223">
        <v>2574</v>
      </c>
      <c r="W223">
        <v>1716</v>
      </c>
      <c r="X223">
        <v>8581</v>
      </c>
      <c r="Y223">
        <v>4290</v>
      </c>
      <c r="Z223">
        <v>3777</v>
      </c>
      <c r="AA223">
        <v>2266</v>
      </c>
      <c r="AB223">
        <v>1511</v>
      </c>
    </row>
    <row r="224" spans="1:28" x14ac:dyDescent="0.35">
      <c r="A224" t="s">
        <v>269</v>
      </c>
      <c r="B224" t="s">
        <v>9</v>
      </c>
      <c r="C224" t="s">
        <v>1</v>
      </c>
      <c r="D224" t="s">
        <v>10</v>
      </c>
      <c r="E224" t="s">
        <v>11</v>
      </c>
      <c r="F224">
        <v>139977</v>
      </c>
      <c r="G224">
        <v>-49086</v>
      </c>
      <c r="H224">
        <v>68427</v>
      </c>
      <c r="I224">
        <v>139977</v>
      </c>
      <c r="J224">
        <v>13997</v>
      </c>
      <c r="K224">
        <v>6998</v>
      </c>
      <c r="L224">
        <v>72226</v>
      </c>
      <c r="M224">
        <v>14445</v>
      </c>
      <c r="N224">
        <v>21667</v>
      </c>
      <c r="O224">
        <v>7222</v>
      </c>
      <c r="P224">
        <v>-28890</v>
      </c>
      <c r="Q224">
        <v>-18056</v>
      </c>
      <c r="R224">
        <v>75564</v>
      </c>
      <c r="S224">
        <v>22669</v>
      </c>
      <c r="T224">
        <v>7556</v>
      </c>
      <c r="U224">
        <v>3611</v>
      </c>
      <c r="V224">
        <v>2166</v>
      </c>
      <c r="W224">
        <v>1444</v>
      </c>
      <c r="X224">
        <v>7222</v>
      </c>
      <c r="Y224">
        <v>3611</v>
      </c>
      <c r="Z224">
        <v>3778</v>
      </c>
      <c r="AA224">
        <v>2266</v>
      </c>
      <c r="AB224">
        <v>1511</v>
      </c>
    </row>
    <row r="225" spans="1:28" x14ac:dyDescent="0.35">
      <c r="A225" t="s">
        <v>270</v>
      </c>
      <c r="B225" t="s">
        <v>9</v>
      </c>
      <c r="C225" t="s">
        <v>1</v>
      </c>
      <c r="D225" t="s">
        <v>10</v>
      </c>
      <c r="E225" t="s">
        <v>11</v>
      </c>
      <c r="F225">
        <v>342993</v>
      </c>
      <c r="G225">
        <v>-167852</v>
      </c>
      <c r="H225">
        <v>44326</v>
      </c>
      <c r="I225">
        <v>342993</v>
      </c>
      <c r="J225">
        <v>34299</v>
      </c>
      <c r="K225">
        <v>17149</v>
      </c>
      <c r="L225">
        <v>264723</v>
      </c>
      <c r="M225">
        <v>52944</v>
      </c>
      <c r="N225">
        <v>79416</v>
      </c>
      <c r="O225">
        <v>26472</v>
      </c>
      <c r="P225">
        <v>-105889</v>
      </c>
      <c r="Q225">
        <v>-66180</v>
      </c>
      <c r="R225">
        <v>255328</v>
      </c>
      <c r="S225">
        <v>76598</v>
      </c>
      <c r="T225">
        <v>25532</v>
      </c>
      <c r="U225">
        <v>13236</v>
      </c>
      <c r="V225">
        <v>7941</v>
      </c>
      <c r="W225">
        <v>5294</v>
      </c>
      <c r="X225">
        <v>26472</v>
      </c>
      <c r="Y225">
        <v>13236</v>
      </c>
      <c r="Z225">
        <v>12766</v>
      </c>
      <c r="AA225">
        <v>7659</v>
      </c>
      <c r="AB225">
        <v>5106</v>
      </c>
    </row>
    <row r="226" spans="1:28" x14ac:dyDescent="0.35">
      <c r="A226" t="s">
        <v>271</v>
      </c>
      <c r="B226" t="s">
        <v>9</v>
      </c>
      <c r="C226" t="s">
        <v>1</v>
      </c>
      <c r="D226" t="s">
        <v>10</v>
      </c>
      <c r="E226" t="s">
        <v>11</v>
      </c>
      <c r="F226">
        <v>146669</v>
      </c>
      <c r="G226">
        <v>-61616</v>
      </c>
      <c r="H226">
        <v>54191</v>
      </c>
      <c r="I226">
        <v>146669</v>
      </c>
      <c r="J226">
        <v>14666</v>
      </c>
      <c r="K226">
        <v>7333</v>
      </c>
      <c r="L226">
        <v>45866</v>
      </c>
      <c r="M226">
        <v>9173</v>
      </c>
      <c r="N226">
        <v>13759</v>
      </c>
      <c r="O226">
        <v>4586</v>
      </c>
      <c r="P226">
        <v>-18346</v>
      </c>
      <c r="Q226">
        <v>-11466</v>
      </c>
      <c r="R226">
        <v>45047</v>
      </c>
      <c r="S226">
        <v>13514</v>
      </c>
      <c r="T226">
        <v>4504</v>
      </c>
      <c r="U226">
        <v>2293</v>
      </c>
      <c r="V226">
        <v>1375</v>
      </c>
      <c r="W226">
        <v>917</v>
      </c>
      <c r="X226">
        <v>4586</v>
      </c>
      <c r="Y226">
        <v>2293</v>
      </c>
      <c r="Z226">
        <v>2252</v>
      </c>
      <c r="AA226">
        <v>1351</v>
      </c>
      <c r="AB226">
        <v>900</v>
      </c>
    </row>
    <row r="227" spans="1:28" x14ac:dyDescent="0.35">
      <c r="A227" t="s">
        <v>272</v>
      </c>
      <c r="B227" t="s">
        <v>9</v>
      </c>
      <c r="C227" t="s">
        <v>1</v>
      </c>
      <c r="D227" t="s">
        <v>10</v>
      </c>
      <c r="E227" t="s">
        <v>11</v>
      </c>
      <c r="F227">
        <v>420021</v>
      </c>
      <c r="G227">
        <v>-104710</v>
      </c>
      <c r="H227">
        <v>104190</v>
      </c>
      <c r="I227">
        <v>420021</v>
      </c>
      <c r="J227">
        <v>42002</v>
      </c>
      <c r="K227">
        <v>21001</v>
      </c>
      <c r="L227">
        <v>96532</v>
      </c>
      <c r="M227">
        <v>19306</v>
      </c>
      <c r="N227">
        <v>28959</v>
      </c>
      <c r="O227">
        <v>9653</v>
      </c>
      <c r="P227">
        <v>-38612</v>
      </c>
      <c r="Q227">
        <v>-24133</v>
      </c>
      <c r="R227">
        <v>87033</v>
      </c>
      <c r="S227">
        <v>26109</v>
      </c>
      <c r="T227">
        <v>8703</v>
      </c>
      <c r="U227">
        <v>4826</v>
      </c>
      <c r="V227">
        <v>2895</v>
      </c>
      <c r="W227">
        <v>1930</v>
      </c>
      <c r="X227">
        <v>9653</v>
      </c>
      <c r="Y227">
        <v>4826</v>
      </c>
      <c r="Z227">
        <v>4351</v>
      </c>
      <c r="AA227">
        <v>2610</v>
      </c>
      <c r="AB227">
        <v>1740</v>
      </c>
    </row>
    <row r="228" spans="1:28" x14ac:dyDescent="0.35">
      <c r="A228" t="s">
        <v>273</v>
      </c>
      <c r="B228" t="s">
        <v>9</v>
      </c>
      <c r="C228" t="s">
        <v>1</v>
      </c>
      <c r="D228" t="s">
        <v>10</v>
      </c>
      <c r="E228" t="s">
        <v>11</v>
      </c>
      <c r="F228">
        <v>360249</v>
      </c>
      <c r="G228">
        <v>-160899</v>
      </c>
      <c r="H228">
        <v>100548</v>
      </c>
      <c r="I228">
        <v>360249</v>
      </c>
      <c r="J228">
        <v>36024</v>
      </c>
      <c r="K228">
        <v>18012</v>
      </c>
      <c r="L228">
        <v>85786</v>
      </c>
      <c r="M228">
        <v>17157</v>
      </c>
      <c r="N228">
        <v>25735</v>
      </c>
      <c r="O228">
        <v>8578</v>
      </c>
      <c r="P228">
        <v>-34314</v>
      </c>
      <c r="Q228">
        <v>-21446</v>
      </c>
      <c r="R228">
        <v>76941</v>
      </c>
      <c r="S228">
        <v>23082</v>
      </c>
      <c r="T228">
        <v>7694</v>
      </c>
      <c r="U228">
        <v>4289</v>
      </c>
      <c r="V228">
        <v>2573</v>
      </c>
      <c r="W228">
        <v>1715</v>
      </c>
      <c r="X228">
        <v>8578</v>
      </c>
      <c r="Y228">
        <v>4289</v>
      </c>
      <c r="Z228">
        <v>3847</v>
      </c>
      <c r="AA228">
        <v>2308</v>
      </c>
      <c r="AB228">
        <v>1538</v>
      </c>
    </row>
    <row r="229" spans="1:28" x14ac:dyDescent="0.35">
      <c r="A229" t="s">
        <v>274</v>
      </c>
      <c r="B229" t="s">
        <v>9</v>
      </c>
      <c r="C229" t="s">
        <v>1</v>
      </c>
      <c r="D229" t="s">
        <v>10</v>
      </c>
      <c r="E229" t="s">
        <v>11</v>
      </c>
      <c r="F229">
        <v>137875</v>
      </c>
      <c r="G229">
        <v>-29198</v>
      </c>
      <c r="H229">
        <v>44010</v>
      </c>
      <c r="I229">
        <v>137875</v>
      </c>
      <c r="J229">
        <v>13787</v>
      </c>
      <c r="K229">
        <v>6893</v>
      </c>
      <c r="L229">
        <v>108446</v>
      </c>
      <c r="M229">
        <v>21689</v>
      </c>
      <c r="N229">
        <v>32533</v>
      </c>
      <c r="O229">
        <v>10844</v>
      </c>
      <c r="P229">
        <v>-43378</v>
      </c>
      <c r="Q229">
        <v>-27111</v>
      </c>
      <c r="R229">
        <v>99177</v>
      </c>
      <c r="S229">
        <v>29753</v>
      </c>
      <c r="T229">
        <v>9917</v>
      </c>
      <c r="U229">
        <v>5422</v>
      </c>
      <c r="V229">
        <v>3253</v>
      </c>
      <c r="W229">
        <v>2168</v>
      </c>
      <c r="X229">
        <v>10844</v>
      </c>
      <c r="Y229">
        <v>5422</v>
      </c>
      <c r="Z229">
        <v>4958</v>
      </c>
      <c r="AA229">
        <v>2975</v>
      </c>
      <c r="AB229">
        <v>1983</v>
      </c>
    </row>
    <row r="230" spans="1:28" x14ac:dyDescent="0.35">
      <c r="A230" t="s">
        <v>275</v>
      </c>
      <c r="B230" t="s">
        <v>9</v>
      </c>
      <c r="C230" t="s">
        <v>1</v>
      </c>
      <c r="D230" t="s">
        <v>10</v>
      </c>
      <c r="E230" t="s">
        <v>11</v>
      </c>
      <c r="F230">
        <v>405510</v>
      </c>
      <c r="G230">
        <v>-116600</v>
      </c>
      <c r="H230">
        <v>100280</v>
      </c>
      <c r="I230">
        <v>405510</v>
      </c>
      <c r="J230">
        <v>40551</v>
      </c>
      <c r="K230">
        <v>20275</v>
      </c>
      <c r="L230">
        <v>321583</v>
      </c>
      <c r="M230">
        <v>64316</v>
      </c>
      <c r="N230">
        <v>96474</v>
      </c>
      <c r="O230">
        <v>32158</v>
      </c>
      <c r="P230">
        <v>-128633</v>
      </c>
      <c r="Q230">
        <v>-80395</v>
      </c>
      <c r="R230">
        <v>337015</v>
      </c>
      <c r="S230">
        <v>101104</v>
      </c>
      <c r="T230">
        <v>33701</v>
      </c>
      <c r="U230">
        <v>16079</v>
      </c>
      <c r="V230">
        <v>9647</v>
      </c>
      <c r="W230">
        <v>6431</v>
      </c>
      <c r="X230">
        <v>32158</v>
      </c>
      <c r="Y230">
        <v>16079</v>
      </c>
      <c r="Z230">
        <v>16850</v>
      </c>
      <c r="AA230">
        <v>10110</v>
      </c>
      <c r="AB230">
        <v>6740</v>
      </c>
    </row>
    <row r="231" spans="1:28" x14ac:dyDescent="0.35">
      <c r="A231" t="s">
        <v>276</v>
      </c>
      <c r="B231" t="s">
        <v>9</v>
      </c>
      <c r="C231" t="s">
        <v>1</v>
      </c>
      <c r="D231" t="s">
        <v>10</v>
      </c>
      <c r="E231" t="s">
        <v>11</v>
      </c>
      <c r="F231">
        <v>65399</v>
      </c>
      <c r="G231">
        <v>-13541</v>
      </c>
      <c r="H231">
        <v>29999</v>
      </c>
      <c r="I231">
        <v>65399</v>
      </c>
      <c r="J231">
        <v>6539</v>
      </c>
      <c r="K231">
        <v>3269</v>
      </c>
      <c r="L231">
        <v>32761</v>
      </c>
      <c r="M231">
        <v>6552</v>
      </c>
      <c r="N231">
        <v>9828</v>
      </c>
      <c r="O231">
        <v>3276</v>
      </c>
      <c r="P231">
        <v>-13104</v>
      </c>
      <c r="Q231">
        <v>-8190</v>
      </c>
      <c r="R231">
        <v>27189</v>
      </c>
      <c r="S231">
        <v>8156</v>
      </c>
      <c r="T231">
        <v>2718</v>
      </c>
      <c r="U231">
        <v>1638</v>
      </c>
      <c r="V231">
        <v>982</v>
      </c>
      <c r="W231">
        <v>655</v>
      </c>
      <c r="X231">
        <v>3276</v>
      </c>
      <c r="Y231">
        <v>1638</v>
      </c>
      <c r="Z231">
        <v>1359</v>
      </c>
      <c r="AA231">
        <v>815</v>
      </c>
      <c r="AB231">
        <v>543</v>
      </c>
    </row>
    <row r="232" spans="1:28" x14ac:dyDescent="0.35">
      <c r="A232" t="s">
        <v>277</v>
      </c>
      <c r="B232" t="s">
        <v>9</v>
      </c>
      <c r="C232" t="s">
        <v>1</v>
      </c>
      <c r="D232" t="s">
        <v>10</v>
      </c>
      <c r="E232" t="s">
        <v>11</v>
      </c>
      <c r="F232">
        <v>112800</v>
      </c>
      <c r="G232">
        <v>-57864</v>
      </c>
      <c r="H232">
        <v>37562</v>
      </c>
      <c r="I232">
        <v>112800</v>
      </c>
      <c r="J232">
        <v>11280</v>
      </c>
      <c r="K232">
        <v>5640</v>
      </c>
      <c r="L232">
        <v>40382</v>
      </c>
      <c r="M232">
        <v>8076</v>
      </c>
      <c r="N232">
        <v>12114</v>
      </c>
      <c r="O232">
        <v>4038</v>
      </c>
      <c r="P232">
        <v>-16152</v>
      </c>
      <c r="Q232">
        <v>-10095</v>
      </c>
      <c r="R232">
        <v>40257</v>
      </c>
      <c r="S232">
        <v>12077</v>
      </c>
      <c r="T232">
        <v>4025</v>
      </c>
      <c r="U232">
        <v>2019</v>
      </c>
      <c r="V232">
        <v>1211</v>
      </c>
      <c r="W232">
        <v>807</v>
      </c>
      <c r="X232">
        <v>4038</v>
      </c>
      <c r="Y232">
        <v>2019</v>
      </c>
      <c r="Z232">
        <v>2012</v>
      </c>
      <c r="AA232">
        <v>1207</v>
      </c>
      <c r="AB232">
        <v>805</v>
      </c>
    </row>
    <row r="233" spans="1:28" x14ac:dyDescent="0.35">
      <c r="A233" t="s">
        <v>278</v>
      </c>
      <c r="B233" t="s">
        <v>9</v>
      </c>
      <c r="C233" t="s">
        <v>1</v>
      </c>
      <c r="D233" t="s">
        <v>10</v>
      </c>
      <c r="E233" t="s">
        <v>11</v>
      </c>
      <c r="F233">
        <v>210899</v>
      </c>
      <c r="G233">
        <v>-124298</v>
      </c>
      <c r="H233">
        <v>74179</v>
      </c>
      <c r="I233">
        <v>210899</v>
      </c>
      <c r="J233">
        <v>21089</v>
      </c>
      <c r="K233">
        <v>10544</v>
      </c>
      <c r="L233">
        <v>101640</v>
      </c>
      <c r="M233">
        <v>20328</v>
      </c>
      <c r="N233">
        <v>30492</v>
      </c>
      <c r="O233">
        <v>10164</v>
      </c>
      <c r="P233">
        <v>-40656</v>
      </c>
      <c r="Q233">
        <v>-25410</v>
      </c>
      <c r="R233">
        <v>111824</v>
      </c>
      <c r="S233">
        <v>33547</v>
      </c>
      <c r="T233">
        <v>11182</v>
      </c>
      <c r="U233">
        <v>5082</v>
      </c>
      <c r="V233">
        <v>3049</v>
      </c>
      <c r="W233">
        <v>2032</v>
      </c>
      <c r="X233">
        <v>10164</v>
      </c>
      <c r="Y233">
        <v>5082</v>
      </c>
      <c r="Z233">
        <v>5591</v>
      </c>
      <c r="AA233">
        <v>3354</v>
      </c>
      <c r="AB233">
        <v>2236</v>
      </c>
    </row>
    <row r="234" spans="1:28" x14ac:dyDescent="0.35">
      <c r="A234" t="s">
        <v>279</v>
      </c>
      <c r="B234" t="s">
        <v>9</v>
      </c>
      <c r="C234" t="s">
        <v>1</v>
      </c>
      <c r="D234" t="s">
        <v>10</v>
      </c>
      <c r="E234" t="s">
        <v>11</v>
      </c>
      <c r="F234">
        <v>170327</v>
      </c>
      <c r="G234">
        <v>-59597</v>
      </c>
      <c r="H234">
        <v>39335</v>
      </c>
      <c r="I234">
        <v>170327</v>
      </c>
      <c r="J234">
        <v>17032</v>
      </c>
      <c r="K234">
        <v>8516</v>
      </c>
      <c r="L234">
        <v>119980</v>
      </c>
      <c r="M234">
        <v>23996</v>
      </c>
      <c r="N234">
        <v>35994</v>
      </c>
      <c r="O234">
        <v>11998</v>
      </c>
      <c r="P234">
        <v>-47992</v>
      </c>
      <c r="Q234">
        <v>-29995</v>
      </c>
      <c r="R234">
        <v>132624</v>
      </c>
      <c r="S234">
        <v>39787</v>
      </c>
      <c r="T234">
        <v>13262</v>
      </c>
      <c r="U234">
        <v>5999</v>
      </c>
      <c r="V234">
        <v>3599</v>
      </c>
      <c r="W234">
        <v>2399</v>
      </c>
      <c r="X234">
        <v>11998</v>
      </c>
      <c r="Y234">
        <v>5999</v>
      </c>
      <c r="Z234">
        <v>6631</v>
      </c>
      <c r="AA234">
        <v>3978</v>
      </c>
      <c r="AB234">
        <v>2652</v>
      </c>
    </row>
    <row r="235" spans="1:28" x14ac:dyDescent="0.35">
      <c r="A235" t="s">
        <v>280</v>
      </c>
      <c r="B235" t="s">
        <v>9</v>
      </c>
      <c r="C235" t="s">
        <v>1</v>
      </c>
      <c r="D235" t="s">
        <v>10</v>
      </c>
      <c r="E235" t="s">
        <v>11</v>
      </c>
      <c r="F235">
        <v>415818</v>
      </c>
      <c r="G235">
        <v>-176051</v>
      </c>
      <c r="H235">
        <v>52434</v>
      </c>
      <c r="I235">
        <v>415818</v>
      </c>
      <c r="J235">
        <v>41581</v>
      </c>
      <c r="K235">
        <v>20790</v>
      </c>
      <c r="L235">
        <v>168926</v>
      </c>
      <c r="M235">
        <v>33785</v>
      </c>
      <c r="N235">
        <v>50677</v>
      </c>
      <c r="O235">
        <v>16892</v>
      </c>
      <c r="P235">
        <v>-67570</v>
      </c>
      <c r="Q235">
        <v>-42231</v>
      </c>
      <c r="R235">
        <v>165946</v>
      </c>
      <c r="S235">
        <v>49783</v>
      </c>
      <c r="T235">
        <v>16594</v>
      </c>
      <c r="U235">
        <v>8446</v>
      </c>
      <c r="V235">
        <v>5067</v>
      </c>
      <c r="W235">
        <v>3378</v>
      </c>
      <c r="X235">
        <v>16892</v>
      </c>
      <c r="Y235">
        <v>8446</v>
      </c>
      <c r="Z235">
        <v>8297</v>
      </c>
      <c r="AA235">
        <v>4978</v>
      </c>
      <c r="AB235">
        <v>3318</v>
      </c>
    </row>
    <row r="236" spans="1:28" x14ac:dyDescent="0.35">
      <c r="A236" t="s">
        <v>281</v>
      </c>
      <c r="B236" t="s">
        <v>9</v>
      </c>
      <c r="C236" t="s">
        <v>1</v>
      </c>
      <c r="D236" t="s">
        <v>10</v>
      </c>
      <c r="E236" t="s">
        <v>11</v>
      </c>
      <c r="F236">
        <v>60986</v>
      </c>
      <c r="G236">
        <v>-31067</v>
      </c>
      <c r="H236">
        <v>22773</v>
      </c>
      <c r="I236">
        <v>60986</v>
      </c>
      <c r="J236">
        <v>6098</v>
      </c>
      <c r="K236">
        <v>3049</v>
      </c>
      <c r="L236">
        <v>15432</v>
      </c>
      <c r="M236">
        <v>3086</v>
      </c>
      <c r="N236">
        <v>4629</v>
      </c>
      <c r="O236">
        <v>1543</v>
      </c>
      <c r="P236">
        <v>-6172</v>
      </c>
      <c r="Q236">
        <v>-3858</v>
      </c>
      <c r="R236">
        <v>14185</v>
      </c>
      <c r="S236">
        <v>4255</v>
      </c>
      <c r="T236">
        <v>1418</v>
      </c>
      <c r="U236">
        <v>771</v>
      </c>
      <c r="V236">
        <v>462</v>
      </c>
      <c r="W236">
        <v>308</v>
      </c>
      <c r="X236">
        <v>1543</v>
      </c>
      <c r="Y236">
        <v>771</v>
      </c>
      <c r="Z236">
        <v>709</v>
      </c>
      <c r="AA236">
        <v>425</v>
      </c>
      <c r="AB236">
        <v>283</v>
      </c>
    </row>
    <row r="237" spans="1:28" x14ac:dyDescent="0.35">
      <c r="A237" t="s">
        <v>282</v>
      </c>
      <c r="B237" t="s">
        <v>9</v>
      </c>
      <c r="C237" t="s">
        <v>1</v>
      </c>
      <c r="D237" t="s">
        <v>10</v>
      </c>
      <c r="E237" t="s">
        <v>11</v>
      </c>
      <c r="F237">
        <v>59784</v>
      </c>
      <c r="G237">
        <v>-14241</v>
      </c>
      <c r="H237">
        <v>12585</v>
      </c>
      <c r="I237">
        <v>59784</v>
      </c>
      <c r="J237">
        <v>5978</v>
      </c>
      <c r="K237">
        <v>2989</v>
      </c>
      <c r="L237">
        <v>37708</v>
      </c>
      <c r="M237">
        <v>7541</v>
      </c>
      <c r="N237">
        <v>11312</v>
      </c>
      <c r="O237">
        <v>3770</v>
      </c>
      <c r="P237">
        <v>-15083</v>
      </c>
      <c r="Q237">
        <v>-9427</v>
      </c>
      <c r="R237">
        <v>40385</v>
      </c>
      <c r="S237">
        <v>12115</v>
      </c>
      <c r="T237">
        <v>4038</v>
      </c>
      <c r="U237">
        <v>1885</v>
      </c>
      <c r="V237">
        <v>1131</v>
      </c>
      <c r="W237">
        <v>754</v>
      </c>
      <c r="X237">
        <v>3770</v>
      </c>
      <c r="Y237">
        <v>1885</v>
      </c>
      <c r="Z237">
        <v>2019</v>
      </c>
      <c r="AA237">
        <v>1211</v>
      </c>
      <c r="AB237">
        <v>807</v>
      </c>
    </row>
    <row r="238" spans="1:28" x14ac:dyDescent="0.35">
      <c r="A238" t="s">
        <v>283</v>
      </c>
      <c r="B238" t="s">
        <v>9</v>
      </c>
      <c r="C238" t="s">
        <v>1</v>
      </c>
      <c r="D238" t="s">
        <v>10</v>
      </c>
      <c r="E238" t="s">
        <v>11</v>
      </c>
      <c r="F238">
        <v>334899</v>
      </c>
      <c r="G238">
        <v>-153090</v>
      </c>
      <c r="H238">
        <v>53731</v>
      </c>
      <c r="I238">
        <v>334899</v>
      </c>
      <c r="J238">
        <v>33489</v>
      </c>
      <c r="K238">
        <v>16744</v>
      </c>
      <c r="L238">
        <v>71459</v>
      </c>
      <c r="M238">
        <v>14291</v>
      </c>
      <c r="N238">
        <v>21437</v>
      </c>
      <c r="O238">
        <v>7145</v>
      </c>
      <c r="P238">
        <v>-28583</v>
      </c>
      <c r="Q238">
        <v>-17864</v>
      </c>
      <c r="R238">
        <v>62500</v>
      </c>
      <c r="S238">
        <v>18750</v>
      </c>
      <c r="T238">
        <v>6250</v>
      </c>
      <c r="U238">
        <v>3572</v>
      </c>
      <c r="V238">
        <v>2143</v>
      </c>
      <c r="W238">
        <v>1429</v>
      </c>
      <c r="X238">
        <v>7145</v>
      </c>
      <c r="Y238">
        <v>3572</v>
      </c>
      <c r="Z238">
        <v>3125</v>
      </c>
      <c r="AA238">
        <v>1875</v>
      </c>
      <c r="AB238">
        <v>1250</v>
      </c>
    </row>
    <row r="239" spans="1:28" x14ac:dyDescent="0.35">
      <c r="A239" t="s">
        <v>284</v>
      </c>
      <c r="B239" t="s">
        <v>9</v>
      </c>
      <c r="C239" t="s">
        <v>1</v>
      </c>
      <c r="D239" t="s">
        <v>10</v>
      </c>
      <c r="E239" t="s">
        <v>11</v>
      </c>
      <c r="F239">
        <v>415737</v>
      </c>
      <c r="G239">
        <v>-136314</v>
      </c>
      <c r="H239">
        <v>138689</v>
      </c>
      <c r="I239">
        <v>415737</v>
      </c>
      <c r="J239">
        <v>41573</v>
      </c>
      <c r="K239">
        <v>20786</v>
      </c>
      <c r="L239">
        <v>90416</v>
      </c>
      <c r="M239">
        <v>18083</v>
      </c>
      <c r="N239">
        <v>27124</v>
      </c>
      <c r="O239">
        <v>9041</v>
      </c>
      <c r="P239">
        <v>-36166</v>
      </c>
      <c r="Q239">
        <v>-22604</v>
      </c>
      <c r="R239">
        <v>96196</v>
      </c>
      <c r="S239">
        <v>28858</v>
      </c>
      <c r="T239">
        <v>9619</v>
      </c>
      <c r="U239">
        <v>4520</v>
      </c>
      <c r="V239">
        <v>2712</v>
      </c>
      <c r="W239">
        <v>1808</v>
      </c>
      <c r="X239">
        <v>9041</v>
      </c>
      <c r="Y239">
        <v>4520</v>
      </c>
      <c r="Z239">
        <v>4809</v>
      </c>
      <c r="AA239">
        <v>2885</v>
      </c>
      <c r="AB239">
        <v>1923</v>
      </c>
    </row>
    <row r="240" spans="1:28" x14ac:dyDescent="0.35">
      <c r="A240" t="s">
        <v>285</v>
      </c>
      <c r="B240" t="s">
        <v>9</v>
      </c>
      <c r="C240" t="s">
        <v>1</v>
      </c>
      <c r="D240" t="s">
        <v>10</v>
      </c>
      <c r="E240" t="s">
        <v>11</v>
      </c>
      <c r="F240">
        <v>495280</v>
      </c>
      <c r="G240">
        <v>-273475</v>
      </c>
      <c r="H240">
        <v>224373</v>
      </c>
      <c r="I240">
        <v>495280</v>
      </c>
      <c r="J240">
        <v>49528</v>
      </c>
      <c r="K240">
        <v>24764</v>
      </c>
      <c r="L240">
        <v>373901</v>
      </c>
      <c r="M240">
        <v>74780</v>
      </c>
      <c r="N240">
        <v>112170</v>
      </c>
      <c r="O240">
        <v>37390</v>
      </c>
      <c r="P240">
        <v>-149560</v>
      </c>
      <c r="Q240">
        <v>-93475</v>
      </c>
      <c r="R240">
        <v>319568</v>
      </c>
      <c r="S240">
        <v>95870</v>
      </c>
      <c r="T240">
        <v>31956</v>
      </c>
      <c r="U240">
        <v>18695</v>
      </c>
      <c r="V240">
        <v>11217</v>
      </c>
      <c r="W240">
        <v>7478</v>
      </c>
      <c r="X240">
        <v>37390</v>
      </c>
      <c r="Y240">
        <v>18695</v>
      </c>
      <c r="Z240">
        <v>15978</v>
      </c>
      <c r="AA240">
        <v>9587</v>
      </c>
      <c r="AB240">
        <v>6391</v>
      </c>
    </row>
    <row r="241" spans="1:28" x14ac:dyDescent="0.35">
      <c r="A241" t="s">
        <v>286</v>
      </c>
      <c r="B241" t="s">
        <v>9</v>
      </c>
      <c r="C241" t="s">
        <v>1</v>
      </c>
      <c r="D241" t="s">
        <v>10</v>
      </c>
      <c r="E241" t="s">
        <v>11</v>
      </c>
      <c r="F241">
        <v>107255</v>
      </c>
      <c r="G241">
        <v>-28511</v>
      </c>
      <c r="H241">
        <v>32879</v>
      </c>
      <c r="I241">
        <v>107255</v>
      </c>
      <c r="J241">
        <v>10725</v>
      </c>
      <c r="K241">
        <v>5362</v>
      </c>
      <c r="L241">
        <v>59186</v>
      </c>
      <c r="M241">
        <v>11837</v>
      </c>
      <c r="N241">
        <v>17755</v>
      </c>
      <c r="O241">
        <v>5918</v>
      </c>
      <c r="P241">
        <v>-23674</v>
      </c>
      <c r="Q241">
        <v>-14796</v>
      </c>
      <c r="R241">
        <v>61067</v>
      </c>
      <c r="S241">
        <v>18320</v>
      </c>
      <c r="T241">
        <v>6106</v>
      </c>
      <c r="U241">
        <v>2959</v>
      </c>
      <c r="V241">
        <v>1775</v>
      </c>
      <c r="W241">
        <v>1183</v>
      </c>
      <c r="X241">
        <v>5918</v>
      </c>
      <c r="Y241">
        <v>2959</v>
      </c>
      <c r="Z241">
        <v>3053</v>
      </c>
      <c r="AA241">
        <v>1832</v>
      </c>
      <c r="AB241">
        <v>1221</v>
      </c>
    </row>
    <row r="242" spans="1:28" x14ac:dyDescent="0.35">
      <c r="A242" t="s">
        <v>287</v>
      </c>
      <c r="B242" t="s">
        <v>9</v>
      </c>
      <c r="C242" t="s">
        <v>1</v>
      </c>
      <c r="D242" t="s">
        <v>10</v>
      </c>
      <c r="E242" t="s">
        <v>11</v>
      </c>
      <c r="F242">
        <v>197114</v>
      </c>
      <c r="G242">
        <v>-59206</v>
      </c>
      <c r="H242">
        <v>84159</v>
      </c>
      <c r="I242">
        <v>197114</v>
      </c>
      <c r="J242">
        <v>19711</v>
      </c>
      <c r="K242">
        <v>9855</v>
      </c>
      <c r="L242">
        <v>86832</v>
      </c>
      <c r="M242">
        <v>17366</v>
      </c>
      <c r="N242">
        <v>26049</v>
      </c>
      <c r="O242">
        <v>8683</v>
      </c>
      <c r="P242">
        <v>-34732</v>
      </c>
      <c r="Q242">
        <v>-21708</v>
      </c>
      <c r="R242">
        <v>84085</v>
      </c>
      <c r="S242">
        <v>25225</v>
      </c>
      <c r="T242">
        <v>8408</v>
      </c>
      <c r="U242">
        <v>4341</v>
      </c>
      <c r="V242">
        <v>2604</v>
      </c>
      <c r="W242">
        <v>1736</v>
      </c>
      <c r="X242">
        <v>8683</v>
      </c>
      <c r="Y242">
        <v>4341</v>
      </c>
      <c r="Z242">
        <v>4204</v>
      </c>
      <c r="AA242">
        <v>2522</v>
      </c>
      <c r="AB242">
        <v>1681</v>
      </c>
    </row>
    <row r="243" spans="1:28" x14ac:dyDescent="0.35">
      <c r="A243" t="s">
        <v>288</v>
      </c>
      <c r="B243" t="s">
        <v>9</v>
      </c>
      <c r="C243" t="s">
        <v>1</v>
      </c>
      <c r="D243" t="s">
        <v>10</v>
      </c>
      <c r="E243" t="s">
        <v>11</v>
      </c>
      <c r="F243">
        <v>305529</v>
      </c>
      <c r="G243">
        <v>-166203</v>
      </c>
      <c r="H243">
        <v>142233</v>
      </c>
      <c r="I243">
        <v>305529</v>
      </c>
      <c r="J243">
        <v>30552</v>
      </c>
      <c r="K243">
        <v>15276</v>
      </c>
      <c r="L243">
        <v>114673</v>
      </c>
      <c r="M243">
        <v>22934</v>
      </c>
      <c r="N243">
        <v>34401</v>
      </c>
      <c r="O243">
        <v>11467</v>
      </c>
      <c r="P243">
        <v>-45869</v>
      </c>
      <c r="Q243">
        <v>-28668</v>
      </c>
      <c r="R243">
        <v>120310</v>
      </c>
      <c r="S243">
        <v>36093</v>
      </c>
      <c r="T243">
        <v>12031</v>
      </c>
      <c r="U243">
        <v>5733</v>
      </c>
      <c r="V243">
        <v>3440</v>
      </c>
      <c r="W243">
        <v>2293</v>
      </c>
      <c r="X243">
        <v>11467</v>
      </c>
      <c r="Y243">
        <v>5733</v>
      </c>
      <c r="Z243">
        <v>6015</v>
      </c>
      <c r="AA243">
        <v>3609</v>
      </c>
      <c r="AB243">
        <v>2406</v>
      </c>
    </row>
    <row r="244" spans="1:28" x14ac:dyDescent="0.35">
      <c r="A244" t="s">
        <v>289</v>
      </c>
      <c r="B244" t="s">
        <v>9</v>
      </c>
      <c r="C244" t="s">
        <v>1</v>
      </c>
      <c r="D244" t="s">
        <v>10</v>
      </c>
      <c r="E244" t="s">
        <v>11</v>
      </c>
      <c r="F244">
        <v>194963</v>
      </c>
      <c r="G244">
        <v>-114111</v>
      </c>
      <c r="H244">
        <v>76046</v>
      </c>
      <c r="I244">
        <v>194963</v>
      </c>
      <c r="J244">
        <v>19496</v>
      </c>
      <c r="K244">
        <v>9748</v>
      </c>
      <c r="L244">
        <v>68287</v>
      </c>
      <c r="M244">
        <v>13657</v>
      </c>
      <c r="N244">
        <v>20486</v>
      </c>
      <c r="O244">
        <v>6828</v>
      </c>
      <c r="P244">
        <v>-27314</v>
      </c>
      <c r="Q244">
        <v>-17071</v>
      </c>
      <c r="R244">
        <v>81013</v>
      </c>
      <c r="S244">
        <v>24303</v>
      </c>
      <c r="T244">
        <v>8101</v>
      </c>
      <c r="U244">
        <v>3414</v>
      </c>
      <c r="V244">
        <v>2048</v>
      </c>
      <c r="W244">
        <v>1365</v>
      </c>
      <c r="X244">
        <v>6828</v>
      </c>
      <c r="Y244">
        <v>3414</v>
      </c>
      <c r="Z244">
        <v>4050</v>
      </c>
      <c r="AA244">
        <v>2430</v>
      </c>
      <c r="AB244">
        <v>1620</v>
      </c>
    </row>
    <row r="245" spans="1:28" x14ac:dyDescent="0.35">
      <c r="A245" t="s">
        <v>290</v>
      </c>
      <c r="B245" t="s">
        <v>9</v>
      </c>
      <c r="C245" t="s">
        <v>1</v>
      </c>
      <c r="D245" t="s">
        <v>10</v>
      </c>
      <c r="E245" t="s">
        <v>11</v>
      </c>
      <c r="F245">
        <v>185597</v>
      </c>
      <c r="G245">
        <v>-60322</v>
      </c>
      <c r="H245">
        <v>21246</v>
      </c>
      <c r="I245">
        <v>185597</v>
      </c>
      <c r="J245">
        <v>18559</v>
      </c>
      <c r="K245">
        <v>9279</v>
      </c>
      <c r="L245">
        <v>71525</v>
      </c>
      <c r="M245">
        <v>14305</v>
      </c>
      <c r="N245">
        <v>21457</v>
      </c>
      <c r="O245">
        <v>7152</v>
      </c>
      <c r="P245">
        <v>-28610</v>
      </c>
      <c r="Q245">
        <v>-17881</v>
      </c>
      <c r="R245">
        <v>61695</v>
      </c>
      <c r="S245">
        <v>18508</v>
      </c>
      <c r="T245">
        <v>6169</v>
      </c>
      <c r="U245">
        <v>3576</v>
      </c>
      <c r="V245">
        <v>2145</v>
      </c>
      <c r="W245">
        <v>1430</v>
      </c>
      <c r="X245">
        <v>7152</v>
      </c>
      <c r="Y245">
        <v>3576</v>
      </c>
      <c r="Z245">
        <v>3084</v>
      </c>
      <c r="AA245">
        <v>1850</v>
      </c>
      <c r="AB245">
        <v>1233</v>
      </c>
    </row>
    <row r="246" spans="1:28" x14ac:dyDescent="0.35">
      <c r="A246" t="s">
        <v>291</v>
      </c>
      <c r="B246" t="s">
        <v>9</v>
      </c>
      <c r="C246" t="s">
        <v>1</v>
      </c>
      <c r="D246" t="s">
        <v>10</v>
      </c>
      <c r="E246" t="s">
        <v>11</v>
      </c>
      <c r="F246">
        <v>84495</v>
      </c>
      <c r="G246">
        <v>-23333</v>
      </c>
      <c r="H246">
        <v>14444</v>
      </c>
      <c r="I246">
        <v>84495</v>
      </c>
      <c r="J246">
        <v>8449</v>
      </c>
      <c r="K246">
        <v>4224</v>
      </c>
      <c r="L246">
        <v>62903</v>
      </c>
      <c r="M246">
        <v>12580</v>
      </c>
      <c r="N246">
        <v>18870</v>
      </c>
      <c r="O246">
        <v>6290</v>
      </c>
      <c r="P246">
        <v>-25161</v>
      </c>
      <c r="Q246">
        <v>-15725</v>
      </c>
      <c r="R246">
        <v>61404</v>
      </c>
      <c r="S246">
        <v>18421</v>
      </c>
      <c r="T246">
        <v>6140</v>
      </c>
      <c r="U246">
        <v>3145</v>
      </c>
      <c r="V246">
        <v>1887</v>
      </c>
      <c r="W246">
        <v>1258</v>
      </c>
      <c r="X246">
        <v>6290</v>
      </c>
      <c r="Y246">
        <v>3145</v>
      </c>
      <c r="Z246">
        <v>3070</v>
      </c>
      <c r="AA246">
        <v>1842</v>
      </c>
      <c r="AB246">
        <v>1228</v>
      </c>
    </row>
    <row r="247" spans="1:28" x14ac:dyDescent="0.35">
      <c r="A247" t="s">
        <v>292</v>
      </c>
      <c r="B247" t="s">
        <v>9</v>
      </c>
      <c r="C247" t="s">
        <v>1</v>
      </c>
      <c r="D247" t="s">
        <v>10</v>
      </c>
      <c r="E247" t="s">
        <v>11</v>
      </c>
      <c r="F247">
        <v>93600</v>
      </c>
      <c r="G247">
        <v>-20376</v>
      </c>
      <c r="H247">
        <v>29171</v>
      </c>
      <c r="I247">
        <v>93600</v>
      </c>
      <c r="J247">
        <v>9360</v>
      </c>
      <c r="K247">
        <v>4680</v>
      </c>
      <c r="L247">
        <v>33835</v>
      </c>
      <c r="M247">
        <v>6767</v>
      </c>
      <c r="N247">
        <v>10150</v>
      </c>
      <c r="O247">
        <v>3383</v>
      </c>
      <c r="P247">
        <v>-13534</v>
      </c>
      <c r="Q247">
        <v>-8458</v>
      </c>
      <c r="R247">
        <v>31533</v>
      </c>
      <c r="S247">
        <v>9459</v>
      </c>
      <c r="T247">
        <v>3153</v>
      </c>
      <c r="U247">
        <v>1691</v>
      </c>
      <c r="V247">
        <v>1015</v>
      </c>
      <c r="W247">
        <v>676</v>
      </c>
      <c r="X247">
        <v>3383</v>
      </c>
      <c r="Y247">
        <v>1691</v>
      </c>
      <c r="Z247">
        <v>1576</v>
      </c>
      <c r="AA247">
        <v>945</v>
      </c>
      <c r="AB247">
        <v>630</v>
      </c>
    </row>
    <row r="248" spans="1:28" x14ac:dyDescent="0.35">
      <c r="A248" t="s">
        <v>293</v>
      </c>
      <c r="B248" t="s">
        <v>9</v>
      </c>
      <c r="C248" t="s">
        <v>1</v>
      </c>
      <c r="D248" t="s">
        <v>10</v>
      </c>
      <c r="E248" t="s">
        <v>11</v>
      </c>
      <c r="F248">
        <v>75870</v>
      </c>
      <c r="G248">
        <v>-39887</v>
      </c>
      <c r="H248">
        <v>11833</v>
      </c>
      <c r="I248">
        <v>75870</v>
      </c>
      <c r="J248">
        <v>7587</v>
      </c>
      <c r="K248">
        <v>3793</v>
      </c>
      <c r="L248">
        <v>18863</v>
      </c>
      <c r="M248">
        <v>3772</v>
      </c>
      <c r="N248">
        <v>5658</v>
      </c>
      <c r="O248">
        <v>1886</v>
      </c>
      <c r="P248">
        <v>-7545</v>
      </c>
      <c r="Q248">
        <v>-4715</v>
      </c>
      <c r="R248">
        <v>18812</v>
      </c>
      <c r="S248">
        <v>5643</v>
      </c>
      <c r="T248">
        <v>1881</v>
      </c>
      <c r="U248">
        <v>943</v>
      </c>
      <c r="V248">
        <v>565</v>
      </c>
      <c r="W248">
        <v>377</v>
      </c>
      <c r="X248">
        <v>1886</v>
      </c>
      <c r="Y248">
        <v>943</v>
      </c>
      <c r="Z248">
        <v>940</v>
      </c>
      <c r="AA248">
        <v>564</v>
      </c>
      <c r="AB248">
        <v>376</v>
      </c>
    </row>
    <row r="249" spans="1:28" x14ac:dyDescent="0.35">
      <c r="A249" t="s">
        <v>294</v>
      </c>
      <c r="B249" t="s">
        <v>9</v>
      </c>
      <c r="C249" t="s">
        <v>1</v>
      </c>
      <c r="D249" t="s">
        <v>10</v>
      </c>
      <c r="E249" t="s">
        <v>11</v>
      </c>
      <c r="F249">
        <v>381383</v>
      </c>
      <c r="G249">
        <v>-137907</v>
      </c>
      <c r="H249">
        <v>159427</v>
      </c>
      <c r="I249">
        <v>381383</v>
      </c>
      <c r="J249">
        <v>38138</v>
      </c>
      <c r="K249">
        <v>19069</v>
      </c>
      <c r="L249">
        <v>186282</v>
      </c>
      <c r="M249">
        <v>37256</v>
      </c>
      <c r="N249">
        <v>55884</v>
      </c>
      <c r="O249">
        <v>18628</v>
      </c>
      <c r="P249">
        <v>-74512</v>
      </c>
      <c r="Q249">
        <v>-46570</v>
      </c>
      <c r="R249">
        <v>164667</v>
      </c>
      <c r="S249">
        <v>49400</v>
      </c>
      <c r="T249">
        <v>16466</v>
      </c>
      <c r="U249">
        <v>9314</v>
      </c>
      <c r="V249">
        <v>5588</v>
      </c>
      <c r="W249">
        <v>3725</v>
      </c>
      <c r="X249">
        <v>18628</v>
      </c>
      <c r="Y249">
        <v>9314</v>
      </c>
      <c r="Z249">
        <v>8233</v>
      </c>
      <c r="AA249">
        <v>4940</v>
      </c>
      <c r="AB249">
        <v>3293</v>
      </c>
    </row>
    <row r="250" spans="1:28" x14ac:dyDescent="0.35">
      <c r="A250" t="s">
        <v>295</v>
      </c>
      <c r="B250" t="s">
        <v>9</v>
      </c>
      <c r="C250" t="s">
        <v>1</v>
      </c>
      <c r="D250" t="s">
        <v>10</v>
      </c>
      <c r="E250" t="s">
        <v>11</v>
      </c>
      <c r="F250">
        <v>409705</v>
      </c>
      <c r="G250">
        <v>-215637</v>
      </c>
      <c r="H250">
        <v>204131</v>
      </c>
      <c r="I250">
        <v>409705</v>
      </c>
      <c r="J250">
        <v>40970</v>
      </c>
      <c r="K250">
        <v>20485</v>
      </c>
      <c r="L250">
        <v>200690</v>
      </c>
      <c r="M250">
        <v>40138</v>
      </c>
      <c r="N250">
        <v>60207</v>
      </c>
      <c r="O250">
        <v>20069</v>
      </c>
      <c r="P250">
        <v>-80276</v>
      </c>
      <c r="Q250">
        <v>-50172</v>
      </c>
      <c r="R250">
        <v>189790</v>
      </c>
      <c r="S250">
        <v>56937</v>
      </c>
      <c r="T250">
        <v>18979</v>
      </c>
      <c r="U250">
        <v>10034</v>
      </c>
      <c r="V250">
        <v>6020</v>
      </c>
      <c r="W250">
        <v>4013</v>
      </c>
      <c r="X250">
        <v>20069</v>
      </c>
      <c r="Y250">
        <v>10034</v>
      </c>
      <c r="Z250">
        <v>9489</v>
      </c>
      <c r="AA250">
        <v>5693</v>
      </c>
      <c r="AB250">
        <v>3795</v>
      </c>
    </row>
    <row r="251" spans="1:28" x14ac:dyDescent="0.35">
      <c r="A251" t="s">
        <v>296</v>
      </c>
      <c r="B251" t="s">
        <v>9</v>
      </c>
      <c r="C251" t="s">
        <v>1</v>
      </c>
      <c r="D251" t="s">
        <v>10</v>
      </c>
      <c r="E251" t="s">
        <v>11</v>
      </c>
      <c r="F251">
        <v>182611</v>
      </c>
      <c r="G251">
        <v>-100928</v>
      </c>
      <c r="H251">
        <v>27580</v>
      </c>
      <c r="I251">
        <v>182611</v>
      </c>
      <c r="J251">
        <v>18261</v>
      </c>
      <c r="K251">
        <v>9130</v>
      </c>
      <c r="L251">
        <v>102958</v>
      </c>
      <c r="M251">
        <v>20591</v>
      </c>
      <c r="N251">
        <v>30887</v>
      </c>
      <c r="O251">
        <v>10295</v>
      </c>
      <c r="P251">
        <v>-41183</v>
      </c>
      <c r="Q251">
        <v>-25739</v>
      </c>
      <c r="R251">
        <v>101195</v>
      </c>
      <c r="S251">
        <v>30358</v>
      </c>
      <c r="T251">
        <v>10119</v>
      </c>
      <c r="U251">
        <v>5147</v>
      </c>
      <c r="V251">
        <v>3088</v>
      </c>
      <c r="W251">
        <v>2059</v>
      </c>
      <c r="X251">
        <v>10295</v>
      </c>
      <c r="Y251">
        <v>5147</v>
      </c>
      <c r="Z251">
        <v>5059</v>
      </c>
      <c r="AA251">
        <v>3035</v>
      </c>
      <c r="AB251">
        <v>2023</v>
      </c>
    </row>
    <row r="252" spans="1:28" x14ac:dyDescent="0.35">
      <c r="A252" t="s">
        <v>297</v>
      </c>
      <c r="B252" t="s">
        <v>9</v>
      </c>
      <c r="C252" t="s">
        <v>1</v>
      </c>
      <c r="D252" t="s">
        <v>10</v>
      </c>
      <c r="E252" t="s">
        <v>11</v>
      </c>
      <c r="F252">
        <v>258844</v>
      </c>
      <c r="G252">
        <v>-89333</v>
      </c>
      <c r="H252">
        <v>57432</v>
      </c>
      <c r="I252">
        <v>258844</v>
      </c>
      <c r="J252">
        <v>25884</v>
      </c>
      <c r="K252">
        <v>12942</v>
      </c>
      <c r="L252">
        <v>198501</v>
      </c>
      <c r="M252">
        <v>39700</v>
      </c>
      <c r="N252">
        <v>59550</v>
      </c>
      <c r="O252">
        <v>19850</v>
      </c>
      <c r="P252">
        <v>-79400</v>
      </c>
      <c r="Q252">
        <v>-49625</v>
      </c>
      <c r="R252">
        <v>231994</v>
      </c>
      <c r="S252">
        <v>69598</v>
      </c>
      <c r="T252">
        <v>23199</v>
      </c>
      <c r="U252">
        <v>9925</v>
      </c>
      <c r="V252">
        <v>5955</v>
      </c>
      <c r="W252">
        <v>3970</v>
      </c>
      <c r="X252">
        <v>19850</v>
      </c>
      <c r="Y252">
        <v>9925</v>
      </c>
      <c r="Z252">
        <v>11599</v>
      </c>
      <c r="AA252">
        <v>6959</v>
      </c>
      <c r="AB252">
        <v>4639</v>
      </c>
    </row>
    <row r="253" spans="1:28" x14ac:dyDescent="0.35">
      <c r="A253" t="s">
        <v>298</v>
      </c>
      <c r="B253" t="s">
        <v>9</v>
      </c>
      <c r="C253" t="s">
        <v>1</v>
      </c>
      <c r="D253" t="s">
        <v>10</v>
      </c>
      <c r="E253" t="s">
        <v>11</v>
      </c>
      <c r="F253">
        <v>71339</v>
      </c>
      <c r="G253">
        <v>-21579</v>
      </c>
      <c r="H253">
        <v>18022</v>
      </c>
      <c r="I253">
        <v>71339</v>
      </c>
      <c r="J253">
        <v>7133</v>
      </c>
      <c r="K253">
        <v>3566</v>
      </c>
      <c r="L253">
        <v>44685</v>
      </c>
      <c r="M253">
        <v>8937</v>
      </c>
      <c r="N253">
        <v>13405</v>
      </c>
      <c r="O253">
        <v>4468</v>
      </c>
      <c r="P253">
        <v>-17874</v>
      </c>
      <c r="Q253">
        <v>-11171</v>
      </c>
      <c r="R253">
        <v>36380</v>
      </c>
      <c r="S253">
        <v>10914</v>
      </c>
      <c r="T253">
        <v>3638</v>
      </c>
      <c r="U253">
        <v>2234</v>
      </c>
      <c r="V253">
        <v>1340</v>
      </c>
      <c r="W253">
        <v>893</v>
      </c>
      <c r="X253">
        <v>4468</v>
      </c>
      <c r="Y253">
        <v>2234</v>
      </c>
      <c r="Z253">
        <v>1819</v>
      </c>
      <c r="AA253">
        <v>1091</v>
      </c>
      <c r="AB253">
        <v>727</v>
      </c>
    </row>
    <row r="254" spans="1:28" x14ac:dyDescent="0.35">
      <c r="A254" t="s">
        <v>299</v>
      </c>
      <c r="B254" t="s">
        <v>9</v>
      </c>
      <c r="C254" t="s">
        <v>1</v>
      </c>
      <c r="D254" t="s">
        <v>10</v>
      </c>
      <c r="E254" t="s">
        <v>11</v>
      </c>
      <c r="F254">
        <v>407278</v>
      </c>
      <c r="G254">
        <v>-125082</v>
      </c>
      <c r="H254">
        <v>167091</v>
      </c>
      <c r="I254">
        <v>407278</v>
      </c>
      <c r="J254">
        <v>40727</v>
      </c>
      <c r="K254">
        <v>20363</v>
      </c>
      <c r="L254">
        <v>214622</v>
      </c>
      <c r="M254">
        <v>42924</v>
      </c>
      <c r="N254">
        <v>64386</v>
      </c>
      <c r="O254">
        <v>21462</v>
      </c>
      <c r="P254">
        <v>-85848</v>
      </c>
      <c r="Q254">
        <v>-53655</v>
      </c>
      <c r="R254">
        <v>217579</v>
      </c>
      <c r="S254">
        <v>65273</v>
      </c>
      <c r="T254">
        <v>21757</v>
      </c>
      <c r="U254">
        <v>10731</v>
      </c>
      <c r="V254">
        <v>6438</v>
      </c>
      <c r="W254">
        <v>4292</v>
      </c>
      <c r="X254">
        <v>21462</v>
      </c>
      <c r="Y254">
        <v>10731</v>
      </c>
      <c r="Z254">
        <v>10878</v>
      </c>
      <c r="AA254">
        <v>6527</v>
      </c>
      <c r="AB254">
        <v>4351</v>
      </c>
    </row>
    <row r="255" spans="1:28" x14ac:dyDescent="0.35">
      <c r="A255" t="s">
        <v>300</v>
      </c>
      <c r="B255" t="s">
        <v>9</v>
      </c>
      <c r="C255" t="s">
        <v>1</v>
      </c>
      <c r="D255" t="s">
        <v>10</v>
      </c>
      <c r="E255" t="s">
        <v>11</v>
      </c>
      <c r="F255">
        <v>164790</v>
      </c>
      <c r="G255">
        <v>-77361</v>
      </c>
      <c r="H255">
        <v>34263</v>
      </c>
      <c r="I255">
        <v>164790</v>
      </c>
      <c r="J255">
        <v>16479</v>
      </c>
      <c r="K255">
        <v>8239</v>
      </c>
      <c r="L255">
        <v>119889</v>
      </c>
      <c r="M255">
        <v>23977</v>
      </c>
      <c r="N255">
        <v>35966</v>
      </c>
      <c r="O255">
        <v>11988</v>
      </c>
      <c r="P255">
        <v>-47955</v>
      </c>
      <c r="Q255">
        <v>-29972</v>
      </c>
      <c r="R255">
        <v>121364</v>
      </c>
      <c r="S255">
        <v>36409</v>
      </c>
      <c r="T255">
        <v>12136</v>
      </c>
      <c r="U255">
        <v>5994</v>
      </c>
      <c r="V255">
        <v>3596</v>
      </c>
      <c r="W255">
        <v>2397</v>
      </c>
      <c r="X255">
        <v>11988</v>
      </c>
      <c r="Y255">
        <v>5994</v>
      </c>
      <c r="Z255">
        <v>6068</v>
      </c>
      <c r="AA255">
        <v>3640</v>
      </c>
      <c r="AB255">
        <v>2427</v>
      </c>
    </row>
    <row r="256" spans="1:28" x14ac:dyDescent="0.35">
      <c r="A256" t="s">
        <v>301</v>
      </c>
      <c r="B256" t="s">
        <v>9</v>
      </c>
      <c r="C256" t="s">
        <v>1</v>
      </c>
      <c r="D256" t="s">
        <v>10</v>
      </c>
      <c r="E256" t="s">
        <v>11</v>
      </c>
      <c r="F256">
        <v>56474</v>
      </c>
      <c r="G256">
        <v>-27823</v>
      </c>
      <c r="H256">
        <v>23487</v>
      </c>
      <c r="I256">
        <v>56474</v>
      </c>
      <c r="J256">
        <v>5647</v>
      </c>
      <c r="K256">
        <v>2823</v>
      </c>
      <c r="L256">
        <v>16057</v>
      </c>
      <c r="M256">
        <v>3211</v>
      </c>
      <c r="N256">
        <v>4817</v>
      </c>
      <c r="O256">
        <v>1605</v>
      </c>
      <c r="P256">
        <v>-6422</v>
      </c>
      <c r="Q256">
        <v>-4014</v>
      </c>
      <c r="R256">
        <v>14348</v>
      </c>
      <c r="S256">
        <v>4304</v>
      </c>
      <c r="T256">
        <v>1434</v>
      </c>
      <c r="U256">
        <v>802</v>
      </c>
      <c r="V256">
        <v>481</v>
      </c>
      <c r="W256">
        <v>321</v>
      </c>
      <c r="X256">
        <v>1605</v>
      </c>
      <c r="Y256">
        <v>802</v>
      </c>
      <c r="Z256">
        <v>717</v>
      </c>
      <c r="AA256">
        <v>430</v>
      </c>
      <c r="AB256">
        <v>286</v>
      </c>
    </row>
    <row r="257" spans="1:28" x14ac:dyDescent="0.35">
      <c r="A257" t="s">
        <v>302</v>
      </c>
      <c r="B257" t="s">
        <v>9</v>
      </c>
      <c r="C257" t="s">
        <v>1</v>
      </c>
      <c r="D257" t="s">
        <v>10</v>
      </c>
      <c r="E257" t="s">
        <v>11</v>
      </c>
      <c r="F257">
        <v>296394</v>
      </c>
      <c r="G257">
        <v>-150064</v>
      </c>
      <c r="H257">
        <v>38776</v>
      </c>
      <c r="I257">
        <v>296394</v>
      </c>
      <c r="J257">
        <v>29639</v>
      </c>
      <c r="K257">
        <v>14819</v>
      </c>
      <c r="L257">
        <v>192205</v>
      </c>
      <c r="M257">
        <v>38441</v>
      </c>
      <c r="N257">
        <v>57661</v>
      </c>
      <c r="O257">
        <v>19220</v>
      </c>
      <c r="P257">
        <v>-76882</v>
      </c>
      <c r="Q257">
        <v>-48051</v>
      </c>
      <c r="R257">
        <v>222756</v>
      </c>
      <c r="S257">
        <v>66826</v>
      </c>
      <c r="T257">
        <v>22275</v>
      </c>
      <c r="U257">
        <v>9610</v>
      </c>
      <c r="V257">
        <v>5766</v>
      </c>
      <c r="W257">
        <v>3844</v>
      </c>
      <c r="X257">
        <v>19220</v>
      </c>
      <c r="Y257">
        <v>9610</v>
      </c>
      <c r="Z257">
        <v>11137</v>
      </c>
      <c r="AA257">
        <v>6682</v>
      </c>
      <c r="AB257">
        <v>4455</v>
      </c>
    </row>
    <row r="258" spans="1:28" x14ac:dyDescent="0.35">
      <c r="A258" t="s">
        <v>303</v>
      </c>
      <c r="B258" t="s">
        <v>9</v>
      </c>
      <c r="C258" t="s">
        <v>1</v>
      </c>
      <c r="D258" t="s">
        <v>10</v>
      </c>
      <c r="E258" t="s">
        <v>11</v>
      </c>
      <c r="F258">
        <v>411047</v>
      </c>
      <c r="G258">
        <v>-190453</v>
      </c>
      <c r="H258">
        <v>77300</v>
      </c>
      <c r="I258">
        <v>411047</v>
      </c>
      <c r="J258">
        <v>41104</v>
      </c>
      <c r="K258">
        <v>20552</v>
      </c>
      <c r="L258">
        <v>262383</v>
      </c>
      <c r="M258">
        <v>52476</v>
      </c>
      <c r="N258">
        <v>78714</v>
      </c>
      <c r="O258">
        <v>26238</v>
      </c>
      <c r="P258">
        <v>-104953</v>
      </c>
      <c r="Q258">
        <v>-65595</v>
      </c>
      <c r="R258">
        <v>280370</v>
      </c>
      <c r="S258">
        <v>84111</v>
      </c>
      <c r="T258">
        <v>28037</v>
      </c>
      <c r="U258">
        <v>13119</v>
      </c>
      <c r="V258">
        <v>7871</v>
      </c>
      <c r="W258">
        <v>5247</v>
      </c>
      <c r="X258">
        <v>26238</v>
      </c>
      <c r="Y258">
        <v>13119</v>
      </c>
      <c r="Z258">
        <v>14018</v>
      </c>
      <c r="AA258">
        <v>8411</v>
      </c>
      <c r="AB258">
        <v>5607</v>
      </c>
    </row>
    <row r="259" spans="1:28" x14ac:dyDescent="0.35">
      <c r="A259" t="s">
        <v>304</v>
      </c>
      <c r="B259" t="s">
        <v>9</v>
      </c>
      <c r="C259" t="s">
        <v>1</v>
      </c>
      <c r="D259" t="s">
        <v>10</v>
      </c>
      <c r="E259" t="s">
        <v>11</v>
      </c>
      <c r="F259">
        <v>484125</v>
      </c>
      <c r="G259">
        <v>-125622</v>
      </c>
      <c r="H259">
        <v>239431</v>
      </c>
      <c r="I259">
        <v>484125</v>
      </c>
      <c r="J259">
        <v>48412</v>
      </c>
      <c r="K259">
        <v>24206</v>
      </c>
      <c r="L259">
        <v>378701</v>
      </c>
      <c r="M259">
        <v>75740</v>
      </c>
      <c r="N259">
        <v>113610</v>
      </c>
      <c r="O259">
        <v>37870</v>
      </c>
      <c r="P259">
        <v>-151480</v>
      </c>
      <c r="Q259">
        <v>-94675</v>
      </c>
      <c r="R259">
        <v>370324</v>
      </c>
      <c r="S259">
        <v>111097</v>
      </c>
      <c r="T259">
        <v>37032</v>
      </c>
      <c r="U259">
        <v>18935</v>
      </c>
      <c r="V259">
        <v>11361</v>
      </c>
      <c r="W259">
        <v>7574</v>
      </c>
      <c r="X259">
        <v>37870</v>
      </c>
      <c r="Y259">
        <v>18935</v>
      </c>
      <c r="Z259">
        <v>18516</v>
      </c>
      <c r="AA259">
        <v>11109</v>
      </c>
      <c r="AB259">
        <v>7406</v>
      </c>
    </row>
    <row r="260" spans="1:28" x14ac:dyDescent="0.35">
      <c r="A260" t="s">
        <v>305</v>
      </c>
      <c r="B260" t="s">
        <v>9</v>
      </c>
      <c r="C260" t="s">
        <v>1</v>
      </c>
      <c r="D260" t="s">
        <v>10</v>
      </c>
      <c r="E260" t="s">
        <v>11</v>
      </c>
      <c r="F260">
        <v>311449</v>
      </c>
      <c r="G260">
        <v>-75067</v>
      </c>
      <c r="H260">
        <v>141893</v>
      </c>
      <c r="I260">
        <v>311449</v>
      </c>
      <c r="J260">
        <v>31144</v>
      </c>
      <c r="K260">
        <v>15572</v>
      </c>
      <c r="L260">
        <v>244027</v>
      </c>
      <c r="M260">
        <v>48805</v>
      </c>
      <c r="N260">
        <v>73208</v>
      </c>
      <c r="O260">
        <v>24402</v>
      </c>
      <c r="P260">
        <v>-97610</v>
      </c>
      <c r="Q260">
        <v>-61006</v>
      </c>
      <c r="R260">
        <v>260178</v>
      </c>
      <c r="S260">
        <v>78053</v>
      </c>
      <c r="T260">
        <v>26017</v>
      </c>
      <c r="U260">
        <v>12201</v>
      </c>
      <c r="V260">
        <v>7320</v>
      </c>
      <c r="W260">
        <v>4880</v>
      </c>
      <c r="X260">
        <v>24402</v>
      </c>
      <c r="Y260">
        <v>12201</v>
      </c>
      <c r="Z260">
        <v>13008</v>
      </c>
      <c r="AA260">
        <v>7805</v>
      </c>
      <c r="AB260">
        <v>5203</v>
      </c>
    </row>
    <row r="261" spans="1:28" x14ac:dyDescent="0.35">
      <c r="A261" t="s">
        <v>306</v>
      </c>
      <c r="B261" t="s">
        <v>9</v>
      </c>
      <c r="C261" t="s">
        <v>1</v>
      </c>
      <c r="D261" t="s">
        <v>10</v>
      </c>
      <c r="E261" t="s">
        <v>11</v>
      </c>
      <c r="F261">
        <v>243853</v>
      </c>
      <c r="G261">
        <v>-56999</v>
      </c>
      <c r="H261">
        <v>55308</v>
      </c>
      <c r="I261">
        <v>243853</v>
      </c>
      <c r="J261">
        <v>24385</v>
      </c>
      <c r="K261">
        <v>12192</v>
      </c>
      <c r="L261">
        <v>123684</v>
      </c>
      <c r="M261">
        <v>24736</v>
      </c>
      <c r="N261">
        <v>37105</v>
      </c>
      <c r="O261">
        <v>12368</v>
      </c>
      <c r="P261">
        <v>-49473</v>
      </c>
      <c r="Q261">
        <v>-30921</v>
      </c>
      <c r="R261">
        <v>134378</v>
      </c>
      <c r="S261">
        <v>40313</v>
      </c>
      <c r="T261">
        <v>13437</v>
      </c>
      <c r="U261">
        <v>6184</v>
      </c>
      <c r="V261">
        <v>3710</v>
      </c>
      <c r="W261">
        <v>2473</v>
      </c>
      <c r="X261">
        <v>12368</v>
      </c>
      <c r="Y261">
        <v>6184</v>
      </c>
      <c r="Z261">
        <v>6718</v>
      </c>
      <c r="AA261">
        <v>4031</v>
      </c>
      <c r="AB261">
        <v>2687</v>
      </c>
    </row>
    <row r="262" spans="1:28" x14ac:dyDescent="0.35">
      <c r="A262" t="s">
        <v>307</v>
      </c>
      <c r="B262" t="s">
        <v>9</v>
      </c>
      <c r="C262" t="s">
        <v>1</v>
      </c>
      <c r="D262" t="s">
        <v>10</v>
      </c>
      <c r="E262" t="s">
        <v>11</v>
      </c>
      <c r="F262">
        <v>495657</v>
      </c>
      <c r="G262">
        <v>-234576</v>
      </c>
      <c r="H262">
        <v>149797</v>
      </c>
      <c r="I262">
        <v>495657</v>
      </c>
      <c r="J262">
        <v>49565</v>
      </c>
      <c r="K262">
        <v>24782</v>
      </c>
      <c r="L262">
        <v>222647</v>
      </c>
      <c r="M262">
        <v>44529</v>
      </c>
      <c r="N262">
        <v>66794</v>
      </c>
      <c r="O262">
        <v>22264</v>
      </c>
      <c r="P262">
        <v>-89058</v>
      </c>
      <c r="Q262">
        <v>-55661</v>
      </c>
      <c r="R262">
        <v>259543</v>
      </c>
      <c r="S262">
        <v>77862</v>
      </c>
      <c r="T262">
        <v>25954</v>
      </c>
      <c r="U262">
        <v>11132</v>
      </c>
      <c r="V262">
        <v>6679</v>
      </c>
      <c r="W262">
        <v>4452</v>
      </c>
      <c r="X262">
        <v>22264</v>
      </c>
      <c r="Y262">
        <v>11132</v>
      </c>
      <c r="Z262">
        <v>12977</v>
      </c>
      <c r="AA262">
        <v>7786</v>
      </c>
      <c r="AB262">
        <v>5190</v>
      </c>
    </row>
    <row r="263" spans="1:28" x14ac:dyDescent="0.35">
      <c r="A263" t="s">
        <v>308</v>
      </c>
      <c r="B263" t="s">
        <v>9</v>
      </c>
      <c r="C263" t="s">
        <v>1</v>
      </c>
      <c r="D263" t="s">
        <v>10</v>
      </c>
      <c r="E263" t="s">
        <v>11</v>
      </c>
      <c r="F263">
        <v>218054</v>
      </c>
      <c r="G263">
        <v>-112313</v>
      </c>
      <c r="H263">
        <v>62228</v>
      </c>
      <c r="I263">
        <v>218054</v>
      </c>
      <c r="J263">
        <v>21805</v>
      </c>
      <c r="K263">
        <v>10902</v>
      </c>
      <c r="L263">
        <v>119954</v>
      </c>
      <c r="M263">
        <v>23990</v>
      </c>
      <c r="N263">
        <v>35986</v>
      </c>
      <c r="O263">
        <v>11995</v>
      </c>
      <c r="P263">
        <v>-47981</v>
      </c>
      <c r="Q263">
        <v>-29988</v>
      </c>
      <c r="R263">
        <v>107411</v>
      </c>
      <c r="S263">
        <v>32223</v>
      </c>
      <c r="T263">
        <v>10741</v>
      </c>
      <c r="U263">
        <v>5997</v>
      </c>
      <c r="V263">
        <v>3598</v>
      </c>
      <c r="W263">
        <v>2399</v>
      </c>
      <c r="X263">
        <v>11995</v>
      </c>
      <c r="Y263">
        <v>5997</v>
      </c>
      <c r="Z263">
        <v>5370</v>
      </c>
      <c r="AA263">
        <v>3222</v>
      </c>
      <c r="AB263">
        <v>2148</v>
      </c>
    </row>
    <row r="264" spans="1:28" x14ac:dyDescent="0.35">
      <c r="A264" t="s">
        <v>309</v>
      </c>
      <c r="B264" t="s">
        <v>9</v>
      </c>
      <c r="C264" t="s">
        <v>1</v>
      </c>
      <c r="D264" t="s">
        <v>10</v>
      </c>
      <c r="E264" t="s">
        <v>11</v>
      </c>
      <c r="F264">
        <v>256665</v>
      </c>
      <c r="G264">
        <v>-116445</v>
      </c>
      <c r="H264">
        <v>92330</v>
      </c>
      <c r="I264">
        <v>256665</v>
      </c>
      <c r="J264">
        <v>25666</v>
      </c>
      <c r="K264">
        <v>12833</v>
      </c>
      <c r="L264">
        <v>105926</v>
      </c>
      <c r="M264">
        <v>21185</v>
      </c>
      <c r="N264">
        <v>31777</v>
      </c>
      <c r="O264">
        <v>10592</v>
      </c>
      <c r="P264">
        <v>-42370</v>
      </c>
      <c r="Q264">
        <v>-26481</v>
      </c>
      <c r="R264">
        <v>124334</v>
      </c>
      <c r="S264">
        <v>37300</v>
      </c>
      <c r="T264">
        <v>12433</v>
      </c>
      <c r="U264">
        <v>5296</v>
      </c>
      <c r="V264">
        <v>3177</v>
      </c>
      <c r="W264">
        <v>2118</v>
      </c>
      <c r="X264">
        <v>10592</v>
      </c>
      <c r="Y264">
        <v>5296</v>
      </c>
      <c r="Z264">
        <v>6216</v>
      </c>
      <c r="AA264">
        <v>3730</v>
      </c>
      <c r="AB264">
        <v>2486</v>
      </c>
    </row>
    <row r="265" spans="1:28" x14ac:dyDescent="0.35">
      <c r="A265" t="s">
        <v>310</v>
      </c>
      <c r="B265" t="s">
        <v>9</v>
      </c>
      <c r="C265" t="s">
        <v>1</v>
      </c>
      <c r="D265" t="s">
        <v>10</v>
      </c>
      <c r="E265" t="s">
        <v>11</v>
      </c>
      <c r="F265">
        <v>246357</v>
      </c>
      <c r="G265">
        <v>-105472</v>
      </c>
      <c r="H265">
        <v>76649</v>
      </c>
      <c r="I265">
        <v>246357</v>
      </c>
      <c r="J265">
        <v>24635</v>
      </c>
      <c r="K265">
        <v>12317</v>
      </c>
      <c r="L265">
        <v>149978</v>
      </c>
      <c r="M265">
        <v>29995</v>
      </c>
      <c r="N265">
        <v>44993</v>
      </c>
      <c r="O265">
        <v>14997</v>
      </c>
      <c r="P265">
        <v>-59991</v>
      </c>
      <c r="Q265">
        <v>-37494</v>
      </c>
      <c r="R265">
        <v>171760</v>
      </c>
      <c r="S265">
        <v>51528</v>
      </c>
      <c r="T265">
        <v>17176</v>
      </c>
      <c r="U265">
        <v>7498</v>
      </c>
      <c r="V265">
        <v>4499</v>
      </c>
      <c r="W265">
        <v>2999</v>
      </c>
      <c r="X265">
        <v>14997</v>
      </c>
      <c r="Y265">
        <v>7498</v>
      </c>
      <c r="Z265">
        <v>8588</v>
      </c>
      <c r="AA265">
        <v>5152</v>
      </c>
      <c r="AB265">
        <v>3435</v>
      </c>
    </row>
    <row r="266" spans="1:28" x14ac:dyDescent="0.35">
      <c r="A266" t="s">
        <v>311</v>
      </c>
      <c r="B266" t="s">
        <v>9</v>
      </c>
      <c r="C266" t="s">
        <v>1</v>
      </c>
      <c r="D266" t="s">
        <v>10</v>
      </c>
      <c r="E266" t="s">
        <v>11</v>
      </c>
      <c r="F266">
        <v>230106</v>
      </c>
      <c r="G266">
        <v>-71103</v>
      </c>
      <c r="H266">
        <v>27643</v>
      </c>
      <c r="I266">
        <v>230106</v>
      </c>
      <c r="J266">
        <v>23010</v>
      </c>
      <c r="K266">
        <v>11505</v>
      </c>
      <c r="L266">
        <v>86979</v>
      </c>
      <c r="M266">
        <v>17395</v>
      </c>
      <c r="N266">
        <v>26093</v>
      </c>
      <c r="O266">
        <v>8697</v>
      </c>
      <c r="P266">
        <v>-34791</v>
      </c>
      <c r="Q266">
        <v>-21744</v>
      </c>
      <c r="R266">
        <v>93923</v>
      </c>
      <c r="S266">
        <v>28176</v>
      </c>
      <c r="T266">
        <v>9392</v>
      </c>
      <c r="U266">
        <v>4348</v>
      </c>
      <c r="V266">
        <v>2609</v>
      </c>
      <c r="W266">
        <v>1739</v>
      </c>
      <c r="X266">
        <v>8697</v>
      </c>
      <c r="Y266">
        <v>4348</v>
      </c>
      <c r="Z266">
        <v>4696</v>
      </c>
      <c r="AA266">
        <v>2817</v>
      </c>
      <c r="AB266">
        <v>1878</v>
      </c>
    </row>
    <row r="267" spans="1:28" x14ac:dyDescent="0.35">
      <c r="A267" t="s">
        <v>312</v>
      </c>
      <c r="B267" t="s">
        <v>9</v>
      </c>
      <c r="C267" t="s">
        <v>1</v>
      </c>
      <c r="D267" t="s">
        <v>10</v>
      </c>
      <c r="E267" t="s">
        <v>11</v>
      </c>
      <c r="F267">
        <v>234558</v>
      </c>
      <c r="G267">
        <v>-119857</v>
      </c>
      <c r="H267">
        <v>92655</v>
      </c>
      <c r="I267">
        <v>234558</v>
      </c>
      <c r="J267">
        <v>23455</v>
      </c>
      <c r="K267">
        <v>11727</v>
      </c>
      <c r="L267">
        <v>99528</v>
      </c>
      <c r="M267">
        <v>19905</v>
      </c>
      <c r="N267">
        <v>29858</v>
      </c>
      <c r="O267">
        <v>9952</v>
      </c>
      <c r="P267">
        <v>-39811</v>
      </c>
      <c r="Q267">
        <v>-24882</v>
      </c>
      <c r="R267">
        <v>101492</v>
      </c>
      <c r="S267">
        <v>30447</v>
      </c>
      <c r="T267">
        <v>10149</v>
      </c>
      <c r="U267">
        <v>4976</v>
      </c>
      <c r="V267">
        <v>2985</v>
      </c>
      <c r="W267">
        <v>1990</v>
      </c>
      <c r="X267">
        <v>9952</v>
      </c>
      <c r="Y267">
        <v>4976</v>
      </c>
      <c r="Z267">
        <v>5074</v>
      </c>
      <c r="AA267">
        <v>3044</v>
      </c>
      <c r="AB267">
        <v>2029</v>
      </c>
    </row>
    <row r="268" spans="1:28" x14ac:dyDescent="0.35">
      <c r="A268" t="s">
        <v>313</v>
      </c>
      <c r="B268" t="s">
        <v>9</v>
      </c>
      <c r="C268" t="s">
        <v>1</v>
      </c>
      <c r="D268" t="s">
        <v>10</v>
      </c>
      <c r="E268" t="s">
        <v>11</v>
      </c>
      <c r="F268">
        <v>86203</v>
      </c>
      <c r="G268">
        <v>-25841</v>
      </c>
      <c r="H268">
        <v>16024</v>
      </c>
      <c r="I268">
        <v>86203</v>
      </c>
      <c r="J268">
        <v>8620</v>
      </c>
      <c r="K268">
        <v>4310</v>
      </c>
      <c r="L268">
        <v>35520</v>
      </c>
      <c r="M268">
        <v>7104</v>
      </c>
      <c r="N268">
        <v>10656</v>
      </c>
      <c r="O268">
        <v>3552</v>
      </c>
      <c r="P268">
        <v>-14208</v>
      </c>
      <c r="Q268">
        <v>-8880</v>
      </c>
      <c r="R268">
        <v>39416</v>
      </c>
      <c r="S268">
        <v>11824</v>
      </c>
      <c r="T268">
        <v>3941</v>
      </c>
      <c r="U268">
        <v>1776</v>
      </c>
      <c r="V268">
        <v>1065</v>
      </c>
      <c r="W268">
        <v>710</v>
      </c>
      <c r="X268">
        <v>3552</v>
      </c>
      <c r="Y268">
        <v>1776</v>
      </c>
      <c r="Z268">
        <v>1970</v>
      </c>
      <c r="AA268">
        <v>1182</v>
      </c>
      <c r="AB268">
        <v>788</v>
      </c>
    </row>
    <row r="269" spans="1:28" x14ac:dyDescent="0.35">
      <c r="A269" t="s">
        <v>314</v>
      </c>
      <c r="B269" t="s">
        <v>9</v>
      </c>
      <c r="C269" t="s">
        <v>1</v>
      </c>
      <c r="D269" t="s">
        <v>10</v>
      </c>
      <c r="E269" t="s">
        <v>11</v>
      </c>
      <c r="F269">
        <v>491171</v>
      </c>
      <c r="G269">
        <v>-156500</v>
      </c>
      <c r="H269">
        <v>222728</v>
      </c>
      <c r="I269">
        <v>491171</v>
      </c>
      <c r="J269">
        <v>49117</v>
      </c>
      <c r="K269">
        <v>24558</v>
      </c>
      <c r="L269">
        <v>368201</v>
      </c>
      <c r="M269">
        <v>73640</v>
      </c>
      <c r="N269">
        <v>110460</v>
      </c>
      <c r="O269">
        <v>36820</v>
      </c>
      <c r="P269">
        <v>-147280</v>
      </c>
      <c r="Q269">
        <v>-92050</v>
      </c>
      <c r="R269">
        <v>333780</v>
      </c>
      <c r="S269">
        <v>100134</v>
      </c>
      <c r="T269">
        <v>33378</v>
      </c>
      <c r="U269">
        <v>18410</v>
      </c>
      <c r="V269">
        <v>11046</v>
      </c>
      <c r="W269">
        <v>7364</v>
      </c>
      <c r="X269">
        <v>36820</v>
      </c>
      <c r="Y269">
        <v>18410</v>
      </c>
      <c r="Z269">
        <v>16689</v>
      </c>
      <c r="AA269">
        <v>10013</v>
      </c>
      <c r="AB269">
        <v>6675</v>
      </c>
    </row>
    <row r="270" spans="1:28" x14ac:dyDescent="0.35">
      <c r="A270" t="s">
        <v>315</v>
      </c>
      <c r="B270" t="s">
        <v>9</v>
      </c>
      <c r="C270" t="s">
        <v>1</v>
      </c>
      <c r="D270" t="s">
        <v>10</v>
      </c>
      <c r="E270" t="s">
        <v>11</v>
      </c>
      <c r="F270">
        <v>55745</v>
      </c>
      <c r="G270">
        <v>-13929</v>
      </c>
      <c r="H270">
        <v>18629</v>
      </c>
      <c r="I270">
        <v>55745</v>
      </c>
      <c r="J270">
        <v>5574</v>
      </c>
      <c r="K270">
        <v>2787</v>
      </c>
      <c r="L270">
        <v>28349</v>
      </c>
      <c r="M270">
        <v>5669</v>
      </c>
      <c r="N270">
        <v>8504</v>
      </c>
      <c r="O270">
        <v>2834</v>
      </c>
      <c r="P270">
        <v>-11339</v>
      </c>
      <c r="Q270">
        <v>-7087</v>
      </c>
      <c r="R270">
        <v>28678</v>
      </c>
      <c r="S270">
        <v>8603</v>
      </c>
      <c r="T270">
        <v>2867</v>
      </c>
      <c r="U270">
        <v>1417</v>
      </c>
      <c r="V270">
        <v>850</v>
      </c>
      <c r="W270">
        <v>566</v>
      </c>
      <c r="X270">
        <v>2834</v>
      </c>
      <c r="Y270">
        <v>1417</v>
      </c>
      <c r="Z270">
        <v>1433</v>
      </c>
      <c r="AA270">
        <v>860</v>
      </c>
      <c r="AB270">
        <v>573</v>
      </c>
    </row>
    <row r="271" spans="1:28" x14ac:dyDescent="0.35">
      <c r="A271" t="s">
        <v>316</v>
      </c>
      <c r="B271" t="s">
        <v>9</v>
      </c>
      <c r="C271" t="s">
        <v>1</v>
      </c>
      <c r="D271" t="s">
        <v>10</v>
      </c>
      <c r="E271" t="s">
        <v>11</v>
      </c>
      <c r="F271">
        <v>373886</v>
      </c>
      <c r="G271">
        <v>-96858</v>
      </c>
      <c r="H271">
        <v>79768</v>
      </c>
      <c r="I271">
        <v>373886</v>
      </c>
      <c r="J271">
        <v>37388</v>
      </c>
      <c r="K271">
        <v>18694</v>
      </c>
      <c r="L271">
        <v>273206</v>
      </c>
      <c r="M271">
        <v>54641</v>
      </c>
      <c r="N271">
        <v>81961</v>
      </c>
      <c r="O271">
        <v>27320</v>
      </c>
      <c r="P271">
        <v>-109282</v>
      </c>
      <c r="Q271">
        <v>-68301</v>
      </c>
      <c r="R271">
        <v>235253</v>
      </c>
      <c r="S271">
        <v>70575</v>
      </c>
      <c r="T271">
        <v>23525</v>
      </c>
      <c r="U271">
        <v>13660</v>
      </c>
      <c r="V271">
        <v>8196</v>
      </c>
      <c r="W271">
        <v>5464</v>
      </c>
      <c r="X271">
        <v>27320</v>
      </c>
      <c r="Y271">
        <v>13660</v>
      </c>
      <c r="Z271">
        <v>11762</v>
      </c>
      <c r="AA271">
        <v>7057</v>
      </c>
      <c r="AB271">
        <v>4705</v>
      </c>
    </row>
    <row r="272" spans="1:28" x14ac:dyDescent="0.35">
      <c r="A272" t="s">
        <v>317</v>
      </c>
      <c r="B272" t="s">
        <v>9</v>
      </c>
      <c r="C272" t="s">
        <v>1</v>
      </c>
      <c r="D272" t="s">
        <v>10</v>
      </c>
      <c r="E272" t="s">
        <v>11</v>
      </c>
      <c r="F272">
        <v>93048</v>
      </c>
      <c r="G272">
        <v>-36933</v>
      </c>
      <c r="H272">
        <v>22145</v>
      </c>
      <c r="I272">
        <v>93048</v>
      </c>
      <c r="J272">
        <v>9304</v>
      </c>
      <c r="K272">
        <v>4652</v>
      </c>
      <c r="L272">
        <v>54387</v>
      </c>
      <c r="M272">
        <v>10877</v>
      </c>
      <c r="N272">
        <v>16316</v>
      </c>
      <c r="O272">
        <v>5438</v>
      </c>
      <c r="P272">
        <v>-21754</v>
      </c>
      <c r="Q272">
        <v>-13596</v>
      </c>
      <c r="R272">
        <v>64801</v>
      </c>
      <c r="S272">
        <v>19440</v>
      </c>
      <c r="T272">
        <v>6480</v>
      </c>
      <c r="U272">
        <v>2719</v>
      </c>
      <c r="V272">
        <v>1631</v>
      </c>
      <c r="W272">
        <v>1087</v>
      </c>
      <c r="X272">
        <v>5438</v>
      </c>
      <c r="Y272">
        <v>2719</v>
      </c>
      <c r="Z272">
        <v>3240</v>
      </c>
      <c r="AA272">
        <v>1944</v>
      </c>
      <c r="AB272">
        <v>1296</v>
      </c>
    </row>
    <row r="273" spans="1:28" x14ac:dyDescent="0.35">
      <c r="A273" t="s">
        <v>318</v>
      </c>
      <c r="B273" t="s">
        <v>9</v>
      </c>
      <c r="C273" t="s">
        <v>1</v>
      </c>
      <c r="D273" t="s">
        <v>10</v>
      </c>
      <c r="E273" t="s">
        <v>11</v>
      </c>
      <c r="F273">
        <v>361764</v>
      </c>
      <c r="G273">
        <v>-127832</v>
      </c>
      <c r="H273">
        <v>48691</v>
      </c>
      <c r="I273">
        <v>361764</v>
      </c>
      <c r="J273">
        <v>36176</v>
      </c>
      <c r="K273">
        <v>18088</v>
      </c>
      <c r="L273">
        <v>288444</v>
      </c>
      <c r="M273">
        <v>57688</v>
      </c>
      <c r="N273">
        <v>86533</v>
      </c>
      <c r="O273">
        <v>28844</v>
      </c>
      <c r="P273">
        <v>-115377</v>
      </c>
      <c r="Q273">
        <v>-72111</v>
      </c>
      <c r="R273">
        <v>321948</v>
      </c>
      <c r="S273">
        <v>96584</v>
      </c>
      <c r="T273">
        <v>32194</v>
      </c>
      <c r="U273">
        <v>14422</v>
      </c>
      <c r="V273">
        <v>8653</v>
      </c>
      <c r="W273">
        <v>5768</v>
      </c>
      <c r="X273">
        <v>28844</v>
      </c>
      <c r="Y273">
        <v>14422</v>
      </c>
      <c r="Z273">
        <v>16097</v>
      </c>
      <c r="AA273">
        <v>9658</v>
      </c>
      <c r="AB273">
        <v>6438</v>
      </c>
    </row>
    <row r="274" spans="1:28" x14ac:dyDescent="0.35">
      <c r="A274" t="s">
        <v>319</v>
      </c>
      <c r="B274" t="s">
        <v>9</v>
      </c>
      <c r="C274" t="s">
        <v>1</v>
      </c>
      <c r="D274" t="s">
        <v>10</v>
      </c>
      <c r="E274" t="s">
        <v>11</v>
      </c>
      <c r="F274">
        <v>178755</v>
      </c>
      <c r="G274">
        <v>-66121</v>
      </c>
      <c r="H274">
        <v>56360</v>
      </c>
      <c r="I274">
        <v>178755</v>
      </c>
      <c r="J274">
        <v>17875</v>
      </c>
      <c r="K274">
        <v>8937</v>
      </c>
      <c r="L274">
        <v>57210</v>
      </c>
      <c r="M274">
        <v>11442</v>
      </c>
      <c r="N274">
        <v>17163</v>
      </c>
      <c r="O274">
        <v>5721</v>
      </c>
      <c r="P274">
        <v>-22884</v>
      </c>
      <c r="Q274">
        <v>-14302</v>
      </c>
      <c r="R274">
        <v>59060</v>
      </c>
      <c r="S274">
        <v>17718</v>
      </c>
      <c r="T274">
        <v>5906</v>
      </c>
      <c r="U274">
        <v>2860</v>
      </c>
      <c r="V274">
        <v>1716</v>
      </c>
      <c r="W274">
        <v>1144</v>
      </c>
      <c r="X274">
        <v>5721</v>
      </c>
      <c r="Y274">
        <v>2860</v>
      </c>
      <c r="Z274">
        <v>2953</v>
      </c>
      <c r="AA274">
        <v>1771</v>
      </c>
      <c r="AB274">
        <v>1181</v>
      </c>
    </row>
    <row r="275" spans="1:28" x14ac:dyDescent="0.35">
      <c r="A275" t="s">
        <v>320</v>
      </c>
      <c r="B275" t="s">
        <v>9</v>
      </c>
      <c r="C275" t="s">
        <v>1</v>
      </c>
      <c r="D275" t="s">
        <v>10</v>
      </c>
      <c r="E275" t="s">
        <v>11</v>
      </c>
      <c r="F275">
        <v>415170</v>
      </c>
      <c r="G275">
        <v>-175338</v>
      </c>
      <c r="H275">
        <v>72497</v>
      </c>
      <c r="I275">
        <v>415170</v>
      </c>
      <c r="J275">
        <v>41517</v>
      </c>
      <c r="K275">
        <v>20758</v>
      </c>
      <c r="L275">
        <v>303767</v>
      </c>
      <c r="M275">
        <v>60753</v>
      </c>
      <c r="N275">
        <v>91130</v>
      </c>
      <c r="O275">
        <v>30376</v>
      </c>
      <c r="P275">
        <v>-121506</v>
      </c>
      <c r="Q275">
        <v>-75941</v>
      </c>
      <c r="R275">
        <v>256461</v>
      </c>
      <c r="S275">
        <v>76938</v>
      </c>
      <c r="T275">
        <v>25646</v>
      </c>
      <c r="U275">
        <v>15188</v>
      </c>
      <c r="V275">
        <v>9113</v>
      </c>
      <c r="W275">
        <v>6075</v>
      </c>
      <c r="X275">
        <v>30376</v>
      </c>
      <c r="Y275">
        <v>15188</v>
      </c>
      <c r="Z275">
        <v>12823</v>
      </c>
      <c r="AA275">
        <v>7693</v>
      </c>
      <c r="AB275">
        <v>5129</v>
      </c>
    </row>
    <row r="276" spans="1:28" x14ac:dyDescent="0.35">
      <c r="A276" t="s">
        <v>321</v>
      </c>
      <c r="B276" t="s">
        <v>9</v>
      </c>
      <c r="C276" t="s">
        <v>1</v>
      </c>
      <c r="D276" t="s">
        <v>10</v>
      </c>
      <c r="E276" t="s">
        <v>11</v>
      </c>
      <c r="F276">
        <v>58069</v>
      </c>
      <c r="G276">
        <v>-19847</v>
      </c>
      <c r="H276">
        <v>25847</v>
      </c>
      <c r="I276">
        <v>58069</v>
      </c>
      <c r="J276">
        <v>5806</v>
      </c>
      <c r="K276">
        <v>2903</v>
      </c>
      <c r="L276">
        <v>42281</v>
      </c>
      <c r="M276">
        <v>8456</v>
      </c>
      <c r="N276">
        <v>12684</v>
      </c>
      <c r="O276">
        <v>4228</v>
      </c>
      <c r="P276">
        <v>-16912</v>
      </c>
      <c r="Q276">
        <v>-10570</v>
      </c>
      <c r="R276">
        <v>41083</v>
      </c>
      <c r="S276">
        <v>12324</v>
      </c>
      <c r="T276">
        <v>4108</v>
      </c>
      <c r="U276">
        <v>2114</v>
      </c>
      <c r="V276">
        <v>1268</v>
      </c>
      <c r="W276">
        <v>845</v>
      </c>
      <c r="X276">
        <v>4228</v>
      </c>
      <c r="Y276">
        <v>2114</v>
      </c>
      <c r="Z276">
        <v>2054</v>
      </c>
      <c r="AA276">
        <v>1232</v>
      </c>
      <c r="AB276">
        <v>821</v>
      </c>
    </row>
    <row r="277" spans="1:28" x14ac:dyDescent="0.35">
      <c r="A277" t="s">
        <v>322</v>
      </c>
      <c r="B277" t="s">
        <v>9</v>
      </c>
      <c r="C277" t="s">
        <v>1</v>
      </c>
      <c r="D277" t="s">
        <v>10</v>
      </c>
      <c r="E277" t="s">
        <v>11</v>
      </c>
      <c r="F277">
        <v>58962</v>
      </c>
      <c r="G277">
        <v>-31373</v>
      </c>
      <c r="H277">
        <v>12108</v>
      </c>
      <c r="I277">
        <v>58962</v>
      </c>
      <c r="J277">
        <v>5896</v>
      </c>
      <c r="K277">
        <v>2948</v>
      </c>
      <c r="L277">
        <v>40182</v>
      </c>
      <c r="M277">
        <v>8036</v>
      </c>
      <c r="N277">
        <v>12054</v>
      </c>
      <c r="O277">
        <v>4018</v>
      </c>
      <c r="P277">
        <v>-16072</v>
      </c>
      <c r="Q277">
        <v>-10045</v>
      </c>
      <c r="R277">
        <v>39846</v>
      </c>
      <c r="S277">
        <v>11953</v>
      </c>
      <c r="T277">
        <v>3984</v>
      </c>
      <c r="U277">
        <v>2009</v>
      </c>
      <c r="V277">
        <v>1205</v>
      </c>
      <c r="W277">
        <v>803</v>
      </c>
      <c r="X277">
        <v>4018</v>
      </c>
      <c r="Y277">
        <v>2009</v>
      </c>
      <c r="Z277">
        <v>1992</v>
      </c>
      <c r="AA277">
        <v>1195</v>
      </c>
      <c r="AB277">
        <v>796</v>
      </c>
    </row>
    <row r="278" spans="1:28" x14ac:dyDescent="0.35">
      <c r="A278" t="s">
        <v>323</v>
      </c>
      <c r="B278" t="s">
        <v>9</v>
      </c>
      <c r="C278" t="s">
        <v>1</v>
      </c>
      <c r="D278" t="s">
        <v>10</v>
      </c>
      <c r="E278" t="s">
        <v>11</v>
      </c>
      <c r="F278">
        <v>497682</v>
      </c>
      <c r="G278">
        <v>-260266</v>
      </c>
      <c r="H278">
        <v>233867</v>
      </c>
      <c r="I278">
        <v>497682</v>
      </c>
      <c r="J278">
        <v>49768</v>
      </c>
      <c r="K278">
        <v>24884</v>
      </c>
      <c r="L278">
        <v>150639</v>
      </c>
      <c r="M278">
        <v>30127</v>
      </c>
      <c r="N278">
        <v>45191</v>
      </c>
      <c r="O278">
        <v>15063</v>
      </c>
      <c r="P278">
        <v>-60255</v>
      </c>
      <c r="Q278">
        <v>-37659</v>
      </c>
      <c r="R278">
        <v>129283</v>
      </c>
      <c r="S278">
        <v>38784</v>
      </c>
      <c r="T278">
        <v>12928</v>
      </c>
      <c r="U278">
        <v>7531</v>
      </c>
      <c r="V278">
        <v>4519</v>
      </c>
      <c r="W278">
        <v>3012</v>
      </c>
      <c r="X278">
        <v>15063</v>
      </c>
      <c r="Y278">
        <v>7531</v>
      </c>
      <c r="Z278">
        <v>6464</v>
      </c>
      <c r="AA278">
        <v>3878</v>
      </c>
      <c r="AB278">
        <v>2585</v>
      </c>
    </row>
    <row r="279" spans="1:28" x14ac:dyDescent="0.35">
      <c r="A279" t="s">
        <v>324</v>
      </c>
      <c r="B279" t="s">
        <v>9</v>
      </c>
      <c r="C279" t="s">
        <v>1</v>
      </c>
      <c r="D279" t="s">
        <v>10</v>
      </c>
      <c r="E279" t="s">
        <v>11</v>
      </c>
      <c r="F279">
        <v>259373</v>
      </c>
      <c r="G279">
        <v>-87852</v>
      </c>
      <c r="H279">
        <v>32719</v>
      </c>
      <c r="I279">
        <v>259373</v>
      </c>
      <c r="J279">
        <v>25937</v>
      </c>
      <c r="K279">
        <v>12968</v>
      </c>
      <c r="L279">
        <v>132092</v>
      </c>
      <c r="M279">
        <v>26418</v>
      </c>
      <c r="N279">
        <v>39627</v>
      </c>
      <c r="O279">
        <v>13209</v>
      </c>
      <c r="P279">
        <v>-52836</v>
      </c>
      <c r="Q279">
        <v>-33023</v>
      </c>
      <c r="R279">
        <v>152426</v>
      </c>
      <c r="S279">
        <v>45727</v>
      </c>
      <c r="T279">
        <v>15242</v>
      </c>
      <c r="U279">
        <v>6604</v>
      </c>
      <c r="V279">
        <v>3962</v>
      </c>
      <c r="W279">
        <v>2641</v>
      </c>
      <c r="X279">
        <v>13209</v>
      </c>
      <c r="Y279">
        <v>6604</v>
      </c>
      <c r="Z279">
        <v>7621</v>
      </c>
      <c r="AA279">
        <v>4572</v>
      </c>
      <c r="AB279">
        <v>3048</v>
      </c>
    </row>
    <row r="280" spans="1:28" x14ac:dyDescent="0.35">
      <c r="A280" t="s">
        <v>325</v>
      </c>
      <c r="B280" t="s">
        <v>9</v>
      </c>
      <c r="C280" t="s">
        <v>1</v>
      </c>
      <c r="D280" t="s">
        <v>10</v>
      </c>
      <c r="E280" t="s">
        <v>11</v>
      </c>
      <c r="F280">
        <v>390398</v>
      </c>
      <c r="G280">
        <v>-84132</v>
      </c>
      <c r="H280">
        <v>119708</v>
      </c>
      <c r="I280">
        <v>390398</v>
      </c>
      <c r="J280">
        <v>39039</v>
      </c>
      <c r="K280">
        <v>19519</v>
      </c>
      <c r="L280">
        <v>116716</v>
      </c>
      <c r="M280">
        <v>23343</v>
      </c>
      <c r="N280">
        <v>35014</v>
      </c>
      <c r="O280">
        <v>11671</v>
      </c>
      <c r="P280">
        <v>-46686</v>
      </c>
      <c r="Q280">
        <v>-29179</v>
      </c>
      <c r="R280">
        <v>134749</v>
      </c>
      <c r="S280">
        <v>40424</v>
      </c>
      <c r="T280">
        <v>13474</v>
      </c>
      <c r="U280">
        <v>5835</v>
      </c>
      <c r="V280">
        <v>3501</v>
      </c>
      <c r="W280">
        <v>2334</v>
      </c>
      <c r="X280">
        <v>11671</v>
      </c>
      <c r="Y280">
        <v>5835</v>
      </c>
      <c r="Z280">
        <v>6737</v>
      </c>
      <c r="AA280">
        <v>4042</v>
      </c>
      <c r="AB280">
        <v>2694</v>
      </c>
    </row>
    <row r="281" spans="1:28" x14ac:dyDescent="0.35">
      <c r="A281" t="s">
        <v>326</v>
      </c>
      <c r="B281" t="s">
        <v>9</v>
      </c>
      <c r="C281" t="s">
        <v>1</v>
      </c>
      <c r="D281" t="s">
        <v>10</v>
      </c>
      <c r="E281" t="s">
        <v>11</v>
      </c>
      <c r="F281">
        <v>329020</v>
      </c>
      <c r="G281">
        <v>-168814</v>
      </c>
      <c r="H281">
        <v>109713</v>
      </c>
      <c r="I281">
        <v>329020</v>
      </c>
      <c r="J281">
        <v>32902</v>
      </c>
      <c r="K281">
        <v>16451</v>
      </c>
      <c r="L281">
        <v>139477</v>
      </c>
      <c r="M281">
        <v>27895</v>
      </c>
      <c r="N281">
        <v>41843</v>
      </c>
      <c r="O281">
        <v>13947</v>
      </c>
      <c r="P281">
        <v>-55790</v>
      </c>
      <c r="Q281">
        <v>-34869</v>
      </c>
      <c r="R281">
        <v>137530</v>
      </c>
      <c r="S281">
        <v>41259</v>
      </c>
      <c r="T281">
        <v>13753</v>
      </c>
      <c r="U281">
        <v>6973</v>
      </c>
      <c r="V281">
        <v>4184</v>
      </c>
      <c r="W281">
        <v>2789</v>
      </c>
      <c r="X281">
        <v>13947</v>
      </c>
      <c r="Y281">
        <v>6973</v>
      </c>
      <c r="Z281">
        <v>6876</v>
      </c>
      <c r="AA281">
        <v>4125</v>
      </c>
      <c r="AB281">
        <v>2750</v>
      </c>
    </row>
    <row r="282" spans="1:28" x14ac:dyDescent="0.35">
      <c r="A282" t="s">
        <v>327</v>
      </c>
      <c r="B282" t="s">
        <v>9</v>
      </c>
      <c r="C282" t="s">
        <v>1</v>
      </c>
      <c r="D282" t="s">
        <v>10</v>
      </c>
      <c r="E282" t="s">
        <v>11</v>
      </c>
      <c r="F282">
        <v>297467</v>
      </c>
      <c r="G282">
        <v>-146064</v>
      </c>
      <c r="H282">
        <v>101441</v>
      </c>
      <c r="I282">
        <v>297467</v>
      </c>
      <c r="J282">
        <v>29746</v>
      </c>
      <c r="K282">
        <v>14873</v>
      </c>
      <c r="L282">
        <v>153053</v>
      </c>
      <c r="M282">
        <v>30610</v>
      </c>
      <c r="N282">
        <v>45915</v>
      </c>
      <c r="O282">
        <v>15305</v>
      </c>
      <c r="P282">
        <v>-61221</v>
      </c>
      <c r="Q282">
        <v>-38263</v>
      </c>
      <c r="R282">
        <v>148110</v>
      </c>
      <c r="S282">
        <v>44433</v>
      </c>
      <c r="T282">
        <v>14811</v>
      </c>
      <c r="U282">
        <v>7652</v>
      </c>
      <c r="V282">
        <v>4591</v>
      </c>
      <c r="W282">
        <v>3061</v>
      </c>
      <c r="X282">
        <v>15305</v>
      </c>
      <c r="Y282">
        <v>7652</v>
      </c>
      <c r="Z282">
        <v>7405</v>
      </c>
      <c r="AA282">
        <v>4443</v>
      </c>
      <c r="AB282">
        <v>2962</v>
      </c>
    </row>
    <row r="283" spans="1:28" x14ac:dyDescent="0.35">
      <c r="A283" t="s">
        <v>328</v>
      </c>
      <c r="B283" t="s">
        <v>9</v>
      </c>
      <c r="C283" t="s">
        <v>1</v>
      </c>
      <c r="D283" t="s">
        <v>10</v>
      </c>
      <c r="E283" t="s">
        <v>11</v>
      </c>
      <c r="F283">
        <v>389527</v>
      </c>
      <c r="G283">
        <v>-226062</v>
      </c>
      <c r="H283">
        <v>50939</v>
      </c>
      <c r="I283">
        <v>389527</v>
      </c>
      <c r="J283">
        <v>38952</v>
      </c>
      <c r="K283">
        <v>19476</v>
      </c>
      <c r="L283">
        <v>221729</v>
      </c>
      <c r="M283">
        <v>44345</v>
      </c>
      <c r="N283">
        <v>66518</v>
      </c>
      <c r="O283">
        <v>22172</v>
      </c>
      <c r="P283">
        <v>-88691</v>
      </c>
      <c r="Q283">
        <v>-55432</v>
      </c>
      <c r="R283">
        <v>255599</v>
      </c>
      <c r="S283">
        <v>76679</v>
      </c>
      <c r="T283">
        <v>25559</v>
      </c>
      <c r="U283">
        <v>11086</v>
      </c>
      <c r="V283">
        <v>6651</v>
      </c>
      <c r="W283">
        <v>4434</v>
      </c>
      <c r="X283">
        <v>22172</v>
      </c>
      <c r="Y283">
        <v>11086</v>
      </c>
      <c r="Z283">
        <v>12779</v>
      </c>
      <c r="AA283">
        <v>7667</v>
      </c>
      <c r="AB283">
        <v>5111</v>
      </c>
    </row>
    <row r="284" spans="1:28" x14ac:dyDescent="0.35">
      <c r="A284" t="s">
        <v>329</v>
      </c>
      <c r="B284" t="s">
        <v>9</v>
      </c>
      <c r="C284" t="s">
        <v>1</v>
      </c>
      <c r="D284" t="s">
        <v>10</v>
      </c>
      <c r="E284" t="s">
        <v>11</v>
      </c>
      <c r="F284">
        <v>394305</v>
      </c>
      <c r="G284">
        <v>-102678</v>
      </c>
      <c r="H284">
        <v>136750</v>
      </c>
      <c r="I284">
        <v>394305</v>
      </c>
      <c r="J284">
        <v>39430</v>
      </c>
      <c r="K284">
        <v>19715</v>
      </c>
      <c r="L284">
        <v>294560</v>
      </c>
      <c r="M284">
        <v>58912</v>
      </c>
      <c r="N284">
        <v>88368</v>
      </c>
      <c r="O284">
        <v>29456</v>
      </c>
      <c r="P284">
        <v>-117824</v>
      </c>
      <c r="Q284">
        <v>-73640</v>
      </c>
      <c r="R284">
        <v>340409</v>
      </c>
      <c r="S284">
        <v>102122</v>
      </c>
      <c r="T284">
        <v>34040</v>
      </c>
      <c r="U284">
        <v>14728</v>
      </c>
      <c r="V284">
        <v>8836</v>
      </c>
      <c r="W284">
        <v>5891</v>
      </c>
      <c r="X284">
        <v>29456</v>
      </c>
      <c r="Y284">
        <v>14728</v>
      </c>
      <c r="Z284">
        <v>17020</v>
      </c>
      <c r="AA284">
        <v>10212</v>
      </c>
      <c r="AB284">
        <v>6808</v>
      </c>
    </row>
    <row r="285" spans="1:28" x14ac:dyDescent="0.35">
      <c r="A285" t="s">
        <v>330</v>
      </c>
      <c r="B285" t="s">
        <v>9</v>
      </c>
      <c r="C285" t="s">
        <v>1</v>
      </c>
      <c r="D285" t="s">
        <v>10</v>
      </c>
      <c r="E285" t="s">
        <v>11</v>
      </c>
      <c r="F285">
        <v>228678</v>
      </c>
      <c r="G285">
        <v>-123926</v>
      </c>
      <c r="H285">
        <v>88949</v>
      </c>
      <c r="I285">
        <v>228678</v>
      </c>
      <c r="J285">
        <v>22867</v>
      </c>
      <c r="K285">
        <v>11433</v>
      </c>
      <c r="L285">
        <v>145837</v>
      </c>
      <c r="M285">
        <v>29167</v>
      </c>
      <c r="N285">
        <v>43751</v>
      </c>
      <c r="O285">
        <v>14583</v>
      </c>
      <c r="P285">
        <v>-58334</v>
      </c>
      <c r="Q285">
        <v>-36459</v>
      </c>
      <c r="R285">
        <v>141573</v>
      </c>
      <c r="S285">
        <v>42471</v>
      </c>
      <c r="T285">
        <v>14157</v>
      </c>
      <c r="U285">
        <v>7291</v>
      </c>
      <c r="V285">
        <v>4375</v>
      </c>
      <c r="W285">
        <v>2916</v>
      </c>
      <c r="X285">
        <v>14583</v>
      </c>
      <c r="Y285">
        <v>7291</v>
      </c>
      <c r="Z285">
        <v>7078</v>
      </c>
      <c r="AA285">
        <v>4247</v>
      </c>
      <c r="AB285">
        <v>2831</v>
      </c>
    </row>
    <row r="286" spans="1:28" x14ac:dyDescent="0.35">
      <c r="A286" t="s">
        <v>331</v>
      </c>
      <c r="B286" t="s">
        <v>9</v>
      </c>
      <c r="C286" t="s">
        <v>1</v>
      </c>
      <c r="D286" t="s">
        <v>10</v>
      </c>
      <c r="E286" t="s">
        <v>11</v>
      </c>
      <c r="F286">
        <v>68936</v>
      </c>
      <c r="G286">
        <v>-17102</v>
      </c>
      <c r="H286">
        <v>30122</v>
      </c>
      <c r="I286">
        <v>68936</v>
      </c>
      <c r="J286">
        <v>6893</v>
      </c>
      <c r="K286">
        <v>3446</v>
      </c>
      <c r="L286">
        <v>39807</v>
      </c>
      <c r="M286">
        <v>7961</v>
      </c>
      <c r="N286">
        <v>11942</v>
      </c>
      <c r="O286">
        <v>3980</v>
      </c>
      <c r="P286">
        <v>-15922</v>
      </c>
      <c r="Q286">
        <v>-9951</v>
      </c>
      <c r="R286">
        <v>39720</v>
      </c>
      <c r="S286">
        <v>11916</v>
      </c>
      <c r="T286">
        <v>3972</v>
      </c>
      <c r="U286">
        <v>1990</v>
      </c>
      <c r="V286">
        <v>1194</v>
      </c>
      <c r="W286">
        <v>796</v>
      </c>
      <c r="X286">
        <v>3980</v>
      </c>
      <c r="Y286">
        <v>1990</v>
      </c>
      <c r="Z286">
        <v>1986</v>
      </c>
      <c r="AA286">
        <v>1191</v>
      </c>
      <c r="AB286">
        <v>794</v>
      </c>
    </row>
    <row r="287" spans="1:28" x14ac:dyDescent="0.35">
      <c r="A287" t="s">
        <v>332</v>
      </c>
      <c r="B287" t="s">
        <v>9</v>
      </c>
      <c r="C287" t="s">
        <v>1</v>
      </c>
      <c r="D287" t="s">
        <v>10</v>
      </c>
      <c r="E287" t="s">
        <v>11</v>
      </c>
      <c r="F287">
        <v>196616</v>
      </c>
      <c r="G287">
        <v>-52281</v>
      </c>
      <c r="H287">
        <v>65610</v>
      </c>
      <c r="I287">
        <v>196616</v>
      </c>
      <c r="J287">
        <v>19661</v>
      </c>
      <c r="K287">
        <v>9830</v>
      </c>
      <c r="L287">
        <v>63284</v>
      </c>
      <c r="M287">
        <v>12656</v>
      </c>
      <c r="N287">
        <v>18985</v>
      </c>
      <c r="O287">
        <v>6328</v>
      </c>
      <c r="P287">
        <v>-25313</v>
      </c>
      <c r="Q287">
        <v>-15821</v>
      </c>
      <c r="R287">
        <v>51517</v>
      </c>
      <c r="S287">
        <v>15455</v>
      </c>
      <c r="T287">
        <v>5151</v>
      </c>
      <c r="U287">
        <v>3164</v>
      </c>
      <c r="V287">
        <v>1898</v>
      </c>
      <c r="W287">
        <v>1265</v>
      </c>
      <c r="X287">
        <v>6328</v>
      </c>
      <c r="Y287">
        <v>3164</v>
      </c>
      <c r="Z287">
        <v>2575</v>
      </c>
      <c r="AA287">
        <v>1545</v>
      </c>
      <c r="AB287">
        <v>1030</v>
      </c>
    </row>
    <row r="288" spans="1:28" x14ac:dyDescent="0.35">
      <c r="A288" t="s">
        <v>333</v>
      </c>
      <c r="B288" t="s">
        <v>9</v>
      </c>
      <c r="C288" t="s">
        <v>1</v>
      </c>
      <c r="D288" t="s">
        <v>10</v>
      </c>
      <c r="E288" t="s">
        <v>11</v>
      </c>
      <c r="F288">
        <v>437191</v>
      </c>
      <c r="G288">
        <v>-162957</v>
      </c>
      <c r="H288">
        <v>67195</v>
      </c>
      <c r="I288">
        <v>437191</v>
      </c>
      <c r="J288">
        <v>43719</v>
      </c>
      <c r="K288">
        <v>21859</v>
      </c>
      <c r="L288">
        <v>293764</v>
      </c>
      <c r="M288">
        <v>58752</v>
      </c>
      <c r="N288">
        <v>88129</v>
      </c>
      <c r="O288">
        <v>29376</v>
      </c>
      <c r="P288">
        <v>-117505</v>
      </c>
      <c r="Q288">
        <v>-73441</v>
      </c>
      <c r="R288">
        <v>264905</v>
      </c>
      <c r="S288">
        <v>79471</v>
      </c>
      <c r="T288">
        <v>26490</v>
      </c>
      <c r="U288">
        <v>14688</v>
      </c>
      <c r="V288">
        <v>8812</v>
      </c>
      <c r="W288">
        <v>5875</v>
      </c>
      <c r="X288">
        <v>29376</v>
      </c>
      <c r="Y288">
        <v>14688</v>
      </c>
      <c r="Z288">
        <v>13245</v>
      </c>
      <c r="AA288">
        <v>7947</v>
      </c>
      <c r="AB288">
        <v>5298</v>
      </c>
    </row>
    <row r="289" spans="1:28" x14ac:dyDescent="0.35">
      <c r="A289" t="s">
        <v>334</v>
      </c>
      <c r="B289" t="s">
        <v>9</v>
      </c>
      <c r="C289" t="s">
        <v>1</v>
      </c>
      <c r="D289" t="s">
        <v>10</v>
      </c>
      <c r="E289" t="s">
        <v>11</v>
      </c>
      <c r="F289">
        <v>383105</v>
      </c>
      <c r="G289">
        <v>-140396</v>
      </c>
      <c r="H289">
        <v>166619</v>
      </c>
      <c r="I289">
        <v>383105</v>
      </c>
      <c r="J289">
        <v>38310</v>
      </c>
      <c r="K289">
        <v>19155</v>
      </c>
      <c r="L289">
        <v>130655</v>
      </c>
      <c r="M289">
        <v>26131</v>
      </c>
      <c r="N289">
        <v>39196</v>
      </c>
      <c r="O289">
        <v>13065</v>
      </c>
      <c r="P289">
        <v>-52262</v>
      </c>
      <c r="Q289">
        <v>-32663</v>
      </c>
      <c r="R289">
        <v>106964</v>
      </c>
      <c r="S289">
        <v>32089</v>
      </c>
      <c r="T289">
        <v>10696</v>
      </c>
      <c r="U289">
        <v>6532</v>
      </c>
      <c r="V289">
        <v>3919</v>
      </c>
      <c r="W289">
        <v>2613</v>
      </c>
      <c r="X289">
        <v>13065</v>
      </c>
      <c r="Y289">
        <v>6532</v>
      </c>
      <c r="Z289">
        <v>5348</v>
      </c>
      <c r="AA289">
        <v>3208</v>
      </c>
      <c r="AB289">
        <v>2139</v>
      </c>
    </row>
    <row r="290" spans="1:28" x14ac:dyDescent="0.35">
      <c r="A290" t="s">
        <v>335</v>
      </c>
      <c r="B290" t="s">
        <v>9</v>
      </c>
      <c r="C290" t="s">
        <v>1</v>
      </c>
      <c r="D290" t="s">
        <v>10</v>
      </c>
      <c r="E290" t="s">
        <v>11</v>
      </c>
      <c r="F290">
        <v>420050</v>
      </c>
      <c r="G290">
        <v>-203139</v>
      </c>
      <c r="H290">
        <v>94889</v>
      </c>
      <c r="I290">
        <v>420050</v>
      </c>
      <c r="J290">
        <v>42005</v>
      </c>
      <c r="K290">
        <v>21002</v>
      </c>
      <c r="L290">
        <v>241632</v>
      </c>
      <c r="M290">
        <v>48326</v>
      </c>
      <c r="N290">
        <v>72489</v>
      </c>
      <c r="O290">
        <v>24163</v>
      </c>
      <c r="P290">
        <v>-96652</v>
      </c>
      <c r="Q290">
        <v>-60408</v>
      </c>
      <c r="R290">
        <v>198252</v>
      </c>
      <c r="S290">
        <v>59475</v>
      </c>
      <c r="T290">
        <v>19825</v>
      </c>
      <c r="U290">
        <v>12081</v>
      </c>
      <c r="V290">
        <v>7248</v>
      </c>
      <c r="W290">
        <v>4832</v>
      </c>
      <c r="X290">
        <v>24163</v>
      </c>
      <c r="Y290">
        <v>12081</v>
      </c>
      <c r="Z290">
        <v>9912</v>
      </c>
      <c r="AA290">
        <v>5947</v>
      </c>
      <c r="AB290">
        <v>3965</v>
      </c>
    </row>
    <row r="291" spans="1:28" x14ac:dyDescent="0.35">
      <c r="A291" t="s">
        <v>336</v>
      </c>
      <c r="B291" t="s">
        <v>9</v>
      </c>
      <c r="C291" t="s">
        <v>1</v>
      </c>
      <c r="D291" t="s">
        <v>10</v>
      </c>
      <c r="E291" t="s">
        <v>11</v>
      </c>
      <c r="F291">
        <v>178540</v>
      </c>
      <c r="G291">
        <v>-42407</v>
      </c>
      <c r="H291">
        <v>76019</v>
      </c>
      <c r="I291">
        <v>178540</v>
      </c>
      <c r="J291">
        <v>17854</v>
      </c>
      <c r="K291">
        <v>8927</v>
      </c>
      <c r="L291">
        <v>93766</v>
      </c>
      <c r="M291">
        <v>18753</v>
      </c>
      <c r="N291">
        <v>28129</v>
      </c>
      <c r="O291">
        <v>9376</v>
      </c>
      <c r="P291">
        <v>-37506</v>
      </c>
      <c r="Q291">
        <v>-23441</v>
      </c>
      <c r="R291">
        <v>81684</v>
      </c>
      <c r="S291">
        <v>24505</v>
      </c>
      <c r="T291">
        <v>8168</v>
      </c>
      <c r="U291">
        <v>4688</v>
      </c>
      <c r="V291">
        <v>2812</v>
      </c>
      <c r="W291">
        <v>1875</v>
      </c>
      <c r="X291">
        <v>9376</v>
      </c>
      <c r="Y291">
        <v>4688</v>
      </c>
      <c r="Z291">
        <v>4084</v>
      </c>
      <c r="AA291">
        <v>2450</v>
      </c>
      <c r="AB291">
        <v>1633</v>
      </c>
    </row>
    <row r="292" spans="1:28" x14ac:dyDescent="0.35">
      <c r="A292" t="s">
        <v>337</v>
      </c>
      <c r="B292" t="s">
        <v>9</v>
      </c>
      <c r="C292" t="s">
        <v>1</v>
      </c>
      <c r="D292" t="s">
        <v>10</v>
      </c>
      <c r="E292" t="s">
        <v>11</v>
      </c>
      <c r="F292">
        <v>454869</v>
      </c>
      <c r="G292">
        <v>-106587</v>
      </c>
      <c r="H292">
        <v>119985</v>
      </c>
      <c r="I292">
        <v>454869</v>
      </c>
      <c r="J292">
        <v>45486</v>
      </c>
      <c r="K292">
        <v>22743</v>
      </c>
      <c r="L292">
        <v>292974</v>
      </c>
      <c r="M292">
        <v>58594</v>
      </c>
      <c r="N292">
        <v>87892</v>
      </c>
      <c r="O292">
        <v>29297</v>
      </c>
      <c r="P292">
        <v>-117189</v>
      </c>
      <c r="Q292">
        <v>-73243</v>
      </c>
      <c r="R292">
        <v>312182</v>
      </c>
      <c r="S292">
        <v>93654</v>
      </c>
      <c r="T292">
        <v>31218</v>
      </c>
      <c r="U292">
        <v>14648</v>
      </c>
      <c r="V292">
        <v>8789</v>
      </c>
      <c r="W292">
        <v>5859</v>
      </c>
      <c r="X292">
        <v>29297</v>
      </c>
      <c r="Y292">
        <v>14648</v>
      </c>
      <c r="Z292">
        <v>15609</v>
      </c>
      <c r="AA292">
        <v>9365</v>
      </c>
      <c r="AB292">
        <v>6243</v>
      </c>
    </row>
    <row r="293" spans="1:28" x14ac:dyDescent="0.35">
      <c r="A293" t="s">
        <v>338</v>
      </c>
      <c r="B293" t="s">
        <v>9</v>
      </c>
      <c r="C293" t="s">
        <v>1</v>
      </c>
      <c r="D293" t="s">
        <v>10</v>
      </c>
      <c r="E293" t="s">
        <v>11</v>
      </c>
      <c r="F293">
        <v>259279</v>
      </c>
      <c r="G293">
        <v>-76374</v>
      </c>
      <c r="H293">
        <v>79849</v>
      </c>
      <c r="I293">
        <v>259279</v>
      </c>
      <c r="J293">
        <v>25927</v>
      </c>
      <c r="K293">
        <v>12963</v>
      </c>
      <c r="L293">
        <v>131302</v>
      </c>
      <c r="M293">
        <v>26260</v>
      </c>
      <c r="N293">
        <v>39390</v>
      </c>
      <c r="O293">
        <v>13130</v>
      </c>
      <c r="P293">
        <v>-52520</v>
      </c>
      <c r="Q293">
        <v>-32825</v>
      </c>
      <c r="R293">
        <v>139567</v>
      </c>
      <c r="S293">
        <v>41870</v>
      </c>
      <c r="T293">
        <v>13956</v>
      </c>
      <c r="U293">
        <v>6565</v>
      </c>
      <c r="V293">
        <v>3939</v>
      </c>
      <c r="W293">
        <v>2626</v>
      </c>
      <c r="X293">
        <v>13130</v>
      </c>
      <c r="Y293">
        <v>6565</v>
      </c>
      <c r="Z293">
        <v>6978</v>
      </c>
      <c r="AA293">
        <v>4187</v>
      </c>
      <c r="AB293">
        <v>2791</v>
      </c>
    </row>
    <row r="294" spans="1:28" x14ac:dyDescent="0.35">
      <c r="A294" t="s">
        <v>339</v>
      </c>
      <c r="B294" t="s">
        <v>9</v>
      </c>
      <c r="C294" t="s">
        <v>1</v>
      </c>
      <c r="D294" t="s">
        <v>10</v>
      </c>
      <c r="E294" t="s">
        <v>11</v>
      </c>
      <c r="F294">
        <v>459246</v>
      </c>
      <c r="G294">
        <v>-228576</v>
      </c>
      <c r="H294">
        <v>128027</v>
      </c>
      <c r="I294">
        <v>459246</v>
      </c>
      <c r="J294">
        <v>45924</v>
      </c>
      <c r="K294">
        <v>22962</v>
      </c>
      <c r="L294">
        <v>184707</v>
      </c>
      <c r="M294">
        <v>36941</v>
      </c>
      <c r="N294">
        <v>55412</v>
      </c>
      <c r="O294">
        <v>18470</v>
      </c>
      <c r="P294">
        <v>-73882</v>
      </c>
      <c r="Q294">
        <v>-46176</v>
      </c>
      <c r="R294">
        <v>154336</v>
      </c>
      <c r="S294">
        <v>46300</v>
      </c>
      <c r="T294">
        <v>15433</v>
      </c>
      <c r="U294">
        <v>9235</v>
      </c>
      <c r="V294">
        <v>5541</v>
      </c>
      <c r="W294">
        <v>3694</v>
      </c>
      <c r="X294">
        <v>18470</v>
      </c>
      <c r="Y294">
        <v>9235</v>
      </c>
      <c r="Z294">
        <v>7716</v>
      </c>
      <c r="AA294">
        <v>4630</v>
      </c>
      <c r="AB294">
        <v>3086</v>
      </c>
    </row>
    <row r="295" spans="1:28" x14ac:dyDescent="0.35">
      <c r="A295" t="s">
        <v>340</v>
      </c>
      <c r="B295" t="s">
        <v>9</v>
      </c>
      <c r="C295" t="s">
        <v>1</v>
      </c>
      <c r="D295" t="s">
        <v>10</v>
      </c>
      <c r="E295" t="s">
        <v>11</v>
      </c>
      <c r="F295">
        <v>114578</v>
      </c>
      <c r="G295">
        <v>-49525</v>
      </c>
      <c r="H295">
        <v>53664</v>
      </c>
      <c r="I295">
        <v>114578</v>
      </c>
      <c r="J295">
        <v>11457</v>
      </c>
      <c r="K295">
        <v>5728</v>
      </c>
      <c r="L295">
        <v>30587</v>
      </c>
      <c r="M295">
        <v>6117</v>
      </c>
      <c r="N295">
        <v>9176</v>
      </c>
      <c r="O295">
        <v>3058</v>
      </c>
      <c r="P295">
        <v>-12234</v>
      </c>
      <c r="Q295">
        <v>-7646</v>
      </c>
      <c r="R295">
        <v>30766</v>
      </c>
      <c r="S295">
        <v>9229</v>
      </c>
      <c r="T295">
        <v>3076</v>
      </c>
      <c r="U295">
        <v>1529</v>
      </c>
      <c r="V295">
        <v>917</v>
      </c>
      <c r="W295">
        <v>611</v>
      </c>
      <c r="X295">
        <v>3058</v>
      </c>
      <c r="Y295">
        <v>1529</v>
      </c>
      <c r="Z295">
        <v>1538</v>
      </c>
      <c r="AA295">
        <v>922</v>
      </c>
      <c r="AB295">
        <v>615</v>
      </c>
    </row>
    <row r="296" spans="1:28" x14ac:dyDescent="0.35">
      <c r="A296" t="s">
        <v>341</v>
      </c>
      <c r="B296" t="s">
        <v>9</v>
      </c>
      <c r="C296" t="s">
        <v>1</v>
      </c>
      <c r="D296" t="s">
        <v>10</v>
      </c>
      <c r="E296" t="s">
        <v>11</v>
      </c>
      <c r="F296">
        <v>152981</v>
      </c>
      <c r="G296">
        <v>-71108</v>
      </c>
      <c r="H296">
        <v>48692</v>
      </c>
      <c r="I296">
        <v>152981</v>
      </c>
      <c r="J296">
        <v>15298</v>
      </c>
      <c r="K296">
        <v>7649</v>
      </c>
      <c r="L296">
        <v>80009</v>
      </c>
      <c r="M296">
        <v>16001</v>
      </c>
      <c r="N296">
        <v>24002</v>
      </c>
      <c r="O296">
        <v>8000</v>
      </c>
      <c r="P296">
        <v>-32003</v>
      </c>
      <c r="Q296">
        <v>-20002</v>
      </c>
      <c r="R296">
        <v>88730</v>
      </c>
      <c r="S296">
        <v>26619</v>
      </c>
      <c r="T296">
        <v>8873</v>
      </c>
      <c r="U296">
        <v>4000</v>
      </c>
      <c r="V296">
        <v>2400</v>
      </c>
      <c r="W296">
        <v>1600</v>
      </c>
      <c r="X296">
        <v>8000</v>
      </c>
      <c r="Y296">
        <v>4000</v>
      </c>
      <c r="Z296">
        <v>4436</v>
      </c>
      <c r="AA296">
        <v>2661</v>
      </c>
      <c r="AB296">
        <v>1774</v>
      </c>
    </row>
    <row r="297" spans="1:28" x14ac:dyDescent="0.35">
      <c r="A297" t="s">
        <v>342</v>
      </c>
      <c r="B297" t="s">
        <v>9</v>
      </c>
      <c r="C297" t="s">
        <v>1</v>
      </c>
      <c r="D297" t="s">
        <v>10</v>
      </c>
      <c r="E297" t="s">
        <v>11</v>
      </c>
      <c r="F297">
        <v>341036</v>
      </c>
      <c r="G297">
        <v>-163332</v>
      </c>
      <c r="H297">
        <v>88653</v>
      </c>
      <c r="I297">
        <v>341036</v>
      </c>
      <c r="J297">
        <v>34103</v>
      </c>
      <c r="K297">
        <v>17051</v>
      </c>
      <c r="L297">
        <v>181220</v>
      </c>
      <c r="M297">
        <v>36244</v>
      </c>
      <c r="N297">
        <v>54366</v>
      </c>
      <c r="O297">
        <v>18122</v>
      </c>
      <c r="P297">
        <v>-72488</v>
      </c>
      <c r="Q297">
        <v>-45305</v>
      </c>
      <c r="R297">
        <v>176172</v>
      </c>
      <c r="S297">
        <v>52851</v>
      </c>
      <c r="T297">
        <v>17617</v>
      </c>
      <c r="U297">
        <v>9061</v>
      </c>
      <c r="V297">
        <v>5436</v>
      </c>
      <c r="W297">
        <v>3624</v>
      </c>
      <c r="X297">
        <v>18122</v>
      </c>
      <c r="Y297">
        <v>9061</v>
      </c>
      <c r="Z297">
        <v>8808</v>
      </c>
      <c r="AA297">
        <v>5285</v>
      </c>
      <c r="AB297">
        <v>3523</v>
      </c>
    </row>
    <row r="298" spans="1:28" x14ac:dyDescent="0.35">
      <c r="A298" t="s">
        <v>343</v>
      </c>
      <c r="B298" t="s">
        <v>9</v>
      </c>
      <c r="C298" t="s">
        <v>1</v>
      </c>
      <c r="D298" t="s">
        <v>10</v>
      </c>
      <c r="E298" t="s">
        <v>11</v>
      </c>
      <c r="F298">
        <v>436931</v>
      </c>
      <c r="G298">
        <v>-209481</v>
      </c>
      <c r="H298">
        <v>93655</v>
      </c>
      <c r="I298">
        <v>436931</v>
      </c>
      <c r="J298">
        <v>43693</v>
      </c>
      <c r="K298">
        <v>21846</v>
      </c>
      <c r="L298">
        <v>256535</v>
      </c>
      <c r="M298">
        <v>51307</v>
      </c>
      <c r="N298">
        <v>76960</v>
      </c>
      <c r="O298">
        <v>25653</v>
      </c>
      <c r="P298">
        <v>-102614</v>
      </c>
      <c r="Q298">
        <v>-64133</v>
      </c>
      <c r="R298">
        <v>242304</v>
      </c>
      <c r="S298">
        <v>72691</v>
      </c>
      <c r="T298">
        <v>24230</v>
      </c>
      <c r="U298">
        <v>12826</v>
      </c>
      <c r="V298">
        <v>7696</v>
      </c>
      <c r="W298">
        <v>5130</v>
      </c>
      <c r="X298">
        <v>25653</v>
      </c>
      <c r="Y298">
        <v>12826</v>
      </c>
      <c r="Z298">
        <v>12115</v>
      </c>
      <c r="AA298">
        <v>7269</v>
      </c>
      <c r="AB298">
        <v>4846</v>
      </c>
    </row>
    <row r="299" spans="1:28" x14ac:dyDescent="0.35">
      <c r="A299" t="s">
        <v>344</v>
      </c>
      <c r="B299" t="s">
        <v>9</v>
      </c>
      <c r="C299" t="s">
        <v>1</v>
      </c>
      <c r="D299" t="s">
        <v>10</v>
      </c>
      <c r="E299" t="s">
        <v>11</v>
      </c>
      <c r="F299">
        <v>276585</v>
      </c>
      <c r="G299">
        <v>-159054</v>
      </c>
      <c r="H299">
        <v>124382</v>
      </c>
      <c r="I299">
        <v>276585</v>
      </c>
      <c r="J299">
        <v>27658</v>
      </c>
      <c r="K299">
        <v>13829</v>
      </c>
      <c r="L299">
        <v>156730</v>
      </c>
      <c r="M299">
        <v>31346</v>
      </c>
      <c r="N299">
        <v>47019</v>
      </c>
      <c r="O299">
        <v>15673</v>
      </c>
      <c r="P299">
        <v>-62692</v>
      </c>
      <c r="Q299">
        <v>-39182</v>
      </c>
      <c r="R299">
        <v>187308</v>
      </c>
      <c r="S299">
        <v>56192</v>
      </c>
      <c r="T299">
        <v>18730</v>
      </c>
      <c r="U299">
        <v>7836</v>
      </c>
      <c r="V299">
        <v>4701</v>
      </c>
      <c r="W299">
        <v>3134</v>
      </c>
      <c r="X299">
        <v>15673</v>
      </c>
      <c r="Y299">
        <v>7836</v>
      </c>
      <c r="Z299">
        <v>9365</v>
      </c>
      <c r="AA299">
        <v>5619</v>
      </c>
      <c r="AB299">
        <v>3746</v>
      </c>
    </row>
    <row r="300" spans="1:28" x14ac:dyDescent="0.35">
      <c r="A300" t="s">
        <v>345</v>
      </c>
      <c r="B300" t="s">
        <v>9</v>
      </c>
      <c r="C300" t="s">
        <v>1</v>
      </c>
      <c r="D300" t="s">
        <v>10</v>
      </c>
      <c r="E300" t="s">
        <v>11</v>
      </c>
      <c r="F300">
        <v>151742</v>
      </c>
      <c r="G300">
        <v>-32297</v>
      </c>
      <c r="H300">
        <v>59047</v>
      </c>
      <c r="I300">
        <v>151742</v>
      </c>
      <c r="J300">
        <v>15174</v>
      </c>
      <c r="K300">
        <v>7587</v>
      </c>
      <c r="L300">
        <v>87845</v>
      </c>
      <c r="M300">
        <v>17569</v>
      </c>
      <c r="N300">
        <v>26353</v>
      </c>
      <c r="O300">
        <v>8784</v>
      </c>
      <c r="P300">
        <v>-35138</v>
      </c>
      <c r="Q300">
        <v>-21961</v>
      </c>
      <c r="R300">
        <v>99154</v>
      </c>
      <c r="S300">
        <v>29746</v>
      </c>
      <c r="T300">
        <v>9915</v>
      </c>
      <c r="U300">
        <v>4392</v>
      </c>
      <c r="V300">
        <v>2635</v>
      </c>
      <c r="W300">
        <v>1756</v>
      </c>
      <c r="X300">
        <v>8784</v>
      </c>
      <c r="Y300">
        <v>4392</v>
      </c>
      <c r="Z300">
        <v>4957</v>
      </c>
      <c r="AA300">
        <v>2974</v>
      </c>
      <c r="AB300">
        <v>1983</v>
      </c>
    </row>
    <row r="301" spans="1:28" x14ac:dyDescent="0.35">
      <c r="A301" t="s">
        <v>346</v>
      </c>
      <c r="B301" t="s">
        <v>9</v>
      </c>
      <c r="C301" t="s">
        <v>1</v>
      </c>
      <c r="D301" t="s">
        <v>10</v>
      </c>
      <c r="E301" t="s">
        <v>11</v>
      </c>
      <c r="F301">
        <v>481023</v>
      </c>
      <c r="G301">
        <v>-134877</v>
      </c>
      <c r="H301">
        <v>66883</v>
      </c>
      <c r="I301">
        <v>481023</v>
      </c>
      <c r="J301">
        <v>48102</v>
      </c>
      <c r="K301">
        <v>24051</v>
      </c>
      <c r="L301">
        <v>105258</v>
      </c>
      <c r="M301">
        <v>21051</v>
      </c>
      <c r="N301">
        <v>31577</v>
      </c>
      <c r="O301">
        <v>10525</v>
      </c>
      <c r="P301">
        <v>-42103</v>
      </c>
      <c r="Q301">
        <v>-26314</v>
      </c>
      <c r="R301">
        <v>117225</v>
      </c>
      <c r="S301">
        <v>35167</v>
      </c>
      <c r="T301">
        <v>11722</v>
      </c>
      <c r="U301">
        <v>5262</v>
      </c>
      <c r="V301">
        <v>3157</v>
      </c>
      <c r="W301">
        <v>2105</v>
      </c>
      <c r="X301">
        <v>10525</v>
      </c>
      <c r="Y301">
        <v>5262</v>
      </c>
      <c r="Z301">
        <v>5861</v>
      </c>
      <c r="AA301">
        <v>3516</v>
      </c>
      <c r="AB301">
        <v>2344</v>
      </c>
    </row>
    <row r="302" spans="1:28" x14ac:dyDescent="0.35">
      <c r="A302" t="s">
        <v>347</v>
      </c>
      <c r="B302" t="s">
        <v>9</v>
      </c>
      <c r="C302" t="s">
        <v>1</v>
      </c>
      <c r="D302" t="s">
        <v>10</v>
      </c>
      <c r="E302" t="s">
        <v>11</v>
      </c>
      <c r="F302">
        <v>130521</v>
      </c>
      <c r="G302">
        <v>-50071</v>
      </c>
      <c r="H302">
        <v>61084</v>
      </c>
      <c r="I302">
        <v>130521</v>
      </c>
      <c r="J302">
        <v>13052</v>
      </c>
      <c r="K302">
        <v>6526</v>
      </c>
      <c r="L302">
        <v>49754</v>
      </c>
      <c r="M302">
        <v>9950</v>
      </c>
      <c r="N302">
        <v>14926</v>
      </c>
      <c r="O302">
        <v>4975</v>
      </c>
      <c r="P302">
        <v>-19901</v>
      </c>
      <c r="Q302">
        <v>-12438</v>
      </c>
      <c r="R302">
        <v>55323</v>
      </c>
      <c r="S302">
        <v>16596</v>
      </c>
      <c r="T302">
        <v>5532</v>
      </c>
      <c r="U302">
        <v>2487</v>
      </c>
      <c r="V302">
        <v>1492</v>
      </c>
      <c r="W302">
        <v>995</v>
      </c>
      <c r="X302">
        <v>4975</v>
      </c>
      <c r="Y302">
        <v>2487</v>
      </c>
      <c r="Z302">
        <v>2766</v>
      </c>
      <c r="AA302">
        <v>1659</v>
      </c>
      <c r="AB302">
        <v>1106</v>
      </c>
    </row>
    <row r="303" spans="1:28" x14ac:dyDescent="0.35">
      <c r="A303" t="s">
        <v>348</v>
      </c>
      <c r="B303" t="s">
        <v>9</v>
      </c>
      <c r="C303" t="s">
        <v>1</v>
      </c>
      <c r="D303" t="s">
        <v>10</v>
      </c>
      <c r="E303" t="s">
        <v>11</v>
      </c>
      <c r="F303">
        <v>138716</v>
      </c>
      <c r="G303">
        <v>-50540</v>
      </c>
      <c r="H303">
        <v>46242</v>
      </c>
      <c r="I303">
        <v>138716</v>
      </c>
      <c r="J303">
        <v>13871</v>
      </c>
      <c r="K303">
        <v>6935</v>
      </c>
      <c r="L303">
        <v>74531</v>
      </c>
      <c r="M303">
        <v>14906</v>
      </c>
      <c r="N303">
        <v>22359</v>
      </c>
      <c r="O303">
        <v>7453</v>
      </c>
      <c r="P303">
        <v>-29812</v>
      </c>
      <c r="Q303">
        <v>-18632</v>
      </c>
      <c r="R303">
        <v>86095</v>
      </c>
      <c r="S303">
        <v>25828</v>
      </c>
      <c r="T303">
        <v>8609</v>
      </c>
      <c r="U303">
        <v>3726</v>
      </c>
      <c r="V303">
        <v>2235</v>
      </c>
      <c r="W303">
        <v>1490</v>
      </c>
      <c r="X303">
        <v>7453</v>
      </c>
      <c r="Y303">
        <v>3726</v>
      </c>
      <c r="Z303">
        <v>4304</v>
      </c>
      <c r="AA303">
        <v>2582</v>
      </c>
      <c r="AB303">
        <v>1721</v>
      </c>
    </row>
    <row r="304" spans="1:28" x14ac:dyDescent="0.35">
      <c r="A304" t="s">
        <v>349</v>
      </c>
      <c r="B304" t="s">
        <v>9</v>
      </c>
      <c r="C304" t="s">
        <v>1</v>
      </c>
      <c r="D304" t="s">
        <v>10</v>
      </c>
      <c r="E304" t="s">
        <v>11</v>
      </c>
      <c r="F304">
        <v>59658</v>
      </c>
      <c r="G304">
        <v>-16749</v>
      </c>
      <c r="H304">
        <v>13623</v>
      </c>
      <c r="I304">
        <v>59658</v>
      </c>
      <c r="J304">
        <v>5965</v>
      </c>
      <c r="K304">
        <v>2982</v>
      </c>
      <c r="L304">
        <v>34343</v>
      </c>
      <c r="M304">
        <v>6868</v>
      </c>
      <c r="N304">
        <v>10302</v>
      </c>
      <c r="O304">
        <v>3434</v>
      </c>
      <c r="P304">
        <v>-13737</v>
      </c>
      <c r="Q304">
        <v>-8585</v>
      </c>
      <c r="R304">
        <v>33818</v>
      </c>
      <c r="S304">
        <v>10145</v>
      </c>
      <c r="T304">
        <v>3381</v>
      </c>
      <c r="U304">
        <v>1717</v>
      </c>
      <c r="V304">
        <v>1030</v>
      </c>
      <c r="W304">
        <v>686</v>
      </c>
      <c r="X304">
        <v>3434</v>
      </c>
      <c r="Y304">
        <v>1717</v>
      </c>
      <c r="Z304">
        <v>1690</v>
      </c>
      <c r="AA304">
        <v>1014</v>
      </c>
      <c r="AB304">
        <v>676</v>
      </c>
    </row>
    <row r="305" spans="1:28" x14ac:dyDescent="0.35">
      <c r="A305" t="s">
        <v>350</v>
      </c>
      <c r="B305" t="s">
        <v>9</v>
      </c>
      <c r="C305" t="s">
        <v>1</v>
      </c>
      <c r="D305" t="s">
        <v>10</v>
      </c>
      <c r="E305" t="s">
        <v>11</v>
      </c>
      <c r="F305">
        <v>357830</v>
      </c>
      <c r="G305">
        <v>-202241</v>
      </c>
      <c r="H305">
        <v>149978</v>
      </c>
      <c r="I305">
        <v>357830</v>
      </c>
      <c r="J305">
        <v>35783</v>
      </c>
      <c r="K305">
        <v>17891</v>
      </c>
      <c r="L305">
        <v>85344</v>
      </c>
      <c r="M305">
        <v>17068</v>
      </c>
      <c r="N305">
        <v>25603</v>
      </c>
      <c r="O305">
        <v>8534</v>
      </c>
      <c r="P305">
        <v>-34137</v>
      </c>
      <c r="Q305">
        <v>-21336</v>
      </c>
      <c r="R305">
        <v>97262</v>
      </c>
      <c r="S305">
        <v>29178</v>
      </c>
      <c r="T305">
        <v>9726</v>
      </c>
      <c r="U305">
        <v>4267</v>
      </c>
      <c r="V305">
        <v>2560</v>
      </c>
      <c r="W305">
        <v>1706</v>
      </c>
      <c r="X305">
        <v>8534</v>
      </c>
      <c r="Y305">
        <v>4267</v>
      </c>
      <c r="Z305">
        <v>4863</v>
      </c>
      <c r="AA305">
        <v>2917</v>
      </c>
      <c r="AB305">
        <v>1945</v>
      </c>
    </row>
    <row r="306" spans="1:28" x14ac:dyDescent="0.35">
      <c r="A306" t="s">
        <v>351</v>
      </c>
      <c r="B306" t="s">
        <v>9</v>
      </c>
      <c r="C306" t="s">
        <v>1</v>
      </c>
      <c r="D306" t="s">
        <v>10</v>
      </c>
      <c r="E306" t="s">
        <v>11</v>
      </c>
      <c r="F306">
        <v>479823</v>
      </c>
      <c r="G306">
        <v>-164929</v>
      </c>
      <c r="H306">
        <v>192287</v>
      </c>
      <c r="I306">
        <v>479823</v>
      </c>
      <c r="J306">
        <v>47982</v>
      </c>
      <c r="K306">
        <v>23991</v>
      </c>
      <c r="L306">
        <v>151076</v>
      </c>
      <c r="M306">
        <v>30215</v>
      </c>
      <c r="N306">
        <v>45322</v>
      </c>
      <c r="O306">
        <v>15107</v>
      </c>
      <c r="P306">
        <v>-60430</v>
      </c>
      <c r="Q306">
        <v>-37769</v>
      </c>
      <c r="R306">
        <v>143664</v>
      </c>
      <c r="S306">
        <v>43099</v>
      </c>
      <c r="T306">
        <v>14366</v>
      </c>
      <c r="U306">
        <v>7553</v>
      </c>
      <c r="V306">
        <v>4532</v>
      </c>
      <c r="W306">
        <v>3021</v>
      </c>
      <c r="X306">
        <v>15107</v>
      </c>
      <c r="Y306">
        <v>7553</v>
      </c>
      <c r="Z306">
        <v>7183</v>
      </c>
      <c r="AA306">
        <v>4309</v>
      </c>
      <c r="AB306">
        <v>2873</v>
      </c>
    </row>
    <row r="307" spans="1:28" x14ac:dyDescent="0.35">
      <c r="A307" t="s">
        <v>352</v>
      </c>
      <c r="B307" t="s">
        <v>9</v>
      </c>
      <c r="C307" t="s">
        <v>1</v>
      </c>
      <c r="D307" t="s">
        <v>10</v>
      </c>
      <c r="E307" t="s">
        <v>11</v>
      </c>
      <c r="F307">
        <v>444853</v>
      </c>
      <c r="G307">
        <v>-207648</v>
      </c>
      <c r="H307">
        <v>61805</v>
      </c>
      <c r="I307">
        <v>444853</v>
      </c>
      <c r="J307">
        <v>44485</v>
      </c>
      <c r="K307">
        <v>22242</v>
      </c>
      <c r="L307">
        <v>352330</v>
      </c>
      <c r="M307">
        <v>70466</v>
      </c>
      <c r="N307">
        <v>105699</v>
      </c>
      <c r="O307">
        <v>35233</v>
      </c>
      <c r="P307">
        <v>-140932</v>
      </c>
      <c r="Q307">
        <v>-88082</v>
      </c>
      <c r="R307">
        <v>374388</v>
      </c>
      <c r="S307">
        <v>112316</v>
      </c>
      <c r="T307">
        <v>37438</v>
      </c>
      <c r="U307">
        <v>17616</v>
      </c>
      <c r="V307">
        <v>10569</v>
      </c>
      <c r="W307">
        <v>7046</v>
      </c>
      <c r="X307">
        <v>35233</v>
      </c>
      <c r="Y307">
        <v>17616</v>
      </c>
      <c r="Z307">
        <v>18719</v>
      </c>
      <c r="AA307">
        <v>11231</v>
      </c>
      <c r="AB307">
        <v>7487</v>
      </c>
    </row>
    <row r="308" spans="1:28" x14ac:dyDescent="0.35">
      <c r="A308" t="s">
        <v>353</v>
      </c>
      <c r="B308" t="s">
        <v>9</v>
      </c>
      <c r="C308" t="s">
        <v>1</v>
      </c>
      <c r="D308" t="s">
        <v>10</v>
      </c>
      <c r="E308" t="s">
        <v>11</v>
      </c>
      <c r="F308">
        <v>383789</v>
      </c>
      <c r="G308">
        <v>-134284</v>
      </c>
      <c r="H308">
        <v>74128</v>
      </c>
      <c r="I308">
        <v>383789</v>
      </c>
      <c r="J308">
        <v>38378</v>
      </c>
      <c r="K308">
        <v>19189</v>
      </c>
      <c r="L308">
        <v>273508</v>
      </c>
      <c r="M308">
        <v>54701</v>
      </c>
      <c r="N308">
        <v>82052</v>
      </c>
      <c r="O308">
        <v>27350</v>
      </c>
      <c r="P308">
        <v>-109403</v>
      </c>
      <c r="Q308">
        <v>-68377</v>
      </c>
      <c r="R308">
        <v>276593</v>
      </c>
      <c r="S308">
        <v>82977</v>
      </c>
      <c r="T308">
        <v>27659</v>
      </c>
      <c r="U308">
        <v>13675</v>
      </c>
      <c r="V308">
        <v>8205</v>
      </c>
      <c r="W308">
        <v>5470</v>
      </c>
      <c r="X308">
        <v>27350</v>
      </c>
      <c r="Y308">
        <v>13675</v>
      </c>
      <c r="Z308">
        <v>13829</v>
      </c>
      <c r="AA308">
        <v>8297</v>
      </c>
      <c r="AB308">
        <v>5531</v>
      </c>
    </row>
    <row r="309" spans="1:28" x14ac:dyDescent="0.35">
      <c r="A309" t="s">
        <v>354</v>
      </c>
      <c r="B309" t="s">
        <v>9</v>
      </c>
      <c r="C309" t="s">
        <v>1</v>
      </c>
      <c r="D309" t="s">
        <v>10</v>
      </c>
      <c r="E309" t="s">
        <v>11</v>
      </c>
      <c r="F309">
        <v>107293</v>
      </c>
      <c r="G309">
        <v>-31329</v>
      </c>
      <c r="H309">
        <v>35842</v>
      </c>
      <c r="I309">
        <v>107293</v>
      </c>
      <c r="J309">
        <v>10729</v>
      </c>
      <c r="K309">
        <v>5364</v>
      </c>
      <c r="L309">
        <v>74235</v>
      </c>
      <c r="M309">
        <v>14847</v>
      </c>
      <c r="N309">
        <v>22270</v>
      </c>
      <c r="O309">
        <v>7423</v>
      </c>
      <c r="P309">
        <v>-29694</v>
      </c>
      <c r="Q309">
        <v>-18558</v>
      </c>
      <c r="R309">
        <v>60438</v>
      </c>
      <c r="S309">
        <v>18131</v>
      </c>
      <c r="T309">
        <v>6043</v>
      </c>
      <c r="U309">
        <v>3711</v>
      </c>
      <c r="V309">
        <v>2227</v>
      </c>
      <c r="W309">
        <v>1484</v>
      </c>
      <c r="X309">
        <v>7423</v>
      </c>
      <c r="Y309">
        <v>3711</v>
      </c>
      <c r="Z309">
        <v>3021</v>
      </c>
      <c r="AA309">
        <v>1813</v>
      </c>
      <c r="AB309">
        <v>1208</v>
      </c>
    </row>
    <row r="310" spans="1:28" x14ac:dyDescent="0.35">
      <c r="A310" t="s">
        <v>355</v>
      </c>
      <c r="B310" t="s">
        <v>9</v>
      </c>
      <c r="C310" t="s">
        <v>1</v>
      </c>
      <c r="D310" t="s">
        <v>10</v>
      </c>
      <c r="E310" t="s">
        <v>11</v>
      </c>
      <c r="F310">
        <v>204892</v>
      </c>
      <c r="G310">
        <v>-56215</v>
      </c>
      <c r="H310">
        <v>39192</v>
      </c>
      <c r="I310">
        <v>204892</v>
      </c>
      <c r="J310">
        <v>20489</v>
      </c>
      <c r="K310">
        <v>10244</v>
      </c>
      <c r="L310">
        <v>67100</v>
      </c>
      <c r="M310">
        <v>13420</v>
      </c>
      <c r="N310">
        <v>20130</v>
      </c>
      <c r="O310">
        <v>6710</v>
      </c>
      <c r="P310">
        <v>-26840</v>
      </c>
      <c r="Q310">
        <v>-16775</v>
      </c>
      <c r="R310">
        <v>78579</v>
      </c>
      <c r="S310">
        <v>23573</v>
      </c>
      <c r="T310">
        <v>7857</v>
      </c>
      <c r="U310">
        <v>3355</v>
      </c>
      <c r="V310">
        <v>2013</v>
      </c>
      <c r="W310">
        <v>1342</v>
      </c>
      <c r="X310">
        <v>6710</v>
      </c>
      <c r="Y310">
        <v>3355</v>
      </c>
      <c r="Z310">
        <v>3928</v>
      </c>
      <c r="AA310">
        <v>2357</v>
      </c>
      <c r="AB310">
        <v>1571</v>
      </c>
    </row>
    <row r="311" spans="1:28" x14ac:dyDescent="0.35">
      <c r="A311" t="s">
        <v>356</v>
      </c>
      <c r="B311" t="s">
        <v>9</v>
      </c>
      <c r="C311" t="s">
        <v>1</v>
      </c>
      <c r="D311" t="s">
        <v>10</v>
      </c>
      <c r="E311" t="s">
        <v>11</v>
      </c>
      <c r="F311">
        <v>409470</v>
      </c>
      <c r="G311">
        <v>-93255</v>
      </c>
      <c r="H311">
        <v>110385</v>
      </c>
      <c r="I311">
        <v>409470</v>
      </c>
      <c r="J311">
        <v>40947</v>
      </c>
      <c r="K311">
        <v>20473</v>
      </c>
      <c r="L311">
        <v>307341</v>
      </c>
      <c r="M311">
        <v>61468</v>
      </c>
      <c r="N311">
        <v>92202</v>
      </c>
      <c r="O311">
        <v>30734</v>
      </c>
      <c r="P311">
        <v>-122936</v>
      </c>
      <c r="Q311">
        <v>-76835</v>
      </c>
      <c r="R311">
        <v>317182</v>
      </c>
      <c r="S311">
        <v>95154</v>
      </c>
      <c r="T311">
        <v>31718</v>
      </c>
      <c r="U311">
        <v>15367</v>
      </c>
      <c r="V311">
        <v>9220</v>
      </c>
      <c r="W311">
        <v>6146</v>
      </c>
      <c r="X311">
        <v>30734</v>
      </c>
      <c r="Y311">
        <v>15367</v>
      </c>
      <c r="Z311">
        <v>15859</v>
      </c>
      <c r="AA311">
        <v>9515</v>
      </c>
      <c r="AB311">
        <v>6343</v>
      </c>
    </row>
    <row r="312" spans="1:28" x14ac:dyDescent="0.35">
      <c r="A312" t="s">
        <v>357</v>
      </c>
      <c r="B312" t="s">
        <v>9</v>
      </c>
      <c r="C312" t="s">
        <v>1</v>
      </c>
      <c r="D312" t="s">
        <v>10</v>
      </c>
      <c r="E312" t="s">
        <v>11</v>
      </c>
      <c r="F312">
        <v>320087</v>
      </c>
      <c r="G312">
        <v>-168291</v>
      </c>
      <c r="H312">
        <v>75078</v>
      </c>
      <c r="I312">
        <v>320087</v>
      </c>
      <c r="J312">
        <v>32008</v>
      </c>
      <c r="K312">
        <v>16004</v>
      </c>
      <c r="L312">
        <v>144213</v>
      </c>
      <c r="M312">
        <v>28842</v>
      </c>
      <c r="N312">
        <v>43263</v>
      </c>
      <c r="O312">
        <v>14421</v>
      </c>
      <c r="P312">
        <v>-57685</v>
      </c>
      <c r="Q312">
        <v>-36053</v>
      </c>
      <c r="R312">
        <v>165389</v>
      </c>
      <c r="S312">
        <v>49616</v>
      </c>
      <c r="T312">
        <v>16538</v>
      </c>
      <c r="U312">
        <v>7210</v>
      </c>
      <c r="V312">
        <v>4326</v>
      </c>
      <c r="W312">
        <v>2884</v>
      </c>
      <c r="X312">
        <v>14421</v>
      </c>
      <c r="Y312">
        <v>7210</v>
      </c>
      <c r="Z312">
        <v>8269</v>
      </c>
      <c r="AA312">
        <v>4961</v>
      </c>
      <c r="AB312">
        <v>3307</v>
      </c>
    </row>
    <row r="313" spans="1:28" x14ac:dyDescent="0.35">
      <c r="A313" t="s">
        <v>358</v>
      </c>
      <c r="B313" t="s">
        <v>9</v>
      </c>
      <c r="C313" t="s">
        <v>1</v>
      </c>
      <c r="D313" t="s">
        <v>10</v>
      </c>
      <c r="E313" t="s">
        <v>11</v>
      </c>
      <c r="F313">
        <v>473484</v>
      </c>
      <c r="G313">
        <v>-177305</v>
      </c>
      <c r="H313">
        <v>204264</v>
      </c>
      <c r="I313">
        <v>473484</v>
      </c>
      <c r="J313">
        <v>47348</v>
      </c>
      <c r="K313">
        <v>23674</v>
      </c>
      <c r="L313">
        <v>376980</v>
      </c>
      <c r="M313">
        <v>75396</v>
      </c>
      <c r="N313">
        <v>113094</v>
      </c>
      <c r="O313">
        <v>37698</v>
      </c>
      <c r="P313">
        <v>-150792</v>
      </c>
      <c r="Q313">
        <v>-94245</v>
      </c>
      <c r="R313">
        <v>379405</v>
      </c>
      <c r="S313">
        <v>113821</v>
      </c>
      <c r="T313">
        <v>37940</v>
      </c>
      <c r="U313">
        <v>18849</v>
      </c>
      <c r="V313">
        <v>11309</v>
      </c>
      <c r="W313">
        <v>7539</v>
      </c>
      <c r="X313">
        <v>37698</v>
      </c>
      <c r="Y313">
        <v>18849</v>
      </c>
      <c r="Z313">
        <v>18970</v>
      </c>
      <c r="AA313">
        <v>11382</v>
      </c>
      <c r="AB313">
        <v>7588</v>
      </c>
    </row>
    <row r="314" spans="1:28" x14ac:dyDescent="0.35">
      <c r="A314" t="s">
        <v>359</v>
      </c>
      <c r="B314" t="s">
        <v>9</v>
      </c>
      <c r="C314" t="s">
        <v>1</v>
      </c>
      <c r="D314" t="s">
        <v>10</v>
      </c>
      <c r="E314" t="s">
        <v>11</v>
      </c>
      <c r="F314">
        <v>185614</v>
      </c>
      <c r="G314">
        <v>-102780</v>
      </c>
      <c r="H314">
        <v>64585</v>
      </c>
      <c r="I314">
        <v>185614</v>
      </c>
      <c r="J314">
        <v>18561</v>
      </c>
      <c r="K314">
        <v>9280</v>
      </c>
      <c r="L314">
        <v>98673</v>
      </c>
      <c r="M314">
        <v>19734</v>
      </c>
      <c r="N314">
        <v>29601</v>
      </c>
      <c r="O314">
        <v>9867</v>
      </c>
      <c r="P314">
        <v>-39469</v>
      </c>
      <c r="Q314">
        <v>-24668</v>
      </c>
      <c r="R314">
        <v>86235</v>
      </c>
      <c r="S314">
        <v>25870</v>
      </c>
      <c r="T314">
        <v>8623</v>
      </c>
      <c r="U314">
        <v>4933</v>
      </c>
      <c r="V314">
        <v>2960</v>
      </c>
      <c r="W314">
        <v>1973</v>
      </c>
      <c r="X314">
        <v>9867</v>
      </c>
      <c r="Y314">
        <v>4933</v>
      </c>
      <c r="Z314">
        <v>4311</v>
      </c>
      <c r="AA314">
        <v>2587</v>
      </c>
      <c r="AB314">
        <v>1724</v>
      </c>
    </row>
    <row r="315" spans="1:28" x14ac:dyDescent="0.35">
      <c r="A315" t="s">
        <v>360</v>
      </c>
      <c r="B315" t="s">
        <v>9</v>
      </c>
      <c r="C315" t="s">
        <v>1</v>
      </c>
      <c r="D315" t="s">
        <v>10</v>
      </c>
      <c r="E315" t="s">
        <v>11</v>
      </c>
      <c r="F315">
        <v>421914</v>
      </c>
      <c r="G315">
        <v>-160563</v>
      </c>
      <c r="H315">
        <v>185330</v>
      </c>
      <c r="I315">
        <v>421914</v>
      </c>
      <c r="J315">
        <v>42191</v>
      </c>
      <c r="K315">
        <v>21095</v>
      </c>
      <c r="L315">
        <v>201995</v>
      </c>
      <c r="M315">
        <v>40399</v>
      </c>
      <c r="N315">
        <v>60598</v>
      </c>
      <c r="O315">
        <v>20199</v>
      </c>
      <c r="P315">
        <v>-80798</v>
      </c>
      <c r="Q315">
        <v>-50498</v>
      </c>
      <c r="R315">
        <v>211004</v>
      </c>
      <c r="S315">
        <v>63301</v>
      </c>
      <c r="T315">
        <v>21100</v>
      </c>
      <c r="U315">
        <v>10099</v>
      </c>
      <c r="V315">
        <v>6059</v>
      </c>
      <c r="W315">
        <v>4039</v>
      </c>
      <c r="X315">
        <v>20199</v>
      </c>
      <c r="Y315">
        <v>10099</v>
      </c>
      <c r="Z315">
        <v>10550</v>
      </c>
      <c r="AA315">
        <v>6330</v>
      </c>
      <c r="AB315">
        <v>4220</v>
      </c>
    </row>
    <row r="316" spans="1:28" x14ac:dyDescent="0.35">
      <c r="A316" t="s">
        <v>361</v>
      </c>
      <c r="B316" t="s">
        <v>9</v>
      </c>
      <c r="C316" t="s">
        <v>1</v>
      </c>
      <c r="D316" t="s">
        <v>10</v>
      </c>
      <c r="E316" t="s">
        <v>11</v>
      </c>
      <c r="F316">
        <v>101164</v>
      </c>
      <c r="G316">
        <v>-27358</v>
      </c>
      <c r="H316">
        <v>47130</v>
      </c>
      <c r="I316">
        <v>101164</v>
      </c>
      <c r="J316">
        <v>10116</v>
      </c>
      <c r="K316">
        <v>5058</v>
      </c>
      <c r="L316">
        <v>27952</v>
      </c>
      <c r="M316">
        <v>5590</v>
      </c>
      <c r="N316">
        <v>8385</v>
      </c>
      <c r="O316">
        <v>2795</v>
      </c>
      <c r="P316">
        <v>-11180</v>
      </c>
      <c r="Q316">
        <v>-6988</v>
      </c>
      <c r="R316">
        <v>22396</v>
      </c>
      <c r="S316">
        <v>6718</v>
      </c>
      <c r="T316">
        <v>2239</v>
      </c>
      <c r="U316">
        <v>1397</v>
      </c>
      <c r="V316">
        <v>838</v>
      </c>
      <c r="W316">
        <v>559</v>
      </c>
      <c r="X316">
        <v>2795</v>
      </c>
      <c r="Y316">
        <v>1397</v>
      </c>
      <c r="Z316">
        <v>1119</v>
      </c>
      <c r="AA316">
        <v>671</v>
      </c>
      <c r="AB316">
        <v>447</v>
      </c>
    </row>
    <row r="317" spans="1:28" x14ac:dyDescent="0.35">
      <c r="A317" t="s">
        <v>362</v>
      </c>
      <c r="B317" t="s">
        <v>9</v>
      </c>
      <c r="C317" t="s">
        <v>1</v>
      </c>
      <c r="D317" t="s">
        <v>10</v>
      </c>
      <c r="E317" t="s">
        <v>11</v>
      </c>
      <c r="F317">
        <v>139237</v>
      </c>
      <c r="G317">
        <v>-82657</v>
      </c>
      <c r="H317">
        <v>67887</v>
      </c>
      <c r="I317">
        <v>139237</v>
      </c>
      <c r="J317">
        <v>13923</v>
      </c>
      <c r="K317">
        <v>6961</v>
      </c>
      <c r="L317">
        <v>93513</v>
      </c>
      <c r="M317">
        <v>18702</v>
      </c>
      <c r="N317">
        <v>28053</v>
      </c>
      <c r="O317">
        <v>9351</v>
      </c>
      <c r="P317">
        <v>-37405</v>
      </c>
      <c r="Q317">
        <v>-23378</v>
      </c>
      <c r="R317">
        <v>107439</v>
      </c>
      <c r="S317">
        <v>32231</v>
      </c>
      <c r="T317">
        <v>10743</v>
      </c>
      <c r="U317">
        <v>4675</v>
      </c>
      <c r="V317">
        <v>2805</v>
      </c>
      <c r="W317">
        <v>1870</v>
      </c>
      <c r="X317">
        <v>9351</v>
      </c>
      <c r="Y317">
        <v>4675</v>
      </c>
      <c r="Z317">
        <v>5371</v>
      </c>
      <c r="AA317">
        <v>3223</v>
      </c>
      <c r="AB317">
        <v>2148</v>
      </c>
    </row>
    <row r="318" spans="1:28" x14ac:dyDescent="0.35">
      <c r="A318" t="s">
        <v>363</v>
      </c>
      <c r="B318" t="s">
        <v>9</v>
      </c>
      <c r="C318" t="s">
        <v>1</v>
      </c>
      <c r="D318" t="s">
        <v>10</v>
      </c>
      <c r="E318" t="s">
        <v>11</v>
      </c>
      <c r="F318">
        <v>179496</v>
      </c>
      <c r="G318">
        <v>-79473</v>
      </c>
      <c r="H318">
        <v>52949</v>
      </c>
      <c r="I318">
        <v>179496</v>
      </c>
      <c r="J318">
        <v>17949</v>
      </c>
      <c r="K318">
        <v>8974</v>
      </c>
      <c r="L318">
        <v>94834</v>
      </c>
      <c r="M318">
        <v>18966</v>
      </c>
      <c r="N318">
        <v>28450</v>
      </c>
      <c r="O318">
        <v>9483</v>
      </c>
      <c r="P318">
        <v>-37933</v>
      </c>
      <c r="Q318">
        <v>-23708</v>
      </c>
      <c r="R318">
        <v>113564</v>
      </c>
      <c r="S318">
        <v>34069</v>
      </c>
      <c r="T318">
        <v>11356</v>
      </c>
      <c r="U318">
        <v>4741</v>
      </c>
      <c r="V318">
        <v>2845</v>
      </c>
      <c r="W318">
        <v>1896</v>
      </c>
      <c r="X318">
        <v>9483</v>
      </c>
      <c r="Y318">
        <v>4741</v>
      </c>
      <c r="Z318">
        <v>5678</v>
      </c>
      <c r="AA318">
        <v>3406</v>
      </c>
      <c r="AB318">
        <v>2271</v>
      </c>
    </row>
    <row r="319" spans="1:28" x14ac:dyDescent="0.35">
      <c r="A319" t="s">
        <v>364</v>
      </c>
      <c r="B319" t="s">
        <v>9</v>
      </c>
      <c r="C319" t="s">
        <v>1</v>
      </c>
      <c r="D319" t="s">
        <v>10</v>
      </c>
      <c r="E319" t="s">
        <v>11</v>
      </c>
      <c r="F319">
        <v>118750</v>
      </c>
      <c r="G319">
        <v>-47785</v>
      </c>
      <c r="H319">
        <v>55019</v>
      </c>
      <c r="I319">
        <v>118750</v>
      </c>
      <c r="J319">
        <v>11875</v>
      </c>
      <c r="K319">
        <v>5937</v>
      </c>
      <c r="L319">
        <v>27422</v>
      </c>
      <c r="M319">
        <v>5484</v>
      </c>
      <c r="N319">
        <v>8226</v>
      </c>
      <c r="O319">
        <v>2742</v>
      </c>
      <c r="P319">
        <v>-10968</v>
      </c>
      <c r="Q319">
        <v>-6855</v>
      </c>
      <c r="R319">
        <v>26739</v>
      </c>
      <c r="S319">
        <v>8021</v>
      </c>
      <c r="T319">
        <v>2673</v>
      </c>
      <c r="U319">
        <v>1371</v>
      </c>
      <c r="V319">
        <v>822</v>
      </c>
      <c r="W319">
        <v>548</v>
      </c>
      <c r="X319">
        <v>2742</v>
      </c>
      <c r="Y319">
        <v>1371</v>
      </c>
      <c r="Z319">
        <v>1336</v>
      </c>
      <c r="AA319">
        <v>802</v>
      </c>
      <c r="AB319">
        <v>534</v>
      </c>
    </row>
    <row r="320" spans="1:28" x14ac:dyDescent="0.35">
      <c r="A320" t="s">
        <v>365</v>
      </c>
      <c r="B320" t="s">
        <v>9</v>
      </c>
      <c r="C320" t="s">
        <v>1</v>
      </c>
      <c r="D320" t="s">
        <v>10</v>
      </c>
      <c r="E320" t="s">
        <v>11</v>
      </c>
      <c r="F320">
        <v>360385</v>
      </c>
      <c r="G320">
        <v>-136935</v>
      </c>
      <c r="H320">
        <v>174686</v>
      </c>
      <c r="I320">
        <v>360385</v>
      </c>
      <c r="J320">
        <v>36038</v>
      </c>
      <c r="K320">
        <v>18019</v>
      </c>
      <c r="L320">
        <v>151086</v>
      </c>
      <c r="M320">
        <v>30217</v>
      </c>
      <c r="N320">
        <v>45325</v>
      </c>
      <c r="O320">
        <v>15108</v>
      </c>
      <c r="P320">
        <v>-60434</v>
      </c>
      <c r="Q320">
        <v>-37771</v>
      </c>
      <c r="R320">
        <v>149915</v>
      </c>
      <c r="S320">
        <v>44974</v>
      </c>
      <c r="T320">
        <v>14991</v>
      </c>
      <c r="U320">
        <v>7554</v>
      </c>
      <c r="V320">
        <v>4532</v>
      </c>
      <c r="W320">
        <v>3021</v>
      </c>
      <c r="X320">
        <v>15108</v>
      </c>
      <c r="Y320">
        <v>7554</v>
      </c>
      <c r="Z320">
        <v>7495</v>
      </c>
      <c r="AA320">
        <v>4497</v>
      </c>
      <c r="AB320">
        <v>2998</v>
      </c>
    </row>
    <row r="321" spans="1:28" x14ac:dyDescent="0.35">
      <c r="A321" t="s">
        <v>366</v>
      </c>
      <c r="B321" t="s">
        <v>9</v>
      </c>
      <c r="C321" t="s">
        <v>1</v>
      </c>
      <c r="D321" t="s">
        <v>10</v>
      </c>
      <c r="E321" t="s">
        <v>11</v>
      </c>
      <c r="F321">
        <v>97569</v>
      </c>
      <c r="G321">
        <v>-52046</v>
      </c>
      <c r="H321">
        <v>12180</v>
      </c>
      <c r="I321">
        <v>97569</v>
      </c>
      <c r="J321">
        <v>9756</v>
      </c>
      <c r="K321">
        <v>4878</v>
      </c>
      <c r="L321">
        <v>30692</v>
      </c>
      <c r="M321">
        <v>6138</v>
      </c>
      <c r="N321">
        <v>9207</v>
      </c>
      <c r="O321">
        <v>3069</v>
      </c>
      <c r="P321">
        <v>-12276</v>
      </c>
      <c r="Q321">
        <v>-7673</v>
      </c>
      <c r="R321">
        <v>35270</v>
      </c>
      <c r="S321">
        <v>10581</v>
      </c>
      <c r="T321">
        <v>3527</v>
      </c>
      <c r="U321">
        <v>1534</v>
      </c>
      <c r="V321">
        <v>920</v>
      </c>
      <c r="W321">
        <v>613</v>
      </c>
      <c r="X321">
        <v>3069</v>
      </c>
      <c r="Y321">
        <v>1534</v>
      </c>
      <c r="Z321">
        <v>1763</v>
      </c>
      <c r="AA321">
        <v>1058</v>
      </c>
      <c r="AB321">
        <v>705</v>
      </c>
    </row>
    <row r="322" spans="1:28" x14ac:dyDescent="0.35">
      <c r="A322" t="s">
        <v>367</v>
      </c>
      <c r="B322" t="s">
        <v>9</v>
      </c>
      <c r="C322" t="s">
        <v>1</v>
      </c>
      <c r="D322" t="s">
        <v>10</v>
      </c>
      <c r="E322" t="s">
        <v>11</v>
      </c>
      <c r="F322">
        <v>247840</v>
      </c>
      <c r="G322">
        <v>-50657</v>
      </c>
      <c r="H322">
        <v>117159</v>
      </c>
      <c r="I322">
        <v>247840</v>
      </c>
      <c r="J322">
        <v>24784</v>
      </c>
      <c r="K322">
        <v>12392</v>
      </c>
      <c r="L322">
        <v>194405</v>
      </c>
      <c r="M322">
        <v>38881</v>
      </c>
      <c r="N322">
        <v>58321</v>
      </c>
      <c r="O322">
        <v>19440</v>
      </c>
      <c r="P322">
        <v>-77762</v>
      </c>
      <c r="Q322">
        <v>-48601</v>
      </c>
      <c r="R322">
        <v>190745</v>
      </c>
      <c r="S322">
        <v>57223</v>
      </c>
      <c r="T322">
        <v>19074</v>
      </c>
      <c r="U322">
        <v>9720</v>
      </c>
      <c r="V322">
        <v>5832</v>
      </c>
      <c r="W322">
        <v>3888</v>
      </c>
      <c r="X322">
        <v>19440</v>
      </c>
      <c r="Y322">
        <v>9720</v>
      </c>
      <c r="Z322">
        <v>9537</v>
      </c>
      <c r="AA322">
        <v>5722</v>
      </c>
      <c r="AB322">
        <v>3814</v>
      </c>
    </row>
    <row r="323" spans="1:28" x14ac:dyDescent="0.35">
      <c r="A323" t="s">
        <v>368</v>
      </c>
      <c r="B323" t="s">
        <v>9</v>
      </c>
      <c r="C323" t="s">
        <v>1</v>
      </c>
      <c r="D323" t="s">
        <v>10</v>
      </c>
      <c r="E323" t="s">
        <v>11</v>
      </c>
      <c r="F323">
        <v>451166</v>
      </c>
      <c r="G323">
        <v>-208788</v>
      </c>
      <c r="H323">
        <v>221086</v>
      </c>
      <c r="I323">
        <v>451166</v>
      </c>
      <c r="J323">
        <v>45116</v>
      </c>
      <c r="K323">
        <v>22558</v>
      </c>
      <c r="L323">
        <v>113299</v>
      </c>
      <c r="M323">
        <v>22659</v>
      </c>
      <c r="N323">
        <v>33989</v>
      </c>
      <c r="O323">
        <v>11329</v>
      </c>
      <c r="P323">
        <v>-45319</v>
      </c>
      <c r="Q323">
        <v>-28324</v>
      </c>
      <c r="R323">
        <v>124749</v>
      </c>
      <c r="S323">
        <v>37424</v>
      </c>
      <c r="T323">
        <v>12474</v>
      </c>
      <c r="U323">
        <v>5664</v>
      </c>
      <c r="V323">
        <v>3398</v>
      </c>
      <c r="W323">
        <v>2265</v>
      </c>
      <c r="X323">
        <v>11329</v>
      </c>
      <c r="Y323">
        <v>5664</v>
      </c>
      <c r="Z323">
        <v>6237</v>
      </c>
      <c r="AA323">
        <v>3742</v>
      </c>
      <c r="AB323">
        <v>2494</v>
      </c>
    </row>
    <row r="324" spans="1:28" x14ac:dyDescent="0.35">
      <c r="A324" t="s">
        <v>369</v>
      </c>
      <c r="B324" t="s">
        <v>9</v>
      </c>
      <c r="C324" t="s">
        <v>1</v>
      </c>
      <c r="D324" t="s">
        <v>10</v>
      </c>
      <c r="E324" t="s">
        <v>11</v>
      </c>
      <c r="F324">
        <v>235917</v>
      </c>
      <c r="G324">
        <v>-52972</v>
      </c>
      <c r="H324">
        <v>55534</v>
      </c>
      <c r="I324">
        <v>235917</v>
      </c>
      <c r="J324">
        <v>23591</v>
      </c>
      <c r="K324">
        <v>11795</v>
      </c>
      <c r="L324">
        <v>78433</v>
      </c>
      <c r="M324">
        <v>15686</v>
      </c>
      <c r="N324">
        <v>23529</v>
      </c>
      <c r="O324">
        <v>7843</v>
      </c>
      <c r="P324">
        <v>-31373</v>
      </c>
      <c r="Q324">
        <v>-19608</v>
      </c>
      <c r="R324">
        <v>82087</v>
      </c>
      <c r="S324">
        <v>24626</v>
      </c>
      <c r="T324">
        <v>8208</v>
      </c>
      <c r="U324">
        <v>3921</v>
      </c>
      <c r="V324">
        <v>2352</v>
      </c>
      <c r="W324">
        <v>1568</v>
      </c>
      <c r="X324">
        <v>7843</v>
      </c>
      <c r="Y324">
        <v>3921</v>
      </c>
      <c r="Z324">
        <v>4104</v>
      </c>
      <c r="AA324">
        <v>2462</v>
      </c>
      <c r="AB324">
        <v>1641</v>
      </c>
    </row>
    <row r="325" spans="1:28" x14ac:dyDescent="0.35">
      <c r="A325" t="s">
        <v>370</v>
      </c>
      <c r="B325" t="s">
        <v>9</v>
      </c>
      <c r="C325" t="s">
        <v>1</v>
      </c>
      <c r="D325" t="s">
        <v>10</v>
      </c>
      <c r="E325" t="s">
        <v>11</v>
      </c>
      <c r="F325">
        <v>176349</v>
      </c>
      <c r="G325">
        <v>-54967</v>
      </c>
      <c r="H325">
        <v>66048</v>
      </c>
      <c r="I325">
        <v>176349</v>
      </c>
      <c r="J325">
        <v>17634</v>
      </c>
      <c r="K325">
        <v>8817</v>
      </c>
      <c r="L325">
        <v>109911</v>
      </c>
      <c r="M325">
        <v>21982</v>
      </c>
      <c r="N325">
        <v>32973</v>
      </c>
      <c r="O325">
        <v>10991</v>
      </c>
      <c r="P325">
        <v>-43964</v>
      </c>
      <c r="Q325">
        <v>-27477</v>
      </c>
      <c r="R325">
        <v>106622</v>
      </c>
      <c r="S325">
        <v>31986</v>
      </c>
      <c r="T325">
        <v>10662</v>
      </c>
      <c r="U325">
        <v>5495</v>
      </c>
      <c r="V325">
        <v>3297</v>
      </c>
      <c r="W325">
        <v>2198</v>
      </c>
      <c r="X325">
        <v>10991</v>
      </c>
      <c r="Y325">
        <v>5495</v>
      </c>
      <c r="Z325">
        <v>5331</v>
      </c>
      <c r="AA325">
        <v>3198</v>
      </c>
      <c r="AB325">
        <v>2132</v>
      </c>
    </row>
    <row r="326" spans="1:28" x14ac:dyDescent="0.35">
      <c r="A326" t="s">
        <v>371</v>
      </c>
      <c r="B326" t="s">
        <v>9</v>
      </c>
      <c r="C326" t="s">
        <v>1</v>
      </c>
      <c r="D326" t="s">
        <v>10</v>
      </c>
      <c r="E326" t="s">
        <v>11</v>
      </c>
      <c r="F326">
        <v>389832</v>
      </c>
      <c r="G326">
        <v>-78077</v>
      </c>
      <c r="H326">
        <v>187696</v>
      </c>
      <c r="I326">
        <v>389832</v>
      </c>
      <c r="J326">
        <v>38983</v>
      </c>
      <c r="K326">
        <v>19491</v>
      </c>
      <c r="L326">
        <v>224533</v>
      </c>
      <c r="M326">
        <v>44906</v>
      </c>
      <c r="N326">
        <v>67359</v>
      </c>
      <c r="O326">
        <v>22453</v>
      </c>
      <c r="P326">
        <v>-89813</v>
      </c>
      <c r="Q326">
        <v>-56133</v>
      </c>
      <c r="R326">
        <v>262545</v>
      </c>
      <c r="S326">
        <v>78763</v>
      </c>
      <c r="T326">
        <v>26254</v>
      </c>
      <c r="U326">
        <v>11226</v>
      </c>
      <c r="V326">
        <v>6735</v>
      </c>
      <c r="W326">
        <v>4490</v>
      </c>
      <c r="X326">
        <v>22453</v>
      </c>
      <c r="Y326">
        <v>11226</v>
      </c>
      <c r="Z326">
        <v>13127</v>
      </c>
      <c r="AA326">
        <v>7876</v>
      </c>
      <c r="AB326">
        <v>5250</v>
      </c>
    </row>
    <row r="327" spans="1:28" x14ac:dyDescent="0.35">
      <c r="A327" t="s">
        <v>372</v>
      </c>
      <c r="B327" t="s">
        <v>9</v>
      </c>
      <c r="C327" t="s">
        <v>1</v>
      </c>
      <c r="D327" t="s">
        <v>10</v>
      </c>
      <c r="E327" t="s">
        <v>11</v>
      </c>
      <c r="F327">
        <v>440246</v>
      </c>
      <c r="G327">
        <v>-104995</v>
      </c>
      <c r="H327">
        <v>194871</v>
      </c>
      <c r="I327">
        <v>440246</v>
      </c>
      <c r="J327">
        <v>44024</v>
      </c>
      <c r="K327">
        <v>22012</v>
      </c>
      <c r="L327">
        <v>161654</v>
      </c>
      <c r="M327">
        <v>32330</v>
      </c>
      <c r="N327">
        <v>48496</v>
      </c>
      <c r="O327">
        <v>16165</v>
      </c>
      <c r="P327">
        <v>-64661</v>
      </c>
      <c r="Q327">
        <v>-40413</v>
      </c>
      <c r="R327">
        <v>186138</v>
      </c>
      <c r="S327">
        <v>55841</v>
      </c>
      <c r="T327">
        <v>18613</v>
      </c>
      <c r="U327">
        <v>8082</v>
      </c>
      <c r="V327">
        <v>4849</v>
      </c>
      <c r="W327">
        <v>3233</v>
      </c>
      <c r="X327">
        <v>16165</v>
      </c>
      <c r="Y327">
        <v>8082</v>
      </c>
      <c r="Z327">
        <v>9306</v>
      </c>
      <c r="AA327">
        <v>5584</v>
      </c>
      <c r="AB327">
        <v>3722</v>
      </c>
    </row>
    <row r="328" spans="1:28" x14ac:dyDescent="0.35">
      <c r="A328" t="s">
        <v>373</v>
      </c>
      <c r="B328" t="s">
        <v>9</v>
      </c>
      <c r="C328" t="s">
        <v>1</v>
      </c>
      <c r="D328" t="s">
        <v>10</v>
      </c>
      <c r="E328" t="s">
        <v>11</v>
      </c>
      <c r="F328">
        <v>446410</v>
      </c>
      <c r="G328">
        <v>-191164</v>
      </c>
      <c r="H328">
        <v>220263</v>
      </c>
      <c r="I328">
        <v>446410</v>
      </c>
      <c r="J328">
        <v>44641</v>
      </c>
      <c r="K328">
        <v>22320</v>
      </c>
      <c r="L328">
        <v>91618</v>
      </c>
      <c r="M328">
        <v>18323</v>
      </c>
      <c r="N328">
        <v>27485</v>
      </c>
      <c r="O328">
        <v>9161</v>
      </c>
      <c r="P328">
        <v>-36647</v>
      </c>
      <c r="Q328">
        <v>-22904</v>
      </c>
      <c r="R328">
        <v>82708</v>
      </c>
      <c r="S328">
        <v>24812</v>
      </c>
      <c r="T328">
        <v>8270</v>
      </c>
      <c r="U328">
        <v>4580</v>
      </c>
      <c r="V328">
        <v>2748</v>
      </c>
      <c r="W328">
        <v>1832</v>
      </c>
      <c r="X328">
        <v>9161</v>
      </c>
      <c r="Y328">
        <v>4580</v>
      </c>
      <c r="Z328">
        <v>4135</v>
      </c>
      <c r="AA328">
        <v>2481</v>
      </c>
      <c r="AB328">
        <v>1654</v>
      </c>
    </row>
    <row r="329" spans="1:28" x14ac:dyDescent="0.35">
      <c r="A329" t="s">
        <v>374</v>
      </c>
      <c r="B329" t="s">
        <v>9</v>
      </c>
      <c r="C329" t="s">
        <v>1</v>
      </c>
      <c r="D329" t="s">
        <v>10</v>
      </c>
      <c r="E329" t="s">
        <v>11</v>
      </c>
      <c r="F329">
        <v>249972</v>
      </c>
      <c r="G329">
        <v>-105032</v>
      </c>
      <c r="H329">
        <v>33621</v>
      </c>
      <c r="I329">
        <v>249972</v>
      </c>
      <c r="J329">
        <v>24997</v>
      </c>
      <c r="K329">
        <v>12498</v>
      </c>
      <c r="L329">
        <v>153143</v>
      </c>
      <c r="M329">
        <v>30628</v>
      </c>
      <c r="N329">
        <v>45942</v>
      </c>
      <c r="O329">
        <v>15314</v>
      </c>
      <c r="P329">
        <v>-61257</v>
      </c>
      <c r="Q329">
        <v>-38285</v>
      </c>
      <c r="R329">
        <v>149261</v>
      </c>
      <c r="S329">
        <v>44778</v>
      </c>
      <c r="T329">
        <v>14926</v>
      </c>
      <c r="U329">
        <v>7657</v>
      </c>
      <c r="V329">
        <v>4594</v>
      </c>
      <c r="W329">
        <v>3062</v>
      </c>
      <c r="X329">
        <v>15314</v>
      </c>
      <c r="Y329">
        <v>7657</v>
      </c>
      <c r="Z329">
        <v>7463</v>
      </c>
      <c r="AA329">
        <v>4477</v>
      </c>
      <c r="AB329">
        <v>2985</v>
      </c>
    </row>
    <row r="330" spans="1:28" x14ac:dyDescent="0.35">
      <c r="A330" t="s">
        <v>375</v>
      </c>
      <c r="B330" t="s">
        <v>9</v>
      </c>
      <c r="C330" t="s">
        <v>1</v>
      </c>
      <c r="D330" t="s">
        <v>10</v>
      </c>
      <c r="E330" t="s">
        <v>11</v>
      </c>
      <c r="F330">
        <v>200817</v>
      </c>
      <c r="G330">
        <v>-109298</v>
      </c>
      <c r="H330">
        <v>44402</v>
      </c>
      <c r="I330">
        <v>200817</v>
      </c>
      <c r="J330">
        <v>20081</v>
      </c>
      <c r="K330">
        <v>10040</v>
      </c>
      <c r="L330">
        <v>83720</v>
      </c>
      <c r="M330">
        <v>16744</v>
      </c>
      <c r="N330">
        <v>25116</v>
      </c>
      <c r="O330">
        <v>8372</v>
      </c>
      <c r="P330">
        <v>-33488</v>
      </c>
      <c r="Q330">
        <v>-20930</v>
      </c>
      <c r="R330">
        <v>83486</v>
      </c>
      <c r="S330">
        <v>25045</v>
      </c>
      <c r="T330">
        <v>8348</v>
      </c>
      <c r="U330">
        <v>4186</v>
      </c>
      <c r="V330">
        <v>2511</v>
      </c>
      <c r="W330">
        <v>1674</v>
      </c>
      <c r="X330">
        <v>8372</v>
      </c>
      <c r="Y330">
        <v>4186</v>
      </c>
      <c r="Z330">
        <v>4174</v>
      </c>
      <c r="AA330">
        <v>2504</v>
      </c>
      <c r="AB330">
        <v>1669</v>
      </c>
    </row>
    <row r="331" spans="1:28" x14ac:dyDescent="0.35">
      <c r="A331" t="s">
        <v>376</v>
      </c>
      <c r="B331" t="s">
        <v>9</v>
      </c>
      <c r="C331" t="s">
        <v>1</v>
      </c>
      <c r="D331" t="s">
        <v>10</v>
      </c>
      <c r="E331" t="s">
        <v>11</v>
      </c>
      <c r="F331">
        <v>362904</v>
      </c>
      <c r="G331">
        <v>-126696</v>
      </c>
      <c r="H331">
        <v>105289</v>
      </c>
      <c r="I331">
        <v>362904</v>
      </c>
      <c r="J331">
        <v>36290</v>
      </c>
      <c r="K331">
        <v>18145</v>
      </c>
      <c r="L331">
        <v>190600</v>
      </c>
      <c r="M331">
        <v>38120</v>
      </c>
      <c r="N331">
        <v>57180</v>
      </c>
      <c r="O331">
        <v>19060</v>
      </c>
      <c r="P331">
        <v>-76240</v>
      </c>
      <c r="Q331">
        <v>-47650</v>
      </c>
      <c r="R331">
        <v>203695</v>
      </c>
      <c r="S331">
        <v>61108</v>
      </c>
      <c r="T331">
        <v>20369</v>
      </c>
      <c r="U331">
        <v>9530</v>
      </c>
      <c r="V331">
        <v>5718</v>
      </c>
      <c r="W331">
        <v>3812</v>
      </c>
      <c r="X331">
        <v>19060</v>
      </c>
      <c r="Y331">
        <v>9530</v>
      </c>
      <c r="Z331">
        <v>10184</v>
      </c>
      <c r="AA331">
        <v>6110</v>
      </c>
      <c r="AB331">
        <v>4073</v>
      </c>
    </row>
    <row r="332" spans="1:28" x14ac:dyDescent="0.35">
      <c r="A332" t="s">
        <v>377</v>
      </c>
      <c r="B332" t="s">
        <v>9</v>
      </c>
      <c r="C332" t="s">
        <v>1</v>
      </c>
      <c r="D332" t="s">
        <v>10</v>
      </c>
      <c r="E332" t="s">
        <v>11</v>
      </c>
      <c r="F332">
        <v>302856</v>
      </c>
      <c r="G332">
        <v>-119561</v>
      </c>
      <c r="H332">
        <v>37690</v>
      </c>
      <c r="I332">
        <v>302856</v>
      </c>
      <c r="J332">
        <v>30285</v>
      </c>
      <c r="K332">
        <v>15142</v>
      </c>
      <c r="L332">
        <v>201941</v>
      </c>
      <c r="M332">
        <v>40388</v>
      </c>
      <c r="N332">
        <v>60582</v>
      </c>
      <c r="O332">
        <v>20194</v>
      </c>
      <c r="P332">
        <v>-80776</v>
      </c>
      <c r="Q332">
        <v>-50485</v>
      </c>
      <c r="R332">
        <v>207725</v>
      </c>
      <c r="S332">
        <v>62317</v>
      </c>
      <c r="T332">
        <v>20772</v>
      </c>
      <c r="U332">
        <v>10097</v>
      </c>
      <c r="V332">
        <v>6058</v>
      </c>
      <c r="W332">
        <v>4038</v>
      </c>
      <c r="X332">
        <v>20194</v>
      </c>
      <c r="Y332">
        <v>10097</v>
      </c>
      <c r="Z332">
        <v>10386</v>
      </c>
      <c r="AA332">
        <v>6231</v>
      </c>
      <c r="AB332">
        <v>4154</v>
      </c>
    </row>
    <row r="333" spans="1:28" x14ac:dyDescent="0.35">
      <c r="A333" t="s">
        <v>378</v>
      </c>
      <c r="B333" t="s">
        <v>9</v>
      </c>
      <c r="C333" t="s">
        <v>1</v>
      </c>
      <c r="D333" t="s">
        <v>10</v>
      </c>
      <c r="E333" t="s">
        <v>11</v>
      </c>
      <c r="F333">
        <v>339823</v>
      </c>
      <c r="G333">
        <v>-68937</v>
      </c>
      <c r="H333">
        <v>126829</v>
      </c>
      <c r="I333">
        <v>339823</v>
      </c>
      <c r="J333">
        <v>33982</v>
      </c>
      <c r="K333">
        <v>16991</v>
      </c>
      <c r="L333">
        <v>111548</v>
      </c>
      <c r="M333">
        <v>22309</v>
      </c>
      <c r="N333">
        <v>33464</v>
      </c>
      <c r="O333">
        <v>11154</v>
      </c>
      <c r="P333">
        <v>-44619</v>
      </c>
      <c r="Q333">
        <v>-27887</v>
      </c>
      <c r="R333">
        <v>123715</v>
      </c>
      <c r="S333">
        <v>37114</v>
      </c>
      <c r="T333">
        <v>12371</v>
      </c>
      <c r="U333">
        <v>5577</v>
      </c>
      <c r="V333">
        <v>3346</v>
      </c>
      <c r="W333">
        <v>2230</v>
      </c>
      <c r="X333">
        <v>11154</v>
      </c>
      <c r="Y333">
        <v>5577</v>
      </c>
      <c r="Z333">
        <v>6185</v>
      </c>
      <c r="AA333">
        <v>3711</v>
      </c>
      <c r="AB333">
        <v>2474</v>
      </c>
    </row>
    <row r="334" spans="1:28" x14ac:dyDescent="0.35">
      <c r="A334" t="s">
        <v>379</v>
      </c>
      <c r="B334" t="s">
        <v>9</v>
      </c>
      <c r="C334" t="s">
        <v>1</v>
      </c>
      <c r="D334" t="s">
        <v>10</v>
      </c>
      <c r="E334" t="s">
        <v>11</v>
      </c>
      <c r="F334">
        <v>89544</v>
      </c>
      <c r="G334">
        <v>-22242</v>
      </c>
      <c r="H334">
        <v>31659</v>
      </c>
      <c r="I334">
        <v>89544</v>
      </c>
      <c r="J334">
        <v>8954</v>
      </c>
      <c r="K334">
        <v>4477</v>
      </c>
      <c r="L334">
        <v>69931</v>
      </c>
      <c r="M334">
        <v>13986</v>
      </c>
      <c r="N334">
        <v>20979</v>
      </c>
      <c r="O334">
        <v>6993</v>
      </c>
      <c r="P334">
        <v>-27972</v>
      </c>
      <c r="Q334">
        <v>-17482</v>
      </c>
      <c r="R334">
        <v>79089</v>
      </c>
      <c r="S334">
        <v>23726</v>
      </c>
      <c r="T334">
        <v>7908</v>
      </c>
      <c r="U334">
        <v>3496</v>
      </c>
      <c r="V334">
        <v>2097</v>
      </c>
      <c r="W334">
        <v>1398</v>
      </c>
      <c r="X334">
        <v>6993</v>
      </c>
      <c r="Y334">
        <v>3496</v>
      </c>
      <c r="Z334">
        <v>3954</v>
      </c>
      <c r="AA334">
        <v>2372</v>
      </c>
      <c r="AB334">
        <v>1581</v>
      </c>
    </row>
    <row r="335" spans="1:28" x14ac:dyDescent="0.35">
      <c r="A335" t="s">
        <v>380</v>
      </c>
      <c r="B335" t="s">
        <v>9</v>
      </c>
      <c r="C335" t="s">
        <v>1</v>
      </c>
      <c r="D335" t="s">
        <v>10</v>
      </c>
      <c r="E335" t="s">
        <v>11</v>
      </c>
      <c r="F335">
        <v>79180</v>
      </c>
      <c r="G335">
        <v>-35544</v>
      </c>
      <c r="H335">
        <v>33942</v>
      </c>
      <c r="I335">
        <v>79180</v>
      </c>
      <c r="J335">
        <v>7918</v>
      </c>
      <c r="K335">
        <v>3959</v>
      </c>
      <c r="L335">
        <v>56086</v>
      </c>
      <c r="M335">
        <v>11217</v>
      </c>
      <c r="N335">
        <v>16825</v>
      </c>
      <c r="O335">
        <v>5608</v>
      </c>
      <c r="P335">
        <v>-22434</v>
      </c>
      <c r="Q335">
        <v>-14021</v>
      </c>
      <c r="R335">
        <v>56766</v>
      </c>
      <c r="S335">
        <v>17029</v>
      </c>
      <c r="T335">
        <v>5676</v>
      </c>
      <c r="U335">
        <v>2804</v>
      </c>
      <c r="V335">
        <v>1682</v>
      </c>
      <c r="W335">
        <v>1121</v>
      </c>
      <c r="X335">
        <v>5608</v>
      </c>
      <c r="Y335">
        <v>2804</v>
      </c>
      <c r="Z335">
        <v>2838</v>
      </c>
      <c r="AA335">
        <v>1702</v>
      </c>
      <c r="AB335">
        <v>1135</v>
      </c>
    </row>
    <row r="336" spans="1:28" x14ac:dyDescent="0.35">
      <c r="A336" t="s">
        <v>381</v>
      </c>
      <c r="B336" t="s">
        <v>9</v>
      </c>
      <c r="C336" t="s">
        <v>1</v>
      </c>
      <c r="D336" t="s">
        <v>10</v>
      </c>
      <c r="E336" t="s">
        <v>11</v>
      </c>
      <c r="F336">
        <v>224387</v>
      </c>
      <c r="G336">
        <v>-109638</v>
      </c>
      <c r="H336">
        <v>98583</v>
      </c>
      <c r="I336">
        <v>224387</v>
      </c>
      <c r="J336">
        <v>22438</v>
      </c>
      <c r="K336">
        <v>11219</v>
      </c>
      <c r="L336">
        <v>172646</v>
      </c>
      <c r="M336">
        <v>34529</v>
      </c>
      <c r="N336">
        <v>51793</v>
      </c>
      <c r="O336">
        <v>17264</v>
      </c>
      <c r="P336">
        <v>-69058</v>
      </c>
      <c r="Q336">
        <v>-43161</v>
      </c>
      <c r="R336">
        <v>158044</v>
      </c>
      <c r="S336">
        <v>47413</v>
      </c>
      <c r="T336">
        <v>15804</v>
      </c>
      <c r="U336">
        <v>8632</v>
      </c>
      <c r="V336">
        <v>5179</v>
      </c>
      <c r="W336">
        <v>3452</v>
      </c>
      <c r="X336">
        <v>17264</v>
      </c>
      <c r="Y336">
        <v>8632</v>
      </c>
      <c r="Z336">
        <v>7902</v>
      </c>
      <c r="AA336">
        <v>4741</v>
      </c>
      <c r="AB336">
        <v>3160</v>
      </c>
    </row>
    <row r="337" spans="1:28" x14ac:dyDescent="0.35">
      <c r="A337" t="s">
        <v>382</v>
      </c>
      <c r="B337" t="s">
        <v>9</v>
      </c>
      <c r="C337" t="s">
        <v>1</v>
      </c>
      <c r="D337" t="s">
        <v>10</v>
      </c>
      <c r="E337" t="s">
        <v>11</v>
      </c>
      <c r="F337">
        <v>362940</v>
      </c>
      <c r="G337">
        <v>-216369</v>
      </c>
      <c r="H337">
        <v>48262</v>
      </c>
      <c r="I337">
        <v>362940</v>
      </c>
      <c r="J337">
        <v>36294</v>
      </c>
      <c r="K337">
        <v>18147</v>
      </c>
      <c r="L337">
        <v>141303</v>
      </c>
      <c r="M337">
        <v>28260</v>
      </c>
      <c r="N337">
        <v>42390</v>
      </c>
      <c r="O337">
        <v>14130</v>
      </c>
      <c r="P337">
        <v>-56521</v>
      </c>
      <c r="Q337">
        <v>-35325</v>
      </c>
      <c r="R337">
        <v>165707</v>
      </c>
      <c r="S337">
        <v>49712</v>
      </c>
      <c r="T337">
        <v>16570</v>
      </c>
      <c r="U337">
        <v>7065</v>
      </c>
      <c r="V337">
        <v>4239</v>
      </c>
      <c r="W337">
        <v>2826</v>
      </c>
      <c r="X337">
        <v>14130</v>
      </c>
      <c r="Y337">
        <v>7065</v>
      </c>
      <c r="Z337">
        <v>8285</v>
      </c>
      <c r="AA337">
        <v>4971</v>
      </c>
      <c r="AB337">
        <v>3314</v>
      </c>
    </row>
    <row r="338" spans="1:28" x14ac:dyDescent="0.35">
      <c r="A338" t="s">
        <v>383</v>
      </c>
      <c r="B338" t="s">
        <v>9</v>
      </c>
      <c r="C338" t="s">
        <v>1</v>
      </c>
      <c r="D338" t="s">
        <v>10</v>
      </c>
      <c r="E338" t="s">
        <v>11</v>
      </c>
      <c r="F338">
        <v>161746</v>
      </c>
      <c r="G338">
        <v>-70026</v>
      </c>
      <c r="H338">
        <v>36229</v>
      </c>
      <c r="I338">
        <v>161746</v>
      </c>
      <c r="J338">
        <v>16174</v>
      </c>
      <c r="K338">
        <v>8087</v>
      </c>
      <c r="L338">
        <v>75746</v>
      </c>
      <c r="M338">
        <v>15149</v>
      </c>
      <c r="N338">
        <v>22723</v>
      </c>
      <c r="O338">
        <v>7574</v>
      </c>
      <c r="P338">
        <v>-30298</v>
      </c>
      <c r="Q338">
        <v>-18936</v>
      </c>
      <c r="R338">
        <v>68925</v>
      </c>
      <c r="S338">
        <v>20677</v>
      </c>
      <c r="T338">
        <v>6892</v>
      </c>
      <c r="U338">
        <v>3787</v>
      </c>
      <c r="V338">
        <v>2272</v>
      </c>
      <c r="W338">
        <v>1514</v>
      </c>
      <c r="X338">
        <v>7574</v>
      </c>
      <c r="Y338">
        <v>3787</v>
      </c>
      <c r="Z338">
        <v>3446</v>
      </c>
      <c r="AA338">
        <v>2067</v>
      </c>
      <c r="AB338">
        <v>1378</v>
      </c>
    </row>
    <row r="339" spans="1:28" x14ac:dyDescent="0.35">
      <c r="A339" t="s">
        <v>384</v>
      </c>
      <c r="B339" t="s">
        <v>9</v>
      </c>
      <c r="C339" t="s">
        <v>1</v>
      </c>
      <c r="D339" t="s">
        <v>10</v>
      </c>
      <c r="E339" t="s">
        <v>11</v>
      </c>
      <c r="F339">
        <v>292720</v>
      </c>
      <c r="G339">
        <v>-88249</v>
      </c>
      <c r="H339">
        <v>69529</v>
      </c>
      <c r="I339">
        <v>292720</v>
      </c>
      <c r="J339">
        <v>29272</v>
      </c>
      <c r="K339">
        <v>14636</v>
      </c>
      <c r="L339">
        <v>175232</v>
      </c>
      <c r="M339">
        <v>35046</v>
      </c>
      <c r="N339">
        <v>52569</v>
      </c>
      <c r="O339">
        <v>17523</v>
      </c>
      <c r="P339">
        <v>-70092</v>
      </c>
      <c r="Q339">
        <v>-43808</v>
      </c>
      <c r="R339">
        <v>181969</v>
      </c>
      <c r="S339">
        <v>54590</v>
      </c>
      <c r="T339">
        <v>18196</v>
      </c>
      <c r="U339">
        <v>8761</v>
      </c>
      <c r="V339">
        <v>5256</v>
      </c>
      <c r="W339">
        <v>3504</v>
      </c>
      <c r="X339">
        <v>17523</v>
      </c>
      <c r="Y339">
        <v>8761</v>
      </c>
      <c r="Z339">
        <v>9098</v>
      </c>
      <c r="AA339">
        <v>5459</v>
      </c>
      <c r="AB339">
        <v>3639</v>
      </c>
    </row>
    <row r="340" spans="1:28" x14ac:dyDescent="0.35">
      <c r="A340" t="s">
        <v>385</v>
      </c>
      <c r="B340" t="s">
        <v>9</v>
      </c>
      <c r="C340" t="s">
        <v>1</v>
      </c>
      <c r="D340" t="s">
        <v>10</v>
      </c>
      <c r="E340" t="s">
        <v>11</v>
      </c>
      <c r="F340">
        <v>430950</v>
      </c>
      <c r="G340">
        <v>-130743</v>
      </c>
      <c r="H340">
        <v>64958</v>
      </c>
      <c r="I340">
        <v>430950</v>
      </c>
      <c r="J340">
        <v>43095</v>
      </c>
      <c r="K340">
        <v>21547</v>
      </c>
      <c r="L340">
        <v>293137</v>
      </c>
      <c r="M340">
        <v>58627</v>
      </c>
      <c r="N340">
        <v>87941</v>
      </c>
      <c r="O340">
        <v>29313</v>
      </c>
      <c r="P340">
        <v>-117254</v>
      </c>
      <c r="Q340">
        <v>-73284</v>
      </c>
      <c r="R340">
        <v>283372</v>
      </c>
      <c r="S340">
        <v>85011</v>
      </c>
      <c r="T340">
        <v>28337</v>
      </c>
      <c r="U340">
        <v>14656</v>
      </c>
      <c r="V340">
        <v>8794</v>
      </c>
      <c r="W340">
        <v>5862</v>
      </c>
      <c r="X340">
        <v>29313</v>
      </c>
      <c r="Y340">
        <v>14656</v>
      </c>
      <c r="Z340">
        <v>14168</v>
      </c>
      <c r="AA340">
        <v>8501</v>
      </c>
      <c r="AB340">
        <v>5667</v>
      </c>
    </row>
    <row r="341" spans="1:28" x14ac:dyDescent="0.35">
      <c r="A341" t="s">
        <v>386</v>
      </c>
      <c r="B341" t="s">
        <v>9</v>
      </c>
      <c r="C341" t="s">
        <v>1</v>
      </c>
      <c r="D341" t="s">
        <v>10</v>
      </c>
      <c r="E341" t="s">
        <v>11</v>
      </c>
      <c r="F341">
        <v>67528</v>
      </c>
      <c r="G341">
        <v>-16701</v>
      </c>
      <c r="H341">
        <v>21491</v>
      </c>
      <c r="I341">
        <v>67528</v>
      </c>
      <c r="J341">
        <v>6752</v>
      </c>
      <c r="K341">
        <v>3376</v>
      </c>
      <c r="L341">
        <v>53941</v>
      </c>
      <c r="M341">
        <v>10788</v>
      </c>
      <c r="N341">
        <v>16182</v>
      </c>
      <c r="O341">
        <v>5394</v>
      </c>
      <c r="P341">
        <v>-21576</v>
      </c>
      <c r="Q341">
        <v>-13485</v>
      </c>
      <c r="R341">
        <v>61263</v>
      </c>
      <c r="S341">
        <v>18378</v>
      </c>
      <c r="T341">
        <v>6126</v>
      </c>
      <c r="U341">
        <v>2697</v>
      </c>
      <c r="V341">
        <v>1618</v>
      </c>
      <c r="W341">
        <v>1078</v>
      </c>
      <c r="X341">
        <v>5394</v>
      </c>
      <c r="Y341">
        <v>2697</v>
      </c>
      <c r="Z341">
        <v>3063</v>
      </c>
      <c r="AA341">
        <v>1837</v>
      </c>
      <c r="AB341">
        <v>1225</v>
      </c>
    </row>
    <row r="342" spans="1:28" x14ac:dyDescent="0.35">
      <c r="A342" t="s">
        <v>387</v>
      </c>
      <c r="B342" t="s">
        <v>9</v>
      </c>
      <c r="C342" t="s">
        <v>1</v>
      </c>
      <c r="D342" t="s">
        <v>10</v>
      </c>
      <c r="E342" t="s">
        <v>11</v>
      </c>
      <c r="F342">
        <v>393304</v>
      </c>
      <c r="G342">
        <v>-164086</v>
      </c>
      <c r="H342">
        <v>95918</v>
      </c>
      <c r="I342">
        <v>393304</v>
      </c>
      <c r="J342">
        <v>39330</v>
      </c>
      <c r="K342">
        <v>19665</v>
      </c>
      <c r="L342">
        <v>235442</v>
      </c>
      <c r="M342">
        <v>47088</v>
      </c>
      <c r="N342">
        <v>70632</v>
      </c>
      <c r="O342">
        <v>23544</v>
      </c>
      <c r="P342">
        <v>-94176</v>
      </c>
      <c r="Q342">
        <v>-58860</v>
      </c>
      <c r="R342">
        <v>231632</v>
      </c>
      <c r="S342">
        <v>69489</v>
      </c>
      <c r="T342">
        <v>23163</v>
      </c>
      <c r="U342">
        <v>11772</v>
      </c>
      <c r="V342">
        <v>7063</v>
      </c>
      <c r="W342">
        <v>4708</v>
      </c>
      <c r="X342">
        <v>23544</v>
      </c>
      <c r="Y342">
        <v>11772</v>
      </c>
      <c r="Z342">
        <v>11581</v>
      </c>
      <c r="AA342">
        <v>6948</v>
      </c>
      <c r="AB342">
        <v>4632</v>
      </c>
    </row>
    <row r="343" spans="1:28" x14ac:dyDescent="0.35">
      <c r="A343" t="s">
        <v>388</v>
      </c>
      <c r="B343" t="s">
        <v>9</v>
      </c>
      <c r="C343" t="s">
        <v>1</v>
      </c>
      <c r="D343" t="s">
        <v>10</v>
      </c>
      <c r="E343" t="s">
        <v>11</v>
      </c>
      <c r="F343">
        <v>225297</v>
      </c>
      <c r="G343">
        <v>-65422</v>
      </c>
      <c r="H343">
        <v>95061</v>
      </c>
      <c r="I343">
        <v>225297</v>
      </c>
      <c r="J343">
        <v>22529</v>
      </c>
      <c r="K343">
        <v>11264</v>
      </c>
      <c r="L343">
        <v>173659</v>
      </c>
      <c r="M343">
        <v>34731</v>
      </c>
      <c r="N343">
        <v>52097</v>
      </c>
      <c r="O343">
        <v>17365</v>
      </c>
      <c r="P343">
        <v>-69463</v>
      </c>
      <c r="Q343">
        <v>-43414</v>
      </c>
      <c r="R343">
        <v>198631</v>
      </c>
      <c r="S343">
        <v>59589</v>
      </c>
      <c r="T343">
        <v>19863</v>
      </c>
      <c r="U343">
        <v>8682</v>
      </c>
      <c r="V343">
        <v>5209</v>
      </c>
      <c r="W343">
        <v>3473</v>
      </c>
      <c r="X343">
        <v>17365</v>
      </c>
      <c r="Y343">
        <v>8682</v>
      </c>
      <c r="Z343">
        <v>9931</v>
      </c>
      <c r="AA343">
        <v>5958</v>
      </c>
      <c r="AB343">
        <v>3972</v>
      </c>
    </row>
    <row r="344" spans="1:28" x14ac:dyDescent="0.35">
      <c r="A344" t="s">
        <v>389</v>
      </c>
      <c r="B344" t="s">
        <v>9</v>
      </c>
      <c r="C344" t="s">
        <v>1</v>
      </c>
      <c r="D344" t="s">
        <v>10</v>
      </c>
      <c r="E344" t="s">
        <v>11</v>
      </c>
      <c r="F344">
        <v>138245</v>
      </c>
      <c r="G344">
        <v>-75416</v>
      </c>
      <c r="H344">
        <v>46442</v>
      </c>
      <c r="I344">
        <v>138245</v>
      </c>
      <c r="J344">
        <v>13824</v>
      </c>
      <c r="K344">
        <v>6912</v>
      </c>
      <c r="L344">
        <v>63434</v>
      </c>
      <c r="M344">
        <v>12686</v>
      </c>
      <c r="N344">
        <v>19030</v>
      </c>
      <c r="O344">
        <v>6343</v>
      </c>
      <c r="P344">
        <v>-25373</v>
      </c>
      <c r="Q344">
        <v>-15858</v>
      </c>
      <c r="R344">
        <v>64008</v>
      </c>
      <c r="S344">
        <v>19202</v>
      </c>
      <c r="T344">
        <v>6400</v>
      </c>
      <c r="U344">
        <v>3171</v>
      </c>
      <c r="V344">
        <v>1903</v>
      </c>
      <c r="W344">
        <v>1268</v>
      </c>
      <c r="X344">
        <v>6343</v>
      </c>
      <c r="Y344">
        <v>3171</v>
      </c>
      <c r="Z344">
        <v>3200</v>
      </c>
      <c r="AA344">
        <v>1920</v>
      </c>
      <c r="AB344">
        <v>1280</v>
      </c>
    </row>
    <row r="345" spans="1:28" x14ac:dyDescent="0.35">
      <c r="A345" t="s">
        <v>390</v>
      </c>
      <c r="B345" t="s">
        <v>9</v>
      </c>
      <c r="C345" t="s">
        <v>1</v>
      </c>
      <c r="D345" t="s">
        <v>10</v>
      </c>
      <c r="E345" t="s">
        <v>11</v>
      </c>
      <c r="F345">
        <v>207183</v>
      </c>
      <c r="G345">
        <v>-43343</v>
      </c>
      <c r="H345">
        <v>63935</v>
      </c>
      <c r="I345">
        <v>207183</v>
      </c>
      <c r="J345">
        <v>20718</v>
      </c>
      <c r="K345">
        <v>10359</v>
      </c>
      <c r="L345">
        <v>52420</v>
      </c>
      <c r="M345">
        <v>10484</v>
      </c>
      <c r="N345">
        <v>15726</v>
      </c>
      <c r="O345">
        <v>5242</v>
      </c>
      <c r="P345">
        <v>-20968</v>
      </c>
      <c r="Q345">
        <v>-13105</v>
      </c>
      <c r="R345">
        <v>45638</v>
      </c>
      <c r="S345">
        <v>13691</v>
      </c>
      <c r="T345">
        <v>4563</v>
      </c>
      <c r="U345">
        <v>2621</v>
      </c>
      <c r="V345">
        <v>1572</v>
      </c>
      <c r="W345">
        <v>1048</v>
      </c>
      <c r="X345">
        <v>5242</v>
      </c>
      <c r="Y345">
        <v>2621</v>
      </c>
      <c r="Z345">
        <v>2281</v>
      </c>
      <c r="AA345">
        <v>1369</v>
      </c>
      <c r="AB345">
        <v>912</v>
      </c>
    </row>
    <row r="346" spans="1:28" x14ac:dyDescent="0.35">
      <c r="A346" t="s">
        <v>391</v>
      </c>
      <c r="B346" t="s">
        <v>9</v>
      </c>
      <c r="C346" t="s">
        <v>1</v>
      </c>
      <c r="D346" t="s">
        <v>10</v>
      </c>
      <c r="E346" t="s">
        <v>11</v>
      </c>
      <c r="F346">
        <v>99838</v>
      </c>
      <c r="G346">
        <v>-49485</v>
      </c>
      <c r="H346">
        <v>21315</v>
      </c>
      <c r="I346">
        <v>99838</v>
      </c>
      <c r="J346">
        <v>9983</v>
      </c>
      <c r="K346">
        <v>4991</v>
      </c>
      <c r="L346">
        <v>37539</v>
      </c>
      <c r="M346">
        <v>7507</v>
      </c>
      <c r="N346">
        <v>11261</v>
      </c>
      <c r="O346">
        <v>3753</v>
      </c>
      <c r="P346">
        <v>-15015</v>
      </c>
      <c r="Q346">
        <v>-9384</v>
      </c>
      <c r="R346">
        <v>32615</v>
      </c>
      <c r="S346">
        <v>9784</v>
      </c>
      <c r="T346">
        <v>3261</v>
      </c>
      <c r="U346">
        <v>1876</v>
      </c>
      <c r="V346">
        <v>1126</v>
      </c>
      <c r="W346">
        <v>750</v>
      </c>
      <c r="X346">
        <v>3753</v>
      </c>
      <c r="Y346">
        <v>1876</v>
      </c>
      <c r="Z346">
        <v>1630</v>
      </c>
      <c r="AA346">
        <v>978</v>
      </c>
      <c r="AB346">
        <v>652</v>
      </c>
    </row>
    <row r="347" spans="1:28" x14ac:dyDescent="0.35">
      <c r="A347" t="s">
        <v>392</v>
      </c>
      <c r="B347" t="s">
        <v>9</v>
      </c>
      <c r="C347" t="s">
        <v>1</v>
      </c>
      <c r="D347" t="s">
        <v>10</v>
      </c>
      <c r="E347" t="s">
        <v>11</v>
      </c>
      <c r="F347">
        <v>105650</v>
      </c>
      <c r="G347">
        <v>-40768</v>
      </c>
      <c r="H347">
        <v>36415</v>
      </c>
      <c r="I347">
        <v>105650</v>
      </c>
      <c r="J347">
        <v>10565</v>
      </c>
      <c r="K347">
        <v>5282</v>
      </c>
      <c r="L347">
        <v>31425</v>
      </c>
      <c r="M347">
        <v>6285</v>
      </c>
      <c r="N347">
        <v>9427</v>
      </c>
      <c r="O347">
        <v>3142</v>
      </c>
      <c r="P347">
        <v>-12570</v>
      </c>
      <c r="Q347">
        <v>-7856</v>
      </c>
      <c r="R347">
        <v>33914</v>
      </c>
      <c r="S347">
        <v>10174</v>
      </c>
      <c r="T347">
        <v>3391</v>
      </c>
      <c r="U347">
        <v>1571</v>
      </c>
      <c r="V347">
        <v>942</v>
      </c>
      <c r="W347">
        <v>628</v>
      </c>
      <c r="X347">
        <v>3142</v>
      </c>
      <c r="Y347">
        <v>1571</v>
      </c>
      <c r="Z347">
        <v>1695</v>
      </c>
      <c r="AA347">
        <v>1017</v>
      </c>
      <c r="AB347">
        <v>678</v>
      </c>
    </row>
    <row r="348" spans="1:28" x14ac:dyDescent="0.35">
      <c r="A348" t="s">
        <v>393</v>
      </c>
      <c r="B348" t="s">
        <v>9</v>
      </c>
      <c r="C348" t="s">
        <v>1</v>
      </c>
      <c r="D348" t="s">
        <v>10</v>
      </c>
      <c r="E348" t="s">
        <v>11</v>
      </c>
      <c r="F348">
        <v>133038</v>
      </c>
      <c r="G348">
        <v>-71265</v>
      </c>
      <c r="H348">
        <v>42321</v>
      </c>
      <c r="I348">
        <v>133038</v>
      </c>
      <c r="J348">
        <v>13303</v>
      </c>
      <c r="K348">
        <v>6651</v>
      </c>
      <c r="L348">
        <v>56545</v>
      </c>
      <c r="M348">
        <v>11309</v>
      </c>
      <c r="N348">
        <v>16963</v>
      </c>
      <c r="O348">
        <v>5654</v>
      </c>
      <c r="P348">
        <v>-22618</v>
      </c>
      <c r="Q348">
        <v>-14136</v>
      </c>
      <c r="R348">
        <v>59103</v>
      </c>
      <c r="S348">
        <v>17730</v>
      </c>
      <c r="T348">
        <v>5910</v>
      </c>
      <c r="U348">
        <v>2827</v>
      </c>
      <c r="V348">
        <v>1696</v>
      </c>
      <c r="W348">
        <v>1130</v>
      </c>
      <c r="X348">
        <v>5654</v>
      </c>
      <c r="Y348">
        <v>2827</v>
      </c>
      <c r="Z348">
        <v>2955</v>
      </c>
      <c r="AA348">
        <v>1773</v>
      </c>
      <c r="AB348">
        <v>1182</v>
      </c>
    </row>
    <row r="349" spans="1:28" x14ac:dyDescent="0.35">
      <c r="A349" t="s">
        <v>394</v>
      </c>
      <c r="B349" t="s">
        <v>9</v>
      </c>
      <c r="C349" t="s">
        <v>1</v>
      </c>
      <c r="D349" t="s">
        <v>10</v>
      </c>
      <c r="E349" t="s">
        <v>11</v>
      </c>
      <c r="F349">
        <v>111593</v>
      </c>
      <c r="G349">
        <v>-59819</v>
      </c>
      <c r="H349">
        <v>32980</v>
      </c>
      <c r="I349">
        <v>111593</v>
      </c>
      <c r="J349">
        <v>11159</v>
      </c>
      <c r="K349">
        <v>5579</v>
      </c>
      <c r="L349">
        <v>29667</v>
      </c>
      <c r="M349">
        <v>5933</v>
      </c>
      <c r="N349">
        <v>8900</v>
      </c>
      <c r="O349">
        <v>2966</v>
      </c>
      <c r="P349">
        <v>-11866</v>
      </c>
      <c r="Q349">
        <v>-7416</v>
      </c>
      <c r="R349">
        <v>24638</v>
      </c>
      <c r="S349">
        <v>7391</v>
      </c>
      <c r="T349">
        <v>2463</v>
      </c>
      <c r="U349">
        <v>1483</v>
      </c>
      <c r="V349">
        <v>890</v>
      </c>
      <c r="W349">
        <v>593</v>
      </c>
      <c r="X349">
        <v>2966</v>
      </c>
      <c r="Y349">
        <v>1483</v>
      </c>
      <c r="Z349">
        <v>1231</v>
      </c>
      <c r="AA349">
        <v>739</v>
      </c>
      <c r="AB349">
        <v>492</v>
      </c>
    </row>
    <row r="350" spans="1:28" x14ac:dyDescent="0.35">
      <c r="A350" t="s">
        <v>395</v>
      </c>
      <c r="B350" t="s">
        <v>9</v>
      </c>
      <c r="C350" t="s">
        <v>1</v>
      </c>
      <c r="D350" t="s">
        <v>10</v>
      </c>
      <c r="E350" t="s">
        <v>11</v>
      </c>
      <c r="F350">
        <v>438416</v>
      </c>
      <c r="G350">
        <v>-191929</v>
      </c>
      <c r="H350">
        <v>51398</v>
      </c>
      <c r="I350">
        <v>438416</v>
      </c>
      <c r="J350">
        <v>43841</v>
      </c>
      <c r="K350">
        <v>21920</v>
      </c>
      <c r="L350">
        <v>160971</v>
      </c>
      <c r="M350">
        <v>32194</v>
      </c>
      <c r="N350">
        <v>48291</v>
      </c>
      <c r="O350">
        <v>16097</v>
      </c>
      <c r="P350">
        <v>-64388</v>
      </c>
      <c r="Q350">
        <v>-40242</v>
      </c>
      <c r="R350">
        <v>140764</v>
      </c>
      <c r="S350">
        <v>42229</v>
      </c>
      <c r="T350">
        <v>14076</v>
      </c>
      <c r="U350">
        <v>8048</v>
      </c>
      <c r="V350">
        <v>4829</v>
      </c>
      <c r="W350">
        <v>3219</v>
      </c>
      <c r="X350">
        <v>16097</v>
      </c>
      <c r="Y350">
        <v>8048</v>
      </c>
      <c r="Z350">
        <v>7038</v>
      </c>
      <c r="AA350">
        <v>4222</v>
      </c>
      <c r="AB350">
        <v>2815</v>
      </c>
    </row>
    <row r="351" spans="1:28" x14ac:dyDescent="0.35">
      <c r="A351" t="s">
        <v>396</v>
      </c>
      <c r="B351" t="s">
        <v>9</v>
      </c>
      <c r="C351" t="s">
        <v>1</v>
      </c>
      <c r="D351" t="s">
        <v>10</v>
      </c>
      <c r="E351" t="s">
        <v>11</v>
      </c>
      <c r="F351">
        <v>129126</v>
      </c>
      <c r="G351">
        <v>-42749</v>
      </c>
      <c r="H351">
        <v>26626</v>
      </c>
      <c r="I351">
        <v>129126</v>
      </c>
      <c r="J351">
        <v>12912</v>
      </c>
      <c r="K351">
        <v>6456</v>
      </c>
      <c r="L351">
        <v>68201</v>
      </c>
      <c r="M351">
        <v>13640</v>
      </c>
      <c r="N351">
        <v>20460</v>
      </c>
      <c r="O351">
        <v>6820</v>
      </c>
      <c r="P351">
        <v>-27280</v>
      </c>
      <c r="Q351">
        <v>-17050</v>
      </c>
      <c r="R351">
        <v>65610</v>
      </c>
      <c r="S351">
        <v>19683</v>
      </c>
      <c r="T351">
        <v>6561</v>
      </c>
      <c r="U351">
        <v>3410</v>
      </c>
      <c r="V351">
        <v>2046</v>
      </c>
      <c r="W351">
        <v>1364</v>
      </c>
      <c r="X351">
        <v>6820</v>
      </c>
      <c r="Y351">
        <v>3410</v>
      </c>
      <c r="Z351">
        <v>3280</v>
      </c>
      <c r="AA351">
        <v>1968</v>
      </c>
      <c r="AB351">
        <v>1312</v>
      </c>
    </row>
    <row r="352" spans="1:28" x14ac:dyDescent="0.35">
      <c r="A352" t="s">
        <v>397</v>
      </c>
      <c r="B352" t="s">
        <v>9</v>
      </c>
      <c r="C352" t="s">
        <v>1</v>
      </c>
      <c r="D352" t="s">
        <v>10</v>
      </c>
      <c r="E352" t="s">
        <v>11</v>
      </c>
      <c r="F352">
        <v>170087</v>
      </c>
      <c r="G352">
        <v>-49181</v>
      </c>
      <c r="H352">
        <v>29962</v>
      </c>
      <c r="I352">
        <v>170087</v>
      </c>
      <c r="J352">
        <v>17008</v>
      </c>
      <c r="K352">
        <v>8504</v>
      </c>
      <c r="L352">
        <v>52726</v>
      </c>
      <c r="M352">
        <v>10545</v>
      </c>
      <c r="N352">
        <v>15817</v>
      </c>
      <c r="O352">
        <v>5272</v>
      </c>
      <c r="P352">
        <v>-21090</v>
      </c>
      <c r="Q352">
        <v>-13181</v>
      </c>
      <c r="R352">
        <v>43600</v>
      </c>
      <c r="S352">
        <v>13080</v>
      </c>
      <c r="T352">
        <v>4360</v>
      </c>
      <c r="U352">
        <v>2636</v>
      </c>
      <c r="V352">
        <v>1581</v>
      </c>
      <c r="W352">
        <v>1054</v>
      </c>
      <c r="X352">
        <v>5272</v>
      </c>
      <c r="Y352">
        <v>2636</v>
      </c>
      <c r="Z352">
        <v>2180</v>
      </c>
      <c r="AA352">
        <v>1308</v>
      </c>
      <c r="AB352">
        <v>872</v>
      </c>
    </row>
    <row r="353" spans="1:28" x14ac:dyDescent="0.35">
      <c r="A353" t="s">
        <v>398</v>
      </c>
      <c r="B353" t="s">
        <v>9</v>
      </c>
      <c r="C353" t="s">
        <v>1</v>
      </c>
      <c r="D353" t="s">
        <v>10</v>
      </c>
      <c r="E353" t="s">
        <v>11</v>
      </c>
      <c r="F353">
        <v>216856</v>
      </c>
      <c r="G353">
        <v>-67216</v>
      </c>
      <c r="H353">
        <v>107333</v>
      </c>
      <c r="I353">
        <v>216856</v>
      </c>
      <c r="J353">
        <v>21685</v>
      </c>
      <c r="K353">
        <v>10842</v>
      </c>
      <c r="L353">
        <v>105633</v>
      </c>
      <c r="M353">
        <v>21126</v>
      </c>
      <c r="N353">
        <v>31689</v>
      </c>
      <c r="O353">
        <v>10563</v>
      </c>
      <c r="P353">
        <v>-42253</v>
      </c>
      <c r="Q353">
        <v>-26408</v>
      </c>
      <c r="R353">
        <v>92126</v>
      </c>
      <c r="S353">
        <v>27637</v>
      </c>
      <c r="T353">
        <v>9212</v>
      </c>
      <c r="U353">
        <v>5281</v>
      </c>
      <c r="V353">
        <v>3168</v>
      </c>
      <c r="W353">
        <v>2112</v>
      </c>
      <c r="X353">
        <v>10563</v>
      </c>
      <c r="Y353">
        <v>5281</v>
      </c>
      <c r="Z353">
        <v>4606</v>
      </c>
      <c r="AA353">
        <v>2763</v>
      </c>
      <c r="AB353">
        <v>1842</v>
      </c>
    </row>
    <row r="354" spans="1:28" x14ac:dyDescent="0.35">
      <c r="A354" t="s">
        <v>399</v>
      </c>
      <c r="B354" t="s">
        <v>9</v>
      </c>
      <c r="C354" t="s">
        <v>1</v>
      </c>
      <c r="D354" t="s">
        <v>10</v>
      </c>
      <c r="E354" t="s">
        <v>11</v>
      </c>
      <c r="F354">
        <v>235615</v>
      </c>
      <c r="G354">
        <v>-109270</v>
      </c>
      <c r="H354">
        <v>116672</v>
      </c>
      <c r="I354">
        <v>235615</v>
      </c>
      <c r="J354">
        <v>23561</v>
      </c>
      <c r="K354">
        <v>11780</v>
      </c>
      <c r="L354">
        <v>128061</v>
      </c>
      <c r="M354">
        <v>25612</v>
      </c>
      <c r="N354">
        <v>38418</v>
      </c>
      <c r="O354">
        <v>12806</v>
      </c>
      <c r="P354">
        <v>-51224</v>
      </c>
      <c r="Q354">
        <v>-32015</v>
      </c>
      <c r="R354">
        <v>115936</v>
      </c>
      <c r="S354">
        <v>34780</v>
      </c>
      <c r="T354">
        <v>11593</v>
      </c>
      <c r="U354">
        <v>6403</v>
      </c>
      <c r="V354">
        <v>3841</v>
      </c>
      <c r="W354">
        <v>2561</v>
      </c>
      <c r="X354">
        <v>12806</v>
      </c>
      <c r="Y354">
        <v>6403</v>
      </c>
      <c r="Z354">
        <v>5796</v>
      </c>
      <c r="AA354">
        <v>3478</v>
      </c>
      <c r="AB354">
        <v>2318</v>
      </c>
    </row>
    <row r="355" spans="1:28" x14ac:dyDescent="0.35">
      <c r="A355" t="s">
        <v>400</v>
      </c>
      <c r="B355" t="s">
        <v>9</v>
      </c>
      <c r="C355" t="s">
        <v>1</v>
      </c>
      <c r="D355" t="s">
        <v>10</v>
      </c>
      <c r="E355" t="s">
        <v>11</v>
      </c>
      <c r="F355">
        <v>441868</v>
      </c>
      <c r="G355">
        <v>-122549</v>
      </c>
      <c r="H355">
        <v>175055</v>
      </c>
      <c r="I355">
        <v>441868</v>
      </c>
      <c r="J355">
        <v>44186</v>
      </c>
      <c r="K355">
        <v>22093</v>
      </c>
      <c r="L355">
        <v>132678</v>
      </c>
      <c r="M355">
        <v>26535</v>
      </c>
      <c r="N355">
        <v>39803</v>
      </c>
      <c r="O355">
        <v>13267</v>
      </c>
      <c r="P355">
        <v>-53071</v>
      </c>
      <c r="Q355">
        <v>-33169</v>
      </c>
      <c r="R355">
        <v>120328</v>
      </c>
      <c r="S355">
        <v>36098</v>
      </c>
      <c r="T355">
        <v>12032</v>
      </c>
      <c r="U355">
        <v>6633</v>
      </c>
      <c r="V355">
        <v>3980</v>
      </c>
      <c r="W355">
        <v>2653</v>
      </c>
      <c r="X355">
        <v>13267</v>
      </c>
      <c r="Y355">
        <v>6633</v>
      </c>
      <c r="Z355">
        <v>6016</v>
      </c>
      <c r="AA355">
        <v>3609</v>
      </c>
      <c r="AB355">
        <v>2406</v>
      </c>
    </row>
    <row r="356" spans="1:28" x14ac:dyDescent="0.35">
      <c r="A356" t="s">
        <v>401</v>
      </c>
      <c r="B356" t="s">
        <v>9</v>
      </c>
      <c r="C356" t="s">
        <v>1</v>
      </c>
      <c r="D356" t="s">
        <v>10</v>
      </c>
      <c r="E356" t="s">
        <v>11</v>
      </c>
      <c r="F356">
        <v>179970</v>
      </c>
      <c r="G356">
        <v>-81516</v>
      </c>
      <c r="H356">
        <v>43545</v>
      </c>
      <c r="I356">
        <v>179970</v>
      </c>
      <c r="J356">
        <v>17997</v>
      </c>
      <c r="K356">
        <v>8998</v>
      </c>
      <c r="L356">
        <v>72833</v>
      </c>
      <c r="M356">
        <v>14566</v>
      </c>
      <c r="N356">
        <v>21849</v>
      </c>
      <c r="O356">
        <v>7283</v>
      </c>
      <c r="P356">
        <v>-29133</v>
      </c>
      <c r="Q356">
        <v>-18208</v>
      </c>
      <c r="R356">
        <v>84142</v>
      </c>
      <c r="S356">
        <v>25242</v>
      </c>
      <c r="T356">
        <v>8414</v>
      </c>
      <c r="U356">
        <v>3641</v>
      </c>
      <c r="V356">
        <v>2184</v>
      </c>
      <c r="W356">
        <v>1456</v>
      </c>
      <c r="X356">
        <v>7283</v>
      </c>
      <c r="Y356">
        <v>3641</v>
      </c>
      <c r="Z356">
        <v>4207</v>
      </c>
      <c r="AA356">
        <v>2524</v>
      </c>
      <c r="AB356">
        <v>1682</v>
      </c>
    </row>
    <row r="357" spans="1:28" x14ac:dyDescent="0.35">
      <c r="A357" t="s">
        <v>402</v>
      </c>
      <c r="B357" t="s">
        <v>9</v>
      </c>
      <c r="C357" t="s">
        <v>1</v>
      </c>
      <c r="D357" t="s">
        <v>10</v>
      </c>
      <c r="E357" t="s">
        <v>11</v>
      </c>
      <c r="F357">
        <v>308172</v>
      </c>
      <c r="G357">
        <v>-174958</v>
      </c>
      <c r="H357">
        <v>59241</v>
      </c>
      <c r="I357">
        <v>308172</v>
      </c>
      <c r="J357">
        <v>30817</v>
      </c>
      <c r="K357">
        <v>15408</v>
      </c>
      <c r="L357">
        <v>185350</v>
      </c>
      <c r="M357">
        <v>37070</v>
      </c>
      <c r="N357">
        <v>55605</v>
      </c>
      <c r="O357">
        <v>18535</v>
      </c>
      <c r="P357">
        <v>-74140</v>
      </c>
      <c r="Q357">
        <v>-46337</v>
      </c>
      <c r="R357">
        <v>161598</v>
      </c>
      <c r="S357">
        <v>48479</v>
      </c>
      <c r="T357">
        <v>16159</v>
      </c>
      <c r="U357">
        <v>9267</v>
      </c>
      <c r="V357">
        <v>5560</v>
      </c>
      <c r="W357">
        <v>3707</v>
      </c>
      <c r="X357">
        <v>18535</v>
      </c>
      <c r="Y357">
        <v>9267</v>
      </c>
      <c r="Z357">
        <v>8079</v>
      </c>
      <c r="AA357">
        <v>4847</v>
      </c>
      <c r="AB357">
        <v>3231</v>
      </c>
    </row>
    <row r="358" spans="1:28" x14ac:dyDescent="0.35">
      <c r="A358" t="s">
        <v>403</v>
      </c>
      <c r="B358" t="s">
        <v>9</v>
      </c>
      <c r="C358" t="s">
        <v>1</v>
      </c>
      <c r="D358" t="s">
        <v>10</v>
      </c>
      <c r="E358" t="s">
        <v>11</v>
      </c>
      <c r="F358">
        <v>261340</v>
      </c>
      <c r="G358">
        <v>-127509</v>
      </c>
      <c r="H358">
        <v>55677</v>
      </c>
      <c r="I358">
        <v>261340</v>
      </c>
      <c r="J358">
        <v>26134</v>
      </c>
      <c r="K358">
        <v>13067</v>
      </c>
      <c r="L358">
        <v>55288</v>
      </c>
      <c r="M358">
        <v>11057</v>
      </c>
      <c r="N358">
        <v>16586</v>
      </c>
      <c r="O358">
        <v>5528</v>
      </c>
      <c r="P358">
        <v>-22115</v>
      </c>
      <c r="Q358">
        <v>-13822</v>
      </c>
      <c r="R358">
        <v>50777</v>
      </c>
      <c r="S358">
        <v>15233</v>
      </c>
      <c r="T358">
        <v>5077</v>
      </c>
      <c r="U358">
        <v>2764</v>
      </c>
      <c r="V358">
        <v>1658</v>
      </c>
      <c r="W358">
        <v>1105</v>
      </c>
      <c r="X358">
        <v>5528</v>
      </c>
      <c r="Y358">
        <v>2764</v>
      </c>
      <c r="Z358">
        <v>2538</v>
      </c>
      <c r="AA358">
        <v>1523</v>
      </c>
      <c r="AB358">
        <v>1015</v>
      </c>
    </row>
    <row r="359" spans="1:28" x14ac:dyDescent="0.35">
      <c r="A359" t="s">
        <v>404</v>
      </c>
      <c r="B359" t="s">
        <v>9</v>
      </c>
      <c r="C359" t="s">
        <v>1</v>
      </c>
      <c r="D359" t="s">
        <v>10</v>
      </c>
      <c r="E359" t="s">
        <v>11</v>
      </c>
      <c r="F359">
        <v>93968</v>
      </c>
      <c r="G359">
        <v>-44548</v>
      </c>
      <c r="H359">
        <v>30672</v>
      </c>
      <c r="I359">
        <v>93968</v>
      </c>
      <c r="J359">
        <v>9396</v>
      </c>
      <c r="K359">
        <v>4698</v>
      </c>
      <c r="L359">
        <v>23642</v>
      </c>
      <c r="M359">
        <v>4728</v>
      </c>
      <c r="N359">
        <v>7092</v>
      </c>
      <c r="O359">
        <v>2364</v>
      </c>
      <c r="P359">
        <v>-9456</v>
      </c>
      <c r="Q359">
        <v>-5910</v>
      </c>
      <c r="R359">
        <v>24880</v>
      </c>
      <c r="S359">
        <v>7464</v>
      </c>
      <c r="T359">
        <v>2488</v>
      </c>
      <c r="U359">
        <v>1182</v>
      </c>
      <c r="V359">
        <v>709</v>
      </c>
      <c r="W359">
        <v>472</v>
      </c>
      <c r="X359">
        <v>2364</v>
      </c>
      <c r="Y359">
        <v>1182</v>
      </c>
      <c r="Z359">
        <v>1244</v>
      </c>
      <c r="AA359">
        <v>746</v>
      </c>
      <c r="AB359">
        <v>497</v>
      </c>
    </row>
    <row r="360" spans="1:28" x14ac:dyDescent="0.35">
      <c r="A360" t="s">
        <v>405</v>
      </c>
      <c r="B360" t="s">
        <v>9</v>
      </c>
      <c r="C360" t="s">
        <v>1</v>
      </c>
      <c r="D360" t="s">
        <v>10</v>
      </c>
      <c r="E360" t="s">
        <v>11</v>
      </c>
      <c r="F360">
        <v>366547</v>
      </c>
      <c r="G360">
        <v>-145168</v>
      </c>
      <c r="H360">
        <v>163924</v>
      </c>
      <c r="I360">
        <v>366547</v>
      </c>
      <c r="J360">
        <v>36654</v>
      </c>
      <c r="K360">
        <v>18327</v>
      </c>
      <c r="L360">
        <v>145329</v>
      </c>
      <c r="M360">
        <v>29065</v>
      </c>
      <c r="N360">
        <v>43598</v>
      </c>
      <c r="O360">
        <v>14532</v>
      </c>
      <c r="P360">
        <v>-58131</v>
      </c>
      <c r="Q360">
        <v>-36332</v>
      </c>
      <c r="R360">
        <v>126766</v>
      </c>
      <c r="S360">
        <v>38029</v>
      </c>
      <c r="T360">
        <v>12676</v>
      </c>
      <c r="U360">
        <v>7266</v>
      </c>
      <c r="V360">
        <v>4359</v>
      </c>
      <c r="W360">
        <v>2906</v>
      </c>
      <c r="X360">
        <v>14532</v>
      </c>
      <c r="Y360">
        <v>7266</v>
      </c>
      <c r="Z360">
        <v>6338</v>
      </c>
      <c r="AA360">
        <v>3802</v>
      </c>
      <c r="AB360">
        <v>2535</v>
      </c>
    </row>
    <row r="361" spans="1:28" x14ac:dyDescent="0.35">
      <c r="A361" t="s">
        <v>406</v>
      </c>
      <c r="B361" t="s">
        <v>9</v>
      </c>
      <c r="C361" t="s">
        <v>1</v>
      </c>
      <c r="D361" t="s">
        <v>10</v>
      </c>
      <c r="E361" t="s">
        <v>11</v>
      </c>
      <c r="F361">
        <v>470993</v>
      </c>
      <c r="G361">
        <v>-237139</v>
      </c>
      <c r="H361">
        <v>114218</v>
      </c>
      <c r="I361">
        <v>470993</v>
      </c>
      <c r="J361">
        <v>47099</v>
      </c>
      <c r="K361">
        <v>23549</v>
      </c>
      <c r="L361">
        <v>302812</v>
      </c>
      <c r="M361">
        <v>60562</v>
      </c>
      <c r="N361">
        <v>90843</v>
      </c>
      <c r="O361">
        <v>30281</v>
      </c>
      <c r="P361">
        <v>-121124</v>
      </c>
      <c r="Q361">
        <v>-75703</v>
      </c>
      <c r="R361">
        <v>323367</v>
      </c>
      <c r="S361">
        <v>97010</v>
      </c>
      <c r="T361">
        <v>32336</v>
      </c>
      <c r="U361">
        <v>15140</v>
      </c>
      <c r="V361">
        <v>9084</v>
      </c>
      <c r="W361">
        <v>6056</v>
      </c>
      <c r="X361">
        <v>30281</v>
      </c>
      <c r="Y361">
        <v>15140</v>
      </c>
      <c r="Z361">
        <v>16168</v>
      </c>
      <c r="AA361">
        <v>9701</v>
      </c>
      <c r="AB361">
        <v>6467</v>
      </c>
    </row>
    <row r="362" spans="1:28" x14ac:dyDescent="0.35">
      <c r="A362" t="s">
        <v>407</v>
      </c>
      <c r="B362" t="s">
        <v>9</v>
      </c>
      <c r="C362" t="s">
        <v>1</v>
      </c>
      <c r="D362" t="s">
        <v>10</v>
      </c>
      <c r="E362" t="s">
        <v>11</v>
      </c>
      <c r="F362">
        <v>272063</v>
      </c>
      <c r="G362">
        <v>-145015</v>
      </c>
      <c r="H362">
        <v>98590</v>
      </c>
      <c r="I362">
        <v>272063</v>
      </c>
      <c r="J362">
        <v>27206</v>
      </c>
      <c r="K362">
        <v>13603</v>
      </c>
      <c r="L362">
        <v>158640</v>
      </c>
      <c r="M362">
        <v>31728</v>
      </c>
      <c r="N362">
        <v>47592</v>
      </c>
      <c r="O362">
        <v>15864</v>
      </c>
      <c r="P362">
        <v>-63456</v>
      </c>
      <c r="Q362">
        <v>-39660</v>
      </c>
      <c r="R362">
        <v>177412</v>
      </c>
      <c r="S362">
        <v>53223</v>
      </c>
      <c r="T362">
        <v>17741</v>
      </c>
      <c r="U362">
        <v>7932</v>
      </c>
      <c r="V362">
        <v>4759</v>
      </c>
      <c r="W362">
        <v>3172</v>
      </c>
      <c r="X362">
        <v>15864</v>
      </c>
      <c r="Y362">
        <v>7932</v>
      </c>
      <c r="Z362">
        <v>8870</v>
      </c>
      <c r="AA362">
        <v>5322</v>
      </c>
      <c r="AB362">
        <v>3548</v>
      </c>
    </row>
    <row r="363" spans="1:28" x14ac:dyDescent="0.35">
      <c r="A363" t="s">
        <v>408</v>
      </c>
      <c r="B363" t="s">
        <v>9</v>
      </c>
      <c r="C363" t="s">
        <v>1</v>
      </c>
      <c r="D363" t="s">
        <v>10</v>
      </c>
      <c r="E363" t="s">
        <v>11</v>
      </c>
      <c r="F363">
        <v>392567</v>
      </c>
      <c r="G363">
        <v>-156011</v>
      </c>
      <c r="H363">
        <v>66216</v>
      </c>
      <c r="I363">
        <v>392567</v>
      </c>
      <c r="J363">
        <v>39256</v>
      </c>
      <c r="K363">
        <v>19628</v>
      </c>
      <c r="L363">
        <v>281333</v>
      </c>
      <c r="M363">
        <v>56266</v>
      </c>
      <c r="N363">
        <v>84399</v>
      </c>
      <c r="O363">
        <v>28133</v>
      </c>
      <c r="P363">
        <v>-112533</v>
      </c>
      <c r="Q363">
        <v>-70333</v>
      </c>
      <c r="R363">
        <v>290487</v>
      </c>
      <c r="S363">
        <v>87146</v>
      </c>
      <c r="T363">
        <v>29048</v>
      </c>
      <c r="U363">
        <v>14066</v>
      </c>
      <c r="V363">
        <v>8439</v>
      </c>
      <c r="W363">
        <v>5626</v>
      </c>
      <c r="X363">
        <v>28133</v>
      </c>
      <c r="Y363">
        <v>14066</v>
      </c>
      <c r="Z363">
        <v>14524</v>
      </c>
      <c r="AA363">
        <v>8714</v>
      </c>
      <c r="AB363">
        <v>5809</v>
      </c>
    </row>
    <row r="364" spans="1:28" x14ac:dyDescent="0.35">
      <c r="A364" t="s">
        <v>409</v>
      </c>
      <c r="B364" t="s">
        <v>9</v>
      </c>
      <c r="C364" t="s">
        <v>1</v>
      </c>
      <c r="D364" t="s">
        <v>10</v>
      </c>
      <c r="E364" t="s">
        <v>11</v>
      </c>
      <c r="F364">
        <v>245235</v>
      </c>
      <c r="G364">
        <v>-97773</v>
      </c>
      <c r="H364">
        <v>66959</v>
      </c>
      <c r="I364">
        <v>245235</v>
      </c>
      <c r="J364">
        <v>24523</v>
      </c>
      <c r="K364">
        <v>12261</v>
      </c>
      <c r="L364">
        <v>58159</v>
      </c>
      <c r="M364">
        <v>11631</v>
      </c>
      <c r="N364">
        <v>17447</v>
      </c>
      <c r="O364">
        <v>5815</v>
      </c>
      <c r="P364">
        <v>-23263</v>
      </c>
      <c r="Q364">
        <v>-14539</v>
      </c>
      <c r="R364">
        <v>69738</v>
      </c>
      <c r="S364">
        <v>20921</v>
      </c>
      <c r="T364">
        <v>6973</v>
      </c>
      <c r="U364">
        <v>2907</v>
      </c>
      <c r="V364">
        <v>1744</v>
      </c>
      <c r="W364">
        <v>1163</v>
      </c>
      <c r="X364">
        <v>5815</v>
      </c>
      <c r="Y364">
        <v>2907</v>
      </c>
      <c r="Z364">
        <v>3486</v>
      </c>
      <c r="AA364">
        <v>2092</v>
      </c>
      <c r="AB364">
        <v>1394</v>
      </c>
    </row>
    <row r="365" spans="1:28" x14ac:dyDescent="0.35">
      <c r="A365" t="s">
        <v>410</v>
      </c>
      <c r="B365" t="s">
        <v>9</v>
      </c>
      <c r="C365" t="s">
        <v>1</v>
      </c>
      <c r="D365" t="s">
        <v>10</v>
      </c>
      <c r="E365" t="s">
        <v>11</v>
      </c>
      <c r="F365">
        <v>320612</v>
      </c>
      <c r="G365">
        <v>-128060</v>
      </c>
      <c r="H365">
        <v>83353</v>
      </c>
      <c r="I365">
        <v>320612</v>
      </c>
      <c r="J365">
        <v>32061</v>
      </c>
      <c r="K365">
        <v>16030</v>
      </c>
      <c r="L365">
        <v>93189</v>
      </c>
      <c r="M365">
        <v>18637</v>
      </c>
      <c r="N365">
        <v>27956</v>
      </c>
      <c r="O365">
        <v>9318</v>
      </c>
      <c r="P365">
        <v>-37275</v>
      </c>
      <c r="Q365">
        <v>-23297</v>
      </c>
      <c r="R365">
        <v>75920</v>
      </c>
      <c r="S365">
        <v>22776</v>
      </c>
      <c r="T365">
        <v>7592</v>
      </c>
      <c r="U365">
        <v>4659</v>
      </c>
      <c r="V365">
        <v>2795</v>
      </c>
      <c r="W365">
        <v>1863</v>
      </c>
      <c r="X365">
        <v>9318</v>
      </c>
      <c r="Y365">
        <v>4659</v>
      </c>
      <c r="Z365">
        <v>3796</v>
      </c>
      <c r="AA365">
        <v>2277</v>
      </c>
      <c r="AB365">
        <v>1518</v>
      </c>
    </row>
    <row r="366" spans="1:28" x14ac:dyDescent="0.35">
      <c r="A366" t="s">
        <v>411</v>
      </c>
      <c r="B366" t="s">
        <v>9</v>
      </c>
      <c r="C366" t="s">
        <v>1</v>
      </c>
      <c r="D366" t="s">
        <v>10</v>
      </c>
      <c r="E366" t="s">
        <v>11</v>
      </c>
      <c r="F366">
        <v>447088</v>
      </c>
      <c r="G366">
        <v>-258481</v>
      </c>
      <c r="H366">
        <v>88379</v>
      </c>
      <c r="I366">
        <v>447088</v>
      </c>
      <c r="J366">
        <v>44708</v>
      </c>
      <c r="K366">
        <v>22354</v>
      </c>
      <c r="L366">
        <v>91729</v>
      </c>
      <c r="M366">
        <v>18345</v>
      </c>
      <c r="N366">
        <v>27518</v>
      </c>
      <c r="O366">
        <v>9172</v>
      </c>
      <c r="P366">
        <v>-36691</v>
      </c>
      <c r="Q366">
        <v>-22932</v>
      </c>
      <c r="R366">
        <v>81619</v>
      </c>
      <c r="S366">
        <v>24485</v>
      </c>
      <c r="T366">
        <v>8161</v>
      </c>
      <c r="U366">
        <v>4586</v>
      </c>
      <c r="V366">
        <v>2751</v>
      </c>
      <c r="W366">
        <v>1834</v>
      </c>
      <c r="X366">
        <v>9172</v>
      </c>
      <c r="Y366">
        <v>4586</v>
      </c>
      <c r="Z366">
        <v>4080</v>
      </c>
      <c r="AA366">
        <v>2448</v>
      </c>
      <c r="AB366">
        <v>1632</v>
      </c>
    </row>
    <row r="367" spans="1:28" x14ac:dyDescent="0.35">
      <c r="A367" t="s">
        <v>412</v>
      </c>
      <c r="B367" t="s">
        <v>9</v>
      </c>
      <c r="C367" t="s">
        <v>1</v>
      </c>
      <c r="D367" t="s">
        <v>10</v>
      </c>
      <c r="E367" t="s">
        <v>11</v>
      </c>
      <c r="F367">
        <v>411974</v>
      </c>
      <c r="G367">
        <v>-119660</v>
      </c>
      <c r="H367">
        <v>159984</v>
      </c>
      <c r="I367">
        <v>411974</v>
      </c>
      <c r="J367">
        <v>41197</v>
      </c>
      <c r="K367">
        <v>20598</v>
      </c>
      <c r="L367">
        <v>262812</v>
      </c>
      <c r="M367">
        <v>52562</v>
      </c>
      <c r="N367">
        <v>78843</v>
      </c>
      <c r="O367">
        <v>26281</v>
      </c>
      <c r="P367">
        <v>-105124</v>
      </c>
      <c r="Q367">
        <v>-65703</v>
      </c>
      <c r="R367">
        <v>299827</v>
      </c>
      <c r="S367">
        <v>89948</v>
      </c>
      <c r="T367">
        <v>29982</v>
      </c>
      <c r="U367">
        <v>13140</v>
      </c>
      <c r="V367">
        <v>7884</v>
      </c>
      <c r="W367">
        <v>5256</v>
      </c>
      <c r="X367">
        <v>26281</v>
      </c>
      <c r="Y367">
        <v>13140</v>
      </c>
      <c r="Z367">
        <v>14991</v>
      </c>
      <c r="AA367">
        <v>8994</v>
      </c>
      <c r="AB367">
        <v>5996</v>
      </c>
    </row>
    <row r="368" spans="1:28" x14ac:dyDescent="0.35">
      <c r="A368" t="s">
        <v>413</v>
      </c>
      <c r="B368" t="s">
        <v>9</v>
      </c>
      <c r="C368" t="s">
        <v>1</v>
      </c>
      <c r="D368" t="s">
        <v>10</v>
      </c>
      <c r="E368" t="s">
        <v>11</v>
      </c>
      <c r="F368">
        <v>467338</v>
      </c>
      <c r="G368">
        <v>-179501</v>
      </c>
      <c r="H368">
        <v>137502</v>
      </c>
      <c r="I368">
        <v>467338</v>
      </c>
      <c r="J368">
        <v>46733</v>
      </c>
      <c r="K368">
        <v>23366</v>
      </c>
      <c r="L368">
        <v>96917</v>
      </c>
      <c r="M368">
        <v>19383</v>
      </c>
      <c r="N368">
        <v>29075</v>
      </c>
      <c r="O368">
        <v>9691</v>
      </c>
      <c r="P368">
        <v>-38766</v>
      </c>
      <c r="Q368">
        <v>-24229</v>
      </c>
      <c r="R368">
        <v>107053</v>
      </c>
      <c r="S368">
        <v>32115</v>
      </c>
      <c r="T368">
        <v>10705</v>
      </c>
      <c r="U368">
        <v>4845</v>
      </c>
      <c r="V368">
        <v>2907</v>
      </c>
      <c r="W368">
        <v>1938</v>
      </c>
      <c r="X368">
        <v>9691</v>
      </c>
      <c r="Y368">
        <v>4845</v>
      </c>
      <c r="Z368">
        <v>5352</v>
      </c>
      <c r="AA368">
        <v>3211</v>
      </c>
      <c r="AB368">
        <v>2141</v>
      </c>
    </row>
    <row r="369" spans="1:28" x14ac:dyDescent="0.35">
      <c r="A369" t="s">
        <v>414</v>
      </c>
      <c r="B369" t="s">
        <v>9</v>
      </c>
      <c r="C369" t="s">
        <v>1</v>
      </c>
      <c r="D369" t="s">
        <v>10</v>
      </c>
      <c r="E369" t="s">
        <v>11</v>
      </c>
      <c r="F369">
        <v>186866</v>
      </c>
      <c r="G369">
        <v>-95374</v>
      </c>
      <c r="H369">
        <v>39455</v>
      </c>
      <c r="I369">
        <v>186866</v>
      </c>
      <c r="J369">
        <v>18686</v>
      </c>
      <c r="K369">
        <v>9343</v>
      </c>
      <c r="L369">
        <v>98015</v>
      </c>
      <c r="M369">
        <v>19603</v>
      </c>
      <c r="N369">
        <v>29404</v>
      </c>
      <c r="O369">
        <v>9801</v>
      </c>
      <c r="P369">
        <v>-39206</v>
      </c>
      <c r="Q369">
        <v>-24503</v>
      </c>
      <c r="R369">
        <v>104088</v>
      </c>
      <c r="S369">
        <v>31226</v>
      </c>
      <c r="T369">
        <v>10408</v>
      </c>
      <c r="U369">
        <v>4900</v>
      </c>
      <c r="V369">
        <v>2940</v>
      </c>
      <c r="W369">
        <v>1960</v>
      </c>
      <c r="X369">
        <v>9801</v>
      </c>
      <c r="Y369">
        <v>4900</v>
      </c>
      <c r="Z369">
        <v>5204</v>
      </c>
      <c r="AA369">
        <v>3122</v>
      </c>
      <c r="AB369">
        <v>2081</v>
      </c>
    </row>
    <row r="370" spans="1:28" x14ac:dyDescent="0.35">
      <c r="A370" t="s">
        <v>415</v>
      </c>
      <c r="B370" t="s">
        <v>9</v>
      </c>
      <c r="C370" t="s">
        <v>1</v>
      </c>
      <c r="D370" t="s">
        <v>10</v>
      </c>
      <c r="E370" t="s">
        <v>11</v>
      </c>
      <c r="F370">
        <v>113153</v>
      </c>
      <c r="G370">
        <v>-41228</v>
      </c>
      <c r="H370">
        <v>22858</v>
      </c>
      <c r="I370">
        <v>113153</v>
      </c>
      <c r="J370">
        <v>11315</v>
      </c>
      <c r="K370">
        <v>5657</v>
      </c>
      <c r="L370">
        <v>65425</v>
      </c>
      <c r="M370">
        <v>13085</v>
      </c>
      <c r="N370">
        <v>19627</v>
      </c>
      <c r="O370">
        <v>6542</v>
      </c>
      <c r="P370">
        <v>-26170</v>
      </c>
      <c r="Q370">
        <v>-16356</v>
      </c>
      <c r="R370">
        <v>71509</v>
      </c>
      <c r="S370">
        <v>21452</v>
      </c>
      <c r="T370">
        <v>7150</v>
      </c>
      <c r="U370">
        <v>3271</v>
      </c>
      <c r="V370">
        <v>1962</v>
      </c>
      <c r="W370">
        <v>1308</v>
      </c>
      <c r="X370">
        <v>6542</v>
      </c>
      <c r="Y370">
        <v>3271</v>
      </c>
      <c r="Z370">
        <v>3575</v>
      </c>
      <c r="AA370">
        <v>2145</v>
      </c>
      <c r="AB370">
        <v>1430</v>
      </c>
    </row>
    <row r="371" spans="1:28" x14ac:dyDescent="0.35">
      <c r="A371" t="s">
        <v>416</v>
      </c>
      <c r="B371" t="s">
        <v>9</v>
      </c>
      <c r="C371" t="s">
        <v>1</v>
      </c>
      <c r="D371" t="s">
        <v>10</v>
      </c>
      <c r="E371" t="s">
        <v>11</v>
      </c>
      <c r="F371">
        <v>157198</v>
      </c>
      <c r="G371">
        <v>-59891</v>
      </c>
      <c r="H371">
        <v>37438</v>
      </c>
      <c r="I371">
        <v>157198</v>
      </c>
      <c r="J371">
        <v>15719</v>
      </c>
      <c r="K371">
        <v>7859</v>
      </c>
      <c r="L371">
        <v>94421</v>
      </c>
      <c r="M371">
        <v>18884</v>
      </c>
      <c r="N371">
        <v>28326</v>
      </c>
      <c r="O371">
        <v>9442</v>
      </c>
      <c r="P371">
        <v>-37768</v>
      </c>
      <c r="Q371">
        <v>-23605</v>
      </c>
      <c r="R371">
        <v>89005</v>
      </c>
      <c r="S371">
        <v>26701</v>
      </c>
      <c r="T371">
        <v>8900</v>
      </c>
      <c r="U371">
        <v>4721</v>
      </c>
      <c r="V371">
        <v>2832</v>
      </c>
      <c r="W371">
        <v>1888</v>
      </c>
      <c r="X371">
        <v>9442</v>
      </c>
      <c r="Y371">
        <v>4721</v>
      </c>
      <c r="Z371">
        <v>4450</v>
      </c>
      <c r="AA371">
        <v>2670</v>
      </c>
      <c r="AB371">
        <v>1780</v>
      </c>
    </row>
    <row r="372" spans="1:28" x14ac:dyDescent="0.35">
      <c r="A372" t="s">
        <v>417</v>
      </c>
      <c r="B372" t="s">
        <v>9</v>
      </c>
      <c r="C372" t="s">
        <v>1</v>
      </c>
      <c r="D372" t="s">
        <v>10</v>
      </c>
      <c r="E372" t="s">
        <v>11</v>
      </c>
      <c r="F372">
        <v>137046</v>
      </c>
      <c r="G372">
        <v>-80138</v>
      </c>
      <c r="H372">
        <v>56949</v>
      </c>
      <c r="I372">
        <v>137046</v>
      </c>
      <c r="J372">
        <v>13704</v>
      </c>
      <c r="K372">
        <v>6852</v>
      </c>
      <c r="L372">
        <v>66734</v>
      </c>
      <c r="M372">
        <v>13346</v>
      </c>
      <c r="N372">
        <v>20020</v>
      </c>
      <c r="O372">
        <v>6673</v>
      </c>
      <c r="P372">
        <v>-26693</v>
      </c>
      <c r="Q372">
        <v>-16683</v>
      </c>
      <c r="R372">
        <v>72377</v>
      </c>
      <c r="S372">
        <v>21713</v>
      </c>
      <c r="T372">
        <v>7237</v>
      </c>
      <c r="U372">
        <v>3336</v>
      </c>
      <c r="V372">
        <v>2002</v>
      </c>
      <c r="W372">
        <v>1334</v>
      </c>
      <c r="X372">
        <v>6673</v>
      </c>
      <c r="Y372">
        <v>3336</v>
      </c>
      <c r="Z372">
        <v>3618</v>
      </c>
      <c r="AA372">
        <v>2171</v>
      </c>
      <c r="AB372">
        <v>1447</v>
      </c>
    </row>
    <row r="373" spans="1:28" x14ac:dyDescent="0.35">
      <c r="A373" t="s">
        <v>418</v>
      </c>
      <c r="B373" t="s">
        <v>9</v>
      </c>
      <c r="C373" t="s">
        <v>1</v>
      </c>
      <c r="D373" t="s">
        <v>10</v>
      </c>
      <c r="E373" t="s">
        <v>11</v>
      </c>
      <c r="F373">
        <v>316561</v>
      </c>
      <c r="G373">
        <v>-160889</v>
      </c>
      <c r="H373">
        <v>135631</v>
      </c>
      <c r="I373">
        <v>316561</v>
      </c>
      <c r="J373">
        <v>31656</v>
      </c>
      <c r="K373">
        <v>15828</v>
      </c>
      <c r="L373">
        <v>175732</v>
      </c>
      <c r="M373">
        <v>35146</v>
      </c>
      <c r="N373">
        <v>52719</v>
      </c>
      <c r="O373">
        <v>17573</v>
      </c>
      <c r="P373">
        <v>-70292</v>
      </c>
      <c r="Q373">
        <v>-43933</v>
      </c>
      <c r="R373">
        <v>169457</v>
      </c>
      <c r="S373">
        <v>50837</v>
      </c>
      <c r="T373">
        <v>16945</v>
      </c>
      <c r="U373">
        <v>8786</v>
      </c>
      <c r="V373">
        <v>5271</v>
      </c>
      <c r="W373">
        <v>3514</v>
      </c>
      <c r="X373">
        <v>17573</v>
      </c>
      <c r="Y373">
        <v>8786</v>
      </c>
      <c r="Z373">
        <v>8472</v>
      </c>
      <c r="AA373">
        <v>5083</v>
      </c>
      <c r="AB373">
        <v>3389</v>
      </c>
    </row>
    <row r="374" spans="1:28" x14ac:dyDescent="0.35">
      <c r="A374" t="s">
        <v>419</v>
      </c>
      <c r="B374" t="s">
        <v>9</v>
      </c>
      <c r="C374" t="s">
        <v>1</v>
      </c>
      <c r="D374" t="s">
        <v>10</v>
      </c>
      <c r="E374" t="s">
        <v>11</v>
      </c>
      <c r="F374">
        <v>241053</v>
      </c>
      <c r="G374">
        <v>-114638</v>
      </c>
      <c r="H374">
        <v>117101</v>
      </c>
      <c r="I374">
        <v>241053</v>
      </c>
      <c r="J374">
        <v>24105</v>
      </c>
      <c r="K374">
        <v>12052</v>
      </c>
      <c r="L374">
        <v>162166</v>
      </c>
      <c r="M374">
        <v>32433</v>
      </c>
      <c r="N374">
        <v>48649</v>
      </c>
      <c r="O374">
        <v>16216</v>
      </c>
      <c r="P374">
        <v>-64866</v>
      </c>
      <c r="Q374">
        <v>-40541</v>
      </c>
      <c r="R374">
        <v>168349</v>
      </c>
      <c r="S374">
        <v>50504</v>
      </c>
      <c r="T374">
        <v>16834</v>
      </c>
      <c r="U374">
        <v>8108</v>
      </c>
      <c r="V374">
        <v>4864</v>
      </c>
      <c r="W374">
        <v>3243</v>
      </c>
      <c r="X374">
        <v>16216</v>
      </c>
      <c r="Y374">
        <v>8108</v>
      </c>
      <c r="Z374">
        <v>8417</v>
      </c>
      <c r="AA374">
        <v>5050</v>
      </c>
      <c r="AB374">
        <v>3366</v>
      </c>
    </row>
    <row r="375" spans="1:28" x14ac:dyDescent="0.35">
      <c r="A375" t="s">
        <v>420</v>
      </c>
      <c r="B375" t="s">
        <v>9</v>
      </c>
      <c r="C375" t="s">
        <v>1</v>
      </c>
      <c r="D375" t="s">
        <v>10</v>
      </c>
      <c r="E375" t="s">
        <v>11</v>
      </c>
      <c r="F375">
        <v>194029</v>
      </c>
      <c r="G375">
        <v>-68470</v>
      </c>
      <c r="H375">
        <v>46882</v>
      </c>
      <c r="I375">
        <v>194029</v>
      </c>
      <c r="J375">
        <v>19402</v>
      </c>
      <c r="K375">
        <v>9701</v>
      </c>
      <c r="L375">
        <v>84126</v>
      </c>
      <c r="M375">
        <v>16825</v>
      </c>
      <c r="N375">
        <v>25237</v>
      </c>
      <c r="O375">
        <v>8412</v>
      </c>
      <c r="P375">
        <v>-33650</v>
      </c>
      <c r="Q375">
        <v>-21031</v>
      </c>
      <c r="R375">
        <v>85431</v>
      </c>
      <c r="S375">
        <v>25629</v>
      </c>
      <c r="T375">
        <v>8543</v>
      </c>
      <c r="U375">
        <v>4206</v>
      </c>
      <c r="V375">
        <v>2523</v>
      </c>
      <c r="W375">
        <v>1682</v>
      </c>
      <c r="X375">
        <v>8412</v>
      </c>
      <c r="Y375">
        <v>4206</v>
      </c>
      <c r="Z375">
        <v>4271</v>
      </c>
      <c r="AA375">
        <v>2562</v>
      </c>
      <c r="AB375">
        <v>1708</v>
      </c>
    </row>
    <row r="376" spans="1:28" x14ac:dyDescent="0.35">
      <c r="A376" t="s">
        <v>421</v>
      </c>
      <c r="B376" t="s">
        <v>9</v>
      </c>
      <c r="C376" t="s">
        <v>1</v>
      </c>
      <c r="D376" t="s">
        <v>10</v>
      </c>
      <c r="E376" t="s">
        <v>11</v>
      </c>
      <c r="F376">
        <v>232245</v>
      </c>
      <c r="G376">
        <v>-120209</v>
      </c>
      <c r="H376">
        <v>112237</v>
      </c>
      <c r="I376">
        <v>232245</v>
      </c>
      <c r="J376">
        <v>23224</v>
      </c>
      <c r="K376">
        <v>11612</v>
      </c>
      <c r="L376">
        <v>108553</v>
      </c>
      <c r="M376">
        <v>21710</v>
      </c>
      <c r="N376">
        <v>32565</v>
      </c>
      <c r="O376">
        <v>10855</v>
      </c>
      <c r="P376">
        <v>-43421</v>
      </c>
      <c r="Q376">
        <v>-27138</v>
      </c>
      <c r="R376">
        <v>102680</v>
      </c>
      <c r="S376">
        <v>30804</v>
      </c>
      <c r="T376">
        <v>10268</v>
      </c>
      <c r="U376">
        <v>5427</v>
      </c>
      <c r="V376">
        <v>3256</v>
      </c>
      <c r="W376">
        <v>2171</v>
      </c>
      <c r="X376">
        <v>10855</v>
      </c>
      <c r="Y376">
        <v>5427</v>
      </c>
      <c r="Z376">
        <v>5134</v>
      </c>
      <c r="AA376">
        <v>3080</v>
      </c>
      <c r="AB376">
        <v>2053</v>
      </c>
    </row>
    <row r="377" spans="1:28" x14ac:dyDescent="0.35">
      <c r="A377" t="s">
        <v>422</v>
      </c>
      <c r="B377" t="s">
        <v>9</v>
      </c>
      <c r="C377" t="s">
        <v>1</v>
      </c>
      <c r="D377" t="s">
        <v>10</v>
      </c>
      <c r="E377" t="s">
        <v>11</v>
      </c>
      <c r="F377">
        <v>98368</v>
      </c>
      <c r="G377">
        <v>-54191</v>
      </c>
      <c r="H377">
        <v>42578</v>
      </c>
      <c r="I377">
        <v>98368</v>
      </c>
      <c r="J377">
        <v>9836</v>
      </c>
      <c r="K377">
        <v>4918</v>
      </c>
      <c r="L377">
        <v>63975</v>
      </c>
      <c r="M377">
        <v>12795</v>
      </c>
      <c r="N377">
        <v>19192</v>
      </c>
      <c r="O377">
        <v>6397</v>
      </c>
      <c r="P377">
        <v>-25590</v>
      </c>
      <c r="Q377">
        <v>-15993</v>
      </c>
      <c r="R377">
        <v>56593</v>
      </c>
      <c r="S377">
        <v>16977</v>
      </c>
      <c r="T377">
        <v>5659</v>
      </c>
      <c r="U377">
        <v>3198</v>
      </c>
      <c r="V377">
        <v>1919</v>
      </c>
      <c r="W377">
        <v>1279</v>
      </c>
      <c r="X377">
        <v>6397</v>
      </c>
      <c r="Y377">
        <v>3198</v>
      </c>
      <c r="Z377">
        <v>2829</v>
      </c>
      <c r="AA377">
        <v>1697</v>
      </c>
      <c r="AB377">
        <v>1131</v>
      </c>
    </row>
    <row r="378" spans="1:28" x14ac:dyDescent="0.35">
      <c r="A378" t="s">
        <v>423</v>
      </c>
      <c r="B378" t="s">
        <v>9</v>
      </c>
      <c r="C378" t="s">
        <v>1</v>
      </c>
      <c r="D378" t="s">
        <v>10</v>
      </c>
      <c r="E378" t="s">
        <v>11</v>
      </c>
      <c r="F378">
        <v>363262</v>
      </c>
      <c r="G378">
        <v>-156408</v>
      </c>
      <c r="H378">
        <v>112384</v>
      </c>
      <c r="I378">
        <v>363262</v>
      </c>
      <c r="J378">
        <v>36326</v>
      </c>
      <c r="K378">
        <v>18163</v>
      </c>
      <c r="L378">
        <v>167045</v>
      </c>
      <c r="M378">
        <v>33409</v>
      </c>
      <c r="N378">
        <v>50113</v>
      </c>
      <c r="O378">
        <v>16704</v>
      </c>
      <c r="P378">
        <v>-66818</v>
      </c>
      <c r="Q378">
        <v>-41761</v>
      </c>
      <c r="R378">
        <v>153343</v>
      </c>
      <c r="S378">
        <v>46002</v>
      </c>
      <c r="T378">
        <v>15334</v>
      </c>
      <c r="U378">
        <v>8352</v>
      </c>
      <c r="V378">
        <v>5011</v>
      </c>
      <c r="W378">
        <v>3340</v>
      </c>
      <c r="X378">
        <v>16704</v>
      </c>
      <c r="Y378">
        <v>8352</v>
      </c>
      <c r="Z378">
        <v>7667</v>
      </c>
      <c r="AA378">
        <v>4600</v>
      </c>
      <c r="AB378">
        <v>3066</v>
      </c>
    </row>
    <row r="379" spans="1:28" x14ac:dyDescent="0.35">
      <c r="A379" t="s">
        <v>424</v>
      </c>
      <c r="B379" t="s">
        <v>9</v>
      </c>
      <c r="C379" t="s">
        <v>1</v>
      </c>
      <c r="D379" t="s">
        <v>10</v>
      </c>
      <c r="E379" t="s">
        <v>11</v>
      </c>
      <c r="F379">
        <v>169233</v>
      </c>
      <c r="G379">
        <v>-81985</v>
      </c>
      <c r="H379">
        <v>35734</v>
      </c>
      <c r="I379">
        <v>169233</v>
      </c>
      <c r="J379">
        <v>16923</v>
      </c>
      <c r="K379">
        <v>8461</v>
      </c>
      <c r="L379">
        <v>126963</v>
      </c>
      <c r="M379">
        <v>25392</v>
      </c>
      <c r="N379">
        <v>38088</v>
      </c>
      <c r="O379">
        <v>12696</v>
      </c>
      <c r="P379">
        <v>-50785</v>
      </c>
      <c r="Q379">
        <v>-31740</v>
      </c>
      <c r="R379">
        <v>123383</v>
      </c>
      <c r="S379">
        <v>37014</v>
      </c>
      <c r="T379">
        <v>12338</v>
      </c>
      <c r="U379">
        <v>6348</v>
      </c>
      <c r="V379">
        <v>3808</v>
      </c>
      <c r="W379">
        <v>2539</v>
      </c>
      <c r="X379">
        <v>12696</v>
      </c>
      <c r="Y379">
        <v>6348</v>
      </c>
      <c r="Z379">
        <v>6169</v>
      </c>
      <c r="AA379">
        <v>3701</v>
      </c>
      <c r="AB379">
        <v>2467</v>
      </c>
    </row>
    <row r="380" spans="1:28" x14ac:dyDescent="0.35">
      <c r="A380" t="s">
        <v>425</v>
      </c>
      <c r="B380" t="s">
        <v>9</v>
      </c>
      <c r="C380" t="s">
        <v>1</v>
      </c>
      <c r="D380" t="s">
        <v>10</v>
      </c>
      <c r="E380" t="s">
        <v>11</v>
      </c>
      <c r="F380">
        <v>413240</v>
      </c>
      <c r="G380">
        <v>-179930</v>
      </c>
      <c r="H380">
        <v>86345</v>
      </c>
      <c r="I380">
        <v>413240</v>
      </c>
      <c r="J380">
        <v>41324</v>
      </c>
      <c r="K380">
        <v>20662</v>
      </c>
      <c r="L380">
        <v>302277</v>
      </c>
      <c r="M380">
        <v>60455</v>
      </c>
      <c r="N380">
        <v>90683</v>
      </c>
      <c r="O380">
        <v>30227</v>
      </c>
      <c r="P380">
        <v>-120910</v>
      </c>
      <c r="Q380">
        <v>-75569</v>
      </c>
      <c r="R380">
        <v>281649</v>
      </c>
      <c r="S380">
        <v>84494</v>
      </c>
      <c r="T380">
        <v>28164</v>
      </c>
      <c r="U380">
        <v>15113</v>
      </c>
      <c r="V380">
        <v>9068</v>
      </c>
      <c r="W380">
        <v>6045</v>
      </c>
      <c r="X380">
        <v>30227</v>
      </c>
      <c r="Y380">
        <v>15113</v>
      </c>
      <c r="Z380">
        <v>14082</v>
      </c>
      <c r="AA380">
        <v>8449</v>
      </c>
      <c r="AB380">
        <v>5632</v>
      </c>
    </row>
    <row r="381" spans="1:28" x14ac:dyDescent="0.35">
      <c r="A381" t="s">
        <v>426</v>
      </c>
      <c r="B381" t="s">
        <v>9</v>
      </c>
      <c r="C381" t="s">
        <v>1</v>
      </c>
      <c r="D381" t="s">
        <v>10</v>
      </c>
      <c r="E381" t="s">
        <v>11</v>
      </c>
      <c r="F381">
        <v>353040</v>
      </c>
      <c r="G381">
        <v>-206717</v>
      </c>
      <c r="H381">
        <v>136832</v>
      </c>
      <c r="I381">
        <v>353040</v>
      </c>
      <c r="J381">
        <v>35304</v>
      </c>
      <c r="K381">
        <v>17652</v>
      </c>
      <c r="L381">
        <v>166738</v>
      </c>
      <c r="M381">
        <v>33347</v>
      </c>
      <c r="N381">
        <v>50021</v>
      </c>
      <c r="O381">
        <v>16673</v>
      </c>
      <c r="P381">
        <v>-66695</v>
      </c>
      <c r="Q381">
        <v>-41684</v>
      </c>
      <c r="R381">
        <v>148019</v>
      </c>
      <c r="S381">
        <v>44405</v>
      </c>
      <c r="T381">
        <v>14801</v>
      </c>
      <c r="U381">
        <v>8336</v>
      </c>
      <c r="V381">
        <v>5002</v>
      </c>
      <c r="W381">
        <v>3334</v>
      </c>
      <c r="X381">
        <v>16673</v>
      </c>
      <c r="Y381">
        <v>8336</v>
      </c>
      <c r="Z381">
        <v>7400</v>
      </c>
      <c r="AA381">
        <v>4440</v>
      </c>
      <c r="AB381">
        <v>2960</v>
      </c>
    </row>
    <row r="382" spans="1:28" x14ac:dyDescent="0.35">
      <c r="A382" t="s">
        <v>427</v>
      </c>
      <c r="B382" t="s">
        <v>9</v>
      </c>
      <c r="C382" t="s">
        <v>1</v>
      </c>
      <c r="D382" t="s">
        <v>10</v>
      </c>
      <c r="E382" t="s">
        <v>11</v>
      </c>
      <c r="F382">
        <v>356569</v>
      </c>
      <c r="G382">
        <v>-159298</v>
      </c>
      <c r="H382">
        <v>97001</v>
      </c>
      <c r="I382">
        <v>356569</v>
      </c>
      <c r="J382">
        <v>35656</v>
      </c>
      <c r="K382">
        <v>17828</v>
      </c>
      <c r="L382">
        <v>183077</v>
      </c>
      <c r="M382">
        <v>36615</v>
      </c>
      <c r="N382">
        <v>54923</v>
      </c>
      <c r="O382">
        <v>18307</v>
      </c>
      <c r="P382">
        <v>-73230</v>
      </c>
      <c r="Q382">
        <v>-45769</v>
      </c>
      <c r="R382">
        <v>205208</v>
      </c>
      <c r="S382">
        <v>61562</v>
      </c>
      <c r="T382">
        <v>20520</v>
      </c>
      <c r="U382">
        <v>9153</v>
      </c>
      <c r="V382">
        <v>5492</v>
      </c>
      <c r="W382">
        <v>3661</v>
      </c>
      <c r="X382">
        <v>18307</v>
      </c>
      <c r="Y382">
        <v>9153</v>
      </c>
      <c r="Z382">
        <v>10260</v>
      </c>
      <c r="AA382">
        <v>6156</v>
      </c>
      <c r="AB382">
        <v>4104</v>
      </c>
    </row>
    <row r="383" spans="1:28" x14ac:dyDescent="0.35">
      <c r="A383" t="s">
        <v>428</v>
      </c>
      <c r="B383" t="s">
        <v>9</v>
      </c>
      <c r="C383" t="s">
        <v>1</v>
      </c>
      <c r="D383" t="s">
        <v>10</v>
      </c>
      <c r="E383" t="s">
        <v>11</v>
      </c>
      <c r="F383">
        <v>138293</v>
      </c>
      <c r="G383">
        <v>-36825</v>
      </c>
      <c r="H383">
        <v>36118</v>
      </c>
      <c r="I383">
        <v>138293</v>
      </c>
      <c r="J383">
        <v>13829</v>
      </c>
      <c r="K383">
        <v>6914</v>
      </c>
      <c r="L383">
        <v>96030</v>
      </c>
      <c r="M383">
        <v>19206</v>
      </c>
      <c r="N383">
        <v>28809</v>
      </c>
      <c r="O383">
        <v>9603</v>
      </c>
      <c r="P383">
        <v>-38412</v>
      </c>
      <c r="Q383">
        <v>-24007</v>
      </c>
      <c r="R383">
        <v>80264</v>
      </c>
      <c r="S383">
        <v>24079</v>
      </c>
      <c r="T383">
        <v>8026</v>
      </c>
      <c r="U383">
        <v>4801</v>
      </c>
      <c r="V383">
        <v>2880</v>
      </c>
      <c r="W383">
        <v>1920</v>
      </c>
      <c r="X383">
        <v>9603</v>
      </c>
      <c r="Y383">
        <v>4801</v>
      </c>
      <c r="Z383">
        <v>4013</v>
      </c>
      <c r="AA383">
        <v>2407</v>
      </c>
      <c r="AB383">
        <v>1605</v>
      </c>
    </row>
    <row r="384" spans="1:28" x14ac:dyDescent="0.35">
      <c r="A384" t="s">
        <v>429</v>
      </c>
      <c r="B384" t="s">
        <v>9</v>
      </c>
      <c r="C384" t="s">
        <v>1</v>
      </c>
      <c r="D384" t="s">
        <v>10</v>
      </c>
      <c r="E384" t="s">
        <v>11</v>
      </c>
      <c r="F384">
        <v>370781</v>
      </c>
      <c r="G384">
        <v>-205692</v>
      </c>
      <c r="H384">
        <v>152912</v>
      </c>
      <c r="I384">
        <v>370781</v>
      </c>
      <c r="J384">
        <v>37078</v>
      </c>
      <c r="K384">
        <v>18539</v>
      </c>
      <c r="L384">
        <v>292565</v>
      </c>
      <c r="M384">
        <v>58513</v>
      </c>
      <c r="N384">
        <v>87769</v>
      </c>
      <c r="O384">
        <v>29256</v>
      </c>
      <c r="P384">
        <v>-117026</v>
      </c>
      <c r="Q384">
        <v>-73141</v>
      </c>
      <c r="R384">
        <v>243515</v>
      </c>
      <c r="S384">
        <v>73054</v>
      </c>
      <c r="T384">
        <v>24351</v>
      </c>
      <c r="U384">
        <v>14628</v>
      </c>
      <c r="V384">
        <v>8776</v>
      </c>
      <c r="W384">
        <v>5851</v>
      </c>
      <c r="X384">
        <v>29256</v>
      </c>
      <c r="Y384">
        <v>14628</v>
      </c>
      <c r="Z384">
        <v>12175</v>
      </c>
      <c r="AA384">
        <v>7305</v>
      </c>
      <c r="AB384">
        <v>4870</v>
      </c>
    </row>
    <row r="385" spans="1:28" x14ac:dyDescent="0.35">
      <c r="A385" t="s">
        <v>430</v>
      </c>
      <c r="B385" t="s">
        <v>9</v>
      </c>
      <c r="C385" t="s">
        <v>1</v>
      </c>
      <c r="D385" t="s">
        <v>10</v>
      </c>
      <c r="E385" t="s">
        <v>11</v>
      </c>
      <c r="F385">
        <v>113110</v>
      </c>
      <c r="G385">
        <v>-48805</v>
      </c>
      <c r="H385">
        <v>31330</v>
      </c>
      <c r="I385">
        <v>113110</v>
      </c>
      <c r="J385">
        <v>11311</v>
      </c>
      <c r="K385">
        <v>5655</v>
      </c>
      <c r="L385">
        <v>58602</v>
      </c>
      <c r="M385">
        <v>11720</v>
      </c>
      <c r="N385">
        <v>17580</v>
      </c>
      <c r="O385">
        <v>5860</v>
      </c>
      <c r="P385">
        <v>-23440</v>
      </c>
      <c r="Q385">
        <v>-14650</v>
      </c>
      <c r="R385">
        <v>52400</v>
      </c>
      <c r="S385">
        <v>15720</v>
      </c>
      <c r="T385">
        <v>5240</v>
      </c>
      <c r="U385">
        <v>2930</v>
      </c>
      <c r="V385">
        <v>1758</v>
      </c>
      <c r="W385">
        <v>1172</v>
      </c>
      <c r="X385">
        <v>5860</v>
      </c>
      <c r="Y385">
        <v>2930</v>
      </c>
      <c r="Z385">
        <v>2620</v>
      </c>
      <c r="AA385">
        <v>1572</v>
      </c>
      <c r="AB385">
        <v>1048</v>
      </c>
    </row>
    <row r="386" spans="1:28" x14ac:dyDescent="0.35">
      <c r="A386" t="s">
        <v>431</v>
      </c>
      <c r="B386" t="s">
        <v>9</v>
      </c>
      <c r="C386" t="s">
        <v>1</v>
      </c>
      <c r="D386" t="s">
        <v>10</v>
      </c>
      <c r="E386" t="s">
        <v>11</v>
      </c>
      <c r="F386">
        <v>419634</v>
      </c>
      <c r="G386">
        <v>-142091</v>
      </c>
      <c r="H386">
        <v>201995</v>
      </c>
      <c r="I386">
        <v>419634</v>
      </c>
      <c r="J386">
        <v>41963</v>
      </c>
      <c r="K386">
        <v>20981</v>
      </c>
      <c r="L386">
        <v>113081</v>
      </c>
      <c r="M386">
        <v>22616</v>
      </c>
      <c r="N386">
        <v>33924</v>
      </c>
      <c r="O386">
        <v>11308</v>
      </c>
      <c r="P386">
        <v>-45232</v>
      </c>
      <c r="Q386">
        <v>-28270</v>
      </c>
      <c r="R386">
        <v>101650</v>
      </c>
      <c r="S386">
        <v>30495</v>
      </c>
      <c r="T386">
        <v>10165</v>
      </c>
      <c r="U386">
        <v>5654</v>
      </c>
      <c r="V386">
        <v>3392</v>
      </c>
      <c r="W386">
        <v>2261</v>
      </c>
      <c r="X386">
        <v>11308</v>
      </c>
      <c r="Y386">
        <v>5654</v>
      </c>
      <c r="Z386">
        <v>5082</v>
      </c>
      <c r="AA386">
        <v>3049</v>
      </c>
      <c r="AB386">
        <v>2033</v>
      </c>
    </row>
    <row r="387" spans="1:28" x14ac:dyDescent="0.35">
      <c r="A387" t="s">
        <v>432</v>
      </c>
      <c r="B387" t="s">
        <v>9</v>
      </c>
      <c r="C387" t="s">
        <v>1</v>
      </c>
      <c r="D387" t="s">
        <v>10</v>
      </c>
      <c r="E387" t="s">
        <v>11</v>
      </c>
      <c r="F387">
        <v>284099</v>
      </c>
      <c r="G387">
        <v>-139959</v>
      </c>
      <c r="H387">
        <v>113813</v>
      </c>
      <c r="I387">
        <v>284099</v>
      </c>
      <c r="J387">
        <v>28409</v>
      </c>
      <c r="K387">
        <v>14204</v>
      </c>
      <c r="L387">
        <v>174759</v>
      </c>
      <c r="M387">
        <v>34951</v>
      </c>
      <c r="N387">
        <v>52427</v>
      </c>
      <c r="O387">
        <v>17475</v>
      </c>
      <c r="P387">
        <v>-69903</v>
      </c>
      <c r="Q387">
        <v>-43689</v>
      </c>
      <c r="R387">
        <v>190887</v>
      </c>
      <c r="S387">
        <v>57266</v>
      </c>
      <c r="T387">
        <v>19088</v>
      </c>
      <c r="U387">
        <v>8737</v>
      </c>
      <c r="V387">
        <v>5242</v>
      </c>
      <c r="W387">
        <v>3495</v>
      </c>
      <c r="X387">
        <v>17475</v>
      </c>
      <c r="Y387">
        <v>8737</v>
      </c>
      <c r="Z387">
        <v>9544</v>
      </c>
      <c r="AA387">
        <v>5726</v>
      </c>
      <c r="AB387">
        <v>3817</v>
      </c>
    </row>
    <row r="388" spans="1:28" x14ac:dyDescent="0.35">
      <c r="A388" t="s">
        <v>433</v>
      </c>
      <c r="B388" t="s">
        <v>9</v>
      </c>
      <c r="C388" t="s">
        <v>1</v>
      </c>
      <c r="D388" t="s">
        <v>10</v>
      </c>
      <c r="E388" t="s">
        <v>11</v>
      </c>
      <c r="F388">
        <v>55226</v>
      </c>
      <c r="G388">
        <v>-17154</v>
      </c>
      <c r="H388">
        <v>16851</v>
      </c>
      <c r="I388">
        <v>55226</v>
      </c>
      <c r="J388">
        <v>5522</v>
      </c>
      <c r="K388">
        <v>2761</v>
      </c>
      <c r="L388">
        <v>35633</v>
      </c>
      <c r="M388">
        <v>7126</v>
      </c>
      <c r="N388">
        <v>10689</v>
      </c>
      <c r="O388">
        <v>3563</v>
      </c>
      <c r="P388">
        <v>-14253</v>
      </c>
      <c r="Q388">
        <v>-8908</v>
      </c>
      <c r="R388">
        <v>38392</v>
      </c>
      <c r="S388">
        <v>11517</v>
      </c>
      <c r="T388">
        <v>3839</v>
      </c>
      <c r="U388">
        <v>1781</v>
      </c>
      <c r="V388">
        <v>1068</v>
      </c>
      <c r="W388">
        <v>712</v>
      </c>
      <c r="X388">
        <v>3563</v>
      </c>
      <c r="Y388">
        <v>1781</v>
      </c>
      <c r="Z388">
        <v>1919</v>
      </c>
      <c r="AA388">
        <v>1151</v>
      </c>
      <c r="AB388">
        <v>767</v>
      </c>
    </row>
    <row r="389" spans="1:28" x14ac:dyDescent="0.35">
      <c r="A389" t="s">
        <v>434</v>
      </c>
      <c r="B389" t="s">
        <v>9</v>
      </c>
      <c r="C389" t="s">
        <v>1</v>
      </c>
      <c r="D389" t="s">
        <v>10</v>
      </c>
      <c r="E389" t="s">
        <v>11</v>
      </c>
      <c r="F389">
        <v>353730</v>
      </c>
      <c r="G389">
        <v>-89134</v>
      </c>
      <c r="H389">
        <v>74559</v>
      </c>
      <c r="I389">
        <v>353730</v>
      </c>
      <c r="J389">
        <v>35373</v>
      </c>
      <c r="K389">
        <v>17686</v>
      </c>
      <c r="L389">
        <v>156478</v>
      </c>
      <c r="M389">
        <v>31295</v>
      </c>
      <c r="N389">
        <v>46943</v>
      </c>
      <c r="O389">
        <v>15647</v>
      </c>
      <c r="P389">
        <v>-62591</v>
      </c>
      <c r="Q389">
        <v>-39119</v>
      </c>
      <c r="R389">
        <v>184873</v>
      </c>
      <c r="S389">
        <v>55461</v>
      </c>
      <c r="T389">
        <v>18487</v>
      </c>
      <c r="U389">
        <v>7823</v>
      </c>
      <c r="V389">
        <v>4694</v>
      </c>
      <c r="W389">
        <v>3129</v>
      </c>
      <c r="X389">
        <v>15647</v>
      </c>
      <c r="Y389">
        <v>7823</v>
      </c>
      <c r="Z389">
        <v>9243</v>
      </c>
      <c r="AA389">
        <v>5546</v>
      </c>
      <c r="AB389">
        <v>3697</v>
      </c>
    </row>
    <row r="390" spans="1:28" x14ac:dyDescent="0.35">
      <c r="A390" t="s">
        <v>435</v>
      </c>
      <c r="B390" t="s">
        <v>9</v>
      </c>
      <c r="C390" t="s">
        <v>1</v>
      </c>
      <c r="D390" t="s">
        <v>10</v>
      </c>
      <c r="E390" t="s">
        <v>11</v>
      </c>
      <c r="F390">
        <v>90985</v>
      </c>
      <c r="G390">
        <v>-40683</v>
      </c>
      <c r="H390">
        <v>32530</v>
      </c>
      <c r="I390">
        <v>90985</v>
      </c>
      <c r="J390">
        <v>9098</v>
      </c>
      <c r="K390">
        <v>4549</v>
      </c>
      <c r="L390">
        <v>71129</v>
      </c>
      <c r="M390">
        <v>14225</v>
      </c>
      <c r="N390">
        <v>21338</v>
      </c>
      <c r="O390">
        <v>7112</v>
      </c>
      <c r="P390">
        <v>-28451</v>
      </c>
      <c r="Q390">
        <v>-17782</v>
      </c>
      <c r="R390">
        <v>63194</v>
      </c>
      <c r="S390">
        <v>18958</v>
      </c>
      <c r="T390">
        <v>6319</v>
      </c>
      <c r="U390">
        <v>3556</v>
      </c>
      <c r="V390">
        <v>2133</v>
      </c>
      <c r="W390">
        <v>1422</v>
      </c>
      <c r="X390">
        <v>7112</v>
      </c>
      <c r="Y390">
        <v>3556</v>
      </c>
      <c r="Z390">
        <v>3159</v>
      </c>
      <c r="AA390">
        <v>1895</v>
      </c>
      <c r="AB390">
        <v>1263</v>
      </c>
    </row>
    <row r="391" spans="1:28" x14ac:dyDescent="0.35">
      <c r="A391" t="s">
        <v>436</v>
      </c>
      <c r="B391" t="s">
        <v>9</v>
      </c>
      <c r="C391" t="s">
        <v>1</v>
      </c>
      <c r="D391" t="s">
        <v>10</v>
      </c>
      <c r="E391" t="s">
        <v>11</v>
      </c>
      <c r="F391">
        <v>104711</v>
      </c>
      <c r="G391">
        <v>-37092</v>
      </c>
      <c r="H391">
        <v>35171</v>
      </c>
      <c r="I391">
        <v>104711</v>
      </c>
      <c r="J391">
        <v>10471</v>
      </c>
      <c r="K391">
        <v>5235</v>
      </c>
      <c r="L391">
        <v>70734</v>
      </c>
      <c r="M391">
        <v>14146</v>
      </c>
      <c r="N391">
        <v>21220</v>
      </c>
      <c r="O391">
        <v>7073</v>
      </c>
      <c r="P391">
        <v>-28293</v>
      </c>
      <c r="Q391">
        <v>-17683</v>
      </c>
      <c r="R391">
        <v>68664</v>
      </c>
      <c r="S391">
        <v>20599</v>
      </c>
      <c r="T391">
        <v>6866</v>
      </c>
      <c r="U391">
        <v>3536</v>
      </c>
      <c r="V391">
        <v>2122</v>
      </c>
      <c r="W391">
        <v>1414</v>
      </c>
      <c r="X391">
        <v>7073</v>
      </c>
      <c r="Y391">
        <v>3536</v>
      </c>
      <c r="Z391">
        <v>3433</v>
      </c>
      <c r="AA391">
        <v>2059</v>
      </c>
      <c r="AB391">
        <v>1373</v>
      </c>
    </row>
    <row r="392" spans="1:28" x14ac:dyDescent="0.35">
      <c r="A392" t="s">
        <v>437</v>
      </c>
      <c r="B392" t="s">
        <v>9</v>
      </c>
      <c r="C392" t="s">
        <v>1</v>
      </c>
      <c r="D392" t="s">
        <v>10</v>
      </c>
      <c r="E392" t="s">
        <v>11</v>
      </c>
      <c r="F392">
        <v>206224</v>
      </c>
      <c r="G392">
        <v>-68030</v>
      </c>
      <c r="H392">
        <v>95671</v>
      </c>
      <c r="I392">
        <v>206224</v>
      </c>
      <c r="J392">
        <v>20622</v>
      </c>
      <c r="K392">
        <v>10311</v>
      </c>
      <c r="L392">
        <v>128331</v>
      </c>
      <c r="M392">
        <v>25666</v>
      </c>
      <c r="N392">
        <v>38499</v>
      </c>
      <c r="O392">
        <v>12833</v>
      </c>
      <c r="P392">
        <v>-51332</v>
      </c>
      <c r="Q392">
        <v>-32082</v>
      </c>
      <c r="R392">
        <v>142399</v>
      </c>
      <c r="S392">
        <v>42719</v>
      </c>
      <c r="T392">
        <v>14239</v>
      </c>
      <c r="U392">
        <v>6416</v>
      </c>
      <c r="V392">
        <v>3849</v>
      </c>
      <c r="W392">
        <v>2566</v>
      </c>
      <c r="X392">
        <v>12833</v>
      </c>
      <c r="Y392">
        <v>6416</v>
      </c>
      <c r="Z392">
        <v>7119</v>
      </c>
      <c r="AA392">
        <v>4271</v>
      </c>
      <c r="AB392">
        <v>2847</v>
      </c>
    </row>
    <row r="393" spans="1:28" x14ac:dyDescent="0.35">
      <c r="A393" t="s">
        <v>438</v>
      </c>
      <c r="B393" t="s">
        <v>9</v>
      </c>
      <c r="C393" t="s">
        <v>1</v>
      </c>
      <c r="D393" t="s">
        <v>10</v>
      </c>
      <c r="E393" t="s">
        <v>11</v>
      </c>
      <c r="F393">
        <v>198941</v>
      </c>
      <c r="G393">
        <v>-86571</v>
      </c>
      <c r="H393">
        <v>96548</v>
      </c>
      <c r="I393">
        <v>198941</v>
      </c>
      <c r="J393">
        <v>19894</v>
      </c>
      <c r="K393">
        <v>9947</v>
      </c>
      <c r="L393">
        <v>117735</v>
      </c>
      <c r="M393">
        <v>23547</v>
      </c>
      <c r="N393">
        <v>35320</v>
      </c>
      <c r="O393">
        <v>11773</v>
      </c>
      <c r="P393">
        <v>-47094</v>
      </c>
      <c r="Q393">
        <v>-29433</v>
      </c>
      <c r="R393">
        <v>128455</v>
      </c>
      <c r="S393">
        <v>38536</v>
      </c>
      <c r="T393">
        <v>12845</v>
      </c>
      <c r="U393">
        <v>5886</v>
      </c>
      <c r="V393">
        <v>3532</v>
      </c>
      <c r="W393">
        <v>2354</v>
      </c>
      <c r="X393">
        <v>11773</v>
      </c>
      <c r="Y393">
        <v>5886</v>
      </c>
      <c r="Z393">
        <v>6422</v>
      </c>
      <c r="AA393">
        <v>3853</v>
      </c>
      <c r="AB393">
        <v>2569</v>
      </c>
    </row>
    <row r="394" spans="1:28" x14ac:dyDescent="0.35">
      <c r="A394" t="s">
        <v>439</v>
      </c>
      <c r="B394" t="s">
        <v>9</v>
      </c>
      <c r="C394" t="s">
        <v>1</v>
      </c>
      <c r="D394" t="s">
        <v>10</v>
      </c>
      <c r="E394" t="s">
        <v>11</v>
      </c>
      <c r="F394">
        <v>388987</v>
      </c>
      <c r="G394">
        <v>-155007</v>
      </c>
      <c r="H394">
        <v>39029</v>
      </c>
      <c r="I394">
        <v>388987</v>
      </c>
      <c r="J394">
        <v>38898</v>
      </c>
      <c r="K394">
        <v>19449</v>
      </c>
      <c r="L394">
        <v>307360</v>
      </c>
      <c r="M394">
        <v>61472</v>
      </c>
      <c r="N394">
        <v>92208</v>
      </c>
      <c r="O394">
        <v>30736</v>
      </c>
      <c r="P394">
        <v>-122944</v>
      </c>
      <c r="Q394">
        <v>-76840</v>
      </c>
      <c r="R394">
        <v>304627</v>
      </c>
      <c r="S394">
        <v>91388</v>
      </c>
      <c r="T394">
        <v>30462</v>
      </c>
      <c r="U394">
        <v>15368</v>
      </c>
      <c r="V394">
        <v>9220</v>
      </c>
      <c r="W394">
        <v>6147</v>
      </c>
      <c r="X394">
        <v>30736</v>
      </c>
      <c r="Y394">
        <v>15368</v>
      </c>
      <c r="Z394">
        <v>15231</v>
      </c>
      <c r="AA394">
        <v>9138</v>
      </c>
      <c r="AB394">
        <v>6092</v>
      </c>
    </row>
    <row r="395" spans="1:28" x14ac:dyDescent="0.35">
      <c r="A395" t="s">
        <v>440</v>
      </c>
      <c r="B395" t="s">
        <v>9</v>
      </c>
      <c r="C395" t="s">
        <v>1</v>
      </c>
      <c r="D395" t="s">
        <v>10</v>
      </c>
      <c r="E395" t="s">
        <v>11</v>
      </c>
      <c r="F395">
        <v>54574</v>
      </c>
      <c r="G395">
        <v>-29497</v>
      </c>
      <c r="H395">
        <v>13873</v>
      </c>
      <c r="I395">
        <v>54574</v>
      </c>
      <c r="J395">
        <v>5457</v>
      </c>
      <c r="K395">
        <v>2728</v>
      </c>
      <c r="L395">
        <v>17599</v>
      </c>
      <c r="M395">
        <v>3519</v>
      </c>
      <c r="N395">
        <v>5279</v>
      </c>
      <c r="O395">
        <v>1759</v>
      </c>
      <c r="P395">
        <v>-7039</v>
      </c>
      <c r="Q395">
        <v>-4399</v>
      </c>
      <c r="R395">
        <v>20173</v>
      </c>
      <c r="S395">
        <v>6051</v>
      </c>
      <c r="T395">
        <v>2017</v>
      </c>
      <c r="U395">
        <v>879</v>
      </c>
      <c r="V395">
        <v>527</v>
      </c>
      <c r="W395">
        <v>351</v>
      </c>
      <c r="X395">
        <v>1759</v>
      </c>
      <c r="Y395">
        <v>879</v>
      </c>
      <c r="Z395">
        <v>1008</v>
      </c>
      <c r="AA395">
        <v>605</v>
      </c>
      <c r="AB395">
        <v>403</v>
      </c>
    </row>
    <row r="396" spans="1:28" x14ac:dyDescent="0.35">
      <c r="A396" t="s">
        <v>441</v>
      </c>
      <c r="B396" t="s">
        <v>9</v>
      </c>
      <c r="C396" t="s">
        <v>1</v>
      </c>
      <c r="D396" t="s">
        <v>10</v>
      </c>
      <c r="E396" t="s">
        <v>11</v>
      </c>
      <c r="F396">
        <v>298613</v>
      </c>
      <c r="G396">
        <v>-78597</v>
      </c>
      <c r="H396">
        <v>145955</v>
      </c>
      <c r="I396">
        <v>298613</v>
      </c>
      <c r="J396">
        <v>29861</v>
      </c>
      <c r="K396">
        <v>14930</v>
      </c>
      <c r="L396">
        <v>162401</v>
      </c>
      <c r="M396">
        <v>32480</v>
      </c>
      <c r="N396">
        <v>48720</v>
      </c>
      <c r="O396">
        <v>16240</v>
      </c>
      <c r="P396">
        <v>-64960</v>
      </c>
      <c r="Q396">
        <v>-40600</v>
      </c>
      <c r="R396">
        <v>161093</v>
      </c>
      <c r="S396">
        <v>48327</v>
      </c>
      <c r="T396">
        <v>16109</v>
      </c>
      <c r="U396">
        <v>8120</v>
      </c>
      <c r="V396">
        <v>4872</v>
      </c>
      <c r="W396">
        <v>3248</v>
      </c>
      <c r="X396">
        <v>16240</v>
      </c>
      <c r="Y396">
        <v>8120</v>
      </c>
      <c r="Z396">
        <v>8054</v>
      </c>
      <c r="AA396">
        <v>4832</v>
      </c>
      <c r="AB396">
        <v>3221</v>
      </c>
    </row>
    <row r="397" spans="1:28" x14ac:dyDescent="0.35">
      <c r="A397" t="s">
        <v>442</v>
      </c>
      <c r="B397" t="s">
        <v>9</v>
      </c>
      <c r="C397" t="s">
        <v>1</v>
      </c>
      <c r="D397" t="s">
        <v>10</v>
      </c>
      <c r="E397" t="s">
        <v>11</v>
      </c>
      <c r="F397">
        <v>216894</v>
      </c>
      <c r="G397">
        <v>-123392</v>
      </c>
      <c r="H397">
        <v>80550</v>
      </c>
      <c r="I397">
        <v>216894</v>
      </c>
      <c r="J397">
        <v>21689</v>
      </c>
      <c r="K397">
        <v>10844</v>
      </c>
      <c r="L397">
        <v>155627</v>
      </c>
      <c r="M397">
        <v>31125</v>
      </c>
      <c r="N397">
        <v>46688</v>
      </c>
      <c r="O397">
        <v>15562</v>
      </c>
      <c r="P397">
        <v>-62250</v>
      </c>
      <c r="Q397">
        <v>-38906</v>
      </c>
      <c r="R397">
        <v>165488</v>
      </c>
      <c r="S397">
        <v>49646</v>
      </c>
      <c r="T397">
        <v>16548</v>
      </c>
      <c r="U397">
        <v>7781</v>
      </c>
      <c r="V397">
        <v>4668</v>
      </c>
      <c r="W397">
        <v>3112</v>
      </c>
      <c r="X397">
        <v>15562</v>
      </c>
      <c r="Y397">
        <v>7781</v>
      </c>
      <c r="Z397">
        <v>8274</v>
      </c>
      <c r="AA397">
        <v>4964</v>
      </c>
      <c r="AB397">
        <v>3309</v>
      </c>
    </row>
    <row r="398" spans="1:28" x14ac:dyDescent="0.35">
      <c r="A398" t="s">
        <v>443</v>
      </c>
      <c r="B398" t="s">
        <v>9</v>
      </c>
      <c r="C398" t="s">
        <v>1</v>
      </c>
      <c r="D398" t="s">
        <v>10</v>
      </c>
      <c r="E398" t="s">
        <v>11</v>
      </c>
      <c r="F398">
        <v>237618</v>
      </c>
      <c r="G398">
        <v>-108289</v>
      </c>
      <c r="H398">
        <v>80173</v>
      </c>
      <c r="I398">
        <v>237618</v>
      </c>
      <c r="J398">
        <v>23761</v>
      </c>
      <c r="K398">
        <v>11880</v>
      </c>
      <c r="L398">
        <v>113259</v>
      </c>
      <c r="M398">
        <v>22651</v>
      </c>
      <c r="N398">
        <v>33977</v>
      </c>
      <c r="O398">
        <v>11325</v>
      </c>
      <c r="P398">
        <v>-45303</v>
      </c>
      <c r="Q398">
        <v>-28314</v>
      </c>
      <c r="R398">
        <v>93106</v>
      </c>
      <c r="S398">
        <v>27931</v>
      </c>
      <c r="T398">
        <v>9310</v>
      </c>
      <c r="U398">
        <v>5662</v>
      </c>
      <c r="V398">
        <v>3397</v>
      </c>
      <c r="W398">
        <v>2265</v>
      </c>
      <c r="X398">
        <v>11325</v>
      </c>
      <c r="Y398">
        <v>5662</v>
      </c>
      <c r="Z398">
        <v>4655</v>
      </c>
      <c r="AA398">
        <v>2793</v>
      </c>
      <c r="AB398">
        <v>1862</v>
      </c>
    </row>
    <row r="399" spans="1:28" x14ac:dyDescent="0.35">
      <c r="A399" t="s">
        <v>444</v>
      </c>
      <c r="B399" t="s">
        <v>9</v>
      </c>
      <c r="C399" t="s">
        <v>1</v>
      </c>
      <c r="D399" t="s">
        <v>10</v>
      </c>
      <c r="E399" t="s">
        <v>11</v>
      </c>
      <c r="F399">
        <v>217916</v>
      </c>
      <c r="G399">
        <v>-75461</v>
      </c>
      <c r="H399">
        <v>69855</v>
      </c>
      <c r="I399">
        <v>217916</v>
      </c>
      <c r="J399">
        <v>21791</v>
      </c>
      <c r="K399">
        <v>10895</v>
      </c>
      <c r="L399">
        <v>116060</v>
      </c>
      <c r="M399">
        <v>23212</v>
      </c>
      <c r="N399">
        <v>34818</v>
      </c>
      <c r="O399">
        <v>11606</v>
      </c>
      <c r="P399">
        <v>-46424</v>
      </c>
      <c r="Q399">
        <v>-29015</v>
      </c>
      <c r="R399">
        <v>112371</v>
      </c>
      <c r="S399">
        <v>33711</v>
      </c>
      <c r="T399">
        <v>11237</v>
      </c>
      <c r="U399">
        <v>5803</v>
      </c>
      <c r="V399">
        <v>3481</v>
      </c>
      <c r="W399">
        <v>2321</v>
      </c>
      <c r="X399">
        <v>11606</v>
      </c>
      <c r="Y399">
        <v>5803</v>
      </c>
      <c r="Z399">
        <v>5618</v>
      </c>
      <c r="AA399">
        <v>3371</v>
      </c>
      <c r="AB399">
        <v>2247</v>
      </c>
    </row>
    <row r="400" spans="1:28" x14ac:dyDescent="0.35">
      <c r="A400" t="s">
        <v>445</v>
      </c>
      <c r="B400" t="s">
        <v>9</v>
      </c>
      <c r="C400" t="s">
        <v>1</v>
      </c>
      <c r="D400" t="s">
        <v>10</v>
      </c>
      <c r="E400" t="s">
        <v>11</v>
      </c>
      <c r="F400">
        <v>127346</v>
      </c>
      <c r="G400">
        <v>-43917</v>
      </c>
      <c r="H400">
        <v>12843</v>
      </c>
      <c r="I400">
        <v>127346</v>
      </c>
      <c r="J400">
        <v>12734</v>
      </c>
      <c r="K400">
        <v>6367</v>
      </c>
      <c r="L400">
        <v>51796</v>
      </c>
      <c r="M400">
        <v>10359</v>
      </c>
      <c r="N400">
        <v>15538</v>
      </c>
      <c r="O400">
        <v>5179</v>
      </c>
      <c r="P400">
        <v>-20718</v>
      </c>
      <c r="Q400">
        <v>-12949</v>
      </c>
      <c r="R400">
        <v>54949</v>
      </c>
      <c r="S400">
        <v>16484</v>
      </c>
      <c r="T400">
        <v>5494</v>
      </c>
      <c r="U400">
        <v>2589</v>
      </c>
      <c r="V400">
        <v>1553</v>
      </c>
      <c r="W400">
        <v>1035</v>
      </c>
      <c r="X400">
        <v>5179</v>
      </c>
      <c r="Y400">
        <v>2589</v>
      </c>
      <c r="Z400">
        <v>2747</v>
      </c>
      <c r="AA400">
        <v>1648</v>
      </c>
      <c r="AB400">
        <v>1098</v>
      </c>
    </row>
    <row r="401" spans="1:28" x14ac:dyDescent="0.35">
      <c r="A401" t="s">
        <v>446</v>
      </c>
      <c r="B401" t="s">
        <v>9</v>
      </c>
      <c r="C401" t="s">
        <v>1</v>
      </c>
      <c r="D401" t="s">
        <v>10</v>
      </c>
      <c r="E401" t="s">
        <v>11</v>
      </c>
      <c r="F401">
        <v>459254</v>
      </c>
      <c r="G401">
        <v>-119768</v>
      </c>
      <c r="H401">
        <v>106471</v>
      </c>
      <c r="I401">
        <v>459254</v>
      </c>
      <c r="J401">
        <v>45925</v>
      </c>
      <c r="K401">
        <v>22962</v>
      </c>
      <c r="L401">
        <v>177244</v>
      </c>
      <c r="M401">
        <v>35448</v>
      </c>
      <c r="N401">
        <v>53173</v>
      </c>
      <c r="O401">
        <v>17724</v>
      </c>
      <c r="P401">
        <v>-70897</v>
      </c>
      <c r="Q401">
        <v>-44311</v>
      </c>
      <c r="R401">
        <v>161527</v>
      </c>
      <c r="S401">
        <v>48458</v>
      </c>
      <c r="T401">
        <v>16152</v>
      </c>
      <c r="U401">
        <v>8862</v>
      </c>
      <c r="V401">
        <v>5317</v>
      </c>
      <c r="W401">
        <v>3544</v>
      </c>
      <c r="X401">
        <v>17724</v>
      </c>
      <c r="Y401">
        <v>8862</v>
      </c>
      <c r="Z401">
        <v>8076</v>
      </c>
      <c r="AA401">
        <v>4845</v>
      </c>
      <c r="AB401">
        <v>3230</v>
      </c>
    </row>
    <row r="402" spans="1:28" x14ac:dyDescent="0.35">
      <c r="A402" t="s">
        <v>447</v>
      </c>
      <c r="B402" t="s">
        <v>9</v>
      </c>
      <c r="C402" t="s">
        <v>1</v>
      </c>
      <c r="D402" t="s">
        <v>10</v>
      </c>
      <c r="E402" t="s">
        <v>11</v>
      </c>
      <c r="F402">
        <v>391780</v>
      </c>
      <c r="G402">
        <v>-146959</v>
      </c>
      <c r="H402">
        <v>90759</v>
      </c>
      <c r="I402">
        <v>391780</v>
      </c>
      <c r="J402">
        <v>39178</v>
      </c>
      <c r="K402">
        <v>19589</v>
      </c>
      <c r="L402">
        <v>90035</v>
      </c>
      <c r="M402">
        <v>18007</v>
      </c>
      <c r="N402">
        <v>27010</v>
      </c>
      <c r="O402">
        <v>9003</v>
      </c>
      <c r="P402">
        <v>-36014</v>
      </c>
      <c r="Q402">
        <v>-22508</v>
      </c>
      <c r="R402">
        <v>91692</v>
      </c>
      <c r="S402">
        <v>27507</v>
      </c>
      <c r="T402">
        <v>9169</v>
      </c>
      <c r="U402">
        <v>4501</v>
      </c>
      <c r="V402">
        <v>2701</v>
      </c>
      <c r="W402">
        <v>1800</v>
      </c>
      <c r="X402">
        <v>9003</v>
      </c>
      <c r="Y402">
        <v>4501</v>
      </c>
      <c r="Z402">
        <v>4584</v>
      </c>
      <c r="AA402">
        <v>2750</v>
      </c>
      <c r="AB402">
        <v>1833</v>
      </c>
    </row>
    <row r="403" spans="1:28" x14ac:dyDescent="0.35">
      <c r="A403" t="s">
        <v>448</v>
      </c>
      <c r="B403" t="s">
        <v>9</v>
      </c>
      <c r="C403" t="s">
        <v>1</v>
      </c>
      <c r="D403" t="s">
        <v>10</v>
      </c>
      <c r="E403" t="s">
        <v>11</v>
      </c>
      <c r="F403">
        <v>57093</v>
      </c>
      <c r="G403">
        <v>-25471</v>
      </c>
      <c r="H403">
        <v>12602</v>
      </c>
      <c r="I403">
        <v>57093</v>
      </c>
      <c r="J403">
        <v>5709</v>
      </c>
      <c r="K403">
        <v>2854</v>
      </c>
      <c r="L403">
        <v>37015</v>
      </c>
      <c r="M403">
        <v>7403</v>
      </c>
      <c r="N403">
        <v>11104</v>
      </c>
      <c r="O403">
        <v>3701</v>
      </c>
      <c r="P403">
        <v>-14806</v>
      </c>
      <c r="Q403">
        <v>-9253</v>
      </c>
      <c r="R403">
        <v>32689</v>
      </c>
      <c r="S403">
        <v>9806</v>
      </c>
      <c r="T403">
        <v>3268</v>
      </c>
      <c r="U403">
        <v>1850</v>
      </c>
      <c r="V403">
        <v>1110</v>
      </c>
      <c r="W403">
        <v>740</v>
      </c>
      <c r="X403">
        <v>3701</v>
      </c>
      <c r="Y403">
        <v>1850</v>
      </c>
      <c r="Z403">
        <v>1634</v>
      </c>
      <c r="AA403">
        <v>980</v>
      </c>
      <c r="AB403">
        <v>653</v>
      </c>
    </row>
    <row r="404" spans="1:28" x14ac:dyDescent="0.35">
      <c r="A404" t="s">
        <v>449</v>
      </c>
      <c r="B404" t="s">
        <v>9</v>
      </c>
      <c r="C404" t="s">
        <v>1</v>
      </c>
      <c r="D404" t="s">
        <v>10</v>
      </c>
      <c r="E404" t="s">
        <v>11</v>
      </c>
      <c r="F404">
        <v>65792</v>
      </c>
      <c r="G404">
        <v>-25159</v>
      </c>
      <c r="H404">
        <v>9216</v>
      </c>
      <c r="I404">
        <v>65792</v>
      </c>
      <c r="J404">
        <v>6579</v>
      </c>
      <c r="K404">
        <v>3289</v>
      </c>
      <c r="L404">
        <v>33338</v>
      </c>
      <c r="M404">
        <v>6667</v>
      </c>
      <c r="N404">
        <v>10001</v>
      </c>
      <c r="O404">
        <v>3333</v>
      </c>
      <c r="P404">
        <v>-13335</v>
      </c>
      <c r="Q404">
        <v>-8334</v>
      </c>
      <c r="R404">
        <v>32424</v>
      </c>
      <c r="S404">
        <v>9727</v>
      </c>
      <c r="T404">
        <v>3242</v>
      </c>
      <c r="U404">
        <v>1666</v>
      </c>
      <c r="V404">
        <v>1000</v>
      </c>
      <c r="W404">
        <v>666</v>
      </c>
      <c r="X404">
        <v>3333</v>
      </c>
      <c r="Y404">
        <v>1666</v>
      </c>
      <c r="Z404">
        <v>1621</v>
      </c>
      <c r="AA404">
        <v>972</v>
      </c>
      <c r="AB404">
        <v>648</v>
      </c>
    </row>
    <row r="405" spans="1:28" x14ac:dyDescent="0.35">
      <c r="A405" t="s">
        <v>450</v>
      </c>
      <c r="B405" t="s">
        <v>9</v>
      </c>
      <c r="C405" t="s">
        <v>1</v>
      </c>
      <c r="D405" t="s">
        <v>10</v>
      </c>
      <c r="E405" t="s">
        <v>11</v>
      </c>
      <c r="F405">
        <v>128288</v>
      </c>
      <c r="G405">
        <v>-52287</v>
      </c>
      <c r="H405">
        <v>47991</v>
      </c>
      <c r="I405">
        <v>128288</v>
      </c>
      <c r="J405">
        <v>12828</v>
      </c>
      <c r="K405">
        <v>6414</v>
      </c>
      <c r="L405">
        <v>61904</v>
      </c>
      <c r="M405">
        <v>12380</v>
      </c>
      <c r="N405">
        <v>18571</v>
      </c>
      <c r="O405">
        <v>6190</v>
      </c>
      <c r="P405">
        <v>-24761</v>
      </c>
      <c r="Q405">
        <v>-15476</v>
      </c>
      <c r="R405">
        <v>61415</v>
      </c>
      <c r="S405">
        <v>18424</v>
      </c>
      <c r="T405">
        <v>6141</v>
      </c>
      <c r="U405">
        <v>3095</v>
      </c>
      <c r="V405">
        <v>1857</v>
      </c>
      <c r="W405">
        <v>1238</v>
      </c>
      <c r="X405">
        <v>6190</v>
      </c>
      <c r="Y405">
        <v>3095</v>
      </c>
      <c r="Z405">
        <v>3070</v>
      </c>
      <c r="AA405">
        <v>1842</v>
      </c>
      <c r="AB405">
        <v>1228</v>
      </c>
    </row>
    <row r="406" spans="1:28" x14ac:dyDescent="0.35">
      <c r="A406" t="s">
        <v>451</v>
      </c>
      <c r="B406" t="s">
        <v>9</v>
      </c>
      <c r="C406" t="s">
        <v>1</v>
      </c>
      <c r="D406" t="s">
        <v>10</v>
      </c>
      <c r="E406" t="s">
        <v>11</v>
      </c>
      <c r="F406">
        <v>461170</v>
      </c>
      <c r="G406">
        <v>-96367</v>
      </c>
      <c r="H406">
        <v>99950</v>
      </c>
      <c r="I406">
        <v>461170</v>
      </c>
      <c r="J406">
        <v>46117</v>
      </c>
      <c r="K406">
        <v>23058</v>
      </c>
      <c r="L406">
        <v>181294</v>
      </c>
      <c r="M406">
        <v>36258</v>
      </c>
      <c r="N406">
        <v>54388</v>
      </c>
      <c r="O406">
        <v>18129</v>
      </c>
      <c r="P406">
        <v>-72517</v>
      </c>
      <c r="Q406">
        <v>-45323</v>
      </c>
      <c r="R406">
        <v>199974</v>
      </c>
      <c r="S406">
        <v>59992</v>
      </c>
      <c r="T406">
        <v>19997</v>
      </c>
      <c r="U406">
        <v>9064</v>
      </c>
      <c r="V406">
        <v>5438</v>
      </c>
      <c r="W406">
        <v>3625</v>
      </c>
      <c r="X406">
        <v>18129</v>
      </c>
      <c r="Y406">
        <v>9064</v>
      </c>
      <c r="Z406">
        <v>9998</v>
      </c>
      <c r="AA406">
        <v>5999</v>
      </c>
      <c r="AB406">
        <v>3999</v>
      </c>
    </row>
    <row r="407" spans="1:28" x14ac:dyDescent="0.35">
      <c r="A407" t="s">
        <v>452</v>
      </c>
      <c r="B407" t="s">
        <v>9</v>
      </c>
      <c r="C407" t="s">
        <v>1</v>
      </c>
      <c r="D407" t="s">
        <v>10</v>
      </c>
      <c r="E407" t="s">
        <v>11</v>
      </c>
      <c r="F407">
        <v>385266</v>
      </c>
      <c r="G407">
        <v>-121460</v>
      </c>
      <c r="H407">
        <v>128298</v>
      </c>
      <c r="I407">
        <v>385266</v>
      </c>
      <c r="J407">
        <v>38526</v>
      </c>
      <c r="K407">
        <v>19263</v>
      </c>
      <c r="L407">
        <v>241421</v>
      </c>
      <c r="M407">
        <v>48284</v>
      </c>
      <c r="N407">
        <v>72426</v>
      </c>
      <c r="O407">
        <v>24142</v>
      </c>
      <c r="P407">
        <v>-96568</v>
      </c>
      <c r="Q407">
        <v>-60355</v>
      </c>
      <c r="R407">
        <v>222608</v>
      </c>
      <c r="S407">
        <v>66782</v>
      </c>
      <c r="T407">
        <v>22260</v>
      </c>
      <c r="U407">
        <v>12071</v>
      </c>
      <c r="V407">
        <v>7242</v>
      </c>
      <c r="W407">
        <v>4828</v>
      </c>
      <c r="X407">
        <v>24142</v>
      </c>
      <c r="Y407">
        <v>12071</v>
      </c>
      <c r="Z407">
        <v>11130</v>
      </c>
      <c r="AA407">
        <v>6678</v>
      </c>
      <c r="AB407">
        <v>4452</v>
      </c>
    </row>
    <row r="408" spans="1:28" x14ac:dyDescent="0.35">
      <c r="A408" t="s">
        <v>453</v>
      </c>
      <c r="B408" t="s">
        <v>9</v>
      </c>
      <c r="C408" t="s">
        <v>1</v>
      </c>
      <c r="D408" t="s">
        <v>10</v>
      </c>
      <c r="E408" t="s">
        <v>11</v>
      </c>
      <c r="F408">
        <v>475388</v>
      </c>
      <c r="G408">
        <v>-117595</v>
      </c>
      <c r="H408">
        <v>204021</v>
      </c>
      <c r="I408">
        <v>475388</v>
      </c>
      <c r="J408">
        <v>47538</v>
      </c>
      <c r="K408">
        <v>23769</v>
      </c>
      <c r="L408">
        <v>318205</v>
      </c>
      <c r="M408">
        <v>63641</v>
      </c>
      <c r="N408">
        <v>95461</v>
      </c>
      <c r="O408">
        <v>31820</v>
      </c>
      <c r="P408">
        <v>-127282</v>
      </c>
      <c r="Q408">
        <v>-79551</v>
      </c>
      <c r="R408">
        <v>306581</v>
      </c>
      <c r="S408">
        <v>91974</v>
      </c>
      <c r="T408">
        <v>30658</v>
      </c>
      <c r="U408">
        <v>15910</v>
      </c>
      <c r="V408">
        <v>9546</v>
      </c>
      <c r="W408">
        <v>6364</v>
      </c>
      <c r="X408">
        <v>31820</v>
      </c>
      <c r="Y408">
        <v>15910</v>
      </c>
      <c r="Z408">
        <v>15329</v>
      </c>
      <c r="AA408">
        <v>9197</v>
      </c>
      <c r="AB408">
        <v>6131</v>
      </c>
    </row>
    <row r="409" spans="1:28" x14ac:dyDescent="0.35">
      <c r="A409" t="s">
        <v>454</v>
      </c>
      <c r="B409" t="s">
        <v>9</v>
      </c>
      <c r="C409" t="s">
        <v>1</v>
      </c>
      <c r="D409" t="s">
        <v>10</v>
      </c>
      <c r="E409" t="s">
        <v>11</v>
      </c>
      <c r="F409">
        <v>210796</v>
      </c>
      <c r="G409">
        <v>-113064</v>
      </c>
      <c r="H409">
        <v>67337</v>
      </c>
      <c r="I409">
        <v>210796</v>
      </c>
      <c r="J409">
        <v>21079</v>
      </c>
      <c r="K409">
        <v>10539</v>
      </c>
      <c r="L409">
        <v>152324</v>
      </c>
      <c r="M409">
        <v>30464</v>
      </c>
      <c r="N409">
        <v>45697</v>
      </c>
      <c r="O409">
        <v>15232</v>
      </c>
      <c r="P409">
        <v>-60929</v>
      </c>
      <c r="Q409">
        <v>-38081</v>
      </c>
      <c r="R409">
        <v>122040</v>
      </c>
      <c r="S409">
        <v>36612</v>
      </c>
      <c r="T409">
        <v>12204</v>
      </c>
      <c r="U409">
        <v>7616</v>
      </c>
      <c r="V409">
        <v>4569</v>
      </c>
      <c r="W409">
        <v>3046</v>
      </c>
      <c r="X409">
        <v>15232</v>
      </c>
      <c r="Y409">
        <v>7616</v>
      </c>
      <c r="Z409">
        <v>6102</v>
      </c>
      <c r="AA409">
        <v>3661</v>
      </c>
      <c r="AB409">
        <v>2440</v>
      </c>
    </row>
    <row r="410" spans="1:28" x14ac:dyDescent="0.35">
      <c r="A410" t="s">
        <v>455</v>
      </c>
      <c r="B410" t="s">
        <v>9</v>
      </c>
      <c r="C410" t="s">
        <v>1</v>
      </c>
      <c r="D410" t="s">
        <v>10</v>
      </c>
      <c r="E410" t="s">
        <v>11</v>
      </c>
      <c r="F410">
        <v>154068</v>
      </c>
      <c r="G410">
        <v>-73775</v>
      </c>
      <c r="H410">
        <v>54662</v>
      </c>
      <c r="I410">
        <v>154068</v>
      </c>
      <c r="J410">
        <v>15406</v>
      </c>
      <c r="K410">
        <v>7703</v>
      </c>
      <c r="L410">
        <v>122164</v>
      </c>
      <c r="M410">
        <v>24432</v>
      </c>
      <c r="N410">
        <v>36649</v>
      </c>
      <c r="O410">
        <v>12216</v>
      </c>
      <c r="P410">
        <v>-48865</v>
      </c>
      <c r="Q410">
        <v>-30541</v>
      </c>
      <c r="R410">
        <v>141431</v>
      </c>
      <c r="S410">
        <v>42429</v>
      </c>
      <c r="T410">
        <v>14143</v>
      </c>
      <c r="U410">
        <v>6108</v>
      </c>
      <c r="V410">
        <v>3664</v>
      </c>
      <c r="W410">
        <v>2443</v>
      </c>
      <c r="X410">
        <v>12216</v>
      </c>
      <c r="Y410">
        <v>6108</v>
      </c>
      <c r="Z410">
        <v>7071</v>
      </c>
      <c r="AA410">
        <v>4242</v>
      </c>
      <c r="AB410">
        <v>2828</v>
      </c>
    </row>
    <row r="411" spans="1:28" x14ac:dyDescent="0.35">
      <c r="A411" t="s">
        <v>456</v>
      </c>
      <c r="B411" t="s">
        <v>9</v>
      </c>
      <c r="C411" t="s">
        <v>1</v>
      </c>
      <c r="D411" t="s">
        <v>10</v>
      </c>
      <c r="E411" t="s">
        <v>11</v>
      </c>
      <c r="F411">
        <v>344523</v>
      </c>
      <c r="G411">
        <v>-116192</v>
      </c>
      <c r="H411">
        <v>153320</v>
      </c>
      <c r="I411">
        <v>344523</v>
      </c>
      <c r="J411">
        <v>34452</v>
      </c>
      <c r="K411">
        <v>17226</v>
      </c>
      <c r="L411">
        <v>262085</v>
      </c>
      <c r="M411">
        <v>52417</v>
      </c>
      <c r="N411">
        <v>78625</v>
      </c>
      <c r="O411">
        <v>26208</v>
      </c>
      <c r="P411">
        <v>-104834</v>
      </c>
      <c r="Q411">
        <v>-65521</v>
      </c>
      <c r="R411">
        <v>294971</v>
      </c>
      <c r="S411">
        <v>88491</v>
      </c>
      <c r="T411">
        <v>29497</v>
      </c>
      <c r="U411">
        <v>13104</v>
      </c>
      <c r="V411">
        <v>7862</v>
      </c>
      <c r="W411">
        <v>5241</v>
      </c>
      <c r="X411">
        <v>26208</v>
      </c>
      <c r="Y411">
        <v>13104</v>
      </c>
      <c r="Z411">
        <v>14748</v>
      </c>
      <c r="AA411">
        <v>8849</v>
      </c>
      <c r="AB411">
        <v>5899</v>
      </c>
    </row>
    <row r="412" spans="1:28" x14ac:dyDescent="0.35">
      <c r="A412" t="s">
        <v>457</v>
      </c>
      <c r="B412" t="s">
        <v>9</v>
      </c>
      <c r="C412" t="s">
        <v>1</v>
      </c>
      <c r="D412" t="s">
        <v>10</v>
      </c>
      <c r="E412" t="s">
        <v>11</v>
      </c>
      <c r="F412">
        <v>431579</v>
      </c>
      <c r="G412">
        <v>-188694</v>
      </c>
      <c r="H412">
        <v>64995</v>
      </c>
      <c r="I412">
        <v>431579</v>
      </c>
      <c r="J412">
        <v>43157</v>
      </c>
      <c r="K412">
        <v>21578</v>
      </c>
      <c r="L412">
        <v>102706</v>
      </c>
      <c r="M412">
        <v>20541</v>
      </c>
      <c r="N412">
        <v>30811</v>
      </c>
      <c r="O412">
        <v>10270</v>
      </c>
      <c r="P412">
        <v>-41082</v>
      </c>
      <c r="Q412">
        <v>-25676</v>
      </c>
      <c r="R412">
        <v>105869</v>
      </c>
      <c r="S412">
        <v>31760</v>
      </c>
      <c r="T412">
        <v>10586</v>
      </c>
      <c r="U412">
        <v>5135</v>
      </c>
      <c r="V412">
        <v>3081</v>
      </c>
      <c r="W412">
        <v>2054</v>
      </c>
      <c r="X412">
        <v>10270</v>
      </c>
      <c r="Y412">
        <v>5135</v>
      </c>
      <c r="Z412">
        <v>5293</v>
      </c>
      <c r="AA412">
        <v>3176</v>
      </c>
      <c r="AB412">
        <v>2117</v>
      </c>
    </row>
    <row r="413" spans="1:28" x14ac:dyDescent="0.35">
      <c r="A413" t="s">
        <v>458</v>
      </c>
      <c r="B413" t="s">
        <v>9</v>
      </c>
      <c r="C413" t="s">
        <v>1</v>
      </c>
      <c r="D413" t="s">
        <v>10</v>
      </c>
      <c r="E413" t="s">
        <v>11</v>
      </c>
      <c r="F413">
        <v>89091</v>
      </c>
      <c r="G413">
        <v>-34317</v>
      </c>
      <c r="H413">
        <v>20940</v>
      </c>
      <c r="I413">
        <v>89091</v>
      </c>
      <c r="J413">
        <v>8909</v>
      </c>
      <c r="K413">
        <v>4454</v>
      </c>
      <c r="L413">
        <v>41814</v>
      </c>
      <c r="M413">
        <v>8362</v>
      </c>
      <c r="N413">
        <v>12544</v>
      </c>
      <c r="O413">
        <v>4181</v>
      </c>
      <c r="P413">
        <v>-16725</v>
      </c>
      <c r="Q413">
        <v>-10453</v>
      </c>
      <c r="R413">
        <v>48617</v>
      </c>
      <c r="S413">
        <v>14585</v>
      </c>
      <c r="T413">
        <v>4861</v>
      </c>
      <c r="U413">
        <v>2090</v>
      </c>
      <c r="V413">
        <v>1254</v>
      </c>
      <c r="W413">
        <v>836</v>
      </c>
      <c r="X413">
        <v>4181</v>
      </c>
      <c r="Y413">
        <v>2090</v>
      </c>
      <c r="Z413">
        <v>2430</v>
      </c>
      <c r="AA413">
        <v>1458</v>
      </c>
      <c r="AB413">
        <v>972</v>
      </c>
    </row>
    <row r="414" spans="1:28" x14ac:dyDescent="0.35">
      <c r="A414" t="s">
        <v>459</v>
      </c>
      <c r="B414" t="s">
        <v>9</v>
      </c>
      <c r="C414" t="s">
        <v>1</v>
      </c>
      <c r="D414" t="s">
        <v>10</v>
      </c>
      <c r="E414" t="s">
        <v>11</v>
      </c>
      <c r="F414">
        <v>487718</v>
      </c>
      <c r="G414">
        <v>-145094</v>
      </c>
      <c r="H414">
        <v>125013</v>
      </c>
      <c r="I414">
        <v>487718</v>
      </c>
      <c r="J414">
        <v>48771</v>
      </c>
      <c r="K414">
        <v>24385</v>
      </c>
      <c r="L414">
        <v>234294</v>
      </c>
      <c r="M414">
        <v>46858</v>
      </c>
      <c r="N414">
        <v>70288</v>
      </c>
      <c r="O414">
        <v>23429</v>
      </c>
      <c r="P414">
        <v>-93717</v>
      </c>
      <c r="Q414">
        <v>-58573</v>
      </c>
      <c r="R414">
        <v>254095</v>
      </c>
      <c r="S414">
        <v>76228</v>
      </c>
      <c r="T414">
        <v>25409</v>
      </c>
      <c r="U414">
        <v>11714</v>
      </c>
      <c r="V414">
        <v>7028</v>
      </c>
      <c r="W414">
        <v>4685</v>
      </c>
      <c r="X414">
        <v>23429</v>
      </c>
      <c r="Y414">
        <v>11714</v>
      </c>
      <c r="Z414">
        <v>12704</v>
      </c>
      <c r="AA414">
        <v>7622</v>
      </c>
      <c r="AB414">
        <v>5081</v>
      </c>
    </row>
    <row r="415" spans="1:28" x14ac:dyDescent="0.35">
      <c r="A415" t="s">
        <v>460</v>
      </c>
      <c r="B415" t="s">
        <v>9</v>
      </c>
      <c r="C415" t="s">
        <v>1</v>
      </c>
      <c r="D415" t="s">
        <v>10</v>
      </c>
      <c r="E415" t="s">
        <v>11</v>
      </c>
      <c r="F415">
        <v>206233</v>
      </c>
      <c r="G415">
        <v>-81839</v>
      </c>
      <c r="H415">
        <v>77818</v>
      </c>
      <c r="I415">
        <v>206233</v>
      </c>
      <c r="J415">
        <v>20623</v>
      </c>
      <c r="K415">
        <v>10311</v>
      </c>
      <c r="L415">
        <v>41388</v>
      </c>
      <c r="M415">
        <v>8277</v>
      </c>
      <c r="N415">
        <v>12416</v>
      </c>
      <c r="O415">
        <v>4138</v>
      </c>
      <c r="P415">
        <v>-16555</v>
      </c>
      <c r="Q415">
        <v>-10347</v>
      </c>
      <c r="R415">
        <v>45695</v>
      </c>
      <c r="S415">
        <v>13708</v>
      </c>
      <c r="T415">
        <v>4569</v>
      </c>
      <c r="U415">
        <v>2069</v>
      </c>
      <c r="V415">
        <v>1241</v>
      </c>
      <c r="W415">
        <v>827</v>
      </c>
      <c r="X415">
        <v>4138</v>
      </c>
      <c r="Y415">
        <v>2069</v>
      </c>
      <c r="Z415">
        <v>2284</v>
      </c>
      <c r="AA415">
        <v>1370</v>
      </c>
      <c r="AB415">
        <v>913</v>
      </c>
    </row>
    <row r="416" spans="1:28" x14ac:dyDescent="0.35">
      <c r="A416" t="s">
        <v>461</v>
      </c>
      <c r="B416" t="s">
        <v>9</v>
      </c>
      <c r="C416" t="s">
        <v>1</v>
      </c>
      <c r="D416" t="s">
        <v>10</v>
      </c>
      <c r="E416" t="s">
        <v>11</v>
      </c>
      <c r="F416">
        <v>396359</v>
      </c>
      <c r="G416">
        <v>-158750</v>
      </c>
      <c r="H416">
        <v>83494</v>
      </c>
      <c r="I416">
        <v>396359</v>
      </c>
      <c r="J416">
        <v>39635</v>
      </c>
      <c r="K416">
        <v>19817</v>
      </c>
      <c r="L416">
        <v>267271</v>
      </c>
      <c r="M416">
        <v>53454</v>
      </c>
      <c r="N416">
        <v>80181</v>
      </c>
      <c r="O416">
        <v>26727</v>
      </c>
      <c r="P416">
        <v>-106908</v>
      </c>
      <c r="Q416">
        <v>-66817</v>
      </c>
      <c r="R416">
        <v>234569</v>
      </c>
      <c r="S416">
        <v>70370</v>
      </c>
      <c r="T416">
        <v>23456</v>
      </c>
      <c r="U416">
        <v>13363</v>
      </c>
      <c r="V416">
        <v>8018</v>
      </c>
      <c r="W416">
        <v>5345</v>
      </c>
      <c r="X416">
        <v>26727</v>
      </c>
      <c r="Y416">
        <v>13363</v>
      </c>
      <c r="Z416">
        <v>11728</v>
      </c>
      <c r="AA416">
        <v>7037</v>
      </c>
      <c r="AB416">
        <v>4691</v>
      </c>
    </row>
    <row r="417" spans="1:28" x14ac:dyDescent="0.35">
      <c r="A417" t="s">
        <v>462</v>
      </c>
      <c r="B417" t="s">
        <v>9</v>
      </c>
      <c r="C417" t="s">
        <v>1</v>
      </c>
      <c r="D417" t="s">
        <v>10</v>
      </c>
      <c r="E417" t="s">
        <v>11</v>
      </c>
      <c r="F417">
        <v>204874</v>
      </c>
      <c r="G417">
        <v>-67205</v>
      </c>
      <c r="H417">
        <v>82064</v>
      </c>
      <c r="I417">
        <v>204874</v>
      </c>
      <c r="J417">
        <v>20487</v>
      </c>
      <c r="K417">
        <v>10243</v>
      </c>
      <c r="L417">
        <v>107986</v>
      </c>
      <c r="M417">
        <v>21597</v>
      </c>
      <c r="N417">
        <v>32395</v>
      </c>
      <c r="O417">
        <v>10798</v>
      </c>
      <c r="P417">
        <v>-43194</v>
      </c>
      <c r="Q417">
        <v>-26996</v>
      </c>
      <c r="R417">
        <v>86909</v>
      </c>
      <c r="S417">
        <v>26072</v>
      </c>
      <c r="T417">
        <v>8690</v>
      </c>
      <c r="U417">
        <v>5399</v>
      </c>
      <c r="V417">
        <v>3239</v>
      </c>
      <c r="W417">
        <v>2159</v>
      </c>
      <c r="X417">
        <v>10798</v>
      </c>
      <c r="Y417">
        <v>5399</v>
      </c>
      <c r="Z417">
        <v>4345</v>
      </c>
      <c r="AA417">
        <v>2607</v>
      </c>
      <c r="AB417">
        <v>1738</v>
      </c>
    </row>
    <row r="418" spans="1:28" x14ac:dyDescent="0.35">
      <c r="A418" t="s">
        <v>463</v>
      </c>
      <c r="B418" t="s">
        <v>9</v>
      </c>
      <c r="C418" t="s">
        <v>1</v>
      </c>
      <c r="D418" t="s">
        <v>10</v>
      </c>
      <c r="E418" t="s">
        <v>11</v>
      </c>
      <c r="F418">
        <v>184068</v>
      </c>
      <c r="G418">
        <v>-86801</v>
      </c>
      <c r="H418">
        <v>32730</v>
      </c>
      <c r="I418">
        <v>184068</v>
      </c>
      <c r="J418">
        <v>18406</v>
      </c>
      <c r="K418">
        <v>9203</v>
      </c>
      <c r="L418">
        <v>101514</v>
      </c>
      <c r="M418">
        <v>20302</v>
      </c>
      <c r="N418">
        <v>30454</v>
      </c>
      <c r="O418">
        <v>10151</v>
      </c>
      <c r="P418">
        <v>-40605</v>
      </c>
      <c r="Q418">
        <v>-25378</v>
      </c>
      <c r="R418">
        <v>103765</v>
      </c>
      <c r="S418">
        <v>31129</v>
      </c>
      <c r="T418">
        <v>10376</v>
      </c>
      <c r="U418">
        <v>5075</v>
      </c>
      <c r="V418">
        <v>3045</v>
      </c>
      <c r="W418">
        <v>2030</v>
      </c>
      <c r="X418">
        <v>10151</v>
      </c>
      <c r="Y418">
        <v>5075</v>
      </c>
      <c r="Z418">
        <v>5188</v>
      </c>
      <c r="AA418">
        <v>3112</v>
      </c>
      <c r="AB418">
        <v>2075</v>
      </c>
    </row>
    <row r="419" spans="1:28" x14ac:dyDescent="0.35">
      <c r="A419" t="s">
        <v>464</v>
      </c>
      <c r="B419" t="s">
        <v>9</v>
      </c>
      <c r="C419" t="s">
        <v>1</v>
      </c>
      <c r="D419" t="s">
        <v>10</v>
      </c>
      <c r="E419" t="s">
        <v>11</v>
      </c>
      <c r="F419">
        <v>109643</v>
      </c>
      <c r="G419">
        <v>-64721</v>
      </c>
      <c r="H419">
        <v>35680</v>
      </c>
      <c r="I419">
        <v>109643</v>
      </c>
      <c r="J419">
        <v>10964</v>
      </c>
      <c r="K419">
        <v>5482</v>
      </c>
      <c r="L419">
        <v>72109</v>
      </c>
      <c r="M419">
        <v>14421</v>
      </c>
      <c r="N419">
        <v>21632</v>
      </c>
      <c r="O419">
        <v>7210</v>
      </c>
      <c r="P419">
        <v>-28843</v>
      </c>
      <c r="Q419">
        <v>-18027</v>
      </c>
      <c r="R419">
        <v>70961</v>
      </c>
      <c r="S419">
        <v>21288</v>
      </c>
      <c r="T419">
        <v>7096</v>
      </c>
      <c r="U419">
        <v>3605</v>
      </c>
      <c r="V419">
        <v>2163</v>
      </c>
      <c r="W419">
        <v>1442</v>
      </c>
      <c r="X419">
        <v>7210</v>
      </c>
      <c r="Y419">
        <v>3605</v>
      </c>
      <c r="Z419">
        <v>3548</v>
      </c>
      <c r="AA419">
        <v>2128</v>
      </c>
      <c r="AB419">
        <v>1419</v>
      </c>
    </row>
    <row r="420" spans="1:28" x14ac:dyDescent="0.35">
      <c r="A420" t="s">
        <v>465</v>
      </c>
      <c r="B420" t="s">
        <v>9</v>
      </c>
      <c r="C420" t="s">
        <v>1</v>
      </c>
      <c r="D420" t="s">
        <v>10</v>
      </c>
      <c r="E420" t="s">
        <v>11</v>
      </c>
      <c r="F420">
        <v>305844</v>
      </c>
      <c r="G420">
        <v>-120284</v>
      </c>
      <c r="H420">
        <v>111662</v>
      </c>
      <c r="I420">
        <v>305844</v>
      </c>
      <c r="J420">
        <v>30584</v>
      </c>
      <c r="K420">
        <v>15292</v>
      </c>
      <c r="L420">
        <v>210597</v>
      </c>
      <c r="M420">
        <v>42119</v>
      </c>
      <c r="N420">
        <v>63179</v>
      </c>
      <c r="O420">
        <v>21059</v>
      </c>
      <c r="P420">
        <v>-84238</v>
      </c>
      <c r="Q420">
        <v>-52649</v>
      </c>
      <c r="R420">
        <v>226667</v>
      </c>
      <c r="S420">
        <v>68000</v>
      </c>
      <c r="T420">
        <v>22666</v>
      </c>
      <c r="U420">
        <v>10529</v>
      </c>
      <c r="V420">
        <v>6317</v>
      </c>
      <c r="W420">
        <v>4211</v>
      </c>
      <c r="X420">
        <v>21059</v>
      </c>
      <c r="Y420">
        <v>10529</v>
      </c>
      <c r="Z420">
        <v>11333</v>
      </c>
      <c r="AA420">
        <v>6800</v>
      </c>
      <c r="AB420">
        <v>4533</v>
      </c>
    </row>
    <row r="421" spans="1:28" x14ac:dyDescent="0.35">
      <c r="A421" t="s">
        <v>466</v>
      </c>
      <c r="B421" t="s">
        <v>9</v>
      </c>
      <c r="C421" t="s">
        <v>1</v>
      </c>
      <c r="D421" t="s">
        <v>10</v>
      </c>
      <c r="E421" t="s">
        <v>11</v>
      </c>
      <c r="F421">
        <v>151476</v>
      </c>
      <c r="G421">
        <v>-34040</v>
      </c>
      <c r="H421">
        <v>48178</v>
      </c>
      <c r="I421">
        <v>151476</v>
      </c>
      <c r="J421">
        <v>15147</v>
      </c>
      <c r="K421">
        <v>7573</v>
      </c>
      <c r="L421">
        <v>93310</v>
      </c>
      <c r="M421">
        <v>18662</v>
      </c>
      <c r="N421">
        <v>27993</v>
      </c>
      <c r="O421">
        <v>9331</v>
      </c>
      <c r="P421">
        <v>-37324</v>
      </c>
      <c r="Q421">
        <v>-23327</v>
      </c>
      <c r="R421">
        <v>85707</v>
      </c>
      <c r="S421">
        <v>25712</v>
      </c>
      <c r="T421">
        <v>8570</v>
      </c>
      <c r="U421">
        <v>4665</v>
      </c>
      <c r="V421">
        <v>2799</v>
      </c>
      <c r="W421">
        <v>1866</v>
      </c>
      <c r="X421">
        <v>9331</v>
      </c>
      <c r="Y421">
        <v>4665</v>
      </c>
      <c r="Z421">
        <v>4285</v>
      </c>
      <c r="AA421">
        <v>2571</v>
      </c>
      <c r="AB421">
        <v>1714</v>
      </c>
    </row>
    <row r="422" spans="1:28" x14ac:dyDescent="0.35">
      <c r="A422" t="s">
        <v>467</v>
      </c>
      <c r="B422" t="s">
        <v>9</v>
      </c>
      <c r="C422" t="s">
        <v>1</v>
      </c>
      <c r="D422" t="s">
        <v>10</v>
      </c>
      <c r="E422" t="s">
        <v>11</v>
      </c>
      <c r="F422">
        <v>497281</v>
      </c>
      <c r="G422">
        <v>-177007</v>
      </c>
      <c r="H422">
        <v>68534</v>
      </c>
      <c r="I422">
        <v>497281</v>
      </c>
      <c r="J422">
        <v>49728</v>
      </c>
      <c r="K422">
        <v>24864</v>
      </c>
      <c r="L422">
        <v>289940</v>
      </c>
      <c r="M422">
        <v>57988</v>
      </c>
      <c r="N422">
        <v>86982</v>
      </c>
      <c r="O422">
        <v>28994</v>
      </c>
      <c r="P422">
        <v>-115976</v>
      </c>
      <c r="Q422">
        <v>-72485</v>
      </c>
      <c r="R422">
        <v>287384</v>
      </c>
      <c r="S422">
        <v>86215</v>
      </c>
      <c r="T422">
        <v>28738</v>
      </c>
      <c r="U422">
        <v>14497</v>
      </c>
      <c r="V422">
        <v>8698</v>
      </c>
      <c r="W422">
        <v>5798</v>
      </c>
      <c r="X422">
        <v>28994</v>
      </c>
      <c r="Y422">
        <v>14497</v>
      </c>
      <c r="Z422">
        <v>14369</v>
      </c>
      <c r="AA422">
        <v>8621</v>
      </c>
      <c r="AB422">
        <v>5747</v>
      </c>
    </row>
    <row r="423" spans="1:28" x14ac:dyDescent="0.35">
      <c r="A423" t="s">
        <v>468</v>
      </c>
      <c r="B423" t="s">
        <v>9</v>
      </c>
      <c r="C423" t="s">
        <v>1</v>
      </c>
      <c r="D423" t="s">
        <v>10</v>
      </c>
      <c r="E423" t="s">
        <v>11</v>
      </c>
      <c r="F423">
        <v>315076</v>
      </c>
      <c r="G423">
        <v>-95962</v>
      </c>
      <c r="H423">
        <v>37188</v>
      </c>
      <c r="I423">
        <v>315076</v>
      </c>
      <c r="J423">
        <v>31507</v>
      </c>
      <c r="K423">
        <v>15753</v>
      </c>
      <c r="L423">
        <v>160753</v>
      </c>
      <c r="M423">
        <v>32150</v>
      </c>
      <c r="N423">
        <v>48225</v>
      </c>
      <c r="O423">
        <v>16075</v>
      </c>
      <c r="P423">
        <v>-64301</v>
      </c>
      <c r="Q423">
        <v>-40188</v>
      </c>
      <c r="R423">
        <v>172795</v>
      </c>
      <c r="S423">
        <v>51838</v>
      </c>
      <c r="T423">
        <v>17279</v>
      </c>
      <c r="U423">
        <v>8037</v>
      </c>
      <c r="V423">
        <v>4822</v>
      </c>
      <c r="W423">
        <v>3215</v>
      </c>
      <c r="X423">
        <v>16075</v>
      </c>
      <c r="Y423">
        <v>8037</v>
      </c>
      <c r="Z423">
        <v>8639</v>
      </c>
      <c r="AA423">
        <v>5183</v>
      </c>
      <c r="AB423">
        <v>3455</v>
      </c>
    </row>
    <row r="424" spans="1:28" x14ac:dyDescent="0.35">
      <c r="A424" t="s">
        <v>469</v>
      </c>
      <c r="B424" t="s">
        <v>9</v>
      </c>
      <c r="C424" t="s">
        <v>1</v>
      </c>
      <c r="D424" t="s">
        <v>10</v>
      </c>
      <c r="E424" t="s">
        <v>11</v>
      </c>
      <c r="F424">
        <v>474281</v>
      </c>
      <c r="G424">
        <v>-157068</v>
      </c>
      <c r="H424">
        <v>144001</v>
      </c>
      <c r="I424">
        <v>474281</v>
      </c>
      <c r="J424">
        <v>47428</v>
      </c>
      <c r="K424">
        <v>23714</v>
      </c>
      <c r="L424">
        <v>371838</v>
      </c>
      <c r="M424">
        <v>74367</v>
      </c>
      <c r="N424">
        <v>111551</v>
      </c>
      <c r="O424">
        <v>37183</v>
      </c>
      <c r="P424">
        <v>-148735</v>
      </c>
      <c r="Q424">
        <v>-92959</v>
      </c>
      <c r="R424">
        <v>427219</v>
      </c>
      <c r="S424">
        <v>128165</v>
      </c>
      <c r="T424">
        <v>42721</v>
      </c>
      <c r="U424">
        <v>18591</v>
      </c>
      <c r="V424">
        <v>11155</v>
      </c>
      <c r="W424">
        <v>7436</v>
      </c>
      <c r="X424">
        <v>37183</v>
      </c>
      <c r="Y424">
        <v>18591</v>
      </c>
      <c r="Z424">
        <v>21360</v>
      </c>
      <c r="AA424">
        <v>12816</v>
      </c>
      <c r="AB424">
        <v>8544</v>
      </c>
    </row>
    <row r="425" spans="1:28" x14ac:dyDescent="0.35">
      <c r="A425" t="s">
        <v>470</v>
      </c>
      <c r="B425" t="s">
        <v>9</v>
      </c>
      <c r="C425" t="s">
        <v>1</v>
      </c>
      <c r="D425" t="s">
        <v>10</v>
      </c>
      <c r="E425" t="s">
        <v>11</v>
      </c>
      <c r="F425">
        <v>211090</v>
      </c>
      <c r="G425">
        <v>-74387</v>
      </c>
      <c r="H425">
        <v>64483</v>
      </c>
      <c r="I425">
        <v>211090</v>
      </c>
      <c r="J425">
        <v>21109</v>
      </c>
      <c r="K425">
        <v>10554</v>
      </c>
      <c r="L425">
        <v>91374</v>
      </c>
      <c r="M425">
        <v>18274</v>
      </c>
      <c r="N425">
        <v>27412</v>
      </c>
      <c r="O425">
        <v>9137</v>
      </c>
      <c r="P425">
        <v>-36549</v>
      </c>
      <c r="Q425">
        <v>-22843</v>
      </c>
      <c r="R425">
        <v>79489</v>
      </c>
      <c r="S425">
        <v>23846</v>
      </c>
      <c r="T425">
        <v>7948</v>
      </c>
      <c r="U425">
        <v>4568</v>
      </c>
      <c r="V425">
        <v>2741</v>
      </c>
      <c r="W425">
        <v>1827</v>
      </c>
      <c r="X425">
        <v>9137</v>
      </c>
      <c r="Y425">
        <v>4568</v>
      </c>
      <c r="Z425">
        <v>3974</v>
      </c>
      <c r="AA425">
        <v>2384</v>
      </c>
      <c r="AB425">
        <v>1589</v>
      </c>
    </row>
    <row r="426" spans="1:28" x14ac:dyDescent="0.35">
      <c r="A426" t="s">
        <v>471</v>
      </c>
      <c r="B426" t="s">
        <v>9</v>
      </c>
      <c r="C426" t="s">
        <v>1</v>
      </c>
      <c r="D426" t="s">
        <v>10</v>
      </c>
      <c r="E426" t="s">
        <v>11</v>
      </c>
      <c r="F426">
        <v>442392</v>
      </c>
      <c r="G426">
        <v>-166297</v>
      </c>
      <c r="H426">
        <v>120942</v>
      </c>
      <c r="I426">
        <v>442392</v>
      </c>
      <c r="J426">
        <v>44239</v>
      </c>
      <c r="K426">
        <v>22119</v>
      </c>
      <c r="L426">
        <v>209797</v>
      </c>
      <c r="M426">
        <v>41959</v>
      </c>
      <c r="N426">
        <v>62939</v>
      </c>
      <c r="O426">
        <v>20979</v>
      </c>
      <c r="P426">
        <v>-83918</v>
      </c>
      <c r="Q426">
        <v>-52449</v>
      </c>
      <c r="R426">
        <v>190649</v>
      </c>
      <c r="S426">
        <v>57194</v>
      </c>
      <c r="T426">
        <v>19064</v>
      </c>
      <c r="U426">
        <v>10489</v>
      </c>
      <c r="V426">
        <v>6293</v>
      </c>
      <c r="W426">
        <v>4195</v>
      </c>
      <c r="X426">
        <v>20979</v>
      </c>
      <c r="Y426">
        <v>10489</v>
      </c>
      <c r="Z426">
        <v>9532</v>
      </c>
      <c r="AA426">
        <v>5719</v>
      </c>
      <c r="AB426">
        <v>3812</v>
      </c>
    </row>
    <row r="427" spans="1:28" x14ac:dyDescent="0.35">
      <c r="A427" t="s">
        <v>472</v>
      </c>
      <c r="B427" t="s">
        <v>9</v>
      </c>
      <c r="C427" t="s">
        <v>1</v>
      </c>
      <c r="D427" t="s">
        <v>10</v>
      </c>
      <c r="E427" t="s">
        <v>11</v>
      </c>
      <c r="F427">
        <v>231151</v>
      </c>
      <c r="G427">
        <v>-87425</v>
      </c>
      <c r="H427">
        <v>48020</v>
      </c>
      <c r="I427">
        <v>231151</v>
      </c>
      <c r="J427">
        <v>23115</v>
      </c>
      <c r="K427">
        <v>11557</v>
      </c>
      <c r="L427">
        <v>122954</v>
      </c>
      <c r="M427">
        <v>24590</v>
      </c>
      <c r="N427">
        <v>36886</v>
      </c>
      <c r="O427">
        <v>12295</v>
      </c>
      <c r="P427">
        <v>-49181</v>
      </c>
      <c r="Q427">
        <v>-30738</v>
      </c>
      <c r="R427">
        <v>102684</v>
      </c>
      <c r="S427">
        <v>30805</v>
      </c>
      <c r="T427">
        <v>10268</v>
      </c>
      <c r="U427">
        <v>6147</v>
      </c>
      <c r="V427">
        <v>3688</v>
      </c>
      <c r="W427">
        <v>2459</v>
      </c>
      <c r="X427">
        <v>12295</v>
      </c>
      <c r="Y427">
        <v>6147</v>
      </c>
      <c r="Z427">
        <v>5134</v>
      </c>
      <c r="AA427">
        <v>3080</v>
      </c>
      <c r="AB427">
        <v>2053</v>
      </c>
    </row>
    <row r="428" spans="1:28" x14ac:dyDescent="0.35">
      <c r="A428" t="s">
        <v>473</v>
      </c>
      <c r="B428" t="s">
        <v>9</v>
      </c>
      <c r="C428" t="s">
        <v>1</v>
      </c>
      <c r="D428" t="s">
        <v>10</v>
      </c>
      <c r="E428" t="s">
        <v>11</v>
      </c>
      <c r="F428">
        <v>184297</v>
      </c>
      <c r="G428">
        <v>-108681</v>
      </c>
      <c r="H428">
        <v>40321</v>
      </c>
      <c r="I428">
        <v>184297</v>
      </c>
      <c r="J428">
        <v>18429</v>
      </c>
      <c r="K428">
        <v>9214</v>
      </c>
      <c r="L428">
        <v>79386</v>
      </c>
      <c r="M428">
        <v>15877</v>
      </c>
      <c r="N428">
        <v>23815</v>
      </c>
      <c r="O428">
        <v>7938</v>
      </c>
      <c r="P428">
        <v>-31754</v>
      </c>
      <c r="Q428">
        <v>-19846</v>
      </c>
      <c r="R428">
        <v>80639</v>
      </c>
      <c r="S428">
        <v>24191</v>
      </c>
      <c r="T428">
        <v>8063</v>
      </c>
      <c r="U428">
        <v>3969</v>
      </c>
      <c r="V428">
        <v>2381</v>
      </c>
      <c r="W428">
        <v>1587</v>
      </c>
      <c r="X428">
        <v>7938</v>
      </c>
      <c r="Y428">
        <v>3969</v>
      </c>
      <c r="Z428">
        <v>4031</v>
      </c>
      <c r="AA428">
        <v>2419</v>
      </c>
      <c r="AB428">
        <v>1612</v>
      </c>
    </row>
    <row r="429" spans="1:28" x14ac:dyDescent="0.35">
      <c r="A429" t="s">
        <v>474</v>
      </c>
      <c r="B429" t="s">
        <v>9</v>
      </c>
      <c r="C429" t="s">
        <v>1</v>
      </c>
      <c r="D429" t="s">
        <v>10</v>
      </c>
      <c r="E429" t="s">
        <v>11</v>
      </c>
      <c r="F429">
        <v>267966</v>
      </c>
      <c r="G429">
        <v>-139439</v>
      </c>
      <c r="H429">
        <v>37403</v>
      </c>
      <c r="I429">
        <v>267966</v>
      </c>
      <c r="J429">
        <v>26796</v>
      </c>
      <c r="K429">
        <v>13398</v>
      </c>
      <c r="L429">
        <v>72071</v>
      </c>
      <c r="M429">
        <v>14414</v>
      </c>
      <c r="N429">
        <v>21621</v>
      </c>
      <c r="O429">
        <v>7207</v>
      </c>
      <c r="P429">
        <v>-28828</v>
      </c>
      <c r="Q429">
        <v>-18017</v>
      </c>
      <c r="R429">
        <v>62705</v>
      </c>
      <c r="S429">
        <v>18811</v>
      </c>
      <c r="T429">
        <v>6270</v>
      </c>
      <c r="U429">
        <v>3603</v>
      </c>
      <c r="V429">
        <v>2162</v>
      </c>
      <c r="W429">
        <v>1441</v>
      </c>
      <c r="X429">
        <v>7207</v>
      </c>
      <c r="Y429">
        <v>3603</v>
      </c>
      <c r="Z429">
        <v>3135</v>
      </c>
      <c r="AA429">
        <v>1881</v>
      </c>
      <c r="AB429">
        <v>1254</v>
      </c>
    </row>
    <row r="430" spans="1:28" x14ac:dyDescent="0.35">
      <c r="A430" t="s">
        <v>475</v>
      </c>
      <c r="B430" t="s">
        <v>9</v>
      </c>
      <c r="C430" t="s">
        <v>1</v>
      </c>
      <c r="D430" t="s">
        <v>10</v>
      </c>
      <c r="E430" t="s">
        <v>11</v>
      </c>
      <c r="F430">
        <v>264833</v>
      </c>
      <c r="G430">
        <v>-125040</v>
      </c>
      <c r="H430">
        <v>81349</v>
      </c>
      <c r="I430">
        <v>264833</v>
      </c>
      <c r="J430">
        <v>26483</v>
      </c>
      <c r="K430">
        <v>13241</v>
      </c>
      <c r="L430">
        <v>114892</v>
      </c>
      <c r="M430">
        <v>22978</v>
      </c>
      <c r="N430">
        <v>34467</v>
      </c>
      <c r="O430">
        <v>11489</v>
      </c>
      <c r="P430">
        <v>-45956</v>
      </c>
      <c r="Q430">
        <v>-28723</v>
      </c>
      <c r="R430">
        <v>110250</v>
      </c>
      <c r="S430">
        <v>33075</v>
      </c>
      <c r="T430">
        <v>11025</v>
      </c>
      <c r="U430">
        <v>5744</v>
      </c>
      <c r="V430">
        <v>3446</v>
      </c>
      <c r="W430">
        <v>2297</v>
      </c>
      <c r="X430">
        <v>11489</v>
      </c>
      <c r="Y430">
        <v>5744</v>
      </c>
      <c r="Z430">
        <v>5512</v>
      </c>
      <c r="AA430">
        <v>3307</v>
      </c>
      <c r="AB430">
        <v>2205</v>
      </c>
    </row>
    <row r="431" spans="1:28" x14ac:dyDescent="0.35">
      <c r="A431" t="s">
        <v>476</v>
      </c>
      <c r="B431" t="s">
        <v>9</v>
      </c>
      <c r="C431" t="s">
        <v>1</v>
      </c>
      <c r="D431" t="s">
        <v>10</v>
      </c>
      <c r="E431" t="s">
        <v>11</v>
      </c>
      <c r="F431">
        <v>236469</v>
      </c>
      <c r="G431">
        <v>-78672</v>
      </c>
      <c r="H431">
        <v>35938</v>
      </c>
      <c r="I431">
        <v>236469</v>
      </c>
      <c r="J431">
        <v>23646</v>
      </c>
      <c r="K431">
        <v>11823</v>
      </c>
      <c r="L431">
        <v>186344</v>
      </c>
      <c r="M431">
        <v>37268</v>
      </c>
      <c r="N431">
        <v>55903</v>
      </c>
      <c r="O431">
        <v>18634</v>
      </c>
      <c r="P431">
        <v>-74537</v>
      </c>
      <c r="Q431">
        <v>-46586</v>
      </c>
      <c r="R431">
        <v>200468</v>
      </c>
      <c r="S431">
        <v>60140</v>
      </c>
      <c r="T431">
        <v>20046</v>
      </c>
      <c r="U431">
        <v>9317</v>
      </c>
      <c r="V431">
        <v>5590</v>
      </c>
      <c r="W431">
        <v>3726</v>
      </c>
      <c r="X431">
        <v>18634</v>
      </c>
      <c r="Y431">
        <v>9317</v>
      </c>
      <c r="Z431">
        <v>10023</v>
      </c>
      <c r="AA431">
        <v>6014</v>
      </c>
      <c r="AB431">
        <v>4009</v>
      </c>
    </row>
    <row r="432" spans="1:28" x14ac:dyDescent="0.35">
      <c r="A432" t="s">
        <v>477</v>
      </c>
      <c r="B432" t="s">
        <v>9</v>
      </c>
      <c r="C432" t="s">
        <v>1</v>
      </c>
      <c r="D432" t="s">
        <v>10</v>
      </c>
      <c r="E432" t="s">
        <v>11</v>
      </c>
      <c r="F432">
        <v>430812</v>
      </c>
      <c r="G432">
        <v>-236473</v>
      </c>
      <c r="H432">
        <v>152876</v>
      </c>
      <c r="I432">
        <v>430812</v>
      </c>
      <c r="J432">
        <v>43081</v>
      </c>
      <c r="K432">
        <v>21540</v>
      </c>
      <c r="L432">
        <v>102245</v>
      </c>
      <c r="M432">
        <v>20449</v>
      </c>
      <c r="N432">
        <v>30673</v>
      </c>
      <c r="O432">
        <v>10224</v>
      </c>
      <c r="P432">
        <v>-40898</v>
      </c>
      <c r="Q432">
        <v>-25561</v>
      </c>
      <c r="R432">
        <v>89336</v>
      </c>
      <c r="S432">
        <v>26800</v>
      </c>
      <c r="T432">
        <v>8933</v>
      </c>
      <c r="U432">
        <v>5112</v>
      </c>
      <c r="V432">
        <v>3067</v>
      </c>
      <c r="W432">
        <v>2044</v>
      </c>
      <c r="X432">
        <v>10224</v>
      </c>
      <c r="Y432">
        <v>5112</v>
      </c>
      <c r="Z432">
        <v>4466</v>
      </c>
      <c r="AA432">
        <v>2680</v>
      </c>
      <c r="AB432">
        <v>1786</v>
      </c>
    </row>
    <row r="433" spans="1:28" x14ac:dyDescent="0.35">
      <c r="A433" t="s">
        <v>478</v>
      </c>
      <c r="B433" t="s">
        <v>9</v>
      </c>
      <c r="C433" t="s">
        <v>1</v>
      </c>
      <c r="D433" t="s">
        <v>10</v>
      </c>
      <c r="E433" t="s">
        <v>11</v>
      </c>
      <c r="F433">
        <v>93099</v>
      </c>
      <c r="G433">
        <v>-36390</v>
      </c>
      <c r="H433">
        <v>24852</v>
      </c>
      <c r="I433">
        <v>93099</v>
      </c>
      <c r="J433">
        <v>9309</v>
      </c>
      <c r="K433">
        <v>4654</v>
      </c>
      <c r="L433">
        <v>43091</v>
      </c>
      <c r="M433">
        <v>8618</v>
      </c>
      <c r="N433">
        <v>12927</v>
      </c>
      <c r="O433">
        <v>4309</v>
      </c>
      <c r="P433">
        <v>-17236</v>
      </c>
      <c r="Q433">
        <v>-10772</v>
      </c>
      <c r="R433">
        <v>45279</v>
      </c>
      <c r="S433">
        <v>13583</v>
      </c>
      <c r="T433">
        <v>4527</v>
      </c>
      <c r="U433">
        <v>2154</v>
      </c>
      <c r="V433">
        <v>1292</v>
      </c>
      <c r="W433">
        <v>861</v>
      </c>
      <c r="X433">
        <v>4309</v>
      </c>
      <c r="Y433">
        <v>2154</v>
      </c>
      <c r="Z433">
        <v>2263</v>
      </c>
      <c r="AA433">
        <v>1358</v>
      </c>
      <c r="AB433">
        <v>905</v>
      </c>
    </row>
    <row r="434" spans="1:28" x14ac:dyDescent="0.35">
      <c r="A434" t="s">
        <v>479</v>
      </c>
      <c r="B434" t="s">
        <v>9</v>
      </c>
      <c r="C434" t="s">
        <v>1</v>
      </c>
      <c r="D434" t="s">
        <v>10</v>
      </c>
      <c r="E434" t="s">
        <v>11</v>
      </c>
      <c r="F434">
        <v>262188</v>
      </c>
      <c r="G434">
        <v>-81731</v>
      </c>
      <c r="H434">
        <v>111128</v>
      </c>
      <c r="I434">
        <v>262188</v>
      </c>
      <c r="J434">
        <v>26218</v>
      </c>
      <c r="K434">
        <v>13109</v>
      </c>
      <c r="L434">
        <v>89245</v>
      </c>
      <c r="M434">
        <v>17849</v>
      </c>
      <c r="N434">
        <v>26773</v>
      </c>
      <c r="O434">
        <v>8924</v>
      </c>
      <c r="P434">
        <v>-35698</v>
      </c>
      <c r="Q434">
        <v>-22311</v>
      </c>
      <c r="R434">
        <v>102622</v>
      </c>
      <c r="S434">
        <v>30786</v>
      </c>
      <c r="T434">
        <v>10262</v>
      </c>
      <c r="U434">
        <v>4462</v>
      </c>
      <c r="V434">
        <v>2677</v>
      </c>
      <c r="W434">
        <v>1784</v>
      </c>
      <c r="X434">
        <v>8924</v>
      </c>
      <c r="Y434">
        <v>4462</v>
      </c>
      <c r="Z434">
        <v>5131</v>
      </c>
      <c r="AA434">
        <v>3078</v>
      </c>
      <c r="AB434">
        <v>2052</v>
      </c>
    </row>
    <row r="435" spans="1:28" x14ac:dyDescent="0.35">
      <c r="A435" t="s">
        <v>480</v>
      </c>
      <c r="B435" t="s">
        <v>9</v>
      </c>
      <c r="C435" t="s">
        <v>1</v>
      </c>
      <c r="D435" t="s">
        <v>10</v>
      </c>
      <c r="E435" t="s">
        <v>11</v>
      </c>
      <c r="F435">
        <v>313684</v>
      </c>
      <c r="G435">
        <v>-93244</v>
      </c>
      <c r="H435">
        <v>107496</v>
      </c>
      <c r="I435">
        <v>313684</v>
      </c>
      <c r="J435">
        <v>31368</v>
      </c>
      <c r="K435">
        <v>15684</v>
      </c>
      <c r="L435">
        <v>146806</v>
      </c>
      <c r="M435">
        <v>29361</v>
      </c>
      <c r="N435">
        <v>44041</v>
      </c>
      <c r="O435">
        <v>14680</v>
      </c>
      <c r="P435">
        <v>-58722</v>
      </c>
      <c r="Q435">
        <v>-36701</v>
      </c>
      <c r="R435">
        <v>126801</v>
      </c>
      <c r="S435">
        <v>38040</v>
      </c>
      <c r="T435">
        <v>12680</v>
      </c>
      <c r="U435">
        <v>7340</v>
      </c>
      <c r="V435">
        <v>4404</v>
      </c>
      <c r="W435">
        <v>2936</v>
      </c>
      <c r="X435">
        <v>14680</v>
      </c>
      <c r="Y435">
        <v>7340</v>
      </c>
      <c r="Z435">
        <v>6340</v>
      </c>
      <c r="AA435">
        <v>3804</v>
      </c>
      <c r="AB435">
        <v>2536</v>
      </c>
    </row>
    <row r="436" spans="1:28" x14ac:dyDescent="0.35">
      <c r="A436" t="s">
        <v>481</v>
      </c>
      <c r="B436" t="s">
        <v>9</v>
      </c>
      <c r="C436" t="s">
        <v>1</v>
      </c>
      <c r="D436" t="s">
        <v>10</v>
      </c>
      <c r="E436" t="s">
        <v>11</v>
      </c>
      <c r="F436">
        <v>408497</v>
      </c>
      <c r="G436">
        <v>-114337</v>
      </c>
      <c r="H436">
        <v>50020</v>
      </c>
      <c r="I436">
        <v>408497</v>
      </c>
      <c r="J436">
        <v>40849</v>
      </c>
      <c r="K436">
        <v>20424</v>
      </c>
      <c r="L436">
        <v>147052</v>
      </c>
      <c r="M436">
        <v>29410</v>
      </c>
      <c r="N436">
        <v>44115</v>
      </c>
      <c r="O436">
        <v>14705</v>
      </c>
      <c r="P436">
        <v>-58820</v>
      </c>
      <c r="Q436">
        <v>-36763</v>
      </c>
      <c r="R436">
        <v>121877</v>
      </c>
      <c r="S436">
        <v>36563</v>
      </c>
      <c r="T436">
        <v>12187</v>
      </c>
      <c r="U436">
        <v>7352</v>
      </c>
      <c r="V436">
        <v>4411</v>
      </c>
      <c r="W436">
        <v>2941</v>
      </c>
      <c r="X436">
        <v>14705</v>
      </c>
      <c r="Y436">
        <v>7352</v>
      </c>
      <c r="Z436">
        <v>6093</v>
      </c>
      <c r="AA436">
        <v>3656</v>
      </c>
      <c r="AB436">
        <v>2437</v>
      </c>
    </row>
    <row r="437" spans="1:28" x14ac:dyDescent="0.35">
      <c r="A437" t="s">
        <v>482</v>
      </c>
      <c r="B437" t="s">
        <v>9</v>
      </c>
      <c r="C437" t="s">
        <v>1</v>
      </c>
      <c r="D437" t="s">
        <v>10</v>
      </c>
      <c r="E437" t="s">
        <v>11</v>
      </c>
      <c r="F437">
        <v>207501</v>
      </c>
      <c r="G437">
        <v>-54320</v>
      </c>
      <c r="H437">
        <v>60111</v>
      </c>
      <c r="I437">
        <v>207501</v>
      </c>
      <c r="J437">
        <v>20750</v>
      </c>
      <c r="K437">
        <v>10375</v>
      </c>
      <c r="L437">
        <v>95646</v>
      </c>
      <c r="M437">
        <v>19129</v>
      </c>
      <c r="N437">
        <v>28693</v>
      </c>
      <c r="O437">
        <v>9564</v>
      </c>
      <c r="P437">
        <v>-38258</v>
      </c>
      <c r="Q437">
        <v>-23911</v>
      </c>
      <c r="R437">
        <v>110974</v>
      </c>
      <c r="S437">
        <v>33292</v>
      </c>
      <c r="T437">
        <v>11097</v>
      </c>
      <c r="U437">
        <v>4782</v>
      </c>
      <c r="V437">
        <v>2869</v>
      </c>
      <c r="W437">
        <v>1912</v>
      </c>
      <c r="X437">
        <v>9564</v>
      </c>
      <c r="Y437">
        <v>4782</v>
      </c>
      <c r="Z437">
        <v>5548</v>
      </c>
      <c r="AA437">
        <v>3329</v>
      </c>
      <c r="AB437">
        <v>2219</v>
      </c>
    </row>
    <row r="438" spans="1:28" x14ac:dyDescent="0.35">
      <c r="A438" t="s">
        <v>483</v>
      </c>
      <c r="B438" t="s">
        <v>9</v>
      </c>
      <c r="C438" t="s">
        <v>1</v>
      </c>
      <c r="D438" t="s">
        <v>10</v>
      </c>
      <c r="E438" t="s">
        <v>11</v>
      </c>
      <c r="F438">
        <v>372514</v>
      </c>
      <c r="G438">
        <v>-173700</v>
      </c>
      <c r="H438">
        <v>55430</v>
      </c>
      <c r="I438">
        <v>372514</v>
      </c>
      <c r="J438">
        <v>37251</v>
      </c>
      <c r="K438">
        <v>18625</v>
      </c>
      <c r="L438">
        <v>94701</v>
      </c>
      <c r="M438">
        <v>18940</v>
      </c>
      <c r="N438">
        <v>28410</v>
      </c>
      <c r="O438">
        <v>9470</v>
      </c>
      <c r="P438">
        <v>-37880</v>
      </c>
      <c r="Q438">
        <v>-23675</v>
      </c>
      <c r="R438">
        <v>82803</v>
      </c>
      <c r="S438">
        <v>24840</v>
      </c>
      <c r="T438">
        <v>8280</v>
      </c>
      <c r="U438">
        <v>4735</v>
      </c>
      <c r="V438">
        <v>2841</v>
      </c>
      <c r="W438">
        <v>1894</v>
      </c>
      <c r="X438">
        <v>9470</v>
      </c>
      <c r="Y438">
        <v>4735</v>
      </c>
      <c r="Z438">
        <v>4140</v>
      </c>
      <c r="AA438">
        <v>2484</v>
      </c>
      <c r="AB438">
        <v>1656</v>
      </c>
    </row>
    <row r="439" spans="1:28" x14ac:dyDescent="0.35">
      <c r="A439" t="s">
        <v>484</v>
      </c>
      <c r="B439" t="s">
        <v>9</v>
      </c>
      <c r="C439" t="s">
        <v>1</v>
      </c>
      <c r="D439" t="s">
        <v>10</v>
      </c>
      <c r="E439" t="s">
        <v>11</v>
      </c>
      <c r="F439">
        <v>254898</v>
      </c>
      <c r="G439">
        <v>-108362</v>
      </c>
      <c r="H439">
        <v>62992</v>
      </c>
      <c r="I439">
        <v>254898</v>
      </c>
      <c r="J439">
        <v>25489</v>
      </c>
      <c r="K439">
        <v>12744</v>
      </c>
      <c r="L439">
        <v>165278</v>
      </c>
      <c r="M439">
        <v>33055</v>
      </c>
      <c r="N439">
        <v>49583</v>
      </c>
      <c r="O439">
        <v>16527</v>
      </c>
      <c r="P439">
        <v>-66111</v>
      </c>
      <c r="Q439">
        <v>-41319</v>
      </c>
      <c r="R439">
        <v>172064</v>
      </c>
      <c r="S439">
        <v>51619</v>
      </c>
      <c r="T439">
        <v>17206</v>
      </c>
      <c r="U439">
        <v>8263</v>
      </c>
      <c r="V439">
        <v>4958</v>
      </c>
      <c r="W439">
        <v>3305</v>
      </c>
      <c r="X439">
        <v>16527</v>
      </c>
      <c r="Y439">
        <v>8263</v>
      </c>
      <c r="Z439">
        <v>8603</v>
      </c>
      <c r="AA439">
        <v>5161</v>
      </c>
      <c r="AB439">
        <v>3441</v>
      </c>
    </row>
    <row r="440" spans="1:28" x14ac:dyDescent="0.35">
      <c r="A440" t="s">
        <v>485</v>
      </c>
      <c r="B440" t="s">
        <v>9</v>
      </c>
      <c r="C440" t="s">
        <v>1</v>
      </c>
      <c r="D440" t="s">
        <v>10</v>
      </c>
      <c r="E440" t="s">
        <v>11</v>
      </c>
      <c r="F440">
        <v>482791</v>
      </c>
      <c r="G440">
        <v>-169703</v>
      </c>
      <c r="H440">
        <v>129605</v>
      </c>
      <c r="I440">
        <v>482791</v>
      </c>
      <c r="J440">
        <v>48279</v>
      </c>
      <c r="K440">
        <v>24139</v>
      </c>
      <c r="L440">
        <v>257845</v>
      </c>
      <c r="M440">
        <v>51569</v>
      </c>
      <c r="N440">
        <v>77353</v>
      </c>
      <c r="O440">
        <v>25784</v>
      </c>
      <c r="P440">
        <v>-103138</v>
      </c>
      <c r="Q440">
        <v>-64461</v>
      </c>
      <c r="R440">
        <v>274062</v>
      </c>
      <c r="S440">
        <v>82218</v>
      </c>
      <c r="T440">
        <v>27406</v>
      </c>
      <c r="U440">
        <v>12892</v>
      </c>
      <c r="V440">
        <v>7735</v>
      </c>
      <c r="W440">
        <v>5156</v>
      </c>
      <c r="X440">
        <v>25784</v>
      </c>
      <c r="Y440">
        <v>12892</v>
      </c>
      <c r="Z440">
        <v>13703</v>
      </c>
      <c r="AA440">
        <v>8221</v>
      </c>
      <c r="AB440">
        <v>5481</v>
      </c>
    </row>
    <row r="441" spans="1:28" x14ac:dyDescent="0.35">
      <c r="A441" t="s">
        <v>486</v>
      </c>
      <c r="B441" t="s">
        <v>9</v>
      </c>
      <c r="C441" t="s">
        <v>1</v>
      </c>
      <c r="D441" t="s">
        <v>10</v>
      </c>
      <c r="E441" t="s">
        <v>11</v>
      </c>
      <c r="F441">
        <v>184548</v>
      </c>
      <c r="G441">
        <v>-107967</v>
      </c>
      <c r="H441">
        <v>80889</v>
      </c>
      <c r="I441">
        <v>184548</v>
      </c>
      <c r="J441">
        <v>18454</v>
      </c>
      <c r="K441">
        <v>9227</v>
      </c>
      <c r="L441">
        <v>141345</v>
      </c>
      <c r="M441">
        <v>28269</v>
      </c>
      <c r="N441">
        <v>42403</v>
      </c>
      <c r="O441">
        <v>14134</v>
      </c>
      <c r="P441">
        <v>-56538</v>
      </c>
      <c r="Q441">
        <v>-35336</v>
      </c>
      <c r="R441">
        <v>142222</v>
      </c>
      <c r="S441">
        <v>42666</v>
      </c>
      <c r="T441">
        <v>14222</v>
      </c>
      <c r="U441">
        <v>7067</v>
      </c>
      <c r="V441">
        <v>4240</v>
      </c>
      <c r="W441">
        <v>2826</v>
      </c>
      <c r="X441">
        <v>14134</v>
      </c>
      <c r="Y441">
        <v>7067</v>
      </c>
      <c r="Z441">
        <v>7111</v>
      </c>
      <c r="AA441">
        <v>4266</v>
      </c>
      <c r="AB441">
        <v>2844</v>
      </c>
    </row>
    <row r="442" spans="1:28" x14ac:dyDescent="0.35">
      <c r="A442" t="s">
        <v>487</v>
      </c>
      <c r="B442" t="s">
        <v>9</v>
      </c>
      <c r="C442" t="s">
        <v>1</v>
      </c>
      <c r="D442" t="s">
        <v>10</v>
      </c>
      <c r="E442" t="s">
        <v>11</v>
      </c>
      <c r="F442">
        <v>440526</v>
      </c>
      <c r="G442">
        <v>-112853</v>
      </c>
      <c r="H442">
        <v>193302</v>
      </c>
      <c r="I442">
        <v>440526</v>
      </c>
      <c r="J442">
        <v>44052</v>
      </c>
      <c r="K442">
        <v>22026</v>
      </c>
      <c r="L442">
        <v>319944</v>
      </c>
      <c r="M442">
        <v>63988</v>
      </c>
      <c r="N442">
        <v>95983</v>
      </c>
      <c r="O442">
        <v>31994</v>
      </c>
      <c r="P442">
        <v>-127977</v>
      </c>
      <c r="Q442">
        <v>-79986</v>
      </c>
      <c r="R442">
        <v>293753</v>
      </c>
      <c r="S442">
        <v>88125</v>
      </c>
      <c r="T442">
        <v>29375</v>
      </c>
      <c r="U442">
        <v>15997</v>
      </c>
      <c r="V442">
        <v>9598</v>
      </c>
      <c r="W442">
        <v>6398</v>
      </c>
      <c r="X442">
        <v>31994</v>
      </c>
      <c r="Y442">
        <v>15997</v>
      </c>
      <c r="Z442">
        <v>14687</v>
      </c>
      <c r="AA442">
        <v>8812</v>
      </c>
      <c r="AB442">
        <v>5875</v>
      </c>
    </row>
    <row r="443" spans="1:28" x14ac:dyDescent="0.35">
      <c r="A443" t="s">
        <v>488</v>
      </c>
      <c r="B443" t="s">
        <v>9</v>
      </c>
      <c r="C443" t="s">
        <v>1</v>
      </c>
      <c r="D443" t="s">
        <v>10</v>
      </c>
      <c r="E443" t="s">
        <v>11</v>
      </c>
      <c r="F443">
        <v>167288</v>
      </c>
      <c r="G443">
        <v>-75928</v>
      </c>
      <c r="H443">
        <v>83386</v>
      </c>
      <c r="I443">
        <v>167288</v>
      </c>
      <c r="J443">
        <v>16728</v>
      </c>
      <c r="K443">
        <v>8364</v>
      </c>
      <c r="L443">
        <v>108408</v>
      </c>
      <c r="M443">
        <v>21681</v>
      </c>
      <c r="N443">
        <v>32522</v>
      </c>
      <c r="O443">
        <v>10840</v>
      </c>
      <c r="P443">
        <v>-43363</v>
      </c>
      <c r="Q443">
        <v>-27102</v>
      </c>
      <c r="R443">
        <v>121364</v>
      </c>
      <c r="S443">
        <v>36409</v>
      </c>
      <c r="T443">
        <v>12136</v>
      </c>
      <c r="U443">
        <v>5420</v>
      </c>
      <c r="V443">
        <v>3252</v>
      </c>
      <c r="W443">
        <v>2168</v>
      </c>
      <c r="X443">
        <v>10840</v>
      </c>
      <c r="Y443">
        <v>5420</v>
      </c>
      <c r="Z443">
        <v>6068</v>
      </c>
      <c r="AA443">
        <v>3640</v>
      </c>
      <c r="AB443">
        <v>2427</v>
      </c>
    </row>
    <row r="444" spans="1:28" x14ac:dyDescent="0.35">
      <c r="A444" t="s">
        <v>489</v>
      </c>
      <c r="B444" t="s">
        <v>9</v>
      </c>
      <c r="C444" t="s">
        <v>1</v>
      </c>
      <c r="D444" t="s">
        <v>10</v>
      </c>
      <c r="E444" t="s">
        <v>11</v>
      </c>
      <c r="F444">
        <v>490932</v>
      </c>
      <c r="G444">
        <v>-163792</v>
      </c>
      <c r="H444">
        <v>51975</v>
      </c>
      <c r="I444">
        <v>490932</v>
      </c>
      <c r="J444">
        <v>49093</v>
      </c>
      <c r="K444">
        <v>24546</v>
      </c>
      <c r="L444">
        <v>250123</v>
      </c>
      <c r="M444">
        <v>50024</v>
      </c>
      <c r="N444">
        <v>75036</v>
      </c>
      <c r="O444">
        <v>25012</v>
      </c>
      <c r="P444">
        <v>-100049</v>
      </c>
      <c r="Q444">
        <v>-62530</v>
      </c>
      <c r="R444">
        <v>243325</v>
      </c>
      <c r="S444">
        <v>72997</v>
      </c>
      <c r="T444">
        <v>24332</v>
      </c>
      <c r="U444">
        <v>12506</v>
      </c>
      <c r="V444">
        <v>7503</v>
      </c>
      <c r="W444">
        <v>5002</v>
      </c>
      <c r="X444">
        <v>25012</v>
      </c>
      <c r="Y444">
        <v>12506</v>
      </c>
      <c r="Z444">
        <v>12166</v>
      </c>
      <c r="AA444">
        <v>7299</v>
      </c>
      <c r="AB444">
        <v>4866</v>
      </c>
    </row>
    <row r="445" spans="1:28" x14ac:dyDescent="0.35">
      <c r="A445" t="s">
        <v>490</v>
      </c>
      <c r="B445" t="s">
        <v>9</v>
      </c>
      <c r="C445" t="s">
        <v>1</v>
      </c>
      <c r="D445" t="s">
        <v>10</v>
      </c>
      <c r="E445" t="s">
        <v>11</v>
      </c>
      <c r="F445">
        <v>211003</v>
      </c>
      <c r="G445">
        <v>-49605</v>
      </c>
      <c r="H445">
        <v>58342</v>
      </c>
      <c r="I445">
        <v>211003</v>
      </c>
      <c r="J445">
        <v>21100</v>
      </c>
      <c r="K445">
        <v>10550</v>
      </c>
      <c r="L445">
        <v>121026</v>
      </c>
      <c r="M445">
        <v>24205</v>
      </c>
      <c r="N445">
        <v>36307</v>
      </c>
      <c r="O445">
        <v>12102</v>
      </c>
      <c r="P445">
        <v>-48410</v>
      </c>
      <c r="Q445">
        <v>-30256</v>
      </c>
      <c r="R445">
        <v>117517</v>
      </c>
      <c r="S445">
        <v>35255</v>
      </c>
      <c r="T445">
        <v>11751</v>
      </c>
      <c r="U445">
        <v>6051</v>
      </c>
      <c r="V445">
        <v>3630</v>
      </c>
      <c r="W445">
        <v>2420</v>
      </c>
      <c r="X445">
        <v>12102</v>
      </c>
      <c r="Y445">
        <v>6051</v>
      </c>
      <c r="Z445">
        <v>5875</v>
      </c>
      <c r="AA445">
        <v>3525</v>
      </c>
      <c r="AB445">
        <v>2350</v>
      </c>
    </row>
    <row r="446" spans="1:28" x14ac:dyDescent="0.35">
      <c r="A446" t="s">
        <v>491</v>
      </c>
      <c r="B446" t="s">
        <v>9</v>
      </c>
      <c r="C446" t="s">
        <v>1</v>
      </c>
      <c r="D446" t="s">
        <v>10</v>
      </c>
      <c r="E446" t="s">
        <v>11</v>
      </c>
      <c r="F446">
        <v>484741</v>
      </c>
      <c r="G446">
        <v>-129420</v>
      </c>
      <c r="H446">
        <v>144396</v>
      </c>
      <c r="I446">
        <v>484741</v>
      </c>
      <c r="J446">
        <v>48474</v>
      </c>
      <c r="K446">
        <v>24237</v>
      </c>
      <c r="L446">
        <v>271633</v>
      </c>
      <c r="M446">
        <v>54326</v>
      </c>
      <c r="N446">
        <v>81489</v>
      </c>
      <c r="O446">
        <v>27163</v>
      </c>
      <c r="P446">
        <v>-108653</v>
      </c>
      <c r="Q446">
        <v>-67908</v>
      </c>
      <c r="R446">
        <v>317588</v>
      </c>
      <c r="S446">
        <v>95276</v>
      </c>
      <c r="T446">
        <v>31758</v>
      </c>
      <c r="U446">
        <v>13581</v>
      </c>
      <c r="V446">
        <v>8148</v>
      </c>
      <c r="W446">
        <v>5432</v>
      </c>
      <c r="X446">
        <v>27163</v>
      </c>
      <c r="Y446">
        <v>13581</v>
      </c>
      <c r="Z446">
        <v>15879</v>
      </c>
      <c r="AA446">
        <v>9527</v>
      </c>
      <c r="AB446">
        <v>6351</v>
      </c>
    </row>
    <row r="447" spans="1:28" x14ac:dyDescent="0.35">
      <c r="A447" t="s">
        <v>492</v>
      </c>
      <c r="B447" t="s">
        <v>9</v>
      </c>
      <c r="C447" t="s">
        <v>1</v>
      </c>
      <c r="D447" t="s">
        <v>10</v>
      </c>
      <c r="E447" t="s">
        <v>11</v>
      </c>
      <c r="F447">
        <v>251773</v>
      </c>
      <c r="G447">
        <v>-73581</v>
      </c>
      <c r="H447">
        <v>46083</v>
      </c>
      <c r="I447">
        <v>251773</v>
      </c>
      <c r="J447">
        <v>25177</v>
      </c>
      <c r="K447">
        <v>12588</v>
      </c>
      <c r="L447">
        <v>91618</v>
      </c>
      <c r="M447">
        <v>18323</v>
      </c>
      <c r="N447">
        <v>27485</v>
      </c>
      <c r="O447">
        <v>9161</v>
      </c>
      <c r="P447">
        <v>-36647</v>
      </c>
      <c r="Q447">
        <v>-22904</v>
      </c>
      <c r="R447">
        <v>78598</v>
      </c>
      <c r="S447">
        <v>23579</v>
      </c>
      <c r="T447">
        <v>7859</v>
      </c>
      <c r="U447">
        <v>4580</v>
      </c>
      <c r="V447">
        <v>2748</v>
      </c>
      <c r="W447">
        <v>1832</v>
      </c>
      <c r="X447">
        <v>9161</v>
      </c>
      <c r="Y447">
        <v>4580</v>
      </c>
      <c r="Z447">
        <v>3929</v>
      </c>
      <c r="AA447">
        <v>2357</v>
      </c>
      <c r="AB447">
        <v>1571</v>
      </c>
    </row>
    <row r="448" spans="1:28" x14ac:dyDescent="0.35">
      <c r="A448" t="s">
        <v>493</v>
      </c>
      <c r="B448" t="s">
        <v>9</v>
      </c>
      <c r="C448" t="s">
        <v>1</v>
      </c>
      <c r="D448" t="s">
        <v>10</v>
      </c>
      <c r="E448" t="s">
        <v>11</v>
      </c>
      <c r="F448">
        <v>111456</v>
      </c>
      <c r="G448">
        <v>-66499</v>
      </c>
      <c r="H448">
        <v>46414</v>
      </c>
      <c r="I448">
        <v>111456</v>
      </c>
      <c r="J448">
        <v>11145</v>
      </c>
      <c r="K448">
        <v>5572</v>
      </c>
      <c r="L448">
        <v>59107</v>
      </c>
      <c r="M448">
        <v>11821</v>
      </c>
      <c r="N448">
        <v>17732</v>
      </c>
      <c r="O448">
        <v>5910</v>
      </c>
      <c r="P448">
        <v>-23642</v>
      </c>
      <c r="Q448">
        <v>-14776</v>
      </c>
      <c r="R448">
        <v>67403</v>
      </c>
      <c r="S448">
        <v>20220</v>
      </c>
      <c r="T448">
        <v>6740</v>
      </c>
      <c r="U448">
        <v>2955</v>
      </c>
      <c r="V448">
        <v>1773</v>
      </c>
      <c r="W448">
        <v>1182</v>
      </c>
      <c r="X448">
        <v>5910</v>
      </c>
      <c r="Y448">
        <v>2955</v>
      </c>
      <c r="Z448">
        <v>3370</v>
      </c>
      <c r="AA448">
        <v>2022</v>
      </c>
      <c r="AB448">
        <v>1348</v>
      </c>
    </row>
    <row r="449" spans="1:28" x14ac:dyDescent="0.35">
      <c r="A449" t="s">
        <v>494</v>
      </c>
      <c r="B449" t="s">
        <v>9</v>
      </c>
      <c r="C449" t="s">
        <v>1</v>
      </c>
      <c r="D449" t="s">
        <v>10</v>
      </c>
      <c r="E449" t="s">
        <v>11</v>
      </c>
      <c r="F449">
        <v>491771</v>
      </c>
      <c r="G449">
        <v>-213392</v>
      </c>
      <c r="H449">
        <v>169979</v>
      </c>
      <c r="I449">
        <v>491771</v>
      </c>
      <c r="J449">
        <v>49177</v>
      </c>
      <c r="K449">
        <v>24588</v>
      </c>
      <c r="L449">
        <v>243148</v>
      </c>
      <c r="M449">
        <v>48629</v>
      </c>
      <c r="N449">
        <v>72944</v>
      </c>
      <c r="O449">
        <v>24314</v>
      </c>
      <c r="P449">
        <v>-97259</v>
      </c>
      <c r="Q449">
        <v>-60787</v>
      </c>
      <c r="R449">
        <v>219917</v>
      </c>
      <c r="S449">
        <v>65975</v>
      </c>
      <c r="T449">
        <v>21991</v>
      </c>
      <c r="U449">
        <v>12157</v>
      </c>
      <c r="V449">
        <v>7294</v>
      </c>
      <c r="W449">
        <v>4862</v>
      </c>
      <c r="X449">
        <v>24314</v>
      </c>
      <c r="Y449">
        <v>12157</v>
      </c>
      <c r="Z449">
        <v>10995</v>
      </c>
      <c r="AA449">
        <v>6597</v>
      </c>
      <c r="AB449">
        <v>4398</v>
      </c>
    </row>
    <row r="450" spans="1:28" x14ac:dyDescent="0.35">
      <c r="A450" t="s">
        <v>495</v>
      </c>
      <c r="B450" t="s">
        <v>9</v>
      </c>
      <c r="C450" t="s">
        <v>1</v>
      </c>
      <c r="D450" t="s">
        <v>10</v>
      </c>
      <c r="E450" t="s">
        <v>11</v>
      </c>
      <c r="F450">
        <v>50071</v>
      </c>
      <c r="G450">
        <v>-15017</v>
      </c>
      <c r="H450">
        <v>6119</v>
      </c>
      <c r="I450">
        <v>50071</v>
      </c>
      <c r="J450">
        <v>5007</v>
      </c>
      <c r="K450">
        <v>2503</v>
      </c>
      <c r="L450">
        <v>12808</v>
      </c>
      <c r="M450">
        <v>2561</v>
      </c>
      <c r="N450">
        <v>3842</v>
      </c>
      <c r="O450">
        <v>1280</v>
      </c>
      <c r="P450">
        <v>-5123</v>
      </c>
      <c r="Q450">
        <v>-3202</v>
      </c>
      <c r="R450">
        <v>11968</v>
      </c>
      <c r="S450">
        <v>3590</v>
      </c>
      <c r="T450">
        <v>1196</v>
      </c>
      <c r="U450">
        <v>640</v>
      </c>
      <c r="V450">
        <v>384</v>
      </c>
      <c r="W450">
        <v>256</v>
      </c>
      <c r="X450">
        <v>1280</v>
      </c>
      <c r="Y450">
        <v>640</v>
      </c>
      <c r="Z450">
        <v>598</v>
      </c>
      <c r="AA450">
        <v>359</v>
      </c>
      <c r="AB450">
        <v>239</v>
      </c>
    </row>
    <row r="451" spans="1:28" x14ac:dyDescent="0.35">
      <c r="A451" t="s">
        <v>496</v>
      </c>
      <c r="B451" t="s">
        <v>9</v>
      </c>
      <c r="C451" t="s">
        <v>1</v>
      </c>
      <c r="D451" t="s">
        <v>10</v>
      </c>
      <c r="E451" t="s">
        <v>11</v>
      </c>
      <c r="F451">
        <v>471227</v>
      </c>
      <c r="G451">
        <v>-120389</v>
      </c>
      <c r="H451">
        <v>146537</v>
      </c>
      <c r="I451">
        <v>471227</v>
      </c>
      <c r="J451">
        <v>47122</v>
      </c>
      <c r="K451">
        <v>23561</v>
      </c>
      <c r="L451">
        <v>99262</v>
      </c>
      <c r="M451">
        <v>19852</v>
      </c>
      <c r="N451">
        <v>29778</v>
      </c>
      <c r="O451">
        <v>9926</v>
      </c>
      <c r="P451">
        <v>-39704</v>
      </c>
      <c r="Q451">
        <v>-24815</v>
      </c>
      <c r="R451">
        <v>84960</v>
      </c>
      <c r="S451">
        <v>25488</v>
      </c>
      <c r="T451">
        <v>8496</v>
      </c>
      <c r="U451">
        <v>4963</v>
      </c>
      <c r="V451">
        <v>2977</v>
      </c>
      <c r="W451">
        <v>1985</v>
      </c>
      <c r="X451">
        <v>9926</v>
      </c>
      <c r="Y451">
        <v>4963</v>
      </c>
      <c r="Z451">
        <v>4248</v>
      </c>
      <c r="AA451">
        <v>2548</v>
      </c>
      <c r="AB451">
        <v>1699</v>
      </c>
    </row>
    <row r="452" spans="1:28" x14ac:dyDescent="0.35">
      <c r="A452" t="s">
        <v>497</v>
      </c>
      <c r="B452" t="s">
        <v>9</v>
      </c>
      <c r="C452" t="s">
        <v>1</v>
      </c>
      <c r="D452" t="s">
        <v>10</v>
      </c>
      <c r="E452" t="s">
        <v>11</v>
      </c>
      <c r="F452">
        <v>197164</v>
      </c>
      <c r="G452">
        <v>-79869</v>
      </c>
      <c r="H452">
        <v>71987</v>
      </c>
      <c r="I452">
        <v>197164</v>
      </c>
      <c r="J452">
        <v>19716</v>
      </c>
      <c r="K452">
        <v>9858</v>
      </c>
      <c r="L452">
        <v>104037</v>
      </c>
      <c r="M452">
        <v>20807</v>
      </c>
      <c r="N452">
        <v>31211</v>
      </c>
      <c r="O452">
        <v>10403</v>
      </c>
      <c r="P452">
        <v>-41614</v>
      </c>
      <c r="Q452">
        <v>-26009</v>
      </c>
      <c r="R452">
        <v>111718</v>
      </c>
      <c r="S452">
        <v>33515</v>
      </c>
      <c r="T452">
        <v>11171</v>
      </c>
      <c r="U452">
        <v>5201</v>
      </c>
      <c r="V452">
        <v>3121</v>
      </c>
      <c r="W452">
        <v>2080</v>
      </c>
      <c r="X452">
        <v>10403</v>
      </c>
      <c r="Y452">
        <v>5201</v>
      </c>
      <c r="Z452">
        <v>5585</v>
      </c>
      <c r="AA452">
        <v>3351</v>
      </c>
      <c r="AB452">
        <v>2234</v>
      </c>
    </row>
    <row r="453" spans="1:28" x14ac:dyDescent="0.35">
      <c r="A453" t="s">
        <v>498</v>
      </c>
      <c r="B453" t="s">
        <v>9</v>
      </c>
      <c r="C453" t="s">
        <v>1</v>
      </c>
      <c r="D453" t="s">
        <v>10</v>
      </c>
      <c r="E453" t="s">
        <v>11</v>
      </c>
      <c r="F453">
        <v>193957</v>
      </c>
      <c r="G453">
        <v>-84480</v>
      </c>
      <c r="H453">
        <v>91154</v>
      </c>
      <c r="I453">
        <v>193957</v>
      </c>
      <c r="J453">
        <v>19395</v>
      </c>
      <c r="K453">
        <v>9697</v>
      </c>
      <c r="L453">
        <v>89941</v>
      </c>
      <c r="M453">
        <v>17988</v>
      </c>
      <c r="N453">
        <v>26982</v>
      </c>
      <c r="O453">
        <v>8994</v>
      </c>
      <c r="P453">
        <v>-35976</v>
      </c>
      <c r="Q453">
        <v>-22485</v>
      </c>
      <c r="R453">
        <v>82425</v>
      </c>
      <c r="S453">
        <v>24727</v>
      </c>
      <c r="T453">
        <v>8242</v>
      </c>
      <c r="U453">
        <v>4497</v>
      </c>
      <c r="V453">
        <v>2698</v>
      </c>
      <c r="W453">
        <v>1798</v>
      </c>
      <c r="X453">
        <v>8994</v>
      </c>
      <c r="Y453">
        <v>4497</v>
      </c>
      <c r="Z453">
        <v>4121</v>
      </c>
      <c r="AA453">
        <v>2472</v>
      </c>
      <c r="AB453">
        <v>1648</v>
      </c>
    </row>
    <row r="454" spans="1:28" x14ac:dyDescent="0.35">
      <c r="A454" t="s">
        <v>499</v>
      </c>
      <c r="B454" t="s">
        <v>9</v>
      </c>
      <c r="C454" t="s">
        <v>1</v>
      </c>
      <c r="D454" t="s">
        <v>10</v>
      </c>
      <c r="E454" t="s">
        <v>11</v>
      </c>
      <c r="F454">
        <v>140760</v>
      </c>
      <c r="G454">
        <v>-66683</v>
      </c>
      <c r="H454">
        <v>43833</v>
      </c>
      <c r="I454">
        <v>140760</v>
      </c>
      <c r="J454">
        <v>14076</v>
      </c>
      <c r="K454">
        <v>7038</v>
      </c>
      <c r="L454">
        <v>85955</v>
      </c>
      <c r="M454">
        <v>17191</v>
      </c>
      <c r="N454">
        <v>25786</v>
      </c>
      <c r="O454">
        <v>8595</v>
      </c>
      <c r="P454">
        <v>-34382</v>
      </c>
      <c r="Q454">
        <v>-21488</v>
      </c>
      <c r="R454">
        <v>93533</v>
      </c>
      <c r="S454">
        <v>28059</v>
      </c>
      <c r="T454">
        <v>9353</v>
      </c>
      <c r="U454">
        <v>4297</v>
      </c>
      <c r="V454">
        <v>2578</v>
      </c>
      <c r="W454">
        <v>1719</v>
      </c>
      <c r="X454">
        <v>8595</v>
      </c>
      <c r="Y454">
        <v>4297</v>
      </c>
      <c r="Z454">
        <v>4676</v>
      </c>
      <c r="AA454">
        <v>2805</v>
      </c>
      <c r="AB454">
        <v>1870</v>
      </c>
    </row>
    <row r="455" spans="1:28" x14ac:dyDescent="0.35">
      <c r="A455" t="s">
        <v>500</v>
      </c>
      <c r="B455" t="s">
        <v>9</v>
      </c>
      <c r="C455" t="s">
        <v>1</v>
      </c>
      <c r="D455" t="s">
        <v>10</v>
      </c>
      <c r="E455" t="s">
        <v>11</v>
      </c>
      <c r="F455">
        <v>272253</v>
      </c>
      <c r="G455">
        <v>-100019</v>
      </c>
      <c r="H455">
        <v>111053</v>
      </c>
      <c r="I455">
        <v>272253</v>
      </c>
      <c r="J455">
        <v>27225</v>
      </c>
      <c r="K455">
        <v>13612</v>
      </c>
      <c r="L455">
        <v>175741</v>
      </c>
      <c r="M455">
        <v>35148</v>
      </c>
      <c r="N455">
        <v>52722</v>
      </c>
      <c r="O455">
        <v>17574</v>
      </c>
      <c r="P455">
        <v>-70296</v>
      </c>
      <c r="Q455">
        <v>-43935</v>
      </c>
      <c r="R455">
        <v>190631</v>
      </c>
      <c r="S455">
        <v>57189</v>
      </c>
      <c r="T455">
        <v>19063</v>
      </c>
      <c r="U455">
        <v>8787</v>
      </c>
      <c r="V455">
        <v>5272</v>
      </c>
      <c r="W455">
        <v>3514</v>
      </c>
      <c r="X455">
        <v>17574</v>
      </c>
      <c r="Y455">
        <v>8787</v>
      </c>
      <c r="Z455">
        <v>9531</v>
      </c>
      <c r="AA455">
        <v>5718</v>
      </c>
      <c r="AB455">
        <v>3812</v>
      </c>
    </row>
    <row r="456" spans="1:28" x14ac:dyDescent="0.35">
      <c r="A456" t="s">
        <v>501</v>
      </c>
      <c r="B456" t="s">
        <v>9</v>
      </c>
      <c r="C456" t="s">
        <v>1</v>
      </c>
      <c r="D456" t="s">
        <v>10</v>
      </c>
      <c r="E456" t="s">
        <v>11</v>
      </c>
      <c r="F456">
        <v>157114</v>
      </c>
      <c r="G456">
        <v>-61589</v>
      </c>
      <c r="H456">
        <v>17279</v>
      </c>
      <c r="I456">
        <v>157114</v>
      </c>
      <c r="J456">
        <v>15711</v>
      </c>
      <c r="K456">
        <v>7855</v>
      </c>
      <c r="L456">
        <v>100061</v>
      </c>
      <c r="M456">
        <v>20012</v>
      </c>
      <c r="N456">
        <v>30018</v>
      </c>
      <c r="O456">
        <v>10006</v>
      </c>
      <c r="P456">
        <v>-40024</v>
      </c>
      <c r="Q456">
        <v>-25015</v>
      </c>
      <c r="R456">
        <v>101788</v>
      </c>
      <c r="S456">
        <v>30536</v>
      </c>
      <c r="T456">
        <v>10178</v>
      </c>
      <c r="U456">
        <v>5003</v>
      </c>
      <c r="V456">
        <v>3001</v>
      </c>
      <c r="W456">
        <v>2001</v>
      </c>
      <c r="X456">
        <v>10006</v>
      </c>
      <c r="Y456">
        <v>5003</v>
      </c>
      <c r="Z456">
        <v>5089</v>
      </c>
      <c r="AA456">
        <v>3053</v>
      </c>
      <c r="AB456">
        <v>2035</v>
      </c>
    </row>
    <row r="457" spans="1:28" x14ac:dyDescent="0.35">
      <c r="A457" t="s">
        <v>502</v>
      </c>
      <c r="B457" t="s">
        <v>9</v>
      </c>
      <c r="C457" t="s">
        <v>1</v>
      </c>
      <c r="D457" t="s">
        <v>10</v>
      </c>
      <c r="E457" t="s">
        <v>11</v>
      </c>
      <c r="F457">
        <v>331579</v>
      </c>
      <c r="G457">
        <v>-158965</v>
      </c>
      <c r="H457">
        <v>122046</v>
      </c>
      <c r="I457">
        <v>331579</v>
      </c>
      <c r="J457">
        <v>33157</v>
      </c>
      <c r="K457">
        <v>16578</v>
      </c>
      <c r="L457">
        <v>130661</v>
      </c>
      <c r="M457">
        <v>26132</v>
      </c>
      <c r="N457">
        <v>39198</v>
      </c>
      <c r="O457">
        <v>13066</v>
      </c>
      <c r="P457">
        <v>-52264</v>
      </c>
      <c r="Q457">
        <v>-32665</v>
      </c>
      <c r="R457">
        <v>124874</v>
      </c>
      <c r="S457">
        <v>37462</v>
      </c>
      <c r="T457">
        <v>12487</v>
      </c>
      <c r="U457">
        <v>6533</v>
      </c>
      <c r="V457">
        <v>3919</v>
      </c>
      <c r="W457">
        <v>2613</v>
      </c>
      <c r="X457">
        <v>13066</v>
      </c>
      <c r="Y457">
        <v>6533</v>
      </c>
      <c r="Z457">
        <v>6243</v>
      </c>
      <c r="AA457">
        <v>3746</v>
      </c>
      <c r="AB457">
        <v>2497</v>
      </c>
    </row>
    <row r="458" spans="1:28" x14ac:dyDescent="0.35">
      <c r="A458" t="s">
        <v>503</v>
      </c>
      <c r="B458" t="s">
        <v>9</v>
      </c>
      <c r="C458" t="s">
        <v>1</v>
      </c>
      <c r="D458" t="s">
        <v>10</v>
      </c>
      <c r="E458" t="s">
        <v>11</v>
      </c>
      <c r="F458">
        <v>394629</v>
      </c>
      <c r="G458">
        <v>-172076</v>
      </c>
      <c r="H458">
        <v>47536</v>
      </c>
      <c r="I458">
        <v>394629</v>
      </c>
      <c r="J458">
        <v>39462</v>
      </c>
      <c r="K458">
        <v>19731</v>
      </c>
      <c r="L458">
        <v>175230</v>
      </c>
      <c r="M458">
        <v>35046</v>
      </c>
      <c r="N458">
        <v>52569</v>
      </c>
      <c r="O458">
        <v>17523</v>
      </c>
      <c r="P458">
        <v>-70092</v>
      </c>
      <c r="Q458">
        <v>-43807</v>
      </c>
      <c r="R458">
        <v>195853</v>
      </c>
      <c r="S458">
        <v>58755</v>
      </c>
      <c r="T458">
        <v>19585</v>
      </c>
      <c r="U458">
        <v>8761</v>
      </c>
      <c r="V458">
        <v>5256</v>
      </c>
      <c r="W458">
        <v>3504</v>
      </c>
      <c r="X458">
        <v>17523</v>
      </c>
      <c r="Y458">
        <v>8761</v>
      </c>
      <c r="Z458">
        <v>9792</v>
      </c>
      <c r="AA458">
        <v>5875</v>
      </c>
      <c r="AB458">
        <v>3917</v>
      </c>
    </row>
    <row r="459" spans="1:28" x14ac:dyDescent="0.35">
      <c r="A459" t="s">
        <v>504</v>
      </c>
      <c r="B459" t="s">
        <v>9</v>
      </c>
      <c r="C459" t="s">
        <v>1</v>
      </c>
      <c r="D459" t="s">
        <v>10</v>
      </c>
      <c r="E459" t="s">
        <v>11</v>
      </c>
      <c r="F459">
        <v>252948</v>
      </c>
      <c r="G459">
        <v>-63078</v>
      </c>
      <c r="H459">
        <v>46593</v>
      </c>
      <c r="I459">
        <v>252948</v>
      </c>
      <c r="J459">
        <v>25294</v>
      </c>
      <c r="K459">
        <v>12647</v>
      </c>
      <c r="L459">
        <v>136637</v>
      </c>
      <c r="M459">
        <v>27327</v>
      </c>
      <c r="N459">
        <v>40991</v>
      </c>
      <c r="O459">
        <v>13663</v>
      </c>
      <c r="P459">
        <v>-54654</v>
      </c>
      <c r="Q459">
        <v>-34159</v>
      </c>
      <c r="R459">
        <v>139370</v>
      </c>
      <c r="S459">
        <v>41811</v>
      </c>
      <c r="T459">
        <v>13937</v>
      </c>
      <c r="U459">
        <v>6831</v>
      </c>
      <c r="V459">
        <v>4099</v>
      </c>
      <c r="W459">
        <v>2732</v>
      </c>
      <c r="X459">
        <v>13663</v>
      </c>
      <c r="Y459">
        <v>6831</v>
      </c>
      <c r="Z459">
        <v>6968</v>
      </c>
      <c r="AA459">
        <v>4181</v>
      </c>
      <c r="AB459">
        <v>2787</v>
      </c>
    </row>
    <row r="460" spans="1:28" x14ac:dyDescent="0.35">
      <c r="A460" t="s">
        <v>505</v>
      </c>
      <c r="B460" t="s">
        <v>9</v>
      </c>
      <c r="C460" t="s">
        <v>1</v>
      </c>
      <c r="D460" t="s">
        <v>10</v>
      </c>
      <c r="E460" t="s">
        <v>11</v>
      </c>
      <c r="F460">
        <v>371260</v>
      </c>
      <c r="G460">
        <v>-143620</v>
      </c>
      <c r="H460">
        <v>81990</v>
      </c>
      <c r="I460">
        <v>371260</v>
      </c>
      <c r="J460">
        <v>37126</v>
      </c>
      <c r="K460">
        <v>18563</v>
      </c>
      <c r="L460">
        <v>223815</v>
      </c>
      <c r="M460">
        <v>44763</v>
      </c>
      <c r="N460">
        <v>67144</v>
      </c>
      <c r="O460">
        <v>22381</v>
      </c>
      <c r="P460">
        <v>-89526</v>
      </c>
      <c r="Q460">
        <v>-55953</v>
      </c>
      <c r="R460">
        <v>223931</v>
      </c>
      <c r="S460">
        <v>67179</v>
      </c>
      <c r="T460">
        <v>22393</v>
      </c>
      <c r="U460">
        <v>11190</v>
      </c>
      <c r="V460">
        <v>6714</v>
      </c>
      <c r="W460">
        <v>4476</v>
      </c>
      <c r="X460">
        <v>22381</v>
      </c>
      <c r="Y460">
        <v>11190</v>
      </c>
      <c r="Z460">
        <v>11196</v>
      </c>
      <c r="AA460">
        <v>6717</v>
      </c>
      <c r="AB460">
        <v>4478</v>
      </c>
    </row>
    <row r="461" spans="1:28" x14ac:dyDescent="0.35">
      <c r="A461" t="s">
        <v>506</v>
      </c>
      <c r="B461" t="s">
        <v>9</v>
      </c>
      <c r="C461" t="s">
        <v>1</v>
      </c>
      <c r="D461" t="s">
        <v>10</v>
      </c>
      <c r="E461" t="s">
        <v>11</v>
      </c>
      <c r="F461">
        <v>386335</v>
      </c>
      <c r="G461">
        <v>-129484</v>
      </c>
      <c r="H461">
        <v>88056</v>
      </c>
      <c r="I461">
        <v>386335</v>
      </c>
      <c r="J461">
        <v>38633</v>
      </c>
      <c r="K461">
        <v>19316</v>
      </c>
      <c r="L461">
        <v>171630</v>
      </c>
      <c r="M461">
        <v>34326</v>
      </c>
      <c r="N461">
        <v>51489</v>
      </c>
      <c r="O461">
        <v>17163</v>
      </c>
      <c r="P461">
        <v>-68652</v>
      </c>
      <c r="Q461">
        <v>-42907</v>
      </c>
      <c r="R461">
        <v>146615</v>
      </c>
      <c r="S461">
        <v>43984</v>
      </c>
      <c r="T461">
        <v>14661</v>
      </c>
      <c r="U461">
        <v>8581</v>
      </c>
      <c r="V461">
        <v>5148</v>
      </c>
      <c r="W461">
        <v>3432</v>
      </c>
      <c r="X461">
        <v>17163</v>
      </c>
      <c r="Y461">
        <v>8581</v>
      </c>
      <c r="Z461">
        <v>7330</v>
      </c>
      <c r="AA461">
        <v>4398</v>
      </c>
      <c r="AB461">
        <v>2932</v>
      </c>
    </row>
    <row r="462" spans="1:28" x14ac:dyDescent="0.35">
      <c r="A462" t="s">
        <v>507</v>
      </c>
      <c r="B462" t="s">
        <v>9</v>
      </c>
      <c r="C462" t="s">
        <v>1</v>
      </c>
      <c r="D462" t="s">
        <v>10</v>
      </c>
      <c r="E462" t="s">
        <v>11</v>
      </c>
      <c r="F462">
        <v>339867</v>
      </c>
      <c r="G462">
        <v>-76981</v>
      </c>
      <c r="H462">
        <v>77059</v>
      </c>
      <c r="I462">
        <v>339867</v>
      </c>
      <c r="J462">
        <v>33986</v>
      </c>
      <c r="K462">
        <v>16993</v>
      </c>
      <c r="L462">
        <v>242565</v>
      </c>
      <c r="M462">
        <v>48513</v>
      </c>
      <c r="N462">
        <v>72769</v>
      </c>
      <c r="O462">
        <v>24256</v>
      </c>
      <c r="P462">
        <v>-97026</v>
      </c>
      <c r="Q462">
        <v>-60641</v>
      </c>
      <c r="R462">
        <v>224291</v>
      </c>
      <c r="S462">
        <v>67287</v>
      </c>
      <c r="T462">
        <v>22429</v>
      </c>
      <c r="U462">
        <v>12128</v>
      </c>
      <c r="V462">
        <v>7276</v>
      </c>
      <c r="W462">
        <v>4851</v>
      </c>
      <c r="X462">
        <v>24256</v>
      </c>
      <c r="Y462">
        <v>12128</v>
      </c>
      <c r="Z462">
        <v>11214</v>
      </c>
      <c r="AA462">
        <v>6728</v>
      </c>
      <c r="AB462">
        <v>4485</v>
      </c>
    </row>
    <row r="463" spans="1:28" x14ac:dyDescent="0.35">
      <c r="A463" t="s">
        <v>508</v>
      </c>
      <c r="B463" t="s">
        <v>9</v>
      </c>
      <c r="C463" t="s">
        <v>1</v>
      </c>
      <c r="D463" t="s">
        <v>10</v>
      </c>
      <c r="E463" t="s">
        <v>11</v>
      </c>
      <c r="F463">
        <v>123908</v>
      </c>
      <c r="G463">
        <v>-51183</v>
      </c>
      <c r="H463">
        <v>47962</v>
      </c>
      <c r="I463">
        <v>123908</v>
      </c>
      <c r="J463">
        <v>12390</v>
      </c>
      <c r="K463">
        <v>6195</v>
      </c>
      <c r="L463">
        <v>31426</v>
      </c>
      <c r="M463">
        <v>6285</v>
      </c>
      <c r="N463">
        <v>9427</v>
      </c>
      <c r="O463">
        <v>3142</v>
      </c>
      <c r="P463">
        <v>-12570</v>
      </c>
      <c r="Q463">
        <v>-7856</v>
      </c>
      <c r="R463">
        <v>28479</v>
      </c>
      <c r="S463">
        <v>8543</v>
      </c>
      <c r="T463">
        <v>2847</v>
      </c>
      <c r="U463">
        <v>1571</v>
      </c>
      <c r="V463">
        <v>942</v>
      </c>
      <c r="W463">
        <v>628</v>
      </c>
      <c r="X463">
        <v>3142</v>
      </c>
      <c r="Y463">
        <v>1571</v>
      </c>
      <c r="Z463">
        <v>1423</v>
      </c>
      <c r="AA463">
        <v>854</v>
      </c>
      <c r="AB463">
        <v>569</v>
      </c>
    </row>
    <row r="464" spans="1:28" x14ac:dyDescent="0.35">
      <c r="A464" t="s">
        <v>509</v>
      </c>
      <c r="B464" t="s">
        <v>9</v>
      </c>
      <c r="C464" t="s">
        <v>1</v>
      </c>
      <c r="D464" t="s">
        <v>10</v>
      </c>
      <c r="E464" t="s">
        <v>11</v>
      </c>
      <c r="F464">
        <v>488156</v>
      </c>
      <c r="G464">
        <v>-265743</v>
      </c>
      <c r="H464">
        <v>84231</v>
      </c>
      <c r="I464">
        <v>488156</v>
      </c>
      <c r="J464">
        <v>48815</v>
      </c>
      <c r="K464">
        <v>24407</v>
      </c>
      <c r="L464">
        <v>167640</v>
      </c>
      <c r="M464">
        <v>33528</v>
      </c>
      <c r="N464">
        <v>50292</v>
      </c>
      <c r="O464">
        <v>16764</v>
      </c>
      <c r="P464">
        <v>-67056</v>
      </c>
      <c r="Q464">
        <v>-41910</v>
      </c>
      <c r="R464">
        <v>136788</v>
      </c>
      <c r="S464">
        <v>41036</v>
      </c>
      <c r="T464">
        <v>13678</v>
      </c>
      <c r="U464">
        <v>8382</v>
      </c>
      <c r="V464">
        <v>5029</v>
      </c>
      <c r="W464">
        <v>3352</v>
      </c>
      <c r="X464">
        <v>16764</v>
      </c>
      <c r="Y464">
        <v>8382</v>
      </c>
      <c r="Z464">
        <v>6839</v>
      </c>
      <c r="AA464">
        <v>4103</v>
      </c>
      <c r="AB464">
        <v>2735</v>
      </c>
    </row>
    <row r="465" spans="1:28" x14ac:dyDescent="0.35">
      <c r="A465" t="s">
        <v>510</v>
      </c>
      <c r="B465" t="s">
        <v>9</v>
      </c>
      <c r="C465" t="s">
        <v>1</v>
      </c>
      <c r="D465" t="s">
        <v>10</v>
      </c>
      <c r="E465" t="s">
        <v>11</v>
      </c>
      <c r="F465">
        <v>421967</v>
      </c>
      <c r="G465">
        <v>-237724</v>
      </c>
      <c r="H465">
        <v>49838</v>
      </c>
      <c r="I465">
        <v>421967</v>
      </c>
      <c r="J465">
        <v>42196</v>
      </c>
      <c r="K465">
        <v>21098</v>
      </c>
      <c r="L465">
        <v>150265</v>
      </c>
      <c r="M465">
        <v>30053</v>
      </c>
      <c r="N465">
        <v>45079</v>
      </c>
      <c r="O465">
        <v>15026</v>
      </c>
      <c r="P465">
        <v>-60106</v>
      </c>
      <c r="Q465">
        <v>-37566</v>
      </c>
      <c r="R465">
        <v>174437</v>
      </c>
      <c r="S465">
        <v>52331</v>
      </c>
      <c r="T465">
        <v>17443</v>
      </c>
      <c r="U465">
        <v>7513</v>
      </c>
      <c r="V465">
        <v>4507</v>
      </c>
      <c r="W465">
        <v>3005</v>
      </c>
      <c r="X465">
        <v>15026</v>
      </c>
      <c r="Y465">
        <v>7513</v>
      </c>
      <c r="Z465">
        <v>8721</v>
      </c>
      <c r="AA465">
        <v>5233</v>
      </c>
      <c r="AB465">
        <v>3488</v>
      </c>
    </row>
    <row r="466" spans="1:28" x14ac:dyDescent="0.35">
      <c r="A466" t="s">
        <v>511</v>
      </c>
      <c r="B466" t="s">
        <v>9</v>
      </c>
      <c r="C466" t="s">
        <v>1</v>
      </c>
      <c r="D466" t="s">
        <v>10</v>
      </c>
      <c r="E466" t="s">
        <v>11</v>
      </c>
      <c r="F466">
        <v>262453</v>
      </c>
      <c r="G466">
        <v>-62324</v>
      </c>
      <c r="H466">
        <v>68713</v>
      </c>
      <c r="I466">
        <v>262453</v>
      </c>
      <c r="J466">
        <v>26245</v>
      </c>
      <c r="K466">
        <v>13122</v>
      </c>
      <c r="L466">
        <v>110872</v>
      </c>
      <c r="M466">
        <v>22174</v>
      </c>
      <c r="N466">
        <v>33261</v>
      </c>
      <c r="O466">
        <v>11087</v>
      </c>
      <c r="P466">
        <v>-44348</v>
      </c>
      <c r="Q466">
        <v>-27718</v>
      </c>
      <c r="R466">
        <v>118912</v>
      </c>
      <c r="S466">
        <v>35673</v>
      </c>
      <c r="T466">
        <v>11891</v>
      </c>
      <c r="U466">
        <v>5543</v>
      </c>
      <c r="V466">
        <v>3326</v>
      </c>
      <c r="W466">
        <v>2217</v>
      </c>
      <c r="X466">
        <v>11087</v>
      </c>
      <c r="Y466">
        <v>5543</v>
      </c>
      <c r="Z466">
        <v>5945</v>
      </c>
      <c r="AA466">
        <v>3567</v>
      </c>
      <c r="AB466">
        <v>2378</v>
      </c>
    </row>
    <row r="467" spans="1:28" x14ac:dyDescent="0.35">
      <c r="A467" t="s">
        <v>512</v>
      </c>
      <c r="B467" t="s">
        <v>9</v>
      </c>
      <c r="C467" t="s">
        <v>1</v>
      </c>
      <c r="D467" t="s">
        <v>10</v>
      </c>
      <c r="E467" t="s">
        <v>11</v>
      </c>
      <c r="F467">
        <v>257020</v>
      </c>
      <c r="G467">
        <v>-95347</v>
      </c>
      <c r="H467">
        <v>35051</v>
      </c>
      <c r="I467">
        <v>257020</v>
      </c>
      <c r="J467">
        <v>25702</v>
      </c>
      <c r="K467">
        <v>12851</v>
      </c>
      <c r="L467">
        <v>85445</v>
      </c>
      <c r="M467">
        <v>17089</v>
      </c>
      <c r="N467">
        <v>25633</v>
      </c>
      <c r="O467">
        <v>8544</v>
      </c>
      <c r="P467">
        <v>-34178</v>
      </c>
      <c r="Q467">
        <v>-21361</v>
      </c>
      <c r="R467">
        <v>88915</v>
      </c>
      <c r="S467">
        <v>26674</v>
      </c>
      <c r="T467">
        <v>8891</v>
      </c>
      <c r="U467">
        <v>4272</v>
      </c>
      <c r="V467">
        <v>2563</v>
      </c>
      <c r="W467">
        <v>1708</v>
      </c>
      <c r="X467">
        <v>8544</v>
      </c>
      <c r="Y467">
        <v>4272</v>
      </c>
      <c r="Z467">
        <v>4445</v>
      </c>
      <c r="AA467">
        <v>2667</v>
      </c>
      <c r="AB467">
        <v>1778</v>
      </c>
    </row>
    <row r="468" spans="1:28" x14ac:dyDescent="0.35">
      <c r="A468" t="s">
        <v>513</v>
      </c>
      <c r="B468" t="s">
        <v>9</v>
      </c>
      <c r="C468" t="s">
        <v>1</v>
      </c>
      <c r="D468" t="s">
        <v>10</v>
      </c>
      <c r="E468" t="s">
        <v>11</v>
      </c>
      <c r="F468">
        <v>119511</v>
      </c>
      <c r="G468">
        <v>-50632</v>
      </c>
      <c r="H468">
        <v>36819</v>
      </c>
      <c r="I468">
        <v>119511</v>
      </c>
      <c r="J468">
        <v>11951</v>
      </c>
      <c r="K468">
        <v>5975</v>
      </c>
      <c r="L468">
        <v>49344</v>
      </c>
      <c r="M468">
        <v>9868</v>
      </c>
      <c r="N468">
        <v>14803</v>
      </c>
      <c r="O468">
        <v>4934</v>
      </c>
      <c r="P468">
        <v>-19737</v>
      </c>
      <c r="Q468">
        <v>-12336</v>
      </c>
      <c r="R468">
        <v>56061</v>
      </c>
      <c r="S468">
        <v>16818</v>
      </c>
      <c r="T468">
        <v>5606</v>
      </c>
      <c r="U468">
        <v>2467</v>
      </c>
      <c r="V468">
        <v>1480</v>
      </c>
      <c r="W468">
        <v>986</v>
      </c>
      <c r="X468">
        <v>4934</v>
      </c>
      <c r="Y468">
        <v>2467</v>
      </c>
      <c r="Z468">
        <v>2803</v>
      </c>
      <c r="AA468">
        <v>1681</v>
      </c>
      <c r="AB468">
        <v>1121</v>
      </c>
    </row>
    <row r="469" spans="1:28" x14ac:dyDescent="0.35">
      <c r="A469" t="s">
        <v>514</v>
      </c>
      <c r="B469" t="s">
        <v>9</v>
      </c>
      <c r="C469" t="s">
        <v>1</v>
      </c>
      <c r="D469" t="s">
        <v>10</v>
      </c>
      <c r="E469" t="s">
        <v>11</v>
      </c>
      <c r="F469">
        <v>326302</v>
      </c>
      <c r="G469">
        <v>-77086</v>
      </c>
      <c r="H469">
        <v>144164</v>
      </c>
      <c r="I469">
        <v>326302</v>
      </c>
      <c r="J469">
        <v>32630</v>
      </c>
      <c r="K469">
        <v>16315</v>
      </c>
      <c r="L469">
        <v>144738</v>
      </c>
      <c r="M469">
        <v>28947</v>
      </c>
      <c r="N469">
        <v>43421</v>
      </c>
      <c r="O469">
        <v>14473</v>
      </c>
      <c r="P469">
        <v>-57895</v>
      </c>
      <c r="Q469">
        <v>-36184</v>
      </c>
      <c r="R469">
        <v>130326</v>
      </c>
      <c r="S469">
        <v>39097</v>
      </c>
      <c r="T469">
        <v>13032</v>
      </c>
      <c r="U469">
        <v>7236</v>
      </c>
      <c r="V469">
        <v>4342</v>
      </c>
      <c r="W469">
        <v>2894</v>
      </c>
      <c r="X469">
        <v>14473</v>
      </c>
      <c r="Y469">
        <v>7236</v>
      </c>
      <c r="Z469">
        <v>6516</v>
      </c>
      <c r="AA469">
        <v>3909</v>
      </c>
      <c r="AB469">
        <v>2606</v>
      </c>
    </row>
    <row r="470" spans="1:28" x14ac:dyDescent="0.35">
      <c r="A470" t="s">
        <v>515</v>
      </c>
      <c r="B470" t="s">
        <v>9</v>
      </c>
      <c r="C470" t="s">
        <v>1</v>
      </c>
      <c r="D470" t="s">
        <v>10</v>
      </c>
      <c r="E470" t="s">
        <v>11</v>
      </c>
      <c r="F470">
        <v>395979</v>
      </c>
      <c r="G470">
        <v>-82730</v>
      </c>
      <c r="H470">
        <v>162461</v>
      </c>
      <c r="I470">
        <v>395979</v>
      </c>
      <c r="J470">
        <v>39597</v>
      </c>
      <c r="K470">
        <v>19798</v>
      </c>
      <c r="L470">
        <v>112822</v>
      </c>
      <c r="M470">
        <v>22564</v>
      </c>
      <c r="N470">
        <v>33846</v>
      </c>
      <c r="O470">
        <v>11282</v>
      </c>
      <c r="P470">
        <v>-45128</v>
      </c>
      <c r="Q470">
        <v>-28205</v>
      </c>
      <c r="R470">
        <v>123918</v>
      </c>
      <c r="S470">
        <v>37175</v>
      </c>
      <c r="T470">
        <v>12391</v>
      </c>
      <c r="U470">
        <v>5641</v>
      </c>
      <c r="V470">
        <v>3384</v>
      </c>
      <c r="W470">
        <v>2256</v>
      </c>
      <c r="X470">
        <v>11282</v>
      </c>
      <c r="Y470">
        <v>5641</v>
      </c>
      <c r="Z470">
        <v>6195</v>
      </c>
      <c r="AA470">
        <v>3717</v>
      </c>
      <c r="AB470">
        <v>2478</v>
      </c>
    </row>
    <row r="471" spans="1:28" x14ac:dyDescent="0.35">
      <c r="A471" t="s">
        <v>516</v>
      </c>
      <c r="B471" t="s">
        <v>9</v>
      </c>
      <c r="C471" t="s">
        <v>1</v>
      </c>
      <c r="D471" t="s">
        <v>10</v>
      </c>
      <c r="E471" t="s">
        <v>11</v>
      </c>
      <c r="F471">
        <v>407729</v>
      </c>
      <c r="G471">
        <v>-124784</v>
      </c>
      <c r="H471">
        <v>175582</v>
      </c>
      <c r="I471">
        <v>407729</v>
      </c>
      <c r="J471">
        <v>40772</v>
      </c>
      <c r="K471">
        <v>20386</v>
      </c>
      <c r="L471">
        <v>217537</v>
      </c>
      <c r="M471">
        <v>43507</v>
      </c>
      <c r="N471">
        <v>65261</v>
      </c>
      <c r="O471">
        <v>21753</v>
      </c>
      <c r="P471">
        <v>-87014</v>
      </c>
      <c r="Q471">
        <v>-54384</v>
      </c>
      <c r="R471">
        <v>190469</v>
      </c>
      <c r="S471">
        <v>57140</v>
      </c>
      <c r="T471">
        <v>19046</v>
      </c>
      <c r="U471">
        <v>10876</v>
      </c>
      <c r="V471">
        <v>6526</v>
      </c>
      <c r="W471">
        <v>4350</v>
      </c>
      <c r="X471">
        <v>21753</v>
      </c>
      <c r="Y471">
        <v>10876</v>
      </c>
      <c r="Z471">
        <v>9523</v>
      </c>
      <c r="AA471">
        <v>5714</v>
      </c>
      <c r="AB471">
        <v>3809</v>
      </c>
    </row>
    <row r="472" spans="1:28" x14ac:dyDescent="0.35">
      <c r="A472" t="s">
        <v>517</v>
      </c>
      <c r="B472" t="s">
        <v>9</v>
      </c>
      <c r="C472" t="s">
        <v>1</v>
      </c>
      <c r="D472" t="s">
        <v>10</v>
      </c>
      <c r="E472" t="s">
        <v>11</v>
      </c>
      <c r="F472">
        <v>174850</v>
      </c>
      <c r="G472">
        <v>-86405</v>
      </c>
      <c r="H472">
        <v>56715</v>
      </c>
      <c r="I472">
        <v>174850</v>
      </c>
      <c r="J472">
        <v>17485</v>
      </c>
      <c r="K472">
        <v>8742</v>
      </c>
      <c r="L472">
        <v>49620</v>
      </c>
      <c r="M472">
        <v>9924</v>
      </c>
      <c r="N472">
        <v>14886</v>
      </c>
      <c r="O472">
        <v>4962</v>
      </c>
      <c r="P472">
        <v>-19848</v>
      </c>
      <c r="Q472">
        <v>-12405</v>
      </c>
      <c r="R472">
        <v>40422</v>
      </c>
      <c r="S472">
        <v>12126</v>
      </c>
      <c r="T472">
        <v>4042</v>
      </c>
      <c r="U472">
        <v>2481</v>
      </c>
      <c r="V472">
        <v>1488</v>
      </c>
      <c r="W472">
        <v>992</v>
      </c>
      <c r="X472">
        <v>4962</v>
      </c>
      <c r="Y472">
        <v>2481</v>
      </c>
      <c r="Z472">
        <v>2021</v>
      </c>
      <c r="AA472">
        <v>1212</v>
      </c>
      <c r="AB472">
        <v>808</v>
      </c>
    </row>
    <row r="473" spans="1:28" x14ac:dyDescent="0.35">
      <c r="A473" t="s">
        <v>518</v>
      </c>
      <c r="B473" t="s">
        <v>9</v>
      </c>
      <c r="C473" t="s">
        <v>1</v>
      </c>
      <c r="D473" t="s">
        <v>10</v>
      </c>
      <c r="E473" t="s">
        <v>11</v>
      </c>
      <c r="F473">
        <v>310054</v>
      </c>
      <c r="G473">
        <v>-90011</v>
      </c>
      <c r="H473">
        <v>92688</v>
      </c>
      <c r="I473">
        <v>310054</v>
      </c>
      <c r="J473">
        <v>31005</v>
      </c>
      <c r="K473">
        <v>15502</v>
      </c>
      <c r="L473">
        <v>86843</v>
      </c>
      <c r="M473">
        <v>17368</v>
      </c>
      <c r="N473">
        <v>26052</v>
      </c>
      <c r="O473">
        <v>8684</v>
      </c>
      <c r="P473">
        <v>-34737</v>
      </c>
      <c r="Q473">
        <v>-21710</v>
      </c>
      <c r="R473">
        <v>72104</v>
      </c>
      <c r="S473">
        <v>21631</v>
      </c>
      <c r="T473">
        <v>7210</v>
      </c>
      <c r="U473">
        <v>4342</v>
      </c>
      <c r="V473">
        <v>2605</v>
      </c>
      <c r="W473">
        <v>1736</v>
      </c>
      <c r="X473">
        <v>8684</v>
      </c>
      <c r="Y473">
        <v>4342</v>
      </c>
      <c r="Z473">
        <v>3605</v>
      </c>
      <c r="AA473">
        <v>2163</v>
      </c>
      <c r="AB473">
        <v>1442</v>
      </c>
    </row>
    <row r="474" spans="1:28" x14ac:dyDescent="0.35">
      <c r="A474" t="s">
        <v>519</v>
      </c>
      <c r="B474" t="s">
        <v>9</v>
      </c>
      <c r="C474" t="s">
        <v>1</v>
      </c>
      <c r="D474" t="s">
        <v>10</v>
      </c>
      <c r="E474" t="s">
        <v>11</v>
      </c>
      <c r="F474">
        <v>261385</v>
      </c>
      <c r="G474">
        <v>-57578</v>
      </c>
      <c r="H474">
        <v>122345</v>
      </c>
      <c r="I474">
        <v>261385</v>
      </c>
      <c r="J474">
        <v>26138</v>
      </c>
      <c r="K474">
        <v>13069</v>
      </c>
      <c r="L474">
        <v>168268</v>
      </c>
      <c r="M474">
        <v>33653</v>
      </c>
      <c r="N474">
        <v>50480</v>
      </c>
      <c r="O474">
        <v>16826</v>
      </c>
      <c r="P474">
        <v>-67307</v>
      </c>
      <c r="Q474">
        <v>-42067</v>
      </c>
      <c r="R474">
        <v>201645</v>
      </c>
      <c r="S474">
        <v>60493</v>
      </c>
      <c r="T474">
        <v>20164</v>
      </c>
      <c r="U474">
        <v>8413</v>
      </c>
      <c r="V474">
        <v>5048</v>
      </c>
      <c r="W474">
        <v>3365</v>
      </c>
      <c r="X474">
        <v>16826</v>
      </c>
      <c r="Y474">
        <v>8413</v>
      </c>
      <c r="Z474">
        <v>10082</v>
      </c>
      <c r="AA474">
        <v>6049</v>
      </c>
      <c r="AB474">
        <v>4032</v>
      </c>
    </row>
    <row r="475" spans="1:28" x14ac:dyDescent="0.35">
      <c r="A475" t="s">
        <v>520</v>
      </c>
      <c r="B475" t="s">
        <v>9</v>
      </c>
      <c r="C475" t="s">
        <v>1</v>
      </c>
      <c r="D475" t="s">
        <v>10</v>
      </c>
      <c r="E475" t="s">
        <v>11</v>
      </c>
      <c r="F475">
        <v>69635</v>
      </c>
      <c r="G475">
        <v>-38820</v>
      </c>
      <c r="H475">
        <v>20694</v>
      </c>
      <c r="I475">
        <v>69635</v>
      </c>
      <c r="J475">
        <v>6963</v>
      </c>
      <c r="K475">
        <v>3481</v>
      </c>
      <c r="L475">
        <v>36483</v>
      </c>
      <c r="M475">
        <v>7296</v>
      </c>
      <c r="N475">
        <v>10944</v>
      </c>
      <c r="O475">
        <v>3648</v>
      </c>
      <c r="P475">
        <v>-14593</v>
      </c>
      <c r="Q475">
        <v>-9120</v>
      </c>
      <c r="R475">
        <v>31658</v>
      </c>
      <c r="S475">
        <v>9497</v>
      </c>
      <c r="T475">
        <v>3165</v>
      </c>
      <c r="U475">
        <v>1824</v>
      </c>
      <c r="V475">
        <v>1094</v>
      </c>
      <c r="W475">
        <v>729</v>
      </c>
      <c r="X475">
        <v>3648</v>
      </c>
      <c r="Y475">
        <v>1824</v>
      </c>
      <c r="Z475">
        <v>1582</v>
      </c>
      <c r="AA475">
        <v>949</v>
      </c>
      <c r="AB475">
        <v>633</v>
      </c>
    </row>
    <row r="476" spans="1:28" x14ac:dyDescent="0.35">
      <c r="A476" t="s">
        <v>521</v>
      </c>
      <c r="B476" t="s">
        <v>9</v>
      </c>
      <c r="C476" t="s">
        <v>1</v>
      </c>
      <c r="D476" t="s">
        <v>10</v>
      </c>
      <c r="E476" t="s">
        <v>11</v>
      </c>
      <c r="F476">
        <v>162618</v>
      </c>
      <c r="G476">
        <v>-77600</v>
      </c>
      <c r="H476">
        <v>79735</v>
      </c>
      <c r="I476">
        <v>162618</v>
      </c>
      <c r="J476">
        <v>16261</v>
      </c>
      <c r="K476">
        <v>8130</v>
      </c>
      <c r="L476">
        <v>73364</v>
      </c>
      <c r="M476">
        <v>14672</v>
      </c>
      <c r="N476">
        <v>22009</v>
      </c>
      <c r="O476">
        <v>7336</v>
      </c>
      <c r="P476">
        <v>-29345</v>
      </c>
      <c r="Q476">
        <v>-18341</v>
      </c>
      <c r="R476">
        <v>66864</v>
      </c>
      <c r="S476">
        <v>20059</v>
      </c>
      <c r="T476">
        <v>6686</v>
      </c>
      <c r="U476">
        <v>3668</v>
      </c>
      <c r="V476">
        <v>2200</v>
      </c>
      <c r="W476">
        <v>1467</v>
      </c>
      <c r="X476">
        <v>7336</v>
      </c>
      <c r="Y476">
        <v>3668</v>
      </c>
      <c r="Z476">
        <v>3343</v>
      </c>
      <c r="AA476">
        <v>2005</v>
      </c>
      <c r="AB476">
        <v>1337</v>
      </c>
    </row>
    <row r="477" spans="1:28" x14ac:dyDescent="0.35">
      <c r="A477" t="s">
        <v>522</v>
      </c>
      <c r="B477" t="s">
        <v>9</v>
      </c>
      <c r="C477" t="s">
        <v>1</v>
      </c>
      <c r="D477" t="s">
        <v>10</v>
      </c>
      <c r="E477" t="s">
        <v>11</v>
      </c>
      <c r="F477">
        <v>245311</v>
      </c>
      <c r="G477">
        <v>-53005</v>
      </c>
      <c r="H477">
        <v>39251</v>
      </c>
      <c r="I477">
        <v>245311</v>
      </c>
      <c r="J477">
        <v>24531</v>
      </c>
      <c r="K477">
        <v>12265</v>
      </c>
      <c r="L477">
        <v>142992</v>
      </c>
      <c r="M477">
        <v>28598</v>
      </c>
      <c r="N477">
        <v>42897</v>
      </c>
      <c r="O477">
        <v>14299</v>
      </c>
      <c r="P477">
        <v>-57196</v>
      </c>
      <c r="Q477">
        <v>-35748</v>
      </c>
      <c r="R477">
        <v>115334</v>
      </c>
      <c r="S477">
        <v>34600</v>
      </c>
      <c r="T477">
        <v>11533</v>
      </c>
      <c r="U477">
        <v>7149</v>
      </c>
      <c r="V477">
        <v>4289</v>
      </c>
      <c r="W477">
        <v>2859</v>
      </c>
      <c r="X477">
        <v>14299</v>
      </c>
      <c r="Y477">
        <v>7149</v>
      </c>
      <c r="Z477">
        <v>5766</v>
      </c>
      <c r="AA477">
        <v>3460</v>
      </c>
      <c r="AB477">
        <v>2306</v>
      </c>
    </row>
    <row r="478" spans="1:28" x14ac:dyDescent="0.35">
      <c r="A478" t="s">
        <v>523</v>
      </c>
      <c r="B478" t="s">
        <v>9</v>
      </c>
      <c r="C478" t="s">
        <v>1</v>
      </c>
      <c r="D478" t="s">
        <v>10</v>
      </c>
      <c r="E478" t="s">
        <v>11</v>
      </c>
      <c r="F478">
        <v>133380</v>
      </c>
      <c r="G478">
        <v>-52400</v>
      </c>
      <c r="H478">
        <v>61693</v>
      </c>
      <c r="I478">
        <v>133380</v>
      </c>
      <c r="J478">
        <v>13338</v>
      </c>
      <c r="K478">
        <v>6669</v>
      </c>
      <c r="L478">
        <v>90707</v>
      </c>
      <c r="M478">
        <v>18141</v>
      </c>
      <c r="N478">
        <v>27212</v>
      </c>
      <c r="O478">
        <v>9070</v>
      </c>
      <c r="P478">
        <v>-36282</v>
      </c>
      <c r="Q478">
        <v>-22676</v>
      </c>
      <c r="R478">
        <v>89042</v>
      </c>
      <c r="S478">
        <v>26712</v>
      </c>
      <c r="T478">
        <v>8904</v>
      </c>
      <c r="U478">
        <v>4535</v>
      </c>
      <c r="V478">
        <v>2721</v>
      </c>
      <c r="W478">
        <v>1814</v>
      </c>
      <c r="X478">
        <v>9070</v>
      </c>
      <c r="Y478">
        <v>4535</v>
      </c>
      <c r="Z478">
        <v>4452</v>
      </c>
      <c r="AA478">
        <v>2671</v>
      </c>
      <c r="AB478">
        <v>1780</v>
      </c>
    </row>
    <row r="479" spans="1:28" x14ac:dyDescent="0.35">
      <c r="A479" t="s">
        <v>524</v>
      </c>
      <c r="B479" t="s">
        <v>9</v>
      </c>
      <c r="C479" t="s">
        <v>1</v>
      </c>
      <c r="D479" t="s">
        <v>10</v>
      </c>
      <c r="E479" t="s">
        <v>11</v>
      </c>
      <c r="F479">
        <v>199162</v>
      </c>
      <c r="G479">
        <v>-110217</v>
      </c>
      <c r="H479">
        <v>54239</v>
      </c>
      <c r="I479">
        <v>199162</v>
      </c>
      <c r="J479">
        <v>19916</v>
      </c>
      <c r="K479">
        <v>9958</v>
      </c>
      <c r="L479">
        <v>56589</v>
      </c>
      <c r="M479">
        <v>11317</v>
      </c>
      <c r="N479">
        <v>16976</v>
      </c>
      <c r="O479">
        <v>5658</v>
      </c>
      <c r="P479">
        <v>-22635</v>
      </c>
      <c r="Q479">
        <v>-14147</v>
      </c>
      <c r="R479">
        <v>46758</v>
      </c>
      <c r="S479">
        <v>14027</v>
      </c>
      <c r="T479">
        <v>4675</v>
      </c>
      <c r="U479">
        <v>2829</v>
      </c>
      <c r="V479">
        <v>1697</v>
      </c>
      <c r="W479">
        <v>1131</v>
      </c>
      <c r="X479">
        <v>5658</v>
      </c>
      <c r="Y479">
        <v>2829</v>
      </c>
      <c r="Z479">
        <v>2337</v>
      </c>
      <c r="AA479">
        <v>1402</v>
      </c>
      <c r="AB479">
        <v>935</v>
      </c>
    </row>
    <row r="480" spans="1:28" x14ac:dyDescent="0.35">
      <c r="A480" t="s">
        <v>525</v>
      </c>
      <c r="B480" t="s">
        <v>9</v>
      </c>
      <c r="C480" t="s">
        <v>1</v>
      </c>
      <c r="D480" t="s">
        <v>10</v>
      </c>
      <c r="E480" t="s">
        <v>11</v>
      </c>
      <c r="F480">
        <v>482165</v>
      </c>
      <c r="G480">
        <v>-217712</v>
      </c>
      <c r="H480">
        <v>95629</v>
      </c>
      <c r="I480">
        <v>482165</v>
      </c>
      <c r="J480">
        <v>48216</v>
      </c>
      <c r="K480">
        <v>24108</v>
      </c>
      <c r="L480">
        <v>358475</v>
      </c>
      <c r="M480">
        <v>71695</v>
      </c>
      <c r="N480">
        <v>107542</v>
      </c>
      <c r="O480">
        <v>35847</v>
      </c>
      <c r="P480">
        <v>-143390</v>
      </c>
      <c r="Q480">
        <v>-89618</v>
      </c>
      <c r="R480">
        <v>345820</v>
      </c>
      <c r="S480">
        <v>103746</v>
      </c>
      <c r="T480">
        <v>34582</v>
      </c>
      <c r="U480">
        <v>17923</v>
      </c>
      <c r="V480">
        <v>10754</v>
      </c>
      <c r="W480">
        <v>7169</v>
      </c>
      <c r="X480">
        <v>35847</v>
      </c>
      <c r="Y480">
        <v>17923</v>
      </c>
      <c r="Z480">
        <v>17291</v>
      </c>
      <c r="AA480">
        <v>10374</v>
      </c>
      <c r="AB480">
        <v>6916</v>
      </c>
    </row>
    <row r="481" spans="1:28" x14ac:dyDescent="0.35">
      <c r="A481" t="s">
        <v>526</v>
      </c>
      <c r="B481" t="s">
        <v>9</v>
      </c>
      <c r="C481" t="s">
        <v>1</v>
      </c>
      <c r="D481" t="s">
        <v>10</v>
      </c>
      <c r="E481" t="s">
        <v>11</v>
      </c>
      <c r="F481">
        <v>438132</v>
      </c>
      <c r="G481">
        <v>-135081</v>
      </c>
      <c r="H481">
        <v>136510</v>
      </c>
      <c r="I481">
        <v>438132</v>
      </c>
      <c r="J481">
        <v>43813</v>
      </c>
      <c r="K481">
        <v>21906</v>
      </c>
      <c r="L481">
        <v>101686</v>
      </c>
      <c r="M481">
        <v>20337</v>
      </c>
      <c r="N481">
        <v>30505</v>
      </c>
      <c r="O481">
        <v>10168</v>
      </c>
      <c r="P481">
        <v>-40674</v>
      </c>
      <c r="Q481">
        <v>-25421</v>
      </c>
      <c r="R481">
        <v>105466</v>
      </c>
      <c r="S481">
        <v>31639</v>
      </c>
      <c r="T481">
        <v>10546</v>
      </c>
      <c r="U481">
        <v>5084</v>
      </c>
      <c r="V481">
        <v>3050</v>
      </c>
      <c r="W481">
        <v>2033</v>
      </c>
      <c r="X481">
        <v>10168</v>
      </c>
      <c r="Y481">
        <v>5084</v>
      </c>
      <c r="Z481">
        <v>5273</v>
      </c>
      <c r="AA481">
        <v>3163</v>
      </c>
      <c r="AB481">
        <v>2109</v>
      </c>
    </row>
    <row r="482" spans="1:28" x14ac:dyDescent="0.35">
      <c r="A482" t="s">
        <v>527</v>
      </c>
      <c r="B482" t="s">
        <v>9</v>
      </c>
      <c r="C482" t="s">
        <v>1</v>
      </c>
      <c r="D482" t="s">
        <v>10</v>
      </c>
      <c r="E482" t="s">
        <v>11</v>
      </c>
      <c r="F482">
        <v>69352</v>
      </c>
      <c r="G482">
        <v>-35531</v>
      </c>
      <c r="H482">
        <v>8160</v>
      </c>
      <c r="I482">
        <v>69352</v>
      </c>
      <c r="J482">
        <v>6935</v>
      </c>
      <c r="K482">
        <v>3467</v>
      </c>
      <c r="L482">
        <v>34317</v>
      </c>
      <c r="M482">
        <v>6863</v>
      </c>
      <c r="N482">
        <v>10295</v>
      </c>
      <c r="O482">
        <v>3431</v>
      </c>
      <c r="P482">
        <v>-13726</v>
      </c>
      <c r="Q482">
        <v>-8579</v>
      </c>
      <c r="R482">
        <v>39484</v>
      </c>
      <c r="S482">
        <v>11845</v>
      </c>
      <c r="T482">
        <v>3948</v>
      </c>
      <c r="U482">
        <v>1715</v>
      </c>
      <c r="V482">
        <v>1029</v>
      </c>
      <c r="W482">
        <v>686</v>
      </c>
      <c r="X482">
        <v>3431</v>
      </c>
      <c r="Y482">
        <v>1715</v>
      </c>
      <c r="Z482">
        <v>1974</v>
      </c>
      <c r="AA482">
        <v>1184</v>
      </c>
      <c r="AB482">
        <v>789</v>
      </c>
    </row>
    <row r="483" spans="1:28" x14ac:dyDescent="0.35">
      <c r="A483" t="s">
        <v>528</v>
      </c>
      <c r="B483" t="s">
        <v>9</v>
      </c>
      <c r="C483" t="s">
        <v>1</v>
      </c>
      <c r="D483" t="s">
        <v>10</v>
      </c>
      <c r="E483" t="s">
        <v>11</v>
      </c>
      <c r="F483">
        <v>406819</v>
      </c>
      <c r="G483">
        <v>-113298</v>
      </c>
      <c r="H483">
        <v>199085</v>
      </c>
      <c r="I483">
        <v>406819</v>
      </c>
      <c r="J483">
        <v>40681</v>
      </c>
      <c r="K483">
        <v>20340</v>
      </c>
      <c r="L483">
        <v>84161</v>
      </c>
      <c r="M483">
        <v>16832</v>
      </c>
      <c r="N483">
        <v>25248</v>
      </c>
      <c r="O483">
        <v>8416</v>
      </c>
      <c r="P483">
        <v>-33664</v>
      </c>
      <c r="Q483">
        <v>-21040</v>
      </c>
      <c r="R483">
        <v>67631</v>
      </c>
      <c r="S483">
        <v>20289</v>
      </c>
      <c r="T483">
        <v>6763</v>
      </c>
      <c r="U483">
        <v>4208</v>
      </c>
      <c r="V483">
        <v>2524</v>
      </c>
      <c r="W483">
        <v>1683</v>
      </c>
      <c r="X483">
        <v>8416</v>
      </c>
      <c r="Y483">
        <v>4208</v>
      </c>
      <c r="Z483">
        <v>3381</v>
      </c>
      <c r="AA483">
        <v>2028</v>
      </c>
      <c r="AB483">
        <v>1352</v>
      </c>
    </row>
    <row r="484" spans="1:28" x14ac:dyDescent="0.35">
      <c r="A484" t="s">
        <v>529</v>
      </c>
      <c r="B484" t="s">
        <v>9</v>
      </c>
      <c r="C484" t="s">
        <v>1</v>
      </c>
      <c r="D484" t="s">
        <v>10</v>
      </c>
      <c r="E484" t="s">
        <v>11</v>
      </c>
      <c r="F484">
        <v>470127</v>
      </c>
      <c r="G484">
        <v>-153491</v>
      </c>
      <c r="H484">
        <v>130245</v>
      </c>
      <c r="I484">
        <v>470127</v>
      </c>
      <c r="J484">
        <v>47012</v>
      </c>
      <c r="K484">
        <v>23506</v>
      </c>
      <c r="L484">
        <v>333219</v>
      </c>
      <c r="M484">
        <v>66643</v>
      </c>
      <c r="N484">
        <v>99965</v>
      </c>
      <c r="O484">
        <v>33321</v>
      </c>
      <c r="P484">
        <v>-133287</v>
      </c>
      <c r="Q484">
        <v>-83304</v>
      </c>
      <c r="R484">
        <v>372632</v>
      </c>
      <c r="S484">
        <v>111789</v>
      </c>
      <c r="T484">
        <v>37263</v>
      </c>
      <c r="U484">
        <v>16660</v>
      </c>
      <c r="V484">
        <v>9996</v>
      </c>
      <c r="W484">
        <v>6664</v>
      </c>
      <c r="X484">
        <v>33321</v>
      </c>
      <c r="Y484">
        <v>16660</v>
      </c>
      <c r="Z484">
        <v>18631</v>
      </c>
      <c r="AA484">
        <v>11178</v>
      </c>
      <c r="AB484">
        <v>7452</v>
      </c>
    </row>
    <row r="485" spans="1:28" x14ac:dyDescent="0.35">
      <c r="A485" t="s">
        <v>530</v>
      </c>
      <c r="B485" t="s">
        <v>9</v>
      </c>
      <c r="C485" t="s">
        <v>1</v>
      </c>
      <c r="D485" t="s">
        <v>10</v>
      </c>
      <c r="E485" t="s">
        <v>11</v>
      </c>
      <c r="F485">
        <v>415608</v>
      </c>
      <c r="G485">
        <v>-165582</v>
      </c>
      <c r="H485">
        <v>96085</v>
      </c>
      <c r="I485">
        <v>415608</v>
      </c>
      <c r="J485">
        <v>41560</v>
      </c>
      <c r="K485">
        <v>20780</v>
      </c>
      <c r="L485">
        <v>283132</v>
      </c>
      <c r="M485">
        <v>56626</v>
      </c>
      <c r="N485">
        <v>84939</v>
      </c>
      <c r="O485">
        <v>28313</v>
      </c>
      <c r="P485">
        <v>-113252</v>
      </c>
      <c r="Q485">
        <v>-70783</v>
      </c>
      <c r="R485">
        <v>337149</v>
      </c>
      <c r="S485">
        <v>101144</v>
      </c>
      <c r="T485">
        <v>33714</v>
      </c>
      <c r="U485">
        <v>14156</v>
      </c>
      <c r="V485">
        <v>8493</v>
      </c>
      <c r="W485">
        <v>5662</v>
      </c>
      <c r="X485">
        <v>28313</v>
      </c>
      <c r="Y485">
        <v>14156</v>
      </c>
      <c r="Z485">
        <v>16857</v>
      </c>
      <c r="AA485">
        <v>10114</v>
      </c>
      <c r="AB485">
        <v>6742</v>
      </c>
    </row>
    <row r="486" spans="1:28" x14ac:dyDescent="0.35">
      <c r="A486" t="s">
        <v>531</v>
      </c>
      <c r="B486" t="s">
        <v>9</v>
      </c>
      <c r="C486" t="s">
        <v>1</v>
      </c>
      <c r="D486" t="s">
        <v>10</v>
      </c>
      <c r="E486" t="s">
        <v>11</v>
      </c>
      <c r="F486">
        <v>205034</v>
      </c>
      <c r="G486">
        <v>-86215</v>
      </c>
      <c r="H486">
        <v>50851</v>
      </c>
      <c r="I486">
        <v>205034</v>
      </c>
      <c r="J486">
        <v>20503</v>
      </c>
      <c r="K486">
        <v>10251</v>
      </c>
      <c r="L486">
        <v>135649</v>
      </c>
      <c r="M486">
        <v>27129</v>
      </c>
      <c r="N486">
        <v>40694</v>
      </c>
      <c r="O486">
        <v>13564</v>
      </c>
      <c r="P486">
        <v>-54259</v>
      </c>
      <c r="Q486">
        <v>-33912</v>
      </c>
      <c r="R486">
        <v>161042</v>
      </c>
      <c r="S486">
        <v>48312</v>
      </c>
      <c r="T486">
        <v>16104</v>
      </c>
      <c r="U486">
        <v>6782</v>
      </c>
      <c r="V486">
        <v>4069</v>
      </c>
      <c r="W486">
        <v>2712</v>
      </c>
      <c r="X486">
        <v>13564</v>
      </c>
      <c r="Y486">
        <v>6782</v>
      </c>
      <c r="Z486">
        <v>8052</v>
      </c>
      <c r="AA486">
        <v>4831</v>
      </c>
      <c r="AB486">
        <v>3220</v>
      </c>
    </row>
    <row r="487" spans="1:28" x14ac:dyDescent="0.35">
      <c r="A487" t="s">
        <v>532</v>
      </c>
      <c r="B487" t="s">
        <v>9</v>
      </c>
      <c r="C487" t="s">
        <v>1</v>
      </c>
      <c r="D487" t="s">
        <v>10</v>
      </c>
      <c r="E487" t="s">
        <v>11</v>
      </c>
      <c r="F487">
        <v>388085</v>
      </c>
      <c r="G487">
        <v>-144260</v>
      </c>
      <c r="H487">
        <v>91271</v>
      </c>
      <c r="I487">
        <v>388085</v>
      </c>
      <c r="J487">
        <v>38808</v>
      </c>
      <c r="K487">
        <v>19404</v>
      </c>
      <c r="L487">
        <v>201415</v>
      </c>
      <c r="M487">
        <v>40283</v>
      </c>
      <c r="N487">
        <v>60424</v>
      </c>
      <c r="O487">
        <v>20141</v>
      </c>
      <c r="P487">
        <v>-80566</v>
      </c>
      <c r="Q487">
        <v>-50353</v>
      </c>
      <c r="R487">
        <v>209103</v>
      </c>
      <c r="S487">
        <v>62730</v>
      </c>
      <c r="T487">
        <v>20910</v>
      </c>
      <c r="U487">
        <v>10070</v>
      </c>
      <c r="V487">
        <v>6042</v>
      </c>
      <c r="W487">
        <v>4028</v>
      </c>
      <c r="X487">
        <v>20141</v>
      </c>
      <c r="Y487">
        <v>10070</v>
      </c>
      <c r="Z487">
        <v>10455</v>
      </c>
      <c r="AA487">
        <v>6273</v>
      </c>
      <c r="AB487">
        <v>4182</v>
      </c>
    </row>
    <row r="488" spans="1:28" x14ac:dyDescent="0.35">
      <c r="A488" t="s">
        <v>533</v>
      </c>
      <c r="B488" t="s">
        <v>9</v>
      </c>
      <c r="C488" t="s">
        <v>1</v>
      </c>
      <c r="D488" t="s">
        <v>10</v>
      </c>
      <c r="E488" t="s">
        <v>11</v>
      </c>
      <c r="F488">
        <v>341551</v>
      </c>
      <c r="G488">
        <v>-73139</v>
      </c>
      <c r="H488">
        <v>105764</v>
      </c>
      <c r="I488">
        <v>341551</v>
      </c>
      <c r="J488">
        <v>34155</v>
      </c>
      <c r="K488">
        <v>17077</v>
      </c>
      <c r="L488">
        <v>179374</v>
      </c>
      <c r="M488">
        <v>35874</v>
      </c>
      <c r="N488">
        <v>53812</v>
      </c>
      <c r="O488">
        <v>17937</v>
      </c>
      <c r="P488">
        <v>-71749</v>
      </c>
      <c r="Q488">
        <v>-44843</v>
      </c>
      <c r="R488">
        <v>172536</v>
      </c>
      <c r="S488">
        <v>51760</v>
      </c>
      <c r="T488">
        <v>17253</v>
      </c>
      <c r="U488">
        <v>8968</v>
      </c>
      <c r="V488">
        <v>5381</v>
      </c>
      <c r="W488">
        <v>3587</v>
      </c>
      <c r="X488">
        <v>17937</v>
      </c>
      <c r="Y488">
        <v>8968</v>
      </c>
      <c r="Z488">
        <v>8626</v>
      </c>
      <c r="AA488">
        <v>5176</v>
      </c>
      <c r="AB488">
        <v>3450</v>
      </c>
    </row>
    <row r="489" spans="1:28" x14ac:dyDescent="0.35">
      <c r="A489" t="s">
        <v>534</v>
      </c>
      <c r="B489" t="s">
        <v>9</v>
      </c>
      <c r="C489" t="s">
        <v>1</v>
      </c>
      <c r="D489" t="s">
        <v>10</v>
      </c>
      <c r="E489" t="s">
        <v>11</v>
      </c>
      <c r="F489">
        <v>427831</v>
      </c>
      <c r="G489">
        <v>-180388</v>
      </c>
      <c r="H489">
        <v>201755</v>
      </c>
      <c r="I489">
        <v>427831</v>
      </c>
      <c r="J489">
        <v>42783</v>
      </c>
      <c r="K489">
        <v>21391</v>
      </c>
      <c r="L489">
        <v>258194</v>
      </c>
      <c r="M489">
        <v>51638</v>
      </c>
      <c r="N489">
        <v>77458</v>
      </c>
      <c r="O489">
        <v>25819</v>
      </c>
      <c r="P489">
        <v>-103277</v>
      </c>
      <c r="Q489">
        <v>-64548</v>
      </c>
      <c r="R489">
        <v>232021</v>
      </c>
      <c r="S489">
        <v>69606</v>
      </c>
      <c r="T489">
        <v>23202</v>
      </c>
      <c r="U489">
        <v>12909</v>
      </c>
      <c r="V489">
        <v>7745</v>
      </c>
      <c r="W489">
        <v>5163</v>
      </c>
      <c r="X489">
        <v>25819</v>
      </c>
      <c r="Y489">
        <v>12909</v>
      </c>
      <c r="Z489">
        <v>11601</v>
      </c>
      <c r="AA489">
        <v>6960</v>
      </c>
      <c r="AB489">
        <v>4640</v>
      </c>
    </row>
    <row r="490" spans="1:28" x14ac:dyDescent="0.35">
      <c r="A490" t="s">
        <v>535</v>
      </c>
      <c r="B490" t="s">
        <v>9</v>
      </c>
      <c r="C490" t="s">
        <v>1</v>
      </c>
      <c r="D490" t="s">
        <v>10</v>
      </c>
      <c r="E490" t="s">
        <v>11</v>
      </c>
      <c r="F490">
        <v>263665</v>
      </c>
      <c r="G490">
        <v>-127208</v>
      </c>
      <c r="H490">
        <v>105319</v>
      </c>
      <c r="I490">
        <v>263665</v>
      </c>
      <c r="J490">
        <v>26366</v>
      </c>
      <c r="K490">
        <v>13183</v>
      </c>
      <c r="L490">
        <v>86249</v>
      </c>
      <c r="M490">
        <v>17249</v>
      </c>
      <c r="N490">
        <v>25874</v>
      </c>
      <c r="O490">
        <v>8624</v>
      </c>
      <c r="P490">
        <v>-34499</v>
      </c>
      <c r="Q490">
        <v>-21562</v>
      </c>
      <c r="R490">
        <v>79371</v>
      </c>
      <c r="S490">
        <v>23811</v>
      </c>
      <c r="T490">
        <v>7937</v>
      </c>
      <c r="U490">
        <v>4312</v>
      </c>
      <c r="V490">
        <v>2587</v>
      </c>
      <c r="W490">
        <v>1724</v>
      </c>
      <c r="X490">
        <v>8624</v>
      </c>
      <c r="Y490">
        <v>4312</v>
      </c>
      <c r="Z490">
        <v>3968</v>
      </c>
      <c r="AA490">
        <v>2381</v>
      </c>
      <c r="AB490">
        <v>1587</v>
      </c>
    </row>
    <row r="491" spans="1:28" x14ac:dyDescent="0.35">
      <c r="A491" t="s">
        <v>536</v>
      </c>
      <c r="B491" t="s">
        <v>9</v>
      </c>
      <c r="C491" t="s">
        <v>1</v>
      </c>
      <c r="D491" t="s">
        <v>10</v>
      </c>
      <c r="E491" t="s">
        <v>11</v>
      </c>
      <c r="F491">
        <v>200621</v>
      </c>
      <c r="G491">
        <v>-52396</v>
      </c>
      <c r="H491">
        <v>45357</v>
      </c>
      <c r="I491">
        <v>200621</v>
      </c>
      <c r="J491">
        <v>20062</v>
      </c>
      <c r="K491">
        <v>10031</v>
      </c>
      <c r="L491">
        <v>117235</v>
      </c>
      <c r="M491">
        <v>23447</v>
      </c>
      <c r="N491">
        <v>35170</v>
      </c>
      <c r="O491">
        <v>11723</v>
      </c>
      <c r="P491">
        <v>-46894</v>
      </c>
      <c r="Q491">
        <v>-29308</v>
      </c>
      <c r="R491">
        <v>120481</v>
      </c>
      <c r="S491">
        <v>36144</v>
      </c>
      <c r="T491">
        <v>12048</v>
      </c>
      <c r="U491">
        <v>5861</v>
      </c>
      <c r="V491">
        <v>3517</v>
      </c>
      <c r="W491">
        <v>2344</v>
      </c>
      <c r="X491">
        <v>11723</v>
      </c>
      <c r="Y491">
        <v>5861</v>
      </c>
      <c r="Z491">
        <v>6024</v>
      </c>
      <c r="AA491">
        <v>3614</v>
      </c>
      <c r="AB491">
        <v>2409</v>
      </c>
    </row>
    <row r="492" spans="1:28" x14ac:dyDescent="0.35">
      <c r="A492" t="s">
        <v>537</v>
      </c>
      <c r="B492" t="s">
        <v>9</v>
      </c>
      <c r="C492" t="s">
        <v>1</v>
      </c>
      <c r="D492" t="s">
        <v>10</v>
      </c>
      <c r="E492" t="s">
        <v>11</v>
      </c>
      <c r="F492">
        <v>245328</v>
      </c>
      <c r="G492">
        <v>-56250</v>
      </c>
      <c r="H492">
        <v>27112</v>
      </c>
      <c r="I492">
        <v>245328</v>
      </c>
      <c r="J492">
        <v>24532</v>
      </c>
      <c r="K492">
        <v>12266</v>
      </c>
      <c r="L492">
        <v>118614</v>
      </c>
      <c r="M492">
        <v>23722</v>
      </c>
      <c r="N492">
        <v>35584</v>
      </c>
      <c r="O492">
        <v>11861</v>
      </c>
      <c r="P492">
        <v>-47445</v>
      </c>
      <c r="Q492">
        <v>-29653</v>
      </c>
      <c r="R492">
        <v>123852</v>
      </c>
      <c r="S492">
        <v>37155</v>
      </c>
      <c r="T492">
        <v>12385</v>
      </c>
      <c r="U492">
        <v>5930</v>
      </c>
      <c r="V492">
        <v>3558</v>
      </c>
      <c r="W492">
        <v>2372</v>
      </c>
      <c r="X492">
        <v>11861</v>
      </c>
      <c r="Y492">
        <v>5930</v>
      </c>
      <c r="Z492">
        <v>6192</v>
      </c>
      <c r="AA492">
        <v>3715</v>
      </c>
      <c r="AB492">
        <v>2477</v>
      </c>
    </row>
    <row r="493" spans="1:28" x14ac:dyDescent="0.35">
      <c r="A493" t="s">
        <v>538</v>
      </c>
      <c r="B493" t="s">
        <v>9</v>
      </c>
      <c r="C493" t="s">
        <v>1</v>
      </c>
      <c r="D493" t="s">
        <v>10</v>
      </c>
      <c r="E493" t="s">
        <v>11</v>
      </c>
      <c r="F493">
        <v>58694</v>
      </c>
      <c r="G493">
        <v>-29468</v>
      </c>
      <c r="H493">
        <v>9281</v>
      </c>
      <c r="I493">
        <v>58694</v>
      </c>
      <c r="J493">
        <v>5869</v>
      </c>
      <c r="K493">
        <v>2934</v>
      </c>
      <c r="L493">
        <v>33656</v>
      </c>
      <c r="M493">
        <v>6731</v>
      </c>
      <c r="N493">
        <v>10096</v>
      </c>
      <c r="O493">
        <v>3365</v>
      </c>
      <c r="P493">
        <v>-13462</v>
      </c>
      <c r="Q493">
        <v>-8414</v>
      </c>
      <c r="R493">
        <v>39303</v>
      </c>
      <c r="S493">
        <v>11790</v>
      </c>
      <c r="T493">
        <v>3930</v>
      </c>
      <c r="U493">
        <v>1682</v>
      </c>
      <c r="V493">
        <v>1009</v>
      </c>
      <c r="W493">
        <v>673</v>
      </c>
      <c r="X493">
        <v>3365</v>
      </c>
      <c r="Y493">
        <v>1682</v>
      </c>
      <c r="Z493">
        <v>1965</v>
      </c>
      <c r="AA493">
        <v>1179</v>
      </c>
      <c r="AB493">
        <v>786</v>
      </c>
    </row>
    <row r="494" spans="1:28" x14ac:dyDescent="0.35">
      <c r="A494" t="s">
        <v>539</v>
      </c>
      <c r="B494" t="s">
        <v>9</v>
      </c>
      <c r="C494" t="s">
        <v>1</v>
      </c>
      <c r="D494" t="s">
        <v>10</v>
      </c>
      <c r="E494" t="s">
        <v>11</v>
      </c>
      <c r="F494">
        <v>300755</v>
      </c>
      <c r="G494">
        <v>-62803</v>
      </c>
      <c r="H494">
        <v>138008</v>
      </c>
      <c r="I494">
        <v>300755</v>
      </c>
      <c r="J494">
        <v>30075</v>
      </c>
      <c r="K494">
        <v>15037</v>
      </c>
      <c r="L494">
        <v>212798</v>
      </c>
      <c r="M494">
        <v>42559</v>
      </c>
      <c r="N494">
        <v>63839</v>
      </c>
      <c r="O494">
        <v>21279</v>
      </c>
      <c r="P494">
        <v>-85119</v>
      </c>
      <c r="Q494">
        <v>-53199</v>
      </c>
      <c r="R494">
        <v>249877</v>
      </c>
      <c r="S494">
        <v>74963</v>
      </c>
      <c r="T494">
        <v>24987</v>
      </c>
      <c r="U494">
        <v>10639</v>
      </c>
      <c r="V494">
        <v>6383</v>
      </c>
      <c r="W494">
        <v>4255</v>
      </c>
      <c r="X494">
        <v>21279</v>
      </c>
      <c r="Y494">
        <v>10639</v>
      </c>
      <c r="Z494">
        <v>12493</v>
      </c>
      <c r="AA494">
        <v>7496</v>
      </c>
      <c r="AB494">
        <v>4997</v>
      </c>
    </row>
    <row r="495" spans="1:28" x14ac:dyDescent="0.35">
      <c r="A495" t="s">
        <v>540</v>
      </c>
      <c r="B495" t="s">
        <v>9</v>
      </c>
      <c r="C495" t="s">
        <v>1</v>
      </c>
      <c r="D495" t="s">
        <v>10</v>
      </c>
      <c r="E495" t="s">
        <v>11</v>
      </c>
      <c r="F495">
        <v>403319</v>
      </c>
      <c r="G495">
        <v>-173901</v>
      </c>
      <c r="H495">
        <v>50548</v>
      </c>
      <c r="I495">
        <v>403319</v>
      </c>
      <c r="J495">
        <v>40331</v>
      </c>
      <c r="K495">
        <v>20165</v>
      </c>
      <c r="L495">
        <v>250952</v>
      </c>
      <c r="M495">
        <v>50190</v>
      </c>
      <c r="N495">
        <v>75285</v>
      </c>
      <c r="O495">
        <v>25095</v>
      </c>
      <c r="P495">
        <v>-100380</v>
      </c>
      <c r="Q495">
        <v>-62738</v>
      </c>
      <c r="R495">
        <v>215796</v>
      </c>
      <c r="S495">
        <v>64738</v>
      </c>
      <c r="T495">
        <v>21579</v>
      </c>
      <c r="U495">
        <v>12547</v>
      </c>
      <c r="V495">
        <v>7528</v>
      </c>
      <c r="W495">
        <v>5019</v>
      </c>
      <c r="X495">
        <v>25095</v>
      </c>
      <c r="Y495">
        <v>12547</v>
      </c>
      <c r="Z495">
        <v>10789</v>
      </c>
      <c r="AA495">
        <v>6473</v>
      </c>
      <c r="AB495">
        <v>4315</v>
      </c>
    </row>
    <row r="496" spans="1:28" x14ac:dyDescent="0.35">
      <c r="A496" t="s">
        <v>541</v>
      </c>
      <c r="B496" t="s">
        <v>9</v>
      </c>
      <c r="C496" t="s">
        <v>1</v>
      </c>
      <c r="D496" t="s">
        <v>10</v>
      </c>
      <c r="E496" t="s">
        <v>11</v>
      </c>
      <c r="F496">
        <v>207747</v>
      </c>
      <c r="G496">
        <v>-93444</v>
      </c>
      <c r="H496">
        <v>24073</v>
      </c>
      <c r="I496">
        <v>207747</v>
      </c>
      <c r="J496">
        <v>20774</v>
      </c>
      <c r="K496">
        <v>10387</v>
      </c>
      <c r="L496">
        <v>129645</v>
      </c>
      <c r="M496">
        <v>25929</v>
      </c>
      <c r="N496">
        <v>38893</v>
      </c>
      <c r="O496">
        <v>12964</v>
      </c>
      <c r="P496">
        <v>-51858</v>
      </c>
      <c r="Q496">
        <v>-32411</v>
      </c>
      <c r="R496">
        <v>131350</v>
      </c>
      <c r="S496">
        <v>39405</v>
      </c>
      <c r="T496">
        <v>13135</v>
      </c>
      <c r="U496">
        <v>6482</v>
      </c>
      <c r="V496">
        <v>3889</v>
      </c>
      <c r="W496">
        <v>2592</v>
      </c>
      <c r="X496">
        <v>12964</v>
      </c>
      <c r="Y496">
        <v>6482</v>
      </c>
      <c r="Z496">
        <v>6567</v>
      </c>
      <c r="AA496">
        <v>3940</v>
      </c>
      <c r="AB496">
        <v>2627</v>
      </c>
    </row>
    <row r="497" spans="1:28" x14ac:dyDescent="0.35">
      <c r="A497" t="s">
        <v>542</v>
      </c>
      <c r="B497" t="s">
        <v>9</v>
      </c>
      <c r="C497" t="s">
        <v>1</v>
      </c>
      <c r="D497" t="s">
        <v>10</v>
      </c>
      <c r="E497" t="s">
        <v>11</v>
      </c>
      <c r="F497">
        <v>315650</v>
      </c>
      <c r="G497">
        <v>-71654</v>
      </c>
      <c r="H497">
        <v>148633</v>
      </c>
      <c r="I497">
        <v>315650</v>
      </c>
      <c r="J497">
        <v>31565</v>
      </c>
      <c r="K497">
        <v>15782</v>
      </c>
      <c r="L497">
        <v>209745</v>
      </c>
      <c r="M497">
        <v>41949</v>
      </c>
      <c r="N497">
        <v>62923</v>
      </c>
      <c r="O497">
        <v>20974</v>
      </c>
      <c r="P497">
        <v>-83898</v>
      </c>
      <c r="Q497">
        <v>-52436</v>
      </c>
      <c r="R497">
        <v>242822</v>
      </c>
      <c r="S497">
        <v>72846</v>
      </c>
      <c r="T497">
        <v>24282</v>
      </c>
      <c r="U497">
        <v>10487</v>
      </c>
      <c r="V497">
        <v>6292</v>
      </c>
      <c r="W497">
        <v>4194</v>
      </c>
      <c r="X497">
        <v>20974</v>
      </c>
      <c r="Y497">
        <v>10487</v>
      </c>
      <c r="Z497">
        <v>12141</v>
      </c>
      <c r="AA497">
        <v>7284</v>
      </c>
      <c r="AB497">
        <v>4856</v>
      </c>
    </row>
    <row r="498" spans="1:28" x14ac:dyDescent="0.35">
      <c r="A498" t="s">
        <v>543</v>
      </c>
      <c r="B498" t="s">
        <v>9</v>
      </c>
      <c r="C498" t="s">
        <v>1</v>
      </c>
      <c r="D498" t="s">
        <v>10</v>
      </c>
      <c r="E498" t="s">
        <v>11</v>
      </c>
      <c r="F498">
        <v>495309</v>
      </c>
      <c r="G498">
        <v>-226681</v>
      </c>
      <c r="H498">
        <v>103113</v>
      </c>
      <c r="I498">
        <v>495309</v>
      </c>
      <c r="J498">
        <v>49530</v>
      </c>
      <c r="K498">
        <v>24765</v>
      </c>
      <c r="L498">
        <v>303760</v>
      </c>
      <c r="M498">
        <v>60752</v>
      </c>
      <c r="N498">
        <v>91128</v>
      </c>
      <c r="O498">
        <v>30376</v>
      </c>
      <c r="P498">
        <v>-121504</v>
      </c>
      <c r="Q498">
        <v>-75940</v>
      </c>
      <c r="R498">
        <v>275532</v>
      </c>
      <c r="S498">
        <v>82659</v>
      </c>
      <c r="T498">
        <v>27553</v>
      </c>
      <c r="U498">
        <v>15188</v>
      </c>
      <c r="V498">
        <v>9112</v>
      </c>
      <c r="W498">
        <v>6075</v>
      </c>
      <c r="X498">
        <v>30376</v>
      </c>
      <c r="Y498">
        <v>15188</v>
      </c>
      <c r="Z498">
        <v>13776</v>
      </c>
      <c r="AA498">
        <v>8265</v>
      </c>
      <c r="AB498">
        <v>5510</v>
      </c>
    </row>
    <row r="499" spans="1:28" x14ac:dyDescent="0.35">
      <c r="A499" t="s">
        <v>544</v>
      </c>
      <c r="B499" t="s">
        <v>9</v>
      </c>
      <c r="C499" t="s">
        <v>1</v>
      </c>
      <c r="D499" t="s">
        <v>10</v>
      </c>
      <c r="E499" t="s">
        <v>11</v>
      </c>
      <c r="F499">
        <v>171393</v>
      </c>
      <c r="G499">
        <v>-94373</v>
      </c>
      <c r="H499">
        <v>52447</v>
      </c>
      <c r="I499">
        <v>171393</v>
      </c>
      <c r="J499">
        <v>17139</v>
      </c>
      <c r="K499">
        <v>8569</v>
      </c>
      <c r="L499">
        <v>51886</v>
      </c>
      <c r="M499">
        <v>10377</v>
      </c>
      <c r="N499">
        <v>15565</v>
      </c>
      <c r="O499">
        <v>5188</v>
      </c>
      <c r="P499">
        <v>-20754</v>
      </c>
      <c r="Q499">
        <v>-12971</v>
      </c>
      <c r="R499">
        <v>50502</v>
      </c>
      <c r="S499">
        <v>15150</v>
      </c>
      <c r="T499">
        <v>5050</v>
      </c>
      <c r="U499">
        <v>2594</v>
      </c>
      <c r="V499">
        <v>1556</v>
      </c>
      <c r="W499">
        <v>1037</v>
      </c>
      <c r="X499">
        <v>5188</v>
      </c>
      <c r="Y499">
        <v>2594</v>
      </c>
      <c r="Z499">
        <v>2525</v>
      </c>
      <c r="AA499">
        <v>1515</v>
      </c>
      <c r="AB499">
        <v>1010</v>
      </c>
    </row>
    <row r="500" spans="1:28" x14ac:dyDescent="0.35">
      <c r="A500" t="s">
        <v>545</v>
      </c>
      <c r="B500" t="s">
        <v>9</v>
      </c>
      <c r="C500" t="s">
        <v>1</v>
      </c>
      <c r="D500" t="s">
        <v>10</v>
      </c>
      <c r="E500" t="s">
        <v>11</v>
      </c>
      <c r="F500">
        <v>459326</v>
      </c>
      <c r="G500">
        <v>-247668</v>
      </c>
      <c r="H500">
        <v>138988</v>
      </c>
      <c r="I500">
        <v>459326</v>
      </c>
      <c r="J500">
        <v>45932</v>
      </c>
      <c r="K500">
        <v>22966</v>
      </c>
      <c r="L500">
        <v>243497</v>
      </c>
      <c r="M500">
        <v>48699</v>
      </c>
      <c r="N500">
        <v>73049</v>
      </c>
      <c r="O500">
        <v>24349</v>
      </c>
      <c r="P500">
        <v>-97398</v>
      </c>
      <c r="Q500">
        <v>-60874</v>
      </c>
      <c r="R500">
        <v>291294</v>
      </c>
      <c r="S500">
        <v>87388</v>
      </c>
      <c r="T500">
        <v>29129</v>
      </c>
      <c r="U500">
        <v>12174</v>
      </c>
      <c r="V500">
        <v>7304</v>
      </c>
      <c r="W500">
        <v>4869</v>
      </c>
      <c r="X500">
        <v>24349</v>
      </c>
      <c r="Y500">
        <v>12174</v>
      </c>
      <c r="Z500">
        <v>14564</v>
      </c>
      <c r="AA500">
        <v>8738</v>
      </c>
      <c r="AB500">
        <v>5825</v>
      </c>
    </row>
    <row r="501" spans="1:28" x14ac:dyDescent="0.35">
      <c r="A501" t="s">
        <v>546</v>
      </c>
      <c r="B501" t="s">
        <v>9</v>
      </c>
      <c r="C501" t="s">
        <v>1</v>
      </c>
      <c r="D501" t="s">
        <v>10</v>
      </c>
      <c r="E501" t="s">
        <v>11</v>
      </c>
      <c r="F501">
        <v>118286</v>
      </c>
      <c r="G501">
        <v>-65607</v>
      </c>
      <c r="H501">
        <v>42899</v>
      </c>
      <c r="I501">
        <v>118286</v>
      </c>
      <c r="J501">
        <v>11828</v>
      </c>
      <c r="K501">
        <v>5914</v>
      </c>
      <c r="L501">
        <v>87282</v>
      </c>
      <c r="M501">
        <v>17456</v>
      </c>
      <c r="N501">
        <v>26184</v>
      </c>
      <c r="O501">
        <v>8728</v>
      </c>
      <c r="P501">
        <v>-34912</v>
      </c>
      <c r="Q501">
        <v>-21820</v>
      </c>
      <c r="R501">
        <v>79059</v>
      </c>
      <c r="S501">
        <v>23717</v>
      </c>
      <c r="T501">
        <v>7905</v>
      </c>
      <c r="U501">
        <v>4364</v>
      </c>
      <c r="V501">
        <v>2618</v>
      </c>
      <c r="W501">
        <v>1745</v>
      </c>
      <c r="X501">
        <v>8728</v>
      </c>
      <c r="Y501">
        <v>4364</v>
      </c>
      <c r="Z501">
        <v>3952</v>
      </c>
      <c r="AA501">
        <v>2371</v>
      </c>
      <c r="AB501">
        <v>1581</v>
      </c>
    </row>
    <row r="502" spans="1:28" x14ac:dyDescent="0.35">
      <c r="A502" t="s">
        <v>547</v>
      </c>
      <c r="B502" t="s">
        <v>9</v>
      </c>
      <c r="C502" t="s">
        <v>1</v>
      </c>
      <c r="D502" t="s">
        <v>10</v>
      </c>
      <c r="E502" t="s">
        <v>11</v>
      </c>
      <c r="F502">
        <v>256345</v>
      </c>
      <c r="G502">
        <v>-134114</v>
      </c>
      <c r="H502">
        <v>127984</v>
      </c>
      <c r="I502">
        <v>256345</v>
      </c>
      <c r="J502">
        <v>25634</v>
      </c>
      <c r="K502">
        <v>12817</v>
      </c>
      <c r="L502">
        <v>124598</v>
      </c>
      <c r="M502">
        <v>24919</v>
      </c>
      <c r="N502">
        <v>37379</v>
      </c>
      <c r="O502">
        <v>12459</v>
      </c>
      <c r="P502">
        <v>-49839</v>
      </c>
      <c r="Q502">
        <v>-31149</v>
      </c>
      <c r="R502">
        <v>132775</v>
      </c>
      <c r="S502">
        <v>39832</v>
      </c>
      <c r="T502">
        <v>13277</v>
      </c>
      <c r="U502">
        <v>6229</v>
      </c>
      <c r="V502">
        <v>3737</v>
      </c>
      <c r="W502">
        <v>2491</v>
      </c>
      <c r="X502">
        <v>12459</v>
      </c>
      <c r="Y502">
        <v>6229</v>
      </c>
      <c r="Z502">
        <v>6638</v>
      </c>
      <c r="AA502">
        <v>3983</v>
      </c>
      <c r="AB502">
        <v>2655</v>
      </c>
    </row>
    <row r="503" spans="1:28" x14ac:dyDescent="0.35">
      <c r="A503" t="s">
        <v>548</v>
      </c>
      <c r="B503" t="s">
        <v>9</v>
      </c>
      <c r="C503" t="s">
        <v>1</v>
      </c>
      <c r="D503" t="s">
        <v>10</v>
      </c>
      <c r="E503" t="s">
        <v>11</v>
      </c>
      <c r="F503">
        <v>301929</v>
      </c>
      <c r="G503">
        <v>-106917</v>
      </c>
      <c r="H503">
        <v>140039</v>
      </c>
      <c r="I503">
        <v>301929</v>
      </c>
      <c r="J503">
        <v>30192</v>
      </c>
      <c r="K503">
        <v>15096</v>
      </c>
      <c r="L503">
        <v>79807</v>
      </c>
      <c r="M503">
        <v>15961</v>
      </c>
      <c r="N503">
        <v>23942</v>
      </c>
      <c r="O503">
        <v>7980</v>
      </c>
      <c r="P503">
        <v>-31922</v>
      </c>
      <c r="Q503">
        <v>-19951</v>
      </c>
      <c r="R503">
        <v>75461</v>
      </c>
      <c r="S503">
        <v>22638</v>
      </c>
      <c r="T503">
        <v>7546</v>
      </c>
      <c r="U503">
        <v>3990</v>
      </c>
      <c r="V503">
        <v>2394</v>
      </c>
      <c r="W503">
        <v>1596</v>
      </c>
      <c r="X503">
        <v>7980</v>
      </c>
      <c r="Y503">
        <v>3990</v>
      </c>
      <c r="Z503">
        <v>3773</v>
      </c>
      <c r="AA503">
        <v>2263</v>
      </c>
      <c r="AB503">
        <v>1509</v>
      </c>
    </row>
    <row r="504" spans="1:28" x14ac:dyDescent="0.35">
      <c r="A504" t="s">
        <v>549</v>
      </c>
      <c r="B504" t="s">
        <v>9</v>
      </c>
      <c r="C504" t="s">
        <v>1</v>
      </c>
      <c r="D504" t="s">
        <v>10</v>
      </c>
      <c r="E504" t="s">
        <v>11</v>
      </c>
      <c r="F504">
        <v>428594</v>
      </c>
      <c r="G504">
        <v>-221396</v>
      </c>
      <c r="H504">
        <v>44880</v>
      </c>
      <c r="I504">
        <v>428594</v>
      </c>
      <c r="J504">
        <v>42859</v>
      </c>
      <c r="K504">
        <v>21429</v>
      </c>
      <c r="L504">
        <v>133642</v>
      </c>
      <c r="M504">
        <v>26728</v>
      </c>
      <c r="N504">
        <v>40092</v>
      </c>
      <c r="O504">
        <v>13364</v>
      </c>
      <c r="P504">
        <v>-53456</v>
      </c>
      <c r="Q504">
        <v>-33410</v>
      </c>
      <c r="R504">
        <v>107044</v>
      </c>
      <c r="S504">
        <v>32113</v>
      </c>
      <c r="T504">
        <v>10704</v>
      </c>
      <c r="U504">
        <v>6682</v>
      </c>
      <c r="V504">
        <v>4009</v>
      </c>
      <c r="W504">
        <v>2672</v>
      </c>
      <c r="X504">
        <v>13364</v>
      </c>
      <c r="Y504">
        <v>6682</v>
      </c>
      <c r="Z504">
        <v>5352</v>
      </c>
      <c r="AA504">
        <v>3211</v>
      </c>
      <c r="AB504">
        <v>2140</v>
      </c>
    </row>
    <row r="505" spans="1:28" x14ac:dyDescent="0.35">
      <c r="A505" t="s">
        <v>550</v>
      </c>
      <c r="B505" t="s">
        <v>9</v>
      </c>
      <c r="C505" t="s">
        <v>1</v>
      </c>
      <c r="D505" t="s">
        <v>10</v>
      </c>
      <c r="E505" t="s">
        <v>11</v>
      </c>
      <c r="F505">
        <v>343267</v>
      </c>
      <c r="G505">
        <v>-153820</v>
      </c>
      <c r="H505">
        <v>43630</v>
      </c>
      <c r="I505">
        <v>343267</v>
      </c>
      <c r="J505">
        <v>34326</v>
      </c>
      <c r="K505">
        <v>17163</v>
      </c>
      <c r="L505">
        <v>151371</v>
      </c>
      <c r="M505">
        <v>30274</v>
      </c>
      <c r="N505">
        <v>45411</v>
      </c>
      <c r="O505">
        <v>15137</v>
      </c>
      <c r="P505">
        <v>-60548</v>
      </c>
      <c r="Q505">
        <v>-37842</v>
      </c>
      <c r="R505">
        <v>132971</v>
      </c>
      <c r="S505">
        <v>39891</v>
      </c>
      <c r="T505">
        <v>13297</v>
      </c>
      <c r="U505">
        <v>7568</v>
      </c>
      <c r="V505">
        <v>4541</v>
      </c>
      <c r="W505">
        <v>3027</v>
      </c>
      <c r="X505">
        <v>15137</v>
      </c>
      <c r="Y505">
        <v>7568</v>
      </c>
      <c r="Z505">
        <v>6648</v>
      </c>
      <c r="AA505">
        <v>3989</v>
      </c>
      <c r="AB505">
        <v>2659</v>
      </c>
    </row>
    <row r="506" spans="1:28" x14ac:dyDescent="0.35">
      <c r="A506" t="s">
        <v>551</v>
      </c>
      <c r="B506" t="s">
        <v>9</v>
      </c>
      <c r="C506" t="s">
        <v>1</v>
      </c>
      <c r="D506" t="s">
        <v>10</v>
      </c>
      <c r="E506" t="s">
        <v>11</v>
      </c>
      <c r="F506">
        <v>408245</v>
      </c>
      <c r="G506">
        <v>-216795</v>
      </c>
      <c r="H506">
        <v>94983</v>
      </c>
      <c r="I506">
        <v>408245</v>
      </c>
      <c r="J506">
        <v>40824</v>
      </c>
      <c r="K506">
        <v>20412</v>
      </c>
      <c r="L506">
        <v>214052</v>
      </c>
      <c r="M506">
        <v>42810</v>
      </c>
      <c r="N506">
        <v>64215</v>
      </c>
      <c r="O506">
        <v>21405</v>
      </c>
      <c r="P506">
        <v>-85620</v>
      </c>
      <c r="Q506">
        <v>-53513</v>
      </c>
      <c r="R506">
        <v>187783</v>
      </c>
      <c r="S506">
        <v>56334</v>
      </c>
      <c r="T506">
        <v>18778</v>
      </c>
      <c r="U506">
        <v>10702</v>
      </c>
      <c r="V506">
        <v>6421</v>
      </c>
      <c r="W506">
        <v>4281</v>
      </c>
      <c r="X506">
        <v>21405</v>
      </c>
      <c r="Y506">
        <v>10702</v>
      </c>
      <c r="Z506">
        <v>9389</v>
      </c>
      <c r="AA506">
        <v>5633</v>
      </c>
      <c r="AB506">
        <v>3755</v>
      </c>
    </row>
    <row r="507" spans="1:28" x14ac:dyDescent="0.35">
      <c r="A507" t="s">
        <v>552</v>
      </c>
      <c r="B507" t="s">
        <v>9</v>
      </c>
      <c r="C507" t="s">
        <v>1</v>
      </c>
      <c r="D507" t="s">
        <v>10</v>
      </c>
      <c r="E507" t="s">
        <v>11</v>
      </c>
      <c r="F507">
        <v>189115</v>
      </c>
      <c r="G507">
        <v>-86246</v>
      </c>
      <c r="H507">
        <v>91917</v>
      </c>
      <c r="I507">
        <v>189115</v>
      </c>
      <c r="J507">
        <v>18911</v>
      </c>
      <c r="K507">
        <v>9455</v>
      </c>
      <c r="L507">
        <v>64759</v>
      </c>
      <c r="M507">
        <v>12951</v>
      </c>
      <c r="N507">
        <v>19427</v>
      </c>
      <c r="O507">
        <v>6475</v>
      </c>
      <c r="P507">
        <v>-25903</v>
      </c>
      <c r="Q507">
        <v>-16189</v>
      </c>
      <c r="R507">
        <v>69153</v>
      </c>
      <c r="S507">
        <v>20745</v>
      </c>
      <c r="T507">
        <v>6915</v>
      </c>
      <c r="U507">
        <v>3237</v>
      </c>
      <c r="V507">
        <v>1942</v>
      </c>
      <c r="W507">
        <v>1295</v>
      </c>
      <c r="X507">
        <v>6475</v>
      </c>
      <c r="Y507">
        <v>3237</v>
      </c>
      <c r="Z507">
        <v>3457</v>
      </c>
      <c r="AA507">
        <v>2074</v>
      </c>
      <c r="AB507">
        <v>1383</v>
      </c>
    </row>
    <row r="508" spans="1:28" x14ac:dyDescent="0.35">
      <c r="A508" t="s">
        <v>553</v>
      </c>
      <c r="B508" t="s">
        <v>9</v>
      </c>
      <c r="C508" t="s">
        <v>1</v>
      </c>
      <c r="D508" t="s">
        <v>10</v>
      </c>
      <c r="E508" t="s">
        <v>11</v>
      </c>
      <c r="F508">
        <v>184439</v>
      </c>
      <c r="G508">
        <v>-44409</v>
      </c>
      <c r="H508">
        <v>57317</v>
      </c>
      <c r="I508">
        <v>184439</v>
      </c>
      <c r="J508">
        <v>18443</v>
      </c>
      <c r="K508">
        <v>9221</v>
      </c>
      <c r="L508">
        <v>118103</v>
      </c>
      <c r="M508">
        <v>23620</v>
      </c>
      <c r="N508">
        <v>35430</v>
      </c>
      <c r="O508">
        <v>11810</v>
      </c>
      <c r="P508">
        <v>-47241</v>
      </c>
      <c r="Q508">
        <v>-29525</v>
      </c>
      <c r="R508">
        <v>111400</v>
      </c>
      <c r="S508">
        <v>33420</v>
      </c>
      <c r="T508">
        <v>11140</v>
      </c>
      <c r="U508">
        <v>5905</v>
      </c>
      <c r="V508">
        <v>3543</v>
      </c>
      <c r="W508">
        <v>2362</v>
      </c>
      <c r="X508">
        <v>11810</v>
      </c>
      <c r="Y508">
        <v>5905</v>
      </c>
      <c r="Z508">
        <v>5570</v>
      </c>
      <c r="AA508">
        <v>3342</v>
      </c>
      <c r="AB508">
        <v>2228</v>
      </c>
    </row>
    <row r="509" spans="1:28" x14ac:dyDescent="0.35">
      <c r="A509" t="s">
        <v>554</v>
      </c>
      <c r="B509" t="s">
        <v>9</v>
      </c>
      <c r="C509" t="s">
        <v>1</v>
      </c>
      <c r="D509" t="s">
        <v>10</v>
      </c>
      <c r="E509" t="s">
        <v>11</v>
      </c>
      <c r="F509">
        <v>371978</v>
      </c>
      <c r="G509">
        <v>-106432</v>
      </c>
      <c r="H509">
        <v>71398</v>
      </c>
      <c r="I509">
        <v>371978</v>
      </c>
      <c r="J509">
        <v>37197</v>
      </c>
      <c r="K509">
        <v>18598</v>
      </c>
      <c r="L509">
        <v>216033</v>
      </c>
      <c r="M509">
        <v>43206</v>
      </c>
      <c r="N509">
        <v>64809</v>
      </c>
      <c r="O509">
        <v>21603</v>
      </c>
      <c r="P509">
        <v>-86413</v>
      </c>
      <c r="Q509">
        <v>-54008</v>
      </c>
      <c r="R509">
        <v>214150</v>
      </c>
      <c r="S509">
        <v>64245</v>
      </c>
      <c r="T509">
        <v>21415</v>
      </c>
      <c r="U509">
        <v>10801</v>
      </c>
      <c r="V509">
        <v>6480</v>
      </c>
      <c r="W509">
        <v>4320</v>
      </c>
      <c r="X509">
        <v>21603</v>
      </c>
      <c r="Y509">
        <v>10801</v>
      </c>
      <c r="Z509">
        <v>10707</v>
      </c>
      <c r="AA509">
        <v>6424</v>
      </c>
      <c r="AB509">
        <v>4283</v>
      </c>
    </row>
    <row r="510" spans="1:28" x14ac:dyDescent="0.35">
      <c r="A510" t="s">
        <v>555</v>
      </c>
      <c r="B510" t="s">
        <v>9</v>
      </c>
      <c r="C510" t="s">
        <v>1</v>
      </c>
      <c r="D510" t="s">
        <v>10</v>
      </c>
      <c r="E510" t="s">
        <v>11</v>
      </c>
      <c r="F510">
        <v>169170</v>
      </c>
      <c r="G510">
        <v>-59605</v>
      </c>
      <c r="H510">
        <v>52115</v>
      </c>
      <c r="I510">
        <v>169170</v>
      </c>
      <c r="J510">
        <v>16917</v>
      </c>
      <c r="K510">
        <v>8458</v>
      </c>
      <c r="L510">
        <v>89765</v>
      </c>
      <c r="M510">
        <v>17953</v>
      </c>
      <c r="N510">
        <v>26929</v>
      </c>
      <c r="O510">
        <v>8976</v>
      </c>
      <c r="P510">
        <v>-35906</v>
      </c>
      <c r="Q510">
        <v>-22441</v>
      </c>
      <c r="R510">
        <v>82658</v>
      </c>
      <c r="S510">
        <v>24797</v>
      </c>
      <c r="T510">
        <v>8265</v>
      </c>
      <c r="U510">
        <v>4488</v>
      </c>
      <c r="V510">
        <v>2692</v>
      </c>
      <c r="W510">
        <v>1795</v>
      </c>
      <c r="X510">
        <v>8976</v>
      </c>
      <c r="Y510">
        <v>4488</v>
      </c>
      <c r="Z510">
        <v>4132</v>
      </c>
      <c r="AA510">
        <v>2479</v>
      </c>
      <c r="AB510">
        <v>1653</v>
      </c>
    </row>
    <row r="511" spans="1:28" x14ac:dyDescent="0.35">
      <c r="A511" t="s">
        <v>556</v>
      </c>
      <c r="B511" t="s">
        <v>9</v>
      </c>
      <c r="C511" t="s">
        <v>1</v>
      </c>
      <c r="D511" t="s">
        <v>10</v>
      </c>
      <c r="E511" t="s">
        <v>11</v>
      </c>
      <c r="F511">
        <v>272202</v>
      </c>
      <c r="G511">
        <v>-117392</v>
      </c>
      <c r="H511">
        <v>106787</v>
      </c>
      <c r="I511">
        <v>272202</v>
      </c>
      <c r="J511">
        <v>27220</v>
      </c>
      <c r="K511">
        <v>13610</v>
      </c>
      <c r="L511">
        <v>139591</v>
      </c>
      <c r="M511">
        <v>27918</v>
      </c>
      <c r="N511">
        <v>41877</v>
      </c>
      <c r="O511">
        <v>13959</v>
      </c>
      <c r="P511">
        <v>-55836</v>
      </c>
      <c r="Q511">
        <v>-34897</v>
      </c>
      <c r="R511">
        <v>138372</v>
      </c>
      <c r="S511">
        <v>41511</v>
      </c>
      <c r="T511">
        <v>13837</v>
      </c>
      <c r="U511">
        <v>6979</v>
      </c>
      <c r="V511">
        <v>4187</v>
      </c>
      <c r="W511">
        <v>2791</v>
      </c>
      <c r="X511">
        <v>13959</v>
      </c>
      <c r="Y511">
        <v>6979</v>
      </c>
      <c r="Z511">
        <v>6918</v>
      </c>
      <c r="AA511">
        <v>4151</v>
      </c>
      <c r="AB511">
        <v>2767</v>
      </c>
    </row>
    <row r="512" spans="1:28" x14ac:dyDescent="0.35">
      <c r="A512" t="s">
        <v>557</v>
      </c>
      <c r="B512" t="s">
        <v>9</v>
      </c>
      <c r="C512" t="s">
        <v>1</v>
      </c>
      <c r="D512" t="s">
        <v>10</v>
      </c>
      <c r="E512" t="s">
        <v>11</v>
      </c>
      <c r="F512">
        <v>410026</v>
      </c>
      <c r="G512">
        <v>-191110</v>
      </c>
      <c r="H512">
        <v>113486</v>
      </c>
      <c r="I512">
        <v>410026</v>
      </c>
      <c r="J512">
        <v>41002</v>
      </c>
      <c r="K512">
        <v>20501</v>
      </c>
      <c r="L512">
        <v>110857</v>
      </c>
      <c r="M512">
        <v>22171</v>
      </c>
      <c r="N512">
        <v>33257</v>
      </c>
      <c r="O512">
        <v>11085</v>
      </c>
      <c r="P512">
        <v>-44342</v>
      </c>
      <c r="Q512">
        <v>-27714</v>
      </c>
      <c r="R512">
        <v>121666</v>
      </c>
      <c r="S512">
        <v>36499</v>
      </c>
      <c r="T512">
        <v>12166</v>
      </c>
      <c r="U512">
        <v>5542</v>
      </c>
      <c r="V512">
        <v>3325</v>
      </c>
      <c r="W512">
        <v>2217</v>
      </c>
      <c r="X512">
        <v>11085</v>
      </c>
      <c r="Y512">
        <v>5542</v>
      </c>
      <c r="Z512">
        <v>6083</v>
      </c>
      <c r="AA512">
        <v>3649</v>
      </c>
      <c r="AB512">
        <v>2433</v>
      </c>
    </row>
    <row r="513" spans="1:28" x14ac:dyDescent="0.35">
      <c r="A513" t="s">
        <v>558</v>
      </c>
      <c r="B513" t="s">
        <v>9</v>
      </c>
      <c r="C513" t="s">
        <v>1</v>
      </c>
      <c r="D513" t="s">
        <v>10</v>
      </c>
      <c r="E513" t="s">
        <v>11</v>
      </c>
      <c r="F513">
        <v>271795</v>
      </c>
      <c r="G513">
        <v>-151608</v>
      </c>
      <c r="H513">
        <v>52834</v>
      </c>
      <c r="I513">
        <v>271795</v>
      </c>
      <c r="J513">
        <v>27179</v>
      </c>
      <c r="K513">
        <v>13589</v>
      </c>
      <c r="L513">
        <v>158274</v>
      </c>
      <c r="M513">
        <v>31654</v>
      </c>
      <c r="N513">
        <v>47482</v>
      </c>
      <c r="O513">
        <v>15827</v>
      </c>
      <c r="P513">
        <v>-63309</v>
      </c>
      <c r="Q513">
        <v>-39568</v>
      </c>
      <c r="R513">
        <v>174075</v>
      </c>
      <c r="S513">
        <v>52222</v>
      </c>
      <c r="T513">
        <v>17407</v>
      </c>
      <c r="U513">
        <v>7913</v>
      </c>
      <c r="V513">
        <v>4748</v>
      </c>
      <c r="W513">
        <v>3165</v>
      </c>
      <c r="X513">
        <v>15827</v>
      </c>
      <c r="Y513">
        <v>7913</v>
      </c>
      <c r="Z513">
        <v>8703</v>
      </c>
      <c r="AA513">
        <v>5222</v>
      </c>
      <c r="AB513">
        <v>3481</v>
      </c>
    </row>
    <row r="514" spans="1:28" x14ac:dyDescent="0.35">
      <c r="A514" t="s">
        <v>559</v>
      </c>
      <c r="B514" t="s">
        <v>9</v>
      </c>
      <c r="C514" t="s">
        <v>1</v>
      </c>
      <c r="D514" t="s">
        <v>10</v>
      </c>
      <c r="E514" t="s">
        <v>11</v>
      </c>
      <c r="F514">
        <v>100087</v>
      </c>
      <c r="G514">
        <v>-25438</v>
      </c>
      <c r="H514">
        <v>33184</v>
      </c>
      <c r="I514">
        <v>100087</v>
      </c>
      <c r="J514">
        <v>10008</v>
      </c>
      <c r="K514">
        <v>5004</v>
      </c>
      <c r="L514">
        <v>25087</v>
      </c>
      <c r="M514">
        <v>5017</v>
      </c>
      <c r="N514">
        <v>7526</v>
      </c>
      <c r="O514">
        <v>2508</v>
      </c>
      <c r="P514">
        <v>-10034</v>
      </c>
      <c r="Q514">
        <v>-6271</v>
      </c>
      <c r="R514">
        <v>30100</v>
      </c>
      <c r="S514">
        <v>9030</v>
      </c>
      <c r="T514">
        <v>3010</v>
      </c>
      <c r="U514">
        <v>1254</v>
      </c>
      <c r="V514">
        <v>752</v>
      </c>
      <c r="W514">
        <v>501</v>
      </c>
      <c r="X514">
        <v>2508</v>
      </c>
      <c r="Y514">
        <v>1254</v>
      </c>
      <c r="Z514">
        <v>1505</v>
      </c>
      <c r="AA514">
        <v>903</v>
      </c>
      <c r="AB514">
        <v>602</v>
      </c>
    </row>
    <row r="515" spans="1:28" x14ac:dyDescent="0.35">
      <c r="A515" t="s">
        <v>560</v>
      </c>
      <c r="B515" t="s">
        <v>9</v>
      </c>
      <c r="C515" t="s">
        <v>1</v>
      </c>
      <c r="D515" t="s">
        <v>10</v>
      </c>
      <c r="E515" t="s">
        <v>11</v>
      </c>
      <c r="F515">
        <v>108626</v>
      </c>
      <c r="G515">
        <v>-24405</v>
      </c>
      <c r="H515">
        <v>23144</v>
      </c>
      <c r="I515">
        <v>108626</v>
      </c>
      <c r="J515">
        <v>10862</v>
      </c>
      <c r="K515">
        <v>5431</v>
      </c>
      <c r="L515">
        <v>38107</v>
      </c>
      <c r="M515">
        <v>7621</v>
      </c>
      <c r="N515">
        <v>11432</v>
      </c>
      <c r="O515">
        <v>3810</v>
      </c>
      <c r="P515">
        <v>-15242</v>
      </c>
      <c r="Q515">
        <v>-9526</v>
      </c>
      <c r="R515">
        <v>39007</v>
      </c>
      <c r="S515">
        <v>11702</v>
      </c>
      <c r="T515">
        <v>3900</v>
      </c>
      <c r="U515">
        <v>1905</v>
      </c>
      <c r="V515">
        <v>1143</v>
      </c>
      <c r="W515">
        <v>762</v>
      </c>
      <c r="X515">
        <v>3810</v>
      </c>
      <c r="Y515">
        <v>1905</v>
      </c>
      <c r="Z515">
        <v>1950</v>
      </c>
      <c r="AA515">
        <v>1170</v>
      </c>
      <c r="AB515">
        <v>780</v>
      </c>
    </row>
    <row r="516" spans="1:28" x14ac:dyDescent="0.35">
      <c r="A516" t="s">
        <v>561</v>
      </c>
      <c r="B516" t="s">
        <v>9</v>
      </c>
      <c r="C516" t="s">
        <v>1</v>
      </c>
      <c r="D516" t="s">
        <v>10</v>
      </c>
      <c r="E516" t="s">
        <v>11</v>
      </c>
      <c r="F516">
        <v>274986</v>
      </c>
      <c r="G516">
        <v>-136229</v>
      </c>
      <c r="H516">
        <v>109529</v>
      </c>
      <c r="I516">
        <v>274986</v>
      </c>
      <c r="J516">
        <v>27498</v>
      </c>
      <c r="K516">
        <v>13749</v>
      </c>
      <c r="L516">
        <v>174152</v>
      </c>
      <c r="M516">
        <v>34830</v>
      </c>
      <c r="N516">
        <v>52245</v>
      </c>
      <c r="O516">
        <v>17415</v>
      </c>
      <c r="P516">
        <v>-69660</v>
      </c>
      <c r="Q516">
        <v>-43538</v>
      </c>
      <c r="R516">
        <v>171138</v>
      </c>
      <c r="S516">
        <v>51341</v>
      </c>
      <c r="T516">
        <v>17113</v>
      </c>
      <c r="U516">
        <v>8707</v>
      </c>
      <c r="V516">
        <v>5224</v>
      </c>
      <c r="W516">
        <v>3483</v>
      </c>
      <c r="X516">
        <v>17415</v>
      </c>
      <c r="Y516">
        <v>8707</v>
      </c>
      <c r="Z516">
        <v>8556</v>
      </c>
      <c r="AA516">
        <v>5134</v>
      </c>
      <c r="AB516">
        <v>3422</v>
      </c>
    </row>
    <row r="517" spans="1:28" x14ac:dyDescent="0.35">
      <c r="A517" t="s">
        <v>562</v>
      </c>
      <c r="B517" t="s">
        <v>9</v>
      </c>
      <c r="C517" t="s">
        <v>1</v>
      </c>
      <c r="D517" t="s">
        <v>10</v>
      </c>
      <c r="E517" t="s">
        <v>11</v>
      </c>
      <c r="F517">
        <v>437538</v>
      </c>
      <c r="G517">
        <v>-184195</v>
      </c>
      <c r="H517">
        <v>57441</v>
      </c>
      <c r="I517">
        <v>437538</v>
      </c>
      <c r="J517">
        <v>43753</v>
      </c>
      <c r="K517">
        <v>21876</v>
      </c>
      <c r="L517">
        <v>219423</v>
      </c>
      <c r="M517">
        <v>43884</v>
      </c>
      <c r="N517">
        <v>65826</v>
      </c>
      <c r="O517">
        <v>21942</v>
      </c>
      <c r="P517">
        <v>-87769</v>
      </c>
      <c r="Q517">
        <v>-54855</v>
      </c>
      <c r="R517">
        <v>257557</v>
      </c>
      <c r="S517">
        <v>77267</v>
      </c>
      <c r="T517">
        <v>25755</v>
      </c>
      <c r="U517">
        <v>10971</v>
      </c>
      <c r="V517">
        <v>6582</v>
      </c>
      <c r="W517">
        <v>4388</v>
      </c>
      <c r="X517">
        <v>21942</v>
      </c>
      <c r="Y517">
        <v>10971</v>
      </c>
      <c r="Z517">
        <v>12877</v>
      </c>
      <c r="AA517">
        <v>7726</v>
      </c>
      <c r="AB517">
        <v>5151</v>
      </c>
    </row>
    <row r="518" spans="1:28" x14ac:dyDescent="0.35">
      <c r="A518" t="s">
        <v>563</v>
      </c>
      <c r="B518" t="s">
        <v>9</v>
      </c>
      <c r="C518" t="s">
        <v>1</v>
      </c>
      <c r="D518" t="s">
        <v>10</v>
      </c>
      <c r="E518" t="s">
        <v>11</v>
      </c>
      <c r="F518">
        <v>447938</v>
      </c>
      <c r="G518">
        <v>-243022</v>
      </c>
      <c r="H518">
        <v>86792</v>
      </c>
      <c r="I518">
        <v>447938</v>
      </c>
      <c r="J518">
        <v>44793</v>
      </c>
      <c r="K518">
        <v>22396</v>
      </c>
      <c r="L518">
        <v>299792</v>
      </c>
      <c r="M518">
        <v>59958</v>
      </c>
      <c r="N518">
        <v>89937</v>
      </c>
      <c r="O518">
        <v>29979</v>
      </c>
      <c r="P518">
        <v>-119916</v>
      </c>
      <c r="Q518">
        <v>-74948</v>
      </c>
      <c r="R518">
        <v>353360</v>
      </c>
      <c r="S518">
        <v>106008</v>
      </c>
      <c r="T518">
        <v>35336</v>
      </c>
      <c r="U518">
        <v>14989</v>
      </c>
      <c r="V518">
        <v>8993</v>
      </c>
      <c r="W518">
        <v>5995</v>
      </c>
      <c r="X518">
        <v>29979</v>
      </c>
      <c r="Y518">
        <v>14989</v>
      </c>
      <c r="Z518">
        <v>17668</v>
      </c>
      <c r="AA518">
        <v>10600</v>
      </c>
      <c r="AB518">
        <v>7067</v>
      </c>
    </row>
    <row r="519" spans="1:28" x14ac:dyDescent="0.35">
      <c r="A519" t="s">
        <v>564</v>
      </c>
      <c r="B519" t="s">
        <v>9</v>
      </c>
      <c r="C519" t="s">
        <v>1</v>
      </c>
      <c r="D519" t="s">
        <v>10</v>
      </c>
      <c r="E519" t="s">
        <v>11</v>
      </c>
      <c r="F519">
        <v>214828</v>
      </c>
      <c r="G519">
        <v>-49683</v>
      </c>
      <c r="H519">
        <v>38230</v>
      </c>
      <c r="I519">
        <v>214828</v>
      </c>
      <c r="J519">
        <v>21482</v>
      </c>
      <c r="K519">
        <v>10741</v>
      </c>
      <c r="L519">
        <v>47872</v>
      </c>
      <c r="M519">
        <v>9574</v>
      </c>
      <c r="N519">
        <v>14361</v>
      </c>
      <c r="O519">
        <v>4787</v>
      </c>
      <c r="P519">
        <v>-19148</v>
      </c>
      <c r="Q519">
        <v>-11968</v>
      </c>
      <c r="R519">
        <v>51161</v>
      </c>
      <c r="S519">
        <v>15348</v>
      </c>
      <c r="T519">
        <v>5116</v>
      </c>
      <c r="U519">
        <v>2393</v>
      </c>
      <c r="V519">
        <v>1436</v>
      </c>
      <c r="W519">
        <v>957</v>
      </c>
      <c r="X519">
        <v>4787</v>
      </c>
      <c r="Y519">
        <v>2393</v>
      </c>
      <c r="Z519">
        <v>2558</v>
      </c>
      <c r="AA519">
        <v>1534</v>
      </c>
      <c r="AB519">
        <v>1023</v>
      </c>
    </row>
    <row r="520" spans="1:28" x14ac:dyDescent="0.35">
      <c r="A520" t="s">
        <v>565</v>
      </c>
      <c r="B520" t="s">
        <v>9</v>
      </c>
      <c r="C520" t="s">
        <v>1</v>
      </c>
      <c r="D520" t="s">
        <v>10</v>
      </c>
      <c r="E520" t="s">
        <v>11</v>
      </c>
      <c r="F520">
        <v>304232</v>
      </c>
      <c r="G520">
        <v>-152391</v>
      </c>
      <c r="H520">
        <v>54466</v>
      </c>
      <c r="I520">
        <v>304232</v>
      </c>
      <c r="J520">
        <v>30423</v>
      </c>
      <c r="K520">
        <v>15211</v>
      </c>
      <c r="L520">
        <v>60997</v>
      </c>
      <c r="M520">
        <v>12199</v>
      </c>
      <c r="N520">
        <v>18299</v>
      </c>
      <c r="O520">
        <v>6099</v>
      </c>
      <c r="P520">
        <v>-24398</v>
      </c>
      <c r="Q520">
        <v>-15249</v>
      </c>
      <c r="R520">
        <v>59230</v>
      </c>
      <c r="S520">
        <v>17769</v>
      </c>
      <c r="T520">
        <v>5923</v>
      </c>
      <c r="U520">
        <v>3049</v>
      </c>
      <c r="V520">
        <v>1829</v>
      </c>
      <c r="W520">
        <v>1219</v>
      </c>
      <c r="X520">
        <v>6099</v>
      </c>
      <c r="Y520">
        <v>3049</v>
      </c>
      <c r="Z520">
        <v>2961</v>
      </c>
      <c r="AA520">
        <v>1776</v>
      </c>
      <c r="AB520">
        <v>1184</v>
      </c>
    </row>
    <row r="521" spans="1:28" x14ac:dyDescent="0.35">
      <c r="A521" t="s">
        <v>566</v>
      </c>
      <c r="B521" t="s">
        <v>9</v>
      </c>
      <c r="C521" t="s">
        <v>1</v>
      </c>
      <c r="D521" t="s">
        <v>10</v>
      </c>
      <c r="E521" t="s">
        <v>11</v>
      </c>
      <c r="F521">
        <v>405393</v>
      </c>
      <c r="G521">
        <v>-101656</v>
      </c>
      <c r="H521">
        <v>111434</v>
      </c>
      <c r="I521">
        <v>405393</v>
      </c>
      <c r="J521">
        <v>40539</v>
      </c>
      <c r="K521">
        <v>20269</v>
      </c>
      <c r="L521">
        <v>120779</v>
      </c>
      <c r="M521">
        <v>24155</v>
      </c>
      <c r="N521">
        <v>36233</v>
      </c>
      <c r="O521">
        <v>12077</v>
      </c>
      <c r="P521">
        <v>-48311</v>
      </c>
      <c r="Q521">
        <v>-30194</v>
      </c>
      <c r="R521">
        <v>140549</v>
      </c>
      <c r="S521">
        <v>42164</v>
      </c>
      <c r="T521">
        <v>14054</v>
      </c>
      <c r="U521">
        <v>6038</v>
      </c>
      <c r="V521">
        <v>3623</v>
      </c>
      <c r="W521">
        <v>2415</v>
      </c>
      <c r="X521">
        <v>12077</v>
      </c>
      <c r="Y521">
        <v>6038</v>
      </c>
      <c r="Z521">
        <v>7027</v>
      </c>
      <c r="AA521">
        <v>4216</v>
      </c>
      <c r="AB521">
        <v>2810</v>
      </c>
    </row>
    <row r="522" spans="1:28" x14ac:dyDescent="0.35">
      <c r="A522" t="s">
        <v>567</v>
      </c>
      <c r="B522" t="s">
        <v>9</v>
      </c>
      <c r="C522" t="s">
        <v>1</v>
      </c>
      <c r="D522" t="s">
        <v>10</v>
      </c>
      <c r="E522" t="s">
        <v>11</v>
      </c>
      <c r="F522">
        <v>60747</v>
      </c>
      <c r="G522">
        <v>-26852</v>
      </c>
      <c r="H522">
        <v>20377</v>
      </c>
      <c r="I522">
        <v>60747</v>
      </c>
      <c r="J522">
        <v>6074</v>
      </c>
      <c r="K522">
        <v>3037</v>
      </c>
      <c r="L522">
        <v>15893</v>
      </c>
      <c r="M522">
        <v>3178</v>
      </c>
      <c r="N522">
        <v>4767</v>
      </c>
      <c r="O522">
        <v>1589</v>
      </c>
      <c r="P522">
        <v>-6357</v>
      </c>
      <c r="Q522">
        <v>-3973</v>
      </c>
      <c r="R522">
        <v>14612</v>
      </c>
      <c r="S522">
        <v>4383</v>
      </c>
      <c r="T522">
        <v>1461</v>
      </c>
      <c r="U522">
        <v>794</v>
      </c>
      <c r="V522">
        <v>476</v>
      </c>
      <c r="W522">
        <v>317</v>
      </c>
      <c r="X522">
        <v>1589</v>
      </c>
      <c r="Y522">
        <v>794</v>
      </c>
      <c r="Z522">
        <v>730</v>
      </c>
      <c r="AA522">
        <v>438</v>
      </c>
      <c r="AB522">
        <v>292</v>
      </c>
    </row>
    <row r="523" spans="1:28" x14ac:dyDescent="0.35">
      <c r="A523" t="s">
        <v>568</v>
      </c>
      <c r="B523" t="s">
        <v>9</v>
      </c>
      <c r="C523" t="s">
        <v>1</v>
      </c>
      <c r="D523" t="s">
        <v>10</v>
      </c>
      <c r="E523" t="s">
        <v>11</v>
      </c>
      <c r="F523">
        <v>433971</v>
      </c>
      <c r="G523">
        <v>-150186</v>
      </c>
      <c r="H523">
        <v>55134</v>
      </c>
      <c r="I523">
        <v>433971</v>
      </c>
      <c r="J523">
        <v>43397</v>
      </c>
      <c r="K523">
        <v>21698</v>
      </c>
      <c r="L523">
        <v>204740</v>
      </c>
      <c r="M523">
        <v>40948</v>
      </c>
      <c r="N523">
        <v>61422</v>
      </c>
      <c r="O523">
        <v>20474</v>
      </c>
      <c r="P523">
        <v>-81896</v>
      </c>
      <c r="Q523">
        <v>-51185</v>
      </c>
      <c r="R523">
        <v>240663</v>
      </c>
      <c r="S523">
        <v>72198</v>
      </c>
      <c r="T523">
        <v>24066</v>
      </c>
      <c r="U523">
        <v>10237</v>
      </c>
      <c r="V523">
        <v>6142</v>
      </c>
      <c r="W523">
        <v>4094</v>
      </c>
      <c r="X523">
        <v>20474</v>
      </c>
      <c r="Y523">
        <v>10237</v>
      </c>
      <c r="Z523">
        <v>12033</v>
      </c>
      <c r="AA523">
        <v>7219</v>
      </c>
      <c r="AB523">
        <v>4813</v>
      </c>
    </row>
    <row r="524" spans="1:28" x14ac:dyDescent="0.35">
      <c r="A524" t="s">
        <v>569</v>
      </c>
      <c r="B524" t="s">
        <v>9</v>
      </c>
      <c r="C524" t="s">
        <v>1</v>
      </c>
      <c r="D524" t="s">
        <v>10</v>
      </c>
      <c r="E524" t="s">
        <v>11</v>
      </c>
      <c r="F524">
        <v>362364</v>
      </c>
      <c r="G524">
        <v>-213363</v>
      </c>
      <c r="H524">
        <v>74728</v>
      </c>
      <c r="I524">
        <v>362364</v>
      </c>
      <c r="J524">
        <v>36236</v>
      </c>
      <c r="K524">
        <v>18118</v>
      </c>
      <c r="L524">
        <v>281883</v>
      </c>
      <c r="M524">
        <v>56376</v>
      </c>
      <c r="N524">
        <v>84564</v>
      </c>
      <c r="O524">
        <v>28188</v>
      </c>
      <c r="P524">
        <v>-112753</v>
      </c>
      <c r="Q524">
        <v>-70470</v>
      </c>
      <c r="R524">
        <v>313841</v>
      </c>
      <c r="S524">
        <v>94152</v>
      </c>
      <c r="T524">
        <v>31384</v>
      </c>
      <c r="U524">
        <v>14094</v>
      </c>
      <c r="V524">
        <v>8456</v>
      </c>
      <c r="W524">
        <v>5637</v>
      </c>
      <c r="X524">
        <v>28188</v>
      </c>
      <c r="Y524">
        <v>14094</v>
      </c>
      <c r="Z524">
        <v>15692</v>
      </c>
      <c r="AA524">
        <v>9415</v>
      </c>
      <c r="AB524">
        <v>6276</v>
      </c>
    </row>
    <row r="525" spans="1:28" x14ac:dyDescent="0.35">
      <c r="A525" t="s">
        <v>570</v>
      </c>
      <c r="B525" t="s">
        <v>9</v>
      </c>
      <c r="C525" t="s">
        <v>1</v>
      </c>
      <c r="D525" t="s">
        <v>10</v>
      </c>
      <c r="E525" t="s">
        <v>11</v>
      </c>
      <c r="F525">
        <v>381024</v>
      </c>
      <c r="G525">
        <v>-114271</v>
      </c>
      <c r="H525">
        <v>64317</v>
      </c>
      <c r="I525">
        <v>381024</v>
      </c>
      <c r="J525">
        <v>38102</v>
      </c>
      <c r="K525">
        <v>19051</v>
      </c>
      <c r="L525">
        <v>244938</v>
      </c>
      <c r="M525">
        <v>48987</v>
      </c>
      <c r="N525">
        <v>73481</v>
      </c>
      <c r="O525">
        <v>24493</v>
      </c>
      <c r="P525">
        <v>-97975</v>
      </c>
      <c r="Q525">
        <v>-61234</v>
      </c>
      <c r="R525">
        <v>285401</v>
      </c>
      <c r="S525">
        <v>85620</v>
      </c>
      <c r="T525">
        <v>28540</v>
      </c>
      <c r="U525">
        <v>12246</v>
      </c>
      <c r="V525">
        <v>7348</v>
      </c>
      <c r="W525">
        <v>4898</v>
      </c>
      <c r="X525">
        <v>24493</v>
      </c>
      <c r="Y525">
        <v>12246</v>
      </c>
      <c r="Z525">
        <v>14270</v>
      </c>
      <c r="AA525">
        <v>8562</v>
      </c>
      <c r="AB525">
        <v>5708</v>
      </c>
    </row>
    <row r="526" spans="1:28" x14ac:dyDescent="0.35">
      <c r="A526" t="s">
        <v>571</v>
      </c>
      <c r="B526" t="s">
        <v>9</v>
      </c>
      <c r="C526" t="s">
        <v>1</v>
      </c>
      <c r="D526" t="s">
        <v>10</v>
      </c>
      <c r="E526" t="s">
        <v>11</v>
      </c>
      <c r="F526">
        <v>253651</v>
      </c>
      <c r="G526">
        <v>-102876</v>
      </c>
      <c r="H526">
        <v>55129</v>
      </c>
      <c r="I526">
        <v>253651</v>
      </c>
      <c r="J526">
        <v>25365</v>
      </c>
      <c r="K526">
        <v>12682</v>
      </c>
      <c r="L526">
        <v>70419</v>
      </c>
      <c r="M526">
        <v>14083</v>
      </c>
      <c r="N526">
        <v>21125</v>
      </c>
      <c r="O526">
        <v>7041</v>
      </c>
      <c r="P526">
        <v>-28167</v>
      </c>
      <c r="Q526">
        <v>-17604</v>
      </c>
      <c r="R526">
        <v>80060</v>
      </c>
      <c r="S526">
        <v>24018</v>
      </c>
      <c r="T526">
        <v>8006</v>
      </c>
      <c r="U526">
        <v>3520</v>
      </c>
      <c r="V526">
        <v>2112</v>
      </c>
      <c r="W526">
        <v>1408</v>
      </c>
      <c r="X526">
        <v>7041</v>
      </c>
      <c r="Y526">
        <v>3520</v>
      </c>
      <c r="Z526">
        <v>4003</v>
      </c>
      <c r="AA526">
        <v>2401</v>
      </c>
      <c r="AB526">
        <v>1601</v>
      </c>
    </row>
    <row r="527" spans="1:28" x14ac:dyDescent="0.35">
      <c r="A527" t="s">
        <v>572</v>
      </c>
      <c r="B527" t="s">
        <v>9</v>
      </c>
      <c r="C527" t="s">
        <v>1</v>
      </c>
      <c r="D527" t="s">
        <v>10</v>
      </c>
      <c r="E527" t="s">
        <v>11</v>
      </c>
      <c r="F527">
        <v>132080</v>
      </c>
      <c r="G527">
        <v>-42364</v>
      </c>
      <c r="H527">
        <v>59879</v>
      </c>
      <c r="I527">
        <v>132080</v>
      </c>
      <c r="J527">
        <v>13208</v>
      </c>
      <c r="K527">
        <v>6604</v>
      </c>
      <c r="L527">
        <v>103874</v>
      </c>
      <c r="M527">
        <v>20774</v>
      </c>
      <c r="N527">
        <v>31162</v>
      </c>
      <c r="O527">
        <v>10387</v>
      </c>
      <c r="P527">
        <v>-41549</v>
      </c>
      <c r="Q527">
        <v>-25968</v>
      </c>
      <c r="R527">
        <v>89426</v>
      </c>
      <c r="S527">
        <v>26827</v>
      </c>
      <c r="T527">
        <v>8942</v>
      </c>
      <c r="U527">
        <v>5193</v>
      </c>
      <c r="V527">
        <v>3116</v>
      </c>
      <c r="W527">
        <v>2077</v>
      </c>
      <c r="X527">
        <v>10387</v>
      </c>
      <c r="Y527">
        <v>5193</v>
      </c>
      <c r="Z527">
        <v>4471</v>
      </c>
      <c r="AA527">
        <v>2682</v>
      </c>
      <c r="AB527">
        <v>1788</v>
      </c>
    </row>
    <row r="528" spans="1:28" x14ac:dyDescent="0.35">
      <c r="A528" t="s">
        <v>573</v>
      </c>
      <c r="B528" t="s">
        <v>9</v>
      </c>
      <c r="C528" t="s">
        <v>1</v>
      </c>
      <c r="D528" t="s">
        <v>10</v>
      </c>
      <c r="E528" t="s">
        <v>11</v>
      </c>
      <c r="F528">
        <v>363571</v>
      </c>
      <c r="G528">
        <v>-116911</v>
      </c>
      <c r="H528">
        <v>116578</v>
      </c>
      <c r="I528">
        <v>363571</v>
      </c>
      <c r="J528">
        <v>36357</v>
      </c>
      <c r="K528">
        <v>18178</v>
      </c>
      <c r="L528">
        <v>176872</v>
      </c>
      <c r="M528">
        <v>35374</v>
      </c>
      <c r="N528">
        <v>53061</v>
      </c>
      <c r="O528">
        <v>17687</v>
      </c>
      <c r="P528">
        <v>-70748</v>
      </c>
      <c r="Q528">
        <v>-44218</v>
      </c>
      <c r="R528">
        <v>164759</v>
      </c>
      <c r="S528">
        <v>49427</v>
      </c>
      <c r="T528">
        <v>16475</v>
      </c>
      <c r="U528">
        <v>8843</v>
      </c>
      <c r="V528">
        <v>5306</v>
      </c>
      <c r="W528">
        <v>3537</v>
      </c>
      <c r="X528">
        <v>17687</v>
      </c>
      <c r="Y528">
        <v>8843</v>
      </c>
      <c r="Z528">
        <v>8237</v>
      </c>
      <c r="AA528">
        <v>4942</v>
      </c>
      <c r="AB528">
        <v>3295</v>
      </c>
    </row>
    <row r="529" spans="1:28" x14ac:dyDescent="0.35">
      <c r="A529" t="s">
        <v>574</v>
      </c>
      <c r="B529" t="s">
        <v>9</v>
      </c>
      <c r="C529" t="s">
        <v>1</v>
      </c>
      <c r="D529" t="s">
        <v>10</v>
      </c>
      <c r="E529" t="s">
        <v>11</v>
      </c>
      <c r="F529">
        <v>312625</v>
      </c>
      <c r="G529">
        <v>-187288</v>
      </c>
      <c r="H529">
        <v>54693</v>
      </c>
      <c r="I529">
        <v>312625</v>
      </c>
      <c r="J529">
        <v>31262</v>
      </c>
      <c r="K529">
        <v>15631</v>
      </c>
      <c r="L529">
        <v>151681</v>
      </c>
      <c r="M529">
        <v>30336</v>
      </c>
      <c r="N529">
        <v>45504</v>
      </c>
      <c r="O529">
        <v>15168</v>
      </c>
      <c r="P529">
        <v>-60672</v>
      </c>
      <c r="Q529">
        <v>-37920</v>
      </c>
      <c r="R529">
        <v>159042</v>
      </c>
      <c r="S529">
        <v>47712</v>
      </c>
      <c r="T529">
        <v>15904</v>
      </c>
      <c r="U529">
        <v>7584</v>
      </c>
      <c r="V529">
        <v>4550</v>
      </c>
      <c r="W529">
        <v>3033</v>
      </c>
      <c r="X529">
        <v>15168</v>
      </c>
      <c r="Y529">
        <v>7584</v>
      </c>
      <c r="Z529">
        <v>7952</v>
      </c>
      <c r="AA529">
        <v>4771</v>
      </c>
      <c r="AB529">
        <v>3180</v>
      </c>
    </row>
    <row r="530" spans="1:28" x14ac:dyDescent="0.35">
      <c r="A530" t="s">
        <v>575</v>
      </c>
      <c r="B530" t="s">
        <v>9</v>
      </c>
      <c r="C530" t="s">
        <v>1</v>
      </c>
      <c r="D530" t="s">
        <v>10</v>
      </c>
      <c r="E530" t="s">
        <v>11</v>
      </c>
      <c r="F530">
        <v>201274</v>
      </c>
      <c r="G530">
        <v>-113752</v>
      </c>
      <c r="H530">
        <v>45292</v>
      </c>
      <c r="I530">
        <v>201274</v>
      </c>
      <c r="J530">
        <v>20127</v>
      </c>
      <c r="K530">
        <v>10063</v>
      </c>
      <c r="L530">
        <v>41978</v>
      </c>
      <c r="M530">
        <v>8395</v>
      </c>
      <c r="N530">
        <v>12593</v>
      </c>
      <c r="O530">
        <v>4197</v>
      </c>
      <c r="P530">
        <v>-16791</v>
      </c>
      <c r="Q530">
        <v>-10494</v>
      </c>
      <c r="R530">
        <v>35568</v>
      </c>
      <c r="S530">
        <v>10670</v>
      </c>
      <c r="T530">
        <v>3556</v>
      </c>
      <c r="U530">
        <v>2098</v>
      </c>
      <c r="V530">
        <v>1259</v>
      </c>
      <c r="W530">
        <v>839</v>
      </c>
      <c r="X530">
        <v>4197</v>
      </c>
      <c r="Y530">
        <v>2098</v>
      </c>
      <c r="Z530">
        <v>1778</v>
      </c>
      <c r="AA530">
        <v>1067</v>
      </c>
      <c r="AB530">
        <v>711</v>
      </c>
    </row>
    <row r="531" spans="1:28" x14ac:dyDescent="0.35">
      <c r="A531" t="s">
        <v>576</v>
      </c>
      <c r="B531" t="s">
        <v>9</v>
      </c>
      <c r="C531" t="s">
        <v>1</v>
      </c>
      <c r="D531" t="s">
        <v>10</v>
      </c>
      <c r="E531" t="s">
        <v>11</v>
      </c>
      <c r="F531">
        <v>113482</v>
      </c>
      <c r="G531">
        <v>-51740</v>
      </c>
      <c r="H531">
        <v>25866</v>
      </c>
      <c r="I531">
        <v>113482</v>
      </c>
      <c r="J531">
        <v>11348</v>
      </c>
      <c r="K531">
        <v>5674</v>
      </c>
      <c r="L531">
        <v>27236</v>
      </c>
      <c r="M531">
        <v>5447</v>
      </c>
      <c r="N531">
        <v>8170</v>
      </c>
      <c r="O531">
        <v>2723</v>
      </c>
      <c r="P531">
        <v>-10894</v>
      </c>
      <c r="Q531">
        <v>-6809</v>
      </c>
      <c r="R531">
        <v>26861</v>
      </c>
      <c r="S531">
        <v>8058</v>
      </c>
      <c r="T531">
        <v>2686</v>
      </c>
      <c r="U531">
        <v>1361</v>
      </c>
      <c r="V531">
        <v>817</v>
      </c>
      <c r="W531">
        <v>544</v>
      </c>
      <c r="X531">
        <v>2723</v>
      </c>
      <c r="Y531">
        <v>1361</v>
      </c>
      <c r="Z531">
        <v>1343</v>
      </c>
      <c r="AA531">
        <v>805</v>
      </c>
      <c r="AB531">
        <v>537</v>
      </c>
    </row>
    <row r="532" spans="1:28" x14ac:dyDescent="0.35">
      <c r="A532" t="s">
        <v>577</v>
      </c>
      <c r="B532" t="s">
        <v>9</v>
      </c>
      <c r="C532" t="s">
        <v>1</v>
      </c>
      <c r="D532" t="s">
        <v>10</v>
      </c>
      <c r="E532" t="s">
        <v>11</v>
      </c>
      <c r="F532">
        <v>413242</v>
      </c>
      <c r="G532">
        <v>-147339</v>
      </c>
      <c r="H532">
        <v>193603</v>
      </c>
      <c r="I532">
        <v>413242</v>
      </c>
      <c r="J532">
        <v>41324</v>
      </c>
      <c r="K532">
        <v>20662</v>
      </c>
      <c r="L532">
        <v>194453</v>
      </c>
      <c r="M532">
        <v>38890</v>
      </c>
      <c r="N532">
        <v>58335</v>
      </c>
      <c r="O532">
        <v>19445</v>
      </c>
      <c r="P532">
        <v>-77781</v>
      </c>
      <c r="Q532">
        <v>-48613</v>
      </c>
      <c r="R532">
        <v>220896</v>
      </c>
      <c r="S532">
        <v>66268</v>
      </c>
      <c r="T532">
        <v>22089</v>
      </c>
      <c r="U532">
        <v>9722</v>
      </c>
      <c r="V532">
        <v>5833</v>
      </c>
      <c r="W532">
        <v>3889</v>
      </c>
      <c r="X532">
        <v>19445</v>
      </c>
      <c r="Y532">
        <v>9722</v>
      </c>
      <c r="Z532">
        <v>11044</v>
      </c>
      <c r="AA532">
        <v>6626</v>
      </c>
      <c r="AB532">
        <v>4417</v>
      </c>
    </row>
    <row r="533" spans="1:28" x14ac:dyDescent="0.35">
      <c r="A533" t="s">
        <v>578</v>
      </c>
      <c r="B533" t="s">
        <v>9</v>
      </c>
      <c r="C533" t="s">
        <v>1</v>
      </c>
      <c r="D533" t="s">
        <v>10</v>
      </c>
      <c r="E533" t="s">
        <v>11</v>
      </c>
      <c r="F533">
        <v>117164</v>
      </c>
      <c r="G533">
        <v>-51534</v>
      </c>
      <c r="H533">
        <v>15170</v>
      </c>
      <c r="I533">
        <v>117164</v>
      </c>
      <c r="J533">
        <v>11716</v>
      </c>
      <c r="K533">
        <v>5858</v>
      </c>
      <c r="L533">
        <v>50124</v>
      </c>
      <c r="M533">
        <v>10024</v>
      </c>
      <c r="N533">
        <v>15037</v>
      </c>
      <c r="O533">
        <v>5012</v>
      </c>
      <c r="P533">
        <v>-20049</v>
      </c>
      <c r="Q533">
        <v>-12531</v>
      </c>
      <c r="R533">
        <v>52485</v>
      </c>
      <c r="S533">
        <v>15745</v>
      </c>
      <c r="T533">
        <v>5248</v>
      </c>
      <c r="U533">
        <v>2506</v>
      </c>
      <c r="V533">
        <v>1503</v>
      </c>
      <c r="W533">
        <v>1002</v>
      </c>
      <c r="X533">
        <v>5012</v>
      </c>
      <c r="Y533">
        <v>2506</v>
      </c>
      <c r="Z533">
        <v>2624</v>
      </c>
      <c r="AA533">
        <v>1574</v>
      </c>
      <c r="AB533">
        <v>1049</v>
      </c>
    </row>
    <row r="534" spans="1:28" x14ac:dyDescent="0.35">
      <c r="A534" t="s">
        <v>579</v>
      </c>
      <c r="B534" t="s">
        <v>9</v>
      </c>
      <c r="C534" t="s">
        <v>1</v>
      </c>
      <c r="D534" t="s">
        <v>10</v>
      </c>
      <c r="E534" t="s">
        <v>11</v>
      </c>
      <c r="F534">
        <v>223537</v>
      </c>
      <c r="G534">
        <v>-115748</v>
      </c>
      <c r="H534">
        <v>107616</v>
      </c>
      <c r="I534">
        <v>223537</v>
      </c>
      <c r="J534">
        <v>22353</v>
      </c>
      <c r="K534">
        <v>11176</v>
      </c>
      <c r="L534">
        <v>132304</v>
      </c>
      <c r="M534">
        <v>26460</v>
      </c>
      <c r="N534">
        <v>39691</v>
      </c>
      <c r="O534">
        <v>13230</v>
      </c>
      <c r="P534">
        <v>-52921</v>
      </c>
      <c r="Q534">
        <v>-33076</v>
      </c>
      <c r="R534">
        <v>108077</v>
      </c>
      <c r="S534">
        <v>32423</v>
      </c>
      <c r="T534">
        <v>10807</v>
      </c>
      <c r="U534">
        <v>6615</v>
      </c>
      <c r="V534">
        <v>3969</v>
      </c>
      <c r="W534">
        <v>2646</v>
      </c>
      <c r="X534">
        <v>13230</v>
      </c>
      <c r="Y534">
        <v>6615</v>
      </c>
      <c r="Z534">
        <v>5403</v>
      </c>
      <c r="AA534">
        <v>3242</v>
      </c>
      <c r="AB534">
        <v>2161</v>
      </c>
    </row>
    <row r="535" spans="1:28" x14ac:dyDescent="0.35">
      <c r="A535" t="s">
        <v>580</v>
      </c>
      <c r="B535" t="s">
        <v>9</v>
      </c>
      <c r="C535" t="s">
        <v>1</v>
      </c>
      <c r="D535" t="s">
        <v>10</v>
      </c>
      <c r="E535" t="s">
        <v>11</v>
      </c>
      <c r="F535">
        <v>473973</v>
      </c>
      <c r="G535">
        <v>-100841</v>
      </c>
      <c r="H535">
        <v>92066</v>
      </c>
      <c r="I535">
        <v>473973</v>
      </c>
      <c r="J535">
        <v>47397</v>
      </c>
      <c r="K535">
        <v>23698</v>
      </c>
      <c r="L535">
        <v>221159</v>
      </c>
      <c r="M535">
        <v>44231</v>
      </c>
      <c r="N535">
        <v>66347</v>
      </c>
      <c r="O535">
        <v>22115</v>
      </c>
      <c r="P535">
        <v>-88463</v>
      </c>
      <c r="Q535">
        <v>-55289</v>
      </c>
      <c r="R535">
        <v>189104</v>
      </c>
      <c r="S535">
        <v>56731</v>
      </c>
      <c r="T535">
        <v>18910</v>
      </c>
      <c r="U535">
        <v>11057</v>
      </c>
      <c r="V535">
        <v>6634</v>
      </c>
      <c r="W535">
        <v>4423</v>
      </c>
      <c r="X535">
        <v>22115</v>
      </c>
      <c r="Y535">
        <v>11057</v>
      </c>
      <c r="Z535">
        <v>9455</v>
      </c>
      <c r="AA535">
        <v>5673</v>
      </c>
      <c r="AB535">
        <v>3782</v>
      </c>
    </row>
    <row r="536" spans="1:28" x14ac:dyDescent="0.35">
      <c r="A536" t="s">
        <v>581</v>
      </c>
      <c r="B536" t="s">
        <v>9</v>
      </c>
      <c r="C536" t="s">
        <v>1</v>
      </c>
      <c r="D536" t="s">
        <v>10</v>
      </c>
      <c r="E536" t="s">
        <v>11</v>
      </c>
      <c r="F536">
        <v>116039</v>
      </c>
      <c r="G536">
        <v>-46189</v>
      </c>
      <c r="H536">
        <v>25213</v>
      </c>
      <c r="I536">
        <v>116039</v>
      </c>
      <c r="J536">
        <v>11603</v>
      </c>
      <c r="K536">
        <v>5801</v>
      </c>
      <c r="L536">
        <v>83337</v>
      </c>
      <c r="M536">
        <v>16667</v>
      </c>
      <c r="N536">
        <v>25001</v>
      </c>
      <c r="O536">
        <v>8333</v>
      </c>
      <c r="P536">
        <v>-33334</v>
      </c>
      <c r="Q536">
        <v>-20834</v>
      </c>
      <c r="R536">
        <v>93175</v>
      </c>
      <c r="S536">
        <v>27952</v>
      </c>
      <c r="T536">
        <v>9317</v>
      </c>
      <c r="U536">
        <v>4166</v>
      </c>
      <c r="V536">
        <v>2500</v>
      </c>
      <c r="W536">
        <v>1666</v>
      </c>
      <c r="X536">
        <v>8333</v>
      </c>
      <c r="Y536">
        <v>4166</v>
      </c>
      <c r="Z536">
        <v>4658</v>
      </c>
      <c r="AA536">
        <v>2795</v>
      </c>
      <c r="AB536">
        <v>1863</v>
      </c>
    </row>
    <row r="537" spans="1:28" x14ac:dyDescent="0.35">
      <c r="A537" t="s">
        <v>582</v>
      </c>
      <c r="B537" t="s">
        <v>9</v>
      </c>
      <c r="C537" t="s">
        <v>1</v>
      </c>
      <c r="D537" t="s">
        <v>10</v>
      </c>
      <c r="E537" t="s">
        <v>11</v>
      </c>
      <c r="F537">
        <v>316552</v>
      </c>
      <c r="G537">
        <v>-159415</v>
      </c>
      <c r="H537">
        <v>57094</v>
      </c>
      <c r="I537">
        <v>316552</v>
      </c>
      <c r="J537">
        <v>31655</v>
      </c>
      <c r="K537">
        <v>15827</v>
      </c>
      <c r="L537">
        <v>158783</v>
      </c>
      <c r="M537">
        <v>31756</v>
      </c>
      <c r="N537">
        <v>47634</v>
      </c>
      <c r="O537">
        <v>15878</v>
      </c>
      <c r="P537">
        <v>-63513</v>
      </c>
      <c r="Q537">
        <v>-39695</v>
      </c>
      <c r="R537">
        <v>136635</v>
      </c>
      <c r="S537">
        <v>40990</v>
      </c>
      <c r="T537">
        <v>13663</v>
      </c>
      <c r="U537">
        <v>7939</v>
      </c>
      <c r="V537">
        <v>4763</v>
      </c>
      <c r="W537">
        <v>3175</v>
      </c>
      <c r="X537">
        <v>15878</v>
      </c>
      <c r="Y537">
        <v>7939</v>
      </c>
      <c r="Z537">
        <v>6831</v>
      </c>
      <c r="AA537">
        <v>4099</v>
      </c>
      <c r="AB537">
        <v>2732</v>
      </c>
    </row>
    <row r="538" spans="1:28" x14ac:dyDescent="0.35">
      <c r="A538" t="s">
        <v>583</v>
      </c>
      <c r="B538" t="s">
        <v>9</v>
      </c>
      <c r="C538" t="s">
        <v>1</v>
      </c>
      <c r="D538" t="s">
        <v>10</v>
      </c>
      <c r="E538" t="s">
        <v>11</v>
      </c>
      <c r="F538">
        <v>408580</v>
      </c>
      <c r="G538">
        <v>-181038</v>
      </c>
      <c r="H538">
        <v>134427</v>
      </c>
      <c r="I538">
        <v>408580</v>
      </c>
      <c r="J538">
        <v>40858</v>
      </c>
      <c r="K538">
        <v>20429</v>
      </c>
      <c r="L538">
        <v>150677</v>
      </c>
      <c r="M538">
        <v>30135</v>
      </c>
      <c r="N538">
        <v>45203</v>
      </c>
      <c r="O538">
        <v>15067</v>
      </c>
      <c r="P538">
        <v>-60270</v>
      </c>
      <c r="Q538">
        <v>-37669</v>
      </c>
      <c r="R538">
        <v>164017</v>
      </c>
      <c r="S538">
        <v>49205</v>
      </c>
      <c r="T538">
        <v>16401</v>
      </c>
      <c r="U538">
        <v>7533</v>
      </c>
      <c r="V538">
        <v>4520</v>
      </c>
      <c r="W538">
        <v>3013</v>
      </c>
      <c r="X538">
        <v>15067</v>
      </c>
      <c r="Y538">
        <v>7533</v>
      </c>
      <c r="Z538">
        <v>8200</v>
      </c>
      <c r="AA538">
        <v>4920</v>
      </c>
      <c r="AB538">
        <v>3280</v>
      </c>
    </row>
    <row r="539" spans="1:28" x14ac:dyDescent="0.35">
      <c r="A539" t="s">
        <v>584</v>
      </c>
      <c r="B539" t="s">
        <v>9</v>
      </c>
      <c r="C539" t="s">
        <v>1</v>
      </c>
      <c r="D539" t="s">
        <v>10</v>
      </c>
      <c r="E539" t="s">
        <v>11</v>
      </c>
      <c r="F539">
        <v>117269</v>
      </c>
      <c r="G539">
        <v>-52030</v>
      </c>
      <c r="H539">
        <v>24320</v>
      </c>
      <c r="I539">
        <v>117269</v>
      </c>
      <c r="J539">
        <v>11726</v>
      </c>
      <c r="K539">
        <v>5863</v>
      </c>
      <c r="L539">
        <v>55059</v>
      </c>
      <c r="M539">
        <v>11011</v>
      </c>
      <c r="N539">
        <v>16517</v>
      </c>
      <c r="O539">
        <v>5505</v>
      </c>
      <c r="P539">
        <v>-22023</v>
      </c>
      <c r="Q539">
        <v>-13764</v>
      </c>
      <c r="R539">
        <v>48939</v>
      </c>
      <c r="S539">
        <v>14681</v>
      </c>
      <c r="T539">
        <v>4893</v>
      </c>
      <c r="U539">
        <v>2752</v>
      </c>
      <c r="V539">
        <v>1651</v>
      </c>
      <c r="W539">
        <v>1101</v>
      </c>
      <c r="X539">
        <v>5505</v>
      </c>
      <c r="Y539">
        <v>2752</v>
      </c>
      <c r="Z539">
        <v>2446</v>
      </c>
      <c r="AA539">
        <v>1468</v>
      </c>
      <c r="AB539">
        <v>978</v>
      </c>
    </row>
    <row r="540" spans="1:28" x14ac:dyDescent="0.35">
      <c r="A540" t="s">
        <v>585</v>
      </c>
      <c r="B540" t="s">
        <v>9</v>
      </c>
      <c r="C540" t="s">
        <v>1</v>
      </c>
      <c r="D540" t="s">
        <v>10</v>
      </c>
      <c r="E540" t="s">
        <v>11</v>
      </c>
      <c r="F540">
        <v>418574</v>
      </c>
      <c r="G540">
        <v>-194384</v>
      </c>
      <c r="H540">
        <v>67167</v>
      </c>
      <c r="I540">
        <v>418574</v>
      </c>
      <c r="J540">
        <v>41857</v>
      </c>
      <c r="K540">
        <v>20928</v>
      </c>
      <c r="L540">
        <v>154909</v>
      </c>
      <c r="M540">
        <v>30981</v>
      </c>
      <c r="N540">
        <v>46472</v>
      </c>
      <c r="O540">
        <v>15490</v>
      </c>
      <c r="P540">
        <v>-61963</v>
      </c>
      <c r="Q540">
        <v>-38727</v>
      </c>
      <c r="R540">
        <v>167300</v>
      </c>
      <c r="S540">
        <v>50190</v>
      </c>
      <c r="T540">
        <v>16730</v>
      </c>
      <c r="U540">
        <v>7745</v>
      </c>
      <c r="V540">
        <v>4647</v>
      </c>
      <c r="W540">
        <v>3098</v>
      </c>
      <c r="X540">
        <v>15490</v>
      </c>
      <c r="Y540">
        <v>7745</v>
      </c>
      <c r="Z540">
        <v>8365</v>
      </c>
      <c r="AA540">
        <v>5019</v>
      </c>
      <c r="AB540">
        <v>3346</v>
      </c>
    </row>
    <row r="541" spans="1:28" x14ac:dyDescent="0.35">
      <c r="A541" t="s">
        <v>586</v>
      </c>
      <c r="B541" t="s">
        <v>9</v>
      </c>
      <c r="C541" t="s">
        <v>1</v>
      </c>
      <c r="D541" t="s">
        <v>10</v>
      </c>
      <c r="E541" t="s">
        <v>11</v>
      </c>
      <c r="F541">
        <v>163908</v>
      </c>
      <c r="G541">
        <v>-51013</v>
      </c>
      <c r="H541">
        <v>21734</v>
      </c>
      <c r="I541">
        <v>163908</v>
      </c>
      <c r="J541">
        <v>16390</v>
      </c>
      <c r="K541">
        <v>8195</v>
      </c>
      <c r="L541">
        <v>124455</v>
      </c>
      <c r="M541">
        <v>24891</v>
      </c>
      <c r="N541">
        <v>37336</v>
      </c>
      <c r="O541">
        <v>12445</v>
      </c>
      <c r="P541">
        <v>-49782</v>
      </c>
      <c r="Q541">
        <v>-31113</v>
      </c>
      <c r="R541">
        <v>113125</v>
      </c>
      <c r="S541">
        <v>33937</v>
      </c>
      <c r="T541">
        <v>11312</v>
      </c>
      <c r="U541">
        <v>6222</v>
      </c>
      <c r="V541">
        <v>3733</v>
      </c>
      <c r="W541">
        <v>2489</v>
      </c>
      <c r="X541">
        <v>12445</v>
      </c>
      <c r="Y541">
        <v>6222</v>
      </c>
      <c r="Z541">
        <v>5656</v>
      </c>
      <c r="AA541">
        <v>3393</v>
      </c>
      <c r="AB541">
        <v>2262</v>
      </c>
    </row>
    <row r="542" spans="1:28" x14ac:dyDescent="0.35">
      <c r="A542" t="s">
        <v>587</v>
      </c>
      <c r="B542" t="s">
        <v>9</v>
      </c>
      <c r="C542" t="s">
        <v>1</v>
      </c>
      <c r="D542" t="s">
        <v>10</v>
      </c>
      <c r="E542" t="s">
        <v>11</v>
      </c>
      <c r="F542">
        <v>201790</v>
      </c>
      <c r="G542">
        <v>-82785</v>
      </c>
      <c r="H542">
        <v>80915</v>
      </c>
      <c r="I542">
        <v>201790</v>
      </c>
      <c r="J542">
        <v>20179</v>
      </c>
      <c r="K542">
        <v>10089</v>
      </c>
      <c r="L542">
        <v>69929</v>
      </c>
      <c r="M542">
        <v>13985</v>
      </c>
      <c r="N542">
        <v>20978</v>
      </c>
      <c r="O542">
        <v>6992</v>
      </c>
      <c r="P542">
        <v>-27971</v>
      </c>
      <c r="Q542">
        <v>-17482</v>
      </c>
      <c r="R542">
        <v>82848</v>
      </c>
      <c r="S542">
        <v>24854</v>
      </c>
      <c r="T542">
        <v>8284</v>
      </c>
      <c r="U542">
        <v>3496</v>
      </c>
      <c r="V542">
        <v>2097</v>
      </c>
      <c r="W542">
        <v>1398</v>
      </c>
      <c r="X542">
        <v>6992</v>
      </c>
      <c r="Y542">
        <v>3496</v>
      </c>
      <c r="Z542">
        <v>4142</v>
      </c>
      <c r="AA542">
        <v>2485</v>
      </c>
      <c r="AB542">
        <v>1656</v>
      </c>
    </row>
    <row r="543" spans="1:28" x14ac:dyDescent="0.35">
      <c r="A543" t="s">
        <v>588</v>
      </c>
      <c r="B543" t="s">
        <v>9</v>
      </c>
      <c r="C543" t="s">
        <v>1</v>
      </c>
      <c r="D543" t="s">
        <v>10</v>
      </c>
      <c r="E543" t="s">
        <v>11</v>
      </c>
      <c r="F543">
        <v>243445</v>
      </c>
      <c r="G543">
        <v>-132067</v>
      </c>
      <c r="H543">
        <v>79520</v>
      </c>
      <c r="I543">
        <v>243445</v>
      </c>
      <c r="J543">
        <v>24344</v>
      </c>
      <c r="K543">
        <v>12172</v>
      </c>
      <c r="L543">
        <v>185441</v>
      </c>
      <c r="M543">
        <v>37088</v>
      </c>
      <c r="N543">
        <v>55632</v>
      </c>
      <c r="O543">
        <v>18544</v>
      </c>
      <c r="P543">
        <v>-74176</v>
      </c>
      <c r="Q543">
        <v>-46360</v>
      </c>
      <c r="R543">
        <v>211557</v>
      </c>
      <c r="S543">
        <v>63467</v>
      </c>
      <c r="T543">
        <v>21155</v>
      </c>
      <c r="U543">
        <v>9272</v>
      </c>
      <c r="V543">
        <v>5563</v>
      </c>
      <c r="W543">
        <v>3708</v>
      </c>
      <c r="X543">
        <v>18544</v>
      </c>
      <c r="Y543">
        <v>9272</v>
      </c>
      <c r="Z543">
        <v>10577</v>
      </c>
      <c r="AA543">
        <v>6346</v>
      </c>
      <c r="AB543">
        <v>4231</v>
      </c>
    </row>
    <row r="544" spans="1:28" x14ac:dyDescent="0.35">
      <c r="A544" t="s">
        <v>589</v>
      </c>
      <c r="B544" t="s">
        <v>9</v>
      </c>
      <c r="C544" t="s">
        <v>1</v>
      </c>
      <c r="D544" t="s">
        <v>10</v>
      </c>
      <c r="E544" t="s">
        <v>11</v>
      </c>
      <c r="F544">
        <v>227614</v>
      </c>
      <c r="G544">
        <v>-78554</v>
      </c>
      <c r="H544">
        <v>72446</v>
      </c>
      <c r="I544">
        <v>227614</v>
      </c>
      <c r="J544">
        <v>22761</v>
      </c>
      <c r="K544">
        <v>11380</v>
      </c>
      <c r="L544">
        <v>55102</v>
      </c>
      <c r="M544">
        <v>11020</v>
      </c>
      <c r="N544">
        <v>16530</v>
      </c>
      <c r="O544">
        <v>5510</v>
      </c>
      <c r="P544">
        <v>-22040</v>
      </c>
      <c r="Q544">
        <v>-13775</v>
      </c>
      <c r="R544">
        <v>60845</v>
      </c>
      <c r="S544">
        <v>18253</v>
      </c>
      <c r="T544">
        <v>6084</v>
      </c>
      <c r="U544">
        <v>2755</v>
      </c>
      <c r="V544">
        <v>1653</v>
      </c>
      <c r="W544">
        <v>1102</v>
      </c>
      <c r="X544">
        <v>5510</v>
      </c>
      <c r="Y544">
        <v>2755</v>
      </c>
      <c r="Z544">
        <v>3042</v>
      </c>
      <c r="AA544">
        <v>1825</v>
      </c>
      <c r="AB544">
        <v>1216</v>
      </c>
    </row>
    <row r="545" spans="1:28" x14ac:dyDescent="0.35">
      <c r="A545" t="s">
        <v>590</v>
      </c>
      <c r="B545" t="s">
        <v>9</v>
      </c>
      <c r="C545" t="s">
        <v>1</v>
      </c>
      <c r="D545" t="s">
        <v>10</v>
      </c>
      <c r="E545" t="s">
        <v>11</v>
      </c>
      <c r="F545">
        <v>93652</v>
      </c>
      <c r="G545">
        <v>-22500</v>
      </c>
      <c r="H545">
        <v>11029</v>
      </c>
      <c r="I545">
        <v>93652</v>
      </c>
      <c r="J545">
        <v>9365</v>
      </c>
      <c r="K545">
        <v>4682</v>
      </c>
      <c r="L545">
        <v>30923</v>
      </c>
      <c r="M545">
        <v>6184</v>
      </c>
      <c r="N545">
        <v>9276</v>
      </c>
      <c r="O545">
        <v>3092</v>
      </c>
      <c r="P545">
        <v>-12369</v>
      </c>
      <c r="Q545">
        <v>-7730</v>
      </c>
      <c r="R545">
        <v>30679</v>
      </c>
      <c r="S545">
        <v>9203</v>
      </c>
      <c r="T545">
        <v>3067</v>
      </c>
      <c r="U545">
        <v>1546</v>
      </c>
      <c r="V545">
        <v>927</v>
      </c>
      <c r="W545">
        <v>618</v>
      </c>
      <c r="X545">
        <v>3092</v>
      </c>
      <c r="Y545">
        <v>1546</v>
      </c>
      <c r="Z545">
        <v>1533</v>
      </c>
      <c r="AA545">
        <v>920</v>
      </c>
      <c r="AB545">
        <v>613</v>
      </c>
    </row>
    <row r="546" spans="1:28" x14ac:dyDescent="0.35">
      <c r="A546" t="s">
        <v>591</v>
      </c>
      <c r="B546" t="s">
        <v>9</v>
      </c>
      <c r="C546" t="s">
        <v>1</v>
      </c>
      <c r="D546" t="s">
        <v>10</v>
      </c>
      <c r="E546" t="s">
        <v>11</v>
      </c>
      <c r="F546">
        <v>465311</v>
      </c>
      <c r="G546">
        <v>-203918</v>
      </c>
      <c r="H546">
        <v>218068</v>
      </c>
      <c r="I546">
        <v>465311</v>
      </c>
      <c r="J546">
        <v>46531</v>
      </c>
      <c r="K546">
        <v>23265</v>
      </c>
      <c r="L546">
        <v>193069</v>
      </c>
      <c r="M546">
        <v>38613</v>
      </c>
      <c r="N546">
        <v>57920</v>
      </c>
      <c r="O546">
        <v>19306</v>
      </c>
      <c r="P546">
        <v>-77227</v>
      </c>
      <c r="Q546">
        <v>-48267</v>
      </c>
      <c r="R546">
        <v>161815</v>
      </c>
      <c r="S546">
        <v>48544</v>
      </c>
      <c r="T546">
        <v>16181</v>
      </c>
      <c r="U546">
        <v>9653</v>
      </c>
      <c r="V546">
        <v>5792</v>
      </c>
      <c r="W546">
        <v>3861</v>
      </c>
      <c r="X546">
        <v>19306</v>
      </c>
      <c r="Y546">
        <v>9653</v>
      </c>
      <c r="Z546">
        <v>8090</v>
      </c>
      <c r="AA546">
        <v>4854</v>
      </c>
      <c r="AB546">
        <v>3236</v>
      </c>
    </row>
    <row r="547" spans="1:28" x14ac:dyDescent="0.35">
      <c r="A547" t="s">
        <v>592</v>
      </c>
      <c r="B547" t="s">
        <v>9</v>
      </c>
      <c r="C547" t="s">
        <v>1</v>
      </c>
      <c r="D547" t="s">
        <v>10</v>
      </c>
      <c r="E547" t="s">
        <v>11</v>
      </c>
      <c r="F547">
        <v>249147</v>
      </c>
      <c r="G547">
        <v>-97550</v>
      </c>
      <c r="H547">
        <v>43388</v>
      </c>
      <c r="I547">
        <v>249147</v>
      </c>
      <c r="J547">
        <v>24914</v>
      </c>
      <c r="K547">
        <v>12457</v>
      </c>
      <c r="L547">
        <v>121000</v>
      </c>
      <c r="M547">
        <v>24200</v>
      </c>
      <c r="N547">
        <v>36300</v>
      </c>
      <c r="O547">
        <v>12100</v>
      </c>
      <c r="P547">
        <v>-48400</v>
      </c>
      <c r="Q547">
        <v>-30250</v>
      </c>
      <c r="R547">
        <v>110610</v>
      </c>
      <c r="S547">
        <v>33183</v>
      </c>
      <c r="T547">
        <v>11061</v>
      </c>
      <c r="U547">
        <v>6050</v>
      </c>
      <c r="V547">
        <v>3630</v>
      </c>
      <c r="W547">
        <v>2420</v>
      </c>
      <c r="X547">
        <v>12100</v>
      </c>
      <c r="Y547">
        <v>6050</v>
      </c>
      <c r="Z547">
        <v>5530</v>
      </c>
      <c r="AA547">
        <v>3318</v>
      </c>
      <c r="AB547">
        <v>2212</v>
      </c>
    </row>
    <row r="548" spans="1:28" x14ac:dyDescent="0.35">
      <c r="A548" t="s">
        <v>593</v>
      </c>
      <c r="B548" t="s">
        <v>9</v>
      </c>
      <c r="C548" t="s">
        <v>1</v>
      </c>
      <c r="D548" t="s">
        <v>10</v>
      </c>
      <c r="E548" t="s">
        <v>11</v>
      </c>
      <c r="F548">
        <v>241191</v>
      </c>
      <c r="G548">
        <v>-139837</v>
      </c>
      <c r="H548">
        <v>42913</v>
      </c>
      <c r="I548">
        <v>241191</v>
      </c>
      <c r="J548">
        <v>24119</v>
      </c>
      <c r="K548">
        <v>12059</v>
      </c>
      <c r="L548">
        <v>129569</v>
      </c>
      <c r="M548">
        <v>25913</v>
      </c>
      <c r="N548">
        <v>38870</v>
      </c>
      <c r="O548">
        <v>12956</v>
      </c>
      <c r="P548">
        <v>-51827</v>
      </c>
      <c r="Q548">
        <v>-32392</v>
      </c>
      <c r="R548">
        <v>133604</v>
      </c>
      <c r="S548">
        <v>40081</v>
      </c>
      <c r="T548">
        <v>13360</v>
      </c>
      <c r="U548">
        <v>6478</v>
      </c>
      <c r="V548">
        <v>3887</v>
      </c>
      <c r="W548">
        <v>2591</v>
      </c>
      <c r="X548">
        <v>12956</v>
      </c>
      <c r="Y548">
        <v>6478</v>
      </c>
      <c r="Z548">
        <v>6680</v>
      </c>
      <c r="AA548">
        <v>4008</v>
      </c>
      <c r="AB548">
        <v>2672</v>
      </c>
    </row>
    <row r="549" spans="1:28" x14ac:dyDescent="0.35">
      <c r="A549" t="s">
        <v>594</v>
      </c>
      <c r="B549" t="s">
        <v>9</v>
      </c>
      <c r="C549" t="s">
        <v>1</v>
      </c>
      <c r="D549" t="s">
        <v>10</v>
      </c>
      <c r="E549" t="s">
        <v>11</v>
      </c>
      <c r="F549">
        <v>60090</v>
      </c>
      <c r="G549">
        <v>-17890</v>
      </c>
      <c r="H549">
        <v>29325</v>
      </c>
      <c r="I549">
        <v>60090</v>
      </c>
      <c r="J549">
        <v>6009</v>
      </c>
      <c r="K549">
        <v>3004</v>
      </c>
      <c r="L549">
        <v>32745</v>
      </c>
      <c r="M549">
        <v>6549</v>
      </c>
      <c r="N549">
        <v>9823</v>
      </c>
      <c r="O549">
        <v>3274</v>
      </c>
      <c r="P549">
        <v>-13098</v>
      </c>
      <c r="Q549">
        <v>-8186</v>
      </c>
      <c r="R549">
        <v>29983</v>
      </c>
      <c r="S549">
        <v>8994</v>
      </c>
      <c r="T549">
        <v>2998</v>
      </c>
      <c r="U549">
        <v>1637</v>
      </c>
      <c r="V549">
        <v>982</v>
      </c>
      <c r="W549">
        <v>654</v>
      </c>
      <c r="X549">
        <v>3274</v>
      </c>
      <c r="Y549">
        <v>1637</v>
      </c>
      <c r="Z549">
        <v>1499</v>
      </c>
      <c r="AA549">
        <v>899</v>
      </c>
      <c r="AB549">
        <v>599</v>
      </c>
    </row>
    <row r="550" spans="1:28" x14ac:dyDescent="0.35">
      <c r="A550" t="s">
        <v>595</v>
      </c>
      <c r="B550" t="s">
        <v>9</v>
      </c>
      <c r="C550" t="s">
        <v>1</v>
      </c>
      <c r="D550" t="s">
        <v>10</v>
      </c>
      <c r="E550" t="s">
        <v>11</v>
      </c>
      <c r="F550">
        <v>169062</v>
      </c>
      <c r="G550">
        <v>-59649</v>
      </c>
      <c r="H550">
        <v>49194</v>
      </c>
      <c r="I550">
        <v>169062</v>
      </c>
      <c r="J550">
        <v>16906</v>
      </c>
      <c r="K550">
        <v>8453</v>
      </c>
      <c r="L550">
        <v>118393</v>
      </c>
      <c r="M550">
        <v>23678</v>
      </c>
      <c r="N550">
        <v>35517</v>
      </c>
      <c r="O550">
        <v>11839</v>
      </c>
      <c r="P550">
        <v>-47357</v>
      </c>
      <c r="Q550">
        <v>-29598</v>
      </c>
      <c r="R550">
        <v>106402</v>
      </c>
      <c r="S550">
        <v>31920</v>
      </c>
      <c r="T550">
        <v>10640</v>
      </c>
      <c r="U550">
        <v>5919</v>
      </c>
      <c r="V550">
        <v>3551</v>
      </c>
      <c r="W550">
        <v>2367</v>
      </c>
      <c r="X550">
        <v>11839</v>
      </c>
      <c r="Y550">
        <v>5919</v>
      </c>
      <c r="Z550">
        <v>5320</v>
      </c>
      <c r="AA550">
        <v>3192</v>
      </c>
      <c r="AB550">
        <v>2128</v>
      </c>
    </row>
    <row r="551" spans="1:28" x14ac:dyDescent="0.35">
      <c r="A551" t="s">
        <v>596</v>
      </c>
      <c r="B551" t="s">
        <v>9</v>
      </c>
      <c r="C551" t="s">
        <v>1</v>
      </c>
      <c r="D551" t="s">
        <v>10</v>
      </c>
      <c r="E551" t="s">
        <v>11</v>
      </c>
      <c r="F551">
        <v>275926</v>
      </c>
      <c r="G551">
        <v>-112450</v>
      </c>
      <c r="H551">
        <v>105701</v>
      </c>
      <c r="I551">
        <v>275926</v>
      </c>
      <c r="J551">
        <v>27592</v>
      </c>
      <c r="K551">
        <v>13796</v>
      </c>
      <c r="L551">
        <v>212284</v>
      </c>
      <c r="M551">
        <v>42456</v>
      </c>
      <c r="N551">
        <v>63685</v>
      </c>
      <c r="O551">
        <v>21228</v>
      </c>
      <c r="P551">
        <v>-84913</v>
      </c>
      <c r="Q551">
        <v>-53071</v>
      </c>
      <c r="R551">
        <v>199446</v>
      </c>
      <c r="S551">
        <v>59833</v>
      </c>
      <c r="T551">
        <v>19944</v>
      </c>
      <c r="U551">
        <v>10614</v>
      </c>
      <c r="V551">
        <v>6368</v>
      </c>
      <c r="W551">
        <v>4245</v>
      </c>
      <c r="X551">
        <v>21228</v>
      </c>
      <c r="Y551">
        <v>10614</v>
      </c>
      <c r="Z551">
        <v>9972</v>
      </c>
      <c r="AA551">
        <v>5983</v>
      </c>
      <c r="AB551">
        <v>3988</v>
      </c>
    </row>
    <row r="552" spans="1:28" x14ac:dyDescent="0.35">
      <c r="A552" t="s">
        <v>597</v>
      </c>
      <c r="B552" t="s">
        <v>9</v>
      </c>
      <c r="C552" t="s">
        <v>1</v>
      </c>
      <c r="D552" t="s">
        <v>10</v>
      </c>
      <c r="E552" t="s">
        <v>11</v>
      </c>
      <c r="F552">
        <v>167771</v>
      </c>
      <c r="G552">
        <v>-91787</v>
      </c>
      <c r="H552">
        <v>41965</v>
      </c>
      <c r="I552">
        <v>167771</v>
      </c>
      <c r="J552">
        <v>16777</v>
      </c>
      <c r="K552">
        <v>8388</v>
      </c>
      <c r="L552">
        <v>42134</v>
      </c>
      <c r="M552">
        <v>8426</v>
      </c>
      <c r="N552">
        <v>12640</v>
      </c>
      <c r="O552">
        <v>4213</v>
      </c>
      <c r="P552">
        <v>-16853</v>
      </c>
      <c r="Q552">
        <v>-10533</v>
      </c>
      <c r="R552">
        <v>43788</v>
      </c>
      <c r="S552">
        <v>13136</v>
      </c>
      <c r="T552">
        <v>4378</v>
      </c>
      <c r="U552">
        <v>2106</v>
      </c>
      <c r="V552">
        <v>1264</v>
      </c>
      <c r="W552">
        <v>842</v>
      </c>
      <c r="X552">
        <v>4213</v>
      </c>
      <c r="Y552">
        <v>2106</v>
      </c>
      <c r="Z552">
        <v>2189</v>
      </c>
      <c r="AA552">
        <v>1313</v>
      </c>
      <c r="AB552">
        <v>875</v>
      </c>
    </row>
    <row r="553" spans="1:28" x14ac:dyDescent="0.35">
      <c r="A553" t="s">
        <v>598</v>
      </c>
      <c r="B553" t="s">
        <v>9</v>
      </c>
      <c r="C553" t="s">
        <v>1</v>
      </c>
      <c r="D553" t="s">
        <v>10</v>
      </c>
      <c r="E553" t="s">
        <v>11</v>
      </c>
      <c r="F553">
        <v>334538</v>
      </c>
      <c r="G553">
        <v>-126142</v>
      </c>
      <c r="H553">
        <v>43547</v>
      </c>
      <c r="I553">
        <v>334538</v>
      </c>
      <c r="J553">
        <v>33453</v>
      </c>
      <c r="K553">
        <v>16726</v>
      </c>
      <c r="L553">
        <v>237147</v>
      </c>
      <c r="M553">
        <v>47429</v>
      </c>
      <c r="N553">
        <v>71144</v>
      </c>
      <c r="O553">
        <v>23714</v>
      </c>
      <c r="P553">
        <v>-94858</v>
      </c>
      <c r="Q553">
        <v>-59286</v>
      </c>
      <c r="R553">
        <v>251048</v>
      </c>
      <c r="S553">
        <v>75314</v>
      </c>
      <c r="T553">
        <v>25104</v>
      </c>
      <c r="U553">
        <v>11857</v>
      </c>
      <c r="V553">
        <v>7114</v>
      </c>
      <c r="W553">
        <v>4742</v>
      </c>
      <c r="X553">
        <v>23714</v>
      </c>
      <c r="Y553">
        <v>11857</v>
      </c>
      <c r="Z553">
        <v>12552</v>
      </c>
      <c r="AA553">
        <v>7531</v>
      </c>
      <c r="AB553">
        <v>5020</v>
      </c>
    </row>
    <row r="554" spans="1:28" x14ac:dyDescent="0.35">
      <c r="A554" t="s">
        <v>599</v>
      </c>
      <c r="B554" t="s">
        <v>9</v>
      </c>
      <c r="C554" t="s">
        <v>1</v>
      </c>
      <c r="D554" t="s">
        <v>10</v>
      </c>
      <c r="E554" t="s">
        <v>11</v>
      </c>
      <c r="F554">
        <v>339136</v>
      </c>
      <c r="G554">
        <v>-176527</v>
      </c>
      <c r="H554">
        <v>165444</v>
      </c>
      <c r="I554">
        <v>339136</v>
      </c>
      <c r="J554">
        <v>33913</v>
      </c>
      <c r="K554">
        <v>16956</v>
      </c>
      <c r="L554">
        <v>134239</v>
      </c>
      <c r="M554">
        <v>26847</v>
      </c>
      <c r="N554">
        <v>40271</v>
      </c>
      <c r="O554">
        <v>13423</v>
      </c>
      <c r="P554">
        <v>-53695</v>
      </c>
      <c r="Q554">
        <v>-33559</v>
      </c>
      <c r="R554">
        <v>138400</v>
      </c>
      <c r="S554">
        <v>41520</v>
      </c>
      <c r="T554">
        <v>13840</v>
      </c>
      <c r="U554">
        <v>6711</v>
      </c>
      <c r="V554">
        <v>4027</v>
      </c>
      <c r="W554">
        <v>2684</v>
      </c>
      <c r="X554">
        <v>13423</v>
      </c>
      <c r="Y554">
        <v>6711</v>
      </c>
      <c r="Z554">
        <v>6920</v>
      </c>
      <c r="AA554">
        <v>4152</v>
      </c>
      <c r="AB554">
        <v>2768</v>
      </c>
    </row>
    <row r="555" spans="1:28" x14ac:dyDescent="0.35">
      <c r="A555" t="s">
        <v>600</v>
      </c>
      <c r="B555" t="s">
        <v>9</v>
      </c>
      <c r="C555" t="s">
        <v>1</v>
      </c>
      <c r="D555" t="s">
        <v>10</v>
      </c>
      <c r="E555" t="s">
        <v>11</v>
      </c>
      <c r="F555">
        <v>131298</v>
      </c>
      <c r="G555">
        <v>-61146</v>
      </c>
      <c r="H555">
        <v>16104</v>
      </c>
      <c r="I555">
        <v>131298</v>
      </c>
      <c r="J555">
        <v>13129</v>
      </c>
      <c r="K555">
        <v>6564</v>
      </c>
      <c r="L555">
        <v>54631</v>
      </c>
      <c r="M555">
        <v>10926</v>
      </c>
      <c r="N555">
        <v>16389</v>
      </c>
      <c r="O555">
        <v>5463</v>
      </c>
      <c r="P555">
        <v>-21852</v>
      </c>
      <c r="Q555">
        <v>-13657</v>
      </c>
      <c r="R555">
        <v>55845</v>
      </c>
      <c r="S555">
        <v>16753</v>
      </c>
      <c r="T555">
        <v>5584</v>
      </c>
      <c r="U555">
        <v>2731</v>
      </c>
      <c r="V555">
        <v>1638</v>
      </c>
      <c r="W555">
        <v>1092</v>
      </c>
      <c r="X555">
        <v>5463</v>
      </c>
      <c r="Y555">
        <v>2731</v>
      </c>
      <c r="Z555">
        <v>2792</v>
      </c>
      <c r="AA555">
        <v>1675</v>
      </c>
      <c r="AB555">
        <v>1116</v>
      </c>
    </row>
    <row r="556" spans="1:28" x14ac:dyDescent="0.35">
      <c r="A556" t="s">
        <v>601</v>
      </c>
      <c r="B556" t="s">
        <v>9</v>
      </c>
      <c r="C556" t="s">
        <v>1</v>
      </c>
      <c r="D556" t="s">
        <v>10</v>
      </c>
      <c r="E556" t="s">
        <v>11</v>
      </c>
      <c r="F556">
        <v>110734</v>
      </c>
      <c r="G556">
        <v>-38858</v>
      </c>
      <c r="H556">
        <v>18748</v>
      </c>
      <c r="I556">
        <v>110734</v>
      </c>
      <c r="J556">
        <v>11073</v>
      </c>
      <c r="K556">
        <v>5536</v>
      </c>
      <c r="L556">
        <v>54789</v>
      </c>
      <c r="M556">
        <v>10957</v>
      </c>
      <c r="N556">
        <v>16436</v>
      </c>
      <c r="O556">
        <v>5478</v>
      </c>
      <c r="P556">
        <v>-21915</v>
      </c>
      <c r="Q556">
        <v>-13697</v>
      </c>
      <c r="R556">
        <v>52688</v>
      </c>
      <c r="S556">
        <v>15806</v>
      </c>
      <c r="T556">
        <v>5268</v>
      </c>
      <c r="U556">
        <v>2739</v>
      </c>
      <c r="V556">
        <v>1643</v>
      </c>
      <c r="W556">
        <v>1095</v>
      </c>
      <c r="X556">
        <v>5478</v>
      </c>
      <c r="Y556">
        <v>2739</v>
      </c>
      <c r="Z556">
        <v>2634</v>
      </c>
      <c r="AA556">
        <v>1580</v>
      </c>
      <c r="AB556">
        <v>1053</v>
      </c>
    </row>
    <row r="557" spans="1:28" x14ac:dyDescent="0.35">
      <c r="A557" t="s">
        <v>602</v>
      </c>
      <c r="B557" t="s">
        <v>9</v>
      </c>
      <c r="C557" t="s">
        <v>1</v>
      </c>
      <c r="D557" t="s">
        <v>10</v>
      </c>
      <c r="E557" t="s">
        <v>11</v>
      </c>
      <c r="F557">
        <v>77061</v>
      </c>
      <c r="G557">
        <v>-24396</v>
      </c>
      <c r="H557">
        <v>20195</v>
      </c>
      <c r="I557">
        <v>77061</v>
      </c>
      <c r="J557">
        <v>7706</v>
      </c>
      <c r="K557">
        <v>3853</v>
      </c>
      <c r="L557">
        <v>26839</v>
      </c>
      <c r="M557">
        <v>5367</v>
      </c>
      <c r="N557">
        <v>8051</v>
      </c>
      <c r="O557">
        <v>2683</v>
      </c>
      <c r="P557">
        <v>-10735</v>
      </c>
      <c r="Q557">
        <v>-6709</v>
      </c>
      <c r="R557">
        <v>32093</v>
      </c>
      <c r="S557">
        <v>9627</v>
      </c>
      <c r="T557">
        <v>3209</v>
      </c>
      <c r="U557">
        <v>1341</v>
      </c>
      <c r="V557">
        <v>805</v>
      </c>
      <c r="W557">
        <v>536</v>
      </c>
      <c r="X557">
        <v>2683</v>
      </c>
      <c r="Y557">
        <v>1341</v>
      </c>
      <c r="Z557">
        <v>1604</v>
      </c>
      <c r="AA557">
        <v>962</v>
      </c>
      <c r="AB557">
        <v>641</v>
      </c>
    </row>
    <row r="558" spans="1:28" x14ac:dyDescent="0.35">
      <c r="A558" t="s">
        <v>603</v>
      </c>
      <c r="B558" t="s">
        <v>9</v>
      </c>
      <c r="C558" t="s">
        <v>1</v>
      </c>
      <c r="D558" t="s">
        <v>10</v>
      </c>
      <c r="E558" t="s">
        <v>11</v>
      </c>
      <c r="F558">
        <v>285178</v>
      </c>
      <c r="G558">
        <v>-111321</v>
      </c>
      <c r="H558">
        <v>73883</v>
      </c>
      <c r="I558">
        <v>285178</v>
      </c>
      <c r="J558">
        <v>28517</v>
      </c>
      <c r="K558">
        <v>14258</v>
      </c>
      <c r="L558">
        <v>141470</v>
      </c>
      <c r="M558">
        <v>28294</v>
      </c>
      <c r="N558">
        <v>42441</v>
      </c>
      <c r="O558">
        <v>14147</v>
      </c>
      <c r="P558">
        <v>-56588</v>
      </c>
      <c r="Q558">
        <v>-35367</v>
      </c>
      <c r="R558">
        <v>135142</v>
      </c>
      <c r="S558">
        <v>40542</v>
      </c>
      <c r="T558">
        <v>13514</v>
      </c>
      <c r="U558">
        <v>7073</v>
      </c>
      <c r="V558">
        <v>4244</v>
      </c>
      <c r="W558">
        <v>2829</v>
      </c>
      <c r="X558">
        <v>14147</v>
      </c>
      <c r="Y558">
        <v>7073</v>
      </c>
      <c r="Z558">
        <v>6757</v>
      </c>
      <c r="AA558">
        <v>4054</v>
      </c>
      <c r="AB558">
        <v>2702</v>
      </c>
    </row>
    <row r="559" spans="1:28" x14ac:dyDescent="0.35">
      <c r="A559" t="s">
        <v>604</v>
      </c>
      <c r="B559" t="s">
        <v>9</v>
      </c>
      <c r="C559" t="s">
        <v>1</v>
      </c>
      <c r="D559" t="s">
        <v>10</v>
      </c>
      <c r="E559" t="s">
        <v>11</v>
      </c>
      <c r="F559">
        <v>355561</v>
      </c>
      <c r="G559">
        <v>-170106</v>
      </c>
      <c r="H559">
        <v>55277</v>
      </c>
      <c r="I559">
        <v>355561</v>
      </c>
      <c r="J559">
        <v>35556</v>
      </c>
      <c r="K559">
        <v>17778</v>
      </c>
      <c r="L559">
        <v>261567</v>
      </c>
      <c r="M559">
        <v>52313</v>
      </c>
      <c r="N559">
        <v>78470</v>
      </c>
      <c r="O559">
        <v>26156</v>
      </c>
      <c r="P559">
        <v>-104626</v>
      </c>
      <c r="Q559">
        <v>-65391</v>
      </c>
      <c r="R559">
        <v>309863</v>
      </c>
      <c r="S559">
        <v>92958</v>
      </c>
      <c r="T559">
        <v>30986</v>
      </c>
      <c r="U559">
        <v>13078</v>
      </c>
      <c r="V559">
        <v>7847</v>
      </c>
      <c r="W559">
        <v>5231</v>
      </c>
      <c r="X559">
        <v>26156</v>
      </c>
      <c r="Y559">
        <v>13078</v>
      </c>
      <c r="Z559">
        <v>15493</v>
      </c>
      <c r="AA559">
        <v>9295</v>
      </c>
      <c r="AB559">
        <v>6197</v>
      </c>
    </row>
    <row r="560" spans="1:28" x14ac:dyDescent="0.35">
      <c r="A560" t="s">
        <v>605</v>
      </c>
      <c r="B560" t="s">
        <v>9</v>
      </c>
      <c r="C560" t="s">
        <v>1</v>
      </c>
      <c r="D560" t="s">
        <v>10</v>
      </c>
      <c r="E560" t="s">
        <v>11</v>
      </c>
      <c r="F560">
        <v>84706</v>
      </c>
      <c r="G560">
        <v>-47481</v>
      </c>
      <c r="H560">
        <v>11805</v>
      </c>
      <c r="I560">
        <v>84706</v>
      </c>
      <c r="J560">
        <v>8470</v>
      </c>
      <c r="K560">
        <v>4235</v>
      </c>
      <c r="L560">
        <v>52584</v>
      </c>
      <c r="M560">
        <v>10516</v>
      </c>
      <c r="N560">
        <v>15775</v>
      </c>
      <c r="O560">
        <v>5258</v>
      </c>
      <c r="P560">
        <v>-21033</v>
      </c>
      <c r="Q560">
        <v>-13146</v>
      </c>
      <c r="R560">
        <v>48564</v>
      </c>
      <c r="S560">
        <v>14569</v>
      </c>
      <c r="T560">
        <v>4856</v>
      </c>
      <c r="U560">
        <v>2629</v>
      </c>
      <c r="V560">
        <v>1577</v>
      </c>
      <c r="W560">
        <v>1051</v>
      </c>
      <c r="X560">
        <v>5258</v>
      </c>
      <c r="Y560">
        <v>2629</v>
      </c>
      <c r="Z560">
        <v>2428</v>
      </c>
      <c r="AA560">
        <v>1456</v>
      </c>
      <c r="AB560">
        <v>971</v>
      </c>
    </row>
    <row r="561" spans="1:28" x14ac:dyDescent="0.35">
      <c r="A561" t="s">
        <v>606</v>
      </c>
      <c r="B561" t="s">
        <v>9</v>
      </c>
      <c r="C561" t="s">
        <v>1</v>
      </c>
      <c r="D561" t="s">
        <v>10</v>
      </c>
      <c r="E561" t="s">
        <v>11</v>
      </c>
      <c r="F561">
        <v>315889</v>
      </c>
      <c r="G561">
        <v>-167346</v>
      </c>
      <c r="H561">
        <v>92609</v>
      </c>
      <c r="I561">
        <v>315889</v>
      </c>
      <c r="J561">
        <v>31588</v>
      </c>
      <c r="K561">
        <v>15794</v>
      </c>
      <c r="L561">
        <v>147516</v>
      </c>
      <c r="M561">
        <v>29503</v>
      </c>
      <c r="N561">
        <v>44254</v>
      </c>
      <c r="O561">
        <v>14751</v>
      </c>
      <c r="P561">
        <v>-59006</v>
      </c>
      <c r="Q561">
        <v>-36879</v>
      </c>
      <c r="R561">
        <v>128002</v>
      </c>
      <c r="S561">
        <v>38400</v>
      </c>
      <c r="T561">
        <v>12800</v>
      </c>
      <c r="U561">
        <v>7375</v>
      </c>
      <c r="V561">
        <v>4425</v>
      </c>
      <c r="W561">
        <v>2950</v>
      </c>
      <c r="X561">
        <v>14751</v>
      </c>
      <c r="Y561">
        <v>7375</v>
      </c>
      <c r="Z561">
        <v>6400</v>
      </c>
      <c r="AA561">
        <v>3840</v>
      </c>
      <c r="AB561">
        <v>2560</v>
      </c>
    </row>
    <row r="562" spans="1:28" x14ac:dyDescent="0.35">
      <c r="A562" t="s">
        <v>607</v>
      </c>
      <c r="B562" t="s">
        <v>9</v>
      </c>
      <c r="C562" t="s">
        <v>1</v>
      </c>
      <c r="D562" t="s">
        <v>10</v>
      </c>
      <c r="E562" t="s">
        <v>11</v>
      </c>
      <c r="F562">
        <v>314911</v>
      </c>
      <c r="G562">
        <v>-137467</v>
      </c>
      <c r="H562">
        <v>124333</v>
      </c>
      <c r="I562">
        <v>314911</v>
      </c>
      <c r="J562">
        <v>31491</v>
      </c>
      <c r="K562">
        <v>15745</v>
      </c>
      <c r="L562">
        <v>219435</v>
      </c>
      <c r="M562">
        <v>43887</v>
      </c>
      <c r="N562">
        <v>65830</v>
      </c>
      <c r="O562">
        <v>21943</v>
      </c>
      <c r="P562">
        <v>-87774</v>
      </c>
      <c r="Q562">
        <v>-54858</v>
      </c>
      <c r="R562">
        <v>250385</v>
      </c>
      <c r="S562">
        <v>75115</v>
      </c>
      <c r="T562">
        <v>25038</v>
      </c>
      <c r="U562">
        <v>10971</v>
      </c>
      <c r="V562">
        <v>6583</v>
      </c>
      <c r="W562">
        <v>4388</v>
      </c>
      <c r="X562">
        <v>21943</v>
      </c>
      <c r="Y562">
        <v>10971</v>
      </c>
      <c r="Z562">
        <v>12519</v>
      </c>
      <c r="AA562">
        <v>7511</v>
      </c>
      <c r="AB562">
        <v>5007</v>
      </c>
    </row>
    <row r="563" spans="1:28" x14ac:dyDescent="0.35">
      <c r="A563" t="s">
        <v>608</v>
      </c>
      <c r="B563" t="s">
        <v>9</v>
      </c>
      <c r="C563" t="s">
        <v>1</v>
      </c>
      <c r="D563" t="s">
        <v>10</v>
      </c>
      <c r="E563" t="s">
        <v>11</v>
      </c>
      <c r="F563">
        <v>246694</v>
      </c>
      <c r="G563">
        <v>-78609</v>
      </c>
      <c r="H563">
        <v>70001</v>
      </c>
      <c r="I563">
        <v>246694</v>
      </c>
      <c r="J563">
        <v>24669</v>
      </c>
      <c r="K563">
        <v>12334</v>
      </c>
      <c r="L563">
        <v>125564</v>
      </c>
      <c r="M563">
        <v>25112</v>
      </c>
      <c r="N563">
        <v>37669</v>
      </c>
      <c r="O563">
        <v>12556</v>
      </c>
      <c r="P563">
        <v>-50225</v>
      </c>
      <c r="Q563">
        <v>-31391</v>
      </c>
      <c r="R563">
        <v>122917</v>
      </c>
      <c r="S563">
        <v>36875</v>
      </c>
      <c r="T563">
        <v>12291</v>
      </c>
      <c r="U563">
        <v>6278</v>
      </c>
      <c r="V563">
        <v>3766</v>
      </c>
      <c r="W563">
        <v>2511</v>
      </c>
      <c r="X563">
        <v>12556</v>
      </c>
      <c r="Y563">
        <v>6278</v>
      </c>
      <c r="Z563">
        <v>6145</v>
      </c>
      <c r="AA563">
        <v>3687</v>
      </c>
      <c r="AB563">
        <v>2458</v>
      </c>
    </row>
    <row r="564" spans="1:28" x14ac:dyDescent="0.35">
      <c r="A564" t="s">
        <v>609</v>
      </c>
      <c r="B564" t="s">
        <v>9</v>
      </c>
      <c r="C564" t="s">
        <v>1</v>
      </c>
      <c r="D564" t="s">
        <v>10</v>
      </c>
      <c r="E564" t="s">
        <v>11</v>
      </c>
      <c r="F564">
        <v>262837</v>
      </c>
      <c r="G564">
        <v>-66008</v>
      </c>
      <c r="H564">
        <v>96940</v>
      </c>
      <c r="I564">
        <v>262837</v>
      </c>
      <c r="J564">
        <v>26283</v>
      </c>
      <c r="K564">
        <v>13141</v>
      </c>
      <c r="L564">
        <v>145217</v>
      </c>
      <c r="M564">
        <v>29043</v>
      </c>
      <c r="N564">
        <v>43565</v>
      </c>
      <c r="O564">
        <v>14521</v>
      </c>
      <c r="P564">
        <v>-58086</v>
      </c>
      <c r="Q564">
        <v>-36304</v>
      </c>
      <c r="R564">
        <v>131497</v>
      </c>
      <c r="S564">
        <v>39449</v>
      </c>
      <c r="T564">
        <v>13149</v>
      </c>
      <c r="U564">
        <v>7260</v>
      </c>
      <c r="V564">
        <v>4356</v>
      </c>
      <c r="W564">
        <v>2904</v>
      </c>
      <c r="X564">
        <v>14521</v>
      </c>
      <c r="Y564">
        <v>7260</v>
      </c>
      <c r="Z564">
        <v>6574</v>
      </c>
      <c r="AA564">
        <v>3944</v>
      </c>
      <c r="AB564">
        <v>2629</v>
      </c>
    </row>
    <row r="565" spans="1:28" x14ac:dyDescent="0.35">
      <c r="A565" t="s">
        <v>610</v>
      </c>
      <c r="B565" t="s">
        <v>9</v>
      </c>
      <c r="C565" t="s">
        <v>1</v>
      </c>
      <c r="D565" t="s">
        <v>10</v>
      </c>
      <c r="E565" t="s">
        <v>11</v>
      </c>
      <c r="F565">
        <v>294758</v>
      </c>
      <c r="G565">
        <v>-136652</v>
      </c>
      <c r="H565">
        <v>90350</v>
      </c>
      <c r="I565">
        <v>294758</v>
      </c>
      <c r="J565">
        <v>29475</v>
      </c>
      <c r="K565">
        <v>14737</v>
      </c>
      <c r="L565">
        <v>167248</v>
      </c>
      <c r="M565">
        <v>33449</v>
      </c>
      <c r="N565">
        <v>50174</v>
      </c>
      <c r="O565">
        <v>16724</v>
      </c>
      <c r="P565">
        <v>-66899</v>
      </c>
      <c r="Q565">
        <v>-41812</v>
      </c>
      <c r="R565">
        <v>148211</v>
      </c>
      <c r="S565">
        <v>44463</v>
      </c>
      <c r="T565">
        <v>14821</v>
      </c>
      <c r="U565">
        <v>8362</v>
      </c>
      <c r="V565">
        <v>5017</v>
      </c>
      <c r="W565">
        <v>3344</v>
      </c>
      <c r="X565">
        <v>16724</v>
      </c>
      <c r="Y565">
        <v>8362</v>
      </c>
      <c r="Z565">
        <v>7410</v>
      </c>
      <c r="AA565">
        <v>4446</v>
      </c>
      <c r="AB565">
        <v>2964</v>
      </c>
    </row>
    <row r="566" spans="1:28" x14ac:dyDescent="0.35">
      <c r="A566" t="s">
        <v>611</v>
      </c>
      <c r="B566" t="s">
        <v>9</v>
      </c>
      <c r="C566" t="s">
        <v>1</v>
      </c>
      <c r="D566" t="s">
        <v>10</v>
      </c>
      <c r="E566" t="s">
        <v>11</v>
      </c>
      <c r="F566">
        <v>135239</v>
      </c>
      <c r="G566">
        <v>-65130</v>
      </c>
      <c r="H566">
        <v>64054</v>
      </c>
      <c r="I566">
        <v>135239</v>
      </c>
      <c r="J566">
        <v>13523</v>
      </c>
      <c r="K566">
        <v>6761</v>
      </c>
      <c r="L566">
        <v>95596</v>
      </c>
      <c r="M566">
        <v>19119</v>
      </c>
      <c r="N566">
        <v>28678</v>
      </c>
      <c r="O566">
        <v>9559</v>
      </c>
      <c r="P566">
        <v>-38238</v>
      </c>
      <c r="Q566">
        <v>-23899</v>
      </c>
      <c r="R566">
        <v>88238</v>
      </c>
      <c r="S566">
        <v>26471</v>
      </c>
      <c r="T566">
        <v>8823</v>
      </c>
      <c r="U566">
        <v>4779</v>
      </c>
      <c r="V566">
        <v>2867</v>
      </c>
      <c r="W566">
        <v>1911</v>
      </c>
      <c r="X566">
        <v>9559</v>
      </c>
      <c r="Y566">
        <v>4779</v>
      </c>
      <c r="Z566">
        <v>4411</v>
      </c>
      <c r="AA566">
        <v>2647</v>
      </c>
      <c r="AB566">
        <v>1764</v>
      </c>
    </row>
    <row r="567" spans="1:28" x14ac:dyDescent="0.35">
      <c r="A567" t="s">
        <v>612</v>
      </c>
      <c r="B567" t="s">
        <v>9</v>
      </c>
      <c r="C567" t="s">
        <v>1</v>
      </c>
      <c r="D567" t="s">
        <v>10</v>
      </c>
      <c r="E567" t="s">
        <v>11</v>
      </c>
      <c r="F567">
        <v>122808</v>
      </c>
      <c r="G567">
        <v>-69602</v>
      </c>
      <c r="H567">
        <v>60856</v>
      </c>
      <c r="I567">
        <v>122808</v>
      </c>
      <c r="J567">
        <v>12280</v>
      </c>
      <c r="K567">
        <v>6140</v>
      </c>
      <c r="L567">
        <v>48487</v>
      </c>
      <c r="M567">
        <v>9697</v>
      </c>
      <c r="N567">
        <v>14546</v>
      </c>
      <c r="O567">
        <v>4848</v>
      </c>
      <c r="P567">
        <v>-19394</v>
      </c>
      <c r="Q567">
        <v>-12121</v>
      </c>
      <c r="R567">
        <v>46505</v>
      </c>
      <c r="S567">
        <v>13951</v>
      </c>
      <c r="T567">
        <v>4650</v>
      </c>
      <c r="U567">
        <v>2424</v>
      </c>
      <c r="V567">
        <v>1454</v>
      </c>
      <c r="W567">
        <v>969</v>
      </c>
      <c r="X567">
        <v>4848</v>
      </c>
      <c r="Y567">
        <v>2424</v>
      </c>
      <c r="Z567">
        <v>2325</v>
      </c>
      <c r="AA567">
        <v>1395</v>
      </c>
      <c r="AB567">
        <v>930</v>
      </c>
    </row>
    <row r="568" spans="1:28" x14ac:dyDescent="0.35">
      <c r="A568" t="s">
        <v>613</v>
      </c>
      <c r="B568" t="s">
        <v>9</v>
      </c>
      <c r="C568" t="s">
        <v>1</v>
      </c>
      <c r="D568" t="s">
        <v>10</v>
      </c>
      <c r="E568" t="s">
        <v>11</v>
      </c>
      <c r="F568">
        <v>265121</v>
      </c>
      <c r="G568">
        <v>-89425</v>
      </c>
      <c r="H568">
        <v>80351</v>
      </c>
      <c r="I568">
        <v>265121</v>
      </c>
      <c r="J568">
        <v>26512</v>
      </c>
      <c r="K568">
        <v>13256</v>
      </c>
      <c r="L568">
        <v>110084</v>
      </c>
      <c r="M568">
        <v>22016</v>
      </c>
      <c r="N568">
        <v>33025</v>
      </c>
      <c r="O568">
        <v>11008</v>
      </c>
      <c r="P568">
        <v>-44033</v>
      </c>
      <c r="Q568">
        <v>-27521</v>
      </c>
      <c r="R568">
        <v>90592</v>
      </c>
      <c r="S568">
        <v>27177</v>
      </c>
      <c r="T568">
        <v>9059</v>
      </c>
      <c r="U568">
        <v>5504</v>
      </c>
      <c r="V568">
        <v>3302</v>
      </c>
      <c r="W568">
        <v>2201</v>
      </c>
      <c r="X568">
        <v>11008</v>
      </c>
      <c r="Y568">
        <v>5504</v>
      </c>
      <c r="Z568">
        <v>4529</v>
      </c>
      <c r="AA568">
        <v>2717</v>
      </c>
      <c r="AB568">
        <v>1811</v>
      </c>
    </row>
    <row r="569" spans="1:28" x14ac:dyDescent="0.35">
      <c r="A569" t="s">
        <v>614</v>
      </c>
      <c r="B569" t="s">
        <v>9</v>
      </c>
      <c r="C569" t="s">
        <v>1</v>
      </c>
      <c r="D569" t="s">
        <v>10</v>
      </c>
      <c r="E569" t="s">
        <v>11</v>
      </c>
      <c r="F569">
        <v>100531</v>
      </c>
      <c r="G569">
        <v>-24162</v>
      </c>
      <c r="H569">
        <v>16844</v>
      </c>
      <c r="I569">
        <v>100531</v>
      </c>
      <c r="J569">
        <v>10053</v>
      </c>
      <c r="K569">
        <v>5026</v>
      </c>
      <c r="L569">
        <v>54424</v>
      </c>
      <c r="M569">
        <v>10884</v>
      </c>
      <c r="N569">
        <v>16327</v>
      </c>
      <c r="O569">
        <v>5442</v>
      </c>
      <c r="P569">
        <v>-21769</v>
      </c>
      <c r="Q569">
        <v>-13606</v>
      </c>
      <c r="R569">
        <v>62058</v>
      </c>
      <c r="S569">
        <v>18617</v>
      </c>
      <c r="T569">
        <v>6205</v>
      </c>
      <c r="U569">
        <v>2721</v>
      </c>
      <c r="V569">
        <v>1632</v>
      </c>
      <c r="W569">
        <v>1088</v>
      </c>
      <c r="X569">
        <v>5442</v>
      </c>
      <c r="Y569">
        <v>2721</v>
      </c>
      <c r="Z569">
        <v>3102</v>
      </c>
      <c r="AA569">
        <v>1861</v>
      </c>
      <c r="AB569">
        <v>1241</v>
      </c>
    </row>
    <row r="570" spans="1:28" x14ac:dyDescent="0.35">
      <c r="A570" t="s">
        <v>615</v>
      </c>
      <c r="B570" t="s">
        <v>9</v>
      </c>
      <c r="C570" t="s">
        <v>1</v>
      </c>
      <c r="D570" t="s">
        <v>10</v>
      </c>
      <c r="E570" t="s">
        <v>11</v>
      </c>
      <c r="F570">
        <v>55154</v>
      </c>
      <c r="G570">
        <v>-27665</v>
      </c>
      <c r="H570">
        <v>25986</v>
      </c>
      <c r="I570">
        <v>55154</v>
      </c>
      <c r="J570">
        <v>5515</v>
      </c>
      <c r="K570">
        <v>2757</v>
      </c>
      <c r="L570">
        <v>35262</v>
      </c>
      <c r="M570">
        <v>7052</v>
      </c>
      <c r="N570">
        <v>10578</v>
      </c>
      <c r="O570">
        <v>3526</v>
      </c>
      <c r="P570">
        <v>-14104</v>
      </c>
      <c r="Q570">
        <v>-8815</v>
      </c>
      <c r="R570">
        <v>34353</v>
      </c>
      <c r="S570">
        <v>10305</v>
      </c>
      <c r="T570">
        <v>3435</v>
      </c>
      <c r="U570">
        <v>1763</v>
      </c>
      <c r="V570">
        <v>1057</v>
      </c>
      <c r="W570">
        <v>705</v>
      </c>
      <c r="X570">
        <v>3526</v>
      </c>
      <c r="Y570">
        <v>1763</v>
      </c>
      <c r="Z570">
        <v>1717</v>
      </c>
      <c r="AA570">
        <v>1030</v>
      </c>
      <c r="AB570">
        <v>687</v>
      </c>
    </row>
    <row r="571" spans="1:28" x14ac:dyDescent="0.35">
      <c r="A571" t="s">
        <v>616</v>
      </c>
      <c r="B571" t="s">
        <v>9</v>
      </c>
      <c r="C571" t="s">
        <v>1</v>
      </c>
      <c r="D571" t="s">
        <v>10</v>
      </c>
      <c r="E571" t="s">
        <v>11</v>
      </c>
      <c r="F571">
        <v>188005</v>
      </c>
      <c r="G571">
        <v>-67911</v>
      </c>
      <c r="H571">
        <v>87902</v>
      </c>
      <c r="I571">
        <v>188005</v>
      </c>
      <c r="J571">
        <v>18800</v>
      </c>
      <c r="K571">
        <v>9400</v>
      </c>
      <c r="L571">
        <v>84001</v>
      </c>
      <c r="M571">
        <v>16800</v>
      </c>
      <c r="N571">
        <v>25200</v>
      </c>
      <c r="O571">
        <v>8400</v>
      </c>
      <c r="P571">
        <v>-33600</v>
      </c>
      <c r="Q571">
        <v>-21000</v>
      </c>
      <c r="R571">
        <v>91837</v>
      </c>
      <c r="S571">
        <v>27551</v>
      </c>
      <c r="T571">
        <v>9183</v>
      </c>
      <c r="U571">
        <v>4200</v>
      </c>
      <c r="V571">
        <v>2520</v>
      </c>
      <c r="W571">
        <v>1680</v>
      </c>
      <c r="X571">
        <v>8400</v>
      </c>
      <c r="Y571">
        <v>4200</v>
      </c>
      <c r="Z571">
        <v>4591</v>
      </c>
      <c r="AA571">
        <v>2755</v>
      </c>
      <c r="AB571">
        <v>1836</v>
      </c>
    </row>
    <row r="572" spans="1:28" x14ac:dyDescent="0.35">
      <c r="A572" t="s">
        <v>617</v>
      </c>
      <c r="B572" t="s">
        <v>9</v>
      </c>
      <c r="C572" t="s">
        <v>1</v>
      </c>
      <c r="D572" t="s">
        <v>10</v>
      </c>
      <c r="E572" t="s">
        <v>11</v>
      </c>
      <c r="F572">
        <v>193635</v>
      </c>
      <c r="G572">
        <v>-68771</v>
      </c>
      <c r="H572">
        <v>55482</v>
      </c>
      <c r="I572">
        <v>193635</v>
      </c>
      <c r="J572">
        <v>19363</v>
      </c>
      <c r="K572">
        <v>9681</v>
      </c>
      <c r="L572">
        <v>75786</v>
      </c>
      <c r="M572">
        <v>15157</v>
      </c>
      <c r="N572">
        <v>22735</v>
      </c>
      <c r="O572">
        <v>7578</v>
      </c>
      <c r="P572">
        <v>-30314</v>
      </c>
      <c r="Q572">
        <v>-18946</v>
      </c>
      <c r="R572">
        <v>72908</v>
      </c>
      <c r="S572">
        <v>21872</v>
      </c>
      <c r="T572">
        <v>7290</v>
      </c>
      <c r="U572">
        <v>3789</v>
      </c>
      <c r="V572">
        <v>2273</v>
      </c>
      <c r="W572">
        <v>1515</v>
      </c>
      <c r="X572">
        <v>7578</v>
      </c>
      <c r="Y572">
        <v>3789</v>
      </c>
      <c r="Z572">
        <v>3645</v>
      </c>
      <c r="AA572">
        <v>2187</v>
      </c>
      <c r="AB572">
        <v>1458</v>
      </c>
    </row>
    <row r="573" spans="1:28" x14ac:dyDescent="0.35">
      <c r="A573" t="s">
        <v>618</v>
      </c>
      <c r="B573" t="s">
        <v>9</v>
      </c>
      <c r="C573" t="s">
        <v>1</v>
      </c>
      <c r="D573" t="s">
        <v>10</v>
      </c>
      <c r="E573" t="s">
        <v>11</v>
      </c>
      <c r="F573">
        <v>158351</v>
      </c>
      <c r="G573">
        <v>-79692</v>
      </c>
      <c r="H573">
        <v>23432</v>
      </c>
      <c r="I573">
        <v>158351</v>
      </c>
      <c r="J573">
        <v>15835</v>
      </c>
      <c r="K573">
        <v>7917</v>
      </c>
      <c r="L573">
        <v>107252</v>
      </c>
      <c r="M573">
        <v>21450</v>
      </c>
      <c r="N573">
        <v>32175</v>
      </c>
      <c r="O573">
        <v>10725</v>
      </c>
      <c r="P573">
        <v>-42900</v>
      </c>
      <c r="Q573">
        <v>-26813</v>
      </c>
      <c r="R573">
        <v>115896</v>
      </c>
      <c r="S573">
        <v>34768</v>
      </c>
      <c r="T573">
        <v>11589</v>
      </c>
      <c r="U573">
        <v>5362</v>
      </c>
      <c r="V573">
        <v>3217</v>
      </c>
      <c r="W573">
        <v>2145</v>
      </c>
      <c r="X573">
        <v>10725</v>
      </c>
      <c r="Y573">
        <v>5362</v>
      </c>
      <c r="Z573">
        <v>5794</v>
      </c>
      <c r="AA573">
        <v>3476</v>
      </c>
      <c r="AB573">
        <v>2317</v>
      </c>
    </row>
    <row r="574" spans="1:28" x14ac:dyDescent="0.35">
      <c r="A574" t="s">
        <v>619</v>
      </c>
      <c r="B574" t="s">
        <v>9</v>
      </c>
      <c r="C574" t="s">
        <v>1</v>
      </c>
      <c r="D574" t="s">
        <v>10</v>
      </c>
      <c r="E574" t="s">
        <v>11</v>
      </c>
      <c r="F574">
        <v>64346</v>
      </c>
      <c r="G574">
        <v>-16938</v>
      </c>
      <c r="H574">
        <v>20989</v>
      </c>
      <c r="I574">
        <v>64346</v>
      </c>
      <c r="J574">
        <v>6434</v>
      </c>
      <c r="K574">
        <v>3217</v>
      </c>
      <c r="L574">
        <v>20699</v>
      </c>
      <c r="M574">
        <v>4139</v>
      </c>
      <c r="N574">
        <v>6209</v>
      </c>
      <c r="O574">
        <v>2069</v>
      </c>
      <c r="P574">
        <v>-8279</v>
      </c>
      <c r="Q574">
        <v>-5174</v>
      </c>
      <c r="R574">
        <v>22975</v>
      </c>
      <c r="S574">
        <v>6892</v>
      </c>
      <c r="T574">
        <v>2297</v>
      </c>
      <c r="U574">
        <v>1034</v>
      </c>
      <c r="V574">
        <v>620</v>
      </c>
      <c r="W574">
        <v>413</v>
      </c>
      <c r="X574">
        <v>2069</v>
      </c>
      <c r="Y574">
        <v>1034</v>
      </c>
      <c r="Z574">
        <v>1148</v>
      </c>
      <c r="AA574">
        <v>689</v>
      </c>
      <c r="AB574">
        <v>459</v>
      </c>
    </row>
    <row r="575" spans="1:28" x14ac:dyDescent="0.35">
      <c r="A575" t="s">
        <v>620</v>
      </c>
      <c r="B575" t="s">
        <v>9</v>
      </c>
      <c r="C575" t="s">
        <v>1</v>
      </c>
      <c r="D575" t="s">
        <v>10</v>
      </c>
      <c r="E575" t="s">
        <v>11</v>
      </c>
      <c r="F575">
        <v>320569</v>
      </c>
      <c r="G575">
        <v>-122487</v>
      </c>
      <c r="H575">
        <v>130914</v>
      </c>
      <c r="I575">
        <v>320569</v>
      </c>
      <c r="J575">
        <v>32056</v>
      </c>
      <c r="K575">
        <v>16028</v>
      </c>
      <c r="L575">
        <v>66521</v>
      </c>
      <c r="M575">
        <v>13304</v>
      </c>
      <c r="N575">
        <v>19956</v>
      </c>
      <c r="O575">
        <v>6652</v>
      </c>
      <c r="P575">
        <v>-26608</v>
      </c>
      <c r="Q575">
        <v>-16630</v>
      </c>
      <c r="R575">
        <v>71079</v>
      </c>
      <c r="S575">
        <v>21323</v>
      </c>
      <c r="T575">
        <v>7107</v>
      </c>
      <c r="U575">
        <v>3326</v>
      </c>
      <c r="V575">
        <v>1995</v>
      </c>
      <c r="W575">
        <v>1330</v>
      </c>
      <c r="X575">
        <v>6652</v>
      </c>
      <c r="Y575">
        <v>3326</v>
      </c>
      <c r="Z575">
        <v>3553</v>
      </c>
      <c r="AA575">
        <v>2132</v>
      </c>
      <c r="AB575">
        <v>1421</v>
      </c>
    </row>
    <row r="576" spans="1:28" x14ac:dyDescent="0.35">
      <c r="A576" t="s">
        <v>621</v>
      </c>
      <c r="B576" t="s">
        <v>9</v>
      </c>
      <c r="C576" t="s">
        <v>1</v>
      </c>
      <c r="D576" t="s">
        <v>10</v>
      </c>
      <c r="E576" t="s">
        <v>11</v>
      </c>
      <c r="F576">
        <v>349711</v>
      </c>
      <c r="G576">
        <v>-104081</v>
      </c>
      <c r="H576">
        <v>59203</v>
      </c>
      <c r="I576">
        <v>349711</v>
      </c>
      <c r="J576">
        <v>34971</v>
      </c>
      <c r="K576">
        <v>17485</v>
      </c>
      <c r="L576">
        <v>258646</v>
      </c>
      <c r="M576">
        <v>51729</v>
      </c>
      <c r="N576">
        <v>77593</v>
      </c>
      <c r="O576">
        <v>25864</v>
      </c>
      <c r="P576">
        <v>-103458</v>
      </c>
      <c r="Q576">
        <v>-64661</v>
      </c>
      <c r="R576">
        <v>229644</v>
      </c>
      <c r="S576">
        <v>68893</v>
      </c>
      <c r="T576">
        <v>22964</v>
      </c>
      <c r="U576">
        <v>12932</v>
      </c>
      <c r="V576">
        <v>7759</v>
      </c>
      <c r="W576">
        <v>5172</v>
      </c>
      <c r="X576">
        <v>25864</v>
      </c>
      <c r="Y576">
        <v>12932</v>
      </c>
      <c r="Z576">
        <v>11482</v>
      </c>
      <c r="AA576">
        <v>6889</v>
      </c>
      <c r="AB576">
        <v>4592</v>
      </c>
    </row>
    <row r="577" spans="1:28" x14ac:dyDescent="0.35">
      <c r="A577" t="s">
        <v>622</v>
      </c>
      <c r="B577" t="s">
        <v>9</v>
      </c>
      <c r="C577" t="s">
        <v>1</v>
      </c>
      <c r="D577" t="s">
        <v>10</v>
      </c>
      <c r="E577" t="s">
        <v>11</v>
      </c>
      <c r="F577">
        <v>215020</v>
      </c>
      <c r="G577">
        <v>-119284</v>
      </c>
      <c r="H577">
        <v>59663</v>
      </c>
      <c r="I577">
        <v>215020</v>
      </c>
      <c r="J577">
        <v>21502</v>
      </c>
      <c r="K577">
        <v>10751</v>
      </c>
      <c r="L577">
        <v>86329</v>
      </c>
      <c r="M577">
        <v>17265</v>
      </c>
      <c r="N577">
        <v>25898</v>
      </c>
      <c r="O577">
        <v>8632</v>
      </c>
      <c r="P577">
        <v>-34531</v>
      </c>
      <c r="Q577">
        <v>-21582</v>
      </c>
      <c r="R577">
        <v>80391</v>
      </c>
      <c r="S577">
        <v>24117</v>
      </c>
      <c r="T577">
        <v>8039</v>
      </c>
      <c r="U577">
        <v>4316</v>
      </c>
      <c r="V577">
        <v>2589</v>
      </c>
      <c r="W577">
        <v>1726</v>
      </c>
      <c r="X577">
        <v>8632</v>
      </c>
      <c r="Y577">
        <v>4316</v>
      </c>
      <c r="Z577">
        <v>4019</v>
      </c>
      <c r="AA577">
        <v>2411</v>
      </c>
      <c r="AB577">
        <v>1607</v>
      </c>
    </row>
    <row r="578" spans="1:28" x14ac:dyDescent="0.35">
      <c r="A578" t="s">
        <v>623</v>
      </c>
      <c r="B578" t="s">
        <v>9</v>
      </c>
      <c r="C578" t="s">
        <v>1</v>
      </c>
      <c r="D578" t="s">
        <v>10</v>
      </c>
      <c r="E578" t="s">
        <v>11</v>
      </c>
      <c r="F578">
        <v>372838</v>
      </c>
      <c r="G578">
        <v>-211433</v>
      </c>
      <c r="H578">
        <v>144811</v>
      </c>
      <c r="I578">
        <v>372838</v>
      </c>
      <c r="J578">
        <v>37283</v>
      </c>
      <c r="K578">
        <v>18641</v>
      </c>
      <c r="L578">
        <v>139669</v>
      </c>
      <c r="M578">
        <v>27933</v>
      </c>
      <c r="N578">
        <v>41900</v>
      </c>
      <c r="O578">
        <v>13966</v>
      </c>
      <c r="P578">
        <v>-55867</v>
      </c>
      <c r="Q578">
        <v>-34917</v>
      </c>
      <c r="R578">
        <v>146460</v>
      </c>
      <c r="S578">
        <v>43938</v>
      </c>
      <c r="T578">
        <v>14646</v>
      </c>
      <c r="U578">
        <v>6983</v>
      </c>
      <c r="V578">
        <v>4190</v>
      </c>
      <c r="W578">
        <v>2793</v>
      </c>
      <c r="X578">
        <v>13966</v>
      </c>
      <c r="Y578">
        <v>6983</v>
      </c>
      <c r="Z578">
        <v>7323</v>
      </c>
      <c r="AA578">
        <v>4393</v>
      </c>
      <c r="AB578">
        <v>2929</v>
      </c>
    </row>
    <row r="579" spans="1:28" x14ac:dyDescent="0.35">
      <c r="A579" t="s">
        <v>624</v>
      </c>
      <c r="B579" t="s">
        <v>9</v>
      </c>
      <c r="C579" t="s">
        <v>1</v>
      </c>
      <c r="D579" t="s">
        <v>10</v>
      </c>
      <c r="E579" t="s">
        <v>11</v>
      </c>
      <c r="F579">
        <v>219915</v>
      </c>
      <c r="G579">
        <v>-55650</v>
      </c>
      <c r="H579">
        <v>99106</v>
      </c>
      <c r="I579">
        <v>219915</v>
      </c>
      <c r="J579">
        <v>21991</v>
      </c>
      <c r="K579">
        <v>10995</v>
      </c>
      <c r="L579">
        <v>135357</v>
      </c>
      <c r="M579">
        <v>27071</v>
      </c>
      <c r="N579">
        <v>40607</v>
      </c>
      <c r="O579">
        <v>13535</v>
      </c>
      <c r="P579">
        <v>-54142</v>
      </c>
      <c r="Q579">
        <v>-33839</v>
      </c>
      <c r="R579">
        <v>155711</v>
      </c>
      <c r="S579">
        <v>46713</v>
      </c>
      <c r="T579">
        <v>15571</v>
      </c>
      <c r="U579">
        <v>6767</v>
      </c>
      <c r="V579">
        <v>4060</v>
      </c>
      <c r="W579">
        <v>2707</v>
      </c>
      <c r="X579">
        <v>13535</v>
      </c>
      <c r="Y579">
        <v>6767</v>
      </c>
      <c r="Z579">
        <v>7785</v>
      </c>
      <c r="AA579">
        <v>4671</v>
      </c>
      <c r="AB579">
        <v>3114</v>
      </c>
    </row>
    <row r="580" spans="1:28" x14ac:dyDescent="0.35">
      <c r="A580" t="s">
        <v>625</v>
      </c>
      <c r="B580" t="s">
        <v>9</v>
      </c>
      <c r="C580" t="s">
        <v>1</v>
      </c>
      <c r="D580" t="s">
        <v>10</v>
      </c>
      <c r="E580" t="s">
        <v>11</v>
      </c>
      <c r="F580">
        <v>195088</v>
      </c>
      <c r="G580">
        <v>-92084</v>
      </c>
      <c r="H580">
        <v>89916</v>
      </c>
      <c r="I580">
        <v>195088</v>
      </c>
      <c r="J580">
        <v>19508</v>
      </c>
      <c r="K580">
        <v>9754</v>
      </c>
      <c r="L580">
        <v>117743</v>
      </c>
      <c r="M580">
        <v>23548</v>
      </c>
      <c r="N580">
        <v>35322</v>
      </c>
      <c r="O580">
        <v>11774</v>
      </c>
      <c r="P580">
        <v>-47097</v>
      </c>
      <c r="Q580">
        <v>-29435</v>
      </c>
      <c r="R580">
        <v>101555</v>
      </c>
      <c r="S580">
        <v>30466</v>
      </c>
      <c r="T580">
        <v>10155</v>
      </c>
      <c r="U580">
        <v>5887</v>
      </c>
      <c r="V580">
        <v>3532</v>
      </c>
      <c r="W580">
        <v>2354</v>
      </c>
      <c r="X580">
        <v>11774</v>
      </c>
      <c r="Y580">
        <v>5887</v>
      </c>
      <c r="Z580">
        <v>5077</v>
      </c>
      <c r="AA580">
        <v>3046</v>
      </c>
      <c r="AB580">
        <v>2031</v>
      </c>
    </row>
    <row r="581" spans="1:28" x14ac:dyDescent="0.35">
      <c r="A581" t="s">
        <v>626</v>
      </c>
      <c r="B581" t="s">
        <v>9</v>
      </c>
      <c r="C581" t="s">
        <v>1</v>
      </c>
      <c r="D581" t="s">
        <v>10</v>
      </c>
      <c r="E581" t="s">
        <v>11</v>
      </c>
      <c r="F581">
        <v>261946</v>
      </c>
      <c r="G581">
        <v>-141240</v>
      </c>
      <c r="H581">
        <v>34570</v>
      </c>
      <c r="I581">
        <v>261946</v>
      </c>
      <c r="J581">
        <v>26194</v>
      </c>
      <c r="K581">
        <v>13097</v>
      </c>
      <c r="L581">
        <v>94784</v>
      </c>
      <c r="M581">
        <v>18956</v>
      </c>
      <c r="N581">
        <v>28435</v>
      </c>
      <c r="O581">
        <v>9478</v>
      </c>
      <c r="P581">
        <v>-37913</v>
      </c>
      <c r="Q581">
        <v>-23696</v>
      </c>
      <c r="R581">
        <v>98808</v>
      </c>
      <c r="S581">
        <v>29642</v>
      </c>
      <c r="T581">
        <v>9880</v>
      </c>
      <c r="U581">
        <v>4739</v>
      </c>
      <c r="V581">
        <v>2843</v>
      </c>
      <c r="W581">
        <v>1895</v>
      </c>
      <c r="X581">
        <v>9478</v>
      </c>
      <c r="Y581">
        <v>4739</v>
      </c>
      <c r="Z581">
        <v>4940</v>
      </c>
      <c r="AA581">
        <v>2964</v>
      </c>
      <c r="AB581">
        <v>1976</v>
      </c>
    </row>
    <row r="582" spans="1:28" x14ac:dyDescent="0.35">
      <c r="A582" t="s">
        <v>627</v>
      </c>
      <c r="B582" t="s">
        <v>9</v>
      </c>
      <c r="C582" t="s">
        <v>1</v>
      </c>
      <c r="D582" t="s">
        <v>10</v>
      </c>
      <c r="E582" t="s">
        <v>11</v>
      </c>
      <c r="F582">
        <v>475740</v>
      </c>
      <c r="G582">
        <v>-244084</v>
      </c>
      <c r="H582">
        <v>152356</v>
      </c>
      <c r="I582">
        <v>475740</v>
      </c>
      <c r="J582">
        <v>47574</v>
      </c>
      <c r="K582">
        <v>23787</v>
      </c>
      <c r="L582">
        <v>186315</v>
      </c>
      <c r="M582">
        <v>37263</v>
      </c>
      <c r="N582">
        <v>55894</v>
      </c>
      <c r="O582">
        <v>18631</v>
      </c>
      <c r="P582">
        <v>-74526</v>
      </c>
      <c r="Q582">
        <v>-46578</v>
      </c>
      <c r="R582">
        <v>186711</v>
      </c>
      <c r="S582">
        <v>56013</v>
      </c>
      <c r="T582">
        <v>18671</v>
      </c>
      <c r="U582">
        <v>9315</v>
      </c>
      <c r="V582">
        <v>5589</v>
      </c>
      <c r="W582">
        <v>3726</v>
      </c>
      <c r="X582">
        <v>18631</v>
      </c>
      <c r="Y582">
        <v>9315</v>
      </c>
      <c r="Z582">
        <v>9335</v>
      </c>
      <c r="AA582">
        <v>5601</v>
      </c>
      <c r="AB582">
        <v>3734</v>
      </c>
    </row>
    <row r="583" spans="1:28" x14ac:dyDescent="0.35">
      <c r="A583" t="s">
        <v>628</v>
      </c>
      <c r="B583" t="s">
        <v>9</v>
      </c>
      <c r="C583" t="s">
        <v>1</v>
      </c>
      <c r="D583" t="s">
        <v>10</v>
      </c>
      <c r="E583" t="s">
        <v>11</v>
      </c>
      <c r="F583">
        <v>331767</v>
      </c>
      <c r="G583">
        <v>-191395</v>
      </c>
      <c r="H583">
        <v>58308</v>
      </c>
      <c r="I583">
        <v>331767</v>
      </c>
      <c r="J583">
        <v>33176</v>
      </c>
      <c r="K583">
        <v>16588</v>
      </c>
      <c r="L583">
        <v>69073</v>
      </c>
      <c r="M583">
        <v>13814</v>
      </c>
      <c r="N583">
        <v>20721</v>
      </c>
      <c r="O583">
        <v>6907</v>
      </c>
      <c r="P583">
        <v>-27629</v>
      </c>
      <c r="Q583">
        <v>-17268</v>
      </c>
      <c r="R583">
        <v>64504</v>
      </c>
      <c r="S583">
        <v>19351</v>
      </c>
      <c r="T583">
        <v>6450</v>
      </c>
      <c r="U583">
        <v>3453</v>
      </c>
      <c r="V583">
        <v>2072</v>
      </c>
      <c r="W583">
        <v>1381</v>
      </c>
      <c r="X583">
        <v>6907</v>
      </c>
      <c r="Y583">
        <v>3453</v>
      </c>
      <c r="Z583">
        <v>3225</v>
      </c>
      <c r="AA583">
        <v>1935</v>
      </c>
      <c r="AB583">
        <v>1290</v>
      </c>
    </row>
    <row r="584" spans="1:28" x14ac:dyDescent="0.35">
      <c r="A584" t="s">
        <v>629</v>
      </c>
      <c r="B584" t="s">
        <v>9</v>
      </c>
      <c r="C584" t="s">
        <v>1</v>
      </c>
      <c r="D584" t="s">
        <v>10</v>
      </c>
      <c r="E584" t="s">
        <v>11</v>
      </c>
      <c r="F584">
        <v>108308</v>
      </c>
      <c r="G584">
        <v>-62180</v>
      </c>
      <c r="H584">
        <v>40059</v>
      </c>
      <c r="I584">
        <v>108308</v>
      </c>
      <c r="J584">
        <v>10830</v>
      </c>
      <c r="K584">
        <v>5415</v>
      </c>
      <c r="L584">
        <v>69674</v>
      </c>
      <c r="M584">
        <v>13934</v>
      </c>
      <c r="N584">
        <v>20902</v>
      </c>
      <c r="O584">
        <v>6967</v>
      </c>
      <c r="P584">
        <v>-27869</v>
      </c>
      <c r="Q584">
        <v>-17418</v>
      </c>
      <c r="R584">
        <v>65484</v>
      </c>
      <c r="S584">
        <v>19645</v>
      </c>
      <c r="T584">
        <v>6548</v>
      </c>
      <c r="U584">
        <v>3483</v>
      </c>
      <c r="V584">
        <v>2090</v>
      </c>
      <c r="W584">
        <v>1393</v>
      </c>
      <c r="X584">
        <v>6967</v>
      </c>
      <c r="Y584">
        <v>3483</v>
      </c>
      <c r="Z584">
        <v>3274</v>
      </c>
      <c r="AA584">
        <v>1964</v>
      </c>
      <c r="AB584">
        <v>1309</v>
      </c>
    </row>
    <row r="585" spans="1:28" x14ac:dyDescent="0.35">
      <c r="A585" t="s">
        <v>630</v>
      </c>
      <c r="B585" t="s">
        <v>9</v>
      </c>
      <c r="C585" t="s">
        <v>1</v>
      </c>
      <c r="D585" t="s">
        <v>10</v>
      </c>
      <c r="E585" t="s">
        <v>11</v>
      </c>
      <c r="F585">
        <v>465188</v>
      </c>
      <c r="G585">
        <v>-270139</v>
      </c>
      <c r="H585">
        <v>227989</v>
      </c>
      <c r="I585">
        <v>465188</v>
      </c>
      <c r="J585">
        <v>46518</v>
      </c>
      <c r="K585">
        <v>23259</v>
      </c>
      <c r="L585">
        <v>174657</v>
      </c>
      <c r="M585">
        <v>34931</v>
      </c>
      <c r="N585">
        <v>52397</v>
      </c>
      <c r="O585">
        <v>17465</v>
      </c>
      <c r="P585">
        <v>-69862</v>
      </c>
      <c r="Q585">
        <v>-43664</v>
      </c>
      <c r="R585">
        <v>163354</v>
      </c>
      <c r="S585">
        <v>49006</v>
      </c>
      <c r="T585">
        <v>16335</v>
      </c>
      <c r="U585">
        <v>8732</v>
      </c>
      <c r="V585">
        <v>5239</v>
      </c>
      <c r="W585">
        <v>3493</v>
      </c>
      <c r="X585">
        <v>17465</v>
      </c>
      <c r="Y585">
        <v>8732</v>
      </c>
      <c r="Z585">
        <v>8167</v>
      </c>
      <c r="AA585">
        <v>4900</v>
      </c>
      <c r="AB585">
        <v>3267</v>
      </c>
    </row>
    <row r="586" spans="1:28" x14ac:dyDescent="0.35">
      <c r="A586" t="s">
        <v>631</v>
      </c>
      <c r="B586" t="s">
        <v>9</v>
      </c>
      <c r="C586" t="s">
        <v>1</v>
      </c>
      <c r="D586" t="s">
        <v>10</v>
      </c>
      <c r="E586" t="s">
        <v>11</v>
      </c>
      <c r="F586">
        <v>156473</v>
      </c>
      <c r="G586">
        <v>-57363</v>
      </c>
      <c r="H586">
        <v>77710</v>
      </c>
      <c r="I586">
        <v>156473</v>
      </c>
      <c r="J586">
        <v>15647</v>
      </c>
      <c r="K586">
        <v>7823</v>
      </c>
      <c r="L586">
        <v>43130</v>
      </c>
      <c r="M586">
        <v>8626</v>
      </c>
      <c r="N586">
        <v>12939</v>
      </c>
      <c r="O586">
        <v>4313</v>
      </c>
      <c r="P586">
        <v>-17252</v>
      </c>
      <c r="Q586">
        <v>-10782</v>
      </c>
      <c r="R586">
        <v>41555</v>
      </c>
      <c r="S586">
        <v>12466</v>
      </c>
      <c r="T586">
        <v>4155</v>
      </c>
      <c r="U586">
        <v>2156</v>
      </c>
      <c r="V586">
        <v>1293</v>
      </c>
      <c r="W586">
        <v>862</v>
      </c>
      <c r="X586">
        <v>4313</v>
      </c>
      <c r="Y586">
        <v>2156</v>
      </c>
      <c r="Z586">
        <v>2077</v>
      </c>
      <c r="AA586">
        <v>1246</v>
      </c>
      <c r="AB586">
        <v>831</v>
      </c>
    </row>
    <row r="587" spans="1:28" x14ac:dyDescent="0.35">
      <c r="A587" t="s">
        <v>632</v>
      </c>
      <c r="B587" t="s">
        <v>9</v>
      </c>
      <c r="C587" t="s">
        <v>1</v>
      </c>
      <c r="D587" t="s">
        <v>10</v>
      </c>
      <c r="E587" t="s">
        <v>11</v>
      </c>
      <c r="F587">
        <v>179402</v>
      </c>
      <c r="G587">
        <v>-70871</v>
      </c>
      <c r="H587">
        <v>67612</v>
      </c>
      <c r="I587">
        <v>179402</v>
      </c>
      <c r="J587">
        <v>17940</v>
      </c>
      <c r="K587">
        <v>8970</v>
      </c>
      <c r="L587">
        <v>139166</v>
      </c>
      <c r="M587">
        <v>27833</v>
      </c>
      <c r="N587">
        <v>41749</v>
      </c>
      <c r="O587">
        <v>13916</v>
      </c>
      <c r="P587">
        <v>-55666</v>
      </c>
      <c r="Q587">
        <v>-34791</v>
      </c>
      <c r="R587">
        <v>117731</v>
      </c>
      <c r="S587">
        <v>35319</v>
      </c>
      <c r="T587">
        <v>11773</v>
      </c>
      <c r="U587">
        <v>6958</v>
      </c>
      <c r="V587">
        <v>4174</v>
      </c>
      <c r="W587">
        <v>2783</v>
      </c>
      <c r="X587">
        <v>13916</v>
      </c>
      <c r="Y587">
        <v>6958</v>
      </c>
      <c r="Z587">
        <v>5886</v>
      </c>
      <c r="AA587">
        <v>3531</v>
      </c>
      <c r="AB587">
        <v>2354</v>
      </c>
    </row>
    <row r="588" spans="1:28" x14ac:dyDescent="0.35">
      <c r="A588" t="s">
        <v>633</v>
      </c>
      <c r="B588" t="s">
        <v>9</v>
      </c>
      <c r="C588" t="s">
        <v>1</v>
      </c>
      <c r="D588" t="s">
        <v>10</v>
      </c>
      <c r="E588" t="s">
        <v>11</v>
      </c>
      <c r="F588">
        <v>350622</v>
      </c>
      <c r="G588">
        <v>-115449</v>
      </c>
      <c r="H588">
        <v>79651</v>
      </c>
      <c r="I588">
        <v>350622</v>
      </c>
      <c r="J588">
        <v>35062</v>
      </c>
      <c r="K588">
        <v>17531</v>
      </c>
      <c r="L588">
        <v>242191</v>
      </c>
      <c r="M588">
        <v>48438</v>
      </c>
      <c r="N588">
        <v>72657</v>
      </c>
      <c r="O588">
        <v>24219</v>
      </c>
      <c r="P588">
        <v>-96876</v>
      </c>
      <c r="Q588">
        <v>-60547</v>
      </c>
      <c r="R588">
        <v>235022</v>
      </c>
      <c r="S588">
        <v>70506</v>
      </c>
      <c r="T588">
        <v>23502</v>
      </c>
      <c r="U588">
        <v>12109</v>
      </c>
      <c r="V588">
        <v>7265</v>
      </c>
      <c r="W588">
        <v>4843</v>
      </c>
      <c r="X588">
        <v>24219</v>
      </c>
      <c r="Y588">
        <v>12109</v>
      </c>
      <c r="Z588">
        <v>11751</v>
      </c>
      <c r="AA588">
        <v>7050</v>
      </c>
      <c r="AB588">
        <v>4700</v>
      </c>
    </row>
    <row r="589" spans="1:28" x14ac:dyDescent="0.35">
      <c r="A589" t="s">
        <v>634</v>
      </c>
      <c r="B589" t="s">
        <v>9</v>
      </c>
      <c r="C589" t="s">
        <v>1</v>
      </c>
      <c r="D589" t="s">
        <v>10</v>
      </c>
      <c r="E589" t="s">
        <v>11</v>
      </c>
      <c r="F589">
        <v>302653</v>
      </c>
      <c r="G589">
        <v>-134763</v>
      </c>
      <c r="H589">
        <v>106775</v>
      </c>
      <c r="I589">
        <v>302653</v>
      </c>
      <c r="J589">
        <v>30265</v>
      </c>
      <c r="K589">
        <v>15132</v>
      </c>
      <c r="L589">
        <v>88701</v>
      </c>
      <c r="M589">
        <v>17740</v>
      </c>
      <c r="N589">
        <v>26610</v>
      </c>
      <c r="O589">
        <v>8870</v>
      </c>
      <c r="P589">
        <v>-35480</v>
      </c>
      <c r="Q589">
        <v>-22175</v>
      </c>
      <c r="R589">
        <v>90137</v>
      </c>
      <c r="S589">
        <v>27041</v>
      </c>
      <c r="T589">
        <v>9013</v>
      </c>
      <c r="U589">
        <v>4435</v>
      </c>
      <c r="V589">
        <v>2661</v>
      </c>
      <c r="W589">
        <v>1774</v>
      </c>
      <c r="X589">
        <v>8870</v>
      </c>
      <c r="Y589">
        <v>4435</v>
      </c>
      <c r="Z589">
        <v>4506</v>
      </c>
      <c r="AA589">
        <v>2704</v>
      </c>
      <c r="AB589">
        <v>1802</v>
      </c>
    </row>
    <row r="590" spans="1:28" x14ac:dyDescent="0.35">
      <c r="A590" t="s">
        <v>635</v>
      </c>
      <c r="B590" t="s">
        <v>9</v>
      </c>
      <c r="C590" t="s">
        <v>1</v>
      </c>
      <c r="D590" t="s">
        <v>10</v>
      </c>
      <c r="E590" t="s">
        <v>11</v>
      </c>
      <c r="F590">
        <v>275921</v>
      </c>
      <c r="G590">
        <v>-140309</v>
      </c>
      <c r="H590">
        <v>134616</v>
      </c>
      <c r="I590">
        <v>275921</v>
      </c>
      <c r="J590">
        <v>27592</v>
      </c>
      <c r="K590">
        <v>13796</v>
      </c>
      <c r="L590">
        <v>81148</v>
      </c>
      <c r="M590">
        <v>16229</v>
      </c>
      <c r="N590">
        <v>24344</v>
      </c>
      <c r="O590">
        <v>8114</v>
      </c>
      <c r="P590">
        <v>-32459</v>
      </c>
      <c r="Q590">
        <v>-20287</v>
      </c>
      <c r="R590">
        <v>83814</v>
      </c>
      <c r="S590">
        <v>25144</v>
      </c>
      <c r="T590">
        <v>8381</v>
      </c>
      <c r="U590">
        <v>4057</v>
      </c>
      <c r="V590">
        <v>2434</v>
      </c>
      <c r="W590">
        <v>1622</v>
      </c>
      <c r="X590">
        <v>8114</v>
      </c>
      <c r="Y590">
        <v>4057</v>
      </c>
      <c r="Z590">
        <v>4190</v>
      </c>
      <c r="AA590">
        <v>2514</v>
      </c>
      <c r="AB590">
        <v>1676</v>
      </c>
    </row>
    <row r="591" spans="1:28" x14ac:dyDescent="0.35">
      <c r="A591" t="s">
        <v>636</v>
      </c>
      <c r="B591" t="s">
        <v>9</v>
      </c>
      <c r="C591" t="s">
        <v>1</v>
      </c>
      <c r="D591" t="s">
        <v>10</v>
      </c>
      <c r="E591" t="s">
        <v>11</v>
      </c>
      <c r="F591">
        <v>98462</v>
      </c>
      <c r="G591">
        <v>-55670</v>
      </c>
      <c r="H591">
        <v>12462</v>
      </c>
      <c r="I591">
        <v>98462</v>
      </c>
      <c r="J591">
        <v>9846</v>
      </c>
      <c r="K591">
        <v>4923</v>
      </c>
      <c r="L591">
        <v>41506</v>
      </c>
      <c r="M591">
        <v>8301</v>
      </c>
      <c r="N591">
        <v>12451</v>
      </c>
      <c r="O591">
        <v>4150</v>
      </c>
      <c r="P591">
        <v>-16602</v>
      </c>
      <c r="Q591">
        <v>-10376</v>
      </c>
      <c r="R591">
        <v>47560</v>
      </c>
      <c r="S591">
        <v>14268</v>
      </c>
      <c r="T591">
        <v>4756</v>
      </c>
      <c r="U591">
        <v>2075</v>
      </c>
      <c r="V591">
        <v>1245</v>
      </c>
      <c r="W591">
        <v>830</v>
      </c>
      <c r="X591">
        <v>4150</v>
      </c>
      <c r="Y591">
        <v>2075</v>
      </c>
      <c r="Z591">
        <v>2378</v>
      </c>
      <c r="AA591">
        <v>1426</v>
      </c>
      <c r="AB591">
        <v>951</v>
      </c>
    </row>
    <row r="592" spans="1:28" x14ac:dyDescent="0.35">
      <c r="A592" t="s">
        <v>637</v>
      </c>
      <c r="B592" t="s">
        <v>9</v>
      </c>
      <c r="C592" t="s">
        <v>1</v>
      </c>
      <c r="D592" t="s">
        <v>10</v>
      </c>
      <c r="E592" t="s">
        <v>11</v>
      </c>
      <c r="F592">
        <v>214981</v>
      </c>
      <c r="G592">
        <v>-65584</v>
      </c>
      <c r="H592">
        <v>49836</v>
      </c>
      <c r="I592">
        <v>214981</v>
      </c>
      <c r="J592">
        <v>21498</v>
      </c>
      <c r="K592">
        <v>10749</v>
      </c>
      <c r="L592">
        <v>164467</v>
      </c>
      <c r="M592">
        <v>32893</v>
      </c>
      <c r="N592">
        <v>49340</v>
      </c>
      <c r="O592">
        <v>16446</v>
      </c>
      <c r="P592">
        <v>-65786</v>
      </c>
      <c r="Q592">
        <v>-41116</v>
      </c>
      <c r="R592">
        <v>146170</v>
      </c>
      <c r="S592">
        <v>43851</v>
      </c>
      <c r="T592">
        <v>14617</v>
      </c>
      <c r="U592">
        <v>8223</v>
      </c>
      <c r="V592">
        <v>4934</v>
      </c>
      <c r="W592">
        <v>3289</v>
      </c>
      <c r="X592">
        <v>16446</v>
      </c>
      <c r="Y592">
        <v>8223</v>
      </c>
      <c r="Z592">
        <v>7308</v>
      </c>
      <c r="AA592">
        <v>4385</v>
      </c>
      <c r="AB592">
        <v>2923</v>
      </c>
    </row>
    <row r="593" spans="1:28" x14ac:dyDescent="0.35">
      <c r="A593" t="s">
        <v>638</v>
      </c>
      <c r="B593" t="s">
        <v>9</v>
      </c>
      <c r="C593" t="s">
        <v>1</v>
      </c>
      <c r="D593" t="s">
        <v>10</v>
      </c>
      <c r="E593" t="s">
        <v>11</v>
      </c>
      <c r="F593">
        <v>102362</v>
      </c>
      <c r="G593">
        <v>-51999</v>
      </c>
      <c r="H593">
        <v>14280</v>
      </c>
      <c r="I593">
        <v>102362</v>
      </c>
      <c r="J593">
        <v>10236</v>
      </c>
      <c r="K593">
        <v>5118</v>
      </c>
      <c r="L593">
        <v>64163</v>
      </c>
      <c r="M593">
        <v>12832</v>
      </c>
      <c r="N593">
        <v>19248</v>
      </c>
      <c r="O593">
        <v>6416</v>
      </c>
      <c r="P593">
        <v>-25665</v>
      </c>
      <c r="Q593">
        <v>-16040</v>
      </c>
      <c r="R593">
        <v>53996</v>
      </c>
      <c r="S593">
        <v>16198</v>
      </c>
      <c r="T593">
        <v>5399</v>
      </c>
      <c r="U593">
        <v>3208</v>
      </c>
      <c r="V593">
        <v>1924</v>
      </c>
      <c r="W593">
        <v>1283</v>
      </c>
      <c r="X593">
        <v>6416</v>
      </c>
      <c r="Y593">
        <v>3208</v>
      </c>
      <c r="Z593">
        <v>2699</v>
      </c>
      <c r="AA593">
        <v>1619</v>
      </c>
      <c r="AB593">
        <v>1079</v>
      </c>
    </row>
    <row r="594" spans="1:28" x14ac:dyDescent="0.35">
      <c r="A594" t="s">
        <v>639</v>
      </c>
      <c r="B594" t="s">
        <v>9</v>
      </c>
      <c r="C594" t="s">
        <v>1</v>
      </c>
      <c r="D594" t="s">
        <v>10</v>
      </c>
      <c r="E594" t="s">
        <v>11</v>
      </c>
      <c r="F594">
        <v>414301</v>
      </c>
      <c r="G594">
        <v>-117510</v>
      </c>
      <c r="H594">
        <v>164328</v>
      </c>
      <c r="I594">
        <v>414301</v>
      </c>
      <c r="J594">
        <v>41430</v>
      </c>
      <c r="K594">
        <v>20715</v>
      </c>
      <c r="L594">
        <v>279521</v>
      </c>
      <c r="M594">
        <v>55904</v>
      </c>
      <c r="N594">
        <v>83856</v>
      </c>
      <c r="O594">
        <v>27952</v>
      </c>
      <c r="P594">
        <v>-111808</v>
      </c>
      <c r="Q594">
        <v>-69880</v>
      </c>
      <c r="R594">
        <v>232861</v>
      </c>
      <c r="S594">
        <v>69858</v>
      </c>
      <c r="T594">
        <v>23286</v>
      </c>
      <c r="U594">
        <v>13976</v>
      </c>
      <c r="V594">
        <v>8385</v>
      </c>
      <c r="W594">
        <v>5590</v>
      </c>
      <c r="X594">
        <v>27952</v>
      </c>
      <c r="Y594">
        <v>13976</v>
      </c>
      <c r="Z594">
        <v>11643</v>
      </c>
      <c r="AA594">
        <v>6985</v>
      </c>
      <c r="AB594">
        <v>4657</v>
      </c>
    </row>
    <row r="595" spans="1:28" x14ac:dyDescent="0.35">
      <c r="A595" t="s">
        <v>640</v>
      </c>
      <c r="B595" t="s">
        <v>9</v>
      </c>
      <c r="C595" t="s">
        <v>1</v>
      </c>
      <c r="D595" t="s">
        <v>10</v>
      </c>
      <c r="E595" t="s">
        <v>11</v>
      </c>
      <c r="F595">
        <v>64074</v>
      </c>
      <c r="G595">
        <v>-19144</v>
      </c>
      <c r="H595">
        <v>27375</v>
      </c>
      <c r="I595">
        <v>64074</v>
      </c>
      <c r="J595">
        <v>6407</v>
      </c>
      <c r="K595">
        <v>3203</v>
      </c>
      <c r="L595">
        <v>16039</v>
      </c>
      <c r="M595">
        <v>3207</v>
      </c>
      <c r="N595">
        <v>4811</v>
      </c>
      <c r="O595">
        <v>1603</v>
      </c>
      <c r="P595">
        <v>-6415</v>
      </c>
      <c r="Q595">
        <v>-4009</v>
      </c>
      <c r="R595">
        <v>15781</v>
      </c>
      <c r="S595">
        <v>4734</v>
      </c>
      <c r="T595">
        <v>1578</v>
      </c>
      <c r="U595">
        <v>801</v>
      </c>
      <c r="V595">
        <v>481</v>
      </c>
      <c r="W595">
        <v>320</v>
      </c>
      <c r="X595">
        <v>1603</v>
      </c>
      <c r="Y595">
        <v>801</v>
      </c>
      <c r="Z595">
        <v>789</v>
      </c>
      <c r="AA595">
        <v>473</v>
      </c>
      <c r="AB595">
        <v>315</v>
      </c>
    </row>
    <row r="596" spans="1:28" x14ac:dyDescent="0.35">
      <c r="A596" t="s">
        <v>641</v>
      </c>
      <c r="B596" t="s">
        <v>9</v>
      </c>
      <c r="C596" t="s">
        <v>1</v>
      </c>
      <c r="D596" t="s">
        <v>10</v>
      </c>
      <c r="E596" t="s">
        <v>11</v>
      </c>
      <c r="F596">
        <v>297341</v>
      </c>
      <c r="G596">
        <v>-113938</v>
      </c>
      <c r="H596">
        <v>46991</v>
      </c>
      <c r="I596">
        <v>297341</v>
      </c>
      <c r="J596">
        <v>29734</v>
      </c>
      <c r="K596">
        <v>14867</v>
      </c>
      <c r="L596">
        <v>212915</v>
      </c>
      <c r="M596">
        <v>42583</v>
      </c>
      <c r="N596">
        <v>63874</v>
      </c>
      <c r="O596">
        <v>21291</v>
      </c>
      <c r="P596">
        <v>-85166</v>
      </c>
      <c r="Q596">
        <v>-53228</v>
      </c>
      <c r="R596">
        <v>223568</v>
      </c>
      <c r="S596">
        <v>67070</v>
      </c>
      <c r="T596">
        <v>22356</v>
      </c>
      <c r="U596">
        <v>10645</v>
      </c>
      <c r="V596">
        <v>6387</v>
      </c>
      <c r="W596">
        <v>4258</v>
      </c>
      <c r="X596">
        <v>21291</v>
      </c>
      <c r="Y596">
        <v>10645</v>
      </c>
      <c r="Z596">
        <v>11178</v>
      </c>
      <c r="AA596">
        <v>6707</v>
      </c>
      <c r="AB596">
        <v>4471</v>
      </c>
    </row>
    <row r="597" spans="1:28" x14ac:dyDescent="0.35">
      <c r="A597" t="s">
        <v>642</v>
      </c>
      <c r="B597" t="s">
        <v>9</v>
      </c>
      <c r="C597" t="s">
        <v>1</v>
      </c>
      <c r="D597" t="s">
        <v>10</v>
      </c>
      <c r="E597" t="s">
        <v>11</v>
      </c>
      <c r="F597">
        <v>331745</v>
      </c>
      <c r="G597">
        <v>-126402</v>
      </c>
      <c r="H597">
        <v>88523</v>
      </c>
      <c r="I597">
        <v>331745</v>
      </c>
      <c r="J597">
        <v>33174</v>
      </c>
      <c r="K597">
        <v>16587</v>
      </c>
      <c r="L597">
        <v>105354</v>
      </c>
      <c r="M597">
        <v>21070</v>
      </c>
      <c r="N597">
        <v>31606</v>
      </c>
      <c r="O597">
        <v>10535</v>
      </c>
      <c r="P597">
        <v>-42141</v>
      </c>
      <c r="Q597">
        <v>-26338</v>
      </c>
      <c r="R597">
        <v>123842</v>
      </c>
      <c r="S597">
        <v>37152</v>
      </c>
      <c r="T597">
        <v>12384</v>
      </c>
      <c r="U597">
        <v>5267</v>
      </c>
      <c r="V597">
        <v>3160</v>
      </c>
      <c r="W597">
        <v>2107</v>
      </c>
      <c r="X597">
        <v>10535</v>
      </c>
      <c r="Y597">
        <v>5267</v>
      </c>
      <c r="Z597">
        <v>6192</v>
      </c>
      <c r="AA597">
        <v>3715</v>
      </c>
      <c r="AB597">
        <v>2476</v>
      </c>
    </row>
    <row r="598" spans="1:28" x14ac:dyDescent="0.35">
      <c r="A598" t="s">
        <v>643</v>
      </c>
      <c r="B598" t="s">
        <v>9</v>
      </c>
      <c r="C598" t="s">
        <v>1</v>
      </c>
      <c r="D598" t="s">
        <v>10</v>
      </c>
      <c r="E598" t="s">
        <v>11</v>
      </c>
      <c r="F598">
        <v>209902</v>
      </c>
      <c r="G598">
        <v>-82784</v>
      </c>
      <c r="H598">
        <v>27153</v>
      </c>
      <c r="I598">
        <v>209902</v>
      </c>
      <c r="J598">
        <v>20990</v>
      </c>
      <c r="K598">
        <v>10495</v>
      </c>
      <c r="L598">
        <v>78296</v>
      </c>
      <c r="M598">
        <v>15659</v>
      </c>
      <c r="N598">
        <v>23488</v>
      </c>
      <c r="O598">
        <v>7829</v>
      </c>
      <c r="P598">
        <v>-31318</v>
      </c>
      <c r="Q598">
        <v>-19574</v>
      </c>
      <c r="R598">
        <v>72227</v>
      </c>
      <c r="S598">
        <v>21668</v>
      </c>
      <c r="T598">
        <v>7222</v>
      </c>
      <c r="U598">
        <v>3914</v>
      </c>
      <c r="V598">
        <v>2348</v>
      </c>
      <c r="W598">
        <v>1565</v>
      </c>
      <c r="X598">
        <v>7829</v>
      </c>
      <c r="Y598">
        <v>3914</v>
      </c>
      <c r="Z598">
        <v>3611</v>
      </c>
      <c r="AA598">
        <v>2166</v>
      </c>
      <c r="AB598">
        <v>1444</v>
      </c>
    </row>
    <row r="599" spans="1:28" x14ac:dyDescent="0.35">
      <c r="A599" t="s">
        <v>644</v>
      </c>
      <c r="B599" t="s">
        <v>9</v>
      </c>
      <c r="C599" t="s">
        <v>1</v>
      </c>
      <c r="D599" t="s">
        <v>10</v>
      </c>
      <c r="E599" t="s">
        <v>11</v>
      </c>
      <c r="F599">
        <v>84871</v>
      </c>
      <c r="G599">
        <v>-38862</v>
      </c>
      <c r="H599">
        <v>9413</v>
      </c>
      <c r="I599">
        <v>84871</v>
      </c>
      <c r="J599">
        <v>8487</v>
      </c>
      <c r="K599">
        <v>4243</v>
      </c>
      <c r="L599">
        <v>38090</v>
      </c>
      <c r="M599">
        <v>7618</v>
      </c>
      <c r="N599">
        <v>11427</v>
      </c>
      <c r="O599">
        <v>3809</v>
      </c>
      <c r="P599">
        <v>-15236</v>
      </c>
      <c r="Q599">
        <v>-9522</v>
      </c>
      <c r="R599">
        <v>35468</v>
      </c>
      <c r="S599">
        <v>10640</v>
      </c>
      <c r="T599">
        <v>3546</v>
      </c>
      <c r="U599">
        <v>1904</v>
      </c>
      <c r="V599">
        <v>1142</v>
      </c>
      <c r="W599">
        <v>761</v>
      </c>
      <c r="X599">
        <v>3809</v>
      </c>
      <c r="Y599">
        <v>1904</v>
      </c>
      <c r="Z599">
        <v>1773</v>
      </c>
      <c r="AA599">
        <v>1064</v>
      </c>
      <c r="AB599">
        <v>709</v>
      </c>
    </row>
    <row r="600" spans="1:28" x14ac:dyDescent="0.35">
      <c r="A600" t="s">
        <v>645</v>
      </c>
      <c r="B600" t="s">
        <v>9</v>
      </c>
      <c r="C600" t="s">
        <v>1</v>
      </c>
      <c r="D600" t="s">
        <v>10</v>
      </c>
      <c r="E600" t="s">
        <v>11</v>
      </c>
      <c r="F600">
        <v>286111</v>
      </c>
      <c r="G600">
        <v>-124753</v>
      </c>
      <c r="H600">
        <v>68443</v>
      </c>
      <c r="I600">
        <v>286111</v>
      </c>
      <c r="J600">
        <v>28611</v>
      </c>
      <c r="K600">
        <v>14305</v>
      </c>
      <c r="L600">
        <v>91102</v>
      </c>
      <c r="M600">
        <v>18220</v>
      </c>
      <c r="N600">
        <v>27330</v>
      </c>
      <c r="O600">
        <v>9110</v>
      </c>
      <c r="P600">
        <v>-36440</v>
      </c>
      <c r="Q600">
        <v>-22775</v>
      </c>
      <c r="R600">
        <v>87107</v>
      </c>
      <c r="S600">
        <v>26132</v>
      </c>
      <c r="T600">
        <v>8710</v>
      </c>
      <c r="U600">
        <v>4555</v>
      </c>
      <c r="V600">
        <v>2733</v>
      </c>
      <c r="W600">
        <v>1822</v>
      </c>
      <c r="X600">
        <v>9110</v>
      </c>
      <c r="Y600">
        <v>4555</v>
      </c>
      <c r="Z600">
        <v>4355</v>
      </c>
      <c r="AA600">
        <v>2613</v>
      </c>
      <c r="AB600">
        <v>1742</v>
      </c>
    </row>
    <row r="601" spans="1:28" x14ac:dyDescent="0.35">
      <c r="A601" t="s">
        <v>646</v>
      </c>
      <c r="B601" t="s">
        <v>9</v>
      </c>
      <c r="C601" t="s">
        <v>1</v>
      </c>
      <c r="D601" t="s">
        <v>10</v>
      </c>
      <c r="E601" t="s">
        <v>11</v>
      </c>
      <c r="F601">
        <v>163307</v>
      </c>
      <c r="G601">
        <v>-69465</v>
      </c>
      <c r="H601">
        <v>34104</v>
      </c>
      <c r="I601">
        <v>163307</v>
      </c>
      <c r="J601">
        <v>16330</v>
      </c>
      <c r="K601">
        <v>8165</v>
      </c>
      <c r="L601">
        <v>119024</v>
      </c>
      <c r="M601">
        <v>23804</v>
      </c>
      <c r="N601">
        <v>35707</v>
      </c>
      <c r="O601">
        <v>11902</v>
      </c>
      <c r="P601">
        <v>-47609</v>
      </c>
      <c r="Q601">
        <v>-29756</v>
      </c>
      <c r="R601">
        <v>116088</v>
      </c>
      <c r="S601">
        <v>34826</v>
      </c>
      <c r="T601">
        <v>11608</v>
      </c>
      <c r="U601">
        <v>5951</v>
      </c>
      <c r="V601">
        <v>3570</v>
      </c>
      <c r="W601">
        <v>2380</v>
      </c>
      <c r="X601">
        <v>11902</v>
      </c>
      <c r="Y601">
        <v>5951</v>
      </c>
      <c r="Z601">
        <v>5804</v>
      </c>
      <c r="AA601">
        <v>3482</v>
      </c>
      <c r="AB601">
        <v>2321</v>
      </c>
    </row>
    <row r="602" spans="1:28" x14ac:dyDescent="0.35">
      <c r="A602" t="s">
        <v>647</v>
      </c>
      <c r="B602" t="s">
        <v>9</v>
      </c>
      <c r="C602" t="s">
        <v>1</v>
      </c>
      <c r="D602" t="s">
        <v>10</v>
      </c>
      <c r="E602" t="s">
        <v>11</v>
      </c>
      <c r="F602">
        <v>293682</v>
      </c>
      <c r="G602">
        <v>-164451</v>
      </c>
      <c r="H602">
        <v>81647</v>
      </c>
      <c r="I602">
        <v>293682</v>
      </c>
      <c r="J602">
        <v>29368</v>
      </c>
      <c r="K602">
        <v>14684</v>
      </c>
      <c r="L602">
        <v>118978</v>
      </c>
      <c r="M602">
        <v>23795</v>
      </c>
      <c r="N602">
        <v>35693</v>
      </c>
      <c r="O602">
        <v>11897</v>
      </c>
      <c r="P602">
        <v>-47591</v>
      </c>
      <c r="Q602">
        <v>-29744</v>
      </c>
      <c r="R602">
        <v>100582</v>
      </c>
      <c r="S602">
        <v>30174</v>
      </c>
      <c r="T602">
        <v>10058</v>
      </c>
      <c r="U602">
        <v>5948</v>
      </c>
      <c r="V602">
        <v>3569</v>
      </c>
      <c r="W602">
        <v>2379</v>
      </c>
      <c r="X602">
        <v>11897</v>
      </c>
      <c r="Y602">
        <v>5948</v>
      </c>
      <c r="Z602">
        <v>5029</v>
      </c>
      <c r="AA602">
        <v>3017</v>
      </c>
      <c r="AB602">
        <v>2011</v>
      </c>
    </row>
    <row r="603" spans="1:28" x14ac:dyDescent="0.35">
      <c r="A603" t="s">
        <v>648</v>
      </c>
      <c r="B603" t="s">
        <v>9</v>
      </c>
      <c r="C603" t="s">
        <v>1</v>
      </c>
      <c r="D603" t="s">
        <v>10</v>
      </c>
      <c r="E603" t="s">
        <v>11</v>
      </c>
      <c r="F603">
        <v>175047</v>
      </c>
      <c r="G603">
        <v>-50449</v>
      </c>
      <c r="H603">
        <v>66018</v>
      </c>
      <c r="I603">
        <v>175047</v>
      </c>
      <c r="J603">
        <v>17504</v>
      </c>
      <c r="K603">
        <v>8752</v>
      </c>
      <c r="L603">
        <v>50863</v>
      </c>
      <c r="M603">
        <v>10172</v>
      </c>
      <c r="N603">
        <v>15258</v>
      </c>
      <c r="O603">
        <v>5086</v>
      </c>
      <c r="P603">
        <v>-20345</v>
      </c>
      <c r="Q603">
        <v>-12715</v>
      </c>
      <c r="R603">
        <v>59970</v>
      </c>
      <c r="S603">
        <v>17991</v>
      </c>
      <c r="T603">
        <v>5997</v>
      </c>
      <c r="U603">
        <v>2543</v>
      </c>
      <c r="V603">
        <v>1525</v>
      </c>
      <c r="W603">
        <v>1017</v>
      </c>
      <c r="X603">
        <v>5086</v>
      </c>
      <c r="Y603">
        <v>2543</v>
      </c>
      <c r="Z603">
        <v>2998</v>
      </c>
      <c r="AA603">
        <v>1799</v>
      </c>
      <c r="AB603">
        <v>1199</v>
      </c>
    </row>
    <row r="604" spans="1:28" x14ac:dyDescent="0.35">
      <c r="A604" t="s">
        <v>649</v>
      </c>
      <c r="B604" t="s">
        <v>9</v>
      </c>
      <c r="C604" t="s">
        <v>1</v>
      </c>
      <c r="D604" t="s">
        <v>10</v>
      </c>
      <c r="E604" t="s">
        <v>11</v>
      </c>
      <c r="F604">
        <v>271080</v>
      </c>
      <c r="G604">
        <v>-58445</v>
      </c>
      <c r="H604">
        <v>125145</v>
      </c>
      <c r="I604">
        <v>271080</v>
      </c>
      <c r="J604">
        <v>27108</v>
      </c>
      <c r="K604">
        <v>13554</v>
      </c>
      <c r="L604">
        <v>133516</v>
      </c>
      <c r="M604">
        <v>26703</v>
      </c>
      <c r="N604">
        <v>40054</v>
      </c>
      <c r="O604">
        <v>13351</v>
      </c>
      <c r="P604">
        <v>-53406</v>
      </c>
      <c r="Q604">
        <v>-33379</v>
      </c>
      <c r="R604">
        <v>143914</v>
      </c>
      <c r="S604">
        <v>43174</v>
      </c>
      <c r="T604">
        <v>14391</v>
      </c>
      <c r="U604">
        <v>6675</v>
      </c>
      <c r="V604">
        <v>4005</v>
      </c>
      <c r="W604">
        <v>2670</v>
      </c>
      <c r="X604">
        <v>13351</v>
      </c>
      <c r="Y604">
        <v>6675</v>
      </c>
      <c r="Z604">
        <v>7195</v>
      </c>
      <c r="AA604">
        <v>4317</v>
      </c>
      <c r="AB604">
        <v>2878</v>
      </c>
    </row>
    <row r="605" spans="1:28" x14ac:dyDescent="0.35">
      <c r="A605" t="s">
        <v>650</v>
      </c>
      <c r="B605" t="s">
        <v>9</v>
      </c>
      <c r="C605" t="s">
        <v>1</v>
      </c>
      <c r="D605" t="s">
        <v>10</v>
      </c>
      <c r="E605" t="s">
        <v>11</v>
      </c>
      <c r="F605">
        <v>325024</v>
      </c>
      <c r="G605">
        <v>-124316</v>
      </c>
      <c r="H605">
        <v>104398</v>
      </c>
      <c r="I605">
        <v>325024</v>
      </c>
      <c r="J605">
        <v>32502</v>
      </c>
      <c r="K605">
        <v>16251</v>
      </c>
      <c r="L605">
        <v>77275</v>
      </c>
      <c r="M605">
        <v>15455</v>
      </c>
      <c r="N605">
        <v>23182</v>
      </c>
      <c r="O605">
        <v>7727</v>
      </c>
      <c r="P605">
        <v>-30910</v>
      </c>
      <c r="Q605">
        <v>-19318</v>
      </c>
      <c r="R605">
        <v>81626</v>
      </c>
      <c r="S605">
        <v>24487</v>
      </c>
      <c r="T605">
        <v>8162</v>
      </c>
      <c r="U605">
        <v>3863</v>
      </c>
      <c r="V605">
        <v>2318</v>
      </c>
      <c r="W605">
        <v>1545</v>
      </c>
      <c r="X605">
        <v>7727</v>
      </c>
      <c r="Y605">
        <v>3863</v>
      </c>
      <c r="Z605">
        <v>4081</v>
      </c>
      <c r="AA605">
        <v>2448</v>
      </c>
      <c r="AB605">
        <v>1632</v>
      </c>
    </row>
    <row r="606" spans="1:28" x14ac:dyDescent="0.35">
      <c r="A606" t="s">
        <v>651</v>
      </c>
      <c r="B606" t="s">
        <v>9</v>
      </c>
      <c r="C606" t="s">
        <v>1</v>
      </c>
      <c r="D606" t="s">
        <v>10</v>
      </c>
      <c r="E606" t="s">
        <v>11</v>
      </c>
      <c r="F606">
        <v>431630</v>
      </c>
      <c r="G606">
        <v>-245134</v>
      </c>
      <c r="H606">
        <v>113394</v>
      </c>
      <c r="I606">
        <v>431630</v>
      </c>
      <c r="J606">
        <v>43163</v>
      </c>
      <c r="K606">
        <v>21581</v>
      </c>
      <c r="L606">
        <v>177123</v>
      </c>
      <c r="M606">
        <v>35424</v>
      </c>
      <c r="N606">
        <v>53136</v>
      </c>
      <c r="O606">
        <v>17712</v>
      </c>
      <c r="P606">
        <v>-70849</v>
      </c>
      <c r="Q606">
        <v>-44280</v>
      </c>
      <c r="R606">
        <v>170813</v>
      </c>
      <c r="S606">
        <v>51243</v>
      </c>
      <c r="T606">
        <v>17081</v>
      </c>
      <c r="U606">
        <v>8856</v>
      </c>
      <c r="V606">
        <v>5313</v>
      </c>
      <c r="W606">
        <v>3542</v>
      </c>
      <c r="X606">
        <v>17712</v>
      </c>
      <c r="Y606">
        <v>8856</v>
      </c>
      <c r="Z606">
        <v>8540</v>
      </c>
      <c r="AA606">
        <v>5124</v>
      </c>
      <c r="AB606">
        <v>3416</v>
      </c>
    </row>
    <row r="607" spans="1:28" x14ac:dyDescent="0.35">
      <c r="A607" t="s">
        <v>652</v>
      </c>
      <c r="B607" t="s">
        <v>9</v>
      </c>
      <c r="C607" t="s">
        <v>1</v>
      </c>
      <c r="D607" t="s">
        <v>10</v>
      </c>
      <c r="E607" t="s">
        <v>11</v>
      </c>
      <c r="F607">
        <v>88860</v>
      </c>
      <c r="G607">
        <v>-24303</v>
      </c>
      <c r="H607">
        <v>15544</v>
      </c>
      <c r="I607">
        <v>88860</v>
      </c>
      <c r="J607">
        <v>8886</v>
      </c>
      <c r="K607">
        <v>4443</v>
      </c>
      <c r="L607">
        <v>70830</v>
      </c>
      <c r="M607">
        <v>14166</v>
      </c>
      <c r="N607">
        <v>21249</v>
      </c>
      <c r="O607">
        <v>7083</v>
      </c>
      <c r="P607">
        <v>-28332</v>
      </c>
      <c r="Q607">
        <v>-17707</v>
      </c>
      <c r="R607">
        <v>71986</v>
      </c>
      <c r="S607">
        <v>21595</v>
      </c>
      <c r="T607">
        <v>7198</v>
      </c>
      <c r="U607">
        <v>3541</v>
      </c>
      <c r="V607">
        <v>2124</v>
      </c>
      <c r="W607">
        <v>1416</v>
      </c>
      <c r="X607">
        <v>7083</v>
      </c>
      <c r="Y607">
        <v>3541</v>
      </c>
      <c r="Z607">
        <v>3599</v>
      </c>
      <c r="AA607">
        <v>2159</v>
      </c>
      <c r="AB607">
        <v>1439</v>
      </c>
    </row>
    <row r="608" spans="1:28" x14ac:dyDescent="0.35">
      <c r="A608" t="s">
        <v>653</v>
      </c>
      <c r="B608" t="s">
        <v>9</v>
      </c>
      <c r="C608" t="s">
        <v>1</v>
      </c>
      <c r="D608" t="s">
        <v>10</v>
      </c>
      <c r="E608" t="s">
        <v>11</v>
      </c>
      <c r="F608">
        <v>154178</v>
      </c>
      <c r="G608">
        <v>-83546</v>
      </c>
      <c r="H608">
        <v>40013</v>
      </c>
      <c r="I608">
        <v>154178</v>
      </c>
      <c r="J608">
        <v>15417</v>
      </c>
      <c r="K608">
        <v>7708</v>
      </c>
      <c r="L608">
        <v>105587</v>
      </c>
      <c r="M608">
        <v>21117</v>
      </c>
      <c r="N608">
        <v>31676</v>
      </c>
      <c r="O608">
        <v>10558</v>
      </c>
      <c r="P608">
        <v>-42234</v>
      </c>
      <c r="Q608">
        <v>-26396</v>
      </c>
      <c r="R608">
        <v>110128</v>
      </c>
      <c r="S608">
        <v>33038</v>
      </c>
      <c r="T608">
        <v>11012</v>
      </c>
      <c r="U608">
        <v>5279</v>
      </c>
      <c r="V608">
        <v>3167</v>
      </c>
      <c r="W608">
        <v>2111</v>
      </c>
      <c r="X608">
        <v>10558</v>
      </c>
      <c r="Y608">
        <v>5279</v>
      </c>
      <c r="Z608">
        <v>5506</v>
      </c>
      <c r="AA608">
        <v>3303</v>
      </c>
      <c r="AB608">
        <v>2202</v>
      </c>
    </row>
    <row r="609" spans="1:28" x14ac:dyDescent="0.35">
      <c r="A609" t="s">
        <v>654</v>
      </c>
      <c r="B609" t="s">
        <v>9</v>
      </c>
      <c r="C609" t="s">
        <v>1</v>
      </c>
      <c r="D609" t="s">
        <v>10</v>
      </c>
      <c r="E609" t="s">
        <v>11</v>
      </c>
      <c r="F609">
        <v>270401</v>
      </c>
      <c r="G609">
        <v>-142505</v>
      </c>
      <c r="H609">
        <v>122499</v>
      </c>
      <c r="I609">
        <v>270401</v>
      </c>
      <c r="J609">
        <v>27040</v>
      </c>
      <c r="K609">
        <v>13520</v>
      </c>
      <c r="L609">
        <v>72008</v>
      </c>
      <c r="M609">
        <v>14401</v>
      </c>
      <c r="N609">
        <v>21602</v>
      </c>
      <c r="O609">
        <v>7200</v>
      </c>
      <c r="P609">
        <v>-28803</v>
      </c>
      <c r="Q609">
        <v>-18002</v>
      </c>
      <c r="R609">
        <v>81010</v>
      </c>
      <c r="S609">
        <v>24303</v>
      </c>
      <c r="T609">
        <v>8101</v>
      </c>
      <c r="U609">
        <v>3600</v>
      </c>
      <c r="V609">
        <v>2160</v>
      </c>
      <c r="W609">
        <v>1440</v>
      </c>
      <c r="X609">
        <v>7200</v>
      </c>
      <c r="Y609">
        <v>3600</v>
      </c>
      <c r="Z609">
        <v>4050</v>
      </c>
      <c r="AA609">
        <v>2430</v>
      </c>
      <c r="AB609">
        <v>1620</v>
      </c>
    </row>
    <row r="610" spans="1:28" x14ac:dyDescent="0.35">
      <c r="A610" t="s">
        <v>655</v>
      </c>
      <c r="B610" t="s">
        <v>9</v>
      </c>
      <c r="C610" t="s">
        <v>1</v>
      </c>
      <c r="D610" t="s">
        <v>10</v>
      </c>
      <c r="E610" t="s">
        <v>11</v>
      </c>
      <c r="F610">
        <v>90700</v>
      </c>
      <c r="G610">
        <v>-30692</v>
      </c>
      <c r="H610">
        <v>9547</v>
      </c>
      <c r="I610">
        <v>90700</v>
      </c>
      <c r="J610">
        <v>9070</v>
      </c>
      <c r="K610">
        <v>4535</v>
      </c>
      <c r="L610">
        <v>21542</v>
      </c>
      <c r="M610">
        <v>4308</v>
      </c>
      <c r="N610">
        <v>6462</v>
      </c>
      <c r="O610">
        <v>2154</v>
      </c>
      <c r="P610">
        <v>-8616</v>
      </c>
      <c r="Q610">
        <v>-5385</v>
      </c>
      <c r="R610">
        <v>18671</v>
      </c>
      <c r="S610">
        <v>5601</v>
      </c>
      <c r="T610">
        <v>1867</v>
      </c>
      <c r="U610">
        <v>1077</v>
      </c>
      <c r="V610">
        <v>646</v>
      </c>
      <c r="W610">
        <v>430</v>
      </c>
      <c r="X610">
        <v>2154</v>
      </c>
      <c r="Y610">
        <v>1077</v>
      </c>
      <c r="Z610">
        <v>933</v>
      </c>
      <c r="AA610">
        <v>560</v>
      </c>
      <c r="AB610">
        <v>373</v>
      </c>
    </row>
    <row r="611" spans="1:28" x14ac:dyDescent="0.35">
      <c r="A611" t="s">
        <v>656</v>
      </c>
      <c r="B611" t="s">
        <v>9</v>
      </c>
      <c r="C611" t="s">
        <v>1</v>
      </c>
      <c r="D611" t="s">
        <v>10</v>
      </c>
      <c r="E611" t="s">
        <v>11</v>
      </c>
      <c r="F611">
        <v>336770</v>
      </c>
      <c r="G611">
        <v>-162373</v>
      </c>
      <c r="H611">
        <v>150339</v>
      </c>
      <c r="I611">
        <v>336770</v>
      </c>
      <c r="J611">
        <v>33677</v>
      </c>
      <c r="K611">
        <v>16838</v>
      </c>
      <c r="L611">
        <v>197179</v>
      </c>
      <c r="M611">
        <v>39435</v>
      </c>
      <c r="N611">
        <v>59153</v>
      </c>
      <c r="O611">
        <v>19717</v>
      </c>
      <c r="P611">
        <v>-78871</v>
      </c>
      <c r="Q611">
        <v>-49294</v>
      </c>
      <c r="R611">
        <v>165826</v>
      </c>
      <c r="S611">
        <v>49747</v>
      </c>
      <c r="T611">
        <v>16582</v>
      </c>
      <c r="U611">
        <v>9858</v>
      </c>
      <c r="V611">
        <v>5915</v>
      </c>
      <c r="W611">
        <v>3943</v>
      </c>
      <c r="X611">
        <v>19717</v>
      </c>
      <c r="Y611">
        <v>9858</v>
      </c>
      <c r="Z611">
        <v>8291</v>
      </c>
      <c r="AA611">
        <v>4974</v>
      </c>
      <c r="AB611">
        <v>3316</v>
      </c>
    </row>
    <row r="612" spans="1:28" x14ac:dyDescent="0.35">
      <c r="A612" t="s">
        <v>657</v>
      </c>
      <c r="B612" t="s">
        <v>9</v>
      </c>
      <c r="C612" t="s">
        <v>1</v>
      </c>
      <c r="D612" t="s">
        <v>10</v>
      </c>
      <c r="E612" t="s">
        <v>11</v>
      </c>
      <c r="F612">
        <v>125043</v>
      </c>
      <c r="G612">
        <v>-42851</v>
      </c>
      <c r="H612">
        <v>16270</v>
      </c>
      <c r="I612">
        <v>125043</v>
      </c>
      <c r="J612">
        <v>12504</v>
      </c>
      <c r="K612">
        <v>6252</v>
      </c>
      <c r="L612">
        <v>89457</v>
      </c>
      <c r="M612">
        <v>17891</v>
      </c>
      <c r="N612">
        <v>26837</v>
      </c>
      <c r="O612">
        <v>8945</v>
      </c>
      <c r="P612">
        <v>-35782</v>
      </c>
      <c r="Q612">
        <v>-22364</v>
      </c>
      <c r="R612">
        <v>83591</v>
      </c>
      <c r="S612">
        <v>25077</v>
      </c>
      <c r="T612">
        <v>8359</v>
      </c>
      <c r="U612">
        <v>4472</v>
      </c>
      <c r="V612">
        <v>2683</v>
      </c>
      <c r="W612">
        <v>1789</v>
      </c>
      <c r="X612">
        <v>8945</v>
      </c>
      <c r="Y612">
        <v>4472</v>
      </c>
      <c r="Z612">
        <v>4179</v>
      </c>
      <c r="AA612">
        <v>2507</v>
      </c>
      <c r="AB612">
        <v>1671</v>
      </c>
    </row>
    <row r="613" spans="1:28" x14ac:dyDescent="0.35">
      <c r="A613" t="s">
        <v>658</v>
      </c>
      <c r="B613" t="s">
        <v>9</v>
      </c>
      <c r="C613" t="s">
        <v>1</v>
      </c>
      <c r="D613" t="s">
        <v>10</v>
      </c>
      <c r="E613" t="s">
        <v>11</v>
      </c>
      <c r="F613">
        <v>97971</v>
      </c>
      <c r="G613">
        <v>-22236</v>
      </c>
      <c r="H613">
        <v>41753</v>
      </c>
      <c r="I613">
        <v>97971</v>
      </c>
      <c r="J613">
        <v>9797</v>
      </c>
      <c r="K613">
        <v>4898</v>
      </c>
      <c r="L613">
        <v>65068</v>
      </c>
      <c r="M613">
        <v>13013</v>
      </c>
      <c r="N613">
        <v>19520</v>
      </c>
      <c r="O613">
        <v>6506</v>
      </c>
      <c r="P613">
        <v>-26027</v>
      </c>
      <c r="Q613">
        <v>-16267</v>
      </c>
      <c r="R613">
        <v>56725</v>
      </c>
      <c r="S613">
        <v>17017</v>
      </c>
      <c r="T613">
        <v>5672</v>
      </c>
      <c r="U613">
        <v>3253</v>
      </c>
      <c r="V613">
        <v>1952</v>
      </c>
      <c r="W613">
        <v>1301</v>
      </c>
      <c r="X613">
        <v>6506</v>
      </c>
      <c r="Y613">
        <v>3253</v>
      </c>
      <c r="Z613">
        <v>2836</v>
      </c>
      <c r="AA613">
        <v>1701</v>
      </c>
      <c r="AB613">
        <v>1134</v>
      </c>
    </row>
    <row r="614" spans="1:28" x14ac:dyDescent="0.35">
      <c r="A614" t="s">
        <v>659</v>
      </c>
      <c r="B614" t="s">
        <v>9</v>
      </c>
      <c r="C614" t="s">
        <v>1</v>
      </c>
      <c r="D614" t="s">
        <v>10</v>
      </c>
      <c r="E614" t="s">
        <v>11</v>
      </c>
      <c r="F614">
        <v>455886</v>
      </c>
      <c r="G614">
        <v>-215455</v>
      </c>
      <c r="H614">
        <v>183348</v>
      </c>
      <c r="I614">
        <v>455886</v>
      </c>
      <c r="J614">
        <v>45588</v>
      </c>
      <c r="K614">
        <v>22794</v>
      </c>
      <c r="L614">
        <v>219888</v>
      </c>
      <c r="M614">
        <v>43977</v>
      </c>
      <c r="N614">
        <v>65966</v>
      </c>
      <c r="O614">
        <v>21988</v>
      </c>
      <c r="P614">
        <v>-87955</v>
      </c>
      <c r="Q614">
        <v>-54972</v>
      </c>
      <c r="R614">
        <v>231922</v>
      </c>
      <c r="S614">
        <v>69576</v>
      </c>
      <c r="T614">
        <v>23192</v>
      </c>
      <c r="U614">
        <v>10994</v>
      </c>
      <c r="V614">
        <v>6596</v>
      </c>
      <c r="W614">
        <v>4397</v>
      </c>
      <c r="X614">
        <v>21988</v>
      </c>
      <c r="Y614">
        <v>10994</v>
      </c>
      <c r="Z614">
        <v>11596</v>
      </c>
      <c r="AA614">
        <v>6957</v>
      </c>
      <c r="AB614">
        <v>4638</v>
      </c>
    </row>
    <row r="615" spans="1:28" x14ac:dyDescent="0.35">
      <c r="A615" t="s">
        <v>660</v>
      </c>
      <c r="B615" t="s">
        <v>9</v>
      </c>
      <c r="C615" t="s">
        <v>1</v>
      </c>
      <c r="D615" t="s">
        <v>10</v>
      </c>
      <c r="E615" t="s">
        <v>11</v>
      </c>
      <c r="F615">
        <v>350119</v>
      </c>
      <c r="G615">
        <v>-150911</v>
      </c>
      <c r="H615">
        <v>104069</v>
      </c>
      <c r="I615">
        <v>350119</v>
      </c>
      <c r="J615">
        <v>35011</v>
      </c>
      <c r="K615">
        <v>17505</v>
      </c>
      <c r="L615">
        <v>166950</v>
      </c>
      <c r="M615">
        <v>33390</v>
      </c>
      <c r="N615">
        <v>50085</v>
      </c>
      <c r="O615">
        <v>16695</v>
      </c>
      <c r="P615">
        <v>-66780</v>
      </c>
      <c r="Q615">
        <v>-41737</v>
      </c>
      <c r="R615">
        <v>151025</v>
      </c>
      <c r="S615">
        <v>45307</v>
      </c>
      <c r="T615">
        <v>15102</v>
      </c>
      <c r="U615">
        <v>8347</v>
      </c>
      <c r="V615">
        <v>5008</v>
      </c>
      <c r="W615">
        <v>3339</v>
      </c>
      <c r="X615">
        <v>16695</v>
      </c>
      <c r="Y615">
        <v>8347</v>
      </c>
      <c r="Z615">
        <v>7551</v>
      </c>
      <c r="AA615">
        <v>4530</v>
      </c>
      <c r="AB615">
        <v>3020</v>
      </c>
    </row>
    <row r="616" spans="1:28" x14ac:dyDescent="0.35">
      <c r="A616" t="s">
        <v>661</v>
      </c>
      <c r="B616" t="s">
        <v>9</v>
      </c>
      <c r="C616" t="s">
        <v>1</v>
      </c>
      <c r="D616" t="s">
        <v>10</v>
      </c>
      <c r="E616" t="s">
        <v>11</v>
      </c>
      <c r="F616">
        <v>301630</v>
      </c>
      <c r="G616">
        <v>-81170</v>
      </c>
      <c r="H616">
        <v>117213</v>
      </c>
      <c r="I616">
        <v>301630</v>
      </c>
      <c r="J616">
        <v>30163</v>
      </c>
      <c r="K616">
        <v>15081</v>
      </c>
      <c r="L616">
        <v>104093</v>
      </c>
      <c r="M616">
        <v>20818</v>
      </c>
      <c r="N616">
        <v>31227</v>
      </c>
      <c r="O616">
        <v>10409</v>
      </c>
      <c r="P616">
        <v>-41637</v>
      </c>
      <c r="Q616">
        <v>-26023</v>
      </c>
      <c r="R616">
        <v>123605</v>
      </c>
      <c r="S616">
        <v>37081</v>
      </c>
      <c r="T616">
        <v>12360</v>
      </c>
      <c r="U616">
        <v>5204</v>
      </c>
      <c r="V616">
        <v>3122</v>
      </c>
      <c r="W616">
        <v>2081</v>
      </c>
      <c r="X616">
        <v>10409</v>
      </c>
      <c r="Y616">
        <v>5204</v>
      </c>
      <c r="Z616">
        <v>6180</v>
      </c>
      <c r="AA616">
        <v>3708</v>
      </c>
      <c r="AB616">
        <v>2472</v>
      </c>
    </row>
    <row r="617" spans="1:28" x14ac:dyDescent="0.35">
      <c r="A617" t="s">
        <v>662</v>
      </c>
      <c r="B617" t="s">
        <v>9</v>
      </c>
      <c r="C617" t="s">
        <v>1</v>
      </c>
      <c r="D617" t="s">
        <v>10</v>
      </c>
      <c r="E617" t="s">
        <v>11</v>
      </c>
      <c r="F617">
        <v>492016</v>
      </c>
      <c r="G617">
        <v>-289986</v>
      </c>
      <c r="H617">
        <v>175722</v>
      </c>
      <c r="I617">
        <v>492016</v>
      </c>
      <c r="J617">
        <v>49201</v>
      </c>
      <c r="K617">
        <v>24600</v>
      </c>
      <c r="L617">
        <v>275041</v>
      </c>
      <c r="M617">
        <v>55008</v>
      </c>
      <c r="N617">
        <v>82512</v>
      </c>
      <c r="O617">
        <v>27504</v>
      </c>
      <c r="P617">
        <v>-110016</v>
      </c>
      <c r="Q617">
        <v>-68760</v>
      </c>
      <c r="R617">
        <v>236650</v>
      </c>
      <c r="S617">
        <v>70995</v>
      </c>
      <c r="T617">
        <v>23665</v>
      </c>
      <c r="U617">
        <v>13752</v>
      </c>
      <c r="V617">
        <v>8251</v>
      </c>
      <c r="W617">
        <v>5500</v>
      </c>
      <c r="X617">
        <v>27504</v>
      </c>
      <c r="Y617">
        <v>13752</v>
      </c>
      <c r="Z617">
        <v>11832</v>
      </c>
      <c r="AA617">
        <v>7099</v>
      </c>
      <c r="AB617">
        <v>4733</v>
      </c>
    </row>
    <row r="618" spans="1:28" x14ac:dyDescent="0.35">
      <c r="A618" t="s">
        <v>663</v>
      </c>
      <c r="B618" t="s">
        <v>9</v>
      </c>
      <c r="C618" t="s">
        <v>1</v>
      </c>
      <c r="D618" t="s">
        <v>10</v>
      </c>
      <c r="E618" t="s">
        <v>11</v>
      </c>
      <c r="F618">
        <v>227617</v>
      </c>
      <c r="G618">
        <v>-105106</v>
      </c>
      <c r="H618">
        <v>45034</v>
      </c>
      <c r="I618">
        <v>227617</v>
      </c>
      <c r="J618">
        <v>22761</v>
      </c>
      <c r="K618">
        <v>11380</v>
      </c>
      <c r="L618">
        <v>128730</v>
      </c>
      <c r="M618">
        <v>25746</v>
      </c>
      <c r="N618">
        <v>38619</v>
      </c>
      <c r="O618">
        <v>12873</v>
      </c>
      <c r="P618">
        <v>-51492</v>
      </c>
      <c r="Q618">
        <v>-32182</v>
      </c>
      <c r="R618">
        <v>134972</v>
      </c>
      <c r="S618">
        <v>40491</v>
      </c>
      <c r="T618">
        <v>13497</v>
      </c>
      <c r="U618">
        <v>6436</v>
      </c>
      <c r="V618">
        <v>3861</v>
      </c>
      <c r="W618">
        <v>2574</v>
      </c>
      <c r="X618">
        <v>12873</v>
      </c>
      <c r="Y618">
        <v>6436</v>
      </c>
      <c r="Z618">
        <v>6748</v>
      </c>
      <c r="AA618">
        <v>4049</v>
      </c>
      <c r="AB618">
        <v>2699</v>
      </c>
    </row>
    <row r="619" spans="1:28" x14ac:dyDescent="0.35">
      <c r="A619" t="s">
        <v>664</v>
      </c>
      <c r="B619" t="s">
        <v>9</v>
      </c>
      <c r="C619" t="s">
        <v>1</v>
      </c>
      <c r="D619" t="s">
        <v>10</v>
      </c>
      <c r="E619" t="s">
        <v>11</v>
      </c>
      <c r="F619">
        <v>263712</v>
      </c>
      <c r="G619">
        <v>-83806</v>
      </c>
      <c r="H619">
        <v>127356</v>
      </c>
      <c r="I619">
        <v>263712</v>
      </c>
      <c r="J619">
        <v>26371</v>
      </c>
      <c r="K619">
        <v>13185</v>
      </c>
      <c r="L619">
        <v>103336</v>
      </c>
      <c r="M619">
        <v>20667</v>
      </c>
      <c r="N619">
        <v>31000</v>
      </c>
      <c r="O619">
        <v>10333</v>
      </c>
      <c r="P619">
        <v>-41334</v>
      </c>
      <c r="Q619">
        <v>-25834</v>
      </c>
      <c r="R619">
        <v>98020</v>
      </c>
      <c r="S619">
        <v>29406</v>
      </c>
      <c r="T619">
        <v>9802</v>
      </c>
      <c r="U619">
        <v>5166</v>
      </c>
      <c r="V619">
        <v>3100</v>
      </c>
      <c r="W619">
        <v>2066</v>
      </c>
      <c r="X619">
        <v>10333</v>
      </c>
      <c r="Y619">
        <v>5166</v>
      </c>
      <c r="Z619">
        <v>4901</v>
      </c>
      <c r="AA619">
        <v>2940</v>
      </c>
      <c r="AB619">
        <v>1960</v>
      </c>
    </row>
    <row r="620" spans="1:28" x14ac:dyDescent="0.35">
      <c r="A620" t="s">
        <v>665</v>
      </c>
      <c r="B620" t="s">
        <v>9</v>
      </c>
      <c r="C620" t="s">
        <v>1</v>
      </c>
      <c r="D620" t="s">
        <v>10</v>
      </c>
      <c r="E620" t="s">
        <v>11</v>
      </c>
      <c r="F620">
        <v>406865</v>
      </c>
      <c r="G620">
        <v>-83289</v>
      </c>
      <c r="H620">
        <v>134304</v>
      </c>
      <c r="I620">
        <v>406865</v>
      </c>
      <c r="J620">
        <v>40686</v>
      </c>
      <c r="K620">
        <v>20343</v>
      </c>
      <c r="L620">
        <v>131338</v>
      </c>
      <c r="M620">
        <v>26267</v>
      </c>
      <c r="N620">
        <v>39401</v>
      </c>
      <c r="O620">
        <v>13133</v>
      </c>
      <c r="P620">
        <v>-52535</v>
      </c>
      <c r="Q620">
        <v>-32834</v>
      </c>
      <c r="R620">
        <v>122752</v>
      </c>
      <c r="S620">
        <v>36825</v>
      </c>
      <c r="T620">
        <v>12275</v>
      </c>
      <c r="U620">
        <v>6566</v>
      </c>
      <c r="V620">
        <v>3940</v>
      </c>
      <c r="W620">
        <v>2626</v>
      </c>
      <c r="X620">
        <v>13133</v>
      </c>
      <c r="Y620">
        <v>6566</v>
      </c>
      <c r="Z620">
        <v>6137</v>
      </c>
      <c r="AA620">
        <v>3682</v>
      </c>
      <c r="AB620">
        <v>2455</v>
      </c>
    </row>
    <row r="621" spans="1:28" x14ac:dyDescent="0.35">
      <c r="A621" t="s">
        <v>666</v>
      </c>
      <c r="B621" t="s">
        <v>9</v>
      </c>
      <c r="C621" t="s">
        <v>1</v>
      </c>
      <c r="D621" t="s">
        <v>10</v>
      </c>
      <c r="E621" t="s">
        <v>11</v>
      </c>
      <c r="F621">
        <v>230835</v>
      </c>
      <c r="G621">
        <v>-83852</v>
      </c>
      <c r="H621">
        <v>108989</v>
      </c>
      <c r="I621">
        <v>230835</v>
      </c>
      <c r="J621">
        <v>23083</v>
      </c>
      <c r="K621">
        <v>11541</v>
      </c>
      <c r="L621">
        <v>153178</v>
      </c>
      <c r="M621">
        <v>30635</v>
      </c>
      <c r="N621">
        <v>45953</v>
      </c>
      <c r="O621">
        <v>15317</v>
      </c>
      <c r="P621">
        <v>-61271</v>
      </c>
      <c r="Q621">
        <v>-38294</v>
      </c>
      <c r="R621">
        <v>161282</v>
      </c>
      <c r="S621">
        <v>48384</v>
      </c>
      <c r="T621">
        <v>16128</v>
      </c>
      <c r="U621">
        <v>7658</v>
      </c>
      <c r="V621">
        <v>4595</v>
      </c>
      <c r="W621">
        <v>3063</v>
      </c>
      <c r="X621">
        <v>15317</v>
      </c>
      <c r="Y621">
        <v>7658</v>
      </c>
      <c r="Z621">
        <v>8064</v>
      </c>
      <c r="AA621">
        <v>4838</v>
      </c>
      <c r="AB621">
        <v>3225</v>
      </c>
    </row>
    <row r="622" spans="1:28" x14ac:dyDescent="0.35">
      <c r="A622" t="s">
        <v>667</v>
      </c>
      <c r="B622" t="s">
        <v>9</v>
      </c>
      <c r="C622" t="s">
        <v>1</v>
      </c>
      <c r="D622" t="s">
        <v>10</v>
      </c>
      <c r="E622" t="s">
        <v>11</v>
      </c>
      <c r="F622">
        <v>278454</v>
      </c>
      <c r="G622">
        <v>-148633</v>
      </c>
      <c r="H622">
        <v>62072</v>
      </c>
      <c r="I622">
        <v>278454</v>
      </c>
      <c r="J622">
        <v>27845</v>
      </c>
      <c r="K622">
        <v>13922</v>
      </c>
      <c r="L622">
        <v>58957</v>
      </c>
      <c r="M622">
        <v>11791</v>
      </c>
      <c r="N622">
        <v>17687</v>
      </c>
      <c r="O622">
        <v>5895</v>
      </c>
      <c r="P622">
        <v>-23582</v>
      </c>
      <c r="Q622">
        <v>-14739</v>
      </c>
      <c r="R622">
        <v>54736</v>
      </c>
      <c r="S622">
        <v>16420</v>
      </c>
      <c r="T622">
        <v>5473</v>
      </c>
      <c r="U622">
        <v>2947</v>
      </c>
      <c r="V622">
        <v>1768</v>
      </c>
      <c r="W622">
        <v>1179</v>
      </c>
      <c r="X622">
        <v>5895</v>
      </c>
      <c r="Y622">
        <v>2947</v>
      </c>
      <c r="Z622">
        <v>2736</v>
      </c>
      <c r="AA622">
        <v>1642</v>
      </c>
      <c r="AB622">
        <v>1094</v>
      </c>
    </row>
    <row r="623" spans="1:28" x14ac:dyDescent="0.35">
      <c r="A623" t="s">
        <v>668</v>
      </c>
      <c r="B623" t="s">
        <v>9</v>
      </c>
      <c r="C623" t="s">
        <v>1</v>
      </c>
      <c r="D623" t="s">
        <v>10</v>
      </c>
      <c r="E623" t="s">
        <v>11</v>
      </c>
      <c r="F623">
        <v>424742</v>
      </c>
      <c r="G623">
        <v>-173252</v>
      </c>
      <c r="H623">
        <v>81183</v>
      </c>
      <c r="I623">
        <v>424742</v>
      </c>
      <c r="J623">
        <v>42474</v>
      </c>
      <c r="K623">
        <v>21237</v>
      </c>
      <c r="L623">
        <v>314918</v>
      </c>
      <c r="M623">
        <v>62983</v>
      </c>
      <c r="N623">
        <v>94475</v>
      </c>
      <c r="O623">
        <v>31491</v>
      </c>
      <c r="P623">
        <v>-125967</v>
      </c>
      <c r="Q623">
        <v>-78729</v>
      </c>
      <c r="R623">
        <v>268017</v>
      </c>
      <c r="S623">
        <v>80405</v>
      </c>
      <c r="T623">
        <v>26801</v>
      </c>
      <c r="U623">
        <v>15745</v>
      </c>
      <c r="V623">
        <v>9447</v>
      </c>
      <c r="W623">
        <v>6298</v>
      </c>
      <c r="X623">
        <v>31491</v>
      </c>
      <c r="Y623">
        <v>15745</v>
      </c>
      <c r="Z623">
        <v>13400</v>
      </c>
      <c r="AA623">
        <v>8040</v>
      </c>
      <c r="AB623">
        <v>5360</v>
      </c>
    </row>
    <row r="624" spans="1:28" x14ac:dyDescent="0.35">
      <c r="A624" t="s">
        <v>669</v>
      </c>
      <c r="B624" t="s">
        <v>9</v>
      </c>
      <c r="C624" t="s">
        <v>1</v>
      </c>
      <c r="D624" t="s">
        <v>10</v>
      </c>
      <c r="E624" t="s">
        <v>11</v>
      </c>
      <c r="F624">
        <v>282712</v>
      </c>
      <c r="G624">
        <v>-85390</v>
      </c>
      <c r="H624">
        <v>58303</v>
      </c>
      <c r="I624">
        <v>282712</v>
      </c>
      <c r="J624">
        <v>28271</v>
      </c>
      <c r="K624">
        <v>14135</v>
      </c>
      <c r="L624">
        <v>162328</v>
      </c>
      <c r="M624">
        <v>32465</v>
      </c>
      <c r="N624">
        <v>48698</v>
      </c>
      <c r="O624">
        <v>16232</v>
      </c>
      <c r="P624">
        <v>-64931</v>
      </c>
      <c r="Q624">
        <v>-40582</v>
      </c>
      <c r="R624">
        <v>189277</v>
      </c>
      <c r="S624">
        <v>56783</v>
      </c>
      <c r="T624">
        <v>18927</v>
      </c>
      <c r="U624">
        <v>8116</v>
      </c>
      <c r="V624">
        <v>4869</v>
      </c>
      <c r="W624">
        <v>3246</v>
      </c>
      <c r="X624">
        <v>16232</v>
      </c>
      <c r="Y624">
        <v>8116</v>
      </c>
      <c r="Z624">
        <v>9463</v>
      </c>
      <c r="AA624">
        <v>5678</v>
      </c>
      <c r="AB624">
        <v>3785</v>
      </c>
    </row>
    <row r="625" spans="1:28" x14ac:dyDescent="0.35">
      <c r="A625" t="s">
        <v>670</v>
      </c>
      <c r="B625" t="s">
        <v>9</v>
      </c>
      <c r="C625" t="s">
        <v>1</v>
      </c>
      <c r="D625" t="s">
        <v>10</v>
      </c>
      <c r="E625" t="s">
        <v>11</v>
      </c>
      <c r="F625">
        <v>306195</v>
      </c>
      <c r="G625">
        <v>-155998</v>
      </c>
      <c r="H625">
        <v>54790</v>
      </c>
      <c r="I625">
        <v>306195</v>
      </c>
      <c r="J625">
        <v>30619</v>
      </c>
      <c r="K625">
        <v>15309</v>
      </c>
      <c r="L625">
        <v>67008</v>
      </c>
      <c r="M625">
        <v>13401</v>
      </c>
      <c r="N625">
        <v>20102</v>
      </c>
      <c r="O625">
        <v>6700</v>
      </c>
      <c r="P625">
        <v>-26803</v>
      </c>
      <c r="Q625">
        <v>-16752</v>
      </c>
      <c r="R625">
        <v>63539</v>
      </c>
      <c r="S625">
        <v>19061</v>
      </c>
      <c r="T625">
        <v>6353</v>
      </c>
      <c r="U625">
        <v>3350</v>
      </c>
      <c r="V625">
        <v>2010</v>
      </c>
      <c r="W625">
        <v>1340</v>
      </c>
      <c r="X625">
        <v>6700</v>
      </c>
      <c r="Y625">
        <v>3350</v>
      </c>
      <c r="Z625">
        <v>3176</v>
      </c>
      <c r="AA625">
        <v>1906</v>
      </c>
      <c r="AB625">
        <v>1270</v>
      </c>
    </row>
    <row r="626" spans="1:28" x14ac:dyDescent="0.35">
      <c r="A626" t="s">
        <v>671</v>
      </c>
      <c r="B626" t="s">
        <v>9</v>
      </c>
      <c r="C626" t="s">
        <v>1</v>
      </c>
      <c r="D626" t="s">
        <v>10</v>
      </c>
      <c r="E626" t="s">
        <v>11</v>
      </c>
      <c r="F626">
        <v>178859</v>
      </c>
      <c r="G626">
        <v>-58039</v>
      </c>
      <c r="H626">
        <v>36400</v>
      </c>
      <c r="I626">
        <v>178859</v>
      </c>
      <c r="J626">
        <v>17885</v>
      </c>
      <c r="K626">
        <v>8942</v>
      </c>
      <c r="L626">
        <v>74497</v>
      </c>
      <c r="M626">
        <v>14899</v>
      </c>
      <c r="N626">
        <v>22349</v>
      </c>
      <c r="O626">
        <v>7449</v>
      </c>
      <c r="P626">
        <v>-29798</v>
      </c>
      <c r="Q626">
        <v>-18624</v>
      </c>
      <c r="R626">
        <v>73859</v>
      </c>
      <c r="S626">
        <v>22157</v>
      </c>
      <c r="T626">
        <v>7385</v>
      </c>
      <c r="U626">
        <v>3724</v>
      </c>
      <c r="V626">
        <v>2234</v>
      </c>
      <c r="W626">
        <v>1489</v>
      </c>
      <c r="X626">
        <v>7449</v>
      </c>
      <c r="Y626">
        <v>3724</v>
      </c>
      <c r="Z626">
        <v>3692</v>
      </c>
      <c r="AA626">
        <v>2215</v>
      </c>
      <c r="AB626">
        <v>1477</v>
      </c>
    </row>
    <row r="627" spans="1:28" x14ac:dyDescent="0.35">
      <c r="A627" t="s">
        <v>672</v>
      </c>
      <c r="B627" t="s">
        <v>9</v>
      </c>
      <c r="C627" t="s">
        <v>1</v>
      </c>
      <c r="D627" t="s">
        <v>10</v>
      </c>
      <c r="E627" t="s">
        <v>11</v>
      </c>
      <c r="F627">
        <v>163267</v>
      </c>
      <c r="G627">
        <v>-53969</v>
      </c>
      <c r="H627">
        <v>30355</v>
      </c>
      <c r="I627">
        <v>163267</v>
      </c>
      <c r="J627">
        <v>16326</v>
      </c>
      <c r="K627">
        <v>8163</v>
      </c>
      <c r="L627">
        <v>110651</v>
      </c>
      <c r="M627">
        <v>22130</v>
      </c>
      <c r="N627">
        <v>33195</v>
      </c>
      <c r="O627">
        <v>11065</v>
      </c>
      <c r="P627">
        <v>-44260</v>
      </c>
      <c r="Q627">
        <v>-27662</v>
      </c>
      <c r="R627">
        <v>111419</v>
      </c>
      <c r="S627">
        <v>33425</v>
      </c>
      <c r="T627">
        <v>11141</v>
      </c>
      <c r="U627">
        <v>5532</v>
      </c>
      <c r="V627">
        <v>3319</v>
      </c>
      <c r="W627">
        <v>2213</v>
      </c>
      <c r="X627">
        <v>11065</v>
      </c>
      <c r="Y627">
        <v>5532</v>
      </c>
      <c r="Z627">
        <v>5570</v>
      </c>
      <c r="AA627">
        <v>3342</v>
      </c>
      <c r="AB627">
        <v>2228</v>
      </c>
    </row>
    <row r="628" spans="1:28" x14ac:dyDescent="0.35">
      <c r="A628" t="s">
        <v>673</v>
      </c>
      <c r="B628" t="s">
        <v>9</v>
      </c>
      <c r="C628" t="s">
        <v>1</v>
      </c>
      <c r="D628" t="s">
        <v>10</v>
      </c>
      <c r="E628" t="s">
        <v>11</v>
      </c>
      <c r="F628">
        <v>394316</v>
      </c>
      <c r="G628">
        <v>-229847</v>
      </c>
      <c r="H628">
        <v>129142</v>
      </c>
      <c r="I628">
        <v>394316</v>
      </c>
      <c r="J628">
        <v>39431</v>
      </c>
      <c r="K628">
        <v>19715</v>
      </c>
      <c r="L628">
        <v>162830</v>
      </c>
      <c r="M628">
        <v>32566</v>
      </c>
      <c r="N628">
        <v>48849</v>
      </c>
      <c r="O628">
        <v>16283</v>
      </c>
      <c r="P628">
        <v>-65132</v>
      </c>
      <c r="Q628">
        <v>-40707</v>
      </c>
      <c r="R628">
        <v>172760</v>
      </c>
      <c r="S628">
        <v>51828</v>
      </c>
      <c r="T628">
        <v>17276</v>
      </c>
      <c r="U628">
        <v>8141</v>
      </c>
      <c r="V628">
        <v>4884</v>
      </c>
      <c r="W628">
        <v>3256</v>
      </c>
      <c r="X628">
        <v>16283</v>
      </c>
      <c r="Y628">
        <v>8141</v>
      </c>
      <c r="Z628">
        <v>8638</v>
      </c>
      <c r="AA628">
        <v>5182</v>
      </c>
      <c r="AB628">
        <v>3455</v>
      </c>
    </row>
    <row r="629" spans="1:28" x14ac:dyDescent="0.35">
      <c r="A629" t="s">
        <v>674</v>
      </c>
      <c r="B629" t="s">
        <v>9</v>
      </c>
      <c r="C629" t="s">
        <v>1</v>
      </c>
      <c r="D629" t="s">
        <v>10</v>
      </c>
      <c r="E629" t="s">
        <v>11</v>
      </c>
      <c r="F629">
        <v>407836</v>
      </c>
      <c r="G629">
        <v>-137614</v>
      </c>
      <c r="H629">
        <v>76014</v>
      </c>
      <c r="I629">
        <v>407836</v>
      </c>
      <c r="J629">
        <v>40783</v>
      </c>
      <c r="K629">
        <v>20391</v>
      </c>
      <c r="L629">
        <v>288136</v>
      </c>
      <c r="M629">
        <v>57627</v>
      </c>
      <c r="N629">
        <v>86440</v>
      </c>
      <c r="O629">
        <v>28813</v>
      </c>
      <c r="P629">
        <v>-115254</v>
      </c>
      <c r="Q629">
        <v>-72034</v>
      </c>
      <c r="R629">
        <v>242111</v>
      </c>
      <c r="S629">
        <v>72633</v>
      </c>
      <c r="T629">
        <v>24211</v>
      </c>
      <c r="U629">
        <v>14406</v>
      </c>
      <c r="V629">
        <v>8644</v>
      </c>
      <c r="W629">
        <v>5762</v>
      </c>
      <c r="X629">
        <v>28813</v>
      </c>
      <c r="Y629">
        <v>14406</v>
      </c>
      <c r="Z629">
        <v>12105</v>
      </c>
      <c r="AA629">
        <v>7263</v>
      </c>
      <c r="AB629">
        <v>4842</v>
      </c>
    </row>
    <row r="630" spans="1:28" x14ac:dyDescent="0.35">
      <c r="A630" t="s">
        <v>675</v>
      </c>
      <c r="B630" t="s">
        <v>9</v>
      </c>
      <c r="C630" t="s">
        <v>1</v>
      </c>
      <c r="D630" t="s">
        <v>10</v>
      </c>
      <c r="E630" t="s">
        <v>11</v>
      </c>
      <c r="F630">
        <v>369208</v>
      </c>
      <c r="G630">
        <v>-87208</v>
      </c>
      <c r="H630">
        <v>77094</v>
      </c>
      <c r="I630">
        <v>369208</v>
      </c>
      <c r="J630">
        <v>36920</v>
      </c>
      <c r="K630">
        <v>18460</v>
      </c>
      <c r="L630">
        <v>151606</v>
      </c>
      <c r="M630">
        <v>30321</v>
      </c>
      <c r="N630">
        <v>45481</v>
      </c>
      <c r="O630">
        <v>15160</v>
      </c>
      <c r="P630">
        <v>-60642</v>
      </c>
      <c r="Q630">
        <v>-37901</v>
      </c>
      <c r="R630">
        <v>177736</v>
      </c>
      <c r="S630">
        <v>53320</v>
      </c>
      <c r="T630">
        <v>17773</v>
      </c>
      <c r="U630">
        <v>7580</v>
      </c>
      <c r="V630">
        <v>4548</v>
      </c>
      <c r="W630">
        <v>3032</v>
      </c>
      <c r="X630">
        <v>15160</v>
      </c>
      <c r="Y630">
        <v>7580</v>
      </c>
      <c r="Z630">
        <v>8886</v>
      </c>
      <c r="AA630">
        <v>5332</v>
      </c>
      <c r="AB630">
        <v>3554</v>
      </c>
    </row>
    <row r="631" spans="1:28" x14ac:dyDescent="0.35">
      <c r="A631" t="s">
        <v>676</v>
      </c>
      <c r="B631" t="s">
        <v>9</v>
      </c>
      <c r="C631" t="s">
        <v>1</v>
      </c>
      <c r="D631" t="s">
        <v>10</v>
      </c>
      <c r="E631" t="s">
        <v>11</v>
      </c>
      <c r="F631">
        <v>425523</v>
      </c>
      <c r="G631">
        <v>-238934</v>
      </c>
      <c r="H631">
        <v>154537</v>
      </c>
      <c r="I631">
        <v>425523</v>
      </c>
      <c r="J631">
        <v>42552</v>
      </c>
      <c r="K631">
        <v>21276</v>
      </c>
      <c r="L631">
        <v>112731</v>
      </c>
      <c r="M631">
        <v>22546</v>
      </c>
      <c r="N631">
        <v>33819</v>
      </c>
      <c r="O631">
        <v>11273</v>
      </c>
      <c r="P631">
        <v>-45092</v>
      </c>
      <c r="Q631">
        <v>-28182</v>
      </c>
      <c r="R631">
        <v>122633</v>
      </c>
      <c r="S631">
        <v>36789</v>
      </c>
      <c r="T631">
        <v>12263</v>
      </c>
      <c r="U631">
        <v>5636</v>
      </c>
      <c r="V631">
        <v>3381</v>
      </c>
      <c r="W631">
        <v>2254</v>
      </c>
      <c r="X631">
        <v>11273</v>
      </c>
      <c r="Y631">
        <v>5636</v>
      </c>
      <c r="Z631">
        <v>6131</v>
      </c>
      <c r="AA631">
        <v>3678</v>
      </c>
      <c r="AB631">
        <v>2452</v>
      </c>
    </row>
    <row r="632" spans="1:28" x14ac:dyDescent="0.35">
      <c r="A632" t="s">
        <v>677</v>
      </c>
      <c r="B632" t="s">
        <v>9</v>
      </c>
      <c r="C632" t="s">
        <v>1</v>
      </c>
      <c r="D632" t="s">
        <v>10</v>
      </c>
      <c r="E632" t="s">
        <v>11</v>
      </c>
      <c r="F632">
        <v>163262</v>
      </c>
      <c r="G632">
        <v>-70022</v>
      </c>
      <c r="H632">
        <v>35428</v>
      </c>
      <c r="I632">
        <v>163262</v>
      </c>
      <c r="J632">
        <v>16326</v>
      </c>
      <c r="K632">
        <v>8163</v>
      </c>
      <c r="L632">
        <v>97981</v>
      </c>
      <c r="M632">
        <v>19596</v>
      </c>
      <c r="N632">
        <v>29394</v>
      </c>
      <c r="O632">
        <v>9798</v>
      </c>
      <c r="P632">
        <v>-39192</v>
      </c>
      <c r="Q632">
        <v>-24495</v>
      </c>
      <c r="R632">
        <v>83225</v>
      </c>
      <c r="S632">
        <v>24967</v>
      </c>
      <c r="T632">
        <v>8322</v>
      </c>
      <c r="U632">
        <v>4899</v>
      </c>
      <c r="V632">
        <v>2939</v>
      </c>
      <c r="W632">
        <v>1959</v>
      </c>
      <c r="X632">
        <v>9798</v>
      </c>
      <c r="Y632">
        <v>4899</v>
      </c>
      <c r="Z632">
        <v>4161</v>
      </c>
      <c r="AA632">
        <v>2496</v>
      </c>
      <c r="AB632">
        <v>1664</v>
      </c>
    </row>
    <row r="633" spans="1:28" x14ac:dyDescent="0.35">
      <c r="A633" t="s">
        <v>678</v>
      </c>
      <c r="B633" t="s">
        <v>9</v>
      </c>
      <c r="C633" t="s">
        <v>1</v>
      </c>
      <c r="D633" t="s">
        <v>10</v>
      </c>
      <c r="E633" t="s">
        <v>11</v>
      </c>
      <c r="F633">
        <v>217364</v>
      </c>
      <c r="G633">
        <v>-61336</v>
      </c>
      <c r="H633">
        <v>46983</v>
      </c>
      <c r="I633">
        <v>217364</v>
      </c>
      <c r="J633">
        <v>21736</v>
      </c>
      <c r="K633">
        <v>10868</v>
      </c>
      <c r="L633">
        <v>129220</v>
      </c>
      <c r="M633">
        <v>25844</v>
      </c>
      <c r="N633">
        <v>38766</v>
      </c>
      <c r="O633">
        <v>12922</v>
      </c>
      <c r="P633">
        <v>-51688</v>
      </c>
      <c r="Q633">
        <v>-32305</v>
      </c>
      <c r="R633">
        <v>144431</v>
      </c>
      <c r="S633">
        <v>43329</v>
      </c>
      <c r="T633">
        <v>14443</v>
      </c>
      <c r="U633">
        <v>6461</v>
      </c>
      <c r="V633">
        <v>3876</v>
      </c>
      <c r="W633">
        <v>2584</v>
      </c>
      <c r="X633">
        <v>12922</v>
      </c>
      <c r="Y633">
        <v>6461</v>
      </c>
      <c r="Z633">
        <v>7221</v>
      </c>
      <c r="AA633">
        <v>4332</v>
      </c>
      <c r="AB633">
        <v>2888</v>
      </c>
    </row>
    <row r="634" spans="1:28" x14ac:dyDescent="0.35">
      <c r="A634" t="s">
        <v>679</v>
      </c>
      <c r="B634" t="s">
        <v>9</v>
      </c>
      <c r="C634" t="s">
        <v>1</v>
      </c>
      <c r="D634" t="s">
        <v>10</v>
      </c>
      <c r="E634" t="s">
        <v>11</v>
      </c>
      <c r="F634">
        <v>303785</v>
      </c>
      <c r="G634">
        <v>-82207</v>
      </c>
      <c r="H634">
        <v>63703</v>
      </c>
      <c r="I634">
        <v>303785</v>
      </c>
      <c r="J634">
        <v>30378</v>
      </c>
      <c r="K634">
        <v>15189</v>
      </c>
      <c r="L634">
        <v>179882</v>
      </c>
      <c r="M634">
        <v>35976</v>
      </c>
      <c r="N634">
        <v>53964</v>
      </c>
      <c r="O634">
        <v>17988</v>
      </c>
      <c r="P634">
        <v>-71952</v>
      </c>
      <c r="Q634">
        <v>-44970</v>
      </c>
      <c r="R634">
        <v>158981</v>
      </c>
      <c r="S634">
        <v>47694</v>
      </c>
      <c r="T634">
        <v>15898</v>
      </c>
      <c r="U634">
        <v>8994</v>
      </c>
      <c r="V634">
        <v>5396</v>
      </c>
      <c r="W634">
        <v>3597</v>
      </c>
      <c r="X634">
        <v>17988</v>
      </c>
      <c r="Y634">
        <v>8994</v>
      </c>
      <c r="Z634">
        <v>7949</v>
      </c>
      <c r="AA634">
        <v>4769</v>
      </c>
      <c r="AB634">
        <v>3179</v>
      </c>
    </row>
    <row r="635" spans="1:28" x14ac:dyDescent="0.35">
      <c r="A635" t="s">
        <v>680</v>
      </c>
      <c r="B635" t="s">
        <v>9</v>
      </c>
      <c r="C635" t="s">
        <v>1</v>
      </c>
      <c r="D635" t="s">
        <v>10</v>
      </c>
      <c r="E635" t="s">
        <v>11</v>
      </c>
      <c r="F635">
        <v>436093</v>
      </c>
      <c r="G635">
        <v>-224630</v>
      </c>
      <c r="H635">
        <v>203585</v>
      </c>
      <c r="I635">
        <v>436093</v>
      </c>
      <c r="J635">
        <v>43609</v>
      </c>
      <c r="K635">
        <v>21804</v>
      </c>
      <c r="L635">
        <v>212430</v>
      </c>
      <c r="M635">
        <v>42486</v>
      </c>
      <c r="N635">
        <v>63729</v>
      </c>
      <c r="O635">
        <v>21243</v>
      </c>
      <c r="P635">
        <v>-84972</v>
      </c>
      <c r="Q635">
        <v>-53107</v>
      </c>
      <c r="R635">
        <v>193505</v>
      </c>
      <c r="S635">
        <v>58051</v>
      </c>
      <c r="T635">
        <v>19350</v>
      </c>
      <c r="U635">
        <v>10621</v>
      </c>
      <c r="V635">
        <v>6372</v>
      </c>
      <c r="W635">
        <v>4248</v>
      </c>
      <c r="X635">
        <v>21243</v>
      </c>
      <c r="Y635">
        <v>10621</v>
      </c>
      <c r="Z635">
        <v>9675</v>
      </c>
      <c r="AA635">
        <v>5805</v>
      </c>
      <c r="AB635">
        <v>3870</v>
      </c>
    </row>
    <row r="636" spans="1:28" x14ac:dyDescent="0.35">
      <c r="A636" t="s">
        <v>681</v>
      </c>
      <c r="B636" t="s">
        <v>9</v>
      </c>
      <c r="C636" t="s">
        <v>1</v>
      </c>
      <c r="D636" t="s">
        <v>10</v>
      </c>
      <c r="E636" t="s">
        <v>11</v>
      </c>
      <c r="F636">
        <v>295110</v>
      </c>
      <c r="G636">
        <v>-80304</v>
      </c>
      <c r="H636">
        <v>45611</v>
      </c>
      <c r="I636">
        <v>295110</v>
      </c>
      <c r="J636">
        <v>29511</v>
      </c>
      <c r="K636">
        <v>14755</v>
      </c>
      <c r="L636">
        <v>143380</v>
      </c>
      <c r="M636">
        <v>28676</v>
      </c>
      <c r="N636">
        <v>43014</v>
      </c>
      <c r="O636">
        <v>14338</v>
      </c>
      <c r="P636">
        <v>-57352</v>
      </c>
      <c r="Q636">
        <v>-35845</v>
      </c>
      <c r="R636">
        <v>160873</v>
      </c>
      <c r="S636">
        <v>48261</v>
      </c>
      <c r="T636">
        <v>16087</v>
      </c>
      <c r="U636">
        <v>7169</v>
      </c>
      <c r="V636">
        <v>4301</v>
      </c>
      <c r="W636">
        <v>2867</v>
      </c>
      <c r="X636">
        <v>14338</v>
      </c>
      <c r="Y636">
        <v>7169</v>
      </c>
      <c r="Z636">
        <v>8043</v>
      </c>
      <c r="AA636">
        <v>4826</v>
      </c>
      <c r="AB636">
        <v>3217</v>
      </c>
    </row>
    <row r="637" spans="1:28" x14ac:dyDescent="0.35">
      <c r="A637" t="s">
        <v>682</v>
      </c>
      <c r="B637" t="s">
        <v>9</v>
      </c>
      <c r="C637" t="s">
        <v>1</v>
      </c>
      <c r="D637" t="s">
        <v>10</v>
      </c>
      <c r="E637" t="s">
        <v>11</v>
      </c>
      <c r="F637">
        <v>364472</v>
      </c>
      <c r="G637">
        <v>-155339</v>
      </c>
      <c r="H637">
        <v>120672</v>
      </c>
      <c r="I637">
        <v>364472</v>
      </c>
      <c r="J637">
        <v>36447</v>
      </c>
      <c r="K637">
        <v>18223</v>
      </c>
      <c r="L637">
        <v>273476</v>
      </c>
      <c r="M637">
        <v>54695</v>
      </c>
      <c r="N637">
        <v>82042</v>
      </c>
      <c r="O637">
        <v>27347</v>
      </c>
      <c r="P637">
        <v>-109390</v>
      </c>
      <c r="Q637">
        <v>-68369</v>
      </c>
      <c r="R637">
        <v>265107</v>
      </c>
      <c r="S637">
        <v>79532</v>
      </c>
      <c r="T637">
        <v>26510</v>
      </c>
      <c r="U637">
        <v>13673</v>
      </c>
      <c r="V637">
        <v>8204</v>
      </c>
      <c r="W637">
        <v>5469</v>
      </c>
      <c r="X637">
        <v>27347</v>
      </c>
      <c r="Y637">
        <v>13673</v>
      </c>
      <c r="Z637">
        <v>13255</v>
      </c>
      <c r="AA637">
        <v>7953</v>
      </c>
      <c r="AB637">
        <v>5302</v>
      </c>
    </row>
    <row r="638" spans="1:28" x14ac:dyDescent="0.35">
      <c r="A638" t="s">
        <v>683</v>
      </c>
      <c r="B638" t="s">
        <v>9</v>
      </c>
      <c r="C638" t="s">
        <v>1</v>
      </c>
      <c r="D638" t="s">
        <v>10</v>
      </c>
      <c r="E638" t="s">
        <v>11</v>
      </c>
      <c r="F638">
        <v>384740</v>
      </c>
      <c r="G638">
        <v>-100920</v>
      </c>
      <c r="H638">
        <v>86768</v>
      </c>
      <c r="I638">
        <v>384740</v>
      </c>
      <c r="J638">
        <v>38474</v>
      </c>
      <c r="K638">
        <v>19237</v>
      </c>
      <c r="L638">
        <v>295249</v>
      </c>
      <c r="M638">
        <v>59049</v>
      </c>
      <c r="N638">
        <v>88574</v>
      </c>
      <c r="O638">
        <v>29524</v>
      </c>
      <c r="P638">
        <v>-118099</v>
      </c>
      <c r="Q638">
        <v>-73812</v>
      </c>
      <c r="R638">
        <v>305914</v>
      </c>
      <c r="S638">
        <v>91774</v>
      </c>
      <c r="T638">
        <v>30591</v>
      </c>
      <c r="U638">
        <v>14762</v>
      </c>
      <c r="V638">
        <v>8857</v>
      </c>
      <c r="W638">
        <v>5904</v>
      </c>
      <c r="X638">
        <v>29524</v>
      </c>
      <c r="Y638">
        <v>14762</v>
      </c>
      <c r="Z638">
        <v>15295</v>
      </c>
      <c r="AA638">
        <v>9177</v>
      </c>
      <c r="AB638">
        <v>6118</v>
      </c>
    </row>
    <row r="639" spans="1:28" x14ac:dyDescent="0.35">
      <c r="A639" t="s">
        <v>684</v>
      </c>
      <c r="B639" t="s">
        <v>9</v>
      </c>
      <c r="C639" t="s">
        <v>1</v>
      </c>
      <c r="D639" t="s">
        <v>10</v>
      </c>
      <c r="E639" t="s">
        <v>11</v>
      </c>
      <c r="F639">
        <v>236704</v>
      </c>
      <c r="G639">
        <v>-85112</v>
      </c>
      <c r="H639">
        <v>97232</v>
      </c>
      <c r="I639">
        <v>236704</v>
      </c>
      <c r="J639">
        <v>23670</v>
      </c>
      <c r="K639">
        <v>11835</v>
      </c>
      <c r="L639">
        <v>102511</v>
      </c>
      <c r="M639">
        <v>20502</v>
      </c>
      <c r="N639">
        <v>30753</v>
      </c>
      <c r="O639">
        <v>10251</v>
      </c>
      <c r="P639">
        <v>-41004</v>
      </c>
      <c r="Q639">
        <v>-25627</v>
      </c>
      <c r="R639">
        <v>82019</v>
      </c>
      <c r="S639">
        <v>24605</v>
      </c>
      <c r="T639">
        <v>8201</v>
      </c>
      <c r="U639">
        <v>5125</v>
      </c>
      <c r="V639">
        <v>3075</v>
      </c>
      <c r="W639">
        <v>2050</v>
      </c>
      <c r="X639">
        <v>10251</v>
      </c>
      <c r="Y639">
        <v>5125</v>
      </c>
      <c r="Z639">
        <v>4100</v>
      </c>
      <c r="AA639">
        <v>2460</v>
      </c>
      <c r="AB639">
        <v>1640</v>
      </c>
    </row>
    <row r="640" spans="1:28" x14ac:dyDescent="0.35">
      <c r="A640" t="s">
        <v>685</v>
      </c>
      <c r="B640" t="s">
        <v>9</v>
      </c>
      <c r="C640" t="s">
        <v>1</v>
      </c>
      <c r="D640" t="s">
        <v>10</v>
      </c>
      <c r="E640" t="s">
        <v>11</v>
      </c>
      <c r="F640">
        <v>362030</v>
      </c>
      <c r="G640">
        <v>-120790</v>
      </c>
      <c r="H640">
        <v>157265</v>
      </c>
      <c r="I640">
        <v>362030</v>
      </c>
      <c r="J640">
        <v>36203</v>
      </c>
      <c r="K640">
        <v>18101</v>
      </c>
      <c r="L640">
        <v>108189</v>
      </c>
      <c r="M640">
        <v>21637</v>
      </c>
      <c r="N640">
        <v>32456</v>
      </c>
      <c r="O640">
        <v>10818</v>
      </c>
      <c r="P640">
        <v>-43275</v>
      </c>
      <c r="Q640">
        <v>-27047</v>
      </c>
      <c r="R640">
        <v>118600</v>
      </c>
      <c r="S640">
        <v>35580</v>
      </c>
      <c r="T640">
        <v>11860</v>
      </c>
      <c r="U640">
        <v>5409</v>
      </c>
      <c r="V640">
        <v>3245</v>
      </c>
      <c r="W640">
        <v>2163</v>
      </c>
      <c r="X640">
        <v>10818</v>
      </c>
      <c r="Y640">
        <v>5409</v>
      </c>
      <c r="Z640">
        <v>5930</v>
      </c>
      <c r="AA640">
        <v>3558</v>
      </c>
      <c r="AB640">
        <v>2372</v>
      </c>
    </row>
    <row r="641" spans="1:28" x14ac:dyDescent="0.35">
      <c r="A641" t="s">
        <v>686</v>
      </c>
      <c r="B641" t="s">
        <v>9</v>
      </c>
      <c r="C641" t="s">
        <v>1</v>
      </c>
      <c r="D641" t="s">
        <v>10</v>
      </c>
      <c r="E641" t="s">
        <v>11</v>
      </c>
      <c r="F641">
        <v>362520</v>
      </c>
      <c r="G641">
        <v>-182704</v>
      </c>
      <c r="H641">
        <v>39651</v>
      </c>
      <c r="I641">
        <v>362520</v>
      </c>
      <c r="J641">
        <v>36252</v>
      </c>
      <c r="K641">
        <v>18126</v>
      </c>
      <c r="L641">
        <v>271516</v>
      </c>
      <c r="M641">
        <v>54303</v>
      </c>
      <c r="N641">
        <v>81454</v>
      </c>
      <c r="O641">
        <v>27151</v>
      </c>
      <c r="P641">
        <v>-108606</v>
      </c>
      <c r="Q641">
        <v>-67879</v>
      </c>
      <c r="R641">
        <v>267040</v>
      </c>
      <c r="S641">
        <v>80112</v>
      </c>
      <c r="T641">
        <v>26704</v>
      </c>
      <c r="U641">
        <v>13575</v>
      </c>
      <c r="V641">
        <v>8145</v>
      </c>
      <c r="W641">
        <v>5430</v>
      </c>
      <c r="X641">
        <v>27151</v>
      </c>
      <c r="Y641">
        <v>13575</v>
      </c>
      <c r="Z641">
        <v>13352</v>
      </c>
      <c r="AA641">
        <v>8011</v>
      </c>
      <c r="AB641">
        <v>5340</v>
      </c>
    </row>
    <row r="642" spans="1:28" x14ac:dyDescent="0.35">
      <c r="A642" t="s">
        <v>687</v>
      </c>
      <c r="B642" t="s">
        <v>9</v>
      </c>
      <c r="C642" t="s">
        <v>1</v>
      </c>
      <c r="D642" t="s">
        <v>10</v>
      </c>
      <c r="E642" t="s">
        <v>11</v>
      </c>
      <c r="F642">
        <v>352368</v>
      </c>
      <c r="G642">
        <v>-177653</v>
      </c>
      <c r="H642">
        <v>170930</v>
      </c>
      <c r="I642">
        <v>352368</v>
      </c>
      <c r="J642">
        <v>35236</v>
      </c>
      <c r="K642">
        <v>17618</v>
      </c>
      <c r="L642">
        <v>152451</v>
      </c>
      <c r="M642">
        <v>30490</v>
      </c>
      <c r="N642">
        <v>45735</v>
      </c>
      <c r="O642">
        <v>15245</v>
      </c>
      <c r="P642">
        <v>-60980</v>
      </c>
      <c r="Q642">
        <v>-38112</v>
      </c>
      <c r="R642">
        <v>163987</v>
      </c>
      <c r="S642">
        <v>49196</v>
      </c>
      <c r="T642">
        <v>16398</v>
      </c>
      <c r="U642">
        <v>7622</v>
      </c>
      <c r="V642">
        <v>4573</v>
      </c>
      <c r="W642">
        <v>3049</v>
      </c>
      <c r="X642">
        <v>15245</v>
      </c>
      <c r="Y642">
        <v>7622</v>
      </c>
      <c r="Z642">
        <v>8199</v>
      </c>
      <c r="AA642">
        <v>4919</v>
      </c>
      <c r="AB642">
        <v>3279</v>
      </c>
    </row>
    <row r="643" spans="1:28" x14ac:dyDescent="0.35">
      <c r="A643" t="s">
        <v>688</v>
      </c>
      <c r="B643" t="s">
        <v>9</v>
      </c>
      <c r="C643" t="s">
        <v>1</v>
      </c>
      <c r="D643" t="s">
        <v>10</v>
      </c>
      <c r="E643" t="s">
        <v>11</v>
      </c>
      <c r="F643">
        <v>184016</v>
      </c>
      <c r="G643">
        <v>-83347</v>
      </c>
      <c r="H643">
        <v>70962</v>
      </c>
      <c r="I643">
        <v>184016</v>
      </c>
      <c r="J643">
        <v>18401</v>
      </c>
      <c r="K643">
        <v>9200</v>
      </c>
      <c r="L643">
        <v>134059</v>
      </c>
      <c r="M643">
        <v>26811</v>
      </c>
      <c r="N643">
        <v>40217</v>
      </c>
      <c r="O643">
        <v>13405</v>
      </c>
      <c r="P643">
        <v>-53623</v>
      </c>
      <c r="Q643">
        <v>-33514</v>
      </c>
      <c r="R643">
        <v>120410</v>
      </c>
      <c r="S643">
        <v>36123</v>
      </c>
      <c r="T643">
        <v>12041</v>
      </c>
      <c r="U643">
        <v>6702</v>
      </c>
      <c r="V643">
        <v>4021</v>
      </c>
      <c r="W643">
        <v>2681</v>
      </c>
      <c r="X643">
        <v>13405</v>
      </c>
      <c r="Y643">
        <v>6702</v>
      </c>
      <c r="Z643">
        <v>6020</v>
      </c>
      <c r="AA643">
        <v>3612</v>
      </c>
      <c r="AB643">
        <v>2408</v>
      </c>
    </row>
    <row r="644" spans="1:28" x14ac:dyDescent="0.35">
      <c r="A644" t="s">
        <v>689</v>
      </c>
      <c r="B644" t="s">
        <v>9</v>
      </c>
      <c r="C644" t="s">
        <v>1</v>
      </c>
      <c r="D644" t="s">
        <v>10</v>
      </c>
      <c r="E644" t="s">
        <v>11</v>
      </c>
      <c r="F644">
        <v>289865</v>
      </c>
      <c r="G644">
        <v>-108414</v>
      </c>
      <c r="H644">
        <v>94119</v>
      </c>
      <c r="I644">
        <v>289865</v>
      </c>
      <c r="J644">
        <v>28986</v>
      </c>
      <c r="K644">
        <v>14493</v>
      </c>
      <c r="L644">
        <v>171564</v>
      </c>
      <c r="M644">
        <v>34312</v>
      </c>
      <c r="N644">
        <v>51469</v>
      </c>
      <c r="O644">
        <v>17156</v>
      </c>
      <c r="P644">
        <v>-68625</v>
      </c>
      <c r="Q644">
        <v>-42891</v>
      </c>
      <c r="R644">
        <v>203494</v>
      </c>
      <c r="S644">
        <v>61048</v>
      </c>
      <c r="T644">
        <v>20349</v>
      </c>
      <c r="U644">
        <v>8578</v>
      </c>
      <c r="V644">
        <v>5146</v>
      </c>
      <c r="W644">
        <v>3431</v>
      </c>
      <c r="X644">
        <v>17156</v>
      </c>
      <c r="Y644">
        <v>8578</v>
      </c>
      <c r="Z644">
        <v>10174</v>
      </c>
      <c r="AA644">
        <v>6104</v>
      </c>
      <c r="AB644">
        <v>4069</v>
      </c>
    </row>
    <row r="645" spans="1:28" x14ac:dyDescent="0.35">
      <c r="A645" t="s">
        <v>690</v>
      </c>
      <c r="B645" t="s">
        <v>9</v>
      </c>
      <c r="C645" t="s">
        <v>1</v>
      </c>
      <c r="D645" t="s">
        <v>10</v>
      </c>
      <c r="E645" t="s">
        <v>11</v>
      </c>
      <c r="F645">
        <v>221547</v>
      </c>
      <c r="G645">
        <v>-81968</v>
      </c>
      <c r="H645">
        <v>44072</v>
      </c>
      <c r="I645">
        <v>221547</v>
      </c>
      <c r="J645">
        <v>22154</v>
      </c>
      <c r="K645">
        <v>11077</v>
      </c>
      <c r="L645">
        <v>91294</v>
      </c>
      <c r="M645">
        <v>18258</v>
      </c>
      <c r="N645">
        <v>27388</v>
      </c>
      <c r="O645">
        <v>9129</v>
      </c>
      <c r="P645">
        <v>-36517</v>
      </c>
      <c r="Q645">
        <v>-22823</v>
      </c>
      <c r="R645">
        <v>92023</v>
      </c>
      <c r="S645">
        <v>27606</v>
      </c>
      <c r="T645">
        <v>9202</v>
      </c>
      <c r="U645">
        <v>4564</v>
      </c>
      <c r="V645">
        <v>2738</v>
      </c>
      <c r="W645">
        <v>1825</v>
      </c>
      <c r="X645">
        <v>9129</v>
      </c>
      <c r="Y645">
        <v>4564</v>
      </c>
      <c r="Z645">
        <v>4601</v>
      </c>
      <c r="AA645">
        <v>2760</v>
      </c>
      <c r="AB645">
        <v>1840</v>
      </c>
    </row>
    <row r="646" spans="1:28" x14ac:dyDescent="0.35">
      <c r="A646" t="s">
        <v>691</v>
      </c>
      <c r="B646" t="s">
        <v>9</v>
      </c>
      <c r="C646" t="s">
        <v>1</v>
      </c>
      <c r="D646" t="s">
        <v>10</v>
      </c>
      <c r="E646" t="s">
        <v>11</v>
      </c>
      <c r="F646">
        <v>349861</v>
      </c>
      <c r="G646">
        <v>-81053</v>
      </c>
      <c r="H646">
        <v>118670</v>
      </c>
      <c r="I646">
        <v>349861</v>
      </c>
      <c r="J646">
        <v>34986</v>
      </c>
      <c r="K646">
        <v>17493</v>
      </c>
      <c r="L646">
        <v>183945</v>
      </c>
      <c r="M646">
        <v>36789</v>
      </c>
      <c r="N646">
        <v>55183</v>
      </c>
      <c r="O646">
        <v>18394</v>
      </c>
      <c r="P646">
        <v>-73578</v>
      </c>
      <c r="Q646">
        <v>-45986</v>
      </c>
      <c r="R646">
        <v>179141</v>
      </c>
      <c r="S646">
        <v>53742</v>
      </c>
      <c r="T646">
        <v>17914</v>
      </c>
      <c r="U646">
        <v>9197</v>
      </c>
      <c r="V646">
        <v>5518</v>
      </c>
      <c r="W646">
        <v>3678</v>
      </c>
      <c r="X646">
        <v>18394</v>
      </c>
      <c r="Y646">
        <v>9197</v>
      </c>
      <c r="Z646">
        <v>8957</v>
      </c>
      <c r="AA646">
        <v>5374</v>
      </c>
      <c r="AB646">
        <v>3582</v>
      </c>
    </row>
    <row r="647" spans="1:28" x14ac:dyDescent="0.35">
      <c r="A647" t="s">
        <v>692</v>
      </c>
      <c r="B647" t="s">
        <v>9</v>
      </c>
      <c r="C647" t="s">
        <v>1</v>
      </c>
      <c r="D647" t="s">
        <v>10</v>
      </c>
      <c r="E647" t="s">
        <v>11</v>
      </c>
      <c r="F647">
        <v>361856</v>
      </c>
      <c r="G647">
        <v>-119532</v>
      </c>
      <c r="H647">
        <v>40229</v>
      </c>
      <c r="I647">
        <v>361856</v>
      </c>
      <c r="J647">
        <v>36185</v>
      </c>
      <c r="K647">
        <v>18092</v>
      </c>
      <c r="L647">
        <v>139686</v>
      </c>
      <c r="M647">
        <v>27937</v>
      </c>
      <c r="N647">
        <v>41905</v>
      </c>
      <c r="O647">
        <v>13968</v>
      </c>
      <c r="P647">
        <v>-55874</v>
      </c>
      <c r="Q647">
        <v>-34921</v>
      </c>
      <c r="R647">
        <v>157507</v>
      </c>
      <c r="S647">
        <v>47252</v>
      </c>
      <c r="T647">
        <v>15750</v>
      </c>
      <c r="U647">
        <v>6984</v>
      </c>
      <c r="V647">
        <v>4190</v>
      </c>
      <c r="W647">
        <v>2793</v>
      </c>
      <c r="X647">
        <v>13968</v>
      </c>
      <c r="Y647">
        <v>6984</v>
      </c>
      <c r="Z647">
        <v>7875</v>
      </c>
      <c r="AA647">
        <v>4725</v>
      </c>
      <c r="AB647">
        <v>3150</v>
      </c>
    </row>
    <row r="648" spans="1:28" x14ac:dyDescent="0.35">
      <c r="A648" t="s">
        <v>693</v>
      </c>
      <c r="B648" t="s">
        <v>9</v>
      </c>
      <c r="C648" t="s">
        <v>1</v>
      </c>
      <c r="D648" t="s">
        <v>10</v>
      </c>
      <c r="E648" t="s">
        <v>11</v>
      </c>
      <c r="F648">
        <v>103051</v>
      </c>
      <c r="G648">
        <v>-45203</v>
      </c>
      <c r="H648">
        <v>37225</v>
      </c>
      <c r="I648">
        <v>103051</v>
      </c>
      <c r="J648">
        <v>10305</v>
      </c>
      <c r="K648">
        <v>5152</v>
      </c>
      <c r="L648">
        <v>72918</v>
      </c>
      <c r="M648">
        <v>14583</v>
      </c>
      <c r="N648">
        <v>21875</v>
      </c>
      <c r="O648">
        <v>7291</v>
      </c>
      <c r="P648">
        <v>-29167</v>
      </c>
      <c r="Q648">
        <v>-18229</v>
      </c>
      <c r="R648">
        <v>77759</v>
      </c>
      <c r="S648">
        <v>23327</v>
      </c>
      <c r="T648">
        <v>7775</v>
      </c>
      <c r="U648">
        <v>3645</v>
      </c>
      <c r="V648">
        <v>2187</v>
      </c>
      <c r="W648">
        <v>1458</v>
      </c>
      <c r="X648">
        <v>7291</v>
      </c>
      <c r="Y648">
        <v>3645</v>
      </c>
      <c r="Z648">
        <v>3887</v>
      </c>
      <c r="AA648">
        <v>2332</v>
      </c>
      <c r="AB648">
        <v>1555</v>
      </c>
    </row>
    <row r="649" spans="1:28" x14ac:dyDescent="0.35">
      <c r="A649" t="s">
        <v>694</v>
      </c>
      <c r="B649" t="s">
        <v>9</v>
      </c>
      <c r="C649" t="s">
        <v>1</v>
      </c>
      <c r="D649" t="s">
        <v>10</v>
      </c>
      <c r="E649" t="s">
        <v>11</v>
      </c>
      <c r="F649">
        <v>494638</v>
      </c>
      <c r="G649">
        <v>-274526</v>
      </c>
      <c r="H649">
        <v>115266</v>
      </c>
      <c r="I649">
        <v>494638</v>
      </c>
      <c r="J649">
        <v>49463</v>
      </c>
      <c r="K649">
        <v>24731</v>
      </c>
      <c r="L649">
        <v>173914</v>
      </c>
      <c r="M649">
        <v>34782</v>
      </c>
      <c r="N649">
        <v>52174</v>
      </c>
      <c r="O649">
        <v>17391</v>
      </c>
      <c r="P649">
        <v>-69565</v>
      </c>
      <c r="Q649">
        <v>-43478</v>
      </c>
      <c r="R649">
        <v>208377</v>
      </c>
      <c r="S649">
        <v>62513</v>
      </c>
      <c r="T649">
        <v>20837</v>
      </c>
      <c r="U649">
        <v>8695</v>
      </c>
      <c r="V649">
        <v>5217</v>
      </c>
      <c r="W649">
        <v>3478</v>
      </c>
      <c r="X649">
        <v>17391</v>
      </c>
      <c r="Y649">
        <v>8695</v>
      </c>
      <c r="Z649">
        <v>10418</v>
      </c>
      <c r="AA649">
        <v>6251</v>
      </c>
      <c r="AB649">
        <v>4167</v>
      </c>
    </row>
    <row r="650" spans="1:28" x14ac:dyDescent="0.35">
      <c r="A650" t="s">
        <v>695</v>
      </c>
      <c r="B650" t="s">
        <v>9</v>
      </c>
      <c r="C650" t="s">
        <v>1</v>
      </c>
      <c r="D650" t="s">
        <v>10</v>
      </c>
      <c r="E650" t="s">
        <v>11</v>
      </c>
      <c r="F650">
        <v>76200</v>
      </c>
      <c r="G650">
        <v>-27204</v>
      </c>
      <c r="H650">
        <v>16191</v>
      </c>
      <c r="I650">
        <v>76200</v>
      </c>
      <c r="J650">
        <v>7620</v>
      </c>
      <c r="K650">
        <v>3810</v>
      </c>
      <c r="L650">
        <v>23356</v>
      </c>
      <c r="M650">
        <v>4671</v>
      </c>
      <c r="N650">
        <v>7006</v>
      </c>
      <c r="O650">
        <v>2335</v>
      </c>
      <c r="P650">
        <v>-9342</v>
      </c>
      <c r="Q650">
        <v>-5839</v>
      </c>
      <c r="R650">
        <v>23845</v>
      </c>
      <c r="S650">
        <v>7153</v>
      </c>
      <c r="T650">
        <v>2384</v>
      </c>
      <c r="U650">
        <v>1167</v>
      </c>
      <c r="V650">
        <v>700</v>
      </c>
      <c r="W650">
        <v>467</v>
      </c>
      <c r="X650">
        <v>2335</v>
      </c>
      <c r="Y650">
        <v>1167</v>
      </c>
      <c r="Z650">
        <v>1192</v>
      </c>
      <c r="AA650">
        <v>715</v>
      </c>
      <c r="AB650">
        <v>476</v>
      </c>
    </row>
    <row r="651" spans="1:28" x14ac:dyDescent="0.35">
      <c r="A651" t="s">
        <v>696</v>
      </c>
      <c r="B651" t="s">
        <v>9</v>
      </c>
      <c r="C651" t="s">
        <v>1</v>
      </c>
      <c r="D651" t="s">
        <v>10</v>
      </c>
      <c r="E651" t="s">
        <v>11</v>
      </c>
      <c r="F651">
        <v>214484</v>
      </c>
      <c r="G651">
        <v>-113499</v>
      </c>
      <c r="H651">
        <v>96441</v>
      </c>
      <c r="I651">
        <v>214484</v>
      </c>
      <c r="J651">
        <v>21448</v>
      </c>
      <c r="K651">
        <v>10724</v>
      </c>
      <c r="L651">
        <v>155481</v>
      </c>
      <c r="M651">
        <v>31096</v>
      </c>
      <c r="N651">
        <v>46644</v>
      </c>
      <c r="O651">
        <v>15548</v>
      </c>
      <c r="P651">
        <v>-62192</v>
      </c>
      <c r="Q651">
        <v>-38870</v>
      </c>
      <c r="R651">
        <v>168049</v>
      </c>
      <c r="S651">
        <v>50414</v>
      </c>
      <c r="T651">
        <v>16804</v>
      </c>
      <c r="U651">
        <v>7774</v>
      </c>
      <c r="V651">
        <v>4664</v>
      </c>
      <c r="W651">
        <v>3109</v>
      </c>
      <c r="X651">
        <v>15548</v>
      </c>
      <c r="Y651">
        <v>7774</v>
      </c>
      <c r="Z651">
        <v>8402</v>
      </c>
      <c r="AA651">
        <v>5041</v>
      </c>
      <c r="AB651">
        <v>3360</v>
      </c>
    </row>
    <row r="652" spans="1:28" x14ac:dyDescent="0.35">
      <c r="A652" t="s">
        <v>697</v>
      </c>
      <c r="B652" t="s">
        <v>9</v>
      </c>
      <c r="C652" t="s">
        <v>1</v>
      </c>
      <c r="D652" t="s">
        <v>10</v>
      </c>
      <c r="E652" t="s">
        <v>11</v>
      </c>
      <c r="F652">
        <v>102240</v>
      </c>
      <c r="G652">
        <v>-39887</v>
      </c>
      <c r="H652">
        <v>41247</v>
      </c>
      <c r="I652">
        <v>102240</v>
      </c>
      <c r="J652">
        <v>10224</v>
      </c>
      <c r="K652">
        <v>5112</v>
      </c>
      <c r="L652">
        <v>63584</v>
      </c>
      <c r="M652">
        <v>12716</v>
      </c>
      <c r="N652">
        <v>19075</v>
      </c>
      <c r="O652">
        <v>6358</v>
      </c>
      <c r="P652">
        <v>-25433</v>
      </c>
      <c r="Q652">
        <v>-15896</v>
      </c>
      <c r="R652">
        <v>67500</v>
      </c>
      <c r="S652">
        <v>20250</v>
      </c>
      <c r="T652">
        <v>6750</v>
      </c>
      <c r="U652">
        <v>3179</v>
      </c>
      <c r="V652">
        <v>1907</v>
      </c>
      <c r="W652">
        <v>1271</v>
      </c>
      <c r="X652">
        <v>6358</v>
      </c>
      <c r="Y652">
        <v>3179</v>
      </c>
      <c r="Z652">
        <v>3375</v>
      </c>
      <c r="AA652">
        <v>2025</v>
      </c>
      <c r="AB652">
        <v>1350</v>
      </c>
    </row>
    <row r="653" spans="1:28" x14ac:dyDescent="0.35">
      <c r="A653" t="s">
        <v>698</v>
      </c>
      <c r="B653" t="s">
        <v>9</v>
      </c>
      <c r="C653" t="s">
        <v>1</v>
      </c>
      <c r="D653" t="s">
        <v>10</v>
      </c>
      <c r="E653" t="s">
        <v>11</v>
      </c>
      <c r="F653">
        <v>181811</v>
      </c>
      <c r="G653">
        <v>-36822</v>
      </c>
      <c r="H653">
        <v>32916</v>
      </c>
      <c r="I653">
        <v>181811</v>
      </c>
      <c r="J653">
        <v>18181</v>
      </c>
      <c r="K653">
        <v>9090</v>
      </c>
      <c r="L653">
        <v>137867</v>
      </c>
      <c r="M653">
        <v>27573</v>
      </c>
      <c r="N653">
        <v>41360</v>
      </c>
      <c r="O653">
        <v>13786</v>
      </c>
      <c r="P653">
        <v>-55146</v>
      </c>
      <c r="Q653">
        <v>-34466</v>
      </c>
      <c r="R653">
        <v>130477</v>
      </c>
      <c r="S653">
        <v>39143</v>
      </c>
      <c r="T653">
        <v>13047</v>
      </c>
      <c r="U653">
        <v>6893</v>
      </c>
      <c r="V653">
        <v>4136</v>
      </c>
      <c r="W653">
        <v>2757</v>
      </c>
      <c r="X653">
        <v>13786</v>
      </c>
      <c r="Y653">
        <v>6893</v>
      </c>
      <c r="Z653">
        <v>6523</v>
      </c>
      <c r="AA653">
        <v>3914</v>
      </c>
      <c r="AB653">
        <v>2609</v>
      </c>
    </row>
    <row r="654" spans="1:28" x14ac:dyDescent="0.35">
      <c r="A654" t="s">
        <v>699</v>
      </c>
      <c r="B654" t="s">
        <v>9</v>
      </c>
      <c r="C654" t="s">
        <v>1</v>
      </c>
      <c r="D654" t="s">
        <v>10</v>
      </c>
      <c r="E654" t="s">
        <v>11</v>
      </c>
      <c r="F654">
        <v>376932</v>
      </c>
      <c r="G654">
        <v>-166475</v>
      </c>
      <c r="H654">
        <v>180598</v>
      </c>
      <c r="I654">
        <v>376932</v>
      </c>
      <c r="J654">
        <v>37693</v>
      </c>
      <c r="K654">
        <v>18846</v>
      </c>
      <c r="L654">
        <v>228936</v>
      </c>
      <c r="M654">
        <v>45787</v>
      </c>
      <c r="N654">
        <v>68680</v>
      </c>
      <c r="O654">
        <v>22893</v>
      </c>
      <c r="P654">
        <v>-91574</v>
      </c>
      <c r="Q654">
        <v>-57234</v>
      </c>
      <c r="R654">
        <v>199324</v>
      </c>
      <c r="S654">
        <v>59797</v>
      </c>
      <c r="T654">
        <v>19932</v>
      </c>
      <c r="U654">
        <v>11446</v>
      </c>
      <c r="V654">
        <v>6868</v>
      </c>
      <c r="W654">
        <v>4578</v>
      </c>
      <c r="X654">
        <v>22893</v>
      </c>
      <c r="Y654">
        <v>11446</v>
      </c>
      <c r="Z654">
        <v>9966</v>
      </c>
      <c r="AA654">
        <v>5979</v>
      </c>
      <c r="AB654">
        <v>3986</v>
      </c>
    </row>
    <row r="655" spans="1:28" x14ac:dyDescent="0.35">
      <c r="A655" t="s">
        <v>700</v>
      </c>
      <c r="B655" t="s">
        <v>9</v>
      </c>
      <c r="C655" t="s">
        <v>1</v>
      </c>
      <c r="D655" t="s">
        <v>10</v>
      </c>
      <c r="E655" t="s">
        <v>11</v>
      </c>
      <c r="F655">
        <v>480312</v>
      </c>
      <c r="G655">
        <v>-286381</v>
      </c>
      <c r="H655">
        <v>71970</v>
      </c>
      <c r="I655">
        <v>480312</v>
      </c>
      <c r="J655">
        <v>48031</v>
      </c>
      <c r="K655">
        <v>24015</v>
      </c>
      <c r="L655">
        <v>138319</v>
      </c>
      <c r="M655">
        <v>27663</v>
      </c>
      <c r="N655">
        <v>41495</v>
      </c>
      <c r="O655">
        <v>13831</v>
      </c>
      <c r="P655">
        <v>-55327</v>
      </c>
      <c r="Q655">
        <v>-34579</v>
      </c>
      <c r="R655">
        <v>148338</v>
      </c>
      <c r="S655">
        <v>44501</v>
      </c>
      <c r="T655">
        <v>14833</v>
      </c>
      <c r="U655">
        <v>6915</v>
      </c>
      <c r="V655">
        <v>4149</v>
      </c>
      <c r="W655">
        <v>2766</v>
      </c>
      <c r="X655">
        <v>13831</v>
      </c>
      <c r="Y655">
        <v>6915</v>
      </c>
      <c r="Z655">
        <v>7416</v>
      </c>
      <c r="AA655">
        <v>4450</v>
      </c>
      <c r="AB655">
        <v>2966</v>
      </c>
    </row>
    <row r="656" spans="1:28" x14ac:dyDescent="0.35">
      <c r="A656" t="s">
        <v>701</v>
      </c>
      <c r="B656" t="s">
        <v>9</v>
      </c>
      <c r="C656" t="s">
        <v>1</v>
      </c>
      <c r="D656" t="s">
        <v>10</v>
      </c>
      <c r="E656" t="s">
        <v>11</v>
      </c>
      <c r="F656">
        <v>206415</v>
      </c>
      <c r="G656">
        <v>-61282</v>
      </c>
      <c r="H656">
        <v>62416</v>
      </c>
      <c r="I656">
        <v>206415</v>
      </c>
      <c r="J656">
        <v>20641</v>
      </c>
      <c r="K656">
        <v>10320</v>
      </c>
      <c r="L656">
        <v>59823</v>
      </c>
      <c r="M656">
        <v>11964</v>
      </c>
      <c r="N656">
        <v>17946</v>
      </c>
      <c r="O656">
        <v>5982</v>
      </c>
      <c r="P656">
        <v>-23929</v>
      </c>
      <c r="Q656">
        <v>-14955</v>
      </c>
      <c r="R656">
        <v>63755</v>
      </c>
      <c r="S656">
        <v>19126</v>
      </c>
      <c r="T656">
        <v>6375</v>
      </c>
      <c r="U656">
        <v>2991</v>
      </c>
      <c r="V656">
        <v>1794</v>
      </c>
      <c r="W656">
        <v>1196</v>
      </c>
      <c r="X656">
        <v>5982</v>
      </c>
      <c r="Y656">
        <v>2991</v>
      </c>
      <c r="Z656">
        <v>3187</v>
      </c>
      <c r="AA656">
        <v>1912</v>
      </c>
      <c r="AB656">
        <v>1275</v>
      </c>
    </row>
    <row r="657" spans="1:28" x14ac:dyDescent="0.35">
      <c r="A657" t="s">
        <v>702</v>
      </c>
      <c r="B657" t="s">
        <v>9</v>
      </c>
      <c r="C657" t="s">
        <v>1</v>
      </c>
      <c r="D657" t="s">
        <v>10</v>
      </c>
      <c r="E657" t="s">
        <v>11</v>
      </c>
      <c r="F657">
        <v>228451</v>
      </c>
      <c r="G657">
        <v>-107195</v>
      </c>
      <c r="H657">
        <v>35407</v>
      </c>
      <c r="I657">
        <v>228451</v>
      </c>
      <c r="J657">
        <v>22845</v>
      </c>
      <c r="K657">
        <v>11422</v>
      </c>
      <c r="L657">
        <v>104882</v>
      </c>
      <c r="M657">
        <v>20976</v>
      </c>
      <c r="N657">
        <v>31464</v>
      </c>
      <c r="O657">
        <v>10488</v>
      </c>
      <c r="P657">
        <v>-41952</v>
      </c>
      <c r="Q657">
        <v>-26220</v>
      </c>
      <c r="R657">
        <v>85857</v>
      </c>
      <c r="S657">
        <v>25757</v>
      </c>
      <c r="T657">
        <v>8585</v>
      </c>
      <c r="U657">
        <v>5244</v>
      </c>
      <c r="V657">
        <v>3146</v>
      </c>
      <c r="W657">
        <v>2097</v>
      </c>
      <c r="X657">
        <v>10488</v>
      </c>
      <c r="Y657">
        <v>5244</v>
      </c>
      <c r="Z657">
        <v>4292</v>
      </c>
      <c r="AA657">
        <v>2575</v>
      </c>
      <c r="AB657">
        <v>1717</v>
      </c>
    </row>
    <row r="658" spans="1:28" x14ac:dyDescent="0.35">
      <c r="A658" t="s">
        <v>703</v>
      </c>
      <c r="B658" t="s">
        <v>9</v>
      </c>
      <c r="C658" t="s">
        <v>1</v>
      </c>
      <c r="D658" t="s">
        <v>10</v>
      </c>
      <c r="E658" t="s">
        <v>11</v>
      </c>
      <c r="F658">
        <v>349138</v>
      </c>
      <c r="G658">
        <v>-86737</v>
      </c>
      <c r="H658">
        <v>161090</v>
      </c>
      <c r="I658">
        <v>349138</v>
      </c>
      <c r="J658">
        <v>34913</v>
      </c>
      <c r="K658">
        <v>17456</v>
      </c>
      <c r="L658">
        <v>110674</v>
      </c>
      <c r="M658">
        <v>22134</v>
      </c>
      <c r="N658">
        <v>33202</v>
      </c>
      <c r="O658">
        <v>11067</v>
      </c>
      <c r="P658">
        <v>-44269</v>
      </c>
      <c r="Q658">
        <v>-27668</v>
      </c>
      <c r="R658">
        <v>126642</v>
      </c>
      <c r="S658">
        <v>37992</v>
      </c>
      <c r="T658">
        <v>12664</v>
      </c>
      <c r="U658">
        <v>5533</v>
      </c>
      <c r="V658">
        <v>3320</v>
      </c>
      <c r="W658">
        <v>2213</v>
      </c>
      <c r="X658">
        <v>11067</v>
      </c>
      <c r="Y658">
        <v>5533</v>
      </c>
      <c r="Z658">
        <v>6332</v>
      </c>
      <c r="AA658">
        <v>3799</v>
      </c>
      <c r="AB658">
        <v>2532</v>
      </c>
    </row>
    <row r="659" spans="1:28" x14ac:dyDescent="0.35">
      <c r="A659" t="s">
        <v>704</v>
      </c>
      <c r="B659" t="s">
        <v>9</v>
      </c>
      <c r="C659" t="s">
        <v>1</v>
      </c>
      <c r="D659" t="s">
        <v>10</v>
      </c>
      <c r="E659" t="s">
        <v>11</v>
      </c>
      <c r="F659">
        <v>106288</v>
      </c>
      <c r="G659">
        <v>-36754</v>
      </c>
      <c r="H659">
        <v>27018</v>
      </c>
      <c r="I659">
        <v>106288</v>
      </c>
      <c r="J659">
        <v>10628</v>
      </c>
      <c r="K659">
        <v>5314</v>
      </c>
      <c r="L659">
        <v>82524</v>
      </c>
      <c r="M659">
        <v>16504</v>
      </c>
      <c r="N659">
        <v>24757</v>
      </c>
      <c r="O659">
        <v>8252</v>
      </c>
      <c r="P659">
        <v>-33009</v>
      </c>
      <c r="Q659">
        <v>-20631</v>
      </c>
      <c r="R659">
        <v>83108</v>
      </c>
      <c r="S659">
        <v>24932</v>
      </c>
      <c r="T659">
        <v>8310</v>
      </c>
      <c r="U659">
        <v>4126</v>
      </c>
      <c r="V659">
        <v>2475</v>
      </c>
      <c r="W659">
        <v>1650</v>
      </c>
      <c r="X659">
        <v>8252</v>
      </c>
      <c r="Y659">
        <v>4126</v>
      </c>
      <c r="Z659">
        <v>4155</v>
      </c>
      <c r="AA659">
        <v>2493</v>
      </c>
      <c r="AB659">
        <v>1662</v>
      </c>
    </row>
    <row r="660" spans="1:28" x14ac:dyDescent="0.35">
      <c r="A660" t="s">
        <v>705</v>
      </c>
      <c r="B660" t="s">
        <v>9</v>
      </c>
      <c r="C660" t="s">
        <v>1</v>
      </c>
      <c r="D660" t="s">
        <v>10</v>
      </c>
      <c r="E660" t="s">
        <v>11</v>
      </c>
      <c r="F660">
        <v>132579</v>
      </c>
      <c r="G660">
        <v>-65769</v>
      </c>
      <c r="H660">
        <v>46695</v>
      </c>
      <c r="I660">
        <v>132579</v>
      </c>
      <c r="J660">
        <v>13257</v>
      </c>
      <c r="K660">
        <v>6628</v>
      </c>
      <c r="L660">
        <v>83428</v>
      </c>
      <c r="M660">
        <v>16685</v>
      </c>
      <c r="N660">
        <v>25028</v>
      </c>
      <c r="O660">
        <v>8342</v>
      </c>
      <c r="P660">
        <v>-33371</v>
      </c>
      <c r="Q660">
        <v>-20857</v>
      </c>
      <c r="R660">
        <v>70182</v>
      </c>
      <c r="S660">
        <v>21054</v>
      </c>
      <c r="T660">
        <v>7018</v>
      </c>
      <c r="U660">
        <v>4171</v>
      </c>
      <c r="V660">
        <v>2502</v>
      </c>
      <c r="W660">
        <v>1668</v>
      </c>
      <c r="X660">
        <v>8342</v>
      </c>
      <c r="Y660">
        <v>4171</v>
      </c>
      <c r="Z660">
        <v>3509</v>
      </c>
      <c r="AA660">
        <v>2105</v>
      </c>
      <c r="AB660">
        <v>1403</v>
      </c>
    </row>
    <row r="661" spans="1:28" x14ac:dyDescent="0.35">
      <c r="A661" t="s">
        <v>706</v>
      </c>
      <c r="B661" t="s">
        <v>9</v>
      </c>
      <c r="C661" t="s">
        <v>1</v>
      </c>
      <c r="D661" t="s">
        <v>10</v>
      </c>
      <c r="E661" t="s">
        <v>11</v>
      </c>
      <c r="F661">
        <v>193939</v>
      </c>
      <c r="G661">
        <v>-51596</v>
      </c>
      <c r="H661">
        <v>54637</v>
      </c>
      <c r="I661">
        <v>193939</v>
      </c>
      <c r="J661">
        <v>19393</v>
      </c>
      <c r="K661">
        <v>9696</v>
      </c>
      <c r="L661">
        <v>88350</v>
      </c>
      <c r="M661">
        <v>17670</v>
      </c>
      <c r="N661">
        <v>26505</v>
      </c>
      <c r="O661">
        <v>8835</v>
      </c>
      <c r="P661">
        <v>-35340</v>
      </c>
      <c r="Q661">
        <v>-22087</v>
      </c>
      <c r="R661">
        <v>103159</v>
      </c>
      <c r="S661">
        <v>30947</v>
      </c>
      <c r="T661">
        <v>10315</v>
      </c>
      <c r="U661">
        <v>4417</v>
      </c>
      <c r="V661">
        <v>2650</v>
      </c>
      <c r="W661">
        <v>1767</v>
      </c>
      <c r="X661">
        <v>8835</v>
      </c>
      <c r="Y661">
        <v>4417</v>
      </c>
      <c r="Z661">
        <v>5157</v>
      </c>
      <c r="AA661">
        <v>3094</v>
      </c>
      <c r="AB661">
        <v>2063</v>
      </c>
    </row>
    <row r="662" spans="1:28" x14ac:dyDescent="0.35">
      <c r="A662" t="s">
        <v>707</v>
      </c>
      <c r="B662" t="s">
        <v>9</v>
      </c>
      <c r="C662" t="s">
        <v>1</v>
      </c>
      <c r="D662" t="s">
        <v>10</v>
      </c>
      <c r="E662" t="s">
        <v>11</v>
      </c>
      <c r="F662">
        <v>80354</v>
      </c>
      <c r="G662">
        <v>-29027</v>
      </c>
      <c r="H662">
        <v>21167</v>
      </c>
      <c r="I662">
        <v>80354</v>
      </c>
      <c r="J662">
        <v>8035</v>
      </c>
      <c r="K662">
        <v>4017</v>
      </c>
      <c r="L662">
        <v>58632</v>
      </c>
      <c r="M662">
        <v>11726</v>
      </c>
      <c r="N662">
        <v>17589</v>
      </c>
      <c r="O662">
        <v>5863</v>
      </c>
      <c r="P662">
        <v>-23452</v>
      </c>
      <c r="Q662">
        <v>-14658</v>
      </c>
      <c r="R662">
        <v>69284</v>
      </c>
      <c r="S662">
        <v>20785</v>
      </c>
      <c r="T662">
        <v>6928</v>
      </c>
      <c r="U662">
        <v>2931</v>
      </c>
      <c r="V662">
        <v>1758</v>
      </c>
      <c r="W662">
        <v>1172</v>
      </c>
      <c r="X662">
        <v>5863</v>
      </c>
      <c r="Y662">
        <v>2931</v>
      </c>
      <c r="Z662">
        <v>3464</v>
      </c>
      <c r="AA662">
        <v>2078</v>
      </c>
      <c r="AB662">
        <v>1385</v>
      </c>
    </row>
    <row r="663" spans="1:28" x14ac:dyDescent="0.35">
      <c r="A663" t="s">
        <v>708</v>
      </c>
      <c r="B663" t="s">
        <v>9</v>
      </c>
      <c r="C663" t="s">
        <v>1</v>
      </c>
      <c r="D663" t="s">
        <v>10</v>
      </c>
      <c r="E663" t="s">
        <v>11</v>
      </c>
      <c r="F663">
        <v>186868</v>
      </c>
      <c r="G663">
        <v>-108510</v>
      </c>
      <c r="H663">
        <v>28708</v>
      </c>
      <c r="I663">
        <v>186868</v>
      </c>
      <c r="J663">
        <v>18686</v>
      </c>
      <c r="K663">
        <v>9343</v>
      </c>
      <c r="L663">
        <v>149473</v>
      </c>
      <c r="M663">
        <v>29894</v>
      </c>
      <c r="N663">
        <v>44841</v>
      </c>
      <c r="O663">
        <v>14947</v>
      </c>
      <c r="P663">
        <v>-59789</v>
      </c>
      <c r="Q663">
        <v>-37368</v>
      </c>
      <c r="R663">
        <v>159550</v>
      </c>
      <c r="S663">
        <v>47865</v>
      </c>
      <c r="T663">
        <v>15955</v>
      </c>
      <c r="U663">
        <v>7473</v>
      </c>
      <c r="V663">
        <v>4484</v>
      </c>
      <c r="W663">
        <v>2989</v>
      </c>
      <c r="X663">
        <v>14947</v>
      </c>
      <c r="Y663">
        <v>7473</v>
      </c>
      <c r="Z663">
        <v>7977</v>
      </c>
      <c r="AA663">
        <v>4786</v>
      </c>
      <c r="AB663">
        <v>3191</v>
      </c>
    </row>
    <row r="664" spans="1:28" x14ac:dyDescent="0.35">
      <c r="A664" t="s">
        <v>709</v>
      </c>
      <c r="B664" t="s">
        <v>9</v>
      </c>
      <c r="C664" t="s">
        <v>1</v>
      </c>
      <c r="D664" t="s">
        <v>10</v>
      </c>
      <c r="E664" t="s">
        <v>11</v>
      </c>
      <c r="F664">
        <v>199343</v>
      </c>
      <c r="G664">
        <v>-103527</v>
      </c>
      <c r="H664">
        <v>37083</v>
      </c>
      <c r="I664">
        <v>199343</v>
      </c>
      <c r="J664">
        <v>19934</v>
      </c>
      <c r="K664">
        <v>9967</v>
      </c>
      <c r="L664">
        <v>137270</v>
      </c>
      <c r="M664">
        <v>27454</v>
      </c>
      <c r="N664">
        <v>41181</v>
      </c>
      <c r="O664">
        <v>13727</v>
      </c>
      <c r="P664">
        <v>-54908</v>
      </c>
      <c r="Q664">
        <v>-34317</v>
      </c>
      <c r="R664">
        <v>129019</v>
      </c>
      <c r="S664">
        <v>38705</v>
      </c>
      <c r="T664">
        <v>12901</v>
      </c>
      <c r="U664">
        <v>6863</v>
      </c>
      <c r="V664">
        <v>4118</v>
      </c>
      <c r="W664">
        <v>2745</v>
      </c>
      <c r="X664">
        <v>13727</v>
      </c>
      <c r="Y664">
        <v>6863</v>
      </c>
      <c r="Z664">
        <v>6450</v>
      </c>
      <c r="AA664">
        <v>3870</v>
      </c>
      <c r="AB664">
        <v>2580</v>
      </c>
    </row>
    <row r="665" spans="1:28" x14ac:dyDescent="0.35">
      <c r="A665" t="s">
        <v>710</v>
      </c>
      <c r="B665" t="s">
        <v>9</v>
      </c>
      <c r="C665" t="s">
        <v>1</v>
      </c>
      <c r="D665" t="s">
        <v>10</v>
      </c>
      <c r="E665" t="s">
        <v>11</v>
      </c>
      <c r="F665">
        <v>282288</v>
      </c>
      <c r="G665">
        <v>-84026</v>
      </c>
      <c r="H665">
        <v>114461</v>
      </c>
      <c r="I665">
        <v>282288</v>
      </c>
      <c r="J665">
        <v>28228</v>
      </c>
      <c r="K665">
        <v>14114</v>
      </c>
      <c r="L665">
        <v>68336</v>
      </c>
      <c r="M665">
        <v>13667</v>
      </c>
      <c r="N665">
        <v>20500</v>
      </c>
      <c r="O665">
        <v>6833</v>
      </c>
      <c r="P665">
        <v>-27334</v>
      </c>
      <c r="Q665">
        <v>-17084</v>
      </c>
      <c r="R665">
        <v>69044</v>
      </c>
      <c r="S665">
        <v>20713</v>
      </c>
      <c r="T665">
        <v>6904</v>
      </c>
      <c r="U665">
        <v>3416</v>
      </c>
      <c r="V665">
        <v>2050</v>
      </c>
      <c r="W665">
        <v>1366</v>
      </c>
      <c r="X665">
        <v>6833</v>
      </c>
      <c r="Y665">
        <v>3416</v>
      </c>
      <c r="Z665">
        <v>3452</v>
      </c>
      <c r="AA665">
        <v>2071</v>
      </c>
      <c r="AB665">
        <v>1380</v>
      </c>
    </row>
    <row r="666" spans="1:28" x14ac:dyDescent="0.35">
      <c r="A666" t="s">
        <v>711</v>
      </c>
      <c r="B666" t="s">
        <v>9</v>
      </c>
      <c r="C666" t="s">
        <v>1</v>
      </c>
      <c r="D666" t="s">
        <v>10</v>
      </c>
      <c r="E666" t="s">
        <v>11</v>
      </c>
      <c r="F666">
        <v>362340</v>
      </c>
      <c r="G666">
        <v>-130442</v>
      </c>
      <c r="H666">
        <v>170352</v>
      </c>
      <c r="I666">
        <v>362340</v>
      </c>
      <c r="J666">
        <v>36234</v>
      </c>
      <c r="K666">
        <v>18117</v>
      </c>
      <c r="L666">
        <v>207974</v>
      </c>
      <c r="M666">
        <v>41594</v>
      </c>
      <c r="N666">
        <v>62392</v>
      </c>
      <c r="O666">
        <v>20797</v>
      </c>
      <c r="P666">
        <v>-83189</v>
      </c>
      <c r="Q666">
        <v>-51993</v>
      </c>
      <c r="R666">
        <v>201320</v>
      </c>
      <c r="S666">
        <v>60396</v>
      </c>
      <c r="T666">
        <v>20132</v>
      </c>
      <c r="U666">
        <v>10398</v>
      </c>
      <c r="V666">
        <v>6239</v>
      </c>
      <c r="W666">
        <v>4159</v>
      </c>
      <c r="X666">
        <v>20797</v>
      </c>
      <c r="Y666">
        <v>10398</v>
      </c>
      <c r="Z666">
        <v>10066</v>
      </c>
      <c r="AA666">
        <v>6039</v>
      </c>
      <c r="AB666">
        <v>4026</v>
      </c>
    </row>
    <row r="667" spans="1:28" x14ac:dyDescent="0.35">
      <c r="A667" t="s">
        <v>712</v>
      </c>
      <c r="B667" t="s">
        <v>9</v>
      </c>
      <c r="C667" t="s">
        <v>1</v>
      </c>
      <c r="D667" t="s">
        <v>10</v>
      </c>
      <c r="E667" t="s">
        <v>11</v>
      </c>
      <c r="F667">
        <v>356098</v>
      </c>
      <c r="G667">
        <v>-187636</v>
      </c>
      <c r="H667">
        <v>89553</v>
      </c>
      <c r="I667">
        <v>356098</v>
      </c>
      <c r="J667">
        <v>35609</v>
      </c>
      <c r="K667">
        <v>17804</v>
      </c>
      <c r="L667">
        <v>244833</v>
      </c>
      <c r="M667">
        <v>48966</v>
      </c>
      <c r="N667">
        <v>73449</v>
      </c>
      <c r="O667">
        <v>24483</v>
      </c>
      <c r="P667">
        <v>-97933</v>
      </c>
      <c r="Q667">
        <v>-61208</v>
      </c>
      <c r="R667">
        <v>215440</v>
      </c>
      <c r="S667">
        <v>64632</v>
      </c>
      <c r="T667">
        <v>21544</v>
      </c>
      <c r="U667">
        <v>12241</v>
      </c>
      <c r="V667">
        <v>7344</v>
      </c>
      <c r="W667">
        <v>4896</v>
      </c>
      <c r="X667">
        <v>24483</v>
      </c>
      <c r="Y667">
        <v>12241</v>
      </c>
      <c r="Z667">
        <v>10772</v>
      </c>
      <c r="AA667">
        <v>6463</v>
      </c>
      <c r="AB667">
        <v>4308</v>
      </c>
    </row>
    <row r="668" spans="1:28" x14ac:dyDescent="0.35">
      <c r="A668" t="s">
        <v>713</v>
      </c>
      <c r="B668" t="s">
        <v>9</v>
      </c>
      <c r="C668" t="s">
        <v>1</v>
      </c>
      <c r="D668" t="s">
        <v>10</v>
      </c>
      <c r="E668" t="s">
        <v>11</v>
      </c>
      <c r="F668">
        <v>405204</v>
      </c>
      <c r="G668">
        <v>-101813</v>
      </c>
      <c r="H668">
        <v>94461</v>
      </c>
      <c r="I668">
        <v>405204</v>
      </c>
      <c r="J668">
        <v>40520</v>
      </c>
      <c r="K668">
        <v>20260</v>
      </c>
      <c r="L668">
        <v>124381</v>
      </c>
      <c r="M668">
        <v>24876</v>
      </c>
      <c r="N668">
        <v>37314</v>
      </c>
      <c r="O668">
        <v>12438</v>
      </c>
      <c r="P668">
        <v>-49752</v>
      </c>
      <c r="Q668">
        <v>-31095</v>
      </c>
      <c r="R668">
        <v>125413</v>
      </c>
      <c r="S668">
        <v>37623</v>
      </c>
      <c r="T668">
        <v>12541</v>
      </c>
      <c r="U668">
        <v>6219</v>
      </c>
      <c r="V668">
        <v>3731</v>
      </c>
      <c r="W668">
        <v>2487</v>
      </c>
      <c r="X668">
        <v>12438</v>
      </c>
      <c r="Y668">
        <v>6219</v>
      </c>
      <c r="Z668">
        <v>6270</v>
      </c>
      <c r="AA668">
        <v>3762</v>
      </c>
      <c r="AB668">
        <v>2508</v>
      </c>
    </row>
    <row r="669" spans="1:28" x14ac:dyDescent="0.35">
      <c r="A669" t="s">
        <v>714</v>
      </c>
      <c r="B669" t="s">
        <v>9</v>
      </c>
      <c r="C669" t="s">
        <v>1</v>
      </c>
      <c r="D669" t="s">
        <v>10</v>
      </c>
      <c r="E669" t="s">
        <v>11</v>
      </c>
      <c r="F669">
        <v>267453</v>
      </c>
      <c r="G669">
        <v>-147958</v>
      </c>
      <c r="H669">
        <v>116998</v>
      </c>
      <c r="I669">
        <v>267453</v>
      </c>
      <c r="J669">
        <v>26745</v>
      </c>
      <c r="K669">
        <v>13372</v>
      </c>
      <c r="L669">
        <v>126564</v>
      </c>
      <c r="M669">
        <v>25312</v>
      </c>
      <c r="N669">
        <v>37969</v>
      </c>
      <c r="O669">
        <v>12656</v>
      </c>
      <c r="P669">
        <v>-50625</v>
      </c>
      <c r="Q669">
        <v>-31641</v>
      </c>
      <c r="R669">
        <v>125719</v>
      </c>
      <c r="S669">
        <v>37715</v>
      </c>
      <c r="T669">
        <v>12571</v>
      </c>
      <c r="U669">
        <v>6328</v>
      </c>
      <c r="V669">
        <v>3796</v>
      </c>
      <c r="W669">
        <v>2531</v>
      </c>
      <c r="X669">
        <v>12656</v>
      </c>
      <c r="Y669">
        <v>6328</v>
      </c>
      <c r="Z669">
        <v>6285</v>
      </c>
      <c r="AA669">
        <v>3771</v>
      </c>
      <c r="AB669">
        <v>2514</v>
      </c>
    </row>
    <row r="670" spans="1:28" x14ac:dyDescent="0.35">
      <c r="A670" t="s">
        <v>715</v>
      </c>
      <c r="B670" t="s">
        <v>9</v>
      </c>
      <c r="C670" t="s">
        <v>1</v>
      </c>
      <c r="D670" t="s">
        <v>10</v>
      </c>
      <c r="E670" t="s">
        <v>11</v>
      </c>
      <c r="F670">
        <v>248331</v>
      </c>
      <c r="G670">
        <v>-109677</v>
      </c>
      <c r="H670">
        <v>45760</v>
      </c>
      <c r="I670">
        <v>248331</v>
      </c>
      <c r="J670">
        <v>24833</v>
      </c>
      <c r="K670">
        <v>12416</v>
      </c>
      <c r="L670">
        <v>80122</v>
      </c>
      <c r="M670">
        <v>16024</v>
      </c>
      <c r="N670">
        <v>24036</v>
      </c>
      <c r="O670">
        <v>8012</v>
      </c>
      <c r="P670">
        <v>-32048</v>
      </c>
      <c r="Q670">
        <v>-20030</v>
      </c>
      <c r="R670">
        <v>83939</v>
      </c>
      <c r="S670">
        <v>25181</v>
      </c>
      <c r="T670">
        <v>8393</v>
      </c>
      <c r="U670">
        <v>4006</v>
      </c>
      <c r="V670">
        <v>2403</v>
      </c>
      <c r="W670">
        <v>1602</v>
      </c>
      <c r="X670">
        <v>8012</v>
      </c>
      <c r="Y670">
        <v>4006</v>
      </c>
      <c r="Z670">
        <v>4196</v>
      </c>
      <c r="AA670">
        <v>2518</v>
      </c>
      <c r="AB670">
        <v>1678</v>
      </c>
    </row>
    <row r="671" spans="1:28" x14ac:dyDescent="0.35">
      <c r="A671" t="s">
        <v>716</v>
      </c>
      <c r="B671" t="s">
        <v>9</v>
      </c>
      <c r="C671" t="s">
        <v>1</v>
      </c>
      <c r="D671" t="s">
        <v>10</v>
      </c>
      <c r="E671" t="s">
        <v>11</v>
      </c>
      <c r="F671">
        <v>197392</v>
      </c>
      <c r="G671">
        <v>-55646</v>
      </c>
      <c r="H671">
        <v>44974</v>
      </c>
      <c r="I671">
        <v>197392</v>
      </c>
      <c r="J671">
        <v>19739</v>
      </c>
      <c r="K671">
        <v>9869</v>
      </c>
      <c r="L671">
        <v>89941</v>
      </c>
      <c r="M671">
        <v>17988</v>
      </c>
      <c r="N671">
        <v>26982</v>
      </c>
      <c r="O671">
        <v>8994</v>
      </c>
      <c r="P671">
        <v>-35976</v>
      </c>
      <c r="Q671">
        <v>-22485</v>
      </c>
      <c r="R671">
        <v>87471</v>
      </c>
      <c r="S671">
        <v>26241</v>
      </c>
      <c r="T671">
        <v>8747</v>
      </c>
      <c r="U671">
        <v>4497</v>
      </c>
      <c r="V671">
        <v>2698</v>
      </c>
      <c r="W671">
        <v>1798</v>
      </c>
      <c r="X671">
        <v>8994</v>
      </c>
      <c r="Y671">
        <v>4497</v>
      </c>
      <c r="Z671">
        <v>4373</v>
      </c>
      <c r="AA671">
        <v>2624</v>
      </c>
      <c r="AB671">
        <v>1749</v>
      </c>
    </row>
    <row r="672" spans="1:28" x14ac:dyDescent="0.35">
      <c r="A672" t="s">
        <v>717</v>
      </c>
      <c r="B672" t="s">
        <v>9</v>
      </c>
      <c r="C672" t="s">
        <v>1</v>
      </c>
      <c r="D672" t="s">
        <v>10</v>
      </c>
      <c r="E672" t="s">
        <v>11</v>
      </c>
      <c r="F672">
        <v>474332</v>
      </c>
      <c r="G672">
        <v>-95446</v>
      </c>
      <c r="H672">
        <v>232720</v>
      </c>
      <c r="I672">
        <v>474332</v>
      </c>
      <c r="J672">
        <v>47433</v>
      </c>
      <c r="K672">
        <v>23716</v>
      </c>
      <c r="L672">
        <v>330007</v>
      </c>
      <c r="M672">
        <v>66001</v>
      </c>
      <c r="N672">
        <v>99002</v>
      </c>
      <c r="O672">
        <v>33000</v>
      </c>
      <c r="P672">
        <v>-132002</v>
      </c>
      <c r="Q672">
        <v>-82501</v>
      </c>
      <c r="R672">
        <v>266634</v>
      </c>
      <c r="S672">
        <v>79990</v>
      </c>
      <c r="T672">
        <v>26663</v>
      </c>
      <c r="U672">
        <v>16500</v>
      </c>
      <c r="V672">
        <v>9900</v>
      </c>
      <c r="W672">
        <v>6600</v>
      </c>
      <c r="X672">
        <v>33000</v>
      </c>
      <c r="Y672">
        <v>16500</v>
      </c>
      <c r="Z672">
        <v>13331</v>
      </c>
      <c r="AA672">
        <v>7999</v>
      </c>
      <c r="AB672">
        <v>5332</v>
      </c>
    </row>
    <row r="673" spans="1:28" x14ac:dyDescent="0.35">
      <c r="A673" t="s">
        <v>718</v>
      </c>
      <c r="B673" t="s">
        <v>9</v>
      </c>
      <c r="C673" t="s">
        <v>1</v>
      </c>
      <c r="D673" t="s">
        <v>10</v>
      </c>
      <c r="E673" t="s">
        <v>11</v>
      </c>
      <c r="F673">
        <v>430354</v>
      </c>
      <c r="G673">
        <v>-221853</v>
      </c>
      <c r="H673">
        <v>174183</v>
      </c>
      <c r="I673">
        <v>430354</v>
      </c>
      <c r="J673">
        <v>43035</v>
      </c>
      <c r="K673">
        <v>21517</v>
      </c>
      <c r="L673">
        <v>283178</v>
      </c>
      <c r="M673">
        <v>56635</v>
      </c>
      <c r="N673">
        <v>84953</v>
      </c>
      <c r="O673">
        <v>28317</v>
      </c>
      <c r="P673">
        <v>-113271</v>
      </c>
      <c r="Q673">
        <v>-70794</v>
      </c>
      <c r="R673">
        <v>276083</v>
      </c>
      <c r="S673">
        <v>82824</v>
      </c>
      <c r="T673">
        <v>27608</v>
      </c>
      <c r="U673">
        <v>14158</v>
      </c>
      <c r="V673">
        <v>8495</v>
      </c>
      <c r="W673">
        <v>5663</v>
      </c>
      <c r="X673">
        <v>28317</v>
      </c>
      <c r="Y673">
        <v>14158</v>
      </c>
      <c r="Z673">
        <v>13804</v>
      </c>
      <c r="AA673">
        <v>8282</v>
      </c>
      <c r="AB673">
        <v>5521</v>
      </c>
    </row>
    <row r="674" spans="1:28" x14ac:dyDescent="0.35">
      <c r="A674" t="s">
        <v>719</v>
      </c>
      <c r="B674" t="s">
        <v>9</v>
      </c>
      <c r="C674" t="s">
        <v>1</v>
      </c>
      <c r="D674" t="s">
        <v>10</v>
      </c>
      <c r="E674" t="s">
        <v>11</v>
      </c>
      <c r="F674">
        <v>102396</v>
      </c>
      <c r="G674">
        <v>-21662</v>
      </c>
      <c r="H674">
        <v>21136</v>
      </c>
      <c r="I674">
        <v>102396</v>
      </c>
      <c r="J674">
        <v>10239</v>
      </c>
      <c r="K674">
        <v>5119</v>
      </c>
      <c r="L674">
        <v>60666</v>
      </c>
      <c r="M674">
        <v>12133</v>
      </c>
      <c r="N674">
        <v>18199</v>
      </c>
      <c r="O674">
        <v>6066</v>
      </c>
      <c r="P674">
        <v>-24266</v>
      </c>
      <c r="Q674">
        <v>-15166</v>
      </c>
      <c r="R674">
        <v>57369</v>
      </c>
      <c r="S674">
        <v>17210</v>
      </c>
      <c r="T674">
        <v>5736</v>
      </c>
      <c r="U674">
        <v>3033</v>
      </c>
      <c r="V674">
        <v>1819</v>
      </c>
      <c r="W674">
        <v>1213</v>
      </c>
      <c r="X674">
        <v>6066</v>
      </c>
      <c r="Y674">
        <v>3033</v>
      </c>
      <c r="Z674">
        <v>2868</v>
      </c>
      <c r="AA674">
        <v>1721</v>
      </c>
      <c r="AB674">
        <v>1147</v>
      </c>
    </row>
    <row r="675" spans="1:28" x14ac:dyDescent="0.35">
      <c r="A675" t="s">
        <v>720</v>
      </c>
      <c r="B675" t="s">
        <v>9</v>
      </c>
      <c r="C675" t="s">
        <v>1</v>
      </c>
      <c r="D675" t="s">
        <v>10</v>
      </c>
      <c r="E675" t="s">
        <v>11</v>
      </c>
      <c r="F675">
        <v>223949</v>
      </c>
      <c r="G675">
        <v>-87863</v>
      </c>
      <c r="H675">
        <v>81594</v>
      </c>
      <c r="I675">
        <v>223949</v>
      </c>
      <c r="J675">
        <v>22394</v>
      </c>
      <c r="K675">
        <v>11197</v>
      </c>
      <c r="L675">
        <v>46049</v>
      </c>
      <c r="M675">
        <v>9209</v>
      </c>
      <c r="N675">
        <v>13814</v>
      </c>
      <c r="O675">
        <v>4604</v>
      </c>
      <c r="P675">
        <v>-18419</v>
      </c>
      <c r="Q675">
        <v>-11512</v>
      </c>
      <c r="R675">
        <v>45251</v>
      </c>
      <c r="S675">
        <v>13575</v>
      </c>
      <c r="T675">
        <v>4525</v>
      </c>
      <c r="U675">
        <v>2302</v>
      </c>
      <c r="V675">
        <v>1381</v>
      </c>
      <c r="W675">
        <v>920</v>
      </c>
      <c r="X675">
        <v>4604</v>
      </c>
      <c r="Y675">
        <v>2302</v>
      </c>
      <c r="Z675">
        <v>2262</v>
      </c>
      <c r="AA675">
        <v>1357</v>
      </c>
      <c r="AB675">
        <v>905</v>
      </c>
    </row>
    <row r="676" spans="1:28" x14ac:dyDescent="0.35">
      <c r="A676" t="s">
        <v>721</v>
      </c>
      <c r="B676" t="s">
        <v>9</v>
      </c>
      <c r="C676" t="s">
        <v>1</v>
      </c>
      <c r="D676" t="s">
        <v>10</v>
      </c>
      <c r="E676" t="s">
        <v>11</v>
      </c>
      <c r="F676">
        <v>397330</v>
      </c>
      <c r="G676">
        <v>-103001</v>
      </c>
      <c r="H676">
        <v>74387</v>
      </c>
      <c r="I676">
        <v>397330</v>
      </c>
      <c r="J676">
        <v>39733</v>
      </c>
      <c r="K676">
        <v>19866</v>
      </c>
      <c r="L676">
        <v>292512</v>
      </c>
      <c r="M676">
        <v>58502</v>
      </c>
      <c r="N676">
        <v>87753</v>
      </c>
      <c r="O676">
        <v>29251</v>
      </c>
      <c r="P676">
        <v>-117004</v>
      </c>
      <c r="Q676">
        <v>-73128</v>
      </c>
      <c r="R676">
        <v>264851</v>
      </c>
      <c r="S676">
        <v>79455</v>
      </c>
      <c r="T676">
        <v>26485</v>
      </c>
      <c r="U676">
        <v>14625</v>
      </c>
      <c r="V676">
        <v>8775</v>
      </c>
      <c r="W676">
        <v>5850</v>
      </c>
      <c r="X676">
        <v>29251</v>
      </c>
      <c r="Y676">
        <v>14625</v>
      </c>
      <c r="Z676">
        <v>13242</v>
      </c>
      <c r="AA676">
        <v>7945</v>
      </c>
      <c r="AB676">
        <v>5297</v>
      </c>
    </row>
    <row r="677" spans="1:28" x14ac:dyDescent="0.35">
      <c r="A677" t="s">
        <v>722</v>
      </c>
      <c r="B677" t="s">
        <v>9</v>
      </c>
      <c r="C677" t="s">
        <v>1</v>
      </c>
      <c r="D677" t="s">
        <v>10</v>
      </c>
      <c r="E677" t="s">
        <v>11</v>
      </c>
      <c r="F677">
        <v>339498</v>
      </c>
      <c r="G677">
        <v>-142289</v>
      </c>
      <c r="H677">
        <v>67514</v>
      </c>
      <c r="I677">
        <v>339498</v>
      </c>
      <c r="J677">
        <v>33949</v>
      </c>
      <c r="K677">
        <v>16974</v>
      </c>
      <c r="L677">
        <v>248994</v>
      </c>
      <c r="M677">
        <v>49798</v>
      </c>
      <c r="N677">
        <v>74698</v>
      </c>
      <c r="O677">
        <v>24899</v>
      </c>
      <c r="P677">
        <v>-99597</v>
      </c>
      <c r="Q677">
        <v>-62248</v>
      </c>
      <c r="R677">
        <v>230580</v>
      </c>
      <c r="S677">
        <v>69174</v>
      </c>
      <c r="T677">
        <v>23058</v>
      </c>
      <c r="U677">
        <v>12449</v>
      </c>
      <c r="V677">
        <v>7469</v>
      </c>
      <c r="W677">
        <v>4979</v>
      </c>
      <c r="X677">
        <v>24899</v>
      </c>
      <c r="Y677">
        <v>12449</v>
      </c>
      <c r="Z677">
        <v>11529</v>
      </c>
      <c r="AA677">
        <v>6917</v>
      </c>
      <c r="AB677">
        <v>4611</v>
      </c>
    </row>
    <row r="678" spans="1:28" x14ac:dyDescent="0.35">
      <c r="A678" t="s">
        <v>723</v>
      </c>
      <c r="B678" t="s">
        <v>9</v>
      </c>
      <c r="C678" t="s">
        <v>1</v>
      </c>
      <c r="D678" t="s">
        <v>10</v>
      </c>
      <c r="E678" t="s">
        <v>11</v>
      </c>
      <c r="F678">
        <v>393384</v>
      </c>
      <c r="G678">
        <v>-188890</v>
      </c>
      <c r="H678">
        <v>53065</v>
      </c>
      <c r="I678">
        <v>393384</v>
      </c>
      <c r="J678">
        <v>39338</v>
      </c>
      <c r="K678">
        <v>19669</v>
      </c>
      <c r="L678">
        <v>309685</v>
      </c>
      <c r="M678">
        <v>61937</v>
      </c>
      <c r="N678">
        <v>92905</v>
      </c>
      <c r="O678">
        <v>30968</v>
      </c>
      <c r="P678">
        <v>-123874</v>
      </c>
      <c r="Q678">
        <v>-77421</v>
      </c>
      <c r="R678">
        <v>313057</v>
      </c>
      <c r="S678">
        <v>93917</v>
      </c>
      <c r="T678">
        <v>31305</v>
      </c>
      <c r="U678">
        <v>15484</v>
      </c>
      <c r="V678">
        <v>9290</v>
      </c>
      <c r="W678">
        <v>6193</v>
      </c>
      <c r="X678">
        <v>30968</v>
      </c>
      <c r="Y678">
        <v>15484</v>
      </c>
      <c r="Z678">
        <v>15652</v>
      </c>
      <c r="AA678">
        <v>9391</v>
      </c>
      <c r="AB678">
        <v>6261</v>
      </c>
    </row>
    <row r="679" spans="1:28" x14ac:dyDescent="0.35">
      <c r="A679" t="s">
        <v>724</v>
      </c>
      <c r="B679" t="s">
        <v>9</v>
      </c>
      <c r="C679" t="s">
        <v>1</v>
      </c>
      <c r="D679" t="s">
        <v>10</v>
      </c>
      <c r="E679" t="s">
        <v>11</v>
      </c>
      <c r="F679">
        <v>67433</v>
      </c>
      <c r="G679">
        <v>-22541</v>
      </c>
      <c r="H679">
        <v>11851</v>
      </c>
      <c r="I679">
        <v>67433</v>
      </c>
      <c r="J679">
        <v>6743</v>
      </c>
      <c r="K679">
        <v>3371</v>
      </c>
      <c r="L679">
        <v>29149</v>
      </c>
      <c r="M679">
        <v>5829</v>
      </c>
      <c r="N679">
        <v>8744</v>
      </c>
      <c r="O679">
        <v>2914</v>
      </c>
      <c r="P679">
        <v>-11659</v>
      </c>
      <c r="Q679">
        <v>-7287</v>
      </c>
      <c r="R679">
        <v>34707</v>
      </c>
      <c r="S679">
        <v>10412</v>
      </c>
      <c r="T679">
        <v>3470</v>
      </c>
      <c r="U679">
        <v>1457</v>
      </c>
      <c r="V679">
        <v>874</v>
      </c>
      <c r="W679">
        <v>582</v>
      </c>
      <c r="X679">
        <v>2914</v>
      </c>
      <c r="Y679">
        <v>1457</v>
      </c>
      <c r="Z679">
        <v>1735</v>
      </c>
      <c r="AA679">
        <v>1041</v>
      </c>
      <c r="AB679">
        <v>694</v>
      </c>
    </row>
    <row r="680" spans="1:28" x14ac:dyDescent="0.35">
      <c r="A680" t="s">
        <v>725</v>
      </c>
      <c r="B680" t="s">
        <v>9</v>
      </c>
      <c r="C680" t="s">
        <v>1</v>
      </c>
      <c r="D680" t="s">
        <v>10</v>
      </c>
      <c r="E680" t="s">
        <v>11</v>
      </c>
      <c r="F680">
        <v>218781</v>
      </c>
      <c r="G680">
        <v>-125453</v>
      </c>
      <c r="H680">
        <v>32892</v>
      </c>
      <c r="I680">
        <v>218781</v>
      </c>
      <c r="J680">
        <v>21878</v>
      </c>
      <c r="K680">
        <v>10939</v>
      </c>
      <c r="L680">
        <v>167880</v>
      </c>
      <c r="M680">
        <v>33576</v>
      </c>
      <c r="N680">
        <v>50364</v>
      </c>
      <c r="O680">
        <v>16788</v>
      </c>
      <c r="P680">
        <v>-67152</v>
      </c>
      <c r="Q680">
        <v>-41970</v>
      </c>
      <c r="R680">
        <v>177749</v>
      </c>
      <c r="S680">
        <v>53324</v>
      </c>
      <c r="T680">
        <v>17774</v>
      </c>
      <c r="U680">
        <v>8394</v>
      </c>
      <c r="V680">
        <v>5036</v>
      </c>
      <c r="W680">
        <v>3357</v>
      </c>
      <c r="X680">
        <v>16788</v>
      </c>
      <c r="Y680">
        <v>8394</v>
      </c>
      <c r="Z680">
        <v>8887</v>
      </c>
      <c r="AA680">
        <v>5332</v>
      </c>
      <c r="AB680">
        <v>3554</v>
      </c>
    </row>
    <row r="681" spans="1:28" x14ac:dyDescent="0.35">
      <c r="A681" t="s">
        <v>726</v>
      </c>
      <c r="B681" t="s">
        <v>9</v>
      </c>
      <c r="C681" t="s">
        <v>1</v>
      </c>
      <c r="D681" t="s">
        <v>10</v>
      </c>
      <c r="E681" t="s">
        <v>11</v>
      </c>
      <c r="F681">
        <v>172551</v>
      </c>
      <c r="G681">
        <v>-43139</v>
      </c>
      <c r="H681">
        <v>84313</v>
      </c>
      <c r="I681">
        <v>172551</v>
      </c>
      <c r="J681">
        <v>17255</v>
      </c>
      <c r="K681">
        <v>8627</v>
      </c>
      <c r="L681">
        <v>37549</v>
      </c>
      <c r="M681">
        <v>7509</v>
      </c>
      <c r="N681">
        <v>11264</v>
      </c>
      <c r="O681">
        <v>3754</v>
      </c>
      <c r="P681">
        <v>-15019</v>
      </c>
      <c r="Q681">
        <v>-9387</v>
      </c>
      <c r="R681">
        <v>33607</v>
      </c>
      <c r="S681">
        <v>10082</v>
      </c>
      <c r="T681">
        <v>3360</v>
      </c>
      <c r="U681">
        <v>1877</v>
      </c>
      <c r="V681">
        <v>1126</v>
      </c>
      <c r="W681">
        <v>750</v>
      </c>
      <c r="X681">
        <v>3754</v>
      </c>
      <c r="Y681">
        <v>1877</v>
      </c>
      <c r="Z681">
        <v>1680</v>
      </c>
      <c r="AA681">
        <v>1008</v>
      </c>
      <c r="AB681">
        <v>672</v>
      </c>
    </row>
    <row r="682" spans="1:28" x14ac:dyDescent="0.35">
      <c r="A682" t="s">
        <v>727</v>
      </c>
      <c r="B682" t="s">
        <v>9</v>
      </c>
      <c r="C682" t="s">
        <v>1</v>
      </c>
      <c r="D682" t="s">
        <v>10</v>
      </c>
      <c r="E682" t="s">
        <v>11</v>
      </c>
      <c r="F682">
        <v>248469</v>
      </c>
      <c r="G682">
        <v>-105154</v>
      </c>
      <c r="H682">
        <v>40335</v>
      </c>
      <c r="I682">
        <v>248469</v>
      </c>
      <c r="J682">
        <v>24846</v>
      </c>
      <c r="K682">
        <v>12423</v>
      </c>
      <c r="L682">
        <v>65399</v>
      </c>
      <c r="M682">
        <v>13079</v>
      </c>
      <c r="N682">
        <v>19619</v>
      </c>
      <c r="O682">
        <v>6539</v>
      </c>
      <c r="P682">
        <v>-26159</v>
      </c>
      <c r="Q682">
        <v>-16349</v>
      </c>
      <c r="R682">
        <v>63336</v>
      </c>
      <c r="S682">
        <v>19000</v>
      </c>
      <c r="T682">
        <v>6333</v>
      </c>
      <c r="U682">
        <v>3269</v>
      </c>
      <c r="V682">
        <v>1961</v>
      </c>
      <c r="W682">
        <v>1307</v>
      </c>
      <c r="X682">
        <v>6539</v>
      </c>
      <c r="Y682">
        <v>3269</v>
      </c>
      <c r="Z682">
        <v>3166</v>
      </c>
      <c r="AA682">
        <v>1900</v>
      </c>
      <c r="AB682">
        <v>1266</v>
      </c>
    </row>
    <row r="683" spans="1:28" x14ac:dyDescent="0.35">
      <c r="A683" t="s">
        <v>728</v>
      </c>
      <c r="B683" t="s">
        <v>9</v>
      </c>
      <c r="C683" t="s">
        <v>1</v>
      </c>
      <c r="D683" t="s">
        <v>10</v>
      </c>
      <c r="E683" t="s">
        <v>11</v>
      </c>
      <c r="F683">
        <v>391231</v>
      </c>
      <c r="G683">
        <v>-179950</v>
      </c>
      <c r="H683">
        <v>111984</v>
      </c>
      <c r="I683">
        <v>391231</v>
      </c>
      <c r="J683">
        <v>39123</v>
      </c>
      <c r="K683">
        <v>19561</v>
      </c>
      <c r="L683">
        <v>126468</v>
      </c>
      <c r="M683">
        <v>25293</v>
      </c>
      <c r="N683">
        <v>37940</v>
      </c>
      <c r="O683">
        <v>12646</v>
      </c>
      <c r="P683">
        <v>-50587</v>
      </c>
      <c r="Q683">
        <v>-31617</v>
      </c>
      <c r="R683">
        <v>130799</v>
      </c>
      <c r="S683">
        <v>39239</v>
      </c>
      <c r="T683">
        <v>13079</v>
      </c>
      <c r="U683">
        <v>6323</v>
      </c>
      <c r="V683">
        <v>3794</v>
      </c>
      <c r="W683">
        <v>2529</v>
      </c>
      <c r="X683">
        <v>12646</v>
      </c>
      <c r="Y683">
        <v>6323</v>
      </c>
      <c r="Z683">
        <v>6539</v>
      </c>
      <c r="AA683">
        <v>3923</v>
      </c>
      <c r="AB683">
        <v>2615</v>
      </c>
    </row>
    <row r="684" spans="1:28" x14ac:dyDescent="0.35">
      <c r="A684" t="s">
        <v>729</v>
      </c>
      <c r="B684" t="s">
        <v>9</v>
      </c>
      <c r="C684" t="s">
        <v>1</v>
      </c>
      <c r="D684" t="s">
        <v>10</v>
      </c>
      <c r="E684" t="s">
        <v>11</v>
      </c>
      <c r="F684">
        <v>379056</v>
      </c>
      <c r="G684">
        <v>-212595</v>
      </c>
      <c r="H684">
        <v>140058</v>
      </c>
      <c r="I684">
        <v>379056</v>
      </c>
      <c r="J684">
        <v>37905</v>
      </c>
      <c r="K684">
        <v>18952</v>
      </c>
      <c r="L684">
        <v>256472</v>
      </c>
      <c r="M684">
        <v>51294</v>
      </c>
      <c r="N684">
        <v>76941</v>
      </c>
      <c r="O684">
        <v>25647</v>
      </c>
      <c r="P684">
        <v>-102588</v>
      </c>
      <c r="Q684">
        <v>-64118</v>
      </c>
      <c r="R684">
        <v>306189</v>
      </c>
      <c r="S684">
        <v>91856</v>
      </c>
      <c r="T684">
        <v>30618</v>
      </c>
      <c r="U684">
        <v>12823</v>
      </c>
      <c r="V684">
        <v>7694</v>
      </c>
      <c r="W684">
        <v>5129</v>
      </c>
      <c r="X684">
        <v>25647</v>
      </c>
      <c r="Y684">
        <v>12823</v>
      </c>
      <c r="Z684">
        <v>15309</v>
      </c>
      <c r="AA684">
        <v>9185</v>
      </c>
      <c r="AB684">
        <v>6123</v>
      </c>
    </row>
    <row r="685" spans="1:28" x14ac:dyDescent="0.35">
      <c r="A685" t="s">
        <v>730</v>
      </c>
      <c r="B685" t="s">
        <v>9</v>
      </c>
      <c r="C685" t="s">
        <v>1</v>
      </c>
      <c r="D685" t="s">
        <v>10</v>
      </c>
      <c r="E685" t="s">
        <v>11</v>
      </c>
      <c r="F685">
        <v>389937</v>
      </c>
      <c r="G685">
        <v>-183093</v>
      </c>
      <c r="H685">
        <v>119440</v>
      </c>
      <c r="I685">
        <v>389937</v>
      </c>
      <c r="J685">
        <v>38993</v>
      </c>
      <c r="K685">
        <v>19496</v>
      </c>
      <c r="L685">
        <v>285008</v>
      </c>
      <c r="M685">
        <v>57001</v>
      </c>
      <c r="N685">
        <v>85502</v>
      </c>
      <c r="O685">
        <v>28500</v>
      </c>
      <c r="P685">
        <v>-114003</v>
      </c>
      <c r="Q685">
        <v>-71252</v>
      </c>
      <c r="R685">
        <v>289944</v>
      </c>
      <c r="S685">
        <v>86983</v>
      </c>
      <c r="T685">
        <v>28994</v>
      </c>
      <c r="U685">
        <v>14250</v>
      </c>
      <c r="V685">
        <v>8550</v>
      </c>
      <c r="W685">
        <v>5700</v>
      </c>
      <c r="X685">
        <v>28500</v>
      </c>
      <c r="Y685">
        <v>14250</v>
      </c>
      <c r="Z685">
        <v>14497</v>
      </c>
      <c r="AA685">
        <v>8698</v>
      </c>
      <c r="AB685">
        <v>5798</v>
      </c>
    </row>
    <row r="686" spans="1:28" x14ac:dyDescent="0.35">
      <c r="A686" t="s">
        <v>731</v>
      </c>
      <c r="B686" t="s">
        <v>9</v>
      </c>
      <c r="C686" t="s">
        <v>1</v>
      </c>
      <c r="D686" t="s">
        <v>10</v>
      </c>
      <c r="E686" t="s">
        <v>11</v>
      </c>
      <c r="F686">
        <v>122102</v>
      </c>
      <c r="G686">
        <v>-27919</v>
      </c>
      <c r="H686">
        <v>19284</v>
      </c>
      <c r="I686">
        <v>122102</v>
      </c>
      <c r="J686">
        <v>12210</v>
      </c>
      <c r="K686">
        <v>6105</v>
      </c>
      <c r="L686">
        <v>72253</v>
      </c>
      <c r="M686">
        <v>14450</v>
      </c>
      <c r="N686">
        <v>21675</v>
      </c>
      <c r="O686">
        <v>7225</v>
      </c>
      <c r="P686">
        <v>-28901</v>
      </c>
      <c r="Q686">
        <v>-18063</v>
      </c>
      <c r="R686">
        <v>80704</v>
      </c>
      <c r="S686">
        <v>24211</v>
      </c>
      <c r="T686">
        <v>8070</v>
      </c>
      <c r="U686">
        <v>3612</v>
      </c>
      <c r="V686">
        <v>2167</v>
      </c>
      <c r="W686">
        <v>1445</v>
      </c>
      <c r="X686">
        <v>7225</v>
      </c>
      <c r="Y686">
        <v>3612</v>
      </c>
      <c r="Z686">
        <v>4035</v>
      </c>
      <c r="AA686">
        <v>2421</v>
      </c>
      <c r="AB686">
        <v>1614</v>
      </c>
    </row>
    <row r="687" spans="1:28" x14ac:dyDescent="0.35">
      <c r="A687" t="s">
        <v>732</v>
      </c>
      <c r="B687" t="s">
        <v>9</v>
      </c>
      <c r="C687" t="s">
        <v>1</v>
      </c>
      <c r="D687" t="s">
        <v>10</v>
      </c>
      <c r="E687" t="s">
        <v>11</v>
      </c>
      <c r="F687">
        <v>277748</v>
      </c>
      <c r="G687">
        <v>-102275</v>
      </c>
      <c r="H687">
        <v>80398</v>
      </c>
      <c r="I687">
        <v>277748</v>
      </c>
      <c r="J687">
        <v>27774</v>
      </c>
      <c r="K687">
        <v>13887</v>
      </c>
      <c r="L687">
        <v>200322</v>
      </c>
      <c r="M687">
        <v>40064</v>
      </c>
      <c r="N687">
        <v>60096</v>
      </c>
      <c r="O687">
        <v>20032</v>
      </c>
      <c r="P687">
        <v>-80128</v>
      </c>
      <c r="Q687">
        <v>-50080</v>
      </c>
      <c r="R687">
        <v>216761</v>
      </c>
      <c r="S687">
        <v>65028</v>
      </c>
      <c r="T687">
        <v>21676</v>
      </c>
      <c r="U687">
        <v>10016</v>
      </c>
      <c r="V687">
        <v>6009</v>
      </c>
      <c r="W687">
        <v>4006</v>
      </c>
      <c r="X687">
        <v>20032</v>
      </c>
      <c r="Y687">
        <v>10016</v>
      </c>
      <c r="Z687">
        <v>10838</v>
      </c>
      <c r="AA687">
        <v>6502</v>
      </c>
      <c r="AB687">
        <v>4335</v>
      </c>
    </row>
    <row r="688" spans="1:28" x14ac:dyDescent="0.35">
      <c r="A688" t="s">
        <v>733</v>
      </c>
      <c r="B688" t="s">
        <v>9</v>
      </c>
      <c r="C688" t="s">
        <v>1</v>
      </c>
      <c r="D688" t="s">
        <v>10</v>
      </c>
      <c r="E688" t="s">
        <v>11</v>
      </c>
      <c r="F688">
        <v>483996</v>
      </c>
      <c r="G688">
        <v>-280874</v>
      </c>
      <c r="H688">
        <v>140189</v>
      </c>
      <c r="I688">
        <v>483996</v>
      </c>
      <c r="J688">
        <v>48399</v>
      </c>
      <c r="K688">
        <v>24199</v>
      </c>
      <c r="L688">
        <v>250004</v>
      </c>
      <c r="M688">
        <v>50000</v>
      </c>
      <c r="N688">
        <v>75001</v>
      </c>
      <c r="O688">
        <v>25000</v>
      </c>
      <c r="P688">
        <v>-100001</v>
      </c>
      <c r="Q688">
        <v>-62501</v>
      </c>
      <c r="R688">
        <v>206546</v>
      </c>
      <c r="S688">
        <v>61963</v>
      </c>
      <c r="T688">
        <v>20654</v>
      </c>
      <c r="U688">
        <v>12500</v>
      </c>
      <c r="V688">
        <v>7500</v>
      </c>
      <c r="W688">
        <v>5000</v>
      </c>
      <c r="X688">
        <v>25000</v>
      </c>
      <c r="Y688">
        <v>12500</v>
      </c>
      <c r="Z688">
        <v>10327</v>
      </c>
      <c r="AA688">
        <v>6196</v>
      </c>
      <c r="AB688">
        <v>4130</v>
      </c>
    </row>
    <row r="689" spans="1:28" x14ac:dyDescent="0.35">
      <c r="A689" t="s">
        <v>734</v>
      </c>
      <c r="B689" t="s">
        <v>9</v>
      </c>
      <c r="C689" t="s">
        <v>1</v>
      </c>
      <c r="D689" t="s">
        <v>10</v>
      </c>
      <c r="E689" t="s">
        <v>11</v>
      </c>
      <c r="F689">
        <v>315963</v>
      </c>
      <c r="G689">
        <v>-74937</v>
      </c>
      <c r="H689">
        <v>117196</v>
      </c>
      <c r="I689">
        <v>315963</v>
      </c>
      <c r="J689">
        <v>31596</v>
      </c>
      <c r="K689">
        <v>15798</v>
      </c>
      <c r="L689">
        <v>82685</v>
      </c>
      <c r="M689">
        <v>16537</v>
      </c>
      <c r="N689">
        <v>24805</v>
      </c>
      <c r="O689">
        <v>8268</v>
      </c>
      <c r="P689">
        <v>-33074</v>
      </c>
      <c r="Q689">
        <v>-20671</v>
      </c>
      <c r="R689">
        <v>78250</v>
      </c>
      <c r="S689">
        <v>23475</v>
      </c>
      <c r="T689">
        <v>7825</v>
      </c>
      <c r="U689">
        <v>4134</v>
      </c>
      <c r="V689">
        <v>2480</v>
      </c>
      <c r="W689">
        <v>1653</v>
      </c>
      <c r="X689">
        <v>8268</v>
      </c>
      <c r="Y689">
        <v>4134</v>
      </c>
      <c r="Z689">
        <v>3912</v>
      </c>
      <c r="AA689">
        <v>2347</v>
      </c>
      <c r="AB689">
        <v>1565</v>
      </c>
    </row>
    <row r="690" spans="1:28" x14ac:dyDescent="0.35">
      <c r="A690" t="s">
        <v>735</v>
      </c>
      <c r="B690" t="s">
        <v>9</v>
      </c>
      <c r="C690" t="s">
        <v>1</v>
      </c>
      <c r="D690" t="s">
        <v>10</v>
      </c>
      <c r="E690" t="s">
        <v>11</v>
      </c>
      <c r="F690">
        <v>430171</v>
      </c>
      <c r="G690">
        <v>-141075</v>
      </c>
      <c r="H690">
        <v>90233</v>
      </c>
      <c r="I690">
        <v>430171</v>
      </c>
      <c r="J690">
        <v>43017</v>
      </c>
      <c r="K690">
        <v>21508</v>
      </c>
      <c r="L690">
        <v>333275</v>
      </c>
      <c r="M690">
        <v>66655</v>
      </c>
      <c r="N690">
        <v>99982</v>
      </c>
      <c r="O690">
        <v>33327</v>
      </c>
      <c r="P690">
        <v>-133310</v>
      </c>
      <c r="Q690">
        <v>-83318</v>
      </c>
      <c r="R690">
        <v>289810</v>
      </c>
      <c r="S690">
        <v>86943</v>
      </c>
      <c r="T690">
        <v>28981</v>
      </c>
      <c r="U690">
        <v>16663</v>
      </c>
      <c r="V690">
        <v>9998</v>
      </c>
      <c r="W690">
        <v>6665</v>
      </c>
      <c r="X690">
        <v>33327</v>
      </c>
      <c r="Y690">
        <v>16663</v>
      </c>
      <c r="Z690">
        <v>14490</v>
      </c>
      <c r="AA690">
        <v>8694</v>
      </c>
      <c r="AB690">
        <v>5796</v>
      </c>
    </row>
    <row r="691" spans="1:28" x14ac:dyDescent="0.35">
      <c r="A691" t="s">
        <v>736</v>
      </c>
      <c r="B691" t="s">
        <v>9</v>
      </c>
      <c r="C691" t="s">
        <v>1</v>
      </c>
      <c r="D691" t="s">
        <v>10</v>
      </c>
      <c r="E691" t="s">
        <v>11</v>
      </c>
      <c r="F691">
        <v>244080</v>
      </c>
      <c r="G691">
        <v>-143119</v>
      </c>
      <c r="H691">
        <v>102374</v>
      </c>
      <c r="I691">
        <v>244080</v>
      </c>
      <c r="J691">
        <v>24408</v>
      </c>
      <c r="K691">
        <v>12204</v>
      </c>
      <c r="L691">
        <v>117770</v>
      </c>
      <c r="M691">
        <v>23554</v>
      </c>
      <c r="N691">
        <v>35331</v>
      </c>
      <c r="O691">
        <v>11777</v>
      </c>
      <c r="P691">
        <v>-47108</v>
      </c>
      <c r="Q691">
        <v>-29442</v>
      </c>
      <c r="R691">
        <v>129121</v>
      </c>
      <c r="S691">
        <v>38736</v>
      </c>
      <c r="T691">
        <v>12912</v>
      </c>
      <c r="U691">
        <v>5888</v>
      </c>
      <c r="V691">
        <v>3533</v>
      </c>
      <c r="W691">
        <v>2355</v>
      </c>
      <c r="X691">
        <v>11777</v>
      </c>
      <c r="Y691">
        <v>5888</v>
      </c>
      <c r="Z691">
        <v>6456</v>
      </c>
      <c r="AA691">
        <v>3873</v>
      </c>
      <c r="AB691">
        <v>2582</v>
      </c>
    </row>
    <row r="692" spans="1:28" x14ac:dyDescent="0.35">
      <c r="A692" t="s">
        <v>737</v>
      </c>
      <c r="B692" t="s">
        <v>9</v>
      </c>
      <c r="C692" t="s">
        <v>1</v>
      </c>
      <c r="D692" t="s">
        <v>10</v>
      </c>
      <c r="E692" t="s">
        <v>11</v>
      </c>
      <c r="F692">
        <v>357508</v>
      </c>
      <c r="G692">
        <v>-200410</v>
      </c>
      <c r="H692">
        <v>157790</v>
      </c>
      <c r="I692">
        <v>357508</v>
      </c>
      <c r="J692">
        <v>35750</v>
      </c>
      <c r="K692">
        <v>17875</v>
      </c>
      <c r="L692">
        <v>198291</v>
      </c>
      <c r="M692">
        <v>39658</v>
      </c>
      <c r="N692">
        <v>59487</v>
      </c>
      <c r="O692">
        <v>19829</v>
      </c>
      <c r="P692">
        <v>-79316</v>
      </c>
      <c r="Q692">
        <v>-49572</v>
      </c>
      <c r="R692">
        <v>162752</v>
      </c>
      <c r="S692">
        <v>48825</v>
      </c>
      <c r="T692">
        <v>16275</v>
      </c>
      <c r="U692">
        <v>9914</v>
      </c>
      <c r="V692">
        <v>5948</v>
      </c>
      <c r="W692">
        <v>3965</v>
      </c>
      <c r="X692">
        <v>19829</v>
      </c>
      <c r="Y692">
        <v>9914</v>
      </c>
      <c r="Z692">
        <v>8137</v>
      </c>
      <c r="AA692">
        <v>4882</v>
      </c>
      <c r="AB692">
        <v>3255</v>
      </c>
    </row>
    <row r="693" spans="1:28" x14ac:dyDescent="0.35">
      <c r="A693" t="s">
        <v>738</v>
      </c>
      <c r="B693" t="s">
        <v>9</v>
      </c>
      <c r="C693" t="s">
        <v>1</v>
      </c>
      <c r="D693" t="s">
        <v>10</v>
      </c>
      <c r="E693" t="s">
        <v>11</v>
      </c>
      <c r="F693">
        <v>277303</v>
      </c>
      <c r="G693">
        <v>-62777</v>
      </c>
      <c r="H693">
        <v>125772</v>
      </c>
      <c r="I693">
        <v>277303</v>
      </c>
      <c r="J693">
        <v>27730</v>
      </c>
      <c r="K693">
        <v>13865</v>
      </c>
      <c r="L693">
        <v>180715</v>
      </c>
      <c r="M693">
        <v>36143</v>
      </c>
      <c r="N693">
        <v>54214</v>
      </c>
      <c r="O693">
        <v>18071</v>
      </c>
      <c r="P693">
        <v>-72286</v>
      </c>
      <c r="Q693">
        <v>-45178</v>
      </c>
      <c r="R693">
        <v>202219</v>
      </c>
      <c r="S693">
        <v>60665</v>
      </c>
      <c r="T693">
        <v>20221</v>
      </c>
      <c r="U693">
        <v>9035</v>
      </c>
      <c r="V693">
        <v>5421</v>
      </c>
      <c r="W693">
        <v>3614</v>
      </c>
      <c r="X693">
        <v>18071</v>
      </c>
      <c r="Y693">
        <v>9035</v>
      </c>
      <c r="Z693">
        <v>10110</v>
      </c>
      <c r="AA693">
        <v>6066</v>
      </c>
      <c r="AB693">
        <v>4044</v>
      </c>
    </row>
    <row r="694" spans="1:28" x14ac:dyDescent="0.35">
      <c r="A694" t="s">
        <v>739</v>
      </c>
      <c r="B694" t="s">
        <v>9</v>
      </c>
      <c r="C694" t="s">
        <v>1</v>
      </c>
      <c r="D694" t="s">
        <v>10</v>
      </c>
      <c r="E694" t="s">
        <v>11</v>
      </c>
      <c r="F694">
        <v>68737</v>
      </c>
      <c r="G694">
        <v>-32964</v>
      </c>
      <c r="H694">
        <v>32433</v>
      </c>
      <c r="I694">
        <v>68737</v>
      </c>
      <c r="J694">
        <v>6873</v>
      </c>
      <c r="K694">
        <v>3436</v>
      </c>
      <c r="L694">
        <v>14167</v>
      </c>
      <c r="M694">
        <v>2833</v>
      </c>
      <c r="N694">
        <v>4250</v>
      </c>
      <c r="O694">
        <v>1416</v>
      </c>
      <c r="P694">
        <v>-5666</v>
      </c>
      <c r="Q694">
        <v>-3541</v>
      </c>
      <c r="R694">
        <v>16088</v>
      </c>
      <c r="S694">
        <v>4826</v>
      </c>
      <c r="T694">
        <v>1608</v>
      </c>
      <c r="U694">
        <v>708</v>
      </c>
      <c r="V694">
        <v>425</v>
      </c>
      <c r="W694">
        <v>283</v>
      </c>
      <c r="X694">
        <v>1416</v>
      </c>
      <c r="Y694">
        <v>708</v>
      </c>
      <c r="Z694">
        <v>804</v>
      </c>
      <c r="AA694">
        <v>482</v>
      </c>
      <c r="AB694">
        <v>321</v>
      </c>
    </row>
    <row r="695" spans="1:28" x14ac:dyDescent="0.35">
      <c r="A695" t="s">
        <v>740</v>
      </c>
      <c r="B695" t="s">
        <v>9</v>
      </c>
      <c r="C695" t="s">
        <v>1</v>
      </c>
      <c r="D695" t="s">
        <v>10</v>
      </c>
      <c r="E695" t="s">
        <v>11</v>
      </c>
      <c r="F695">
        <v>260622</v>
      </c>
      <c r="G695">
        <v>-145222</v>
      </c>
      <c r="H695">
        <v>52145</v>
      </c>
      <c r="I695">
        <v>260622</v>
      </c>
      <c r="J695">
        <v>26062</v>
      </c>
      <c r="K695">
        <v>13031</v>
      </c>
      <c r="L695">
        <v>62991</v>
      </c>
      <c r="M695">
        <v>12598</v>
      </c>
      <c r="N695">
        <v>18897</v>
      </c>
      <c r="O695">
        <v>6299</v>
      </c>
      <c r="P695">
        <v>-25196</v>
      </c>
      <c r="Q695">
        <v>-15747</v>
      </c>
      <c r="R695">
        <v>56050</v>
      </c>
      <c r="S695">
        <v>16815</v>
      </c>
      <c r="T695">
        <v>5605</v>
      </c>
      <c r="U695">
        <v>3149</v>
      </c>
      <c r="V695">
        <v>1889</v>
      </c>
      <c r="W695">
        <v>1259</v>
      </c>
      <c r="X695">
        <v>6299</v>
      </c>
      <c r="Y695">
        <v>3149</v>
      </c>
      <c r="Z695">
        <v>2802</v>
      </c>
      <c r="AA695">
        <v>1681</v>
      </c>
      <c r="AB695">
        <v>1121</v>
      </c>
    </row>
    <row r="696" spans="1:28" x14ac:dyDescent="0.35">
      <c r="A696" t="s">
        <v>741</v>
      </c>
      <c r="B696" t="s">
        <v>9</v>
      </c>
      <c r="C696" t="s">
        <v>1</v>
      </c>
      <c r="D696" t="s">
        <v>10</v>
      </c>
      <c r="E696" t="s">
        <v>11</v>
      </c>
      <c r="F696">
        <v>436138</v>
      </c>
      <c r="G696">
        <v>-176523</v>
      </c>
      <c r="H696">
        <v>145139</v>
      </c>
      <c r="I696">
        <v>436138</v>
      </c>
      <c r="J696">
        <v>43613</v>
      </c>
      <c r="K696">
        <v>21806</v>
      </c>
      <c r="L696">
        <v>298004</v>
      </c>
      <c r="M696">
        <v>59600</v>
      </c>
      <c r="N696">
        <v>89401</v>
      </c>
      <c r="O696">
        <v>29800</v>
      </c>
      <c r="P696">
        <v>-119201</v>
      </c>
      <c r="Q696">
        <v>-74501</v>
      </c>
      <c r="R696">
        <v>319276</v>
      </c>
      <c r="S696">
        <v>95782</v>
      </c>
      <c r="T696">
        <v>31927</v>
      </c>
      <c r="U696">
        <v>14900</v>
      </c>
      <c r="V696">
        <v>8940</v>
      </c>
      <c r="W696">
        <v>5960</v>
      </c>
      <c r="X696">
        <v>29800</v>
      </c>
      <c r="Y696">
        <v>14900</v>
      </c>
      <c r="Z696">
        <v>15963</v>
      </c>
      <c r="AA696">
        <v>9578</v>
      </c>
      <c r="AB696">
        <v>6385</v>
      </c>
    </row>
    <row r="697" spans="1:28" x14ac:dyDescent="0.35">
      <c r="A697" t="s">
        <v>742</v>
      </c>
      <c r="B697" t="s">
        <v>9</v>
      </c>
      <c r="C697" t="s">
        <v>1</v>
      </c>
      <c r="D697" t="s">
        <v>10</v>
      </c>
      <c r="E697" t="s">
        <v>11</v>
      </c>
      <c r="F697">
        <v>390866</v>
      </c>
      <c r="G697">
        <v>-181890</v>
      </c>
      <c r="H697">
        <v>158995</v>
      </c>
      <c r="I697">
        <v>390866</v>
      </c>
      <c r="J697">
        <v>39086</v>
      </c>
      <c r="K697">
        <v>19543</v>
      </c>
      <c r="L697">
        <v>106958</v>
      </c>
      <c r="M697">
        <v>21391</v>
      </c>
      <c r="N697">
        <v>32087</v>
      </c>
      <c r="O697">
        <v>10695</v>
      </c>
      <c r="P697">
        <v>-42783</v>
      </c>
      <c r="Q697">
        <v>-26739</v>
      </c>
      <c r="R697">
        <v>89417</v>
      </c>
      <c r="S697">
        <v>26825</v>
      </c>
      <c r="T697">
        <v>8941</v>
      </c>
      <c r="U697">
        <v>5347</v>
      </c>
      <c r="V697">
        <v>3208</v>
      </c>
      <c r="W697">
        <v>2139</v>
      </c>
      <c r="X697">
        <v>10695</v>
      </c>
      <c r="Y697">
        <v>5347</v>
      </c>
      <c r="Z697">
        <v>4470</v>
      </c>
      <c r="AA697">
        <v>2682</v>
      </c>
      <c r="AB697">
        <v>1788</v>
      </c>
    </row>
    <row r="698" spans="1:28" x14ac:dyDescent="0.35">
      <c r="A698" t="s">
        <v>743</v>
      </c>
      <c r="B698" t="s">
        <v>9</v>
      </c>
      <c r="C698" t="s">
        <v>1</v>
      </c>
      <c r="D698" t="s">
        <v>10</v>
      </c>
      <c r="E698" t="s">
        <v>11</v>
      </c>
      <c r="F698">
        <v>271245</v>
      </c>
      <c r="G698">
        <v>-153527</v>
      </c>
      <c r="H698">
        <v>35906</v>
      </c>
      <c r="I698">
        <v>271245</v>
      </c>
      <c r="J698">
        <v>27124</v>
      </c>
      <c r="K698">
        <v>13562</v>
      </c>
      <c r="L698">
        <v>198364</v>
      </c>
      <c r="M698">
        <v>39672</v>
      </c>
      <c r="N698">
        <v>59509</v>
      </c>
      <c r="O698">
        <v>19836</v>
      </c>
      <c r="P698">
        <v>-79345</v>
      </c>
      <c r="Q698">
        <v>-49591</v>
      </c>
      <c r="R698">
        <v>167720</v>
      </c>
      <c r="S698">
        <v>50316</v>
      </c>
      <c r="T698">
        <v>16772</v>
      </c>
      <c r="U698">
        <v>9918</v>
      </c>
      <c r="V698">
        <v>5950</v>
      </c>
      <c r="W698">
        <v>3967</v>
      </c>
      <c r="X698">
        <v>19836</v>
      </c>
      <c r="Y698">
        <v>9918</v>
      </c>
      <c r="Z698">
        <v>8386</v>
      </c>
      <c r="AA698">
        <v>5031</v>
      </c>
      <c r="AB698">
        <v>3354</v>
      </c>
    </row>
    <row r="699" spans="1:28" x14ac:dyDescent="0.35">
      <c r="A699" t="s">
        <v>744</v>
      </c>
      <c r="B699" t="s">
        <v>9</v>
      </c>
      <c r="C699" t="s">
        <v>1</v>
      </c>
      <c r="D699" t="s">
        <v>10</v>
      </c>
      <c r="E699" t="s">
        <v>11</v>
      </c>
      <c r="F699">
        <v>173308</v>
      </c>
      <c r="G699">
        <v>-81145</v>
      </c>
      <c r="H699">
        <v>33430</v>
      </c>
      <c r="I699">
        <v>173308</v>
      </c>
      <c r="J699">
        <v>17330</v>
      </c>
      <c r="K699">
        <v>8665</v>
      </c>
      <c r="L699">
        <v>35164</v>
      </c>
      <c r="M699">
        <v>7032</v>
      </c>
      <c r="N699">
        <v>10549</v>
      </c>
      <c r="O699">
        <v>3516</v>
      </c>
      <c r="P699">
        <v>-14065</v>
      </c>
      <c r="Q699">
        <v>-8791</v>
      </c>
      <c r="R699">
        <v>39456</v>
      </c>
      <c r="S699">
        <v>11836</v>
      </c>
      <c r="T699">
        <v>3945</v>
      </c>
      <c r="U699">
        <v>1758</v>
      </c>
      <c r="V699">
        <v>1054</v>
      </c>
      <c r="W699">
        <v>703</v>
      </c>
      <c r="X699">
        <v>3516</v>
      </c>
      <c r="Y699">
        <v>1758</v>
      </c>
      <c r="Z699">
        <v>1972</v>
      </c>
      <c r="AA699">
        <v>1183</v>
      </c>
      <c r="AB699">
        <v>789</v>
      </c>
    </row>
    <row r="700" spans="1:28" x14ac:dyDescent="0.35">
      <c r="A700" t="s">
        <v>745</v>
      </c>
      <c r="B700" t="s">
        <v>9</v>
      </c>
      <c r="C700" t="s">
        <v>1</v>
      </c>
      <c r="D700" t="s">
        <v>10</v>
      </c>
      <c r="E700" t="s">
        <v>11</v>
      </c>
      <c r="F700">
        <v>392635</v>
      </c>
      <c r="G700">
        <v>-211268</v>
      </c>
      <c r="H700">
        <v>79762</v>
      </c>
      <c r="I700">
        <v>392635</v>
      </c>
      <c r="J700">
        <v>39263</v>
      </c>
      <c r="K700">
        <v>19631</v>
      </c>
      <c r="L700">
        <v>228908</v>
      </c>
      <c r="M700">
        <v>45781</v>
      </c>
      <c r="N700">
        <v>68672</v>
      </c>
      <c r="O700">
        <v>22890</v>
      </c>
      <c r="P700">
        <v>-91563</v>
      </c>
      <c r="Q700">
        <v>-57227</v>
      </c>
      <c r="R700">
        <v>193187</v>
      </c>
      <c r="S700">
        <v>57956</v>
      </c>
      <c r="T700">
        <v>19318</v>
      </c>
      <c r="U700">
        <v>11445</v>
      </c>
      <c r="V700">
        <v>6867</v>
      </c>
      <c r="W700">
        <v>4578</v>
      </c>
      <c r="X700">
        <v>22890</v>
      </c>
      <c r="Y700">
        <v>11445</v>
      </c>
      <c r="Z700">
        <v>9659</v>
      </c>
      <c r="AA700">
        <v>5795</v>
      </c>
      <c r="AB700">
        <v>3863</v>
      </c>
    </row>
    <row r="701" spans="1:28" x14ac:dyDescent="0.35">
      <c r="A701" t="s">
        <v>746</v>
      </c>
      <c r="B701" t="s">
        <v>9</v>
      </c>
      <c r="C701" t="s">
        <v>1</v>
      </c>
      <c r="D701" t="s">
        <v>10</v>
      </c>
      <c r="E701" t="s">
        <v>11</v>
      </c>
      <c r="F701">
        <v>54077</v>
      </c>
      <c r="G701">
        <v>-12934</v>
      </c>
      <c r="H701">
        <v>13871</v>
      </c>
      <c r="I701">
        <v>54077</v>
      </c>
      <c r="J701">
        <v>5407</v>
      </c>
      <c r="K701">
        <v>2703</v>
      </c>
      <c r="L701">
        <v>29817</v>
      </c>
      <c r="M701">
        <v>5963</v>
      </c>
      <c r="N701">
        <v>8945</v>
      </c>
      <c r="O701">
        <v>2981</v>
      </c>
      <c r="P701">
        <v>-11926</v>
      </c>
      <c r="Q701">
        <v>-7454</v>
      </c>
      <c r="R701">
        <v>35392</v>
      </c>
      <c r="S701">
        <v>10617</v>
      </c>
      <c r="T701">
        <v>3539</v>
      </c>
      <c r="U701">
        <v>1490</v>
      </c>
      <c r="V701">
        <v>894</v>
      </c>
      <c r="W701">
        <v>596</v>
      </c>
      <c r="X701">
        <v>2981</v>
      </c>
      <c r="Y701">
        <v>1490</v>
      </c>
      <c r="Z701">
        <v>1769</v>
      </c>
      <c r="AA701">
        <v>1061</v>
      </c>
      <c r="AB701">
        <v>707</v>
      </c>
    </row>
    <row r="702" spans="1:28" x14ac:dyDescent="0.35">
      <c r="A702" t="s">
        <v>747</v>
      </c>
      <c r="B702" t="s">
        <v>9</v>
      </c>
      <c r="C702" t="s">
        <v>1</v>
      </c>
      <c r="D702" t="s">
        <v>10</v>
      </c>
      <c r="E702" t="s">
        <v>11</v>
      </c>
      <c r="F702">
        <v>342233</v>
      </c>
      <c r="G702">
        <v>-199343</v>
      </c>
      <c r="H702">
        <v>39320</v>
      </c>
      <c r="I702">
        <v>342233</v>
      </c>
      <c r="J702">
        <v>34223</v>
      </c>
      <c r="K702">
        <v>17111</v>
      </c>
      <c r="L702">
        <v>126616</v>
      </c>
      <c r="M702">
        <v>25323</v>
      </c>
      <c r="N702">
        <v>37984</v>
      </c>
      <c r="O702">
        <v>12661</v>
      </c>
      <c r="P702">
        <v>-50646</v>
      </c>
      <c r="Q702">
        <v>-31654</v>
      </c>
      <c r="R702">
        <v>139750</v>
      </c>
      <c r="S702">
        <v>41925</v>
      </c>
      <c r="T702">
        <v>13975</v>
      </c>
      <c r="U702">
        <v>6330</v>
      </c>
      <c r="V702">
        <v>3798</v>
      </c>
      <c r="W702">
        <v>2532</v>
      </c>
      <c r="X702">
        <v>12661</v>
      </c>
      <c r="Y702">
        <v>6330</v>
      </c>
      <c r="Z702">
        <v>6987</v>
      </c>
      <c r="AA702">
        <v>4192</v>
      </c>
      <c r="AB702">
        <v>2795</v>
      </c>
    </row>
    <row r="703" spans="1:28" x14ac:dyDescent="0.35">
      <c r="A703" t="s">
        <v>748</v>
      </c>
      <c r="B703" t="s">
        <v>9</v>
      </c>
      <c r="C703" t="s">
        <v>1</v>
      </c>
      <c r="D703" t="s">
        <v>10</v>
      </c>
      <c r="E703" t="s">
        <v>11</v>
      </c>
      <c r="F703">
        <v>187575</v>
      </c>
      <c r="G703">
        <v>-103604</v>
      </c>
      <c r="H703">
        <v>26121</v>
      </c>
      <c r="I703">
        <v>187575</v>
      </c>
      <c r="J703">
        <v>18757</v>
      </c>
      <c r="K703">
        <v>9378</v>
      </c>
      <c r="L703">
        <v>104404</v>
      </c>
      <c r="M703">
        <v>20880</v>
      </c>
      <c r="N703">
        <v>31321</v>
      </c>
      <c r="O703">
        <v>10440</v>
      </c>
      <c r="P703">
        <v>-41761</v>
      </c>
      <c r="Q703">
        <v>-26101</v>
      </c>
      <c r="R703">
        <v>109710</v>
      </c>
      <c r="S703">
        <v>32913</v>
      </c>
      <c r="T703">
        <v>10971</v>
      </c>
      <c r="U703">
        <v>5220</v>
      </c>
      <c r="V703">
        <v>3132</v>
      </c>
      <c r="W703">
        <v>2088</v>
      </c>
      <c r="X703">
        <v>10440</v>
      </c>
      <c r="Y703">
        <v>5220</v>
      </c>
      <c r="Z703">
        <v>5485</v>
      </c>
      <c r="AA703">
        <v>3291</v>
      </c>
      <c r="AB703">
        <v>2194</v>
      </c>
    </row>
    <row r="704" spans="1:28" x14ac:dyDescent="0.35">
      <c r="A704" t="s">
        <v>749</v>
      </c>
      <c r="B704" t="s">
        <v>9</v>
      </c>
      <c r="C704" t="s">
        <v>1</v>
      </c>
      <c r="D704" t="s">
        <v>10</v>
      </c>
      <c r="E704" t="s">
        <v>11</v>
      </c>
      <c r="F704">
        <v>268514</v>
      </c>
      <c r="G704">
        <v>-64807</v>
      </c>
      <c r="H704">
        <v>48301</v>
      </c>
      <c r="I704">
        <v>268514</v>
      </c>
      <c r="J704">
        <v>26851</v>
      </c>
      <c r="K704">
        <v>13425</v>
      </c>
      <c r="L704">
        <v>66295</v>
      </c>
      <c r="M704">
        <v>13259</v>
      </c>
      <c r="N704">
        <v>19888</v>
      </c>
      <c r="O704">
        <v>6629</v>
      </c>
      <c r="P704">
        <v>-26518</v>
      </c>
      <c r="Q704">
        <v>-16573</v>
      </c>
      <c r="R704">
        <v>73871</v>
      </c>
      <c r="S704">
        <v>22161</v>
      </c>
      <c r="T704">
        <v>7387</v>
      </c>
      <c r="U704">
        <v>3314</v>
      </c>
      <c r="V704">
        <v>1988</v>
      </c>
      <c r="W704">
        <v>1325</v>
      </c>
      <c r="X704">
        <v>6629</v>
      </c>
      <c r="Y704">
        <v>3314</v>
      </c>
      <c r="Z704">
        <v>3693</v>
      </c>
      <c r="AA704">
        <v>2216</v>
      </c>
      <c r="AB704">
        <v>1477</v>
      </c>
    </row>
    <row r="705" spans="1:28" x14ac:dyDescent="0.35">
      <c r="A705" t="s">
        <v>750</v>
      </c>
      <c r="B705" t="s">
        <v>9</v>
      </c>
      <c r="C705" t="s">
        <v>1</v>
      </c>
      <c r="D705" t="s">
        <v>10</v>
      </c>
      <c r="E705" t="s">
        <v>11</v>
      </c>
      <c r="F705">
        <v>338110</v>
      </c>
      <c r="G705">
        <v>-75148</v>
      </c>
      <c r="H705">
        <v>126171</v>
      </c>
      <c r="I705">
        <v>338110</v>
      </c>
      <c r="J705">
        <v>33811</v>
      </c>
      <c r="K705">
        <v>16905</v>
      </c>
      <c r="L705">
        <v>162859</v>
      </c>
      <c r="M705">
        <v>32571</v>
      </c>
      <c r="N705">
        <v>48857</v>
      </c>
      <c r="O705">
        <v>16285</v>
      </c>
      <c r="P705">
        <v>-65143</v>
      </c>
      <c r="Q705">
        <v>-40714</v>
      </c>
      <c r="R705">
        <v>195269</v>
      </c>
      <c r="S705">
        <v>58580</v>
      </c>
      <c r="T705">
        <v>19526</v>
      </c>
      <c r="U705">
        <v>8142</v>
      </c>
      <c r="V705">
        <v>4885</v>
      </c>
      <c r="W705">
        <v>3257</v>
      </c>
      <c r="X705">
        <v>16285</v>
      </c>
      <c r="Y705">
        <v>8142</v>
      </c>
      <c r="Z705">
        <v>9763</v>
      </c>
      <c r="AA705">
        <v>5858</v>
      </c>
      <c r="AB705">
        <v>3905</v>
      </c>
    </row>
    <row r="706" spans="1:28" x14ac:dyDescent="0.35">
      <c r="A706" t="s">
        <v>751</v>
      </c>
      <c r="B706" t="s">
        <v>9</v>
      </c>
      <c r="C706" t="s">
        <v>1</v>
      </c>
      <c r="D706" t="s">
        <v>10</v>
      </c>
      <c r="E706" t="s">
        <v>11</v>
      </c>
      <c r="F706">
        <v>305552</v>
      </c>
      <c r="G706">
        <v>-142066</v>
      </c>
      <c r="H706">
        <v>49586</v>
      </c>
      <c r="I706">
        <v>305552</v>
      </c>
      <c r="J706">
        <v>30555</v>
      </c>
      <c r="K706">
        <v>15277</v>
      </c>
      <c r="L706">
        <v>184337</v>
      </c>
      <c r="M706">
        <v>36867</v>
      </c>
      <c r="N706">
        <v>55301</v>
      </c>
      <c r="O706">
        <v>18433</v>
      </c>
      <c r="P706">
        <v>-73734</v>
      </c>
      <c r="Q706">
        <v>-46084</v>
      </c>
      <c r="R706">
        <v>178178</v>
      </c>
      <c r="S706">
        <v>53453</v>
      </c>
      <c r="T706">
        <v>17817</v>
      </c>
      <c r="U706">
        <v>9216</v>
      </c>
      <c r="V706">
        <v>5530</v>
      </c>
      <c r="W706">
        <v>3686</v>
      </c>
      <c r="X706">
        <v>18433</v>
      </c>
      <c r="Y706">
        <v>9216</v>
      </c>
      <c r="Z706">
        <v>8908</v>
      </c>
      <c r="AA706">
        <v>5345</v>
      </c>
      <c r="AB706">
        <v>3563</v>
      </c>
    </row>
    <row r="707" spans="1:28" x14ac:dyDescent="0.35">
      <c r="A707" t="s">
        <v>752</v>
      </c>
      <c r="B707" t="s">
        <v>9</v>
      </c>
      <c r="C707" t="s">
        <v>1</v>
      </c>
      <c r="D707" t="s">
        <v>10</v>
      </c>
      <c r="E707" t="s">
        <v>11</v>
      </c>
      <c r="F707">
        <v>431295</v>
      </c>
      <c r="G707">
        <v>-132112</v>
      </c>
      <c r="H707">
        <v>79030</v>
      </c>
      <c r="I707">
        <v>431295</v>
      </c>
      <c r="J707">
        <v>43129</v>
      </c>
      <c r="K707">
        <v>21564</v>
      </c>
      <c r="L707">
        <v>252075</v>
      </c>
      <c r="M707">
        <v>50415</v>
      </c>
      <c r="N707">
        <v>75622</v>
      </c>
      <c r="O707">
        <v>25207</v>
      </c>
      <c r="P707">
        <v>-100830</v>
      </c>
      <c r="Q707">
        <v>-63018</v>
      </c>
      <c r="R707">
        <v>264159</v>
      </c>
      <c r="S707">
        <v>79247</v>
      </c>
      <c r="T707">
        <v>26415</v>
      </c>
      <c r="U707">
        <v>12603</v>
      </c>
      <c r="V707">
        <v>7562</v>
      </c>
      <c r="W707">
        <v>5041</v>
      </c>
      <c r="X707">
        <v>25207</v>
      </c>
      <c r="Y707">
        <v>12603</v>
      </c>
      <c r="Z707">
        <v>13207</v>
      </c>
      <c r="AA707">
        <v>7924</v>
      </c>
      <c r="AB707">
        <v>5283</v>
      </c>
    </row>
    <row r="708" spans="1:28" x14ac:dyDescent="0.35">
      <c r="A708" t="s">
        <v>753</v>
      </c>
      <c r="B708" t="s">
        <v>9</v>
      </c>
      <c r="C708" t="s">
        <v>1</v>
      </c>
      <c r="D708" t="s">
        <v>10</v>
      </c>
      <c r="E708" t="s">
        <v>11</v>
      </c>
      <c r="F708">
        <v>337150</v>
      </c>
      <c r="G708">
        <v>-71074</v>
      </c>
      <c r="H708">
        <v>114049</v>
      </c>
      <c r="I708">
        <v>337150</v>
      </c>
      <c r="J708">
        <v>33715</v>
      </c>
      <c r="K708">
        <v>16857</v>
      </c>
      <c r="L708">
        <v>77348</v>
      </c>
      <c r="M708">
        <v>15469</v>
      </c>
      <c r="N708">
        <v>23204</v>
      </c>
      <c r="O708">
        <v>7734</v>
      </c>
      <c r="P708">
        <v>-30939</v>
      </c>
      <c r="Q708">
        <v>-19337</v>
      </c>
      <c r="R708">
        <v>70469</v>
      </c>
      <c r="S708">
        <v>21140</v>
      </c>
      <c r="T708">
        <v>7046</v>
      </c>
      <c r="U708">
        <v>3867</v>
      </c>
      <c r="V708">
        <v>2320</v>
      </c>
      <c r="W708">
        <v>1546</v>
      </c>
      <c r="X708">
        <v>7734</v>
      </c>
      <c r="Y708">
        <v>3867</v>
      </c>
      <c r="Z708">
        <v>3523</v>
      </c>
      <c r="AA708">
        <v>2114</v>
      </c>
      <c r="AB708">
        <v>1409</v>
      </c>
    </row>
    <row r="709" spans="1:28" x14ac:dyDescent="0.35">
      <c r="A709" t="s">
        <v>754</v>
      </c>
      <c r="B709" t="s">
        <v>9</v>
      </c>
      <c r="C709" t="s">
        <v>1</v>
      </c>
      <c r="D709" t="s">
        <v>10</v>
      </c>
      <c r="E709" t="s">
        <v>11</v>
      </c>
      <c r="F709">
        <v>332452</v>
      </c>
      <c r="G709">
        <v>-189908</v>
      </c>
      <c r="H709">
        <v>118595</v>
      </c>
      <c r="I709">
        <v>332452</v>
      </c>
      <c r="J709">
        <v>33245</v>
      </c>
      <c r="K709">
        <v>16622</v>
      </c>
      <c r="L709">
        <v>254734</v>
      </c>
      <c r="M709">
        <v>50946</v>
      </c>
      <c r="N709">
        <v>76420</v>
      </c>
      <c r="O709">
        <v>25473</v>
      </c>
      <c r="P709">
        <v>-101893</v>
      </c>
      <c r="Q709">
        <v>-63683</v>
      </c>
      <c r="R709">
        <v>305137</v>
      </c>
      <c r="S709">
        <v>91541</v>
      </c>
      <c r="T709">
        <v>30513</v>
      </c>
      <c r="U709">
        <v>12736</v>
      </c>
      <c r="V709">
        <v>7642</v>
      </c>
      <c r="W709">
        <v>5094</v>
      </c>
      <c r="X709">
        <v>25473</v>
      </c>
      <c r="Y709">
        <v>12736</v>
      </c>
      <c r="Z709">
        <v>15256</v>
      </c>
      <c r="AA709">
        <v>9154</v>
      </c>
      <c r="AB709">
        <v>6102</v>
      </c>
    </row>
    <row r="710" spans="1:28" x14ac:dyDescent="0.35">
      <c r="A710" t="s">
        <v>755</v>
      </c>
      <c r="B710" t="s">
        <v>9</v>
      </c>
      <c r="C710" t="s">
        <v>1</v>
      </c>
      <c r="D710" t="s">
        <v>10</v>
      </c>
      <c r="E710" t="s">
        <v>11</v>
      </c>
      <c r="F710">
        <v>238161</v>
      </c>
      <c r="G710">
        <v>-142314</v>
      </c>
      <c r="H710">
        <v>28888</v>
      </c>
      <c r="I710">
        <v>238161</v>
      </c>
      <c r="J710">
        <v>23816</v>
      </c>
      <c r="K710">
        <v>11908</v>
      </c>
      <c r="L710">
        <v>51980</v>
      </c>
      <c r="M710">
        <v>10396</v>
      </c>
      <c r="N710">
        <v>15594</v>
      </c>
      <c r="O710">
        <v>5198</v>
      </c>
      <c r="P710">
        <v>-20792</v>
      </c>
      <c r="Q710">
        <v>-12995</v>
      </c>
      <c r="R710">
        <v>59211</v>
      </c>
      <c r="S710">
        <v>17763</v>
      </c>
      <c r="T710">
        <v>5921</v>
      </c>
      <c r="U710">
        <v>2599</v>
      </c>
      <c r="V710">
        <v>1559</v>
      </c>
      <c r="W710">
        <v>1039</v>
      </c>
      <c r="X710">
        <v>5198</v>
      </c>
      <c r="Y710">
        <v>2599</v>
      </c>
      <c r="Z710">
        <v>2960</v>
      </c>
      <c r="AA710">
        <v>1776</v>
      </c>
      <c r="AB710">
        <v>1184</v>
      </c>
    </row>
    <row r="711" spans="1:28" x14ac:dyDescent="0.35">
      <c r="A711" t="s">
        <v>756</v>
      </c>
      <c r="B711" t="s">
        <v>9</v>
      </c>
      <c r="C711" t="s">
        <v>1</v>
      </c>
      <c r="D711" t="s">
        <v>10</v>
      </c>
      <c r="E711" t="s">
        <v>11</v>
      </c>
      <c r="F711">
        <v>464910</v>
      </c>
      <c r="G711">
        <v>-185993</v>
      </c>
      <c r="H711">
        <v>139807</v>
      </c>
      <c r="I711">
        <v>464910</v>
      </c>
      <c r="J711">
        <v>46491</v>
      </c>
      <c r="K711">
        <v>23245</v>
      </c>
      <c r="L711">
        <v>142386</v>
      </c>
      <c r="M711">
        <v>28477</v>
      </c>
      <c r="N711">
        <v>42715</v>
      </c>
      <c r="O711">
        <v>14238</v>
      </c>
      <c r="P711">
        <v>-56954</v>
      </c>
      <c r="Q711">
        <v>-35596</v>
      </c>
      <c r="R711">
        <v>135271</v>
      </c>
      <c r="S711">
        <v>40581</v>
      </c>
      <c r="T711">
        <v>13527</v>
      </c>
      <c r="U711">
        <v>7119</v>
      </c>
      <c r="V711">
        <v>4271</v>
      </c>
      <c r="W711">
        <v>2847</v>
      </c>
      <c r="X711">
        <v>14238</v>
      </c>
      <c r="Y711">
        <v>7119</v>
      </c>
      <c r="Z711">
        <v>6763</v>
      </c>
      <c r="AA711">
        <v>4058</v>
      </c>
      <c r="AB711">
        <v>2705</v>
      </c>
    </row>
    <row r="712" spans="1:28" x14ac:dyDescent="0.35">
      <c r="A712" t="s">
        <v>757</v>
      </c>
      <c r="B712" t="s">
        <v>9</v>
      </c>
      <c r="C712" t="s">
        <v>1</v>
      </c>
      <c r="D712" t="s">
        <v>10</v>
      </c>
      <c r="E712" t="s">
        <v>11</v>
      </c>
      <c r="F712">
        <v>96313</v>
      </c>
      <c r="G712">
        <v>-35064</v>
      </c>
      <c r="H712">
        <v>13446</v>
      </c>
      <c r="I712">
        <v>96313</v>
      </c>
      <c r="J712">
        <v>9631</v>
      </c>
      <c r="K712">
        <v>4815</v>
      </c>
      <c r="L712">
        <v>68029</v>
      </c>
      <c r="M712">
        <v>13605</v>
      </c>
      <c r="N712">
        <v>20408</v>
      </c>
      <c r="O712">
        <v>6802</v>
      </c>
      <c r="P712">
        <v>-27211</v>
      </c>
      <c r="Q712">
        <v>-17007</v>
      </c>
      <c r="R712">
        <v>67568</v>
      </c>
      <c r="S712">
        <v>20270</v>
      </c>
      <c r="T712">
        <v>6756</v>
      </c>
      <c r="U712">
        <v>3401</v>
      </c>
      <c r="V712">
        <v>2040</v>
      </c>
      <c r="W712">
        <v>1360</v>
      </c>
      <c r="X712">
        <v>6802</v>
      </c>
      <c r="Y712">
        <v>3401</v>
      </c>
      <c r="Z712">
        <v>3378</v>
      </c>
      <c r="AA712">
        <v>2027</v>
      </c>
      <c r="AB712">
        <v>1351</v>
      </c>
    </row>
    <row r="713" spans="1:28" x14ac:dyDescent="0.35">
      <c r="A713" t="s">
        <v>758</v>
      </c>
      <c r="B713" t="s">
        <v>9</v>
      </c>
      <c r="C713" t="s">
        <v>1</v>
      </c>
      <c r="D713" t="s">
        <v>10</v>
      </c>
      <c r="E713" t="s">
        <v>11</v>
      </c>
      <c r="F713">
        <v>119228</v>
      </c>
      <c r="G713">
        <v>-59890</v>
      </c>
      <c r="H713">
        <v>46712</v>
      </c>
      <c r="I713">
        <v>119228</v>
      </c>
      <c r="J713">
        <v>11922</v>
      </c>
      <c r="K713">
        <v>5961</v>
      </c>
      <c r="L713">
        <v>25258</v>
      </c>
      <c r="M713">
        <v>5051</v>
      </c>
      <c r="N713">
        <v>7577</v>
      </c>
      <c r="O713">
        <v>2525</v>
      </c>
      <c r="P713">
        <v>-10103</v>
      </c>
      <c r="Q713">
        <v>-6314</v>
      </c>
      <c r="R713">
        <v>23325</v>
      </c>
      <c r="S713">
        <v>6997</v>
      </c>
      <c r="T713">
        <v>2332</v>
      </c>
      <c r="U713">
        <v>1262</v>
      </c>
      <c r="V713">
        <v>757</v>
      </c>
      <c r="W713">
        <v>505</v>
      </c>
      <c r="X713">
        <v>2525</v>
      </c>
      <c r="Y713">
        <v>1262</v>
      </c>
      <c r="Z713">
        <v>1166</v>
      </c>
      <c r="AA713">
        <v>699</v>
      </c>
      <c r="AB713">
        <v>466</v>
      </c>
    </row>
    <row r="714" spans="1:28" x14ac:dyDescent="0.35">
      <c r="A714" t="s">
        <v>759</v>
      </c>
      <c r="B714" t="s">
        <v>9</v>
      </c>
      <c r="C714" t="s">
        <v>1</v>
      </c>
      <c r="D714" t="s">
        <v>10</v>
      </c>
      <c r="E714" t="s">
        <v>11</v>
      </c>
      <c r="F714">
        <v>205328</v>
      </c>
      <c r="G714">
        <v>-50854</v>
      </c>
      <c r="H714">
        <v>52572</v>
      </c>
      <c r="I714">
        <v>205328</v>
      </c>
      <c r="J714">
        <v>20532</v>
      </c>
      <c r="K714">
        <v>10266</v>
      </c>
      <c r="L714">
        <v>112616</v>
      </c>
      <c r="M714">
        <v>22523</v>
      </c>
      <c r="N714">
        <v>33784</v>
      </c>
      <c r="O714">
        <v>11261</v>
      </c>
      <c r="P714">
        <v>-45046</v>
      </c>
      <c r="Q714">
        <v>-28154</v>
      </c>
      <c r="R714">
        <v>125563</v>
      </c>
      <c r="S714">
        <v>37668</v>
      </c>
      <c r="T714">
        <v>12556</v>
      </c>
      <c r="U714">
        <v>5630</v>
      </c>
      <c r="V714">
        <v>3378</v>
      </c>
      <c r="W714">
        <v>2252</v>
      </c>
      <c r="X714">
        <v>11261</v>
      </c>
      <c r="Y714">
        <v>5630</v>
      </c>
      <c r="Z714">
        <v>6278</v>
      </c>
      <c r="AA714">
        <v>3766</v>
      </c>
      <c r="AB714">
        <v>2511</v>
      </c>
    </row>
    <row r="715" spans="1:28" x14ac:dyDescent="0.35">
      <c r="A715" t="s">
        <v>760</v>
      </c>
      <c r="B715" t="s">
        <v>9</v>
      </c>
      <c r="C715" t="s">
        <v>1</v>
      </c>
      <c r="D715" t="s">
        <v>10</v>
      </c>
      <c r="E715" t="s">
        <v>11</v>
      </c>
      <c r="F715">
        <v>466851</v>
      </c>
      <c r="G715">
        <v>-237123</v>
      </c>
      <c r="H715">
        <v>59414</v>
      </c>
      <c r="I715">
        <v>466851</v>
      </c>
      <c r="J715">
        <v>46685</v>
      </c>
      <c r="K715">
        <v>23342</v>
      </c>
      <c r="L715">
        <v>177488</v>
      </c>
      <c r="M715">
        <v>35497</v>
      </c>
      <c r="N715">
        <v>53246</v>
      </c>
      <c r="O715">
        <v>17748</v>
      </c>
      <c r="P715">
        <v>-70995</v>
      </c>
      <c r="Q715">
        <v>-44372</v>
      </c>
      <c r="R715">
        <v>201224</v>
      </c>
      <c r="S715">
        <v>60367</v>
      </c>
      <c r="T715">
        <v>20122</v>
      </c>
      <c r="U715">
        <v>8874</v>
      </c>
      <c r="V715">
        <v>5324</v>
      </c>
      <c r="W715">
        <v>3549</v>
      </c>
      <c r="X715">
        <v>17748</v>
      </c>
      <c r="Y715">
        <v>8874</v>
      </c>
      <c r="Z715">
        <v>10061</v>
      </c>
      <c r="AA715">
        <v>6036</v>
      </c>
      <c r="AB715">
        <v>4024</v>
      </c>
    </row>
    <row r="716" spans="1:28" x14ac:dyDescent="0.35">
      <c r="A716" t="s">
        <v>761</v>
      </c>
      <c r="B716" t="s">
        <v>9</v>
      </c>
      <c r="C716" t="s">
        <v>1</v>
      </c>
      <c r="D716" t="s">
        <v>10</v>
      </c>
      <c r="E716" t="s">
        <v>11</v>
      </c>
      <c r="F716">
        <v>467181</v>
      </c>
      <c r="G716">
        <v>-216071</v>
      </c>
      <c r="H716">
        <v>225375</v>
      </c>
      <c r="I716">
        <v>467181</v>
      </c>
      <c r="J716">
        <v>46718</v>
      </c>
      <c r="K716">
        <v>23359</v>
      </c>
      <c r="L716">
        <v>368852</v>
      </c>
      <c r="M716">
        <v>73770</v>
      </c>
      <c r="N716">
        <v>110655</v>
      </c>
      <c r="O716">
        <v>36885</v>
      </c>
      <c r="P716">
        <v>-147540</v>
      </c>
      <c r="Q716">
        <v>-92213</v>
      </c>
      <c r="R716">
        <v>316809</v>
      </c>
      <c r="S716">
        <v>95042</v>
      </c>
      <c r="T716">
        <v>31680</v>
      </c>
      <c r="U716">
        <v>18442</v>
      </c>
      <c r="V716">
        <v>11065</v>
      </c>
      <c r="W716">
        <v>7377</v>
      </c>
      <c r="X716">
        <v>36885</v>
      </c>
      <c r="Y716">
        <v>18442</v>
      </c>
      <c r="Z716">
        <v>15840</v>
      </c>
      <c r="AA716">
        <v>9504</v>
      </c>
      <c r="AB716">
        <v>6336</v>
      </c>
    </row>
    <row r="717" spans="1:28" x14ac:dyDescent="0.35">
      <c r="A717" t="s">
        <v>762</v>
      </c>
      <c r="B717" t="s">
        <v>9</v>
      </c>
      <c r="C717" t="s">
        <v>1</v>
      </c>
      <c r="D717" t="s">
        <v>10</v>
      </c>
      <c r="E717" t="s">
        <v>11</v>
      </c>
      <c r="F717">
        <v>498329</v>
      </c>
      <c r="G717">
        <v>-291275</v>
      </c>
      <c r="H717">
        <v>96339</v>
      </c>
      <c r="I717">
        <v>498329</v>
      </c>
      <c r="J717">
        <v>49832</v>
      </c>
      <c r="K717">
        <v>24916</v>
      </c>
      <c r="L717">
        <v>330204</v>
      </c>
      <c r="M717">
        <v>66040</v>
      </c>
      <c r="N717">
        <v>99061</v>
      </c>
      <c r="O717">
        <v>33020</v>
      </c>
      <c r="P717">
        <v>-132081</v>
      </c>
      <c r="Q717">
        <v>-82551</v>
      </c>
      <c r="R717">
        <v>350596</v>
      </c>
      <c r="S717">
        <v>105178</v>
      </c>
      <c r="T717">
        <v>35059</v>
      </c>
      <c r="U717">
        <v>16510</v>
      </c>
      <c r="V717">
        <v>9906</v>
      </c>
      <c r="W717">
        <v>6604</v>
      </c>
      <c r="X717">
        <v>33020</v>
      </c>
      <c r="Y717">
        <v>16510</v>
      </c>
      <c r="Z717">
        <v>17529</v>
      </c>
      <c r="AA717">
        <v>10517</v>
      </c>
      <c r="AB717">
        <v>7011</v>
      </c>
    </row>
    <row r="718" spans="1:28" x14ac:dyDescent="0.35">
      <c r="A718" t="s">
        <v>763</v>
      </c>
      <c r="B718" t="s">
        <v>9</v>
      </c>
      <c r="C718" t="s">
        <v>1</v>
      </c>
      <c r="D718" t="s">
        <v>10</v>
      </c>
      <c r="E718" t="s">
        <v>11</v>
      </c>
      <c r="F718">
        <v>475310</v>
      </c>
      <c r="G718">
        <v>-262228</v>
      </c>
      <c r="H718">
        <v>110211</v>
      </c>
      <c r="I718">
        <v>475310</v>
      </c>
      <c r="J718">
        <v>47531</v>
      </c>
      <c r="K718">
        <v>23765</v>
      </c>
      <c r="L718">
        <v>200411</v>
      </c>
      <c r="M718">
        <v>40082</v>
      </c>
      <c r="N718">
        <v>60123</v>
      </c>
      <c r="O718">
        <v>20041</v>
      </c>
      <c r="P718">
        <v>-80164</v>
      </c>
      <c r="Q718">
        <v>-50102</v>
      </c>
      <c r="R718">
        <v>162304</v>
      </c>
      <c r="S718">
        <v>48691</v>
      </c>
      <c r="T718">
        <v>16230</v>
      </c>
      <c r="U718">
        <v>10020</v>
      </c>
      <c r="V718">
        <v>6012</v>
      </c>
      <c r="W718">
        <v>4008</v>
      </c>
      <c r="X718">
        <v>20041</v>
      </c>
      <c r="Y718">
        <v>10020</v>
      </c>
      <c r="Z718">
        <v>8115</v>
      </c>
      <c r="AA718">
        <v>4869</v>
      </c>
      <c r="AB718">
        <v>3246</v>
      </c>
    </row>
    <row r="719" spans="1:28" x14ac:dyDescent="0.35">
      <c r="A719" t="s">
        <v>764</v>
      </c>
      <c r="B719" t="s">
        <v>9</v>
      </c>
      <c r="C719" t="s">
        <v>1</v>
      </c>
      <c r="D719" t="s">
        <v>10</v>
      </c>
      <c r="E719" t="s">
        <v>11</v>
      </c>
      <c r="F719">
        <v>328967</v>
      </c>
      <c r="G719">
        <v>-196973</v>
      </c>
      <c r="H719">
        <v>145091</v>
      </c>
      <c r="I719">
        <v>328967</v>
      </c>
      <c r="J719">
        <v>32896</v>
      </c>
      <c r="K719">
        <v>16448</v>
      </c>
      <c r="L719">
        <v>186558</v>
      </c>
      <c r="M719">
        <v>37311</v>
      </c>
      <c r="N719">
        <v>55967</v>
      </c>
      <c r="O719">
        <v>18655</v>
      </c>
      <c r="P719">
        <v>-74623</v>
      </c>
      <c r="Q719">
        <v>-46639</v>
      </c>
      <c r="R719">
        <v>152609</v>
      </c>
      <c r="S719">
        <v>45782</v>
      </c>
      <c r="T719">
        <v>15260</v>
      </c>
      <c r="U719">
        <v>9327</v>
      </c>
      <c r="V719">
        <v>5596</v>
      </c>
      <c r="W719">
        <v>3731</v>
      </c>
      <c r="X719">
        <v>18655</v>
      </c>
      <c r="Y719">
        <v>9327</v>
      </c>
      <c r="Z719">
        <v>7630</v>
      </c>
      <c r="AA719">
        <v>4578</v>
      </c>
      <c r="AB719">
        <v>3052</v>
      </c>
    </row>
    <row r="720" spans="1:28" x14ac:dyDescent="0.35">
      <c r="A720" t="s">
        <v>765</v>
      </c>
      <c r="B720" t="s">
        <v>9</v>
      </c>
      <c r="C720" t="s">
        <v>1</v>
      </c>
      <c r="D720" t="s">
        <v>10</v>
      </c>
      <c r="E720" t="s">
        <v>11</v>
      </c>
      <c r="F720">
        <v>367164</v>
      </c>
      <c r="G720">
        <v>-150575</v>
      </c>
      <c r="H720">
        <v>108941</v>
      </c>
      <c r="I720">
        <v>367164</v>
      </c>
      <c r="J720">
        <v>36716</v>
      </c>
      <c r="K720">
        <v>18358</v>
      </c>
      <c r="L720">
        <v>121448</v>
      </c>
      <c r="M720">
        <v>24289</v>
      </c>
      <c r="N720">
        <v>36434</v>
      </c>
      <c r="O720">
        <v>12144</v>
      </c>
      <c r="P720">
        <v>-48579</v>
      </c>
      <c r="Q720">
        <v>-30362</v>
      </c>
      <c r="R720">
        <v>101430</v>
      </c>
      <c r="S720">
        <v>30429</v>
      </c>
      <c r="T720">
        <v>10143</v>
      </c>
      <c r="U720">
        <v>6072</v>
      </c>
      <c r="V720">
        <v>3643</v>
      </c>
      <c r="W720">
        <v>2428</v>
      </c>
      <c r="X720">
        <v>12144</v>
      </c>
      <c r="Y720">
        <v>6072</v>
      </c>
      <c r="Z720">
        <v>5071</v>
      </c>
      <c r="AA720">
        <v>3042</v>
      </c>
      <c r="AB720">
        <v>2028</v>
      </c>
    </row>
    <row r="721" spans="1:28" x14ac:dyDescent="0.35">
      <c r="A721" t="s">
        <v>766</v>
      </c>
      <c r="B721" t="s">
        <v>9</v>
      </c>
      <c r="C721" t="s">
        <v>1</v>
      </c>
      <c r="D721" t="s">
        <v>10</v>
      </c>
      <c r="E721" t="s">
        <v>11</v>
      </c>
      <c r="F721">
        <v>347073</v>
      </c>
      <c r="G721">
        <v>-76272</v>
      </c>
      <c r="H721">
        <v>170002</v>
      </c>
      <c r="I721">
        <v>347073</v>
      </c>
      <c r="J721">
        <v>34707</v>
      </c>
      <c r="K721">
        <v>17353</v>
      </c>
      <c r="L721">
        <v>198552</v>
      </c>
      <c r="M721">
        <v>39710</v>
      </c>
      <c r="N721">
        <v>59565</v>
      </c>
      <c r="O721">
        <v>19855</v>
      </c>
      <c r="P721">
        <v>-79420</v>
      </c>
      <c r="Q721">
        <v>-49638</v>
      </c>
      <c r="R721">
        <v>192174</v>
      </c>
      <c r="S721">
        <v>57652</v>
      </c>
      <c r="T721">
        <v>19217</v>
      </c>
      <c r="U721">
        <v>9927</v>
      </c>
      <c r="V721">
        <v>5956</v>
      </c>
      <c r="W721">
        <v>3971</v>
      </c>
      <c r="X721">
        <v>19855</v>
      </c>
      <c r="Y721">
        <v>9927</v>
      </c>
      <c r="Z721">
        <v>9608</v>
      </c>
      <c r="AA721">
        <v>5765</v>
      </c>
      <c r="AB721">
        <v>3843</v>
      </c>
    </row>
    <row r="722" spans="1:28" x14ac:dyDescent="0.35">
      <c r="A722" t="s">
        <v>767</v>
      </c>
      <c r="B722" t="s">
        <v>9</v>
      </c>
      <c r="C722" t="s">
        <v>1</v>
      </c>
      <c r="D722" t="s">
        <v>10</v>
      </c>
      <c r="E722" t="s">
        <v>11</v>
      </c>
      <c r="F722">
        <v>433465</v>
      </c>
      <c r="G722">
        <v>-206057</v>
      </c>
      <c r="H722">
        <v>143941</v>
      </c>
      <c r="I722">
        <v>433465</v>
      </c>
      <c r="J722">
        <v>43346</v>
      </c>
      <c r="K722">
        <v>21673</v>
      </c>
      <c r="L722">
        <v>172432</v>
      </c>
      <c r="M722">
        <v>34486</v>
      </c>
      <c r="N722">
        <v>51729</v>
      </c>
      <c r="O722">
        <v>17243</v>
      </c>
      <c r="P722">
        <v>-68972</v>
      </c>
      <c r="Q722">
        <v>-43108</v>
      </c>
      <c r="R722">
        <v>175141</v>
      </c>
      <c r="S722">
        <v>52542</v>
      </c>
      <c r="T722">
        <v>17514</v>
      </c>
      <c r="U722">
        <v>8621</v>
      </c>
      <c r="V722">
        <v>5172</v>
      </c>
      <c r="W722">
        <v>3448</v>
      </c>
      <c r="X722">
        <v>17243</v>
      </c>
      <c r="Y722">
        <v>8621</v>
      </c>
      <c r="Z722">
        <v>8757</v>
      </c>
      <c r="AA722">
        <v>5254</v>
      </c>
      <c r="AB722">
        <v>3502</v>
      </c>
    </row>
    <row r="723" spans="1:28" x14ac:dyDescent="0.35">
      <c r="A723" t="s">
        <v>768</v>
      </c>
      <c r="B723" t="s">
        <v>9</v>
      </c>
      <c r="C723" t="s">
        <v>1</v>
      </c>
      <c r="D723" t="s">
        <v>10</v>
      </c>
      <c r="E723" t="s">
        <v>11</v>
      </c>
      <c r="F723">
        <v>253323</v>
      </c>
      <c r="G723">
        <v>-127870</v>
      </c>
      <c r="H723">
        <v>102584</v>
      </c>
      <c r="I723">
        <v>253323</v>
      </c>
      <c r="J723">
        <v>25332</v>
      </c>
      <c r="K723">
        <v>12666</v>
      </c>
      <c r="L723">
        <v>88772</v>
      </c>
      <c r="M723">
        <v>17754</v>
      </c>
      <c r="N723">
        <v>26631</v>
      </c>
      <c r="O723">
        <v>8877</v>
      </c>
      <c r="P723">
        <v>-35508</v>
      </c>
      <c r="Q723">
        <v>-22193</v>
      </c>
      <c r="R723">
        <v>95970</v>
      </c>
      <c r="S723">
        <v>28791</v>
      </c>
      <c r="T723">
        <v>9597</v>
      </c>
      <c r="U723">
        <v>4438</v>
      </c>
      <c r="V723">
        <v>2663</v>
      </c>
      <c r="W723">
        <v>1775</v>
      </c>
      <c r="X723">
        <v>8877</v>
      </c>
      <c r="Y723">
        <v>4438</v>
      </c>
      <c r="Z723">
        <v>4798</v>
      </c>
      <c r="AA723">
        <v>2879</v>
      </c>
      <c r="AB723">
        <v>1919</v>
      </c>
    </row>
    <row r="724" spans="1:28" x14ac:dyDescent="0.35">
      <c r="A724" t="s">
        <v>769</v>
      </c>
      <c r="B724" t="s">
        <v>9</v>
      </c>
      <c r="C724" t="s">
        <v>1</v>
      </c>
      <c r="D724" t="s">
        <v>10</v>
      </c>
      <c r="E724" t="s">
        <v>11</v>
      </c>
      <c r="F724">
        <v>439775</v>
      </c>
      <c r="G724">
        <v>-97280</v>
      </c>
      <c r="H724">
        <v>205440</v>
      </c>
      <c r="I724">
        <v>439775</v>
      </c>
      <c r="J724">
        <v>43977</v>
      </c>
      <c r="K724">
        <v>21988</v>
      </c>
      <c r="L724">
        <v>99267</v>
      </c>
      <c r="M724">
        <v>19853</v>
      </c>
      <c r="N724">
        <v>29780</v>
      </c>
      <c r="O724">
        <v>9926</v>
      </c>
      <c r="P724">
        <v>-39706</v>
      </c>
      <c r="Q724">
        <v>-24816</v>
      </c>
      <c r="R724">
        <v>105703</v>
      </c>
      <c r="S724">
        <v>31710</v>
      </c>
      <c r="T724">
        <v>10570</v>
      </c>
      <c r="U724">
        <v>4963</v>
      </c>
      <c r="V724">
        <v>2978</v>
      </c>
      <c r="W724">
        <v>1985</v>
      </c>
      <c r="X724">
        <v>9926</v>
      </c>
      <c r="Y724">
        <v>4963</v>
      </c>
      <c r="Z724">
        <v>5285</v>
      </c>
      <c r="AA724">
        <v>3171</v>
      </c>
      <c r="AB724">
        <v>2114</v>
      </c>
    </row>
    <row r="725" spans="1:28" x14ac:dyDescent="0.35">
      <c r="A725" t="s">
        <v>770</v>
      </c>
      <c r="B725" t="s">
        <v>9</v>
      </c>
      <c r="C725" t="s">
        <v>1</v>
      </c>
      <c r="D725" t="s">
        <v>10</v>
      </c>
      <c r="E725" t="s">
        <v>11</v>
      </c>
      <c r="F725">
        <v>54273</v>
      </c>
      <c r="G725">
        <v>-12903</v>
      </c>
      <c r="H725">
        <v>19233</v>
      </c>
      <c r="I725">
        <v>54273</v>
      </c>
      <c r="J725">
        <v>5427</v>
      </c>
      <c r="K725">
        <v>2713</v>
      </c>
      <c r="L725">
        <v>21085</v>
      </c>
      <c r="M725">
        <v>4217</v>
      </c>
      <c r="N725">
        <v>6325</v>
      </c>
      <c r="O725">
        <v>2108</v>
      </c>
      <c r="P725">
        <v>-8434</v>
      </c>
      <c r="Q725">
        <v>-5271</v>
      </c>
      <c r="R725">
        <v>24044</v>
      </c>
      <c r="S725">
        <v>7213</v>
      </c>
      <c r="T725">
        <v>2404</v>
      </c>
      <c r="U725">
        <v>1054</v>
      </c>
      <c r="V725">
        <v>632</v>
      </c>
      <c r="W725">
        <v>421</v>
      </c>
      <c r="X725">
        <v>2108</v>
      </c>
      <c r="Y725">
        <v>1054</v>
      </c>
      <c r="Z725">
        <v>1202</v>
      </c>
      <c r="AA725">
        <v>721</v>
      </c>
      <c r="AB725">
        <v>480</v>
      </c>
    </row>
    <row r="726" spans="1:28" x14ac:dyDescent="0.35">
      <c r="A726" t="s">
        <v>771</v>
      </c>
      <c r="B726" t="s">
        <v>9</v>
      </c>
      <c r="C726" t="s">
        <v>1</v>
      </c>
      <c r="D726" t="s">
        <v>10</v>
      </c>
      <c r="E726" t="s">
        <v>11</v>
      </c>
      <c r="F726">
        <v>428160</v>
      </c>
      <c r="G726">
        <v>-119561</v>
      </c>
      <c r="H726">
        <v>212096</v>
      </c>
      <c r="I726">
        <v>428160</v>
      </c>
      <c r="J726">
        <v>42816</v>
      </c>
      <c r="K726">
        <v>21408</v>
      </c>
      <c r="L726">
        <v>342287</v>
      </c>
      <c r="M726">
        <v>68457</v>
      </c>
      <c r="N726">
        <v>102686</v>
      </c>
      <c r="O726">
        <v>34228</v>
      </c>
      <c r="P726">
        <v>-136914</v>
      </c>
      <c r="Q726">
        <v>-85571</v>
      </c>
      <c r="R726">
        <v>298701</v>
      </c>
      <c r="S726">
        <v>89610</v>
      </c>
      <c r="T726">
        <v>29870</v>
      </c>
      <c r="U726">
        <v>17114</v>
      </c>
      <c r="V726">
        <v>10268</v>
      </c>
      <c r="W726">
        <v>6845</v>
      </c>
      <c r="X726">
        <v>34228</v>
      </c>
      <c r="Y726">
        <v>17114</v>
      </c>
      <c r="Z726">
        <v>14935</v>
      </c>
      <c r="AA726">
        <v>8961</v>
      </c>
      <c r="AB726">
        <v>5974</v>
      </c>
    </row>
    <row r="727" spans="1:28" x14ac:dyDescent="0.35">
      <c r="A727" t="s">
        <v>772</v>
      </c>
      <c r="B727" t="s">
        <v>9</v>
      </c>
      <c r="C727" t="s">
        <v>1</v>
      </c>
      <c r="D727" t="s">
        <v>10</v>
      </c>
      <c r="E727" t="s">
        <v>11</v>
      </c>
      <c r="F727">
        <v>486893</v>
      </c>
      <c r="G727">
        <v>-217553</v>
      </c>
      <c r="H727">
        <v>210435</v>
      </c>
      <c r="I727">
        <v>486893</v>
      </c>
      <c r="J727">
        <v>48689</v>
      </c>
      <c r="K727">
        <v>24344</v>
      </c>
      <c r="L727">
        <v>120418</v>
      </c>
      <c r="M727">
        <v>24083</v>
      </c>
      <c r="N727">
        <v>36125</v>
      </c>
      <c r="O727">
        <v>12041</v>
      </c>
      <c r="P727">
        <v>-48167</v>
      </c>
      <c r="Q727">
        <v>-30104</v>
      </c>
      <c r="R727">
        <v>137462</v>
      </c>
      <c r="S727">
        <v>41238</v>
      </c>
      <c r="T727">
        <v>13746</v>
      </c>
      <c r="U727">
        <v>6020</v>
      </c>
      <c r="V727">
        <v>3612</v>
      </c>
      <c r="W727">
        <v>2408</v>
      </c>
      <c r="X727">
        <v>12041</v>
      </c>
      <c r="Y727">
        <v>6020</v>
      </c>
      <c r="Z727">
        <v>6873</v>
      </c>
      <c r="AA727">
        <v>4123</v>
      </c>
      <c r="AB727">
        <v>2749</v>
      </c>
    </row>
    <row r="728" spans="1:28" x14ac:dyDescent="0.35">
      <c r="A728" t="s">
        <v>773</v>
      </c>
      <c r="B728" t="s">
        <v>9</v>
      </c>
      <c r="C728" t="s">
        <v>1</v>
      </c>
      <c r="D728" t="s">
        <v>10</v>
      </c>
      <c r="E728" t="s">
        <v>11</v>
      </c>
      <c r="F728">
        <v>93062</v>
      </c>
      <c r="G728">
        <v>-45151</v>
      </c>
      <c r="H728">
        <v>41025</v>
      </c>
      <c r="I728">
        <v>93062</v>
      </c>
      <c r="J728">
        <v>9306</v>
      </c>
      <c r="K728">
        <v>4653</v>
      </c>
      <c r="L728">
        <v>21889</v>
      </c>
      <c r="M728">
        <v>4377</v>
      </c>
      <c r="N728">
        <v>6566</v>
      </c>
      <c r="O728">
        <v>2188</v>
      </c>
      <c r="P728">
        <v>-8755</v>
      </c>
      <c r="Q728">
        <v>-5472</v>
      </c>
      <c r="R728">
        <v>19597</v>
      </c>
      <c r="S728">
        <v>5879</v>
      </c>
      <c r="T728">
        <v>1959</v>
      </c>
      <c r="U728">
        <v>1094</v>
      </c>
      <c r="V728">
        <v>656</v>
      </c>
      <c r="W728">
        <v>437</v>
      </c>
      <c r="X728">
        <v>2188</v>
      </c>
      <c r="Y728">
        <v>1094</v>
      </c>
      <c r="Z728">
        <v>979</v>
      </c>
      <c r="AA728">
        <v>587</v>
      </c>
      <c r="AB728">
        <v>391</v>
      </c>
    </row>
    <row r="729" spans="1:28" x14ac:dyDescent="0.35">
      <c r="A729" t="s">
        <v>774</v>
      </c>
      <c r="B729" t="s">
        <v>9</v>
      </c>
      <c r="C729" t="s">
        <v>1</v>
      </c>
      <c r="D729" t="s">
        <v>10</v>
      </c>
      <c r="E729" t="s">
        <v>11</v>
      </c>
      <c r="F729">
        <v>100636</v>
      </c>
      <c r="G729">
        <v>-51819</v>
      </c>
      <c r="H729">
        <v>18976</v>
      </c>
      <c r="I729">
        <v>100636</v>
      </c>
      <c r="J729">
        <v>10063</v>
      </c>
      <c r="K729">
        <v>5031</v>
      </c>
      <c r="L729">
        <v>50476</v>
      </c>
      <c r="M729">
        <v>10095</v>
      </c>
      <c r="N729">
        <v>15142</v>
      </c>
      <c r="O729">
        <v>5047</v>
      </c>
      <c r="P729">
        <v>-20190</v>
      </c>
      <c r="Q729">
        <v>-12619</v>
      </c>
      <c r="R729">
        <v>49231</v>
      </c>
      <c r="S729">
        <v>14769</v>
      </c>
      <c r="T729">
        <v>4923</v>
      </c>
      <c r="U729">
        <v>2523</v>
      </c>
      <c r="V729">
        <v>1514</v>
      </c>
      <c r="W729">
        <v>1009</v>
      </c>
      <c r="X729">
        <v>5047</v>
      </c>
      <c r="Y729">
        <v>2523</v>
      </c>
      <c r="Z729">
        <v>2461</v>
      </c>
      <c r="AA729">
        <v>1476</v>
      </c>
      <c r="AB729">
        <v>984</v>
      </c>
    </row>
    <row r="730" spans="1:28" x14ac:dyDescent="0.35">
      <c r="A730" t="s">
        <v>775</v>
      </c>
      <c r="B730" t="s">
        <v>9</v>
      </c>
      <c r="C730" t="s">
        <v>1</v>
      </c>
      <c r="D730" t="s">
        <v>10</v>
      </c>
      <c r="E730" t="s">
        <v>11</v>
      </c>
      <c r="F730">
        <v>410558</v>
      </c>
      <c r="G730">
        <v>-82570</v>
      </c>
      <c r="H730">
        <v>163996</v>
      </c>
      <c r="I730">
        <v>410558</v>
      </c>
      <c r="J730">
        <v>41055</v>
      </c>
      <c r="K730">
        <v>20527</v>
      </c>
      <c r="L730">
        <v>316477</v>
      </c>
      <c r="M730">
        <v>63295</v>
      </c>
      <c r="N730">
        <v>94943</v>
      </c>
      <c r="O730">
        <v>31647</v>
      </c>
      <c r="P730">
        <v>-126590</v>
      </c>
      <c r="Q730">
        <v>-79119</v>
      </c>
      <c r="R730">
        <v>262686</v>
      </c>
      <c r="S730">
        <v>78805</v>
      </c>
      <c r="T730">
        <v>26268</v>
      </c>
      <c r="U730">
        <v>15823</v>
      </c>
      <c r="V730">
        <v>9494</v>
      </c>
      <c r="W730">
        <v>6329</v>
      </c>
      <c r="X730">
        <v>31647</v>
      </c>
      <c r="Y730">
        <v>15823</v>
      </c>
      <c r="Z730">
        <v>13134</v>
      </c>
      <c r="AA730">
        <v>7880</v>
      </c>
      <c r="AB730">
        <v>5253</v>
      </c>
    </row>
    <row r="731" spans="1:28" x14ac:dyDescent="0.35">
      <c r="A731" t="s">
        <v>776</v>
      </c>
      <c r="B731" t="s">
        <v>9</v>
      </c>
      <c r="C731" t="s">
        <v>1</v>
      </c>
      <c r="D731" t="s">
        <v>10</v>
      </c>
      <c r="E731" t="s">
        <v>11</v>
      </c>
      <c r="F731">
        <v>386314</v>
      </c>
      <c r="G731">
        <v>-173247</v>
      </c>
      <c r="H731">
        <v>117002</v>
      </c>
      <c r="I731">
        <v>386314</v>
      </c>
      <c r="J731">
        <v>38631</v>
      </c>
      <c r="K731">
        <v>19315</v>
      </c>
      <c r="L731">
        <v>144851</v>
      </c>
      <c r="M731">
        <v>28970</v>
      </c>
      <c r="N731">
        <v>43455</v>
      </c>
      <c r="O731">
        <v>14485</v>
      </c>
      <c r="P731">
        <v>-57940</v>
      </c>
      <c r="Q731">
        <v>-36212</v>
      </c>
      <c r="R731">
        <v>144009</v>
      </c>
      <c r="S731">
        <v>43202</v>
      </c>
      <c r="T731">
        <v>14400</v>
      </c>
      <c r="U731">
        <v>7242</v>
      </c>
      <c r="V731">
        <v>4345</v>
      </c>
      <c r="W731">
        <v>2897</v>
      </c>
      <c r="X731">
        <v>14485</v>
      </c>
      <c r="Y731">
        <v>7242</v>
      </c>
      <c r="Z731">
        <v>7200</v>
      </c>
      <c r="AA731">
        <v>4320</v>
      </c>
      <c r="AB731">
        <v>2880</v>
      </c>
    </row>
    <row r="732" spans="1:28" x14ac:dyDescent="0.35">
      <c r="A732" t="s">
        <v>777</v>
      </c>
      <c r="B732" t="s">
        <v>9</v>
      </c>
      <c r="C732" t="s">
        <v>1</v>
      </c>
      <c r="D732" t="s">
        <v>10</v>
      </c>
      <c r="E732" t="s">
        <v>11</v>
      </c>
      <c r="F732">
        <v>341251</v>
      </c>
      <c r="G732">
        <v>-112575</v>
      </c>
      <c r="H732">
        <v>38430</v>
      </c>
      <c r="I732">
        <v>341251</v>
      </c>
      <c r="J732">
        <v>34125</v>
      </c>
      <c r="K732">
        <v>17062</v>
      </c>
      <c r="L732">
        <v>251664</v>
      </c>
      <c r="M732">
        <v>50332</v>
      </c>
      <c r="N732">
        <v>75499</v>
      </c>
      <c r="O732">
        <v>25166</v>
      </c>
      <c r="P732">
        <v>-100665</v>
      </c>
      <c r="Q732">
        <v>-62916</v>
      </c>
      <c r="R732">
        <v>284360</v>
      </c>
      <c r="S732">
        <v>85308</v>
      </c>
      <c r="T732">
        <v>28436</v>
      </c>
      <c r="U732">
        <v>12583</v>
      </c>
      <c r="V732">
        <v>7549</v>
      </c>
      <c r="W732">
        <v>5033</v>
      </c>
      <c r="X732">
        <v>25166</v>
      </c>
      <c r="Y732">
        <v>12583</v>
      </c>
      <c r="Z732">
        <v>14218</v>
      </c>
      <c r="AA732">
        <v>8530</v>
      </c>
      <c r="AB732">
        <v>5687</v>
      </c>
    </row>
    <row r="733" spans="1:28" x14ac:dyDescent="0.35">
      <c r="A733" t="s">
        <v>778</v>
      </c>
      <c r="B733" t="s">
        <v>9</v>
      </c>
      <c r="C733" t="s">
        <v>1</v>
      </c>
      <c r="D733" t="s">
        <v>10</v>
      </c>
      <c r="E733" t="s">
        <v>11</v>
      </c>
      <c r="F733">
        <v>282267</v>
      </c>
      <c r="G733">
        <v>-127296</v>
      </c>
      <c r="H733">
        <v>88493</v>
      </c>
      <c r="I733">
        <v>282267</v>
      </c>
      <c r="J733">
        <v>28226</v>
      </c>
      <c r="K733">
        <v>14113</v>
      </c>
      <c r="L733">
        <v>152723</v>
      </c>
      <c r="M733">
        <v>30544</v>
      </c>
      <c r="N733">
        <v>45816</v>
      </c>
      <c r="O733">
        <v>15272</v>
      </c>
      <c r="P733">
        <v>-61089</v>
      </c>
      <c r="Q733">
        <v>-38180</v>
      </c>
      <c r="R733">
        <v>131035</v>
      </c>
      <c r="S733">
        <v>39310</v>
      </c>
      <c r="T733">
        <v>13103</v>
      </c>
      <c r="U733">
        <v>7636</v>
      </c>
      <c r="V733">
        <v>4581</v>
      </c>
      <c r="W733">
        <v>3054</v>
      </c>
      <c r="X733">
        <v>15272</v>
      </c>
      <c r="Y733">
        <v>7636</v>
      </c>
      <c r="Z733">
        <v>6551</v>
      </c>
      <c r="AA733">
        <v>3931</v>
      </c>
      <c r="AB733">
        <v>2620</v>
      </c>
    </row>
    <row r="734" spans="1:28" x14ac:dyDescent="0.35">
      <c r="A734" t="s">
        <v>779</v>
      </c>
      <c r="B734" t="s">
        <v>9</v>
      </c>
      <c r="C734" t="s">
        <v>1</v>
      </c>
      <c r="D734" t="s">
        <v>10</v>
      </c>
      <c r="E734" t="s">
        <v>11</v>
      </c>
      <c r="F734">
        <v>446621</v>
      </c>
      <c r="G734">
        <v>-201913</v>
      </c>
      <c r="H734">
        <v>95213</v>
      </c>
      <c r="I734">
        <v>446621</v>
      </c>
      <c r="J734">
        <v>44662</v>
      </c>
      <c r="K734">
        <v>22331</v>
      </c>
      <c r="L734">
        <v>228544</v>
      </c>
      <c r="M734">
        <v>45708</v>
      </c>
      <c r="N734">
        <v>68563</v>
      </c>
      <c r="O734">
        <v>22854</v>
      </c>
      <c r="P734">
        <v>-91417</v>
      </c>
      <c r="Q734">
        <v>-57136</v>
      </c>
      <c r="R734">
        <v>204261</v>
      </c>
      <c r="S734">
        <v>61278</v>
      </c>
      <c r="T734">
        <v>20426</v>
      </c>
      <c r="U734">
        <v>11427</v>
      </c>
      <c r="V734">
        <v>6856</v>
      </c>
      <c r="W734">
        <v>4570</v>
      </c>
      <c r="X734">
        <v>22854</v>
      </c>
      <c r="Y734">
        <v>11427</v>
      </c>
      <c r="Z734">
        <v>10213</v>
      </c>
      <c r="AA734">
        <v>6127</v>
      </c>
      <c r="AB734">
        <v>4085</v>
      </c>
    </row>
    <row r="735" spans="1:28" x14ac:dyDescent="0.35">
      <c r="A735" t="s">
        <v>780</v>
      </c>
      <c r="B735" t="s">
        <v>9</v>
      </c>
      <c r="C735" t="s">
        <v>1</v>
      </c>
      <c r="D735" t="s">
        <v>10</v>
      </c>
      <c r="E735" t="s">
        <v>11</v>
      </c>
      <c r="F735">
        <v>211316</v>
      </c>
      <c r="G735">
        <v>-53824</v>
      </c>
      <c r="H735">
        <v>63608</v>
      </c>
      <c r="I735">
        <v>211316</v>
      </c>
      <c r="J735">
        <v>21131</v>
      </c>
      <c r="K735">
        <v>10565</v>
      </c>
      <c r="L735">
        <v>96013</v>
      </c>
      <c r="M735">
        <v>19202</v>
      </c>
      <c r="N735">
        <v>28803</v>
      </c>
      <c r="O735">
        <v>9601</v>
      </c>
      <c r="P735">
        <v>-38405</v>
      </c>
      <c r="Q735">
        <v>-24003</v>
      </c>
      <c r="R735">
        <v>87037</v>
      </c>
      <c r="S735">
        <v>26111</v>
      </c>
      <c r="T735">
        <v>8703</v>
      </c>
      <c r="U735">
        <v>4800</v>
      </c>
      <c r="V735">
        <v>2880</v>
      </c>
      <c r="W735">
        <v>1920</v>
      </c>
      <c r="X735">
        <v>9601</v>
      </c>
      <c r="Y735">
        <v>4800</v>
      </c>
      <c r="Z735">
        <v>4351</v>
      </c>
      <c r="AA735">
        <v>2611</v>
      </c>
      <c r="AB735">
        <v>1740</v>
      </c>
    </row>
    <row r="736" spans="1:28" x14ac:dyDescent="0.35">
      <c r="A736" t="s">
        <v>781</v>
      </c>
      <c r="B736" t="s">
        <v>9</v>
      </c>
      <c r="C736" t="s">
        <v>1</v>
      </c>
      <c r="D736" t="s">
        <v>10</v>
      </c>
      <c r="E736" t="s">
        <v>11</v>
      </c>
      <c r="F736">
        <v>312774</v>
      </c>
      <c r="G736">
        <v>-147878</v>
      </c>
      <c r="H736">
        <v>46627</v>
      </c>
      <c r="I736">
        <v>312774</v>
      </c>
      <c r="J736">
        <v>31277</v>
      </c>
      <c r="K736">
        <v>15638</v>
      </c>
      <c r="L736">
        <v>110970</v>
      </c>
      <c r="M736">
        <v>22194</v>
      </c>
      <c r="N736">
        <v>33291</v>
      </c>
      <c r="O736">
        <v>11097</v>
      </c>
      <c r="P736">
        <v>-44388</v>
      </c>
      <c r="Q736">
        <v>-27742</v>
      </c>
      <c r="R736">
        <v>123698</v>
      </c>
      <c r="S736">
        <v>37109</v>
      </c>
      <c r="T736">
        <v>12369</v>
      </c>
      <c r="U736">
        <v>5548</v>
      </c>
      <c r="V736">
        <v>3329</v>
      </c>
      <c r="W736">
        <v>2219</v>
      </c>
      <c r="X736">
        <v>11097</v>
      </c>
      <c r="Y736">
        <v>5548</v>
      </c>
      <c r="Z736">
        <v>6184</v>
      </c>
      <c r="AA736">
        <v>3710</v>
      </c>
      <c r="AB736">
        <v>2473</v>
      </c>
    </row>
    <row r="737" spans="1:28" x14ac:dyDescent="0.35">
      <c r="A737" t="s">
        <v>782</v>
      </c>
      <c r="B737" t="s">
        <v>9</v>
      </c>
      <c r="C737" t="s">
        <v>1</v>
      </c>
      <c r="D737" t="s">
        <v>10</v>
      </c>
      <c r="E737" t="s">
        <v>11</v>
      </c>
      <c r="F737">
        <v>53411</v>
      </c>
      <c r="G737">
        <v>-28804</v>
      </c>
      <c r="H737">
        <v>22297</v>
      </c>
      <c r="I737">
        <v>53411</v>
      </c>
      <c r="J737">
        <v>5341</v>
      </c>
      <c r="K737">
        <v>2670</v>
      </c>
      <c r="L737">
        <v>31191</v>
      </c>
      <c r="M737">
        <v>6238</v>
      </c>
      <c r="N737">
        <v>9357</v>
      </c>
      <c r="O737">
        <v>3119</v>
      </c>
      <c r="P737">
        <v>-12476</v>
      </c>
      <c r="Q737">
        <v>-7797</v>
      </c>
      <c r="R737">
        <v>32005</v>
      </c>
      <c r="S737">
        <v>9601</v>
      </c>
      <c r="T737">
        <v>3200</v>
      </c>
      <c r="U737">
        <v>1559</v>
      </c>
      <c r="V737">
        <v>935</v>
      </c>
      <c r="W737">
        <v>623</v>
      </c>
      <c r="X737">
        <v>3119</v>
      </c>
      <c r="Y737">
        <v>1559</v>
      </c>
      <c r="Z737">
        <v>1600</v>
      </c>
      <c r="AA737">
        <v>960</v>
      </c>
      <c r="AB737">
        <v>640</v>
      </c>
    </row>
    <row r="738" spans="1:28" x14ac:dyDescent="0.35">
      <c r="A738" t="s">
        <v>783</v>
      </c>
      <c r="B738" t="s">
        <v>9</v>
      </c>
      <c r="C738" t="s">
        <v>1</v>
      </c>
      <c r="D738" t="s">
        <v>10</v>
      </c>
      <c r="E738" t="s">
        <v>11</v>
      </c>
      <c r="F738">
        <v>373205</v>
      </c>
      <c r="G738">
        <v>-150675</v>
      </c>
      <c r="H738">
        <v>76442</v>
      </c>
      <c r="I738">
        <v>373205</v>
      </c>
      <c r="J738">
        <v>37320</v>
      </c>
      <c r="K738">
        <v>18660</v>
      </c>
      <c r="L738">
        <v>102623</v>
      </c>
      <c r="M738">
        <v>20524</v>
      </c>
      <c r="N738">
        <v>30786</v>
      </c>
      <c r="O738">
        <v>10262</v>
      </c>
      <c r="P738">
        <v>-41049</v>
      </c>
      <c r="Q738">
        <v>-25655</v>
      </c>
      <c r="R738">
        <v>87650</v>
      </c>
      <c r="S738">
        <v>26295</v>
      </c>
      <c r="T738">
        <v>8765</v>
      </c>
      <c r="U738">
        <v>5131</v>
      </c>
      <c r="V738">
        <v>3078</v>
      </c>
      <c r="W738">
        <v>2052</v>
      </c>
      <c r="X738">
        <v>10262</v>
      </c>
      <c r="Y738">
        <v>5131</v>
      </c>
      <c r="Z738">
        <v>4382</v>
      </c>
      <c r="AA738">
        <v>2629</v>
      </c>
      <c r="AB738">
        <v>1753</v>
      </c>
    </row>
    <row r="739" spans="1:28" x14ac:dyDescent="0.35">
      <c r="A739" t="s">
        <v>784</v>
      </c>
      <c r="B739" t="s">
        <v>9</v>
      </c>
      <c r="C739" t="s">
        <v>1</v>
      </c>
      <c r="D739" t="s">
        <v>10</v>
      </c>
      <c r="E739" t="s">
        <v>11</v>
      </c>
      <c r="F739">
        <v>376662</v>
      </c>
      <c r="G739">
        <v>-89952</v>
      </c>
      <c r="H739">
        <v>138532</v>
      </c>
      <c r="I739">
        <v>376662</v>
      </c>
      <c r="J739">
        <v>37666</v>
      </c>
      <c r="K739">
        <v>18833</v>
      </c>
      <c r="L739">
        <v>260824</v>
      </c>
      <c r="M739">
        <v>52164</v>
      </c>
      <c r="N739">
        <v>78247</v>
      </c>
      <c r="O739">
        <v>26082</v>
      </c>
      <c r="P739">
        <v>-104329</v>
      </c>
      <c r="Q739">
        <v>-65206</v>
      </c>
      <c r="R739">
        <v>248515</v>
      </c>
      <c r="S739">
        <v>74554</v>
      </c>
      <c r="T739">
        <v>24851</v>
      </c>
      <c r="U739">
        <v>13041</v>
      </c>
      <c r="V739">
        <v>7824</v>
      </c>
      <c r="W739">
        <v>5216</v>
      </c>
      <c r="X739">
        <v>26082</v>
      </c>
      <c r="Y739">
        <v>13041</v>
      </c>
      <c r="Z739">
        <v>12425</v>
      </c>
      <c r="AA739">
        <v>7455</v>
      </c>
      <c r="AB739">
        <v>4970</v>
      </c>
    </row>
    <row r="740" spans="1:28" x14ac:dyDescent="0.35">
      <c r="A740" t="s">
        <v>785</v>
      </c>
      <c r="B740" t="s">
        <v>9</v>
      </c>
      <c r="C740" t="s">
        <v>1</v>
      </c>
      <c r="D740" t="s">
        <v>10</v>
      </c>
      <c r="E740" t="s">
        <v>11</v>
      </c>
      <c r="F740">
        <v>395152</v>
      </c>
      <c r="G740">
        <v>-151525</v>
      </c>
      <c r="H740">
        <v>133737</v>
      </c>
      <c r="I740">
        <v>395152</v>
      </c>
      <c r="J740">
        <v>39515</v>
      </c>
      <c r="K740">
        <v>19757</v>
      </c>
      <c r="L740">
        <v>118456</v>
      </c>
      <c r="M740">
        <v>23691</v>
      </c>
      <c r="N740">
        <v>35536</v>
      </c>
      <c r="O740">
        <v>11845</v>
      </c>
      <c r="P740">
        <v>-47382</v>
      </c>
      <c r="Q740">
        <v>-29614</v>
      </c>
      <c r="R740">
        <v>128511</v>
      </c>
      <c r="S740">
        <v>38553</v>
      </c>
      <c r="T740">
        <v>12851</v>
      </c>
      <c r="U740">
        <v>5922</v>
      </c>
      <c r="V740">
        <v>3553</v>
      </c>
      <c r="W740">
        <v>2369</v>
      </c>
      <c r="X740">
        <v>11845</v>
      </c>
      <c r="Y740">
        <v>5922</v>
      </c>
      <c r="Z740">
        <v>6425</v>
      </c>
      <c r="AA740">
        <v>3855</v>
      </c>
      <c r="AB740">
        <v>2570</v>
      </c>
    </row>
    <row r="741" spans="1:28" x14ac:dyDescent="0.35">
      <c r="A741" t="s">
        <v>786</v>
      </c>
      <c r="B741" t="s">
        <v>9</v>
      </c>
      <c r="C741" t="s">
        <v>1</v>
      </c>
      <c r="D741" t="s">
        <v>10</v>
      </c>
      <c r="E741" t="s">
        <v>11</v>
      </c>
      <c r="F741">
        <v>404015</v>
      </c>
      <c r="G741">
        <v>-108355</v>
      </c>
      <c r="H741">
        <v>59064</v>
      </c>
      <c r="I741">
        <v>404015</v>
      </c>
      <c r="J741">
        <v>40401</v>
      </c>
      <c r="K741">
        <v>20200</v>
      </c>
      <c r="L741">
        <v>138827</v>
      </c>
      <c r="M741">
        <v>27765</v>
      </c>
      <c r="N741">
        <v>41648</v>
      </c>
      <c r="O741">
        <v>13882</v>
      </c>
      <c r="P741">
        <v>-55530</v>
      </c>
      <c r="Q741">
        <v>-34706</v>
      </c>
      <c r="R741">
        <v>134395</v>
      </c>
      <c r="S741">
        <v>40318</v>
      </c>
      <c r="T741">
        <v>13439</v>
      </c>
      <c r="U741">
        <v>6941</v>
      </c>
      <c r="V741">
        <v>4164</v>
      </c>
      <c r="W741">
        <v>2776</v>
      </c>
      <c r="X741">
        <v>13882</v>
      </c>
      <c r="Y741">
        <v>6941</v>
      </c>
      <c r="Z741">
        <v>6719</v>
      </c>
      <c r="AA741">
        <v>4031</v>
      </c>
      <c r="AB741">
        <v>2687</v>
      </c>
    </row>
    <row r="742" spans="1:28" x14ac:dyDescent="0.35">
      <c r="A742" t="s">
        <v>787</v>
      </c>
      <c r="B742" t="s">
        <v>9</v>
      </c>
      <c r="C742" t="s">
        <v>1</v>
      </c>
      <c r="D742" t="s">
        <v>10</v>
      </c>
      <c r="E742" t="s">
        <v>11</v>
      </c>
      <c r="F742">
        <v>102076</v>
      </c>
      <c r="G742">
        <v>-22876</v>
      </c>
      <c r="H742">
        <v>37045</v>
      </c>
      <c r="I742">
        <v>102076</v>
      </c>
      <c r="J742">
        <v>10207</v>
      </c>
      <c r="K742">
        <v>5103</v>
      </c>
      <c r="L742">
        <v>41588</v>
      </c>
      <c r="M742">
        <v>8317</v>
      </c>
      <c r="N742">
        <v>12476</v>
      </c>
      <c r="O742">
        <v>4158</v>
      </c>
      <c r="P742">
        <v>-16635</v>
      </c>
      <c r="Q742">
        <v>-10397</v>
      </c>
      <c r="R742">
        <v>42544</v>
      </c>
      <c r="S742">
        <v>12763</v>
      </c>
      <c r="T742">
        <v>4254</v>
      </c>
      <c r="U742">
        <v>2079</v>
      </c>
      <c r="V742">
        <v>1247</v>
      </c>
      <c r="W742">
        <v>831</v>
      </c>
      <c r="X742">
        <v>4158</v>
      </c>
      <c r="Y742">
        <v>2079</v>
      </c>
      <c r="Z742">
        <v>2127</v>
      </c>
      <c r="AA742">
        <v>1276</v>
      </c>
      <c r="AB742">
        <v>850</v>
      </c>
    </row>
    <row r="743" spans="1:28" x14ac:dyDescent="0.35">
      <c r="A743" t="s">
        <v>788</v>
      </c>
      <c r="B743" t="s">
        <v>9</v>
      </c>
      <c r="C743" t="s">
        <v>1</v>
      </c>
      <c r="D743" t="s">
        <v>10</v>
      </c>
      <c r="E743" t="s">
        <v>11</v>
      </c>
      <c r="F743">
        <v>286525</v>
      </c>
      <c r="G743">
        <v>-98477</v>
      </c>
      <c r="H743">
        <v>80172</v>
      </c>
      <c r="I743">
        <v>286525</v>
      </c>
      <c r="J743">
        <v>28652</v>
      </c>
      <c r="K743">
        <v>14326</v>
      </c>
      <c r="L743">
        <v>179978</v>
      </c>
      <c r="M743">
        <v>35995</v>
      </c>
      <c r="N743">
        <v>53993</v>
      </c>
      <c r="O743">
        <v>17997</v>
      </c>
      <c r="P743">
        <v>-71991</v>
      </c>
      <c r="Q743">
        <v>-44994</v>
      </c>
      <c r="R743">
        <v>189437</v>
      </c>
      <c r="S743">
        <v>56831</v>
      </c>
      <c r="T743">
        <v>18943</v>
      </c>
      <c r="U743">
        <v>8998</v>
      </c>
      <c r="V743">
        <v>5399</v>
      </c>
      <c r="W743">
        <v>3599</v>
      </c>
      <c r="X743">
        <v>17997</v>
      </c>
      <c r="Y743">
        <v>8998</v>
      </c>
      <c r="Z743">
        <v>9471</v>
      </c>
      <c r="AA743">
        <v>5683</v>
      </c>
      <c r="AB743">
        <v>3788</v>
      </c>
    </row>
    <row r="744" spans="1:28" x14ac:dyDescent="0.35">
      <c r="A744" t="s">
        <v>789</v>
      </c>
      <c r="B744" t="s">
        <v>9</v>
      </c>
      <c r="C744" t="s">
        <v>1</v>
      </c>
      <c r="D744" t="s">
        <v>10</v>
      </c>
      <c r="E744" t="s">
        <v>11</v>
      </c>
      <c r="F744">
        <v>405632</v>
      </c>
      <c r="G744">
        <v>-155603</v>
      </c>
      <c r="H744">
        <v>193936</v>
      </c>
      <c r="I744">
        <v>405632</v>
      </c>
      <c r="J744">
        <v>40563</v>
      </c>
      <c r="K744">
        <v>20281</v>
      </c>
      <c r="L744">
        <v>222887</v>
      </c>
      <c r="M744">
        <v>44577</v>
      </c>
      <c r="N744">
        <v>66866</v>
      </c>
      <c r="O744">
        <v>22288</v>
      </c>
      <c r="P744">
        <v>-89154</v>
      </c>
      <c r="Q744">
        <v>-55721</v>
      </c>
      <c r="R744">
        <v>247173</v>
      </c>
      <c r="S744">
        <v>74151</v>
      </c>
      <c r="T744">
        <v>24717</v>
      </c>
      <c r="U744">
        <v>11144</v>
      </c>
      <c r="V744">
        <v>6686</v>
      </c>
      <c r="W744">
        <v>4457</v>
      </c>
      <c r="X744">
        <v>22288</v>
      </c>
      <c r="Y744">
        <v>11144</v>
      </c>
      <c r="Z744">
        <v>12358</v>
      </c>
      <c r="AA744">
        <v>7415</v>
      </c>
      <c r="AB744">
        <v>4943</v>
      </c>
    </row>
    <row r="745" spans="1:28" x14ac:dyDescent="0.35">
      <c r="A745" t="s">
        <v>790</v>
      </c>
      <c r="B745" t="s">
        <v>9</v>
      </c>
      <c r="C745" t="s">
        <v>1</v>
      </c>
      <c r="D745" t="s">
        <v>10</v>
      </c>
      <c r="E745" t="s">
        <v>11</v>
      </c>
      <c r="F745">
        <v>100013</v>
      </c>
      <c r="G745">
        <v>-55037</v>
      </c>
      <c r="H745">
        <v>10412</v>
      </c>
      <c r="I745">
        <v>100013</v>
      </c>
      <c r="J745">
        <v>10001</v>
      </c>
      <c r="K745">
        <v>5000</v>
      </c>
      <c r="L745">
        <v>25691</v>
      </c>
      <c r="M745">
        <v>5138</v>
      </c>
      <c r="N745">
        <v>7707</v>
      </c>
      <c r="O745">
        <v>2569</v>
      </c>
      <c r="P745">
        <v>-10276</v>
      </c>
      <c r="Q745">
        <v>-6422</v>
      </c>
      <c r="R745">
        <v>21174</v>
      </c>
      <c r="S745">
        <v>6352</v>
      </c>
      <c r="T745">
        <v>2117</v>
      </c>
      <c r="U745">
        <v>1284</v>
      </c>
      <c r="V745">
        <v>770</v>
      </c>
      <c r="W745">
        <v>513</v>
      </c>
      <c r="X745">
        <v>2569</v>
      </c>
      <c r="Y745">
        <v>1284</v>
      </c>
      <c r="Z745">
        <v>1058</v>
      </c>
      <c r="AA745">
        <v>635</v>
      </c>
      <c r="AB745">
        <v>423</v>
      </c>
    </row>
    <row r="746" spans="1:28" x14ac:dyDescent="0.35">
      <c r="A746" t="s">
        <v>791</v>
      </c>
      <c r="B746" t="s">
        <v>9</v>
      </c>
      <c r="C746" t="s">
        <v>1</v>
      </c>
      <c r="D746" t="s">
        <v>10</v>
      </c>
      <c r="E746" t="s">
        <v>11</v>
      </c>
      <c r="F746">
        <v>374974</v>
      </c>
      <c r="G746">
        <v>-136404</v>
      </c>
      <c r="H746">
        <v>56980</v>
      </c>
      <c r="I746">
        <v>374974</v>
      </c>
      <c r="J746">
        <v>37497</v>
      </c>
      <c r="K746">
        <v>18748</v>
      </c>
      <c r="L746">
        <v>267220</v>
      </c>
      <c r="M746">
        <v>53444</v>
      </c>
      <c r="N746">
        <v>80166</v>
      </c>
      <c r="O746">
        <v>26722</v>
      </c>
      <c r="P746">
        <v>-106888</v>
      </c>
      <c r="Q746">
        <v>-66805</v>
      </c>
      <c r="R746">
        <v>318744</v>
      </c>
      <c r="S746">
        <v>95623</v>
      </c>
      <c r="T746">
        <v>31874</v>
      </c>
      <c r="U746">
        <v>13361</v>
      </c>
      <c r="V746">
        <v>8016</v>
      </c>
      <c r="W746">
        <v>5344</v>
      </c>
      <c r="X746">
        <v>26722</v>
      </c>
      <c r="Y746">
        <v>13361</v>
      </c>
      <c r="Z746">
        <v>15937</v>
      </c>
      <c r="AA746">
        <v>9562</v>
      </c>
      <c r="AB746">
        <v>6374</v>
      </c>
    </row>
    <row r="747" spans="1:28" x14ac:dyDescent="0.35">
      <c r="A747" t="s">
        <v>792</v>
      </c>
      <c r="B747" t="s">
        <v>9</v>
      </c>
      <c r="C747" t="s">
        <v>1</v>
      </c>
      <c r="D747" t="s">
        <v>10</v>
      </c>
      <c r="E747" t="s">
        <v>11</v>
      </c>
      <c r="F747">
        <v>140537</v>
      </c>
      <c r="G747">
        <v>-49847</v>
      </c>
      <c r="H747">
        <v>22058</v>
      </c>
      <c r="I747">
        <v>140537</v>
      </c>
      <c r="J747">
        <v>14053</v>
      </c>
      <c r="K747">
        <v>7026</v>
      </c>
      <c r="L747">
        <v>82382</v>
      </c>
      <c r="M747">
        <v>16476</v>
      </c>
      <c r="N747">
        <v>24714</v>
      </c>
      <c r="O747">
        <v>8238</v>
      </c>
      <c r="P747">
        <v>-32952</v>
      </c>
      <c r="Q747">
        <v>-20595</v>
      </c>
      <c r="R747">
        <v>77365</v>
      </c>
      <c r="S747">
        <v>23209</v>
      </c>
      <c r="T747">
        <v>7736</v>
      </c>
      <c r="U747">
        <v>4119</v>
      </c>
      <c r="V747">
        <v>2471</v>
      </c>
      <c r="W747">
        <v>1647</v>
      </c>
      <c r="X747">
        <v>8238</v>
      </c>
      <c r="Y747">
        <v>4119</v>
      </c>
      <c r="Z747">
        <v>3868</v>
      </c>
      <c r="AA747">
        <v>2320</v>
      </c>
      <c r="AB747">
        <v>1547</v>
      </c>
    </row>
    <row r="748" spans="1:28" x14ac:dyDescent="0.35">
      <c r="A748" t="s">
        <v>793</v>
      </c>
      <c r="B748" t="s">
        <v>9</v>
      </c>
      <c r="C748" t="s">
        <v>1</v>
      </c>
      <c r="D748" t="s">
        <v>10</v>
      </c>
      <c r="E748" t="s">
        <v>11</v>
      </c>
      <c r="F748">
        <v>271140</v>
      </c>
      <c r="G748">
        <v>-56462</v>
      </c>
      <c r="H748">
        <v>88004</v>
      </c>
      <c r="I748">
        <v>271140</v>
      </c>
      <c r="J748">
        <v>27114</v>
      </c>
      <c r="K748">
        <v>13557</v>
      </c>
      <c r="L748">
        <v>168452</v>
      </c>
      <c r="M748">
        <v>33690</v>
      </c>
      <c r="N748">
        <v>50535</v>
      </c>
      <c r="O748">
        <v>16845</v>
      </c>
      <c r="P748">
        <v>-67380</v>
      </c>
      <c r="Q748">
        <v>-42113</v>
      </c>
      <c r="R748">
        <v>197061</v>
      </c>
      <c r="S748">
        <v>59118</v>
      </c>
      <c r="T748">
        <v>19706</v>
      </c>
      <c r="U748">
        <v>8422</v>
      </c>
      <c r="V748">
        <v>5053</v>
      </c>
      <c r="W748">
        <v>3369</v>
      </c>
      <c r="X748">
        <v>16845</v>
      </c>
      <c r="Y748">
        <v>8422</v>
      </c>
      <c r="Z748">
        <v>9853</v>
      </c>
      <c r="AA748">
        <v>5911</v>
      </c>
      <c r="AB748">
        <v>3941</v>
      </c>
    </row>
    <row r="749" spans="1:28" x14ac:dyDescent="0.35">
      <c r="A749" t="s">
        <v>794</v>
      </c>
      <c r="B749" t="s">
        <v>9</v>
      </c>
      <c r="C749" t="s">
        <v>1</v>
      </c>
      <c r="D749" t="s">
        <v>10</v>
      </c>
      <c r="E749" t="s">
        <v>11</v>
      </c>
      <c r="F749">
        <v>380106</v>
      </c>
      <c r="G749">
        <v>-173338</v>
      </c>
      <c r="H749">
        <v>139978</v>
      </c>
      <c r="I749">
        <v>380106</v>
      </c>
      <c r="J749">
        <v>38010</v>
      </c>
      <c r="K749">
        <v>19005</v>
      </c>
      <c r="L749">
        <v>114756</v>
      </c>
      <c r="M749">
        <v>22951</v>
      </c>
      <c r="N749">
        <v>34426</v>
      </c>
      <c r="O749">
        <v>11475</v>
      </c>
      <c r="P749">
        <v>-45902</v>
      </c>
      <c r="Q749">
        <v>-28689</v>
      </c>
      <c r="R749">
        <v>110915</v>
      </c>
      <c r="S749">
        <v>33274</v>
      </c>
      <c r="T749">
        <v>11091</v>
      </c>
      <c r="U749">
        <v>5737</v>
      </c>
      <c r="V749">
        <v>3442</v>
      </c>
      <c r="W749">
        <v>2295</v>
      </c>
      <c r="X749">
        <v>11475</v>
      </c>
      <c r="Y749">
        <v>5737</v>
      </c>
      <c r="Z749">
        <v>5545</v>
      </c>
      <c r="AA749">
        <v>3327</v>
      </c>
      <c r="AB749">
        <v>2218</v>
      </c>
    </row>
    <row r="750" spans="1:28" x14ac:dyDescent="0.35">
      <c r="A750" t="s">
        <v>795</v>
      </c>
      <c r="B750" t="s">
        <v>9</v>
      </c>
      <c r="C750" t="s">
        <v>1</v>
      </c>
      <c r="D750" t="s">
        <v>10</v>
      </c>
      <c r="E750" t="s">
        <v>11</v>
      </c>
      <c r="F750">
        <v>162665</v>
      </c>
      <c r="G750">
        <v>-35543</v>
      </c>
      <c r="H750">
        <v>79790</v>
      </c>
      <c r="I750">
        <v>162665</v>
      </c>
      <c r="J750">
        <v>16266</v>
      </c>
      <c r="K750">
        <v>8133</v>
      </c>
      <c r="L750">
        <v>83640</v>
      </c>
      <c r="M750">
        <v>16728</v>
      </c>
      <c r="N750">
        <v>25092</v>
      </c>
      <c r="O750">
        <v>8364</v>
      </c>
      <c r="P750">
        <v>-33456</v>
      </c>
      <c r="Q750">
        <v>-20910</v>
      </c>
      <c r="R750">
        <v>83611</v>
      </c>
      <c r="S750">
        <v>25083</v>
      </c>
      <c r="T750">
        <v>8361</v>
      </c>
      <c r="U750">
        <v>4182</v>
      </c>
      <c r="V750">
        <v>2509</v>
      </c>
      <c r="W750">
        <v>1672</v>
      </c>
      <c r="X750">
        <v>8364</v>
      </c>
      <c r="Y750">
        <v>4182</v>
      </c>
      <c r="Z750">
        <v>4180</v>
      </c>
      <c r="AA750">
        <v>2508</v>
      </c>
      <c r="AB750">
        <v>1672</v>
      </c>
    </row>
    <row r="751" spans="1:28" x14ac:dyDescent="0.35">
      <c r="A751" t="s">
        <v>796</v>
      </c>
      <c r="B751" t="s">
        <v>9</v>
      </c>
      <c r="C751" t="s">
        <v>1</v>
      </c>
      <c r="D751" t="s">
        <v>10</v>
      </c>
      <c r="E751" t="s">
        <v>11</v>
      </c>
      <c r="F751">
        <v>452162</v>
      </c>
      <c r="G751">
        <v>-148547</v>
      </c>
      <c r="H751">
        <v>157394</v>
      </c>
      <c r="I751">
        <v>452162</v>
      </c>
      <c r="J751">
        <v>45216</v>
      </c>
      <c r="K751">
        <v>22608</v>
      </c>
      <c r="L751">
        <v>301014</v>
      </c>
      <c r="M751">
        <v>60202</v>
      </c>
      <c r="N751">
        <v>90304</v>
      </c>
      <c r="O751">
        <v>30101</v>
      </c>
      <c r="P751">
        <v>-120405</v>
      </c>
      <c r="Q751">
        <v>-75253</v>
      </c>
      <c r="R751">
        <v>283244</v>
      </c>
      <c r="S751">
        <v>84973</v>
      </c>
      <c r="T751">
        <v>28324</v>
      </c>
      <c r="U751">
        <v>15050</v>
      </c>
      <c r="V751">
        <v>9030</v>
      </c>
      <c r="W751">
        <v>6020</v>
      </c>
      <c r="X751">
        <v>30101</v>
      </c>
      <c r="Y751">
        <v>15050</v>
      </c>
      <c r="Z751">
        <v>14162</v>
      </c>
      <c r="AA751">
        <v>8497</v>
      </c>
      <c r="AB751">
        <v>5664</v>
      </c>
    </row>
    <row r="752" spans="1:28" x14ac:dyDescent="0.35">
      <c r="A752" t="s">
        <v>797</v>
      </c>
      <c r="B752" t="s">
        <v>9</v>
      </c>
      <c r="C752" t="s">
        <v>1</v>
      </c>
      <c r="D752" t="s">
        <v>10</v>
      </c>
      <c r="E752" t="s">
        <v>11</v>
      </c>
      <c r="F752">
        <v>430332</v>
      </c>
      <c r="G752">
        <v>-180484</v>
      </c>
      <c r="H752">
        <v>117124</v>
      </c>
      <c r="I752">
        <v>430332</v>
      </c>
      <c r="J752">
        <v>43033</v>
      </c>
      <c r="K752">
        <v>21516</v>
      </c>
      <c r="L752">
        <v>277310</v>
      </c>
      <c r="M752">
        <v>55462</v>
      </c>
      <c r="N752">
        <v>83193</v>
      </c>
      <c r="O752">
        <v>27731</v>
      </c>
      <c r="P752">
        <v>-110924</v>
      </c>
      <c r="Q752">
        <v>-69327</v>
      </c>
      <c r="R752">
        <v>317782</v>
      </c>
      <c r="S752">
        <v>95334</v>
      </c>
      <c r="T752">
        <v>31778</v>
      </c>
      <c r="U752">
        <v>13865</v>
      </c>
      <c r="V752">
        <v>8319</v>
      </c>
      <c r="W752">
        <v>5546</v>
      </c>
      <c r="X752">
        <v>27731</v>
      </c>
      <c r="Y752">
        <v>13865</v>
      </c>
      <c r="Z752">
        <v>15889</v>
      </c>
      <c r="AA752">
        <v>9533</v>
      </c>
      <c r="AB752">
        <v>6355</v>
      </c>
    </row>
    <row r="753" spans="1:28" x14ac:dyDescent="0.35">
      <c r="A753" t="s">
        <v>798</v>
      </c>
      <c r="B753" t="s">
        <v>9</v>
      </c>
      <c r="C753" t="s">
        <v>1</v>
      </c>
      <c r="D753" t="s">
        <v>10</v>
      </c>
      <c r="E753" t="s">
        <v>11</v>
      </c>
      <c r="F753">
        <v>492049</v>
      </c>
      <c r="G753">
        <v>-99238</v>
      </c>
      <c r="H753">
        <v>145330</v>
      </c>
      <c r="I753">
        <v>492049</v>
      </c>
      <c r="J753">
        <v>49204</v>
      </c>
      <c r="K753">
        <v>24602</v>
      </c>
      <c r="L753">
        <v>313648</v>
      </c>
      <c r="M753">
        <v>62729</v>
      </c>
      <c r="N753">
        <v>94094</v>
      </c>
      <c r="O753">
        <v>31364</v>
      </c>
      <c r="P753">
        <v>-125459</v>
      </c>
      <c r="Q753">
        <v>-78412</v>
      </c>
      <c r="R753">
        <v>353773</v>
      </c>
      <c r="S753">
        <v>106131</v>
      </c>
      <c r="T753">
        <v>35377</v>
      </c>
      <c r="U753">
        <v>15682</v>
      </c>
      <c r="V753">
        <v>9409</v>
      </c>
      <c r="W753">
        <v>6272</v>
      </c>
      <c r="X753">
        <v>31364</v>
      </c>
      <c r="Y753">
        <v>15682</v>
      </c>
      <c r="Z753">
        <v>17688</v>
      </c>
      <c r="AA753">
        <v>10613</v>
      </c>
      <c r="AB753">
        <v>7075</v>
      </c>
    </row>
    <row r="754" spans="1:28" x14ac:dyDescent="0.35">
      <c r="A754" t="s">
        <v>799</v>
      </c>
      <c r="B754" t="s">
        <v>9</v>
      </c>
      <c r="C754" t="s">
        <v>1</v>
      </c>
      <c r="D754" t="s">
        <v>10</v>
      </c>
      <c r="E754" t="s">
        <v>11</v>
      </c>
      <c r="F754">
        <v>481509</v>
      </c>
      <c r="G754">
        <v>-245290</v>
      </c>
      <c r="H754">
        <v>118648</v>
      </c>
      <c r="I754">
        <v>481509</v>
      </c>
      <c r="J754">
        <v>48150</v>
      </c>
      <c r="K754">
        <v>24075</v>
      </c>
      <c r="L754">
        <v>133593</v>
      </c>
      <c r="M754">
        <v>26718</v>
      </c>
      <c r="N754">
        <v>40077</v>
      </c>
      <c r="O754">
        <v>13359</v>
      </c>
      <c r="P754">
        <v>-53437</v>
      </c>
      <c r="Q754">
        <v>-33398</v>
      </c>
      <c r="R754">
        <v>115742</v>
      </c>
      <c r="S754">
        <v>34722</v>
      </c>
      <c r="T754">
        <v>11574</v>
      </c>
      <c r="U754">
        <v>6679</v>
      </c>
      <c r="V754">
        <v>4007</v>
      </c>
      <c r="W754">
        <v>2671</v>
      </c>
      <c r="X754">
        <v>13359</v>
      </c>
      <c r="Y754">
        <v>6679</v>
      </c>
      <c r="Z754">
        <v>5787</v>
      </c>
      <c r="AA754">
        <v>3472</v>
      </c>
      <c r="AB754">
        <v>2314</v>
      </c>
    </row>
    <row r="755" spans="1:28" x14ac:dyDescent="0.35">
      <c r="A755" t="s">
        <v>800</v>
      </c>
      <c r="B755" t="s">
        <v>9</v>
      </c>
      <c r="C755" t="s">
        <v>1</v>
      </c>
      <c r="D755" t="s">
        <v>10</v>
      </c>
      <c r="E755" t="s">
        <v>11</v>
      </c>
      <c r="F755">
        <v>486255</v>
      </c>
      <c r="G755">
        <v>-283368</v>
      </c>
      <c r="H755">
        <v>189519</v>
      </c>
      <c r="I755">
        <v>486255</v>
      </c>
      <c r="J755">
        <v>48625</v>
      </c>
      <c r="K755">
        <v>24312</v>
      </c>
      <c r="L755">
        <v>142231</v>
      </c>
      <c r="M755">
        <v>28446</v>
      </c>
      <c r="N755">
        <v>42669</v>
      </c>
      <c r="O755">
        <v>14223</v>
      </c>
      <c r="P755">
        <v>-56892</v>
      </c>
      <c r="Q755">
        <v>-35557</v>
      </c>
      <c r="R755">
        <v>158996</v>
      </c>
      <c r="S755">
        <v>47698</v>
      </c>
      <c r="T755">
        <v>15899</v>
      </c>
      <c r="U755">
        <v>7111</v>
      </c>
      <c r="V755">
        <v>4266</v>
      </c>
      <c r="W755">
        <v>2844</v>
      </c>
      <c r="X755">
        <v>14223</v>
      </c>
      <c r="Y755">
        <v>7111</v>
      </c>
      <c r="Z755">
        <v>7949</v>
      </c>
      <c r="AA755">
        <v>4769</v>
      </c>
      <c r="AB755">
        <v>3179</v>
      </c>
    </row>
    <row r="756" spans="1:28" x14ac:dyDescent="0.35">
      <c r="A756" t="s">
        <v>801</v>
      </c>
      <c r="B756" t="s">
        <v>9</v>
      </c>
      <c r="C756" t="s">
        <v>1</v>
      </c>
      <c r="D756" t="s">
        <v>10</v>
      </c>
      <c r="E756" t="s">
        <v>11</v>
      </c>
      <c r="F756">
        <v>436669</v>
      </c>
      <c r="G756">
        <v>-105348</v>
      </c>
      <c r="H756">
        <v>79803</v>
      </c>
      <c r="I756">
        <v>436669</v>
      </c>
      <c r="J756">
        <v>43666</v>
      </c>
      <c r="K756">
        <v>21833</v>
      </c>
      <c r="L756">
        <v>324658</v>
      </c>
      <c r="M756">
        <v>64931</v>
      </c>
      <c r="N756">
        <v>97397</v>
      </c>
      <c r="O756">
        <v>32465</v>
      </c>
      <c r="P756">
        <v>-129863</v>
      </c>
      <c r="Q756">
        <v>-81164</v>
      </c>
      <c r="R756">
        <v>273942</v>
      </c>
      <c r="S756">
        <v>82182</v>
      </c>
      <c r="T756">
        <v>27394</v>
      </c>
      <c r="U756">
        <v>16232</v>
      </c>
      <c r="V756">
        <v>9739</v>
      </c>
      <c r="W756">
        <v>6493</v>
      </c>
      <c r="X756">
        <v>32465</v>
      </c>
      <c r="Y756">
        <v>16232</v>
      </c>
      <c r="Z756">
        <v>13697</v>
      </c>
      <c r="AA756">
        <v>8218</v>
      </c>
      <c r="AB756">
        <v>5478</v>
      </c>
    </row>
    <row r="757" spans="1:28" x14ac:dyDescent="0.35">
      <c r="A757" t="s">
        <v>802</v>
      </c>
      <c r="B757" t="s">
        <v>9</v>
      </c>
      <c r="C757" t="s">
        <v>1</v>
      </c>
      <c r="D757" t="s">
        <v>10</v>
      </c>
      <c r="E757" t="s">
        <v>11</v>
      </c>
      <c r="F757">
        <v>103362</v>
      </c>
      <c r="G757">
        <v>-57106</v>
      </c>
      <c r="H757">
        <v>13464</v>
      </c>
      <c r="I757">
        <v>103362</v>
      </c>
      <c r="J757">
        <v>10336</v>
      </c>
      <c r="K757">
        <v>5168</v>
      </c>
      <c r="L757">
        <v>81450</v>
      </c>
      <c r="M757">
        <v>16290</v>
      </c>
      <c r="N757">
        <v>24435</v>
      </c>
      <c r="O757">
        <v>8145</v>
      </c>
      <c r="P757">
        <v>-32580</v>
      </c>
      <c r="Q757">
        <v>-20362</v>
      </c>
      <c r="R757">
        <v>83199</v>
      </c>
      <c r="S757">
        <v>24959</v>
      </c>
      <c r="T757">
        <v>8319</v>
      </c>
      <c r="U757">
        <v>4072</v>
      </c>
      <c r="V757">
        <v>2443</v>
      </c>
      <c r="W757">
        <v>1629</v>
      </c>
      <c r="X757">
        <v>8145</v>
      </c>
      <c r="Y757">
        <v>4072</v>
      </c>
      <c r="Z757">
        <v>4159</v>
      </c>
      <c r="AA757">
        <v>2495</v>
      </c>
      <c r="AB757">
        <v>1663</v>
      </c>
    </row>
    <row r="758" spans="1:28" x14ac:dyDescent="0.35">
      <c r="A758" t="s">
        <v>803</v>
      </c>
      <c r="B758" t="s">
        <v>9</v>
      </c>
      <c r="C758" t="s">
        <v>1</v>
      </c>
      <c r="D758" t="s">
        <v>10</v>
      </c>
      <c r="E758" t="s">
        <v>11</v>
      </c>
      <c r="F758">
        <v>200994</v>
      </c>
      <c r="G758">
        <v>-69097</v>
      </c>
      <c r="H758">
        <v>33725</v>
      </c>
      <c r="I758">
        <v>200994</v>
      </c>
      <c r="J758">
        <v>20099</v>
      </c>
      <c r="K758">
        <v>10049</v>
      </c>
      <c r="L758">
        <v>77156</v>
      </c>
      <c r="M758">
        <v>15431</v>
      </c>
      <c r="N758">
        <v>23146</v>
      </c>
      <c r="O758">
        <v>7715</v>
      </c>
      <c r="P758">
        <v>-30862</v>
      </c>
      <c r="Q758">
        <v>-19289</v>
      </c>
      <c r="R758">
        <v>65454</v>
      </c>
      <c r="S758">
        <v>19636</v>
      </c>
      <c r="T758">
        <v>6545</v>
      </c>
      <c r="U758">
        <v>3857</v>
      </c>
      <c r="V758">
        <v>2314</v>
      </c>
      <c r="W758">
        <v>1543</v>
      </c>
      <c r="X758">
        <v>7715</v>
      </c>
      <c r="Y758">
        <v>3857</v>
      </c>
      <c r="Z758">
        <v>3272</v>
      </c>
      <c r="AA758">
        <v>1963</v>
      </c>
      <c r="AB758">
        <v>1309</v>
      </c>
    </row>
    <row r="759" spans="1:28" x14ac:dyDescent="0.35">
      <c r="A759" t="s">
        <v>804</v>
      </c>
      <c r="B759" t="s">
        <v>9</v>
      </c>
      <c r="C759" t="s">
        <v>1</v>
      </c>
      <c r="D759" t="s">
        <v>10</v>
      </c>
      <c r="E759" t="s">
        <v>11</v>
      </c>
      <c r="F759">
        <v>163198</v>
      </c>
      <c r="G759">
        <v>-82470</v>
      </c>
      <c r="H759">
        <v>23537</v>
      </c>
      <c r="I759">
        <v>163198</v>
      </c>
      <c r="J759">
        <v>16319</v>
      </c>
      <c r="K759">
        <v>8159</v>
      </c>
      <c r="L759">
        <v>96579</v>
      </c>
      <c r="M759">
        <v>19315</v>
      </c>
      <c r="N759">
        <v>28973</v>
      </c>
      <c r="O759">
        <v>9657</v>
      </c>
      <c r="P759">
        <v>-38631</v>
      </c>
      <c r="Q759">
        <v>-24144</v>
      </c>
      <c r="R759">
        <v>94589</v>
      </c>
      <c r="S759">
        <v>28376</v>
      </c>
      <c r="T759">
        <v>9458</v>
      </c>
      <c r="U759">
        <v>4828</v>
      </c>
      <c r="V759">
        <v>2897</v>
      </c>
      <c r="W759">
        <v>1931</v>
      </c>
      <c r="X759">
        <v>9657</v>
      </c>
      <c r="Y759">
        <v>4828</v>
      </c>
      <c r="Z759">
        <v>4729</v>
      </c>
      <c r="AA759">
        <v>2837</v>
      </c>
      <c r="AB759">
        <v>1891</v>
      </c>
    </row>
    <row r="760" spans="1:28" x14ac:dyDescent="0.35">
      <c r="A760" t="s">
        <v>805</v>
      </c>
      <c r="B760" t="s">
        <v>9</v>
      </c>
      <c r="C760" t="s">
        <v>1</v>
      </c>
      <c r="D760" t="s">
        <v>10</v>
      </c>
      <c r="E760" t="s">
        <v>11</v>
      </c>
      <c r="F760">
        <v>297003</v>
      </c>
      <c r="G760">
        <v>-101745</v>
      </c>
      <c r="H760">
        <v>118921</v>
      </c>
      <c r="I760">
        <v>297003</v>
      </c>
      <c r="J760">
        <v>29700</v>
      </c>
      <c r="K760">
        <v>14850</v>
      </c>
      <c r="L760">
        <v>100537</v>
      </c>
      <c r="M760">
        <v>20107</v>
      </c>
      <c r="N760">
        <v>30161</v>
      </c>
      <c r="O760">
        <v>10053</v>
      </c>
      <c r="P760">
        <v>-40214</v>
      </c>
      <c r="Q760">
        <v>-25134</v>
      </c>
      <c r="R760">
        <v>94848</v>
      </c>
      <c r="S760">
        <v>28454</v>
      </c>
      <c r="T760">
        <v>9484</v>
      </c>
      <c r="U760">
        <v>5026</v>
      </c>
      <c r="V760">
        <v>3016</v>
      </c>
      <c r="W760">
        <v>2010</v>
      </c>
      <c r="X760">
        <v>10053</v>
      </c>
      <c r="Y760">
        <v>5026</v>
      </c>
      <c r="Z760">
        <v>4742</v>
      </c>
      <c r="AA760">
        <v>2845</v>
      </c>
      <c r="AB760">
        <v>1896</v>
      </c>
    </row>
    <row r="761" spans="1:28" x14ac:dyDescent="0.35">
      <c r="A761" t="s">
        <v>806</v>
      </c>
      <c r="B761" t="s">
        <v>9</v>
      </c>
      <c r="C761" t="s">
        <v>1</v>
      </c>
      <c r="D761" t="s">
        <v>10</v>
      </c>
      <c r="E761" t="s">
        <v>11</v>
      </c>
      <c r="F761">
        <v>94005</v>
      </c>
      <c r="G761">
        <v>-35546</v>
      </c>
      <c r="H761">
        <v>35002</v>
      </c>
      <c r="I761">
        <v>94005</v>
      </c>
      <c r="J761">
        <v>9400</v>
      </c>
      <c r="K761">
        <v>4700</v>
      </c>
      <c r="L761">
        <v>67694</v>
      </c>
      <c r="M761">
        <v>13538</v>
      </c>
      <c r="N761">
        <v>20308</v>
      </c>
      <c r="O761">
        <v>6769</v>
      </c>
      <c r="P761">
        <v>-27077</v>
      </c>
      <c r="Q761">
        <v>-16923</v>
      </c>
      <c r="R761">
        <v>81176</v>
      </c>
      <c r="S761">
        <v>24352</v>
      </c>
      <c r="T761">
        <v>8117</v>
      </c>
      <c r="U761">
        <v>3384</v>
      </c>
      <c r="V761">
        <v>2030</v>
      </c>
      <c r="W761">
        <v>1353</v>
      </c>
      <c r="X761">
        <v>6769</v>
      </c>
      <c r="Y761">
        <v>3384</v>
      </c>
      <c r="Z761">
        <v>4058</v>
      </c>
      <c r="AA761">
        <v>2435</v>
      </c>
      <c r="AB761">
        <v>1623</v>
      </c>
    </row>
    <row r="762" spans="1:28" x14ac:dyDescent="0.35">
      <c r="A762" t="s">
        <v>807</v>
      </c>
      <c r="B762" t="s">
        <v>9</v>
      </c>
      <c r="C762" t="s">
        <v>1</v>
      </c>
      <c r="D762" t="s">
        <v>10</v>
      </c>
      <c r="E762" t="s">
        <v>11</v>
      </c>
      <c r="F762">
        <v>99738</v>
      </c>
      <c r="G762">
        <v>-29270</v>
      </c>
      <c r="H762">
        <v>26899</v>
      </c>
      <c r="I762">
        <v>99738</v>
      </c>
      <c r="J762">
        <v>9973</v>
      </c>
      <c r="K762">
        <v>4986</v>
      </c>
      <c r="L762">
        <v>55193</v>
      </c>
      <c r="M762">
        <v>11038</v>
      </c>
      <c r="N762">
        <v>16557</v>
      </c>
      <c r="O762">
        <v>5519</v>
      </c>
      <c r="P762">
        <v>-22077</v>
      </c>
      <c r="Q762">
        <v>-13798</v>
      </c>
      <c r="R762">
        <v>64197</v>
      </c>
      <c r="S762">
        <v>19259</v>
      </c>
      <c r="T762">
        <v>6419</v>
      </c>
      <c r="U762">
        <v>2759</v>
      </c>
      <c r="V762">
        <v>1655</v>
      </c>
      <c r="W762">
        <v>1103</v>
      </c>
      <c r="X762">
        <v>5519</v>
      </c>
      <c r="Y762">
        <v>2759</v>
      </c>
      <c r="Z762">
        <v>3209</v>
      </c>
      <c r="AA762">
        <v>1925</v>
      </c>
      <c r="AB762">
        <v>1283</v>
      </c>
    </row>
    <row r="763" spans="1:28" x14ac:dyDescent="0.35">
      <c r="A763" t="s">
        <v>808</v>
      </c>
      <c r="B763" t="s">
        <v>9</v>
      </c>
      <c r="C763" t="s">
        <v>1</v>
      </c>
      <c r="D763" t="s">
        <v>10</v>
      </c>
      <c r="E763" t="s">
        <v>11</v>
      </c>
      <c r="F763">
        <v>427670</v>
      </c>
      <c r="G763">
        <v>-251478</v>
      </c>
      <c r="H763">
        <v>150219</v>
      </c>
      <c r="I763">
        <v>427670</v>
      </c>
      <c r="J763">
        <v>42767</v>
      </c>
      <c r="K763">
        <v>21383</v>
      </c>
      <c r="L763">
        <v>240038</v>
      </c>
      <c r="M763">
        <v>48007</v>
      </c>
      <c r="N763">
        <v>72011</v>
      </c>
      <c r="O763">
        <v>24003</v>
      </c>
      <c r="P763">
        <v>-96015</v>
      </c>
      <c r="Q763">
        <v>-60009</v>
      </c>
      <c r="R763">
        <v>201293</v>
      </c>
      <c r="S763">
        <v>60387</v>
      </c>
      <c r="T763">
        <v>20129</v>
      </c>
      <c r="U763">
        <v>12001</v>
      </c>
      <c r="V763">
        <v>7201</v>
      </c>
      <c r="W763">
        <v>4800</v>
      </c>
      <c r="X763">
        <v>24003</v>
      </c>
      <c r="Y763">
        <v>12001</v>
      </c>
      <c r="Z763">
        <v>10064</v>
      </c>
      <c r="AA763">
        <v>6038</v>
      </c>
      <c r="AB763">
        <v>4025</v>
      </c>
    </row>
    <row r="764" spans="1:28" x14ac:dyDescent="0.35">
      <c r="A764" t="s">
        <v>809</v>
      </c>
      <c r="B764" t="s">
        <v>9</v>
      </c>
      <c r="C764" t="s">
        <v>1</v>
      </c>
      <c r="D764" t="s">
        <v>10</v>
      </c>
      <c r="E764" t="s">
        <v>11</v>
      </c>
      <c r="F764">
        <v>471149</v>
      </c>
      <c r="G764">
        <v>-152546</v>
      </c>
      <c r="H764">
        <v>197356</v>
      </c>
      <c r="I764">
        <v>471149</v>
      </c>
      <c r="J764">
        <v>47114</v>
      </c>
      <c r="K764">
        <v>23557</v>
      </c>
      <c r="L764">
        <v>374887</v>
      </c>
      <c r="M764">
        <v>74977</v>
      </c>
      <c r="N764">
        <v>112466</v>
      </c>
      <c r="O764">
        <v>37488</v>
      </c>
      <c r="P764">
        <v>-149954</v>
      </c>
      <c r="Q764">
        <v>-93721</v>
      </c>
      <c r="R764">
        <v>435283</v>
      </c>
      <c r="S764">
        <v>130584</v>
      </c>
      <c r="T764">
        <v>43528</v>
      </c>
      <c r="U764">
        <v>18744</v>
      </c>
      <c r="V764">
        <v>11246</v>
      </c>
      <c r="W764">
        <v>7497</v>
      </c>
      <c r="X764">
        <v>37488</v>
      </c>
      <c r="Y764">
        <v>18744</v>
      </c>
      <c r="Z764">
        <v>21764</v>
      </c>
      <c r="AA764">
        <v>13058</v>
      </c>
      <c r="AB764">
        <v>8705</v>
      </c>
    </row>
    <row r="765" spans="1:28" x14ac:dyDescent="0.35">
      <c r="A765" t="s">
        <v>810</v>
      </c>
      <c r="B765" t="s">
        <v>9</v>
      </c>
      <c r="C765" t="s">
        <v>1</v>
      </c>
      <c r="D765" t="s">
        <v>10</v>
      </c>
      <c r="E765" t="s">
        <v>11</v>
      </c>
      <c r="F765">
        <v>229313</v>
      </c>
      <c r="G765">
        <v>-92771</v>
      </c>
      <c r="H765">
        <v>90091</v>
      </c>
      <c r="I765">
        <v>229313</v>
      </c>
      <c r="J765">
        <v>22931</v>
      </c>
      <c r="K765">
        <v>11465</v>
      </c>
      <c r="L765">
        <v>50058</v>
      </c>
      <c r="M765">
        <v>10011</v>
      </c>
      <c r="N765">
        <v>15017</v>
      </c>
      <c r="O765">
        <v>5005</v>
      </c>
      <c r="P765">
        <v>-20023</v>
      </c>
      <c r="Q765">
        <v>-12514</v>
      </c>
      <c r="R765">
        <v>51120</v>
      </c>
      <c r="S765">
        <v>15336</v>
      </c>
      <c r="T765">
        <v>5112</v>
      </c>
      <c r="U765">
        <v>2502</v>
      </c>
      <c r="V765">
        <v>1501</v>
      </c>
      <c r="W765">
        <v>1001</v>
      </c>
      <c r="X765">
        <v>5005</v>
      </c>
      <c r="Y765">
        <v>2502</v>
      </c>
      <c r="Z765">
        <v>2556</v>
      </c>
      <c r="AA765">
        <v>1533</v>
      </c>
      <c r="AB765">
        <v>1022</v>
      </c>
    </row>
    <row r="766" spans="1:28" x14ac:dyDescent="0.35">
      <c r="A766" t="s">
        <v>811</v>
      </c>
      <c r="B766" t="s">
        <v>9</v>
      </c>
      <c r="C766" t="s">
        <v>1</v>
      </c>
      <c r="D766" t="s">
        <v>10</v>
      </c>
      <c r="E766" t="s">
        <v>11</v>
      </c>
      <c r="F766">
        <v>425177</v>
      </c>
      <c r="G766">
        <v>-220494</v>
      </c>
      <c r="H766">
        <v>176032</v>
      </c>
      <c r="I766">
        <v>425177</v>
      </c>
      <c r="J766">
        <v>42517</v>
      </c>
      <c r="K766">
        <v>21258</v>
      </c>
      <c r="L766">
        <v>165121</v>
      </c>
      <c r="M766">
        <v>33024</v>
      </c>
      <c r="N766">
        <v>49536</v>
      </c>
      <c r="O766">
        <v>16512</v>
      </c>
      <c r="P766">
        <v>-66048</v>
      </c>
      <c r="Q766">
        <v>-41280</v>
      </c>
      <c r="R766">
        <v>189381</v>
      </c>
      <c r="S766">
        <v>56814</v>
      </c>
      <c r="T766">
        <v>18938</v>
      </c>
      <c r="U766">
        <v>8256</v>
      </c>
      <c r="V766">
        <v>4953</v>
      </c>
      <c r="W766">
        <v>3302</v>
      </c>
      <c r="X766">
        <v>16512</v>
      </c>
      <c r="Y766">
        <v>8256</v>
      </c>
      <c r="Z766">
        <v>9469</v>
      </c>
      <c r="AA766">
        <v>5681</v>
      </c>
      <c r="AB766">
        <v>3787</v>
      </c>
    </row>
    <row r="767" spans="1:28" x14ac:dyDescent="0.35">
      <c r="A767" t="s">
        <v>812</v>
      </c>
      <c r="B767" t="s">
        <v>9</v>
      </c>
      <c r="C767" t="s">
        <v>1</v>
      </c>
      <c r="D767" t="s">
        <v>10</v>
      </c>
      <c r="E767" t="s">
        <v>11</v>
      </c>
      <c r="F767">
        <v>470210</v>
      </c>
      <c r="G767">
        <v>-138012</v>
      </c>
      <c r="H767">
        <v>95233</v>
      </c>
      <c r="I767">
        <v>470210</v>
      </c>
      <c r="J767">
        <v>47021</v>
      </c>
      <c r="K767">
        <v>23510</v>
      </c>
      <c r="L767">
        <v>231234</v>
      </c>
      <c r="M767">
        <v>46246</v>
      </c>
      <c r="N767">
        <v>69370</v>
      </c>
      <c r="O767">
        <v>23123</v>
      </c>
      <c r="P767">
        <v>-92493</v>
      </c>
      <c r="Q767">
        <v>-57808</v>
      </c>
      <c r="R767">
        <v>216023</v>
      </c>
      <c r="S767">
        <v>64806</v>
      </c>
      <c r="T767">
        <v>21602</v>
      </c>
      <c r="U767">
        <v>11561</v>
      </c>
      <c r="V767">
        <v>6937</v>
      </c>
      <c r="W767">
        <v>4624</v>
      </c>
      <c r="X767">
        <v>23123</v>
      </c>
      <c r="Y767">
        <v>11561</v>
      </c>
      <c r="Z767">
        <v>10801</v>
      </c>
      <c r="AA767">
        <v>6480</v>
      </c>
      <c r="AB767">
        <v>4320</v>
      </c>
    </row>
    <row r="768" spans="1:28" x14ac:dyDescent="0.35">
      <c r="A768" t="s">
        <v>813</v>
      </c>
      <c r="B768" t="s">
        <v>9</v>
      </c>
      <c r="C768" t="s">
        <v>1</v>
      </c>
      <c r="D768" t="s">
        <v>10</v>
      </c>
      <c r="E768" t="s">
        <v>11</v>
      </c>
      <c r="F768">
        <v>236285</v>
      </c>
      <c r="G768">
        <v>-127812</v>
      </c>
      <c r="H768">
        <v>103808</v>
      </c>
      <c r="I768">
        <v>236285</v>
      </c>
      <c r="J768">
        <v>23628</v>
      </c>
      <c r="K768">
        <v>11814</v>
      </c>
      <c r="L768">
        <v>61202</v>
      </c>
      <c r="M768">
        <v>12240</v>
      </c>
      <c r="N768">
        <v>18360</v>
      </c>
      <c r="O768">
        <v>6120</v>
      </c>
      <c r="P768">
        <v>-24480</v>
      </c>
      <c r="Q768">
        <v>-15300</v>
      </c>
      <c r="R768">
        <v>70643</v>
      </c>
      <c r="S768">
        <v>21192</v>
      </c>
      <c r="T768">
        <v>7064</v>
      </c>
      <c r="U768">
        <v>3060</v>
      </c>
      <c r="V768">
        <v>1836</v>
      </c>
      <c r="W768">
        <v>1224</v>
      </c>
      <c r="X768">
        <v>6120</v>
      </c>
      <c r="Y768">
        <v>3060</v>
      </c>
      <c r="Z768">
        <v>3532</v>
      </c>
      <c r="AA768">
        <v>2119</v>
      </c>
      <c r="AB768">
        <v>1412</v>
      </c>
    </row>
    <row r="769" spans="1:28" x14ac:dyDescent="0.35">
      <c r="A769" t="s">
        <v>814</v>
      </c>
      <c r="B769" t="s">
        <v>9</v>
      </c>
      <c r="C769" t="s">
        <v>1</v>
      </c>
      <c r="D769" t="s">
        <v>10</v>
      </c>
      <c r="E769" t="s">
        <v>11</v>
      </c>
      <c r="F769">
        <v>469540</v>
      </c>
      <c r="G769">
        <v>-240424</v>
      </c>
      <c r="H769">
        <v>67790</v>
      </c>
      <c r="I769">
        <v>469540</v>
      </c>
      <c r="J769">
        <v>46954</v>
      </c>
      <c r="K769">
        <v>23477</v>
      </c>
      <c r="L769">
        <v>199614</v>
      </c>
      <c r="M769">
        <v>39922</v>
      </c>
      <c r="N769">
        <v>59884</v>
      </c>
      <c r="O769">
        <v>19961</v>
      </c>
      <c r="P769">
        <v>-79845</v>
      </c>
      <c r="Q769">
        <v>-49903</v>
      </c>
      <c r="R769">
        <v>164729</v>
      </c>
      <c r="S769">
        <v>49418</v>
      </c>
      <c r="T769">
        <v>16472</v>
      </c>
      <c r="U769">
        <v>9980</v>
      </c>
      <c r="V769">
        <v>5988</v>
      </c>
      <c r="W769">
        <v>3992</v>
      </c>
      <c r="X769">
        <v>19961</v>
      </c>
      <c r="Y769">
        <v>9980</v>
      </c>
      <c r="Z769">
        <v>8236</v>
      </c>
      <c r="AA769">
        <v>4941</v>
      </c>
      <c r="AB769">
        <v>3294</v>
      </c>
    </row>
    <row r="770" spans="1:28" x14ac:dyDescent="0.35">
      <c r="A770" t="s">
        <v>815</v>
      </c>
      <c r="B770" t="s">
        <v>9</v>
      </c>
      <c r="C770" t="s">
        <v>1</v>
      </c>
      <c r="D770" t="s">
        <v>10</v>
      </c>
      <c r="E770" t="s">
        <v>11</v>
      </c>
      <c r="F770">
        <v>269238</v>
      </c>
      <c r="G770">
        <v>-138120</v>
      </c>
      <c r="H770">
        <v>95541</v>
      </c>
      <c r="I770">
        <v>269238</v>
      </c>
      <c r="J770">
        <v>26923</v>
      </c>
      <c r="K770">
        <v>13461</v>
      </c>
      <c r="L770">
        <v>131599</v>
      </c>
      <c r="M770">
        <v>26319</v>
      </c>
      <c r="N770">
        <v>39479</v>
      </c>
      <c r="O770">
        <v>13159</v>
      </c>
      <c r="P770">
        <v>-52639</v>
      </c>
      <c r="Q770">
        <v>-32899</v>
      </c>
      <c r="R770">
        <v>139167</v>
      </c>
      <c r="S770">
        <v>41750</v>
      </c>
      <c r="T770">
        <v>13916</v>
      </c>
      <c r="U770">
        <v>6579</v>
      </c>
      <c r="V770">
        <v>3947</v>
      </c>
      <c r="W770">
        <v>2631</v>
      </c>
      <c r="X770">
        <v>13159</v>
      </c>
      <c r="Y770">
        <v>6579</v>
      </c>
      <c r="Z770">
        <v>6958</v>
      </c>
      <c r="AA770">
        <v>4175</v>
      </c>
      <c r="AB770">
        <v>2783</v>
      </c>
    </row>
    <row r="771" spans="1:28" x14ac:dyDescent="0.35">
      <c r="A771" t="s">
        <v>816</v>
      </c>
      <c r="B771" t="s">
        <v>9</v>
      </c>
      <c r="C771" t="s">
        <v>1</v>
      </c>
      <c r="D771" t="s">
        <v>10</v>
      </c>
      <c r="E771" t="s">
        <v>11</v>
      </c>
      <c r="F771">
        <v>280673</v>
      </c>
      <c r="G771">
        <v>-163814</v>
      </c>
      <c r="H771">
        <v>34655</v>
      </c>
      <c r="I771">
        <v>280673</v>
      </c>
      <c r="J771">
        <v>28067</v>
      </c>
      <c r="K771">
        <v>14033</v>
      </c>
      <c r="L771">
        <v>209242</v>
      </c>
      <c r="M771">
        <v>41848</v>
      </c>
      <c r="N771">
        <v>62772</v>
      </c>
      <c r="O771">
        <v>20924</v>
      </c>
      <c r="P771">
        <v>-83696</v>
      </c>
      <c r="Q771">
        <v>-52310</v>
      </c>
      <c r="R771">
        <v>201882</v>
      </c>
      <c r="S771">
        <v>60564</v>
      </c>
      <c r="T771">
        <v>20188</v>
      </c>
      <c r="U771">
        <v>10462</v>
      </c>
      <c r="V771">
        <v>6277</v>
      </c>
      <c r="W771">
        <v>4184</v>
      </c>
      <c r="X771">
        <v>20924</v>
      </c>
      <c r="Y771">
        <v>10462</v>
      </c>
      <c r="Z771">
        <v>10094</v>
      </c>
      <c r="AA771">
        <v>6056</v>
      </c>
      <c r="AB771">
        <v>4037</v>
      </c>
    </row>
    <row r="772" spans="1:28" x14ac:dyDescent="0.35">
      <c r="A772" t="s">
        <v>817</v>
      </c>
      <c r="B772" t="s">
        <v>9</v>
      </c>
      <c r="C772" t="s">
        <v>1</v>
      </c>
      <c r="D772" t="s">
        <v>10</v>
      </c>
      <c r="E772" t="s">
        <v>11</v>
      </c>
      <c r="F772">
        <v>439853</v>
      </c>
      <c r="G772">
        <v>-112220</v>
      </c>
      <c r="H772">
        <v>59997</v>
      </c>
      <c r="I772">
        <v>439853</v>
      </c>
      <c r="J772">
        <v>43985</v>
      </c>
      <c r="K772">
        <v>21992</v>
      </c>
      <c r="L772">
        <v>152360</v>
      </c>
      <c r="M772">
        <v>30472</v>
      </c>
      <c r="N772">
        <v>45708</v>
      </c>
      <c r="O772">
        <v>15236</v>
      </c>
      <c r="P772">
        <v>-60944</v>
      </c>
      <c r="Q772">
        <v>-38090</v>
      </c>
      <c r="R772">
        <v>132012</v>
      </c>
      <c r="S772">
        <v>39603</v>
      </c>
      <c r="T772">
        <v>13201</v>
      </c>
      <c r="U772">
        <v>7618</v>
      </c>
      <c r="V772">
        <v>4570</v>
      </c>
      <c r="W772">
        <v>3047</v>
      </c>
      <c r="X772">
        <v>15236</v>
      </c>
      <c r="Y772">
        <v>7618</v>
      </c>
      <c r="Z772">
        <v>6600</v>
      </c>
      <c r="AA772">
        <v>3960</v>
      </c>
      <c r="AB772">
        <v>2640</v>
      </c>
    </row>
    <row r="773" spans="1:28" x14ac:dyDescent="0.35">
      <c r="A773" t="s">
        <v>818</v>
      </c>
      <c r="B773" t="s">
        <v>9</v>
      </c>
      <c r="C773" t="s">
        <v>1</v>
      </c>
      <c r="D773" t="s">
        <v>10</v>
      </c>
      <c r="E773" t="s">
        <v>11</v>
      </c>
      <c r="F773">
        <v>492854</v>
      </c>
      <c r="G773">
        <v>-291954</v>
      </c>
      <c r="H773">
        <v>174407</v>
      </c>
      <c r="I773">
        <v>492854</v>
      </c>
      <c r="J773">
        <v>49285</v>
      </c>
      <c r="K773">
        <v>24642</v>
      </c>
      <c r="L773">
        <v>119836</v>
      </c>
      <c r="M773">
        <v>23967</v>
      </c>
      <c r="N773">
        <v>35950</v>
      </c>
      <c r="O773">
        <v>11983</v>
      </c>
      <c r="P773">
        <v>-47934</v>
      </c>
      <c r="Q773">
        <v>-29959</v>
      </c>
      <c r="R773">
        <v>104200</v>
      </c>
      <c r="S773">
        <v>31260</v>
      </c>
      <c r="T773">
        <v>10420</v>
      </c>
      <c r="U773">
        <v>5991</v>
      </c>
      <c r="V773">
        <v>3595</v>
      </c>
      <c r="W773">
        <v>2396</v>
      </c>
      <c r="X773">
        <v>11983</v>
      </c>
      <c r="Y773">
        <v>5991</v>
      </c>
      <c r="Z773">
        <v>5210</v>
      </c>
      <c r="AA773">
        <v>3126</v>
      </c>
      <c r="AB773">
        <v>2084</v>
      </c>
    </row>
    <row r="774" spans="1:28" x14ac:dyDescent="0.35">
      <c r="A774" t="s">
        <v>819</v>
      </c>
      <c r="B774" t="s">
        <v>9</v>
      </c>
      <c r="C774" t="s">
        <v>1</v>
      </c>
      <c r="D774" t="s">
        <v>10</v>
      </c>
      <c r="E774" t="s">
        <v>11</v>
      </c>
      <c r="F774">
        <v>339477</v>
      </c>
      <c r="G774">
        <v>-110615</v>
      </c>
      <c r="H774">
        <v>115653</v>
      </c>
      <c r="I774">
        <v>339477</v>
      </c>
      <c r="J774">
        <v>33947</v>
      </c>
      <c r="K774">
        <v>16973</v>
      </c>
      <c r="L774">
        <v>256978</v>
      </c>
      <c r="M774">
        <v>51395</v>
      </c>
      <c r="N774">
        <v>77093</v>
      </c>
      <c r="O774">
        <v>25697</v>
      </c>
      <c r="P774">
        <v>-102791</v>
      </c>
      <c r="Q774">
        <v>-64244</v>
      </c>
      <c r="R774">
        <v>279809</v>
      </c>
      <c r="S774">
        <v>83942</v>
      </c>
      <c r="T774">
        <v>27980</v>
      </c>
      <c r="U774">
        <v>12848</v>
      </c>
      <c r="V774">
        <v>7709</v>
      </c>
      <c r="W774">
        <v>5139</v>
      </c>
      <c r="X774">
        <v>25697</v>
      </c>
      <c r="Y774">
        <v>12848</v>
      </c>
      <c r="Z774">
        <v>13990</v>
      </c>
      <c r="AA774">
        <v>8394</v>
      </c>
      <c r="AB774">
        <v>5596</v>
      </c>
    </row>
    <row r="775" spans="1:28" x14ac:dyDescent="0.35">
      <c r="A775" t="s">
        <v>820</v>
      </c>
      <c r="B775" t="s">
        <v>9</v>
      </c>
      <c r="C775" t="s">
        <v>1</v>
      </c>
      <c r="D775" t="s">
        <v>10</v>
      </c>
      <c r="E775" t="s">
        <v>11</v>
      </c>
      <c r="F775">
        <v>282343</v>
      </c>
      <c r="G775">
        <v>-74338</v>
      </c>
      <c r="H775">
        <v>120066</v>
      </c>
      <c r="I775">
        <v>282343</v>
      </c>
      <c r="J775">
        <v>28234</v>
      </c>
      <c r="K775">
        <v>14117</v>
      </c>
      <c r="L775">
        <v>203364</v>
      </c>
      <c r="M775">
        <v>40672</v>
      </c>
      <c r="N775">
        <v>61009</v>
      </c>
      <c r="O775">
        <v>20336</v>
      </c>
      <c r="P775">
        <v>-81345</v>
      </c>
      <c r="Q775">
        <v>-50841</v>
      </c>
      <c r="R775">
        <v>193338</v>
      </c>
      <c r="S775">
        <v>58001</v>
      </c>
      <c r="T775">
        <v>19333</v>
      </c>
      <c r="U775">
        <v>10168</v>
      </c>
      <c r="V775">
        <v>6100</v>
      </c>
      <c r="W775">
        <v>4067</v>
      </c>
      <c r="X775">
        <v>20336</v>
      </c>
      <c r="Y775">
        <v>10168</v>
      </c>
      <c r="Z775">
        <v>9666</v>
      </c>
      <c r="AA775">
        <v>5800</v>
      </c>
      <c r="AB775">
        <v>3866</v>
      </c>
    </row>
    <row r="776" spans="1:28" x14ac:dyDescent="0.35">
      <c r="A776" t="s">
        <v>821</v>
      </c>
      <c r="B776" t="s">
        <v>9</v>
      </c>
      <c r="C776" t="s">
        <v>1</v>
      </c>
      <c r="D776" t="s">
        <v>10</v>
      </c>
      <c r="E776" t="s">
        <v>11</v>
      </c>
      <c r="F776">
        <v>340125</v>
      </c>
      <c r="G776">
        <v>-168765</v>
      </c>
      <c r="H776">
        <v>147147</v>
      </c>
      <c r="I776">
        <v>340125</v>
      </c>
      <c r="J776">
        <v>34012</v>
      </c>
      <c r="K776">
        <v>17006</v>
      </c>
      <c r="L776">
        <v>248659</v>
      </c>
      <c r="M776">
        <v>49731</v>
      </c>
      <c r="N776">
        <v>74597</v>
      </c>
      <c r="O776">
        <v>24865</v>
      </c>
      <c r="P776">
        <v>-99463</v>
      </c>
      <c r="Q776">
        <v>-62164</v>
      </c>
      <c r="R776">
        <v>208540</v>
      </c>
      <c r="S776">
        <v>62562</v>
      </c>
      <c r="T776">
        <v>20854</v>
      </c>
      <c r="U776">
        <v>12432</v>
      </c>
      <c r="V776">
        <v>7459</v>
      </c>
      <c r="W776">
        <v>4973</v>
      </c>
      <c r="X776">
        <v>24865</v>
      </c>
      <c r="Y776">
        <v>12432</v>
      </c>
      <c r="Z776">
        <v>10427</v>
      </c>
      <c r="AA776">
        <v>6256</v>
      </c>
      <c r="AB776">
        <v>4170</v>
      </c>
    </row>
    <row r="777" spans="1:28" x14ac:dyDescent="0.35">
      <c r="A777" t="s">
        <v>822</v>
      </c>
      <c r="B777" t="s">
        <v>9</v>
      </c>
      <c r="C777" t="s">
        <v>1</v>
      </c>
      <c r="D777" t="s">
        <v>10</v>
      </c>
      <c r="E777" t="s">
        <v>11</v>
      </c>
      <c r="F777">
        <v>287130</v>
      </c>
      <c r="G777">
        <v>-136907</v>
      </c>
      <c r="H777">
        <v>76928</v>
      </c>
      <c r="I777">
        <v>287130</v>
      </c>
      <c r="J777">
        <v>28713</v>
      </c>
      <c r="K777">
        <v>14356</v>
      </c>
      <c r="L777">
        <v>184139</v>
      </c>
      <c r="M777">
        <v>36827</v>
      </c>
      <c r="N777">
        <v>55241</v>
      </c>
      <c r="O777">
        <v>18413</v>
      </c>
      <c r="P777">
        <v>-73655</v>
      </c>
      <c r="Q777">
        <v>-46034</v>
      </c>
      <c r="R777">
        <v>218832</v>
      </c>
      <c r="S777">
        <v>65649</v>
      </c>
      <c r="T777">
        <v>21883</v>
      </c>
      <c r="U777">
        <v>9206</v>
      </c>
      <c r="V777">
        <v>5524</v>
      </c>
      <c r="W777">
        <v>3682</v>
      </c>
      <c r="X777">
        <v>18413</v>
      </c>
      <c r="Y777">
        <v>9206</v>
      </c>
      <c r="Z777">
        <v>10941</v>
      </c>
      <c r="AA777">
        <v>6564</v>
      </c>
      <c r="AB777">
        <v>4376</v>
      </c>
    </row>
    <row r="778" spans="1:28" x14ac:dyDescent="0.35">
      <c r="A778" t="s">
        <v>823</v>
      </c>
      <c r="B778" t="s">
        <v>9</v>
      </c>
      <c r="C778" t="s">
        <v>1</v>
      </c>
      <c r="D778" t="s">
        <v>10</v>
      </c>
      <c r="E778" t="s">
        <v>11</v>
      </c>
      <c r="F778">
        <v>205981</v>
      </c>
      <c r="G778">
        <v>-66543</v>
      </c>
      <c r="H778">
        <v>87222</v>
      </c>
      <c r="I778">
        <v>205981</v>
      </c>
      <c r="J778">
        <v>20598</v>
      </c>
      <c r="K778">
        <v>10299</v>
      </c>
      <c r="L778">
        <v>153396</v>
      </c>
      <c r="M778">
        <v>30679</v>
      </c>
      <c r="N778">
        <v>46018</v>
      </c>
      <c r="O778">
        <v>15339</v>
      </c>
      <c r="P778">
        <v>-61358</v>
      </c>
      <c r="Q778">
        <v>-38349</v>
      </c>
      <c r="R778">
        <v>164071</v>
      </c>
      <c r="S778">
        <v>49221</v>
      </c>
      <c r="T778">
        <v>16407</v>
      </c>
      <c r="U778">
        <v>7669</v>
      </c>
      <c r="V778">
        <v>4601</v>
      </c>
      <c r="W778">
        <v>3067</v>
      </c>
      <c r="X778">
        <v>15339</v>
      </c>
      <c r="Y778">
        <v>7669</v>
      </c>
      <c r="Z778">
        <v>8203</v>
      </c>
      <c r="AA778">
        <v>4922</v>
      </c>
      <c r="AB778">
        <v>3281</v>
      </c>
    </row>
    <row r="779" spans="1:28" x14ac:dyDescent="0.35">
      <c r="A779" t="s">
        <v>824</v>
      </c>
      <c r="B779" t="s">
        <v>9</v>
      </c>
      <c r="C779" t="s">
        <v>1</v>
      </c>
      <c r="D779" t="s">
        <v>10</v>
      </c>
      <c r="E779" t="s">
        <v>11</v>
      </c>
      <c r="F779">
        <v>462484</v>
      </c>
      <c r="G779">
        <v>-137351</v>
      </c>
      <c r="H779">
        <v>199465</v>
      </c>
      <c r="I779">
        <v>462484</v>
      </c>
      <c r="J779">
        <v>46248</v>
      </c>
      <c r="K779">
        <v>23124</v>
      </c>
      <c r="L779">
        <v>235196</v>
      </c>
      <c r="M779">
        <v>47039</v>
      </c>
      <c r="N779">
        <v>70558</v>
      </c>
      <c r="O779">
        <v>23519</v>
      </c>
      <c r="P779">
        <v>-94078</v>
      </c>
      <c r="Q779">
        <v>-58799</v>
      </c>
      <c r="R779">
        <v>210494</v>
      </c>
      <c r="S779">
        <v>63148</v>
      </c>
      <c r="T779">
        <v>21049</v>
      </c>
      <c r="U779">
        <v>11759</v>
      </c>
      <c r="V779">
        <v>7055</v>
      </c>
      <c r="W779">
        <v>4703</v>
      </c>
      <c r="X779">
        <v>23519</v>
      </c>
      <c r="Y779">
        <v>11759</v>
      </c>
      <c r="Z779">
        <v>10524</v>
      </c>
      <c r="AA779">
        <v>6314</v>
      </c>
      <c r="AB779">
        <v>4209</v>
      </c>
    </row>
    <row r="780" spans="1:28" x14ac:dyDescent="0.35">
      <c r="A780" t="s">
        <v>825</v>
      </c>
      <c r="B780" t="s">
        <v>9</v>
      </c>
      <c r="C780" t="s">
        <v>1</v>
      </c>
      <c r="D780" t="s">
        <v>10</v>
      </c>
      <c r="E780" t="s">
        <v>11</v>
      </c>
      <c r="F780">
        <v>211003</v>
      </c>
      <c r="G780">
        <v>-44680</v>
      </c>
      <c r="H780">
        <v>68893</v>
      </c>
      <c r="I780">
        <v>211003</v>
      </c>
      <c r="J780">
        <v>21100</v>
      </c>
      <c r="K780">
        <v>10550</v>
      </c>
      <c r="L780">
        <v>145489</v>
      </c>
      <c r="M780">
        <v>29097</v>
      </c>
      <c r="N780">
        <v>43646</v>
      </c>
      <c r="O780">
        <v>14548</v>
      </c>
      <c r="P780">
        <v>-58195</v>
      </c>
      <c r="Q780">
        <v>-36372</v>
      </c>
      <c r="R780">
        <v>154604</v>
      </c>
      <c r="S780">
        <v>46381</v>
      </c>
      <c r="T780">
        <v>15460</v>
      </c>
      <c r="U780">
        <v>7274</v>
      </c>
      <c r="V780">
        <v>4364</v>
      </c>
      <c r="W780">
        <v>2909</v>
      </c>
      <c r="X780">
        <v>14548</v>
      </c>
      <c r="Y780">
        <v>7274</v>
      </c>
      <c r="Z780">
        <v>7730</v>
      </c>
      <c r="AA780">
        <v>4638</v>
      </c>
      <c r="AB780">
        <v>3092</v>
      </c>
    </row>
    <row r="781" spans="1:28" x14ac:dyDescent="0.35">
      <c r="A781" t="s">
        <v>826</v>
      </c>
      <c r="B781" t="s">
        <v>9</v>
      </c>
      <c r="C781" t="s">
        <v>1</v>
      </c>
      <c r="D781" t="s">
        <v>10</v>
      </c>
      <c r="E781" t="s">
        <v>11</v>
      </c>
      <c r="F781">
        <v>332673</v>
      </c>
      <c r="G781">
        <v>-161905</v>
      </c>
      <c r="H781">
        <v>131575</v>
      </c>
      <c r="I781">
        <v>332673</v>
      </c>
      <c r="J781">
        <v>33267</v>
      </c>
      <c r="K781">
        <v>16633</v>
      </c>
      <c r="L781">
        <v>172068</v>
      </c>
      <c r="M781">
        <v>34413</v>
      </c>
      <c r="N781">
        <v>51620</v>
      </c>
      <c r="O781">
        <v>17206</v>
      </c>
      <c r="P781">
        <v>-68827</v>
      </c>
      <c r="Q781">
        <v>-43017</v>
      </c>
      <c r="R781">
        <v>182708</v>
      </c>
      <c r="S781">
        <v>54812</v>
      </c>
      <c r="T781">
        <v>18270</v>
      </c>
      <c r="U781">
        <v>8603</v>
      </c>
      <c r="V781">
        <v>5162</v>
      </c>
      <c r="W781">
        <v>3441</v>
      </c>
      <c r="X781">
        <v>17206</v>
      </c>
      <c r="Y781">
        <v>8603</v>
      </c>
      <c r="Z781">
        <v>9135</v>
      </c>
      <c r="AA781">
        <v>5481</v>
      </c>
      <c r="AB781">
        <v>3654</v>
      </c>
    </row>
    <row r="782" spans="1:28" x14ac:dyDescent="0.35">
      <c r="A782" t="s">
        <v>827</v>
      </c>
      <c r="B782" t="s">
        <v>9</v>
      </c>
      <c r="C782" t="s">
        <v>1</v>
      </c>
      <c r="D782" t="s">
        <v>10</v>
      </c>
      <c r="E782" t="s">
        <v>11</v>
      </c>
      <c r="F782">
        <v>241797</v>
      </c>
      <c r="G782">
        <v>-130807</v>
      </c>
      <c r="H782">
        <v>66092</v>
      </c>
      <c r="I782">
        <v>241797</v>
      </c>
      <c r="J782">
        <v>24179</v>
      </c>
      <c r="K782">
        <v>12089</v>
      </c>
      <c r="L782">
        <v>131232</v>
      </c>
      <c r="M782">
        <v>26246</v>
      </c>
      <c r="N782">
        <v>39369</v>
      </c>
      <c r="O782">
        <v>13123</v>
      </c>
      <c r="P782">
        <v>-52492</v>
      </c>
      <c r="Q782">
        <v>-32808</v>
      </c>
      <c r="R782">
        <v>115205</v>
      </c>
      <c r="S782">
        <v>34561</v>
      </c>
      <c r="T782">
        <v>11520</v>
      </c>
      <c r="U782">
        <v>6561</v>
      </c>
      <c r="V782">
        <v>3936</v>
      </c>
      <c r="W782">
        <v>2624</v>
      </c>
      <c r="X782">
        <v>13123</v>
      </c>
      <c r="Y782">
        <v>6561</v>
      </c>
      <c r="Z782">
        <v>5760</v>
      </c>
      <c r="AA782">
        <v>3456</v>
      </c>
      <c r="AB782">
        <v>2304</v>
      </c>
    </row>
    <row r="783" spans="1:28" x14ac:dyDescent="0.35">
      <c r="A783" t="s">
        <v>828</v>
      </c>
      <c r="B783" t="s">
        <v>9</v>
      </c>
      <c r="C783" t="s">
        <v>1</v>
      </c>
      <c r="D783" t="s">
        <v>10</v>
      </c>
      <c r="E783" t="s">
        <v>11</v>
      </c>
      <c r="F783">
        <v>147524</v>
      </c>
      <c r="G783">
        <v>-63280</v>
      </c>
      <c r="H783">
        <v>18617</v>
      </c>
      <c r="I783">
        <v>147524</v>
      </c>
      <c r="J783">
        <v>14752</v>
      </c>
      <c r="K783">
        <v>7376</v>
      </c>
      <c r="L783">
        <v>75130</v>
      </c>
      <c r="M783">
        <v>15026</v>
      </c>
      <c r="N783">
        <v>22539</v>
      </c>
      <c r="O783">
        <v>7513</v>
      </c>
      <c r="P783">
        <v>-30052</v>
      </c>
      <c r="Q783">
        <v>-18782</v>
      </c>
      <c r="R783">
        <v>82422</v>
      </c>
      <c r="S783">
        <v>24726</v>
      </c>
      <c r="T783">
        <v>8242</v>
      </c>
      <c r="U783">
        <v>3756</v>
      </c>
      <c r="V783">
        <v>2253</v>
      </c>
      <c r="W783">
        <v>1502</v>
      </c>
      <c r="X783">
        <v>7513</v>
      </c>
      <c r="Y783">
        <v>3756</v>
      </c>
      <c r="Z783">
        <v>4121</v>
      </c>
      <c r="AA783">
        <v>2472</v>
      </c>
      <c r="AB783">
        <v>1648</v>
      </c>
    </row>
    <row r="784" spans="1:28" x14ac:dyDescent="0.35">
      <c r="A784" t="s">
        <v>829</v>
      </c>
      <c r="B784" t="s">
        <v>9</v>
      </c>
      <c r="C784" t="s">
        <v>1</v>
      </c>
      <c r="D784" t="s">
        <v>10</v>
      </c>
      <c r="E784" t="s">
        <v>11</v>
      </c>
      <c r="F784">
        <v>199694</v>
      </c>
      <c r="G784">
        <v>-99526</v>
      </c>
      <c r="H784">
        <v>35438</v>
      </c>
      <c r="I784">
        <v>199694</v>
      </c>
      <c r="J784">
        <v>19969</v>
      </c>
      <c r="K784">
        <v>9984</v>
      </c>
      <c r="L784">
        <v>129295</v>
      </c>
      <c r="M784">
        <v>25859</v>
      </c>
      <c r="N784">
        <v>38788</v>
      </c>
      <c r="O784">
        <v>12929</v>
      </c>
      <c r="P784">
        <v>-51718</v>
      </c>
      <c r="Q784">
        <v>-32323</v>
      </c>
      <c r="R784">
        <v>109256</v>
      </c>
      <c r="S784">
        <v>32776</v>
      </c>
      <c r="T784">
        <v>10925</v>
      </c>
      <c r="U784">
        <v>6464</v>
      </c>
      <c r="V784">
        <v>3878</v>
      </c>
      <c r="W784">
        <v>2585</v>
      </c>
      <c r="X784">
        <v>12929</v>
      </c>
      <c r="Y784">
        <v>6464</v>
      </c>
      <c r="Z784">
        <v>5462</v>
      </c>
      <c r="AA784">
        <v>3277</v>
      </c>
      <c r="AB784">
        <v>2185</v>
      </c>
    </row>
    <row r="785" spans="1:28" x14ac:dyDescent="0.35">
      <c r="A785" t="s">
        <v>830</v>
      </c>
      <c r="B785" t="s">
        <v>9</v>
      </c>
      <c r="C785" t="s">
        <v>1</v>
      </c>
      <c r="D785" t="s">
        <v>10</v>
      </c>
      <c r="E785" t="s">
        <v>11</v>
      </c>
      <c r="F785">
        <v>255012</v>
      </c>
      <c r="G785">
        <v>-93846</v>
      </c>
      <c r="H785">
        <v>37374</v>
      </c>
      <c r="I785">
        <v>255012</v>
      </c>
      <c r="J785">
        <v>25501</v>
      </c>
      <c r="K785">
        <v>12750</v>
      </c>
      <c r="L785">
        <v>79200</v>
      </c>
      <c r="M785">
        <v>15840</v>
      </c>
      <c r="N785">
        <v>23760</v>
      </c>
      <c r="O785">
        <v>7920</v>
      </c>
      <c r="P785">
        <v>-31680</v>
      </c>
      <c r="Q785">
        <v>-19800</v>
      </c>
      <c r="R785">
        <v>75105</v>
      </c>
      <c r="S785">
        <v>22531</v>
      </c>
      <c r="T785">
        <v>7510</v>
      </c>
      <c r="U785">
        <v>3960</v>
      </c>
      <c r="V785">
        <v>2376</v>
      </c>
      <c r="W785">
        <v>1584</v>
      </c>
      <c r="X785">
        <v>7920</v>
      </c>
      <c r="Y785">
        <v>3960</v>
      </c>
      <c r="Z785">
        <v>3755</v>
      </c>
      <c r="AA785">
        <v>2253</v>
      </c>
      <c r="AB785">
        <v>1502</v>
      </c>
    </row>
    <row r="786" spans="1:28" x14ac:dyDescent="0.35">
      <c r="A786" t="s">
        <v>831</v>
      </c>
      <c r="B786" t="s">
        <v>9</v>
      </c>
      <c r="C786" t="s">
        <v>1</v>
      </c>
      <c r="D786" t="s">
        <v>10</v>
      </c>
      <c r="E786" t="s">
        <v>11</v>
      </c>
      <c r="F786">
        <v>491271</v>
      </c>
      <c r="G786">
        <v>-155112</v>
      </c>
      <c r="H786">
        <v>111082</v>
      </c>
      <c r="I786">
        <v>491271</v>
      </c>
      <c r="J786">
        <v>49127</v>
      </c>
      <c r="K786">
        <v>24563</v>
      </c>
      <c r="L786">
        <v>196887</v>
      </c>
      <c r="M786">
        <v>39377</v>
      </c>
      <c r="N786">
        <v>59066</v>
      </c>
      <c r="O786">
        <v>19688</v>
      </c>
      <c r="P786">
        <v>-78754</v>
      </c>
      <c r="Q786">
        <v>-49221</v>
      </c>
      <c r="R786">
        <v>216966</v>
      </c>
      <c r="S786">
        <v>65089</v>
      </c>
      <c r="T786">
        <v>21696</v>
      </c>
      <c r="U786">
        <v>9844</v>
      </c>
      <c r="V786">
        <v>5906</v>
      </c>
      <c r="W786">
        <v>3937</v>
      </c>
      <c r="X786">
        <v>19688</v>
      </c>
      <c r="Y786">
        <v>9844</v>
      </c>
      <c r="Z786">
        <v>10848</v>
      </c>
      <c r="AA786">
        <v>6508</v>
      </c>
      <c r="AB786">
        <v>4339</v>
      </c>
    </row>
    <row r="787" spans="1:28" x14ac:dyDescent="0.35">
      <c r="A787" t="s">
        <v>832</v>
      </c>
      <c r="B787" t="s">
        <v>9</v>
      </c>
      <c r="C787" t="s">
        <v>1</v>
      </c>
      <c r="D787" t="s">
        <v>10</v>
      </c>
      <c r="E787" t="s">
        <v>11</v>
      </c>
      <c r="F787">
        <v>413611</v>
      </c>
      <c r="G787">
        <v>-189956</v>
      </c>
      <c r="H787">
        <v>62903</v>
      </c>
      <c r="I787">
        <v>413611</v>
      </c>
      <c r="J787">
        <v>41361</v>
      </c>
      <c r="K787">
        <v>20680</v>
      </c>
      <c r="L787">
        <v>209921</v>
      </c>
      <c r="M787">
        <v>41984</v>
      </c>
      <c r="N787">
        <v>62976</v>
      </c>
      <c r="O787">
        <v>20992</v>
      </c>
      <c r="P787">
        <v>-83968</v>
      </c>
      <c r="Q787">
        <v>-52480</v>
      </c>
      <c r="R787">
        <v>212459</v>
      </c>
      <c r="S787">
        <v>63737</v>
      </c>
      <c r="T787">
        <v>21245</v>
      </c>
      <c r="U787">
        <v>10496</v>
      </c>
      <c r="V787">
        <v>6297</v>
      </c>
      <c r="W787">
        <v>4198</v>
      </c>
      <c r="X787">
        <v>20992</v>
      </c>
      <c r="Y787">
        <v>10496</v>
      </c>
      <c r="Z787">
        <v>10622</v>
      </c>
      <c r="AA787">
        <v>6373</v>
      </c>
      <c r="AB787">
        <v>4249</v>
      </c>
    </row>
    <row r="788" spans="1:28" x14ac:dyDescent="0.35">
      <c r="A788" t="s">
        <v>833</v>
      </c>
      <c r="B788" t="s">
        <v>9</v>
      </c>
      <c r="C788" t="s">
        <v>1</v>
      </c>
      <c r="D788" t="s">
        <v>10</v>
      </c>
      <c r="E788" t="s">
        <v>11</v>
      </c>
      <c r="F788">
        <v>196597</v>
      </c>
      <c r="G788">
        <v>-75125</v>
      </c>
      <c r="H788">
        <v>19734</v>
      </c>
      <c r="I788">
        <v>196597</v>
      </c>
      <c r="J788">
        <v>19659</v>
      </c>
      <c r="K788">
        <v>9829</v>
      </c>
      <c r="L788">
        <v>118609</v>
      </c>
      <c r="M788">
        <v>23721</v>
      </c>
      <c r="N788">
        <v>35582</v>
      </c>
      <c r="O788">
        <v>11860</v>
      </c>
      <c r="P788">
        <v>-47443</v>
      </c>
      <c r="Q788">
        <v>-29652</v>
      </c>
      <c r="R788">
        <v>104936</v>
      </c>
      <c r="S788">
        <v>31480</v>
      </c>
      <c r="T788">
        <v>10493</v>
      </c>
      <c r="U788">
        <v>5930</v>
      </c>
      <c r="V788">
        <v>3558</v>
      </c>
      <c r="W788">
        <v>2372</v>
      </c>
      <c r="X788">
        <v>11860</v>
      </c>
      <c r="Y788">
        <v>5930</v>
      </c>
      <c r="Z788">
        <v>5246</v>
      </c>
      <c r="AA788">
        <v>3148</v>
      </c>
      <c r="AB788">
        <v>2098</v>
      </c>
    </row>
    <row r="789" spans="1:28" x14ac:dyDescent="0.35">
      <c r="A789" t="s">
        <v>834</v>
      </c>
      <c r="B789" t="s">
        <v>9</v>
      </c>
      <c r="C789" t="s">
        <v>1</v>
      </c>
      <c r="D789" t="s">
        <v>10</v>
      </c>
      <c r="E789" t="s">
        <v>11</v>
      </c>
      <c r="F789">
        <v>80574</v>
      </c>
      <c r="G789">
        <v>-43915</v>
      </c>
      <c r="H789">
        <v>24420</v>
      </c>
      <c r="I789">
        <v>80574</v>
      </c>
      <c r="J789">
        <v>8057</v>
      </c>
      <c r="K789">
        <v>4028</v>
      </c>
      <c r="L789">
        <v>49193</v>
      </c>
      <c r="M789">
        <v>9838</v>
      </c>
      <c r="N789">
        <v>14757</v>
      </c>
      <c r="O789">
        <v>4919</v>
      </c>
      <c r="P789">
        <v>-19677</v>
      </c>
      <c r="Q789">
        <v>-12298</v>
      </c>
      <c r="R789">
        <v>40475</v>
      </c>
      <c r="S789">
        <v>12142</v>
      </c>
      <c r="T789">
        <v>4047</v>
      </c>
      <c r="U789">
        <v>2459</v>
      </c>
      <c r="V789">
        <v>1475</v>
      </c>
      <c r="W789">
        <v>983</v>
      </c>
      <c r="X789">
        <v>4919</v>
      </c>
      <c r="Y789">
        <v>2459</v>
      </c>
      <c r="Z789">
        <v>2023</v>
      </c>
      <c r="AA789">
        <v>1214</v>
      </c>
      <c r="AB789">
        <v>809</v>
      </c>
    </row>
    <row r="790" spans="1:28" x14ac:dyDescent="0.35">
      <c r="A790" t="s">
        <v>835</v>
      </c>
      <c r="B790" t="s">
        <v>9</v>
      </c>
      <c r="C790" t="s">
        <v>1</v>
      </c>
      <c r="D790" t="s">
        <v>10</v>
      </c>
      <c r="E790" t="s">
        <v>11</v>
      </c>
      <c r="F790">
        <v>311083</v>
      </c>
      <c r="G790">
        <v>-63299</v>
      </c>
      <c r="H790">
        <v>62108</v>
      </c>
      <c r="I790">
        <v>311083</v>
      </c>
      <c r="J790">
        <v>31108</v>
      </c>
      <c r="K790">
        <v>15554</v>
      </c>
      <c r="L790">
        <v>118029</v>
      </c>
      <c r="M790">
        <v>23605</v>
      </c>
      <c r="N790">
        <v>35408</v>
      </c>
      <c r="O790">
        <v>11802</v>
      </c>
      <c r="P790">
        <v>-47211</v>
      </c>
      <c r="Q790">
        <v>-29507</v>
      </c>
      <c r="R790">
        <v>97405</v>
      </c>
      <c r="S790">
        <v>29221</v>
      </c>
      <c r="T790">
        <v>9740</v>
      </c>
      <c r="U790">
        <v>5901</v>
      </c>
      <c r="V790">
        <v>3540</v>
      </c>
      <c r="W790">
        <v>2360</v>
      </c>
      <c r="X790">
        <v>11802</v>
      </c>
      <c r="Y790">
        <v>5901</v>
      </c>
      <c r="Z790">
        <v>4870</v>
      </c>
      <c r="AA790">
        <v>2922</v>
      </c>
      <c r="AB790">
        <v>1948</v>
      </c>
    </row>
    <row r="791" spans="1:28" x14ac:dyDescent="0.35">
      <c r="A791" t="s">
        <v>836</v>
      </c>
      <c r="B791" t="s">
        <v>9</v>
      </c>
      <c r="C791" t="s">
        <v>1</v>
      </c>
      <c r="D791" t="s">
        <v>10</v>
      </c>
      <c r="E791" t="s">
        <v>11</v>
      </c>
      <c r="F791">
        <v>225376</v>
      </c>
      <c r="G791">
        <v>-107365</v>
      </c>
      <c r="H791">
        <v>36951</v>
      </c>
      <c r="I791">
        <v>225376</v>
      </c>
      <c r="J791">
        <v>22537</v>
      </c>
      <c r="K791">
        <v>11268</v>
      </c>
      <c r="L791">
        <v>116585</v>
      </c>
      <c r="M791">
        <v>23317</v>
      </c>
      <c r="N791">
        <v>34975</v>
      </c>
      <c r="O791">
        <v>11658</v>
      </c>
      <c r="P791">
        <v>-46634</v>
      </c>
      <c r="Q791">
        <v>-29146</v>
      </c>
      <c r="R791">
        <v>105286</v>
      </c>
      <c r="S791">
        <v>31585</v>
      </c>
      <c r="T791">
        <v>10528</v>
      </c>
      <c r="U791">
        <v>5829</v>
      </c>
      <c r="V791">
        <v>3497</v>
      </c>
      <c r="W791">
        <v>2331</v>
      </c>
      <c r="X791">
        <v>11658</v>
      </c>
      <c r="Y791">
        <v>5829</v>
      </c>
      <c r="Z791">
        <v>5264</v>
      </c>
      <c r="AA791">
        <v>3158</v>
      </c>
      <c r="AB791">
        <v>2105</v>
      </c>
    </row>
    <row r="792" spans="1:28" x14ac:dyDescent="0.35">
      <c r="A792" t="s">
        <v>837</v>
      </c>
      <c r="B792" t="s">
        <v>9</v>
      </c>
      <c r="C792" t="s">
        <v>1</v>
      </c>
      <c r="D792" t="s">
        <v>10</v>
      </c>
      <c r="E792" t="s">
        <v>11</v>
      </c>
      <c r="F792">
        <v>430430</v>
      </c>
      <c r="G792">
        <v>-140897</v>
      </c>
      <c r="H792">
        <v>90659</v>
      </c>
      <c r="I792">
        <v>430430</v>
      </c>
      <c r="J792">
        <v>43043</v>
      </c>
      <c r="K792">
        <v>21521</v>
      </c>
      <c r="L792">
        <v>327881</v>
      </c>
      <c r="M792">
        <v>65576</v>
      </c>
      <c r="N792">
        <v>98364</v>
      </c>
      <c r="O792">
        <v>32788</v>
      </c>
      <c r="P792">
        <v>-131152</v>
      </c>
      <c r="Q792">
        <v>-81970</v>
      </c>
      <c r="R792">
        <v>346956</v>
      </c>
      <c r="S792">
        <v>104086</v>
      </c>
      <c r="T792">
        <v>34695</v>
      </c>
      <c r="U792">
        <v>16394</v>
      </c>
      <c r="V792">
        <v>9836</v>
      </c>
      <c r="W792">
        <v>6557</v>
      </c>
      <c r="X792">
        <v>32788</v>
      </c>
      <c r="Y792">
        <v>16394</v>
      </c>
      <c r="Z792">
        <v>17347</v>
      </c>
      <c r="AA792">
        <v>10408</v>
      </c>
      <c r="AB792">
        <v>6939</v>
      </c>
    </row>
    <row r="793" spans="1:28" x14ac:dyDescent="0.35">
      <c r="A793" t="s">
        <v>838</v>
      </c>
      <c r="B793" t="s">
        <v>9</v>
      </c>
      <c r="C793" t="s">
        <v>1</v>
      </c>
      <c r="D793" t="s">
        <v>10</v>
      </c>
      <c r="E793" t="s">
        <v>11</v>
      </c>
      <c r="F793">
        <v>323464</v>
      </c>
      <c r="G793">
        <v>-101607</v>
      </c>
      <c r="H793">
        <v>40235</v>
      </c>
      <c r="I793">
        <v>323464</v>
      </c>
      <c r="J793">
        <v>32346</v>
      </c>
      <c r="K793">
        <v>16173</v>
      </c>
      <c r="L793">
        <v>120358</v>
      </c>
      <c r="M793">
        <v>24071</v>
      </c>
      <c r="N793">
        <v>36107</v>
      </c>
      <c r="O793">
        <v>12035</v>
      </c>
      <c r="P793">
        <v>-48143</v>
      </c>
      <c r="Q793">
        <v>-30089</v>
      </c>
      <c r="R793">
        <v>111724</v>
      </c>
      <c r="S793">
        <v>33517</v>
      </c>
      <c r="T793">
        <v>11172</v>
      </c>
      <c r="U793">
        <v>6017</v>
      </c>
      <c r="V793">
        <v>3610</v>
      </c>
      <c r="W793">
        <v>2407</v>
      </c>
      <c r="X793">
        <v>12035</v>
      </c>
      <c r="Y793">
        <v>6017</v>
      </c>
      <c r="Z793">
        <v>5586</v>
      </c>
      <c r="AA793">
        <v>3351</v>
      </c>
      <c r="AB793">
        <v>2234</v>
      </c>
    </row>
    <row r="794" spans="1:28" x14ac:dyDescent="0.35">
      <c r="A794" t="s">
        <v>839</v>
      </c>
      <c r="B794" t="s">
        <v>9</v>
      </c>
      <c r="C794" t="s">
        <v>1</v>
      </c>
      <c r="D794" t="s">
        <v>10</v>
      </c>
      <c r="E794" t="s">
        <v>11</v>
      </c>
      <c r="F794">
        <v>421371</v>
      </c>
      <c r="G794">
        <v>-115926</v>
      </c>
      <c r="H794">
        <v>126108</v>
      </c>
      <c r="I794">
        <v>421371</v>
      </c>
      <c r="J794">
        <v>42137</v>
      </c>
      <c r="K794">
        <v>21068</v>
      </c>
      <c r="L794">
        <v>100654</v>
      </c>
      <c r="M794">
        <v>20130</v>
      </c>
      <c r="N794">
        <v>30196</v>
      </c>
      <c r="O794">
        <v>10065</v>
      </c>
      <c r="P794">
        <v>-40261</v>
      </c>
      <c r="Q794">
        <v>-25163</v>
      </c>
      <c r="R794">
        <v>117180</v>
      </c>
      <c r="S794">
        <v>35154</v>
      </c>
      <c r="T794">
        <v>11718</v>
      </c>
      <c r="U794">
        <v>5032</v>
      </c>
      <c r="V794">
        <v>3019</v>
      </c>
      <c r="W794">
        <v>2013</v>
      </c>
      <c r="X794">
        <v>10065</v>
      </c>
      <c r="Y794">
        <v>5032</v>
      </c>
      <c r="Z794">
        <v>5859</v>
      </c>
      <c r="AA794">
        <v>3515</v>
      </c>
      <c r="AB794">
        <v>2343</v>
      </c>
    </row>
    <row r="795" spans="1:28" x14ac:dyDescent="0.35">
      <c r="A795" t="s">
        <v>840</v>
      </c>
      <c r="B795" t="s">
        <v>9</v>
      </c>
      <c r="C795" t="s">
        <v>1</v>
      </c>
      <c r="D795" t="s">
        <v>10</v>
      </c>
      <c r="E795" t="s">
        <v>11</v>
      </c>
      <c r="F795">
        <v>353281</v>
      </c>
      <c r="G795">
        <v>-163513</v>
      </c>
      <c r="H795">
        <v>71149</v>
      </c>
      <c r="I795">
        <v>353281</v>
      </c>
      <c r="J795">
        <v>35328</v>
      </c>
      <c r="K795">
        <v>17664</v>
      </c>
      <c r="L795">
        <v>177992</v>
      </c>
      <c r="M795">
        <v>35598</v>
      </c>
      <c r="N795">
        <v>53397</v>
      </c>
      <c r="O795">
        <v>17799</v>
      </c>
      <c r="P795">
        <v>-71196</v>
      </c>
      <c r="Q795">
        <v>-44498</v>
      </c>
      <c r="R795">
        <v>170385</v>
      </c>
      <c r="S795">
        <v>51115</v>
      </c>
      <c r="T795">
        <v>17038</v>
      </c>
      <c r="U795">
        <v>8899</v>
      </c>
      <c r="V795">
        <v>5339</v>
      </c>
      <c r="W795">
        <v>3559</v>
      </c>
      <c r="X795">
        <v>17799</v>
      </c>
      <c r="Y795">
        <v>8899</v>
      </c>
      <c r="Z795">
        <v>8519</v>
      </c>
      <c r="AA795">
        <v>5111</v>
      </c>
      <c r="AB795">
        <v>3407</v>
      </c>
    </row>
    <row r="796" spans="1:28" x14ac:dyDescent="0.35">
      <c r="A796" t="s">
        <v>841</v>
      </c>
      <c r="B796" t="s">
        <v>9</v>
      </c>
      <c r="C796" t="s">
        <v>1</v>
      </c>
      <c r="D796" t="s">
        <v>10</v>
      </c>
      <c r="E796" t="s">
        <v>11</v>
      </c>
      <c r="F796">
        <v>423369</v>
      </c>
      <c r="G796">
        <v>-149799</v>
      </c>
      <c r="H796">
        <v>149101</v>
      </c>
      <c r="I796">
        <v>423369</v>
      </c>
      <c r="J796">
        <v>42336</v>
      </c>
      <c r="K796">
        <v>21168</v>
      </c>
      <c r="L796">
        <v>190857</v>
      </c>
      <c r="M796">
        <v>38171</v>
      </c>
      <c r="N796">
        <v>57257</v>
      </c>
      <c r="O796">
        <v>19085</v>
      </c>
      <c r="P796">
        <v>-76342</v>
      </c>
      <c r="Q796">
        <v>-47714</v>
      </c>
      <c r="R796">
        <v>156726</v>
      </c>
      <c r="S796">
        <v>47017</v>
      </c>
      <c r="T796">
        <v>15672</v>
      </c>
      <c r="U796">
        <v>9542</v>
      </c>
      <c r="V796">
        <v>5725</v>
      </c>
      <c r="W796">
        <v>3817</v>
      </c>
      <c r="X796">
        <v>19085</v>
      </c>
      <c r="Y796">
        <v>9542</v>
      </c>
      <c r="Z796">
        <v>7836</v>
      </c>
      <c r="AA796">
        <v>4701</v>
      </c>
      <c r="AB796">
        <v>3134</v>
      </c>
    </row>
    <row r="797" spans="1:28" x14ac:dyDescent="0.35">
      <c r="A797" t="s">
        <v>842</v>
      </c>
      <c r="B797" t="s">
        <v>9</v>
      </c>
      <c r="C797" t="s">
        <v>1</v>
      </c>
      <c r="D797" t="s">
        <v>10</v>
      </c>
      <c r="E797" t="s">
        <v>11</v>
      </c>
      <c r="F797">
        <v>122391</v>
      </c>
      <c r="G797">
        <v>-51447</v>
      </c>
      <c r="H797">
        <v>13949</v>
      </c>
      <c r="I797">
        <v>122391</v>
      </c>
      <c r="J797">
        <v>12239</v>
      </c>
      <c r="K797">
        <v>6119</v>
      </c>
      <c r="L797">
        <v>27285</v>
      </c>
      <c r="M797">
        <v>5457</v>
      </c>
      <c r="N797">
        <v>8185</v>
      </c>
      <c r="O797">
        <v>2728</v>
      </c>
      <c r="P797">
        <v>-10914</v>
      </c>
      <c r="Q797">
        <v>-6821</v>
      </c>
      <c r="R797">
        <v>22116</v>
      </c>
      <c r="S797">
        <v>6634</v>
      </c>
      <c r="T797">
        <v>2211</v>
      </c>
      <c r="U797">
        <v>1364</v>
      </c>
      <c r="V797">
        <v>818</v>
      </c>
      <c r="W797">
        <v>545</v>
      </c>
      <c r="X797">
        <v>2728</v>
      </c>
      <c r="Y797">
        <v>1364</v>
      </c>
      <c r="Z797">
        <v>1105</v>
      </c>
      <c r="AA797">
        <v>663</v>
      </c>
      <c r="AB797">
        <v>442</v>
      </c>
    </row>
    <row r="798" spans="1:28" x14ac:dyDescent="0.35">
      <c r="A798" t="s">
        <v>843</v>
      </c>
      <c r="B798" t="s">
        <v>9</v>
      </c>
      <c r="C798" t="s">
        <v>1</v>
      </c>
      <c r="D798" t="s">
        <v>10</v>
      </c>
      <c r="E798" t="s">
        <v>11</v>
      </c>
      <c r="F798">
        <v>458388</v>
      </c>
      <c r="G798">
        <v>-181189</v>
      </c>
      <c r="H798">
        <v>131390</v>
      </c>
      <c r="I798">
        <v>458388</v>
      </c>
      <c r="J798">
        <v>45838</v>
      </c>
      <c r="K798">
        <v>22919</v>
      </c>
      <c r="L798">
        <v>307164</v>
      </c>
      <c r="M798">
        <v>61432</v>
      </c>
      <c r="N798">
        <v>92149</v>
      </c>
      <c r="O798">
        <v>30716</v>
      </c>
      <c r="P798">
        <v>-122865</v>
      </c>
      <c r="Q798">
        <v>-76791</v>
      </c>
      <c r="R798">
        <v>263602</v>
      </c>
      <c r="S798">
        <v>79080</v>
      </c>
      <c r="T798">
        <v>26360</v>
      </c>
      <c r="U798">
        <v>15358</v>
      </c>
      <c r="V798">
        <v>9214</v>
      </c>
      <c r="W798">
        <v>6143</v>
      </c>
      <c r="X798">
        <v>30716</v>
      </c>
      <c r="Y798">
        <v>15358</v>
      </c>
      <c r="Z798">
        <v>13180</v>
      </c>
      <c r="AA798">
        <v>7908</v>
      </c>
      <c r="AB798">
        <v>5272</v>
      </c>
    </row>
    <row r="799" spans="1:28" x14ac:dyDescent="0.35">
      <c r="A799" t="s">
        <v>844</v>
      </c>
      <c r="B799" t="s">
        <v>9</v>
      </c>
      <c r="C799" t="s">
        <v>1</v>
      </c>
      <c r="D799" t="s">
        <v>10</v>
      </c>
      <c r="E799" t="s">
        <v>11</v>
      </c>
      <c r="F799">
        <v>316662</v>
      </c>
      <c r="G799">
        <v>-170817</v>
      </c>
      <c r="H799">
        <v>79861</v>
      </c>
      <c r="I799">
        <v>316662</v>
      </c>
      <c r="J799">
        <v>31666</v>
      </c>
      <c r="K799">
        <v>15833</v>
      </c>
      <c r="L799">
        <v>92964</v>
      </c>
      <c r="M799">
        <v>18592</v>
      </c>
      <c r="N799">
        <v>27889</v>
      </c>
      <c r="O799">
        <v>9296</v>
      </c>
      <c r="P799">
        <v>-37185</v>
      </c>
      <c r="Q799">
        <v>-23241</v>
      </c>
      <c r="R799">
        <v>102639</v>
      </c>
      <c r="S799">
        <v>30791</v>
      </c>
      <c r="T799">
        <v>10263</v>
      </c>
      <c r="U799">
        <v>4648</v>
      </c>
      <c r="V799">
        <v>2788</v>
      </c>
      <c r="W799">
        <v>1859</v>
      </c>
      <c r="X799">
        <v>9296</v>
      </c>
      <c r="Y799">
        <v>4648</v>
      </c>
      <c r="Z799">
        <v>5131</v>
      </c>
      <c r="AA799">
        <v>3079</v>
      </c>
      <c r="AB799">
        <v>2052</v>
      </c>
    </row>
    <row r="800" spans="1:28" x14ac:dyDescent="0.35">
      <c r="A800" t="s">
        <v>845</v>
      </c>
      <c r="B800" t="s">
        <v>9</v>
      </c>
      <c r="C800" t="s">
        <v>1</v>
      </c>
      <c r="D800" t="s">
        <v>10</v>
      </c>
      <c r="E800" t="s">
        <v>11</v>
      </c>
      <c r="F800">
        <v>269498</v>
      </c>
      <c r="G800">
        <v>-155782</v>
      </c>
      <c r="H800">
        <v>79411</v>
      </c>
      <c r="I800">
        <v>269498</v>
      </c>
      <c r="J800">
        <v>26949</v>
      </c>
      <c r="K800">
        <v>13474</v>
      </c>
      <c r="L800">
        <v>127495</v>
      </c>
      <c r="M800">
        <v>25499</v>
      </c>
      <c r="N800">
        <v>38248</v>
      </c>
      <c r="O800">
        <v>12749</v>
      </c>
      <c r="P800">
        <v>-50998</v>
      </c>
      <c r="Q800">
        <v>-31873</v>
      </c>
      <c r="R800">
        <v>121120</v>
      </c>
      <c r="S800">
        <v>36336</v>
      </c>
      <c r="T800">
        <v>12112</v>
      </c>
      <c r="U800">
        <v>6374</v>
      </c>
      <c r="V800">
        <v>3824</v>
      </c>
      <c r="W800">
        <v>2549</v>
      </c>
      <c r="X800">
        <v>12749</v>
      </c>
      <c r="Y800">
        <v>6374</v>
      </c>
      <c r="Z800">
        <v>6056</v>
      </c>
      <c r="AA800">
        <v>3633</v>
      </c>
      <c r="AB800">
        <v>2422</v>
      </c>
    </row>
    <row r="801" spans="1:28" x14ac:dyDescent="0.35">
      <c r="A801" t="s">
        <v>846</v>
      </c>
      <c r="B801" t="s">
        <v>9</v>
      </c>
      <c r="C801" t="s">
        <v>1</v>
      </c>
      <c r="D801" t="s">
        <v>10</v>
      </c>
      <c r="E801" t="s">
        <v>11</v>
      </c>
      <c r="F801">
        <v>443110</v>
      </c>
      <c r="G801">
        <v>-145765</v>
      </c>
      <c r="H801">
        <v>76441</v>
      </c>
      <c r="I801">
        <v>443110</v>
      </c>
      <c r="J801">
        <v>44311</v>
      </c>
      <c r="K801">
        <v>22155</v>
      </c>
      <c r="L801">
        <v>253620</v>
      </c>
      <c r="M801">
        <v>50724</v>
      </c>
      <c r="N801">
        <v>76086</v>
      </c>
      <c r="O801">
        <v>25362</v>
      </c>
      <c r="P801">
        <v>-101448</v>
      </c>
      <c r="Q801">
        <v>-63405</v>
      </c>
      <c r="R801">
        <v>244850</v>
      </c>
      <c r="S801">
        <v>73455</v>
      </c>
      <c r="T801">
        <v>24485</v>
      </c>
      <c r="U801">
        <v>12681</v>
      </c>
      <c r="V801">
        <v>7608</v>
      </c>
      <c r="W801">
        <v>5072</v>
      </c>
      <c r="X801">
        <v>25362</v>
      </c>
      <c r="Y801">
        <v>12681</v>
      </c>
      <c r="Z801">
        <v>12242</v>
      </c>
      <c r="AA801">
        <v>7345</v>
      </c>
      <c r="AB801">
        <v>4897</v>
      </c>
    </row>
    <row r="802" spans="1:28" x14ac:dyDescent="0.35">
      <c r="A802" t="s">
        <v>847</v>
      </c>
      <c r="B802" t="s">
        <v>9</v>
      </c>
      <c r="C802" t="s">
        <v>1</v>
      </c>
      <c r="D802" t="s">
        <v>10</v>
      </c>
      <c r="E802" t="s">
        <v>11</v>
      </c>
      <c r="F802">
        <v>146062</v>
      </c>
      <c r="G802">
        <v>-85862</v>
      </c>
      <c r="H802">
        <v>47693</v>
      </c>
      <c r="I802">
        <v>146062</v>
      </c>
      <c r="J802">
        <v>14606</v>
      </c>
      <c r="K802">
        <v>7303</v>
      </c>
      <c r="L802">
        <v>63196</v>
      </c>
      <c r="M802">
        <v>12639</v>
      </c>
      <c r="N802">
        <v>18958</v>
      </c>
      <c r="O802">
        <v>6319</v>
      </c>
      <c r="P802">
        <v>-25278</v>
      </c>
      <c r="Q802">
        <v>-15799</v>
      </c>
      <c r="R802">
        <v>59903</v>
      </c>
      <c r="S802">
        <v>17970</v>
      </c>
      <c r="T802">
        <v>5990</v>
      </c>
      <c r="U802">
        <v>3159</v>
      </c>
      <c r="V802">
        <v>1895</v>
      </c>
      <c r="W802">
        <v>1263</v>
      </c>
      <c r="X802">
        <v>6319</v>
      </c>
      <c r="Y802">
        <v>3159</v>
      </c>
      <c r="Z802">
        <v>2995</v>
      </c>
      <c r="AA802">
        <v>1797</v>
      </c>
      <c r="AB802">
        <v>1198</v>
      </c>
    </row>
    <row r="803" spans="1:28" x14ac:dyDescent="0.35">
      <c r="A803" t="s">
        <v>848</v>
      </c>
      <c r="B803" t="s">
        <v>9</v>
      </c>
      <c r="C803" t="s">
        <v>1</v>
      </c>
      <c r="D803" t="s">
        <v>10</v>
      </c>
      <c r="E803" t="s">
        <v>11</v>
      </c>
      <c r="F803">
        <v>175368</v>
      </c>
      <c r="G803">
        <v>-94310</v>
      </c>
      <c r="H803">
        <v>21916</v>
      </c>
      <c r="I803">
        <v>175368</v>
      </c>
      <c r="J803">
        <v>17536</v>
      </c>
      <c r="K803">
        <v>8768</v>
      </c>
      <c r="L803">
        <v>139862</v>
      </c>
      <c r="M803">
        <v>27972</v>
      </c>
      <c r="N803">
        <v>41958</v>
      </c>
      <c r="O803">
        <v>13986</v>
      </c>
      <c r="P803">
        <v>-55944</v>
      </c>
      <c r="Q803">
        <v>-34965</v>
      </c>
      <c r="R803">
        <v>164580</v>
      </c>
      <c r="S803">
        <v>49374</v>
      </c>
      <c r="T803">
        <v>16458</v>
      </c>
      <c r="U803">
        <v>6993</v>
      </c>
      <c r="V803">
        <v>4195</v>
      </c>
      <c r="W803">
        <v>2797</v>
      </c>
      <c r="X803">
        <v>13986</v>
      </c>
      <c r="Y803">
        <v>6993</v>
      </c>
      <c r="Z803">
        <v>8229</v>
      </c>
      <c r="AA803">
        <v>4937</v>
      </c>
      <c r="AB803">
        <v>3291</v>
      </c>
    </row>
    <row r="804" spans="1:28" x14ac:dyDescent="0.35">
      <c r="A804" t="s">
        <v>849</v>
      </c>
      <c r="B804" t="s">
        <v>9</v>
      </c>
      <c r="C804" t="s">
        <v>1</v>
      </c>
      <c r="D804" t="s">
        <v>10</v>
      </c>
      <c r="E804" t="s">
        <v>11</v>
      </c>
      <c r="F804">
        <v>61559</v>
      </c>
      <c r="G804">
        <v>-28561</v>
      </c>
      <c r="H804">
        <v>29458</v>
      </c>
      <c r="I804">
        <v>61559</v>
      </c>
      <c r="J804">
        <v>6155</v>
      </c>
      <c r="K804">
        <v>3077</v>
      </c>
      <c r="L804">
        <v>13330</v>
      </c>
      <c r="M804">
        <v>2666</v>
      </c>
      <c r="N804">
        <v>3999</v>
      </c>
      <c r="O804">
        <v>1333</v>
      </c>
      <c r="P804">
        <v>-5332</v>
      </c>
      <c r="Q804">
        <v>-3332</v>
      </c>
      <c r="R804">
        <v>14334</v>
      </c>
      <c r="S804">
        <v>4300</v>
      </c>
      <c r="T804">
        <v>1433</v>
      </c>
      <c r="U804">
        <v>666</v>
      </c>
      <c r="V804">
        <v>399</v>
      </c>
      <c r="W804">
        <v>266</v>
      </c>
      <c r="X804">
        <v>1333</v>
      </c>
      <c r="Y804">
        <v>666</v>
      </c>
      <c r="Z804">
        <v>716</v>
      </c>
      <c r="AA804">
        <v>430</v>
      </c>
      <c r="AB804">
        <v>286</v>
      </c>
    </row>
    <row r="805" spans="1:28" x14ac:dyDescent="0.35">
      <c r="A805" t="s">
        <v>850</v>
      </c>
      <c r="B805" t="s">
        <v>9</v>
      </c>
      <c r="C805" t="s">
        <v>1</v>
      </c>
      <c r="D805" t="s">
        <v>10</v>
      </c>
      <c r="E805" t="s">
        <v>11</v>
      </c>
      <c r="F805">
        <v>396862</v>
      </c>
      <c r="G805">
        <v>-86278</v>
      </c>
      <c r="H805">
        <v>179676</v>
      </c>
      <c r="I805">
        <v>396862</v>
      </c>
      <c r="J805">
        <v>39686</v>
      </c>
      <c r="K805">
        <v>19843</v>
      </c>
      <c r="L805">
        <v>253525</v>
      </c>
      <c r="M805">
        <v>50705</v>
      </c>
      <c r="N805">
        <v>76057</v>
      </c>
      <c r="O805">
        <v>25352</v>
      </c>
      <c r="P805">
        <v>-101410</v>
      </c>
      <c r="Q805">
        <v>-63381</v>
      </c>
      <c r="R805">
        <v>263776</v>
      </c>
      <c r="S805">
        <v>79132</v>
      </c>
      <c r="T805">
        <v>26377</v>
      </c>
      <c r="U805">
        <v>12676</v>
      </c>
      <c r="V805">
        <v>7605</v>
      </c>
      <c r="W805">
        <v>5070</v>
      </c>
      <c r="X805">
        <v>25352</v>
      </c>
      <c r="Y805">
        <v>12676</v>
      </c>
      <c r="Z805">
        <v>13188</v>
      </c>
      <c r="AA805">
        <v>7913</v>
      </c>
      <c r="AB805">
        <v>5275</v>
      </c>
    </row>
    <row r="806" spans="1:28" x14ac:dyDescent="0.35">
      <c r="A806" t="s">
        <v>851</v>
      </c>
      <c r="B806" t="s">
        <v>9</v>
      </c>
      <c r="C806" t="s">
        <v>1</v>
      </c>
      <c r="D806" t="s">
        <v>10</v>
      </c>
      <c r="E806" t="s">
        <v>11</v>
      </c>
      <c r="F806">
        <v>259668</v>
      </c>
      <c r="G806">
        <v>-154556</v>
      </c>
      <c r="H806">
        <v>114176</v>
      </c>
      <c r="I806">
        <v>259668</v>
      </c>
      <c r="J806">
        <v>25966</v>
      </c>
      <c r="K806">
        <v>12983</v>
      </c>
      <c r="L806">
        <v>70236</v>
      </c>
      <c r="M806">
        <v>14047</v>
      </c>
      <c r="N806">
        <v>21070</v>
      </c>
      <c r="O806">
        <v>7023</v>
      </c>
      <c r="P806">
        <v>-28094</v>
      </c>
      <c r="Q806">
        <v>-17559</v>
      </c>
      <c r="R806">
        <v>59100</v>
      </c>
      <c r="S806">
        <v>17730</v>
      </c>
      <c r="T806">
        <v>5910</v>
      </c>
      <c r="U806">
        <v>3511</v>
      </c>
      <c r="V806">
        <v>2107</v>
      </c>
      <c r="W806">
        <v>1404</v>
      </c>
      <c r="X806">
        <v>7023</v>
      </c>
      <c r="Y806">
        <v>3511</v>
      </c>
      <c r="Z806">
        <v>2955</v>
      </c>
      <c r="AA806">
        <v>1773</v>
      </c>
      <c r="AB806">
        <v>1182</v>
      </c>
    </row>
    <row r="807" spans="1:28" x14ac:dyDescent="0.35">
      <c r="A807" t="s">
        <v>852</v>
      </c>
      <c r="B807" t="s">
        <v>9</v>
      </c>
      <c r="C807" t="s">
        <v>1</v>
      </c>
      <c r="D807" t="s">
        <v>10</v>
      </c>
      <c r="E807" t="s">
        <v>11</v>
      </c>
      <c r="F807">
        <v>196122</v>
      </c>
      <c r="G807">
        <v>-101656</v>
      </c>
      <c r="H807">
        <v>97343</v>
      </c>
      <c r="I807">
        <v>196122</v>
      </c>
      <c r="J807">
        <v>19612</v>
      </c>
      <c r="K807">
        <v>9806</v>
      </c>
      <c r="L807">
        <v>84778</v>
      </c>
      <c r="M807">
        <v>16955</v>
      </c>
      <c r="N807">
        <v>25433</v>
      </c>
      <c r="O807">
        <v>8477</v>
      </c>
      <c r="P807">
        <v>-33911</v>
      </c>
      <c r="Q807">
        <v>-21194</v>
      </c>
      <c r="R807">
        <v>76351</v>
      </c>
      <c r="S807">
        <v>22905</v>
      </c>
      <c r="T807">
        <v>7635</v>
      </c>
      <c r="U807">
        <v>4238</v>
      </c>
      <c r="V807">
        <v>2543</v>
      </c>
      <c r="W807">
        <v>1695</v>
      </c>
      <c r="X807">
        <v>8477</v>
      </c>
      <c r="Y807">
        <v>4238</v>
      </c>
      <c r="Z807">
        <v>3817</v>
      </c>
      <c r="AA807">
        <v>2290</v>
      </c>
      <c r="AB807">
        <v>1527</v>
      </c>
    </row>
    <row r="808" spans="1:28" x14ac:dyDescent="0.35">
      <c r="A808" t="s">
        <v>853</v>
      </c>
      <c r="B808" t="s">
        <v>9</v>
      </c>
      <c r="C808" t="s">
        <v>1</v>
      </c>
      <c r="D808" t="s">
        <v>10</v>
      </c>
      <c r="E808" t="s">
        <v>11</v>
      </c>
      <c r="F808">
        <v>234178</v>
      </c>
      <c r="G808">
        <v>-54564</v>
      </c>
      <c r="H808">
        <v>75857</v>
      </c>
      <c r="I808">
        <v>234178</v>
      </c>
      <c r="J808">
        <v>23417</v>
      </c>
      <c r="K808">
        <v>11708</v>
      </c>
      <c r="L808">
        <v>168680</v>
      </c>
      <c r="M808">
        <v>33736</v>
      </c>
      <c r="N808">
        <v>50604</v>
      </c>
      <c r="O808">
        <v>16868</v>
      </c>
      <c r="P808">
        <v>-67472</v>
      </c>
      <c r="Q808">
        <v>-42170</v>
      </c>
      <c r="R808">
        <v>159783</v>
      </c>
      <c r="S808">
        <v>47934</v>
      </c>
      <c r="T808">
        <v>15978</v>
      </c>
      <c r="U808">
        <v>8434</v>
      </c>
      <c r="V808">
        <v>5060</v>
      </c>
      <c r="W808">
        <v>3373</v>
      </c>
      <c r="X808">
        <v>16868</v>
      </c>
      <c r="Y808">
        <v>8434</v>
      </c>
      <c r="Z808">
        <v>7989</v>
      </c>
      <c r="AA808">
        <v>4793</v>
      </c>
      <c r="AB808">
        <v>3195</v>
      </c>
    </row>
    <row r="809" spans="1:28" x14ac:dyDescent="0.35">
      <c r="A809" t="s">
        <v>854</v>
      </c>
      <c r="B809" t="s">
        <v>9</v>
      </c>
      <c r="C809" t="s">
        <v>1</v>
      </c>
      <c r="D809" t="s">
        <v>10</v>
      </c>
      <c r="E809" t="s">
        <v>11</v>
      </c>
      <c r="F809">
        <v>415875</v>
      </c>
      <c r="G809">
        <v>-141030</v>
      </c>
      <c r="H809">
        <v>102980</v>
      </c>
      <c r="I809">
        <v>415875</v>
      </c>
      <c r="J809">
        <v>41587</v>
      </c>
      <c r="K809">
        <v>20793</v>
      </c>
      <c r="L809">
        <v>197411</v>
      </c>
      <c r="M809">
        <v>39482</v>
      </c>
      <c r="N809">
        <v>59223</v>
      </c>
      <c r="O809">
        <v>19741</v>
      </c>
      <c r="P809">
        <v>-78964</v>
      </c>
      <c r="Q809">
        <v>-49352</v>
      </c>
      <c r="R809">
        <v>232103</v>
      </c>
      <c r="S809">
        <v>69630</v>
      </c>
      <c r="T809">
        <v>23210</v>
      </c>
      <c r="U809">
        <v>9870</v>
      </c>
      <c r="V809">
        <v>5922</v>
      </c>
      <c r="W809">
        <v>3948</v>
      </c>
      <c r="X809">
        <v>19741</v>
      </c>
      <c r="Y809">
        <v>9870</v>
      </c>
      <c r="Z809">
        <v>11605</v>
      </c>
      <c r="AA809">
        <v>6963</v>
      </c>
      <c r="AB809">
        <v>4642</v>
      </c>
    </row>
    <row r="810" spans="1:28" x14ac:dyDescent="0.35">
      <c r="A810" t="s">
        <v>855</v>
      </c>
      <c r="B810" t="s">
        <v>9</v>
      </c>
      <c r="C810" t="s">
        <v>1</v>
      </c>
      <c r="D810" t="s">
        <v>10</v>
      </c>
      <c r="E810" t="s">
        <v>11</v>
      </c>
      <c r="F810">
        <v>211859</v>
      </c>
      <c r="G810">
        <v>-82118</v>
      </c>
      <c r="H810">
        <v>54156</v>
      </c>
      <c r="I810">
        <v>211859</v>
      </c>
      <c r="J810">
        <v>21185</v>
      </c>
      <c r="K810">
        <v>10592</v>
      </c>
      <c r="L810">
        <v>89653</v>
      </c>
      <c r="M810">
        <v>17930</v>
      </c>
      <c r="N810">
        <v>26895</v>
      </c>
      <c r="O810">
        <v>8965</v>
      </c>
      <c r="P810">
        <v>-35861</v>
      </c>
      <c r="Q810">
        <v>-22413</v>
      </c>
      <c r="R810">
        <v>83999</v>
      </c>
      <c r="S810">
        <v>25199</v>
      </c>
      <c r="T810">
        <v>8399</v>
      </c>
      <c r="U810">
        <v>4482</v>
      </c>
      <c r="V810">
        <v>2689</v>
      </c>
      <c r="W810">
        <v>1793</v>
      </c>
      <c r="X810">
        <v>8965</v>
      </c>
      <c r="Y810">
        <v>4482</v>
      </c>
      <c r="Z810">
        <v>4199</v>
      </c>
      <c r="AA810">
        <v>2519</v>
      </c>
      <c r="AB810">
        <v>1679</v>
      </c>
    </row>
    <row r="811" spans="1:28" x14ac:dyDescent="0.35">
      <c r="A811" t="s">
        <v>856</v>
      </c>
      <c r="B811" t="s">
        <v>9</v>
      </c>
      <c r="C811" t="s">
        <v>1</v>
      </c>
      <c r="D811" t="s">
        <v>10</v>
      </c>
      <c r="E811" t="s">
        <v>11</v>
      </c>
      <c r="F811">
        <v>472516</v>
      </c>
      <c r="G811">
        <v>-233188</v>
      </c>
      <c r="H811">
        <v>205318</v>
      </c>
      <c r="I811">
        <v>472516</v>
      </c>
      <c r="J811">
        <v>47251</v>
      </c>
      <c r="K811">
        <v>23625</v>
      </c>
      <c r="L811">
        <v>99510</v>
      </c>
      <c r="M811">
        <v>19902</v>
      </c>
      <c r="N811">
        <v>29853</v>
      </c>
      <c r="O811">
        <v>9951</v>
      </c>
      <c r="P811">
        <v>-39804</v>
      </c>
      <c r="Q811">
        <v>-24877</v>
      </c>
      <c r="R811">
        <v>108940</v>
      </c>
      <c r="S811">
        <v>32682</v>
      </c>
      <c r="T811">
        <v>10894</v>
      </c>
      <c r="U811">
        <v>4975</v>
      </c>
      <c r="V811">
        <v>2985</v>
      </c>
      <c r="W811">
        <v>1990</v>
      </c>
      <c r="X811">
        <v>9951</v>
      </c>
      <c r="Y811">
        <v>4975</v>
      </c>
      <c r="Z811">
        <v>5447</v>
      </c>
      <c r="AA811">
        <v>3268</v>
      </c>
      <c r="AB811">
        <v>2178</v>
      </c>
    </row>
    <row r="812" spans="1:28" x14ac:dyDescent="0.35">
      <c r="A812" t="s">
        <v>857</v>
      </c>
      <c r="B812" t="s">
        <v>9</v>
      </c>
      <c r="C812" t="s">
        <v>1</v>
      </c>
      <c r="D812" t="s">
        <v>10</v>
      </c>
      <c r="E812" t="s">
        <v>11</v>
      </c>
      <c r="F812">
        <v>76032</v>
      </c>
      <c r="G812">
        <v>-44064</v>
      </c>
      <c r="H812">
        <v>8953</v>
      </c>
      <c r="I812">
        <v>76032</v>
      </c>
      <c r="J812">
        <v>7603</v>
      </c>
      <c r="K812">
        <v>3801</v>
      </c>
      <c r="L812">
        <v>18027</v>
      </c>
      <c r="M812">
        <v>3605</v>
      </c>
      <c r="N812">
        <v>5408</v>
      </c>
      <c r="O812">
        <v>1802</v>
      </c>
      <c r="P812">
        <v>-7210</v>
      </c>
      <c r="Q812">
        <v>-4506</v>
      </c>
      <c r="R812">
        <v>16287</v>
      </c>
      <c r="S812">
        <v>4886</v>
      </c>
      <c r="T812">
        <v>1628</v>
      </c>
      <c r="U812">
        <v>901</v>
      </c>
      <c r="V812">
        <v>540</v>
      </c>
      <c r="W812">
        <v>360</v>
      </c>
      <c r="X812">
        <v>1802</v>
      </c>
      <c r="Y812">
        <v>901</v>
      </c>
      <c r="Z812">
        <v>814</v>
      </c>
      <c r="AA812">
        <v>488</v>
      </c>
      <c r="AB812">
        <v>325</v>
      </c>
    </row>
    <row r="813" spans="1:28" x14ac:dyDescent="0.35">
      <c r="A813" t="s">
        <v>858</v>
      </c>
      <c r="B813" t="s">
        <v>9</v>
      </c>
      <c r="C813" t="s">
        <v>1</v>
      </c>
      <c r="D813" t="s">
        <v>10</v>
      </c>
      <c r="E813" t="s">
        <v>11</v>
      </c>
      <c r="F813">
        <v>399281</v>
      </c>
      <c r="G813">
        <v>-102557</v>
      </c>
      <c r="H813">
        <v>181668</v>
      </c>
      <c r="I813">
        <v>399281</v>
      </c>
      <c r="J813">
        <v>39928</v>
      </c>
      <c r="K813">
        <v>19964</v>
      </c>
      <c r="L813">
        <v>266490</v>
      </c>
      <c r="M813">
        <v>53298</v>
      </c>
      <c r="N813">
        <v>79947</v>
      </c>
      <c r="O813">
        <v>26649</v>
      </c>
      <c r="P813">
        <v>-106596</v>
      </c>
      <c r="Q813">
        <v>-66622</v>
      </c>
      <c r="R813">
        <v>283322</v>
      </c>
      <c r="S813">
        <v>84996</v>
      </c>
      <c r="T813">
        <v>28332</v>
      </c>
      <c r="U813">
        <v>13324</v>
      </c>
      <c r="V813">
        <v>7994</v>
      </c>
      <c r="W813">
        <v>5329</v>
      </c>
      <c r="X813">
        <v>26649</v>
      </c>
      <c r="Y813">
        <v>13324</v>
      </c>
      <c r="Z813">
        <v>14166</v>
      </c>
      <c r="AA813">
        <v>8499</v>
      </c>
      <c r="AB813">
        <v>5666</v>
      </c>
    </row>
    <row r="814" spans="1:28" x14ac:dyDescent="0.35">
      <c r="A814" t="s">
        <v>859</v>
      </c>
      <c r="B814" t="s">
        <v>9</v>
      </c>
      <c r="C814" t="s">
        <v>1</v>
      </c>
      <c r="D814" t="s">
        <v>10</v>
      </c>
      <c r="E814" t="s">
        <v>11</v>
      </c>
      <c r="F814">
        <v>174347</v>
      </c>
      <c r="G814">
        <v>-79497</v>
      </c>
      <c r="H814">
        <v>43188</v>
      </c>
      <c r="I814">
        <v>174347</v>
      </c>
      <c r="J814">
        <v>17434</v>
      </c>
      <c r="K814">
        <v>8717</v>
      </c>
      <c r="L814">
        <v>92961</v>
      </c>
      <c r="M814">
        <v>18592</v>
      </c>
      <c r="N814">
        <v>27888</v>
      </c>
      <c r="O814">
        <v>9296</v>
      </c>
      <c r="P814">
        <v>-37184</v>
      </c>
      <c r="Q814">
        <v>-23240</v>
      </c>
      <c r="R814">
        <v>80930</v>
      </c>
      <c r="S814">
        <v>24279</v>
      </c>
      <c r="T814">
        <v>8093</v>
      </c>
      <c r="U814">
        <v>4648</v>
      </c>
      <c r="V814">
        <v>2788</v>
      </c>
      <c r="W814">
        <v>1859</v>
      </c>
      <c r="X814">
        <v>9296</v>
      </c>
      <c r="Y814">
        <v>4648</v>
      </c>
      <c r="Z814">
        <v>4046</v>
      </c>
      <c r="AA814">
        <v>2427</v>
      </c>
      <c r="AB814">
        <v>1618</v>
      </c>
    </row>
    <row r="815" spans="1:28" x14ac:dyDescent="0.35">
      <c r="A815" t="s">
        <v>860</v>
      </c>
      <c r="B815" t="s">
        <v>9</v>
      </c>
      <c r="C815" t="s">
        <v>1</v>
      </c>
      <c r="D815" t="s">
        <v>10</v>
      </c>
      <c r="E815" t="s">
        <v>11</v>
      </c>
      <c r="F815">
        <v>328812</v>
      </c>
      <c r="G815">
        <v>-135766</v>
      </c>
      <c r="H815">
        <v>142986</v>
      </c>
      <c r="I815">
        <v>328812</v>
      </c>
      <c r="J815">
        <v>32881</v>
      </c>
      <c r="K815">
        <v>16440</v>
      </c>
      <c r="L815">
        <v>187474</v>
      </c>
      <c r="M815">
        <v>37494</v>
      </c>
      <c r="N815">
        <v>56242</v>
      </c>
      <c r="O815">
        <v>18747</v>
      </c>
      <c r="P815">
        <v>-74989</v>
      </c>
      <c r="Q815">
        <v>-46868</v>
      </c>
      <c r="R815">
        <v>173685</v>
      </c>
      <c r="S815">
        <v>52105</v>
      </c>
      <c r="T815">
        <v>17368</v>
      </c>
      <c r="U815">
        <v>9373</v>
      </c>
      <c r="V815">
        <v>5624</v>
      </c>
      <c r="W815">
        <v>3749</v>
      </c>
      <c r="X815">
        <v>18747</v>
      </c>
      <c r="Y815">
        <v>9373</v>
      </c>
      <c r="Z815">
        <v>8684</v>
      </c>
      <c r="AA815">
        <v>5210</v>
      </c>
      <c r="AB815">
        <v>3473</v>
      </c>
    </row>
    <row r="816" spans="1:28" x14ac:dyDescent="0.35">
      <c r="A816" t="s">
        <v>861</v>
      </c>
      <c r="B816" t="s">
        <v>9</v>
      </c>
      <c r="C816" t="s">
        <v>1</v>
      </c>
      <c r="D816" t="s">
        <v>10</v>
      </c>
      <c r="E816" t="s">
        <v>11</v>
      </c>
      <c r="F816">
        <v>490928</v>
      </c>
      <c r="G816">
        <v>-283490</v>
      </c>
      <c r="H816">
        <v>139651</v>
      </c>
      <c r="I816">
        <v>490928</v>
      </c>
      <c r="J816">
        <v>49092</v>
      </c>
      <c r="K816">
        <v>24546</v>
      </c>
      <c r="L816">
        <v>238281</v>
      </c>
      <c r="M816">
        <v>47656</v>
      </c>
      <c r="N816">
        <v>71484</v>
      </c>
      <c r="O816">
        <v>23828</v>
      </c>
      <c r="P816">
        <v>-95312</v>
      </c>
      <c r="Q816">
        <v>-59570</v>
      </c>
      <c r="R816">
        <v>239809</v>
      </c>
      <c r="S816">
        <v>71942</v>
      </c>
      <c r="T816">
        <v>23980</v>
      </c>
      <c r="U816">
        <v>11914</v>
      </c>
      <c r="V816">
        <v>7148</v>
      </c>
      <c r="W816">
        <v>4765</v>
      </c>
      <c r="X816">
        <v>23828</v>
      </c>
      <c r="Y816">
        <v>11914</v>
      </c>
      <c r="Z816">
        <v>11990</v>
      </c>
      <c r="AA816">
        <v>7194</v>
      </c>
      <c r="AB816">
        <v>4796</v>
      </c>
    </row>
    <row r="817" spans="1:28" x14ac:dyDescent="0.35">
      <c r="A817" t="s">
        <v>862</v>
      </c>
      <c r="B817" t="s">
        <v>9</v>
      </c>
      <c r="C817" t="s">
        <v>1</v>
      </c>
      <c r="D817" t="s">
        <v>10</v>
      </c>
      <c r="E817" t="s">
        <v>11</v>
      </c>
      <c r="F817">
        <v>441585</v>
      </c>
      <c r="G817">
        <v>-97955</v>
      </c>
      <c r="H817">
        <v>165280</v>
      </c>
      <c r="I817">
        <v>441585</v>
      </c>
      <c r="J817">
        <v>44158</v>
      </c>
      <c r="K817">
        <v>22079</v>
      </c>
      <c r="L817">
        <v>90985</v>
      </c>
      <c r="M817">
        <v>18197</v>
      </c>
      <c r="N817">
        <v>27295</v>
      </c>
      <c r="O817">
        <v>9098</v>
      </c>
      <c r="P817">
        <v>-36394</v>
      </c>
      <c r="Q817">
        <v>-22746</v>
      </c>
      <c r="R817">
        <v>102795</v>
      </c>
      <c r="S817">
        <v>30838</v>
      </c>
      <c r="T817">
        <v>10279</v>
      </c>
      <c r="U817">
        <v>4549</v>
      </c>
      <c r="V817">
        <v>2729</v>
      </c>
      <c r="W817">
        <v>1819</v>
      </c>
      <c r="X817">
        <v>9098</v>
      </c>
      <c r="Y817">
        <v>4549</v>
      </c>
      <c r="Z817">
        <v>5139</v>
      </c>
      <c r="AA817">
        <v>3083</v>
      </c>
      <c r="AB817">
        <v>2055</v>
      </c>
    </row>
    <row r="818" spans="1:28" x14ac:dyDescent="0.35">
      <c r="A818" t="s">
        <v>863</v>
      </c>
      <c r="B818" t="s">
        <v>9</v>
      </c>
      <c r="C818" t="s">
        <v>1</v>
      </c>
      <c r="D818" t="s">
        <v>10</v>
      </c>
      <c r="E818" t="s">
        <v>11</v>
      </c>
      <c r="F818">
        <v>260841</v>
      </c>
      <c r="G818">
        <v>-55670</v>
      </c>
      <c r="H818">
        <v>59459</v>
      </c>
      <c r="I818">
        <v>260841</v>
      </c>
      <c r="J818">
        <v>26084</v>
      </c>
      <c r="K818">
        <v>13042</v>
      </c>
      <c r="L818">
        <v>177510</v>
      </c>
      <c r="M818">
        <v>35502</v>
      </c>
      <c r="N818">
        <v>53253</v>
      </c>
      <c r="O818">
        <v>17751</v>
      </c>
      <c r="P818">
        <v>-71004</v>
      </c>
      <c r="Q818">
        <v>-44377</v>
      </c>
      <c r="R818">
        <v>183918</v>
      </c>
      <c r="S818">
        <v>55175</v>
      </c>
      <c r="T818">
        <v>18391</v>
      </c>
      <c r="U818">
        <v>8875</v>
      </c>
      <c r="V818">
        <v>5325</v>
      </c>
      <c r="W818">
        <v>3550</v>
      </c>
      <c r="X818">
        <v>17751</v>
      </c>
      <c r="Y818">
        <v>8875</v>
      </c>
      <c r="Z818">
        <v>9195</v>
      </c>
      <c r="AA818">
        <v>5517</v>
      </c>
      <c r="AB818">
        <v>3678</v>
      </c>
    </row>
    <row r="819" spans="1:28" x14ac:dyDescent="0.35">
      <c r="A819" t="s">
        <v>864</v>
      </c>
      <c r="B819" t="s">
        <v>9</v>
      </c>
      <c r="C819" t="s">
        <v>1</v>
      </c>
      <c r="D819" t="s">
        <v>10</v>
      </c>
      <c r="E819" t="s">
        <v>11</v>
      </c>
      <c r="F819">
        <v>298184</v>
      </c>
      <c r="G819">
        <v>-103056</v>
      </c>
      <c r="H819">
        <v>100574</v>
      </c>
      <c r="I819">
        <v>298184</v>
      </c>
      <c r="J819">
        <v>29818</v>
      </c>
      <c r="K819">
        <v>14909</v>
      </c>
      <c r="L819">
        <v>219211</v>
      </c>
      <c r="M819">
        <v>43842</v>
      </c>
      <c r="N819">
        <v>65763</v>
      </c>
      <c r="O819">
        <v>21921</v>
      </c>
      <c r="P819">
        <v>-87684</v>
      </c>
      <c r="Q819">
        <v>-54802</v>
      </c>
      <c r="R819">
        <v>199420</v>
      </c>
      <c r="S819">
        <v>59826</v>
      </c>
      <c r="T819">
        <v>19942</v>
      </c>
      <c r="U819">
        <v>10960</v>
      </c>
      <c r="V819">
        <v>6576</v>
      </c>
      <c r="W819">
        <v>4384</v>
      </c>
      <c r="X819">
        <v>21921</v>
      </c>
      <c r="Y819">
        <v>10960</v>
      </c>
      <c r="Z819">
        <v>9971</v>
      </c>
      <c r="AA819">
        <v>5982</v>
      </c>
      <c r="AB819">
        <v>3988</v>
      </c>
    </row>
    <row r="820" spans="1:28" x14ac:dyDescent="0.35">
      <c r="A820" t="s">
        <v>865</v>
      </c>
      <c r="B820" t="s">
        <v>9</v>
      </c>
      <c r="C820" t="s">
        <v>1</v>
      </c>
      <c r="D820" t="s">
        <v>10</v>
      </c>
      <c r="E820" t="s">
        <v>11</v>
      </c>
      <c r="F820">
        <v>424818</v>
      </c>
      <c r="G820">
        <v>-103403</v>
      </c>
      <c r="H820">
        <v>92164</v>
      </c>
      <c r="I820">
        <v>424818</v>
      </c>
      <c r="J820">
        <v>42481</v>
      </c>
      <c r="K820">
        <v>21240</v>
      </c>
      <c r="L820">
        <v>182072</v>
      </c>
      <c r="M820">
        <v>36414</v>
      </c>
      <c r="N820">
        <v>54621</v>
      </c>
      <c r="O820">
        <v>18207</v>
      </c>
      <c r="P820">
        <v>-72828</v>
      </c>
      <c r="Q820">
        <v>-45518</v>
      </c>
      <c r="R820">
        <v>146918</v>
      </c>
      <c r="S820">
        <v>44075</v>
      </c>
      <c r="T820">
        <v>14691</v>
      </c>
      <c r="U820">
        <v>9103</v>
      </c>
      <c r="V820">
        <v>5462</v>
      </c>
      <c r="W820">
        <v>3641</v>
      </c>
      <c r="X820">
        <v>18207</v>
      </c>
      <c r="Y820">
        <v>9103</v>
      </c>
      <c r="Z820">
        <v>7345</v>
      </c>
      <c r="AA820">
        <v>4407</v>
      </c>
      <c r="AB820">
        <v>2938</v>
      </c>
    </row>
    <row r="821" spans="1:28" x14ac:dyDescent="0.35">
      <c r="A821" t="s">
        <v>866</v>
      </c>
      <c r="B821" t="s">
        <v>9</v>
      </c>
      <c r="C821" t="s">
        <v>1</v>
      </c>
      <c r="D821" t="s">
        <v>10</v>
      </c>
      <c r="E821" t="s">
        <v>11</v>
      </c>
      <c r="F821">
        <v>481088</v>
      </c>
      <c r="G821">
        <v>-219053</v>
      </c>
      <c r="H821">
        <v>195808</v>
      </c>
      <c r="I821">
        <v>481088</v>
      </c>
      <c r="J821">
        <v>48108</v>
      </c>
      <c r="K821">
        <v>24054</v>
      </c>
      <c r="L821">
        <v>243122</v>
      </c>
      <c r="M821">
        <v>48624</v>
      </c>
      <c r="N821">
        <v>72936</v>
      </c>
      <c r="O821">
        <v>24312</v>
      </c>
      <c r="P821">
        <v>-97248</v>
      </c>
      <c r="Q821">
        <v>-60780</v>
      </c>
      <c r="R821">
        <v>275252</v>
      </c>
      <c r="S821">
        <v>82575</v>
      </c>
      <c r="T821">
        <v>27525</v>
      </c>
      <c r="U821">
        <v>12156</v>
      </c>
      <c r="V821">
        <v>7293</v>
      </c>
      <c r="W821">
        <v>4862</v>
      </c>
      <c r="X821">
        <v>24312</v>
      </c>
      <c r="Y821">
        <v>12156</v>
      </c>
      <c r="Z821">
        <v>13762</v>
      </c>
      <c r="AA821">
        <v>8257</v>
      </c>
      <c r="AB821">
        <v>5505</v>
      </c>
    </row>
    <row r="822" spans="1:28" x14ac:dyDescent="0.35">
      <c r="A822" t="s">
        <v>867</v>
      </c>
      <c r="B822" t="s">
        <v>9</v>
      </c>
      <c r="C822" t="s">
        <v>1</v>
      </c>
      <c r="D822" t="s">
        <v>10</v>
      </c>
      <c r="E822" t="s">
        <v>11</v>
      </c>
      <c r="F822">
        <v>191679</v>
      </c>
      <c r="G822">
        <v>-44428</v>
      </c>
      <c r="H822">
        <v>45143</v>
      </c>
      <c r="I822">
        <v>191679</v>
      </c>
      <c r="J822">
        <v>19167</v>
      </c>
      <c r="K822">
        <v>9583</v>
      </c>
      <c r="L822">
        <v>138007</v>
      </c>
      <c r="M822">
        <v>27601</v>
      </c>
      <c r="N822">
        <v>41402</v>
      </c>
      <c r="O822">
        <v>13800</v>
      </c>
      <c r="P822">
        <v>-55202</v>
      </c>
      <c r="Q822">
        <v>-34501</v>
      </c>
      <c r="R822">
        <v>153290</v>
      </c>
      <c r="S822">
        <v>45987</v>
      </c>
      <c r="T822">
        <v>15329</v>
      </c>
      <c r="U822">
        <v>6900</v>
      </c>
      <c r="V822">
        <v>4140</v>
      </c>
      <c r="W822">
        <v>2760</v>
      </c>
      <c r="X822">
        <v>13800</v>
      </c>
      <c r="Y822">
        <v>6900</v>
      </c>
      <c r="Z822">
        <v>7664</v>
      </c>
      <c r="AA822">
        <v>4598</v>
      </c>
      <c r="AB822">
        <v>3065</v>
      </c>
    </row>
    <row r="823" spans="1:28" x14ac:dyDescent="0.35">
      <c r="A823" t="s">
        <v>868</v>
      </c>
      <c r="B823" t="s">
        <v>9</v>
      </c>
      <c r="C823" t="s">
        <v>1</v>
      </c>
      <c r="D823" t="s">
        <v>10</v>
      </c>
      <c r="E823" t="s">
        <v>11</v>
      </c>
      <c r="F823">
        <v>357261</v>
      </c>
      <c r="G823">
        <v>-169828</v>
      </c>
      <c r="H823">
        <v>131580</v>
      </c>
      <c r="I823">
        <v>357261</v>
      </c>
      <c r="J823">
        <v>35726</v>
      </c>
      <c r="K823">
        <v>17863</v>
      </c>
      <c r="L823">
        <v>136343</v>
      </c>
      <c r="M823">
        <v>27268</v>
      </c>
      <c r="N823">
        <v>40902</v>
      </c>
      <c r="O823">
        <v>13634</v>
      </c>
      <c r="P823">
        <v>-54537</v>
      </c>
      <c r="Q823">
        <v>-34085</v>
      </c>
      <c r="R823">
        <v>117587</v>
      </c>
      <c r="S823">
        <v>35276</v>
      </c>
      <c r="T823">
        <v>11758</v>
      </c>
      <c r="U823">
        <v>6817</v>
      </c>
      <c r="V823">
        <v>4090</v>
      </c>
      <c r="W823">
        <v>2726</v>
      </c>
      <c r="X823">
        <v>13634</v>
      </c>
      <c r="Y823">
        <v>6817</v>
      </c>
      <c r="Z823">
        <v>5879</v>
      </c>
      <c r="AA823">
        <v>3527</v>
      </c>
      <c r="AB823">
        <v>2351</v>
      </c>
    </row>
    <row r="824" spans="1:28" x14ac:dyDescent="0.35">
      <c r="A824" t="s">
        <v>869</v>
      </c>
      <c r="B824" t="s">
        <v>9</v>
      </c>
      <c r="C824" t="s">
        <v>1</v>
      </c>
      <c r="D824" t="s">
        <v>10</v>
      </c>
      <c r="E824" t="s">
        <v>11</v>
      </c>
      <c r="F824">
        <v>334601</v>
      </c>
      <c r="G824">
        <v>-83272</v>
      </c>
      <c r="H824">
        <v>107089</v>
      </c>
      <c r="I824">
        <v>334601</v>
      </c>
      <c r="J824">
        <v>33460</v>
      </c>
      <c r="K824">
        <v>16730</v>
      </c>
      <c r="L824">
        <v>205807</v>
      </c>
      <c r="M824">
        <v>41161</v>
      </c>
      <c r="N824">
        <v>61742</v>
      </c>
      <c r="O824">
        <v>20580</v>
      </c>
      <c r="P824">
        <v>-82322</v>
      </c>
      <c r="Q824">
        <v>-51451</v>
      </c>
      <c r="R824">
        <v>190186</v>
      </c>
      <c r="S824">
        <v>57055</v>
      </c>
      <c r="T824">
        <v>19018</v>
      </c>
      <c r="U824">
        <v>10290</v>
      </c>
      <c r="V824">
        <v>6174</v>
      </c>
      <c r="W824">
        <v>4116</v>
      </c>
      <c r="X824">
        <v>20580</v>
      </c>
      <c r="Y824">
        <v>10290</v>
      </c>
      <c r="Z824">
        <v>9509</v>
      </c>
      <c r="AA824">
        <v>5705</v>
      </c>
      <c r="AB824">
        <v>3803</v>
      </c>
    </row>
    <row r="825" spans="1:28" x14ac:dyDescent="0.35">
      <c r="A825" t="s">
        <v>870</v>
      </c>
      <c r="B825" t="s">
        <v>9</v>
      </c>
      <c r="C825" t="s">
        <v>1</v>
      </c>
      <c r="D825" t="s">
        <v>10</v>
      </c>
      <c r="E825" t="s">
        <v>11</v>
      </c>
      <c r="F825">
        <v>229683</v>
      </c>
      <c r="G825">
        <v>-107466</v>
      </c>
      <c r="H825">
        <v>50461</v>
      </c>
      <c r="I825">
        <v>229683</v>
      </c>
      <c r="J825">
        <v>22968</v>
      </c>
      <c r="K825">
        <v>11484</v>
      </c>
      <c r="L825">
        <v>73897</v>
      </c>
      <c r="M825">
        <v>14779</v>
      </c>
      <c r="N825">
        <v>22169</v>
      </c>
      <c r="O825">
        <v>7389</v>
      </c>
      <c r="P825">
        <v>-29558</v>
      </c>
      <c r="Q825">
        <v>-18474</v>
      </c>
      <c r="R825">
        <v>80918</v>
      </c>
      <c r="S825">
        <v>24275</v>
      </c>
      <c r="T825">
        <v>8091</v>
      </c>
      <c r="U825">
        <v>3694</v>
      </c>
      <c r="V825">
        <v>2216</v>
      </c>
      <c r="W825">
        <v>1477</v>
      </c>
      <c r="X825">
        <v>7389</v>
      </c>
      <c r="Y825">
        <v>3694</v>
      </c>
      <c r="Z825">
        <v>4045</v>
      </c>
      <c r="AA825">
        <v>2427</v>
      </c>
      <c r="AB825">
        <v>1618</v>
      </c>
    </row>
    <row r="826" spans="1:28" x14ac:dyDescent="0.35">
      <c r="A826" t="s">
        <v>871</v>
      </c>
      <c r="B826" t="s">
        <v>9</v>
      </c>
      <c r="C826" t="s">
        <v>1</v>
      </c>
      <c r="D826" t="s">
        <v>10</v>
      </c>
      <c r="E826" t="s">
        <v>11</v>
      </c>
      <c r="F826">
        <v>217067</v>
      </c>
      <c r="G826">
        <v>-77610</v>
      </c>
      <c r="H826">
        <v>62970</v>
      </c>
      <c r="I826">
        <v>217067</v>
      </c>
      <c r="J826">
        <v>21706</v>
      </c>
      <c r="K826">
        <v>10853</v>
      </c>
      <c r="L826">
        <v>120056</v>
      </c>
      <c r="M826">
        <v>24011</v>
      </c>
      <c r="N826">
        <v>36016</v>
      </c>
      <c r="O826">
        <v>12005</v>
      </c>
      <c r="P826">
        <v>-48022</v>
      </c>
      <c r="Q826">
        <v>-30014</v>
      </c>
      <c r="R826">
        <v>126408</v>
      </c>
      <c r="S826">
        <v>37922</v>
      </c>
      <c r="T826">
        <v>12640</v>
      </c>
      <c r="U826">
        <v>6002</v>
      </c>
      <c r="V826">
        <v>3601</v>
      </c>
      <c r="W826">
        <v>2401</v>
      </c>
      <c r="X826">
        <v>12005</v>
      </c>
      <c r="Y826">
        <v>6002</v>
      </c>
      <c r="Z826">
        <v>6320</v>
      </c>
      <c r="AA826">
        <v>3792</v>
      </c>
      <c r="AB826">
        <v>2528</v>
      </c>
    </row>
    <row r="827" spans="1:28" x14ac:dyDescent="0.35">
      <c r="A827" t="s">
        <v>872</v>
      </c>
      <c r="B827" t="s">
        <v>9</v>
      </c>
      <c r="C827" t="s">
        <v>1</v>
      </c>
      <c r="D827" t="s">
        <v>10</v>
      </c>
      <c r="E827" t="s">
        <v>11</v>
      </c>
      <c r="F827">
        <v>168900</v>
      </c>
      <c r="G827">
        <v>-57176</v>
      </c>
      <c r="H827">
        <v>46842</v>
      </c>
      <c r="I827">
        <v>168900</v>
      </c>
      <c r="J827">
        <v>16890</v>
      </c>
      <c r="K827">
        <v>8445</v>
      </c>
      <c r="L827">
        <v>84610</v>
      </c>
      <c r="M827">
        <v>16922</v>
      </c>
      <c r="N827">
        <v>25383</v>
      </c>
      <c r="O827">
        <v>8461</v>
      </c>
      <c r="P827">
        <v>-33844</v>
      </c>
      <c r="Q827">
        <v>-21152</v>
      </c>
      <c r="R827">
        <v>86853</v>
      </c>
      <c r="S827">
        <v>26055</v>
      </c>
      <c r="T827">
        <v>8685</v>
      </c>
      <c r="U827">
        <v>4230</v>
      </c>
      <c r="V827">
        <v>2538</v>
      </c>
      <c r="W827">
        <v>1692</v>
      </c>
      <c r="X827">
        <v>8461</v>
      </c>
      <c r="Y827">
        <v>4230</v>
      </c>
      <c r="Z827">
        <v>4342</v>
      </c>
      <c r="AA827">
        <v>2605</v>
      </c>
      <c r="AB827">
        <v>1737</v>
      </c>
    </row>
    <row r="828" spans="1:28" x14ac:dyDescent="0.35">
      <c r="A828" t="s">
        <v>873</v>
      </c>
      <c r="B828" t="s">
        <v>9</v>
      </c>
      <c r="C828" t="s">
        <v>1</v>
      </c>
      <c r="D828" t="s">
        <v>10</v>
      </c>
      <c r="E828" t="s">
        <v>11</v>
      </c>
      <c r="F828">
        <v>257548</v>
      </c>
      <c r="G828">
        <v>-107144</v>
      </c>
      <c r="H828">
        <v>74346</v>
      </c>
      <c r="I828">
        <v>257548</v>
      </c>
      <c r="J828">
        <v>25754</v>
      </c>
      <c r="K828">
        <v>12877</v>
      </c>
      <c r="L828">
        <v>198897</v>
      </c>
      <c r="M828">
        <v>39779</v>
      </c>
      <c r="N828">
        <v>59669</v>
      </c>
      <c r="O828">
        <v>19889</v>
      </c>
      <c r="P828">
        <v>-79558</v>
      </c>
      <c r="Q828">
        <v>-49724</v>
      </c>
      <c r="R828">
        <v>178232</v>
      </c>
      <c r="S828">
        <v>53469</v>
      </c>
      <c r="T828">
        <v>17823</v>
      </c>
      <c r="U828">
        <v>9944</v>
      </c>
      <c r="V828">
        <v>5966</v>
      </c>
      <c r="W828">
        <v>3977</v>
      </c>
      <c r="X828">
        <v>19889</v>
      </c>
      <c r="Y828">
        <v>9944</v>
      </c>
      <c r="Z828">
        <v>8911</v>
      </c>
      <c r="AA828">
        <v>5346</v>
      </c>
      <c r="AB828">
        <v>3564</v>
      </c>
    </row>
    <row r="829" spans="1:28" x14ac:dyDescent="0.35">
      <c r="A829" t="s">
        <v>874</v>
      </c>
      <c r="B829" t="s">
        <v>9</v>
      </c>
      <c r="C829" t="s">
        <v>1</v>
      </c>
      <c r="D829" t="s">
        <v>10</v>
      </c>
      <c r="E829" t="s">
        <v>11</v>
      </c>
      <c r="F829">
        <v>373306</v>
      </c>
      <c r="G829">
        <v>-88786</v>
      </c>
      <c r="H829">
        <v>104819</v>
      </c>
      <c r="I829">
        <v>373306</v>
      </c>
      <c r="J829">
        <v>37330</v>
      </c>
      <c r="K829">
        <v>18665</v>
      </c>
      <c r="L829">
        <v>191397</v>
      </c>
      <c r="M829">
        <v>38279</v>
      </c>
      <c r="N829">
        <v>57419</v>
      </c>
      <c r="O829">
        <v>19139</v>
      </c>
      <c r="P829">
        <v>-76558</v>
      </c>
      <c r="Q829">
        <v>-47849</v>
      </c>
      <c r="R829">
        <v>175149</v>
      </c>
      <c r="S829">
        <v>52544</v>
      </c>
      <c r="T829">
        <v>17514</v>
      </c>
      <c r="U829">
        <v>9569</v>
      </c>
      <c r="V829">
        <v>5741</v>
      </c>
      <c r="W829">
        <v>3827</v>
      </c>
      <c r="X829">
        <v>19139</v>
      </c>
      <c r="Y829">
        <v>9569</v>
      </c>
      <c r="Z829">
        <v>8757</v>
      </c>
      <c r="AA829">
        <v>5254</v>
      </c>
      <c r="AB829">
        <v>3502</v>
      </c>
    </row>
    <row r="830" spans="1:28" x14ac:dyDescent="0.35">
      <c r="A830" t="s">
        <v>875</v>
      </c>
      <c r="B830" t="s">
        <v>9</v>
      </c>
      <c r="C830" t="s">
        <v>1</v>
      </c>
      <c r="D830" t="s">
        <v>10</v>
      </c>
      <c r="E830" t="s">
        <v>11</v>
      </c>
      <c r="F830">
        <v>202361</v>
      </c>
      <c r="G830">
        <v>-115380</v>
      </c>
      <c r="H830">
        <v>22059</v>
      </c>
      <c r="I830">
        <v>202361</v>
      </c>
      <c r="J830">
        <v>20236</v>
      </c>
      <c r="K830">
        <v>10118</v>
      </c>
      <c r="L830">
        <v>120175</v>
      </c>
      <c r="M830">
        <v>24035</v>
      </c>
      <c r="N830">
        <v>36052</v>
      </c>
      <c r="O830">
        <v>12017</v>
      </c>
      <c r="P830">
        <v>-48070</v>
      </c>
      <c r="Q830">
        <v>-30043</v>
      </c>
      <c r="R830">
        <v>139908</v>
      </c>
      <c r="S830">
        <v>41972</v>
      </c>
      <c r="T830">
        <v>13990</v>
      </c>
      <c r="U830">
        <v>6008</v>
      </c>
      <c r="V830">
        <v>3605</v>
      </c>
      <c r="W830">
        <v>2403</v>
      </c>
      <c r="X830">
        <v>12017</v>
      </c>
      <c r="Y830">
        <v>6008</v>
      </c>
      <c r="Z830">
        <v>6995</v>
      </c>
      <c r="AA830">
        <v>4197</v>
      </c>
      <c r="AB830">
        <v>2798</v>
      </c>
    </row>
    <row r="831" spans="1:28" x14ac:dyDescent="0.35">
      <c r="A831" t="s">
        <v>876</v>
      </c>
      <c r="B831" t="s">
        <v>9</v>
      </c>
      <c r="C831" t="s">
        <v>1</v>
      </c>
      <c r="D831" t="s">
        <v>10</v>
      </c>
      <c r="E831" t="s">
        <v>11</v>
      </c>
      <c r="F831">
        <v>199190</v>
      </c>
      <c r="G831">
        <v>-96486</v>
      </c>
      <c r="H831">
        <v>43888</v>
      </c>
      <c r="I831">
        <v>199190</v>
      </c>
      <c r="J831">
        <v>19919</v>
      </c>
      <c r="K831">
        <v>9959</v>
      </c>
      <c r="L831">
        <v>111288</v>
      </c>
      <c r="M831">
        <v>22257</v>
      </c>
      <c r="N831">
        <v>33386</v>
      </c>
      <c r="O831">
        <v>11128</v>
      </c>
      <c r="P831">
        <v>-44515</v>
      </c>
      <c r="Q831">
        <v>-27822</v>
      </c>
      <c r="R831">
        <v>121187</v>
      </c>
      <c r="S831">
        <v>36356</v>
      </c>
      <c r="T831">
        <v>12118</v>
      </c>
      <c r="U831">
        <v>5564</v>
      </c>
      <c r="V831">
        <v>3338</v>
      </c>
      <c r="W831">
        <v>2225</v>
      </c>
      <c r="X831">
        <v>11128</v>
      </c>
      <c r="Y831">
        <v>5564</v>
      </c>
      <c r="Z831">
        <v>6059</v>
      </c>
      <c r="AA831">
        <v>3635</v>
      </c>
      <c r="AB831">
        <v>2423</v>
      </c>
    </row>
    <row r="832" spans="1:28" x14ac:dyDescent="0.35">
      <c r="A832" t="s">
        <v>877</v>
      </c>
      <c r="B832" t="s">
        <v>9</v>
      </c>
      <c r="C832" t="s">
        <v>1</v>
      </c>
      <c r="D832" t="s">
        <v>10</v>
      </c>
      <c r="E832" t="s">
        <v>11</v>
      </c>
      <c r="F832">
        <v>456501</v>
      </c>
      <c r="G832">
        <v>-167659</v>
      </c>
      <c r="H832">
        <v>167307</v>
      </c>
      <c r="I832">
        <v>456501</v>
      </c>
      <c r="J832">
        <v>45650</v>
      </c>
      <c r="K832">
        <v>22825</v>
      </c>
      <c r="L832">
        <v>115822</v>
      </c>
      <c r="M832">
        <v>23164</v>
      </c>
      <c r="N832">
        <v>34746</v>
      </c>
      <c r="O832">
        <v>11582</v>
      </c>
      <c r="P832">
        <v>-46328</v>
      </c>
      <c r="Q832">
        <v>-28955</v>
      </c>
      <c r="R832">
        <v>105581</v>
      </c>
      <c r="S832">
        <v>31674</v>
      </c>
      <c r="T832">
        <v>10558</v>
      </c>
      <c r="U832">
        <v>5791</v>
      </c>
      <c r="V832">
        <v>3474</v>
      </c>
      <c r="W832">
        <v>2316</v>
      </c>
      <c r="X832">
        <v>11582</v>
      </c>
      <c r="Y832">
        <v>5791</v>
      </c>
      <c r="Z832">
        <v>5279</v>
      </c>
      <c r="AA832">
        <v>3167</v>
      </c>
      <c r="AB832">
        <v>2111</v>
      </c>
    </row>
    <row r="833" spans="1:28" x14ac:dyDescent="0.35">
      <c r="A833" t="s">
        <v>878</v>
      </c>
      <c r="B833" t="s">
        <v>9</v>
      </c>
      <c r="C833" t="s">
        <v>1</v>
      </c>
      <c r="D833" t="s">
        <v>10</v>
      </c>
      <c r="E833" t="s">
        <v>11</v>
      </c>
      <c r="F833">
        <v>68290</v>
      </c>
      <c r="G833">
        <v>-16556</v>
      </c>
      <c r="H833">
        <v>26749</v>
      </c>
      <c r="I833">
        <v>68290</v>
      </c>
      <c r="J833">
        <v>6829</v>
      </c>
      <c r="K833">
        <v>3414</v>
      </c>
      <c r="L833">
        <v>35811</v>
      </c>
      <c r="M833">
        <v>7162</v>
      </c>
      <c r="N833">
        <v>10743</v>
      </c>
      <c r="O833">
        <v>3581</v>
      </c>
      <c r="P833">
        <v>-14324</v>
      </c>
      <c r="Q833">
        <v>-8952</v>
      </c>
      <c r="R833">
        <v>38204</v>
      </c>
      <c r="S833">
        <v>11461</v>
      </c>
      <c r="T833">
        <v>3820</v>
      </c>
      <c r="U833">
        <v>1790</v>
      </c>
      <c r="V833">
        <v>1074</v>
      </c>
      <c r="W833">
        <v>716</v>
      </c>
      <c r="X833">
        <v>3581</v>
      </c>
      <c r="Y833">
        <v>1790</v>
      </c>
      <c r="Z833">
        <v>1910</v>
      </c>
      <c r="AA833">
        <v>1146</v>
      </c>
      <c r="AB833">
        <v>764</v>
      </c>
    </row>
    <row r="834" spans="1:28" x14ac:dyDescent="0.35">
      <c r="A834" t="s">
        <v>879</v>
      </c>
      <c r="B834" t="s">
        <v>9</v>
      </c>
      <c r="C834" t="s">
        <v>1</v>
      </c>
      <c r="D834" t="s">
        <v>10</v>
      </c>
      <c r="E834" t="s">
        <v>11</v>
      </c>
      <c r="F834">
        <v>279432</v>
      </c>
      <c r="G834">
        <v>-95535</v>
      </c>
      <c r="H834">
        <v>40172</v>
      </c>
      <c r="I834">
        <v>279432</v>
      </c>
      <c r="J834">
        <v>27943</v>
      </c>
      <c r="K834">
        <v>13971</v>
      </c>
      <c r="L834">
        <v>178479</v>
      </c>
      <c r="M834">
        <v>35695</v>
      </c>
      <c r="N834">
        <v>53543</v>
      </c>
      <c r="O834">
        <v>17847</v>
      </c>
      <c r="P834">
        <v>-71391</v>
      </c>
      <c r="Q834">
        <v>-44619</v>
      </c>
      <c r="R834">
        <v>194029</v>
      </c>
      <c r="S834">
        <v>58208</v>
      </c>
      <c r="T834">
        <v>19402</v>
      </c>
      <c r="U834">
        <v>8923</v>
      </c>
      <c r="V834">
        <v>5354</v>
      </c>
      <c r="W834">
        <v>3569</v>
      </c>
      <c r="X834">
        <v>17847</v>
      </c>
      <c r="Y834">
        <v>8923</v>
      </c>
      <c r="Z834">
        <v>9701</v>
      </c>
      <c r="AA834">
        <v>5820</v>
      </c>
      <c r="AB834">
        <v>3880</v>
      </c>
    </row>
    <row r="835" spans="1:28" x14ac:dyDescent="0.35">
      <c r="A835" t="s">
        <v>880</v>
      </c>
      <c r="B835" t="s">
        <v>9</v>
      </c>
      <c r="C835" t="s">
        <v>1</v>
      </c>
      <c r="D835" t="s">
        <v>10</v>
      </c>
      <c r="E835" t="s">
        <v>11</v>
      </c>
      <c r="F835">
        <v>478182</v>
      </c>
      <c r="G835">
        <v>-139214</v>
      </c>
      <c r="H835">
        <v>134716</v>
      </c>
      <c r="I835">
        <v>478182</v>
      </c>
      <c r="J835">
        <v>47818</v>
      </c>
      <c r="K835">
        <v>23909</v>
      </c>
      <c r="L835">
        <v>321227</v>
      </c>
      <c r="M835">
        <v>64245</v>
      </c>
      <c r="N835">
        <v>96368</v>
      </c>
      <c r="O835">
        <v>32122</v>
      </c>
      <c r="P835">
        <v>-128490</v>
      </c>
      <c r="Q835">
        <v>-80306</v>
      </c>
      <c r="R835">
        <v>316079</v>
      </c>
      <c r="S835">
        <v>94823</v>
      </c>
      <c r="T835">
        <v>31607</v>
      </c>
      <c r="U835">
        <v>16061</v>
      </c>
      <c r="V835">
        <v>9636</v>
      </c>
      <c r="W835">
        <v>6424</v>
      </c>
      <c r="X835">
        <v>32122</v>
      </c>
      <c r="Y835">
        <v>16061</v>
      </c>
      <c r="Z835">
        <v>15803</v>
      </c>
      <c r="AA835">
        <v>9482</v>
      </c>
      <c r="AB835">
        <v>6321</v>
      </c>
    </row>
    <row r="836" spans="1:28" x14ac:dyDescent="0.35">
      <c r="A836" t="s">
        <v>881</v>
      </c>
      <c r="B836" t="s">
        <v>9</v>
      </c>
      <c r="C836" t="s">
        <v>1</v>
      </c>
      <c r="D836" t="s">
        <v>10</v>
      </c>
      <c r="E836" t="s">
        <v>11</v>
      </c>
      <c r="F836">
        <v>277677</v>
      </c>
      <c r="G836">
        <v>-138542</v>
      </c>
      <c r="H836">
        <v>69265</v>
      </c>
      <c r="I836">
        <v>277677</v>
      </c>
      <c r="J836">
        <v>27767</v>
      </c>
      <c r="K836">
        <v>13883</v>
      </c>
      <c r="L836">
        <v>57451</v>
      </c>
      <c r="M836">
        <v>11490</v>
      </c>
      <c r="N836">
        <v>17235</v>
      </c>
      <c r="O836">
        <v>5745</v>
      </c>
      <c r="P836">
        <v>-22980</v>
      </c>
      <c r="Q836">
        <v>-14362</v>
      </c>
      <c r="R836">
        <v>57983</v>
      </c>
      <c r="S836">
        <v>17394</v>
      </c>
      <c r="T836">
        <v>5798</v>
      </c>
      <c r="U836">
        <v>2872</v>
      </c>
      <c r="V836">
        <v>1723</v>
      </c>
      <c r="W836">
        <v>1149</v>
      </c>
      <c r="X836">
        <v>5745</v>
      </c>
      <c r="Y836">
        <v>2872</v>
      </c>
      <c r="Z836">
        <v>2899</v>
      </c>
      <c r="AA836">
        <v>1739</v>
      </c>
      <c r="AB836">
        <v>1159</v>
      </c>
    </row>
    <row r="837" spans="1:28" x14ac:dyDescent="0.35">
      <c r="A837" t="s">
        <v>882</v>
      </c>
      <c r="B837" t="s">
        <v>9</v>
      </c>
      <c r="C837" t="s">
        <v>1</v>
      </c>
      <c r="D837" t="s">
        <v>10</v>
      </c>
      <c r="E837" t="s">
        <v>11</v>
      </c>
      <c r="F837">
        <v>455437</v>
      </c>
      <c r="G837">
        <v>-140310</v>
      </c>
      <c r="H837">
        <v>164525</v>
      </c>
      <c r="I837">
        <v>455437</v>
      </c>
      <c r="J837">
        <v>45543</v>
      </c>
      <c r="K837">
        <v>22771</v>
      </c>
      <c r="L837">
        <v>196960</v>
      </c>
      <c r="M837">
        <v>39392</v>
      </c>
      <c r="N837">
        <v>59088</v>
      </c>
      <c r="O837">
        <v>19696</v>
      </c>
      <c r="P837">
        <v>-78784</v>
      </c>
      <c r="Q837">
        <v>-49240</v>
      </c>
      <c r="R837">
        <v>159416</v>
      </c>
      <c r="S837">
        <v>47824</v>
      </c>
      <c r="T837">
        <v>15941</v>
      </c>
      <c r="U837">
        <v>9848</v>
      </c>
      <c r="V837">
        <v>5908</v>
      </c>
      <c r="W837">
        <v>3939</v>
      </c>
      <c r="X837">
        <v>19696</v>
      </c>
      <c r="Y837">
        <v>9848</v>
      </c>
      <c r="Z837">
        <v>7970</v>
      </c>
      <c r="AA837">
        <v>4782</v>
      </c>
      <c r="AB837">
        <v>3188</v>
      </c>
    </row>
    <row r="838" spans="1:28" x14ac:dyDescent="0.35">
      <c r="A838" t="s">
        <v>883</v>
      </c>
      <c r="B838" t="s">
        <v>9</v>
      </c>
      <c r="C838" t="s">
        <v>1</v>
      </c>
      <c r="D838" t="s">
        <v>10</v>
      </c>
      <c r="E838" t="s">
        <v>11</v>
      </c>
      <c r="F838">
        <v>186945</v>
      </c>
      <c r="G838">
        <v>-84566</v>
      </c>
      <c r="H838">
        <v>83218</v>
      </c>
      <c r="I838">
        <v>186945</v>
      </c>
      <c r="J838">
        <v>18694</v>
      </c>
      <c r="K838">
        <v>9347</v>
      </c>
      <c r="L838">
        <v>113148</v>
      </c>
      <c r="M838">
        <v>22629</v>
      </c>
      <c r="N838">
        <v>33944</v>
      </c>
      <c r="O838">
        <v>11314</v>
      </c>
      <c r="P838">
        <v>-45259</v>
      </c>
      <c r="Q838">
        <v>-28287</v>
      </c>
      <c r="R838">
        <v>128709</v>
      </c>
      <c r="S838">
        <v>38612</v>
      </c>
      <c r="T838">
        <v>12870</v>
      </c>
      <c r="U838">
        <v>5657</v>
      </c>
      <c r="V838">
        <v>3394</v>
      </c>
      <c r="W838">
        <v>2262</v>
      </c>
      <c r="X838">
        <v>11314</v>
      </c>
      <c r="Y838">
        <v>5657</v>
      </c>
      <c r="Z838">
        <v>6435</v>
      </c>
      <c r="AA838">
        <v>3861</v>
      </c>
      <c r="AB838">
        <v>2574</v>
      </c>
    </row>
    <row r="839" spans="1:28" x14ac:dyDescent="0.35">
      <c r="A839" t="s">
        <v>884</v>
      </c>
      <c r="B839" t="s">
        <v>9</v>
      </c>
      <c r="C839" t="s">
        <v>1</v>
      </c>
      <c r="D839" t="s">
        <v>10</v>
      </c>
      <c r="E839" t="s">
        <v>11</v>
      </c>
      <c r="F839">
        <v>195010</v>
      </c>
      <c r="G839">
        <v>-93114</v>
      </c>
      <c r="H839">
        <v>52855</v>
      </c>
      <c r="I839">
        <v>195010</v>
      </c>
      <c r="J839">
        <v>19501</v>
      </c>
      <c r="K839">
        <v>9750</v>
      </c>
      <c r="L839">
        <v>145423</v>
      </c>
      <c r="M839">
        <v>29084</v>
      </c>
      <c r="N839">
        <v>43626</v>
      </c>
      <c r="O839">
        <v>14542</v>
      </c>
      <c r="P839">
        <v>-58169</v>
      </c>
      <c r="Q839">
        <v>-36355</v>
      </c>
      <c r="R839">
        <v>118182</v>
      </c>
      <c r="S839">
        <v>35454</v>
      </c>
      <c r="T839">
        <v>11818</v>
      </c>
      <c r="U839">
        <v>7271</v>
      </c>
      <c r="V839">
        <v>4362</v>
      </c>
      <c r="W839">
        <v>2908</v>
      </c>
      <c r="X839">
        <v>14542</v>
      </c>
      <c r="Y839">
        <v>7271</v>
      </c>
      <c r="Z839">
        <v>5909</v>
      </c>
      <c r="AA839">
        <v>3545</v>
      </c>
      <c r="AB839">
        <v>2363</v>
      </c>
    </row>
    <row r="840" spans="1:28" x14ac:dyDescent="0.35">
      <c r="A840" t="s">
        <v>885</v>
      </c>
      <c r="B840" t="s">
        <v>9</v>
      </c>
      <c r="C840" t="s">
        <v>1</v>
      </c>
      <c r="D840" t="s">
        <v>10</v>
      </c>
      <c r="E840" t="s">
        <v>11</v>
      </c>
      <c r="F840">
        <v>171125</v>
      </c>
      <c r="G840">
        <v>-64005</v>
      </c>
      <c r="H840">
        <v>28216</v>
      </c>
      <c r="I840">
        <v>171125</v>
      </c>
      <c r="J840">
        <v>17112</v>
      </c>
      <c r="K840">
        <v>8556</v>
      </c>
      <c r="L840">
        <v>116137</v>
      </c>
      <c r="M840">
        <v>23227</v>
      </c>
      <c r="N840">
        <v>34841</v>
      </c>
      <c r="O840">
        <v>11613</v>
      </c>
      <c r="P840">
        <v>-46454</v>
      </c>
      <c r="Q840">
        <v>-29034</v>
      </c>
      <c r="R840">
        <v>132199</v>
      </c>
      <c r="S840">
        <v>39659</v>
      </c>
      <c r="T840">
        <v>13219</v>
      </c>
      <c r="U840">
        <v>5806</v>
      </c>
      <c r="V840">
        <v>3484</v>
      </c>
      <c r="W840">
        <v>2322</v>
      </c>
      <c r="X840">
        <v>11613</v>
      </c>
      <c r="Y840">
        <v>5806</v>
      </c>
      <c r="Z840">
        <v>6609</v>
      </c>
      <c r="AA840">
        <v>3965</v>
      </c>
      <c r="AB840">
        <v>2643</v>
      </c>
    </row>
    <row r="841" spans="1:28" x14ac:dyDescent="0.35">
      <c r="A841" t="s">
        <v>886</v>
      </c>
      <c r="B841" t="s">
        <v>9</v>
      </c>
      <c r="C841" t="s">
        <v>1</v>
      </c>
      <c r="D841" t="s">
        <v>10</v>
      </c>
      <c r="E841" t="s">
        <v>11</v>
      </c>
      <c r="F841">
        <v>190684</v>
      </c>
      <c r="G841">
        <v>-81330</v>
      </c>
      <c r="H841">
        <v>69549</v>
      </c>
      <c r="I841">
        <v>190684</v>
      </c>
      <c r="J841">
        <v>19068</v>
      </c>
      <c r="K841">
        <v>9534</v>
      </c>
      <c r="L841">
        <v>92355</v>
      </c>
      <c r="M841">
        <v>18471</v>
      </c>
      <c r="N841">
        <v>27706</v>
      </c>
      <c r="O841">
        <v>9235</v>
      </c>
      <c r="P841">
        <v>-36942</v>
      </c>
      <c r="Q841">
        <v>-23088</v>
      </c>
      <c r="R841">
        <v>99919</v>
      </c>
      <c r="S841">
        <v>29975</v>
      </c>
      <c r="T841">
        <v>9991</v>
      </c>
      <c r="U841">
        <v>4617</v>
      </c>
      <c r="V841">
        <v>2770</v>
      </c>
      <c r="W841">
        <v>1847</v>
      </c>
      <c r="X841">
        <v>9235</v>
      </c>
      <c r="Y841">
        <v>4617</v>
      </c>
      <c r="Z841">
        <v>4995</v>
      </c>
      <c r="AA841">
        <v>2997</v>
      </c>
      <c r="AB841">
        <v>1998</v>
      </c>
    </row>
    <row r="842" spans="1:28" x14ac:dyDescent="0.35">
      <c r="A842" t="s">
        <v>887</v>
      </c>
      <c r="B842" t="s">
        <v>9</v>
      </c>
      <c r="C842" t="s">
        <v>1</v>
      </c>
      <c r="D842" t="s">
        <v>10</v>
      </c>
      <c r="E842" t="s">
        <v>11</v>
      </c>
      <c r="F842">
        <v>131207</v>
      </c>
      <c r="G842">
        <v>-42249</v>
      </c>
      <c r="H842">
        <v>59445</v>
      </c>
      <c r="I842">
        <v>131207</v>
      </c>
      <c r="J842">
        <v>13120</v>
      </c>
      <c r="K842">
        <v>6560</v>
      </c>
      <c r="L842">
        <v>45083</v>
      </c>
      <c r="M842">
        <v>9016</v>
      </c>
      <c r="N842">
        <v>13524</v>
      </c>
      <c r="O842">
        <v>4508</v>
      </c>
      <c r="P842">
        <v>-18033</v>
      </c>
      <c r="Q842">
        <v>-11270</v>
      </c>
      <c r="R842">
        <v>53252</v>
      </c>
      <c r="S842">
        <v>15975</v>
      </c>
      <c r="T842">
        <v>5325</v>
      </c>
      <c r="U842">
        <v>2254</v>
      </c>
      <c r="V842">
        <v>1352</v>
      </c>
      <c r="W842">
        <v>901</v>
      </c>
      <c r="X842">
        <v>4508</v>
      </c>
      <c r="Y842">
        <v>2254</v>
      </c>
      <c r="Z842">
        <v>2662</v>
      </c>
      <c r="AA842">
        <v>1597</v>
      </c>
      <c r="AB842">
        <v>1065</v>
      </c>
    </row>
    <row r="843" spans="1:28" x14ac:dyDescent="0.35">
      <c r="A843" t="s">
        <v>888</v>
      </c>
      <c r="B843" t="s">
        <v>9</v>
      </c>
      <c r="C843" t="s">
        <v>1</v>
      </c>
      <c r="D843" t="s">
        <v>10</v>
      </c>
      <c r="E843" t="s">
        <v>11</v>
      </c>
      <c r="F843">
        <v>318078</v>
      </c>
      <c r="G843">
        <v>-163372</v>
      </c>
      <c r="H843">
        <v>41967</v>
      </c>
      <c r="I843">
        <v>318078</v>
      </c>
      <c r="J843">
        <v>31807</v>
      </c>
      <c r="K843">
        <v>15903</v>
      </c>
      <c r="L843">
        <v>222248</v>
      </c>
      <c r="M843">
        <v>44449</v>
      </c>
      <c r="N843">
        <v>66674</v>
      </c>
      <c r="O843">
        <v>22224</v>
      </c>
      <c r="P843">
        <v>-88899</v>
      </c>
      <c r="Q843">
        <v>-55562</v>
      </c>
      <c r="R843">
        <v>213664</v>
      </c>
      <c r="S843">
        <v>64099</v>
      </c>
      <c r="T843">
        <v>21366</v>
      </c>
      <c r="U843">
        <v>11112</v>
      </c>
      <c r="V843">
        <v>6667</v>
      </c>
      <c r="W843">
        <v>4444</v>
      </c>
      <c r="X843">
        <v>22224</v>
      </c>
      <c r="Y843">
        <v>11112</v>
      </c>
      <c r="Z843">
        <v>10683</v>
      </c>
      <c r="AA843">
        <v>6409</v>
      </c>
      <c r="AB843">
        <v>4273</v>
      </c>
    </row>
    <row r="844" spans="1:28" x14ac:dyDescent="0.35">
      <c r="A844" t="s">
        <v>889</v>
      </c>
      <c r="B844" t="s">
        <v>9</v>
      </c>
      <c r="C844" t="s">
        <v>1</v>
      </c>
      <c r="D844" t="s">
        <v>10</v>
      </c>
      <c r="E844" t="s">
        <v>11</v>
      </c>
      <c r="F844">
        <v>87218</v>
      </c>
      <c r="G844">
        <v>-31207</v>
      </c>
      <c r="H844">
        <v>23641</v>
      </c>
      <c r="I844">
        <v>87218</v>
      </c>
      <c r="J844">
        <v>8721</v>
      </c>
      <c r="K844">
        <v>4360</v>
      </c>
      <c r="L844">
        <v>38349</v>
      </c>
      <c r="M844">
        <v>7669</v>
      </c>
      <c r="N844">
        <v>11504</v>
      </c>
      <c r="O844">
        <v>3834</v>
      </c>
      <c r="P844">
        <v>-15339</v>
      </c>
      <c r="Q844">
        <v>-9587</v>
      </c>
      <c r="R844">
        <v>43701</v>
      </c>
      <c r="S844">
        <v>13110</v>
      </c>
      <c r="T844">
        <v>4370</v>
      </c>
      <c r="U844">
        <v>1917</v>
      </c>
      <c r="V844">
        <v>1150</v>
      </c>
      <c r="W844">
        <v>766</v>
      </c>
      <c r="X844">
        <v>3834</v>
      </c>
      <c r="Y844">
        <v>1917</v>
      </c>
      <c r="Z844">
        <v>2185</v>
      </c>
      <c r="AA844">
        <v>1311</v>
      </c>
      <c r="AB844">
        <v>874</v>
      </c>
    </row>
    <row r="845" spans="1:28" x14ac:dyDescent="0.35">
      <c r="A845" t="s">
        <v>890</v>
      </c>
      <c r="B845" t="s">
        <v>9</v>
      </c>
      <c r="C845" t="s">
        <v>1</v>
      </c>
      <c r="D845" t="s">
        <v>10</v>
      </c>
      <c r="E845" t="s">
        <v>11</v>
      </c>
      <c r="F845">
        <v>51955</v>
      </c>
      <c r="G845">
        <v>-16770</v>
      </c>
      <c r="H845">
        <v>18910</v>
      </c>
      <c r="I845">
        <v>51955</v>
      </c>
      <c r="J845">
        <v>5195</v>
      </c>
      <c r="K845">
        <v>2597</v>
      </c>
      <c r="L845">
        <v>36783</v>
      </c>
      <c r="M845">
        <v>7356</v>
      </c>
      <c r="N845">
        <v>11034</v>
      </c>
      <c r="O845">
        <v>3678</v>
      </c>
      <c r="P845">
        <v>-14713</v>
      </c>
      <c r="Q845">
        <v>-9195</v>
      </c>
      <c r="R845">
        <v>43558</v>
      </c>
      <c r="S845">
        <v>13067</v>
      </c>
      <c r="T845">
        <v>4355</v>
      </c>
      <c r="U845">
        <v>1839</v>
      </c>
      <c r="V845">
        <v>1103</v>
      </c>
      <c r="W845">
        <v>735</v>
      </c>
      <c r="X845">
        <v>3678</v>
      </c>
      <c r="Y845">
        <v>1839</v>
      </c>
      <c r="Z845">
        <v>2177</v>
      </c>
      <c r="AA845">
        <v>1306</v>
      </c>
      <c r="AB845">
        <v>871</v>
      </c>
    </row>
    <row r="846" spans="1:28" x14ac:dyDescent="0.35">
      <c r="A846" t="s">
        <v>891</v>
      </c>
      <c r="B846" t="s">
        <v>9</v>
      </c>
      <c r="C846" t="s">
        <v>1</v>
      </c>
      <c r="D846" t="s">
        <v>10</v>
      </c>
      <c r="E846" t="s">
        <v>11</v>
      </c>
      <c r="F846">
        <v>119119</v>
      </c>
      <c r="G846">
        <v>-53051</v>
      </c>
      <c r="H846">
        <v>33897</v>
      </c>
      <c r="I846">
        <v>119119</v>
      </c>
      <c r="J846">
        <v>11911</v>
      </c>
      <c r="K846">
        <v>5955</v>
      </c>
      <c r="L846">
        <v>48655</v>
      </c>
      <c r="M846">
        <v>9731</v>
      </c>
      <c r="N846">
        <v>14596</v>
      </c>
      <c r="O846">
        <v>4865</v>
      </c>
      <c r="P846">
        <v>-19462</v>
      </c>
      <c r="Q846">
        <v>-12163</v>
      </c>
      <c r="R846">
        <v>46145</v>
      </c>
      <c r="S846">
        <v>13843</v>
      </c>
      <c r="T846">
        <v>4614</v>
      </c>
      <c r="U846">
        <v>2432</v>
      </c>
      <c r="V846">
        <v>1459</v>
      </c>
      <c r="W846">
        <v>973</v>
      </c>
      <c r="X846">
        <v>4865</v>
      </c>
      <c r="Y846">
        <v>2432</v>
      </c>
      <c r="Z846">
        <v>2307</v>
      </c>
      <c r="AA846">
        <v>1384</v>
      </c>
      <c r="AB846">
        <v>922</v>
      </c>
    </row>
    <row r="847" spans="1:28" x14ac:dyDescent="0.35">
      <c r="A847" t="s">
        <v>892</v>
      </c>
      <c r="B847" t="s">
        <v>9</v>
      </c>
      <c r="C847" t="s">
        <v>1</v>
      </c>
      <c r="D847" t="s">
        <v>10</v>
      </c>
      <c r="E847" t="s">
        <v>11</v>
      </c>
      <c r="F847">
        <v>391815</v>
      </c>
      <c r="G847">
        <v>-158949</v>
      </c>
      <c r="H847">
        <v>43208</v>
      </c>
      <c r="I847">
        <v>391815</v>
      </c>
      <c r="J847">
        <v>39181</v>
      </c>
      <c r="K847">
        <v>19590</v>
      </c>
      <c r="L847">
        <v>259509</v>
      </c>
      <c r="M847">
        <v>51901</v>
      </c>
      <c r="N847">
        <v>77852</v>
      </c>
      <c r="O847">
        <v>25950</v>
      </c>
      <c r="P847">
        <v>-103803</v>
      </c>
      <c r="Q847">
        <v>-64877</v>
      </c>
      <c r="R847">
        <v>303146</v>
      </c>
      <c r="S847">
        <v>90943</v>
      </c>
      <c r="T847">
        <v>30314</v>
      </c>
      <c r="U847">
        <v>12975</v>
      </c>
      <c r="V847">
        <v>7785</v>
      </c>
      <c r="W847">
        <v>5190</v>
      </c>
      <c r="X847">
        <v>25950</v>
      </c>
      <c r="Y847">
        <v>12975</v>
      </c>
      <c r="Z847">
        <v>15157</v>
      </c>
      <c r="AA847">
        <v>9094</v>
      </c>
      <c r="AB847">
        <v>6062</v>
      </c>
    </row>
    <row r="848" spans="1:28" x14ac:dyDescent="0.35">
      <c r="A848" t="s">
        <v>893</v>
      </c>
      <c r="B848" t="s">
        <v>9</v>
      </c>
      <c r="C848" t="s">
        <v>1</v>
      </c>
      <c r="D848" t="s">
        <v>10</v>
      </c>
      <c r="E848" t="s">
        <v>11</v>
      </c>
      <c r="F848">
        <v>368180</v>
      </c>
      <c r="G848">
        <v>-110663</v>
      </c>
      <c r="H848">
        <v>159024</v>
      </c>
      <c r="I848">
        <v>368180</v>
      </c>
      <c r="J848">
        <v>36818</v>
      </c>
      <c r="K848">
        <v>18409</v>
      </c>
      <c r="L848">
        <v>153393</v>
      </c>
      <c r="M848">
        <v>30678</v>
      </c>
      <c r="N848">
        <v>46017</v>
      </c>
      <c r="O848">
        <v>15339</v>
      </c>
      <c r="P848">
        <v>-61357</v>
      </c>
      <c r="Q848">
        <v>-38348</v>
      </c>
      <c r="R848">
        <v>150467</v>
      </c>
      <c r="S848">
        <v>45140</v>
      </c>
      <c r="T848">
        <v>15046</v>
      </c>
      <c r="U848">
        <v>7669</v>
      </c>
      <c r="V848">
        <v>4601</v>
      </c>
      <c r="W848">
        <v>3067</v>
      </c>
      <c r="X848">
        <v>15339</v>
      </c>
      <c r="Y848">
        <v>7669</v>
      </c>
      <c r="Z848">
        <v>7523</v>
      </c>
      <c r="AA848">
        <v>4514</v>
      </c>
      <c r="AB848">
        <v>3009</v>
      </c>
    </row>
    <row r="849" spans="1:28" x14ac:dyDescent="0.35">
      <c r="A849" t="s">
        <v>894</v>
      </c>
      <c r="B849" t="s">
        <v>9</v>
      </c>
      <c r="C849" t="s">
        <v>1</v>
      </c>
      <c r="D849" t="s">
        <v>10</v>
      </c>
      <c r="E849" t="s">
        <v>11</v>
      </c>
      <c r="F849">
        <v>489155</v>
      </c>
      <c r="G849">
        <v>-290390</v>
      </c>
      <c r="H849">
        <v>78139</v>
      </c>
      <c r="I849">
        <v>489155</v>
      </c>
      <c r="J849">
        <v>48915</v>
      </c>
      <c r="K849">
        <v>24457</v>
      </c>
      <c r="L849">
        <v>228239</v>
      </c>
      <c r="M849">
        <v>45647</v>
      </c>
      <c r="N849">
        <v>68471</v>
      </c>
      <c r="O849">
        <v>22823</v>
      </c>
      <c r="P849">
        <v>-91295</v>
      </c>
      <c r="Q849">
        <v>-57059</v>
      </c>
      <c r="R849">
        <v>218278</v>
      </c>
      <c r="S849">
        <v>65483</v>
      </c>
      <c r="T849">
        <v>21827</v>
      </c>
      <c r="U849">
        <v>11411</v>
      </c>
      <c r="V849">
        <v>6847</v>
      </c>
      <c r="W849">
        <v>4564</v>
      </c>
      <c r="X849">
        <v>22823</v>
      </c>
      <c r="Y849">
        <v>11411</v>
      </c>
      <c r="Z849">
        <v>10913</v>
      </c>
      <c r="AA849">
        <v>6548</v>
      </c>
      <c r="AB849">
        <v>4365</v>
      </c>
    </row>
    <row r="850" spans="1:28" x14ac:dyDescent="0.35">
      <c r="A850" t="s">
        <v>895</v>
      </c>
      <c r="B850" t="s">
        <v>9</v>
      </c>
      <c r="C850" t="s">
        <v>1</v>
      </c>
      <c r="D850" t="s">
        <v>10</v>
      </c>
      <c r="E850" t="s">
        <v>11</v>
      </c>
      <c r="F850">
        <v>124019</v>
      </c>
      <c r="G850">
        <v>-38928</v>
      </c>
      <c r="H850">
        <v>19872</v>
      </c>
      <c r="I850">
        <v>124019</v>
      </c>
      <c r="J850">
        <v>12401</v>
      </c>
      <c r="K850">
        <v>6200</v>
      </c>
      <c r="L850">
        <v>50147</v>
      </c>
      <c r="M850">
        <v>10029</v>
      </c>
      <c r="N850">
        <v>15044</v>
      </c>
      <c r="O850">
        <v>5014</v>
      </c>
      <c r="P850">
        <v>-20058</v>
      </c>
      <c r="Q850">
        <v>-12536</v>
      </c>
      <c r="R850">
        <v>45057</v>
      </c>
      <c r="S850">
        <v>13517</v>
      </c>
      <c r="T850">
        <v>4505</v>
      </c>
      <c r="U850">
        <v>2507</v>
      </c>
      <c r="V850">
        <v>1504</v>
      </c>
      <c r="W850">
        <v>1002</v>
      </c>
      <c r="X850">
        <v>5014</v>
      </c>
      <c r="Y850">
        <v>2507</v>
      </c>
      <c r="Z850">
        <v>2252</v>
      </c>
      <c r="AA850">
        <v>1351</v>
      </c>
      <c r="AB850">
        <v>901</v>
      </c>
    </row>
    <row r="851" spans="1:28" x14ac:dyDescent="0.35">
      <c r="A851" t="s">
        <v>896</v>
      </c>
      <c r="B851" t="s">
        <v>9</v>
      </c>
      <c r="C851" t="s">
        <v>1</v>
      </c>
      <c r="D851" t="s">
        <v>10</v>
      </c>
      <c r="E851" t="s">
        <v>11</v>
      </c>
      <c r="F851">
        <v>492380</v>
      </c>
      <c r="G851">
        <v>-146123</v>
      </c>
      <c r="H851">
        <v>127992</v>
      </c>
      <c r="I851">
        <v>492380</v>
      </c>
      <c r="J851">
        <v>49238</v>
      </c>
      <c r="K851">
        <v>24619</v>
      </c>
      <c r="L851">
        <v>166667</v>
      </c>
      <c r="M851">
        <v>33333</v>
      </c>
      <c r="N851">
        <v>50000</v>
      </c>
      <c r="O851">
        <v>16666</v>
      </c>
      <c r="P851">
        <v>-66666</v>
      </c>
      <c r="Q851">
        <v>-41666</v>
      </c>
      <c r="R851">
        <v>190310</v>
      </c>
      <c r="S851">
        <v>57093</v>
      </c>
      <c r="T851">
        <v>19031</v>
      </c>
      <c r="U851">
        <v>8333</v>
      </c>
      <c r="V851">
        <v>5000</v>
      </c>
      <c r="W851">
        <v>3333</v>
      </c>
      <c r="X851">
        <v>16666</v>
      </c>
      <c r="Y851">
        <v>8333</v>
      </c>
      <c r="Z851">
        <v>9515</v>
      </c>
      <c r="AA851">
        <v>5709</v>
      </c>
      <c r="AB851">
        <v>3806</v>
      </c>
    </row>
    <row r="852" spans="1:28" x14ac:dyDescent="0.35">
      <c r="A852" t="s">
        <v>897</v>
      </c>
      <c r="B852" t="s">
        <v>9</v>
      </c>
      <c r="C852" t="s">
        <v>1</v>
      </c>
      <c r="D852" t="s">
        <v>10</v>
      </c>
      <c r="E852" t="s">
        <v>11</v>
      </c>
      <c r="F852">
        <v>241614</v>
      </c>
      <c r="G852">
        <v>-142586</v>
      </c>
      <c r="H852">
        <v>118876</v>
      </c>
      <c r="I852">
        <v>241614</v>
      </c>
      <c r="J852">
        <v>24161</v>
      </c>
      <c r="K852">
        <v>12080</v>
      </c>
      <c r="L852">
        <v>170000</v>
      </c>
      <c r="M852">
        <v>34000</v>
      </c>
      <c r="N852">
        <v>51000</v>
      </c>
      <c r="O852">
        <v>17000</v>
      </c>
      <c r="P852">
        <v>-68000</v>
      </c>
      <c r="Q852">
        <v>-42500</v>
      </c>
      <c r="R852">
        <v>155788</v>
      </c>
      <c r="S852">
        <v>46736</v>
      </c>
      <c r="T852">
        <v>15578</v>
      </c>
      <c r="U852">
        <v>8500</v>
      </c>
      <c r="V852">
        <v>5100</v>
      </c>
      <c r="W852">
        <v>3400</v>
      </c>
      <c r="X852">
        <v>17000</v>
      </c>
      <c r="Y852">
        <v>8500</v>
      </c>
      <c r="Z852">
        <v>7789</v>
      </c>
      <c r="AA852">
        <v>4673</v>
      </c>
      <c r="AB852">
        <v>3115</v>
      </c>
    </row>
    <row r="853" spans="1:28" x14ac:dyDescent="0.35">
      <c r="A853" t="s">
        <v>898</v>
      </c>
      <c r="B853" t="s">
        <v>9</v>
      </c>
      <c r="C853" t="s">
        <v>1</v>
      </c>
      <c r="D853" t="s">
        <v>10</v>
      </c>
      <c r="E853" t="s">
        <v>11</v>
      </c>
      <c r="F853">
        <v>398278</v>
      </c>
      <c r="G853">
        <v>-137952</v>
      </c>
      <c r="H853">
        <v>96572</v>
      </c>
      <c r="I853">
        <v>398278</v>
      </c>
      <c r="J853">
        <v>39827</v>
      </c>
      <c r="K853">
        <v>19913</v>
      </c>
      <c r="L853">
        <v>158258</v>
      </c>
      <c r="M853">
        <v>31651</v>
      </c>
      <c r="N853">
        <v>47477</v>
      </c>
      <c r="O853">
        <v>15825</v>
      </c>
      <c r="P853">
        <v>-63303</v>
      </c>
      <c r="Q853">
        <v>-39564</v>
      </c>
      <c r="R853">
        <v>144306</v>
      </c>
      <c r="S853">
        <v>43291</v>
      </c>
      <c r="T853">
        <v>14430</v>
      </c>
      <c r="U853">
        <v>7912</v>
      </c>
      <c r="V853">
        <v>4747</v>
      </c>
      <c r="W853">
        <v>3165</v>
      </c>
      <c r="X853">
        <v>15825</v>
      </c>
      <c r="Y853">
        <v>7912</v>
      </c>
      <c r="Z853">
        <v>7215</v>
      </c>
      <c r="AA853">
        <v>4329</v>
      </c>
      <c r="AB853">
        <v>2886</v>
      </c>
    </row>
    <row r="854" spans="1:28" x14ac:dyDescent="0.35">
      <c r="A854" t="s">
        <v>899</v>
      </c>
      <c r="B854" t="s">
        <v>9</v>
      </c>
      <c r="C854" t="s">
        <v>1</v>
      </c>
      <c r="D854" t="s">
        <v>10</v>
      </c>
      <c r="E854" t="s">
        <v>11</v>
      </c>
      <c r="F854">
        <v>152128</v>
      </c>
      <c r="G854">
        <v>-51659</v>
      </c>
      <c r="H854">
        <v>75849</v>
      </c>
      <c r="I854">
        <v>152128</v>
      </c>
      <c r="J854">
        <v>15212</v>
      </c>
      <c r="K854">
        <v>7606</v>
      </c>
      <c r="L854">
        <v>92120</v>
      </c>
      <c r="M854">
        <v>18424</v>
      </c>
      <c r="N854">
        <v>27636</v>
      </c>
      <c r="O854">
        <v>9212</v>
      </c>
      <c r="P854">
        <v>-36848</v>
      </c>
      <c r="Q854">
        <v>-23030</v>
      </c>
      <c r="R854">
        <v>89501</v>
      </c>
      <c r="S854">
        <v>26850</v>
      </c>
      <c r="T854">
        <v>8950</v>
      </c>
      <c r="U854">
        <v>4606</v>
      </c>
      <c r="V854">
        <v>2763</v>
      </c>
      <c r="W854">
        <v>1842</v>
      </c>
      <c r="X854">
        <v>9212</v>
      </c>
      <c r="Y854">
        <v>4606</v>
      </c>
      <c r="Z854">
        <v>4475</v>
      </c>
      <c r="AA854">
        <v>2685</v>
      </c>
      <c r="AB854">
        <v>1790</v>
      </c>
    </row>
    <row r="855" spans="1:28" x14ac:dyDescent="0.35">
      <c r="A855" t="s">
        <v>900</v>
      </c>
      <c r="B855" t="s">
        <v>9</v>
      </c>
      <c r="C855" t="s">
        <v>1</v>
      </c>
      <c r="D855" t="s">
        <v>10</v>
      </c>
      <c r="E855" t="s">
        <v>11</v>
      </c>
      <c r="F855">
        <v>123572</v>
      </c>
      <c r="G855">
        <v>-39545</v>
      </c>
      <c r="H855">
        <v>58449</v>
      </c>
      <c r="I855">
        <v>123572</v>
      </c>
      <c r="J855">
        <v>12357</v>
      </c>
      <c r="K855">
        <v>6178</v>
      </c>
      <c r="L855">
        <v>70206</v>
      </c>
      <c r="M855">
        <v>14041</v>
      </c>
      <c r="N855">
        <v>21061</v>
      </c>
      <c r="O855">
        <v>7020</v>
      </c>
      <c r="P855">
        <v>-28082</v>
      </c>
      <c r="Q855">
        <v>-17551</v>
      </c>
      <c r="R855">
        <v>80029</v>
      </c>
      <c r="S855">
        <v>24008</v>
      </c>
      <c r="T855">
        <v>8002</v>
      </c>
      <c r="U855">
        <v>3510</v>
      </c>
      <c r="V855">
        <v>2106</v>
      </c>
      <c r="W855">
        <v>1404</v>
      </c>
      <c r="X855">
        <v>7020</v>
      </c>
      <c r="Y855">
        <v>3510</v>
      </c>
      <c r="Z855">
        <v>4001</v>
      </c>
      <c r="AA855">
        <v>2400</v>
      </c>
      <c r="AB855">
        <v>1600</v>
      </c>
    </row>
    <row r="856" spans="1:28" x14ac:dyDescent="0.35">
      <c r="A856" t="s">
        <v>901</v>
      </c>
      <c r="B856" t="s">
        <v>9</v>
      </c>
      <c r="C856" t="s">
        <v>1</v>
      </c>
      <c r="D856" t="s">
        <v>10</v>
      </c>
      <c r="E856" t="s">
        <v>11</v>
      </c>
      <c r="F856">
        <v>389167</v>
      </c>
      <c r="G856">
        <v>-220318</v>
      </c>
      <c r="H856">
        <v>79790</v>
      </c>
      <c r="I856">
        <v>389167</v>
      </c>
      <c r="J856">
        <v>38916</v>
      </c>
      <c r="K856">
        <v>19458</v>
      </c>
      <c r="L856">
        <v>175181</v>
      </c>
      <c r="M856">
        <v>35036</v>
      </c>
      <c r="N856">
        <v>52554</v>
      </c>
      <c r="O856">
        <v>17518</v>
      </c>
      <c r="P856">
        <v>-70072</v>
      </c>
      <c r="Q856">
        <v>-43795</v>
      </c>
      <c r="R856">
        <v>147774</v>
      </c>
      <c r="S856">
        <v>44332</v>
      </c>
      <c r="T856">
        <v>14777</v>
      </c>
      <c r="U856">
        <v>8759</v>
      </c>
      <c r="V856">
        <v>5255</v>
      </c>
      <c r="W856">
        <v>3503</v>
      </c>
      <c r="X856">
        <v>17518</v>
      </c>
      <c r="Y856">
        <v>8759</v>
      </c>
      <c r="Z856">
        <v>7388</v>
      </c>
      <c r="AA856">
        <v>4433</v>
      </c>
      <c r="AB856">
        <v>2955</v>
      </c>
    </row>
    <row r="857" spans="1:28" x14ac:dyDescent="0.35">
      <c r="A857" t="s">
        <v>902</v>
      </c>
      <c r="B857" t="s">
        <v>9</v>
      </c>
      <c r="C857" t="s">
        <v>1</v>
      </c>
      <c r="D857" t="s">
        <v>10</v>
      </c>
      <c r="E857" t="s">
        <v>11</v>
      </c>
      <c r="F857">
        <v>292968</v>
      </c>
      <c r="G857">
        <v>-111518</v>
      </c>
      <c r="H857">
        <v>133706</v>
      </c>
      <c r="I857">
        <v>292968</v>
      </c>
      <c r="J857">
        <v>29296</v>
      </c>
      <c r="K857">
        <v>14648</v>
      </c>
      <c r="L857">
        <v>100594</v>
      </c>
      <c r="M857">
        <v>20118</v>
      </c>
      <c r="N857">
        <v>30178</v>
      </c>
      <c r="O857">
        <v>10059</v>
      </c>
      <c r="P857">
        <v>-40237</v>
      </c>
      <c r="Q857">
        <v>-25148</v>
      </c>
      <c r="R857">
        <v>115717</v>
      </c>
      <c r="S857">
        <v>34715</v>
      </c>
      <c r="T857">
        <v>11571</v>
      </c>
      <c r="U857">
        <v>5029</v>
      </c>
      <c r="V857">
        <v>3017</v>
      </c>
      <c r="W857">
        <v>2011</v>
      </c>
      <c r="X857">
        <v>10059</v>
      </c>
      <c r="Y857">
        <v>5029</v>
      </c>
      <c r="Z857">
        <v>5785</v>
      </c>
      <c r="AA857">
        <v>3471</v>
      </c>
      <c r="AB857">
        <v>2314</v>
      </c>
    </row>
    <row r="858" spans="1:28" x14ac:dyDescent="0.35">
      <c r="A858" t="s">
        <v>903</v>
      </c>
      <c r="B858" t="s">
        <v>9</v>
      </c>
      <c r="C858" t="s">
        <v>1</v>
      </c>
      <c r="D858" t="s">
        <v>10</v>
      </c>
      <c r="E858" t="s">
        <v>11</v>
      </c>
      <c r="F858">
        <v>480026</v>
      </c>
      <c r="G858">
        <v>-244986</v>
      </c>
      <c r="H858">
        <v>120384</v>
      </c>
      <c r="I858">
        <v>480026</v>
      </c>
      <c r="J858">
        <v>48002</v>
      </c>
      <c r="K858">
        <v>24001</v>
      </c>
      <c r="L858">
        <v>313707</v>
      </c>
      <c r="M858">
        <v>62741</v>
      </c>
      <c r="N858">
        <v>94112</v>
      </c>
      <c r="O858">
        <v>31370</v>
      </c>
      <c r="P858">
        <v>-125482</v>
      </c>
      <c r="Q858">
        <v>-78426</v>
      </c>
      <c r="R858">
        <v>265884</v>
      </c>
      <c r="S858">
        <v>79765</v>
      </c>
      <c r="T858">
        <v>26588</v>
      </c>
      <c r="U858">
        <v>15685</v>
      </c>
      <c r="V858">
        <v>9411</v>
      </c>
      <c r="W858">
        <v>6274</v>
      </c>
      <c r="X858">
        <v>31370</v>
      </c>
      <c r="Y858">
        <v>15685</v>
      </c>
      <c r="Z858">
        <v>13294</v>
      </c>
      <c r="AA858">
        <v>7976</v>
      </c>
      <c r="AB858">
        <v>5317</v>
      </c>
    </row>
    <row r="859" spans="1:28" x14ac:dyDescent="0.35">
      <c r="A859" t="s">
        <v>904</v>
      </c>
      <c r="B859" t="s">
        <v>9</v>
      </c>
      <c r="C859" t="s">
        <v>1</v>
      </c>
      <c r="D859" t="s">
        <v>10</v>
      </c>
      <c r="E859" t="s">
        <v>11</v>
      </c>
      <c r="F859">
        <v>330461</v>
      </c>
      <c r="G859">
        <v>-158788</v>
      </c>
      <c r="H859">
        <v>161924</v>
      </c>
      <c r="I859">
        <v>330461</v>
      </c>
      <c r="J859">
        <v>33046</v>
      </c>
      <c r="K859">
        <v>16523</v>
      </c>
      <c r="L859">
        <v>216673</v>
      </c>
      <c r="M859">
        <v>43334</v>
      </c>
      <c r="N859">
        <v>65001</v>
      </c>
      <c r="O859">
        <v>21667</v>
      </c>
      <c r="P859">
        <v>-86669</v>
      </c>
      <c r="Q859">
        <v>-54168</v>
      </c>
      <c r="R859">
        <v>252164</v>
      </c>
      <c r="S859">
        <v>75649</v>
      </c>
      <c r="T859">
        <v>25216</v>
      </c>
      <c r="U859">
        <v>10833</v>
      </c>
      <c r="V859">
        <v>6500</v>
      </c>
      <c r="W859">
        <v>4333</v>
      </c>
      <c r="X859">
        <v>21667</v>
      </c>
      <c r="Y859">
        <v>10833</v>
      </c>
      <c r="Z859">
        <v>12608</v>
      </c>
      <c r="AA859">
        <v>7564</v>
      </c>
      <c r="AB859">
        <v>5043</v>
      </c>
    </row>
    <row r="860" spans="1:28" x14ac:dyDescent="0.35">
      <c r="A860" t="s">
        <v>905</v>
      </c>
      <c r="B860" t="s">
        <v>9</v>
      </c>
      <c r="C860" t="s">
        <v>1</v>
      </c>
      <c r="D860" t="s">
        <v>10</v>
      </c>
      <c r="E860" t="s">
        <v>11</v>
      </c>
      <c r="F860">
        <v>263138</v>
      </c>
      <c r="G860">
        <v>-109633</v>
      </c>
      <c r="H860">
        <v>93569</v>
      </c>
      <c r="I860">
        <v>263138</v>
      </c>
      <c r="J860">
        <v>26313</v>
      </c>
      <c r="K860">
        <v>13156</v>
      </c>
      <c r="L860">
        <v>170159</v>
      </c>
      <c r="M860">
        <v>34031</v>
      </c>
      <c r="N860">
        <v>51047</v>
      </c>
      <c r="O860">
        <v>17015</v>
      </c>
      <c r="P860">
        <v>-68063</v>
      </c>
      <c r="Q860">
        <v>-42539</v>
      </c>
      <c r="R860">
        <v>200632</v>
      </c>
      <c r="S860">
        <v>60189</v>
      </c>
      <c r="T860">
        <v>20063</v>
      </c>
      <c r="U860">
        <v>8507</v>
      </c>
      <c r="V860">
        <v>5104</v>
      </c>
      <c r="W860">
        <v>3403</v>
      </c>
      <c r="X860">
        <v>17015</v>
      </c>
      <c r="Y860">
        <v>8507</v>
      </c>
      <c r="Z860">
        <v>10031</v>
      </c>
      <c r="AA860">
        <v>6018</v>
      </c>
      <c r="AB860">
        <v>4012</v>
      </c>
    </row>
    <row r="861" spans="1:28" x14ac:dyDescent="0.35">
      <c r="A861" t="s">
        <v>906</v>
      </c>
      <c r="B861" t="s">
        <v>9</v>
      </c>
      <c r="C861" t="s">
        <v>1</v>
      </c>
      <c r="D861" t="s">
        <v>10</v>
      </c>
      <c r="E861" t="s">
        <v>11</v>
      </c>
      <c r="F861">
        <v>445685</v>
      </c>
      <c r="G861">
        <v>-256897</v>
      </c>
      <c r="H861">
        <v>91924</v>
      </c>
      <c r="I861">
        <v>445685</v>
      </c>
      <c r="J861">
        <v>44568</v>
      </c>
      <c r="K861">
        <v>22284</v>
      </c>
      <c r="L861">
        <v>258455</v>
      </c>
      <c r="M861">
        <v>51691</v>
      </c>
      <c r="N861">
        <v>77536</v>
      </c>
      <c r="O861">
        <v>25845</v>
      </c>
      <c r="P861">
        <v>-103382</v>
      </c>
      <c r="Q861">
        <v>-64613</v>
      </c>
      <c r="R861">
        <v>211499</v>
      </c>
      <c r="S861">
        <v>63449</v>
      </c>
      <c r="T861">
        <v>21149</v>
      </c>
      <c r="U861">
        <v>12922</v>
      </c>
      <c r="V861">
        <v>7753</v>
      </c>
      <c r="W861">
        <v>5169</v>
      </c>
      <c r="X861">
        <v>25845</v>
      </c>
      <c r="Y861">
        <v>12922</v>
      </c>
      <c r="Z861">
        <v>10574</v>
      </c>
      <c r="AA861">
        <v>6344</v>
      </c>
      <c r="AB861">
        <v>4229</v>
      </c>
    </row>
    <row r="862" spans="1:28" x14ac:dyDescent="0.35">
      <c r="A862" t="s">
        <v>907</v>
      </c>
      <c r="B862" t="s">
        <v>9</v>
      </c>
      <c r="C862" t="s">
        <v>1</v>
      </c>
      <c r="D862" t="s">
        <v>10</v>
      </c>
      <c r="E862" t="s">
        <v>11</v>
      </c>
      <c r="F862">
        <v>468391</v>
      </c>
      <c r="G862">
        <v>-226934</v>
      </c>
      <c r="H862">
        <v>228532</v>
      </c>
      <c r="I862">
        <v>468391</v>
      </c>
      <c r="J862">
        <v>46839</v>
      </c>
      <c r="K862">
        <v>23419</v>
      </c>
      <c r="L862">
        <v>211516</v>
      </c>
      <c r="M862">
        <v>42303</v>
      </c>
      <c r="N862">
        <v>63454</v>
      </c>
      <c r="O862">
        <v>21151</v>
      </c>
      <c r="P862">
        <v>-84606</v>
      </c>
      <c r="Q862">
        <v>-52879</v>
      </c>
      <c r="R862">
        <v>184146</v>
      </c>
      <c r="S862">
        <v>55243</v>
      </c>
      <c r="T862">
        <v>18414</v>
      </c>
      <c r="U862">
        <v>10575</v>
      </c>
      <c r="V862">
        <v>6345</v>
      </c>
      <c r="W862">
        <v>4230</v>
      </c>
      <c r="X862">
        <v>21151</v>
      </c>
      <c r="Y862">
        <v>10575</v>
      </c>
      <c r="Z862">
        <v>9207</v>
      </c>
      <c r="AA862">
        <v>5524</v>
      </c>
      <c r="AB862">
        <v>3682</v>
      </c>
    </row>
    <row r="863" spans="1:28" x14ac:dyDescent="0.35">
      <c r="A863" t="s">
        <v>908</v>
      </c>
      <c r="B863" t="s">
        <v>9</v>
      </c>
      <c r="C863" t="s">
        <v>1</v>
      </c>
      <c r="D863" t="s">
        <v>10</v>
      </c>
      <c r="E863" t="s">
        <v>11</v>
      </c>
      <c r="F863">
        <v>164629</v>
      </c>
      <c r="G863">
        <v>-90147</v>
      </c>
      <c r="H863">
        <v>64480</v>
      </c>
      <c r="I863">
        <v>164629</v>
      </c>
      <c r="J863">
        <v>16462</v>
      </c>
      <c r="K863">
        <v>8231</v>
      </c>
      <c r="L863">
        <v>81770</v>
      </c>
      <c r="M863">
        <v>16354</v>
      </c>
      <c r="N863">
        <v>24531</v>
      </c>
      <c r="O863">
        <v>8177</v>
      </c>
      <c r="P863">
        <v>-32708</v>
      </c>
      <c r="Q863">
        <v>-20442</v>
      </c>
      <c r="R863">
        <v>97622</v>
      </c>
      <c r="S863">
        <v>29286</v>
      </c>
      <c r="T863">
        <v>9762</v>
      </c>
      <c r="U863">
        <v>4088</v>
      </c>
      <c r="V863">
        <v>2453</v>
      </c>
      <c r="W863">
        <v>1635</v>
      </c>
      <c r="X863">
        <v>8177</v>
      </c>
      <c r="Y863">
        <v>4088</v>
      </c>
      <c r="Z863">
        <v>4881</v>
      </c>
      <c r="AA863">
        <v>2928</v>
      </c>
      <c r="AB863">
        <v>1952</v>
      </c>
    </row>
    <row r="864" spans="1:28" x14ac:dyDescent="0.35">
      <c r="A864" t="s">
        <v>909</v>
      </c>
      <c r="B864" t="s">
        <v>9</v>
      </c>
      <c r="C864" t="s">
        <v>1</v>
      </c>
      <c r="D864" t="s">
        <v>10</v>
      </c>
      <c r="E864" t="s">
        <v>11</v>
      </c>
      <c r="F864">
        <v>64364</v>
      </c>
      <c r="G864">
        <v>-30597</v>
      </c>
      <c r="H864">
        <v>18624</v>
      </c>
      <c r="I864">
        <v>64364</v>
      </c>
      <c r="J864">
        <v>6436</v>
      </c>
      <c r="K864">
        <v>3218</v>
      </c>
      <c r="L864">
        <v>14626</v>
      </c>
      <c r="M864">
        <v>2925</v>
      </c>
      <c r="N864">
        <v>4387</v>
      </c>
      <c r="O864">
        <v>1462</v>
      </c>
      <c r="P864">
        <v>-5850</v>
      </c>
      <c r="Q864">
        <v>-3656</v>
      </c>
      <c r="R864">
        <v>12323</v>
      </c>
      <c r="S864">
        <v>3696</v>
      </c>
      <c r="T864">
        <v>1232</v>
      </c>
      <c r="U864">
        <v>731</v>
      </c>
      <c r="V864">
        <v>438</v>
      </c>
      <c r="W864">
        <v>292</v>
      </c>
      <c r="X864">
        <v>1462</v>
      </c>
      <c r="Y864">
        <v>731</v>
      </c>
      <c r="Z864">
        <v>616</v>
      </c>
      <c r="AA864">
        <v>369</v>
      </c>
      <c r="AB864">
        <v>246</v>
      </c>
    </row>
    <row r="865" spans="1:28" x14ac:dyDescent="0.35">
      <c r="A865" t="s">
        <v>910</v>
      </c>
      <c r="B865" t="s">
        <v>9</v>
      </c>
      <c r="C865" t="s">
        <v>1</v>
      </c>
      <c r="D865" t="s">
        <v>10</v>
      </c>
      <c r="E865" t="s">
        <v>11</v>
      </c>
      <c r="F865">
        <v>480357</v>
      </c>
      <c r="G865">
        <v>-253674</v>
      </c>
      <c r="H865">
        <v>209776</v>
      </c>
      <c r="I865">
        <v>480357</v>
      </c>
      <c r="J865">
        <v>48035</v>
      </c>
      <c r="K865">
        <v>24017</v>
      </c>
      <c r="L865">
        <v>238794</v>
      </c>
      <c r="M865">
        <v>47758</v>
      </c>
      <c r="N865">
        <v>71638</v>
      </c>
      <c r="O865">
        <v>23879</v>
      </c>
      <c r="P865">
        <v>-95517</v>
      </c>
      <c r="Q865">
        <v>-59698</v>
      </c>
      <c r="R865">
        <v>236176</v>
      </c>
      <c r="S865">
        <v>70852</v>
      </c>
      <c r="T865">
        <v>23617</v>
      </c>
      <c r="U865">
        <v>11939</v>
      </c>
      <c r="V865">
        <v>7163</v>
      </c>
      <c r="W865">
        <v>4775</v>
      </c>
      <c r="X865">
        <v>23879</v>
      </c>
      <c r="Y865">
        <v>11939</v>
      </c>
      <c r="Z865">
        <v>11808</v>
      </c>
      <c r="AA865">
        <v>7085</v>
      </c>
      <c r="AB865">
        <v>4723</v>
      </c>
    </row>
    <row r="866" spans="1:28" x14ac:dyDescent="0.35">
      <c r="A866" t="s">
        <v>911</v>
      </c>
      <c r="B866" t="s">
        <v>9</v>
      </c>
      <c r="C866" t="s">
        <v>1</v>
      </c>
      <c r="D866" t="s">
        <v>10</v>
      </c>
      <c r="E866" t="s">
        <v>11</v>
      </c>
      <c r="F866">
        <v>496797</v>
      </c>
      <c r="G866">
        <v>-103361</v>
      </c>
      <c r="H866">
        <v>100956</v>
      </c>
      <c r="I866">
        <v>496797</v>
      </c>
      <c r="J866">
        <v>49679</v>
      </c>
      <c r="K866">
        <v>24839</v>
      </c>
      <c r="L866">
        <v>305566</v>
      </c>
      <c r="M866">
        <v>61113</v>
      </c>
      <c r="N866">
        <v>91669</v>
      </c>
      <c r="O866">
        <v>30556</v>
      </c>
      <c r="P866">
        <v>-122226</v>
      </c>
      <c r="Q866">
        <v>-76391</v>
      </c>
      <c r="R866">
        <v>319183</v>
      </c>
      <c r="S866">
        <v>95754</v>
      </c>
      <c r="T866">
        <v>31918</v>
      </c>
      <c r="U866">
        <v>15278</v>
      </c>
      <c r="V866">
        <v>9166</v>
      </c>
      <c r="W866">
        <v>6111</v>
      </c>
      <c r="X866">
        <v>30556</v>
      </c>
      <c r="Y866">
        <v>15278</v>
      </c>
      <c r="Z866">
        <v>15959</v>
      </c>
      <c r="AA866">
        <v>9575</v>
      </c>
      <c r="AB866">
        <v>6383</v>
      </c>
    </row>
    <row r="867" spans="1:28" x14ac:dyDescent="0.35">
      <c r="A867" t="s">
        <v>912</v>
      </c>
      <c r="B867" t="s">
        <v>9</v>
      </c>
      <c r="C867" t="s">
        <v>1</v>
      </c>
      <c r="D867" t="s">
        <v>10</v>
      </c>
      <c r="E867" t="s">
        <v>11</v>
      </c>
      <c r="F867">
        <v>147621</v>
      </c>
      <c r="G867">
        <v>-50958</v>
      </c>
      <c r="H867">
        <v>18618</v>
      </c>
      <c r="I867">
        <v>147621</v>
      </c>
      <c r="J867">
        <v>14762</v>
      </c>
      <c r="K867">
        <v>7381</v>
      </c>
      <c r="L867">
        <v>88743</v>
      </c>
      <c r="M867">
        <v>17748</v>
      </c>
      <c r="N867">
        <v>26622</v>
      </c>
      <c r="O867">
        <v>8874</v>
      </c>
      <c r="P867">
        <v>-35497</v>
      </c>
      <c r="Q867">
        <v>-22185</v>
      </c>
      <c r="R867">
        <v>72885</v>
      </c>
      <c r="S867">
        <v>21865</v>
      </c>
      <c r="T867">
        <v>7288</v>
      </c>
      <c r="U867">
        <v>4437</v>
      </c>
      <c r="V867">
        <v>2662</v>
      </c>
      <c r="W867">
        <v>1774</v>
      </c>
      <c r="X867">
        <v>8874</v>
      </c>
      <c r="Y867">
        <v>4437</v>
      </c>
      <c r="Z867">
        <v>3644</v>
      </c>
      <c r="AA867">
        <v>2186</v>
      </c>
      <c r="AB867">
        <v>1457</v>
      </c>
    </row>
    <row r="868" spans="1:28" x14ac:dyDescent="0.35">
      <c r="A868" t="s">
        <v>913</v>
      </c>
      <c r="B868" t="s">
        <v>9</v>
      </c>
      <c r="C868" t="s">
        <v>1</v>
      </c>
      <c r="D868" t="s">
        <v>10</v>
      </c>
      <c r="E868" t="s">
        <v>11</v>
      </c>
      <c r="F868">
        <v>439675</v>
      </c>
      <c r="G868">
        <v>-150382</v>
      </c>
      <c r="H868">
        <v>97257</v>
      </c>
      <c r="I868">
        <v>439675</v>
      </c>
      <c r="J868">
        <v>43967</v>
      </c>
      <c r="K868">
        <v>21983</v>
      </c>
      <c r="L868">
        <v>303613</v>
      </c>
      <c r="M868">
        <v>60722</v>
      </c>
      <c r="N868">
        <v>91083</v>
      </c>
      <c r="O868">
        <v>30361</v>
      </c>
      <c r="P868">
        <v>-121445</v>
      </c>
      <c r="Q868">
        <v>-75903</v>
      </c>
      <c r="R868">
        <v>280136</v>
      </c>
      <c r="S868">
        <v>84040</v>
      </c>
      <c r="T868">
        <v>28013</v>
      </c>
      <c r="U868">
        <v>15180</v>
      </c>
      <c r="V868">
        <v>9108</v>
      </c>
      <c r="W868">
        <v>6072</v>
      </c>
      <c r="X868">
        <v>30361</v>
      </c>
      <c r="Y868">
        <v>15180</v>
      </c>
      <c r="Z868">
        <v>14006</v>
      </c>
      <c r="AA868">
        <v>8404</v>
      </c>
      <c r="AB868">
        <v>5602</v>
      </c>
    </row>
    <row r="869" spans="1:28" x14ac:dyDescent="0.35">
      <c r="A869" t="s">
        <v>914</v>
      </c>
      <c r="B869" t="s">
        <v>9</v>
      </c>
      <c r="C869" t="s">
        <v>1</v>
      </c>
      <c r="D869" t="s">
        <v>10</v>
      </c>
      <c r="E869" t="s">
        <v>11</v>
      </c>
      <c r="F869">
        <v>81245</v>
      </c>
      <c r="G869">
        <v>-27270</v>
      </c>
      <c r="H869">
        <v>13917</v>
      </c>
      <c r="I869">
        <v>81245</v>
      </c>
      <c r="J869">
        <v>8124</v>
      </c>
      <c r="K869">
        <v>4062</v>
      </c>
      <c r="L869">
        <v>49469</v>
      </c>
      <c r="M869">
        <v>9893</v>
      </c>
      <c r="N869">
        <v>14840</v>
      </c>
      <c r="O869">
        <v>4946</v>
      </c>
      <c r="P869">
        <v>-19787</v>
      </c>
      <c r="Q869">
        <v>-12367</v>
      </c>
      <c r="R869">
        <v>41087</v>
      </c>
      <c r="S869">
        <v>12326</v>
      </c>
      <c r="T869">
        <v>4108</v>
      </c>
      <c r="U869">
        <v>2473</v>
      </c>
      <c r="V869">
        <v>1484</v>
      </c>
      <c r="W869">
        <v>989</v>
      </c>
      <c r="X869">
        <v>4946</v>
      </c>
      <c r="Y869">
        <v>2473</v>
      </c>
      <c r="Z869">
        <v>2054</v>
      </c>
      <c r="AA869">
        <v>1232</v>
      </c>
      <c r="AB869">
        <v>821</v>
      </c>
    </row>
    <row r="870" spans="1:28" x14ac:dyDescent="0.35">
      <c r="A870" t="s">
        <v>915</v>
      </c>
      <c r="B870" t="s">
        <v>9</v>
      </c>
      <c r="C870" t="s">
        <v>1</v>
      </c>
      <c r="D870" t="s">
        <v>10</v>
      </c>
      <c r="E870" t="s">
        <v>11</v>
      </c>
      <c r="F870">
        <v>231902</v>
      </c>
      <c r="G870">
        <v>-123005</v>
      </c>
      <c r="H870">
        <v>70786</v>
      </c>
      <c r="I870">
        <v>231902</v>
      </c>
      <c r="J870">
        <v>23190</v>
      </c>
      <c r="K870">
        <v>11595</v>
      </c>
      <c r="L870">
        <v>82474</v>
      </c>
      <c r="M870">
        <v>16494</v>
      </c>
      <c r="N870">
        <v>24742</v>
      </c>
      <c r="O870">
        <v>8247</v>
      </c>
      <c r="P870">
        <v>-32989</v>
      </c>
      <c r="Q870">
        <v>-20618</v>
      </c>
      <c r="R870">
        <v>85459</v>
      </c>
      <c r="S870">
        <v>25637</v>
      </c>
      <c r="T870">
        <v>8545</v>
      </c>
      <c r="U870">
        <v>4123</v>
      </c>
      <c r="V870">
        <v>2474</v>
      </c>
      <c r="W870">
        <v>1649</v>
      </c>
      <c r="X870">
        <v>8247</v>
      </c>
      <c r="Y870">
        <v>4123</v>
      </c>
      <c r="Z870">
        <v>4272</v>
      </c>
      <c r="AA870">
        <v>2563</v>
      </c>
      <c r="AB870">
        <v>1709</v>
      </c>
    </row>
    <row r="871" spans="1:28" x14ac:dyDescent="0.35">
      <c r="A871" t="s">
        <v>916</v>
      </c>
      <c r="B871" t="s">
        <v>9</v>
      </c>
      <c r="C871" t="s">
        <v>1</v>
      </c>
      <c r="D871" t="s">
        <v>10</v>
      </c>
      <c r="E871" t="s">
        <v>11</v>
      </c>
      <c r="F871">
        <v>288095</v>
      </c>
      <c r="G871">
        <v>-65841</v>
      </c>
      <c r="H871">
        <v>43452</v>
      </c>
      <c r="I871">
        <v>288095</v>
      </c>
      <c r="J871">
        <v>28809</v>
      </c>
      <c r="K871">
        <v>14404</v>
      </c>
      <c r="L871">
        <v>102778</v>
      </c>
      <c r="M871">
        <v>20555</v>
      </c>
      <c r="N871">
        <v>30833</v>
      </c>
      <c r="O871">
        <v>10277</v>
      </c>
      <c r="P871">
        <v>-41111</v>
      </c>
      <c r="Q871">
        <v>-25694</v>
      </c>
      <c r="R871">
        <v>115283</v>
      </c>
      <c r="S871">
        <v>34584</v>
      </c>
      <c r="T871">
        <v>11528</v>
      </c>
      <c r="U871">
        <v>5138</v>
      </c>
      <c r="V871">
        <v>3083</v>
      </c>
      <c r="W871">
        <v>2055</v>
      </c>
      <c r="X871">
        <v>10277</v>
      </c>
      <c r="Y871">
        <v>5138</v>
      </c>
      <c r="Z871">
        <v>5764</v>
      </c>
      <c r="AA871">
        <v>3458</v>
      </c>
      <c r="AB871">
        <v>2305</v>
      </c>
    </row>
    <row r="872" spans="1:28" x14ac:dyDescent="0.35">
      <c r="A872" t="s">
        <v>917</v>
      </c>
      <c r="B872" t="s">
        <v>9</v>
      </c>
      <c r="C872" t="s">
        <v>1</v>
      </c>
      <c r="D872" t="s">
        <v>10</v>
      </c>
      <c r="E872" t="s">
        <v>11</v>
      </c>
      <c r="F872">
        <v>78786</v>
      </c>
      <c r="G872">
        <v>-37169</v>
      </c>
      <c r="H872">
        <v>38714</v>
      </c>
      <c r="I872">
        <v>78786</v>
      </c>
      <c r="J872">
        <v>7878</v>
      </c>
      <c r="K872">
        <v>3939</v>
      </c>
      <c r="L872">
        <v>62437</v>
      </c>
      <c r="M872">
        <v>12487</v>
      </c>
      <c r="N872">
        <v>18731</v>
      </c>
      <c r="O872">
        <v>6243</v>
      </c>
      <c r="P872">
        <v>-24974</v>
      </c>
      <c r="Q872">
        <v>-15609</v>
      </c>
      <c r="R872">
        <v>66617</v>
      </c>
      <c r="S872">
        <v>19985</v>
      </c>
      <c r="T872">
        <v>6661</v>
      </c>
      <c r="U872">
        <v>3121</v>
      </c>
      <c r="V872">
        <v>1873</v>
      </c>
      <c r="W872">
        <v>1248</v>
      </c>
      <c r="X872">
        <v>6243</v>
      </c>
      <c r="Y872">
        <v>3121</v>
      </c>
      <c r="Z872">
        <v>3330</v>
      </c>
      <c r="AA872">
        <v>1998</v>
      </c>
      <c r="AB872">
        <v>1332</v>
      </c>
    </row>
    <row r="873" spans="1:28" x14ac:dyDescent="0.35">
      <c r="A873" t="s">
        <v>918</v>
      </c>
      <c r="B873" t="s">
        <v>9</v>
      </c>
      <c r="C873" t="s">
        <v>1</v>
      </c>
      <c r="D873" t="s">
        <v>10</v>
      </c>
      <c r="E873" t="s">
        <v>11</v>
      </c>
      <c r="F873">
        <v>270739</v>
      </c>
      <c r="G873">
        <v>-149705</v>
      </c>
      <c r="H873">
        <v>101165</v>
      </c>
      <c r="I873">
        <v>270739</v>
      </c>
      <c r="J873">
        <v>27073</v>
      </c>
      <c r="K873">
        <v>13536</v>
      </c>
      <c r="L873">
        <v>196961</v>
      </c>
      <c r="M873">
        <v>39392</v>
      </c>
      <c r="N873">
        <v>59088</v>
      </c>
      <c r="O873">
        <v>19696</v>
      </c>
      <c r="P873">
        <v>-78784</v>
      </c>
      <c r="Q873">
        <v>-49240</v>
      </c>
      <c r="R873">
        <v>202869</v>
      </c>
      <c r="S873">
        <v>60860</v>
      </c>
      <c r="T873">
        <v>20286</v>
      </c>
      <c r="U873">
        <v>9848</v>
      </c>
      <c r="V873">
        <v>5908</v>
      </c>
      <c r="W873">
        <v>3939</v>
      </c>
      <c r="X873">
        <v>19696</v>
      </c>
      <c r="Y873">
        <v>9848</v>
      </c>
      <c r="Z873">
        <v>10143</v>
      </c>
      <c r="AA873">
        <v>6086</v>
      </c>
      <c r="AB873">
        <v>4057</v>
      </c>
    </row>
    <row r="874" spans="1:28" x14ac:dyDescent="0.35">
      <c r="A874" t="s">
        <v>919</v>
      </c>
      <c r="B874" t="s">
        <v>9</v>
      </c>
      <c r="C874" t="s">
        <v>1</v>
      </c>
      <c r="D874" t="s">
        <v>10</v>
      </c>
      <c r="E874" t="s">
        <v>11</v>
      </c>
      <c r="F874">
        <v>474546</v>
      </c>
      <c r="G874">
        <v>-130372</v>
      </c>
      <c r="H874">
        <v>147965</v>
      </c>
      <c r="I874">
        <v>474546</v>
      </c>
      <c r="J874">
        <v>47454</v>
      </c>
      <c r="K874">
        <v>23727</v>
      </c>
      <c r="L874">
        <v>143692</v>
      </c>
      <c r="M874">
        <v>28738</v>
      </c>
      <c r="N874">
        <v>43107</v>
      </c>
      <c r="O874">
        <v>14369</v>
      </c>
      <c r="P874">
        <v>-57476</v>
      </c>
      <c r="Q874">
        <v>-35923</v>
      </c>
      <c r="R874">
        <v>125830</v>
      </c>
      <c r="S874">
        <v>37749</v>
      </c>
      <c r="T874">
        <v>12583</v>
      </c>
      <c r="U874">
        <v>7184</v>
      </c>
      <c r="V874">
        <v>4310</v>
      </c>
      <c r="W874">
        <v>2873</v>
      </c>
      <c r="X874">
        <v>14369</v>
      </c>
      <c r="Y874">
        <v>7184</v>
      </c>
      <c r="Z874">
        <v>6291</v>
      </c>
      <c r="AA874">
        <v>3774</v>
      </c>
      <c r="AB874">
        <v>2516</v>
      </c>
    </row>
    <row r="875" spans="1:28" x14ac:dyDescent="0.35">
      <c r="A875" t="s">
        <v>920</v>
      </c>
      <c r="B875" t="s">
        <v>9</v>
      </c>
      <c r="C875" t="s">
        <v>1</v>
      </c>
      <c r="D875" t="s">
        <v>10</v>
      </c>
      <c r="E875" t="s">
        <v>11</v>
      </c>
      <c r="F875">
        <v>119152</v>
      </c>
      <c r="G875">
        <v>-38655</v>
      </c>
      <c r="H875">
        <v>58356</v>
      </c>
      <c r="I875">
        <v>119152</v>
      </c>
      <c r="J875">
        <v>11915</v>
      </c>
      <c r="K875">
        <v>5957</v>
      </c>
      <c r="L875">
        <v>59486</v>
      </c>
      <c r="M875">
        <v>11897</v>
      </c>
      <c r="N875">
        <v>17845</v>
      </c>
      <c r="O875">
        <v>5948</v>
      </c>
      <c r="P875">
        <v>-23794</v>
      </c>
      <c r="Q875">
        <v>-14871</v>
      </c>
      <c r="R875">
        <v>67042</v>
      </c>
      <c r="S875">
        <v>20112</v>
      </c>
      <c r="T875">
        <v>6704</v>
      </c>
      <c r="U875">
        <v>2974</v>
      </c>
      <c r="V875">
        <v>1784</v>
      </c>
      <c r="W875">
        <v>1189</v>
      </c>
      <c r="X875">
        <v>5948</v>
      </c>
      <c r="Y875">
        <v>2974</v>
      </c>
      <c r="Z875">
        <v>3352</v>
      </c>
      <c r="AA875">
        <v>2011</v>
      </c>
      <c r="AB875">
        <v>1340</v>
      </c>
    </row>
    <row r="876" spans="1:28" x14ac:dyDescent="0.35">
      <c r="A876" t="s">
        <v>921</v>
      </c>
      <c r="B876" t="s">
        <v>9</v>
      </c>
      <c r="C876" t="s">
        <v>1</v>
      </c>
      <c r="D876" t="s">
        <v>10</v>
      </c>
      <c r="E876" t="s">
        <v>11</v>
      </c>
      <c r="F876">
        <v>468119</v>
      </c>
      <c r="G876">
        <v>-140281</v>
      </c>
      <c r="H876">
        <v>212343</v>
      </c>
      <c r="I876">
        <v>468119</v>
      </c>
      <c r="J876">
        <v>46811</v>
      </c>
      <c r="K876">
        <v>23405</v>
      </c>
      <c r="L876">
        <v>255619</v>
      </c>
      <c r="M876">
        <v>51123</v>
      </c>
      <c r="N876">
        <v>76685</v>
      </c>
      <c r="O876">
        <v>25561</v>
      </c>
      <c r="P876">
        <v>-102247</v>
      </c>
      <c r="Q876">
        <v>-63904</v>
      </c>
      <c r="R876">
        <v>303145</v>
      </c>
      <c r="S876">
        <v>90943</v>
      </c>
      <c r="T876">
        <v>30314</v>
      </c>
      <c r="U876">
        <v>12780</v>
      </c>
      <c r="V876">
        <v>7668</v>
      </c>
      <c r="W876">
        <v>5112</v>
      </c>
      <c r="X876">
        <v>25561</v>
      </c>
      <c r="Y876">
        <v>12780</v>
      </c>
      <c r="Z876">
        <v>15157</v>
      </c>
      <c r="AA876">
        <v>9094</v>
      </c>
      <c r="AB876">
        <v>6062</v>
      </c>
    </row>
    <row r="877" spans="1:28" x14ac:dyDescent="0.35">
      <c r="A877" t="s">
        <v>922</v>
      </c>
      <c r="B877" t="s">
        <v>9</v>
      </c>
      <c r="C877" t="s">
        <v>1</v>
      </c>
      <c r="D877" t="s">
        <v>10</v>
      </c>
      <c r="E877" t="s">
        <v>11</v>
      </c>
      <c r="F877">
        <v>299380</v>
      </c>
      <c r="G877">
        <v>-158974</v>
      </c>
      <c r="H877">
        <v>141458</v>
      </c>
      <c r="I877">
        <v>299380</v>
      </c>
      <c r="J877">
        <v>29938</v>
      </c>
      <c r="K877">
        <v>14969</v>
      </c>
      <c r="L877">
        <v>152602</v>
      </c>
      <c r="M877">
        <v>30520</v>
      </c>
      <c r="N877">
        <v>45780</v>
      </c>
      <c r="O877">
        <v>15260</v>
      </c>
      <c r="P877">
        <v>-61040</v>
      </c>
      <c r="Q877">
        <v>-38150</v>
      </c>
      <c r="R877">
        <v>127904</v>
      </c>
      <c r="S877">
        <v>38371</v>
      </c>
      <c r="T877">
        <v>12790</v>
      </c>
      <c r="U877">
        <v>7630</v>
      </c>
      <c r="V877">
        <v>4578</v>
      </c>
      <c r="W877">
        <v>3052</v>
      </c>
      <c r="X877">
        <v>15260</v>
      </c>
      <c r="Y877">
        <v>7630</v>
      </c>
      <c r="Z877">
        <v>6395</v>
      </c>
      <c r="AA877">
        <v>3837</v>
      </c>
      <c r="AB877">
        <v>2558</v>
      </c>
    </row>
    <row r="878" spans="1:28" x14ac:dyDescent="0.35">
      <c r="A878" t="s">
        <v>923</v>
      </c>
      <c r="B878" t="s">
        <v>9</v>
      </c>
      <c r="C878" t="s">
        <v>1</v>
      </c>
      <c r="D878" t="s">
        <v>10</v>
      </c>
      <c r="E878" t="s">
        <v>11</v>
      </c>
      <c r="F878">
        <v>399096</v>
      </c>
      <c r="G878">
        <v>-128804</v>
      </c>
      <c r="H878">
        <v>197205</v>
      </c>
      <c r="I878">
        <v>399096</v>
      </c>
      <c r="J878">
        <v>39909</v>
      </c>
      <c r="K878">
        <v>19954</v>
      </c>
      <c r="L878">
        <v>166511</v>
      </c>
      <c r="M878">
        <v>33302</v>
      </c>
      <c r="N878">
        <v>49953</v>
      </c>
      <c r="O878">
        <v>16651</v>
      </c>
      <c r="P878">
        <v>-66604</v>
      </c>
      <c r="Q878">
        <v>-41627</v>
      </c>
      <c r="R878">
        <v>176199</v>
      </c>
      <c r="S878">
        <v>52859</v>
      </c>
      <c r="T878">
        <v>17619</v>
      </c>
      <c r="U878">
        <v>8325</v>
      </c>
      <c r="V878">
        <v>4995</v>
      </c>
      <c r="W878">
        <v>3330</v>
      </c>
      <c r="X878">
        <v>16651</v>
      </c>
      <c r="Y878">
        <v>8325</v>
      </c>
      <c r="Z878">
        <v>8809</v>
      </c>
      <c r="AA878">
        <v>5285</v>
      </c>
      <c r="AB878">
        <v>3523</v>
      </c>
    </row>
    <row r="879" spans="1:28" x14ac:dyDescent="0.35">
      <c r="A879" t="s">
        <v>924</v>
      </c>
      <c r="B879" t="s">
        <v>9</v>
      </c>
      <c r="C879" t="s">
        <v>1</v>
      </c>
      <c r="D879" t="s">
        <v>10</v>
      </c>
      <c r="E879" t="s">
        <v>11</v>
      </c>
      <c r="F879">
        <v>71683</v>
      </c>
      <c r="G879">
        <v>-41586</v>
      </c>
      <c r="H879">
        <v>10445</v>
      </c>
      <c r="I879">
        <v>71683</v>
      </c>
      <c r="J879">
        <v>7168</v>
      </c>
      <c r="K879">
        <v>3584</v>
      </c>
      <c r="L879">
        <v>22044</v>
      </c>
      <c r="M879">
        <v>4408</v>
      </c>
      <c r="N879">
        <v>6613</v>
      </c>
      <c r="O879">
        <v>2204</v>
      </c>
      <c r="P879">
        <v>-8817</v>
      </c>
      <c r="Q879">
        <v>-5511</v>
      </c>
      <c r="R879">
        <v>25228</v>
      </c>
      <c r="S879">
        <v>7568</v>
      </c>
      <c r="T879">
        <v>2522</v>
      </c>
      <c r="U879">
        <v>1102</v>
      </c>
      <c r="V879">
        <v>661</v>
      </c>
      <c r="W879">
        <v>440</v>
      </c>
      <c r="X879">
        <v>2204</v>
      </c>
      <c r="Y879">
        <v>1102</v>
      </c>
      <c r="Z879">
        <v>1261</v>
      </c>
      <c r="AA879">
        <v>756</v>
      </c>
      <c r="AB879">
        <v>504</v>
      </c>
    </row>
    <row r="880" spans="1:28" x14ac:dyDescent="0.35">
      <c r="A880" t="s">
        <v>925</v>
      </c>
      <c r="B880" t="s">
        <v>9</v>
      </c>
      <c r="C880" t="s">
        <v>1</v>
      </c>
      <c r="D880" t="s">
        <v>10</v>
      </c>
      <c r="E880" t="s">
        <v>11</v>
      </c>
      <c r="F880">
        <v>294761</v>
      </c>
      <c r="G880">
        <v>-118980</v>
      </c>
      <c r="H880">
        <v>92189</v>
      </c>
      <c r="I880">
        <v>294761</v>
      </c>
      <c r="J880">
        <v>29476</v>
      </c>
      <c r="K880">
        <v>14738</v>
      </c>
      <c r="L880">
        <v>167019</v>
      </c>
      <c r="M880">
        <v>33403</v>
      </c>
      <c r="N880">
        <v>50105</v>
      </c>
      <c r="O880">
        <v>16701</v>
      </c>
      <c r="P880">
        <v>-66807</v>
      </c>
      <c r="Q880">
        <v>-41754</v>
      </c>
      <c r="R880">
        <v>164525</v>
      </c>
      <c r="S880">
        <v>49357</v>
      </c>
      <c r="T880">
        <v>16452</v>
      </c>
      <c r="U880">
        <v>8350</v>
      </c>
      <c r="V880">
        <v>5010</v>
      </c>
      <c r="W880">
        <v>3340</v>
      </c>
      <c r="X880">
        <v>16701</v>
      </c>
      <c r="Y880">
        <v>8350</v>
      </c>
      <c r="Z880">
        <v>8226</v>
      </c>
      <c r="AA880">
        <v>4935</v>
      </c>
      <c r="AB880">
        <v>3290</v>
      </c>
    </row>
    <row r="881" spans="1:28" x14ac:dyDescent="0.35">
      <c r="A881" t="s">
        <v>926</v>
      </c>
      <c r="B881" t="s">
        <v>9</v>
      </c>
      <c r="C881" t="s">
        <v>1</v>
      </c>
      <c r="D881" t="s">
        <v>10</v>
      </c>
      <c r="E881" t="s">
        <v>11</v>
      </c>
      <c r="F881">
        <v>233344</v>
      </c>
      <c r="G881">
        <v>-111364</v>
      </c>
      <c r="H881">
        <v>37142</v>
      </c>
      <c r="I881">
        <v>233344</v>
      </c>
      <c r="J881">
        <v>23334</v>
      </c>
      <c r="K881">
        <v>11667</v>
      </c>
      <c r="L881">
        <v>164860</v>
      </c>
      <c r="M881">
        <v>32972</v>
      </c>
      <c r="N881">
        <v>49458</v>
      </c>
      <c r="O881">
        <v>16486</v>
      </c>
      <c r="P881">
        <v>-65944</v>
      </c>
      <c r="Q881">
        <v>-41215</v>
      </c>
      <c r="R881">
        <v>163900</v>
      </c>
      <c r="S881">
        <v>49170</v>
      </c>
      <c r="T881">
        <v>16390</v>
      </c>
      <c r="U881">
        <v>8243</v>
      </c>
      <c r="V881">
        <v>4945</v>
      </c>
      <c r="W881">
        <v>3297</v>
      </c>
      <c r="X881">
        <v>16486</v>
      </c>
      <c r="Y881">
        <v>8243</v>
      </c>
      <c r="Z881">
        <v>8195</v>
      </c>
      <c r="AA881">
        <v>4917</v>
      </c>
      <c r="AB881">
        <v>3278</v>
      </c>
    </row>
    <row r="882" spans="1:28" x14ac:dyDescent="0.35">
      <c r="A882" t="s">
        <v>927</v>
      </c>
      <c r="B882" t="s">
        <v>9</v>
      </c>
      <c r="C882" t="s">
        <v>1</v>
      </c>
      <c r="D882" t="s">
        <v>10</v>
      </c>
      <c r="E882" t="s">
        <v>11</v>
      </c>
      <c r="F882">
        <v>249918</v>
      </c>
      <c r="G882">
        <v>-96984</v>
      </c>
      <c r="H882">
        <v>114441</v>
      </c>
      <c r="I882">
        <v>249918</v>
      </c>
      <c r="J882">
        <v>24991</v>
      </c>
      <c r="K882">
        <v>12495</v>
      </c>
      <c r="L882">
        <v>141356</v>
      </c>
      <c r="M882">
        <v>28271</v>
      </c>
      <c r="N882">
        <v>42406</v>
      </c>
      <c r="O882">
        <v>14135</v>
      </c>
      <c r="P882">
        <v>-56542</v>
      </c>
      <c r="Q882">
        <v>-35339</v>
      </c>
      <c r="R882">
        <v>134102</v>
      </c>
      <c r="S882">
        <v>40230</v>
      </c>
      <c r="T882">
        <v>13410</v>
      </c>
      <c r="U882">
        <v>7067</v>
      </c>
      <c r="V882">
        <v>4240</v>
      </c>
      <c r="W882">
        <v>2827</v>
      </c>
      <c r="X882">
        <v>14135</v>
      </c>
      <c r="Y882">
        <v>7067</v>
      </c>
      <c r="Z882">
        <v>6705</v>
      </c>
      <c r="AA882">
        <v>4023</v>
      </c>
      <c r="AB882">
        <v>2682</v>
      </c>
    </row>
    <row r="883" spans="1:28" x14ac:dyDescent="0.35">
      <c r="A883" t="s">
        <v>928</v>
      </c>
      <c r="B883" t="s">
        <v>9</v>
      </c>
      <c r="C883" t="s">
        <v>1</v>
      </c>
      <c r="D883" t="s">
        <v>10</v>
      </c>
      <c r="E883" t="s">
        <v>11</v>
      </c>
      <c r="F883">
        <v>207792</v>
      </c>
      <c r="G883">
        <v>-102101</v>
      </c>
      <c r="H883">
        <v>52949</v>
      </c>
      <c r="I883">
        <v>207792</v>
      </c>
      <c r="J883">
        <v>20779</v>
      </c>
      <c r="K883">
        <v>10389</v>
      </c>
      <c r="L883">
        <v>120889</v>
      </c>
      <c r="M883">
        <v>24177</v>
      </c>
      <c r="N883">
        <v>36266</v>
      </c>
      <c r="O883">
        <v>12088</v>
      </c>
      <c r="P883">
        <v>-48355</v>
      </c>
      <c r="Q883">
        <v>-30222</v>
      </c>
      <c r="R883">
        <v>117872</v>
      </c>
      <c r="S883">
        <v>35361</v>
      </c>
      <c r="T883">
        <v>11787</v>
      </c>
      <c r="U883">
        <v>6044</v>
      </c>
      <c r="V883">
        <v>3626</v>
      </c>
      <c r="W883">
        <v>2417</v>
      </c>
      <c r="X883">
        <v>12088</v>
      </c>
      <c r="Y883">
        <v>6044</v>
      </c>
      <c r="Z883">
        <v>5893</v>
      </c>
      <c r="AA883">
        <v>3536</v>
      </c>
      <c r="AB883">
        <v>2357</v>
      </c>
    </row>
    <row r="884" spans="1:28" x14ac:dyDescent="0.35">
      <c r="A884" t="s">
        <v>929</v>
      </c>
      <c r="B884" t="s">
        <v>9</v>
      </c>
      <c r="C884" t="s">
        <v>1</v>
      </c>
      <c r="D884" t="s">
        <v>10</v>
      </c>
      <c r="E884" t="s">
        <v>11</v>
      </c>
      <c r="F884">
        <v>499793</v>
      </c>
      <c r="G884">
        <v>-216646</v>
      </c>
      <c r="H884">
        <v>55636</v>
      </c>
      <c r="I884">
        <v>499793</v>
      </c>
      <c r="J884">
        <v>49979</v>
      </c>
      <c r="K884">
        <v>24989</v>
      </c>
      <c r="L884">
        <v>234548</v>
      </c>
      <c r="M884">
        <v>46909</v>
      </c>
      <c r="N884">
        <v>70364</v>
      </c>
      <c r="O884">
        <v>23454</v>
      </c>
      <c r="P884">
        <v>-93819</v>
      </c>
      <c r="Q884">
        <v>-58637</v>
      </c>
      <c r="R884">
        <v>228656</v>
      </c>
      <c r="S884">
        <v>68596</v>
      </c>
      <c r="T884">
        <v>22865</v>
      </c>
      <c r="U884">
        <v>11727</v>
      </c>
      <c r="V884">
        <v>7036</v>
      </c>
      <c r="W884">
        <v>4690</v>
      </c>
      <c r="X884">
        <v>23454</v>
      </c>
      <c r="Y884">
        <v>11727</v>
      </c>
      <c r="Z884">
        <v>11432</v>
      </c>
      <c r="AA884">
        <v>6859</v>
      </c>
      <c r="AB884">
        <v>4573</v>
      </c>
    </row>
    <row r="885" spans="1:28" x14ac:dyDescent="0.35">
      <c r="A885" t="s">
        <v>930</v>
      </c>
      <c r="B885" t="s">
        <v>9</v>
      </c>
      <c r="C885" t="s">
        <v>1</v>
      </c>
      <c r="D885" t="s">
        <v>10</v>
      </c>
      <c r="E885" t="s">
        <v>11</v>
      </c>
      <c r="F885">
        <v>180377</v>
      </c>
      <c r="G885">
        <v>-57869</v>
      </c>
      <c r="H885">
        <v>78134</v>
      </c>
      <c r="I885">
        <v>180377</v>
      </c>
      <c r="J885">
        <v>18037</v>
      </c>
      <c r="K885">
        <v>9018</v>
      </c>
      <c r="L885">
        <v>119924</v>
      </c>
      <c r="M885">
        <v>23984</v>
      </c>
      <c r="N885">
        <v>35977</v>
      </c>
      <c r="O885">
        <v>11992</v>
      </c>
      <c r="P885">
        <v>-47969</v>
      </c>
      <c r="Q885">
        <v>-29981</v>
      </c>
      <c r="R885">
        <v>104996</v>
      </c>
      <c r="S885">
        <v>31498</v>
      </c>
      <c r="T885">
        <v>10499</v>
      </c>
      <c r="U885">
        <v>5996</v>
      </c>
      <c r="V885">
        <v>3597</v>
      </c>
      <c r="W885">
        <v>2398</v>
      </c>
      <c r="X885">
        <v>11992</v>
      </c>
      <c r="Y885">
        <v>5996</v>
      </c>
      <c r="Z885">
        <v>5249</v>
      </c>
      <c r="AA885">
        <v>3149</v>
      </c>
      <c r="AB885">
        <v>2099</v>
      </c>
    </row>
    <row r="886" spans="1:28" x14ac:dyDescent="0.35">
      <c r="A886" t="s">
        <v>931</v>
      </c>
      <c r="B886" t="s">
        <v>9</v>
      </c>
      <c r="C886" t="s">
        <v>1</v>
      </c>
      <c r="D886" t="s">
        <v>10</v>
      </c>
      <c r="E886" t="s">
        <v>11</v>
      </c>
      <c r="F886">
        <v>406795</v>
      </c>
      <c r="G886">
        <v>-142124</v>
      </c>
      <c r="H886">
        <v>153627</v>
      </c>
      <c r="I886">
        <v>406795</v>
      </c>
      <c r="J886">
        <v>40679</v>
      </c>
      <c r="K886">
        <v>20339</v>
      </c>
      <c r="L886">
        <v>249758</v>
      </c>
      <c r="M886">
        <v>49951</v>
      </c>
      <c r="N886">
        <v>74927</v>
      </c>
      <c r="O886">
        <v>24975</v>
      </c>
      <c r="P886">
        <v>-99903</v>
      </c>
      <c r="Q886">
        <v>-62439</v>
      </c>
      <c r="R886">
        <v>257346</v>
      </c>
      <c r="S886">
        <v>77203</v>
      </c>
      <c r="T886">
        <v>25734</v>
      </c>
      <c r="U886">
        <v>12487</v>
      </c>
      <c r="V886">
        <v>7492</v>
      </c>
      <c r="W886">
        <v>4995</v>
      </c>
      <c r="X886">
        <v>24975</v>
      </c>
      <c r="Y886">
        <v>12487</v>
      </c>
      <c r="Z886">
        <v>12867</v>
      </c>
      <c r="AA886">
        <v>7720</v>
      </c>
      <c r="AB886">
        <v>5146</v>
      </c>
    </row>
    <row r="887" spans="1:28" x14ac:dyDescent="0.35">
      <c r="A887" t="s">
        <v>932</v>
      </c>
      <c r="B887" t="s">
        <v>9</v>
      </c>
      <c r="C887" t="s">
        <v>1</v>
      </c>
      <c r="D887" t="s">
        <v>10</v>
      </c>
      <c r="E887" t="s">
        <v>11</v>
      </c>
      <c r="F887">
        <v>346775</v>
      </c>
      <c r="G887">
        <v>-72088</v>
      </c>
      <c r="H887">
        <v>108654</v>
      </c>
      <c r="I887">
        <v>346775</v>
      </c>
      <c r="J887">
        <v>34677</v>
      </c>
      <c r="K887">
        <v>17338</v>
      </c>
      <c r="L887">
        <v>116764</v>
      </c>
      <c r="M887">
        <v>23352</v>
      </c>
      <c r="N887">
        <v>35029</v>
      </c>
      <c r="O887">
        <v>11676</v>
      </c>
      <c r="P887">
        <v>-46705</v>
      </c>
      <c r="Q887">
        <v>-29191</v>
      </c>
      <c r="R887">
        <v>103426</v>
      </c>
      <c r="S887">
        <v>31027</v>
      </c>
      <c r="T887">
        <v>10342</v>
      </c>
      <c r="U887">
        <v>5838</v>
      </c>
      <c r="V887">
        <v>3502</v>
      </c>
      <c r="W887">
        <v>2335</v>
      </c>
      <c r="X887">
        <v>11676</v>
      </c>
      <c r="Y887">
        <v>5838</v>
      </c>
      <c r="Z887">
        <v>5171</v>
      </c>
      <c r="AA887">
        <v>3102</v>
      </c>
      <c r="AB887">
        <v>2068</v>
      </c>
    </row>
    <row r="888" spans="1:28" x14ac:dyDescent="0.35">
      <c r="A888" t="s">
        <v>933</v>
      </c>
      <c r="B888" t="s">
        <v>9</v>
      </c>
      <c r="C888" t="s">
        <v>1</v>
      </c>
      <c r="D888" t="s">
        <v>10</v>
      </c>
      <c r="E888" t="s">
        <v>11</v>
      </c>
      <c r="F888">
        <v>62255</v>
      </c>
      <c r="G888">
        <v>-34940</v>
      </c>
      <c r="H888">
        <v>25681</v>
      </c>
      <c r="I888">
        <v>62255</v>
      </c>
      <c r="J888">
        <v>6225</v>
      </c>
      <c r="K888">
        <v>3112</v>
      </c>
      <c r="L888">
        <v>39632</v>
      </c>
      <c r="M888">
        <v>7926</v>
      </c>
      <c r="N888">
        <v>11889</v>
      </c>
      <c r="O888">
        <v>3963</v>
      </c>
      <c r="P888">
        <v>-15852</v>
      </c>
      <c r="Q888">
        <v>-9908</v>
      </c>
      <c r="R888">
        <v>41342</v>
      </c>
      <c r="S888">
        <v>12402</v>
      </c>
      <c r="T888">
        <v>4134</v>
      </c>
      <c r="U888">
        <v>1981</v>
      </c>
      <c r="V888">
        <v>1188</v>
      </c>
      <c r="W888">
        <v>792</v>
      </c>
      <c r="X888">
        <v>3963</v>
      </c>
      <c r="Y888">
        <v>1981</v>
      </c>
      <c r="Z888">
        <v>2067</v>
      </c>
      <c r="AA888">
        <v>1240</v>
      </c>
      <c r="AB888">
        <v>826</v>
      </c>
    </row>
    <row r="889" spans="1:28" x14ac:dyDescent="0.35">
      <c r="A889" t="s">
        <v>934</v>
      </c>
      <c r="B889" t="s">
        <v>9</v>
      </c>
      <c r="C889" t="s">
        <v>1</v>
      </c>
      <c r="D889" t="s">
        <v>10</v>
      </c>
      <c r="E889" t="s">
        <v>11</v>
      </c>
      <c r="F889">
        <v>117064</v>
      </c>
      <c r="G889">
        <v>-31248</v>
      </c>
      <c r="H889">
        <v>41957</v>
      </c>
      <c r="I889">
        <v>117064</v>
      </c>
      <c r="J889">
        <v>11706</v>
      </c>
      <c r="K889">
        <v>5853</v>
      </c>
      <c r="L889">
        <v>75310</v>
      </c>
      <c r="M889">
        <v>15062</v>
      </c>
      <c r="N889">
        <v>22593</v>
      </c>
      <c r="O889">
        <v>7531</v>
      </c>
      <c r="P889">
        <v>-30124</v>
      </c>
      <c r="Q889">
        <v>-18827</v>
      </c>
      <c r="R889">
        <v>70943</v>
      </c>
      <c r="S889">
        <v>21282</v>
      </c>
      <c r="T889">
        <v>7094</v>
      </c>
      <c r="U889">
        <v>3765</v>
      </c>
      <c r="V889">
        <v>2259</v>
      </c>
      <c r="W889">
        <v>1506</v>
      </c>
      <c r="X889">
        <v>7531</v>
      </c>
      <c r="Y889">
        <v>3765</v>
      </c>
      <c r="Z889">
        <v>3547</v>
      </c>
      <c r="AA889">
        <v>2128</v>
      </c>
      <c r="AB889">
        <v>1418</v>
      </c>
    </row>
    <row r="890" spans="1:28" x14ac:dyDescent="0.35">
      <c r="A890" t="s">
        <v>935</v>
      </c>
      <c r="B890" t="s">
        <v>9</v>
      </c>
      <c r="C890" t="s">
        <v>1</v>
      </c>
      <c r="D890" t="s">
        <v>10</v>
      </c>
      <c r="E890" t="s">
        <v>11</v>
      </c>
      <c r="F890">
        <v>337097</v>
      </c>
      <c r="G890">
        <v>-159932</v>
      </c>
      <c r="H890">
        <v>82215</v>
      </c>
      <c r="I890">
        <v>337097</v>
      </c>
      <c r="J890">
        <v>33709</v>
      </c>
      <c r="K890">
        <v>16854</v>
      </c>
      <c r="L890">
        <v>237885</v>
      </c>
      <c r="M890">
        <v>47577</v>
      </c>
      <c r="N890">
        <v>71365</v>
      </c>
      <c r="O890">
        <v>23788</v>
      </c>
      <c r="P890">
        <v>-95154</v>
      </c>
      <c r="Q890">
        <v>-59471</v>
      </c>
      <c r="R890">
        <v>246230</v>
      </c>
      <c r="S890">
        <v>73869</v>
      </c>
      <c r="T890">
        <v>24623</v>
      </c>
      <c r="U890">
        <v>11894</v>
      </c>
      <c r="V890">
        <v>7136</v>
      </c>
      <c r="W890">
        <v>4757</v>
      </c>
      <c r="X890">
        <v>23788</v>
      </c>
      <c r="Y890">
        <v>11894</v>
      </c>
      <c r="Z890">
        <v>12311</v>
      </c>
      <c r="AA890">
        <v>7386</v>
      </c>
      <c r="AB890">
        <v>4924</v>
      </c>
    </row>
    <row r="891" spans="1:28" x14ac:dyDescent="0.35">
      <c r="A891" t="s">
        <v>936</v>
      </c>
      <c r="B891" t="s">
        <v>9</v>
      </c>
      <c r="C891" t="s">
        <v>1</v>
      </c>
      <c r="D891" t="s">
        <v>10</v>
      </c>
      <c r="E891" t="s">
        <v>11</v>
      </c>
      <c r="F891">
        <v>337034</v>
      </c>
      <c r="G891">
        <v>-123265</v>
      </c>
      <c r="H891">
        <v>111117</v>
      </c>
      <c r="I891">
        <v>337034</v>
      </c>
      <c r="J891">
        <v>33703</v>
      </c>
      <c r="K891">
        <v>16851</v>
      </c>
      <c r="L891">
        <v>78363</v>
      </c>
      <c r="M891">
        <v>15672</v>
      </c>
      <c r="N891">
        <v>23508</v>
      </c>
      <c r="O891">
        <v>7836</v>
      </c>
      <c r="P891">
        <v>-31345</v>
      </c>
      <c r="Q891">
        <v>-19590</v>
      </c>
      <c r="R891">
        <v>91986</v>
      </c>
      <c r="S891">
        <v>27595</v>
      </c>
      <c r="T891">
        <v>9198</v>
      </c>
      <c r="U891">
        <v>3918</v>
      </c>
      <c r="V891">
        <v>2350</v>
      </c>
      <c r="W891">
        <v>1567</v>
      </c>
      <c r="X891">
        <v>7836</v>
      </c>
      <c r="Y891">
        <v>3918</v>
      </c>
      <c r="Z891">
        <v>4599</v>
      </c>
      <c r="AA891">
        <v>2759</v>
      </c>
      <c r="AB891">
        <v>1839</v>
      </c>
    </row>
    <row r="892" spans="1:28" x14ac:dyDescent="0.35">
      <c r="A892" t="s">
        <v>937</v>
      </c>
      <c r="B892" t="s">
        <v>9</v>
      </c>
      <c r="C892" t="s">
        <v>1</v>
      </c>
      <c r="D892" t="s">
        <v>10</v>
      </c>
      <c r="E892" t="s">
        <v>11</v>
      </c>
      <c r="F892">
        <v>278537</v>
      </c>
      <c r="G892">
        <v>-156828</v>
      </c>
      <c r="H892">
        <v>83902</v>
      </c>
      <c r="I892">
        <v>278537</v>
      </c>
      <c r="J892">
        <v>27853</v>
      </c>
      <c r="K892">
        <v>13926</v>
      </c>
      <c r="L892">
        <v>101593</v>
      </c>
      <c r="M892">
        <v>20318</v>
      </c>
      <c r="N892">
        <v>30477</v>
      </c>
      <c r="O892">
        <v>10159</v>
      </c>
      <c r="P892">
        <v>-40637</v>
      </c>
      <c r="Q892">
        <v>-25398</v>
      </c>
      <c r="R892">
        <v>112891</v>
      </c>
      <c r="S892">
        <v>33867</v>
      </c>
      <c r="T892">
        <v>11289</v>
      </c>
      <c r="U892">
        <v>5079</v>
      </c>
      <c r="V892">
        <v>3047</v>
      </c>
      <c r="W892">
        <v>2031</v>
      </c>
      <c r="X892">
        <v>10159</v>
      </c>
      <c r="Y892">
        <v>5079</v>
      </c>
      <c r="Z892">
        <v>5644</v>
      </c>
      <c r="AA892">
        <v>3386</v>
      </c>
      <c r="AB892">
        <v>2257</v>
      </c>
    </row>
    <row r="893" spans="1:28" x14ac:dyDescent="0.35">
      <c r="A893" t="s">
        <v>938</v>
      </c>
      <c r="B893" t="s">
        <v>9</v>
      </c>
      <c r="C893" t="s">
        <v>1</v>
      </c>
      <c r="D893" t="s">
        <v>10</v>
      </c>
      <c r="E893" t="s">
        <v>11</v>
      </c>
      <c r="F893">
        <v>492676</v>
      </c>
      <c r="G893">
        <v>-126563</v>
      </c>
      <c r="H893">
        <v>113350</v>
      </c>
      <c r="I893">
        <v>492676</v>
      </c>
      <c r="J893">
        <v>49267</v>
      </c>
      <c r="K893">
        <v>24633</v>
      </c>
      <c r="L893">
        <v>369678</v>
      </c>
      <c r="M893">
        <v>73935</v>
      </c>
      <c r="N893">
        <v>110903</v>
      </c>
      <c r="O893">
        <v>36967</v>
      </c>
      <c r="P893">
        <v>-147871</v>
      </c>
      <c r="Q893">
        <v>-92419</v>
      </c>
      <c r="R893">
        <v>339599</v>
      </c>
      <c r="S893">
        <v>101879</v>
      </c>
      <c r="T893">
        <v>33959</v>
      </c>
      <c r="U893">
        <v>18483</v>
      </c>
      <c r="V893">
        <v>11090</v>
      </c>
      <c r="W893">
        <v>7393</v>
      </c>
      <c r="X893">
        <v>36967</v>
      </c>
      <c r="Y893">
        <v>18483</v>
      </c>
      <c r="Z893">
        <v>16979</v>
      </c>
      <c r="AA893">
        <v>10187</v>
      </c>
      <c r="AB893">
        <v>6791</v>
      </c>
    </row>
    <row r="894" spans="1:28" x14ac:dyDescent="0.35">
      <c r="A894" t="s">
        <v>939</v>
      </c>
      <c r="B894" t="s">
        <v>9</v>
      </c>
      <c r="C894" t="s">
        <v>1</v>
      </c>
      <c r="D894" t="s">
        <v>10</v>
      </c>
      <c r="E894" t="s">
        <v>11</v>
      </c>
      <c r="F894">
        <v>135744</v>
      </c>
      <c r="G894">
        <v>-73349</v>
      </c>
      <c r="H894">
        <v>64566</v>
      </c>
      <c r="I894">
        <v>135744</v>
      </c>
      <c r="J894">
        <v>13574</v>
      </c>
      <c r="K894">
        <v>6787</v>
      </c>
      <c r="L894">
        <v>60787</v>
      </c>
      <c r="M894">
        <v>12157</v>
      </c>
      <c r="N894">
        <v>18236</v>
      </c>
      <c r="O894">
        <v>6078</v>
      </c>
      <c r="P894">
        <v>-24314</v>
      </c>
      <c r="Q894">
        <v>-15196</v>
      </c>
      <c r="R894">
        <v>56113</v>
      </c>
      <c r="S894">
        <v>16833</v>
      </c>
      <c r="T894">
        <v>5611</v>
      </c>
      <c r="U894">
        <v>3039</v>
      </c>
      <c r="V894">
        <v>1823</v>
      </c>
      <c r="W894">
        <v>1215</v>
      </c>
      <c r="X894">
        <v>6078</v>
      </c>
      <c r="Y894">
        <v>3039</v>
      </c>
      <c r="Z894">
        <v>2805</v>
      </c>
      <c r="AA894">
        <v>1683</v>
      </c>
      <c r="AB894">
        <v>1122</v>
      </c>
    </row>
    <row r="895" spans="1:28" x14ac:dyDescent="0.35">
      <c r="A895" t="s">
        <v>940</v>
      </c>
      <c r="B895" t="s">
        <v>9</v>
      </c>
      <c r="C895" t="s">
        <v>1</v>
      </c>
      <c r="D895" t="s">
        <v>10</v>
      </c>
      <c r="E895" t="s">
        <v>11</v>
      </c>
      <c r="F895">
        <v>275565</v>
      </c>
      <c r="G895">
        <v>-101678</v>
      </c>
      <c r="H895">
        <v>117401</v>
      </c>
      <c r="I895">
        <v>275565</v>
      </c>
      <c r="J895">
        <v>27556</v>
      </c>
      <c r="K895">
        <v>13778</v>
      </c>
      <c r="L895">
        <v>66845</v>
      </c>
      <c r="M895">
        <v>13369</v>
      </c>
      <c r="N895">
        <v>20053</v>
      </c>
      <c r="O895">
        <v>6684</v>
      </c>
      <c r="P895">
        <v>-26738</v>
      </c>
      <c r="Q895">
        <v>-16711</v>
      </c>
      <c r="R895">
        <v>70993</v>
      </c>
      <c r="S895">
        <v>21297</v>
      </c>
      <c r="T895">
        <v>7099</v>
      </c>
      <c r="U895">
        <v>3342</v>
      </c>
      <c r="V895">
        <v>2005</v>
      </c>
      <c r="W895">
        <v>1336</v>
      </c>
      <c r="X895">
        <v>6684</v>
      </c>
      <c r="Y895">
        <v>3342</v>
      </c>
      <c r="Z895">
        <v>3549</v>
      </c>
      <c r="AA895">
        <v>2129</v>
      </c>
      <c r="AB895">
        <v>1419</v>
      </c>
    </row>
    <row r="896" spans="1:28" x14ac:dyDescent="0.35">
      <c r="A896" t="s">
        <v>941</v>
      </c>
      <c r="B896" t="s">
        <v>9</v>
      </c>
      <c r="C896" t="s">
        <v>1</v>
      </c>
      <c r="D896" t="s">
        <v>10</v>
      </c>
      <c r="E896" t="s">
        <v>11</v>
      </c>
      <c r="F896">
        <v>314545</v>
      </c>
      <c r="G896">
        <v>-128903</v>
      </c>
      <c r="H896">
        <v>62371</v>
      </c>
      <c r="I896">
        <v>314545</v>
      </c>
      <c r="J896">
        <v>31454</v>
      </c>
      <c r="K896">
        <v>15727</v>
      </c>
      <c r="L896">
        <v>171329</v>
      </c>
      <c r="M896">
        <v>34265</v>
      </c>
      <c r="N896">
        <v>51398</v>
      </c>
      <c r="O896">
        <v>17132</v>
      </c>
      <c r="P896">
        <v>-68531</v>
      </c>
      <c r="Q896">
        <v>-42832</v>
      </c>
      <c r="R896">
        <v>155125</v>
      </c>
      <c r="S896">
        <v>46537</v>
      </c>
      <c r="T896">
        <v>15512</v>
      </c>
      <c r="U896">
        <v>8566</v>
      </c>
      <c r="V896">
        <v>5139</v>
      </c>
      <c r="W896">
        <v>3426</v>
      </c>
      <c r="X896">
        <v>17132</v>
      </c>
      <c r="Y896">
        <v>8566</v>
      </c>
      <c r="Z896">
        <v>7756</v>
      </c>
      <c r="AA896">
        <v>4653</v>
      </c>
      <c r="AB896">
        <v>3102</v>
      </c>
    </row>
    <row r="897" spans="1:28" x14ac:dyDescent="0.35">
      <c r="A897" t="s">
        <v>942</v>
      </c>
      <c r="B897" t="s">
        <v>9</v>
      </c>
      <c r="C897" t="s">
        <v>1</v>
      </c>
      <c r="D897" t="s">
        <v>10</v>
      </c>
      <c r="E897" t="s">
        <v>11</v>
      </c>
      <c r="F897">
        <v>85482</v>
      </c>
      <c r="G897">
        <v>-46164</v>
      </c>
      <c r="H897">
        <v>31243</v>
      </c>
      <c r="I897">
        <v>85482</v>
      </c>
      <c r="J897">
        <v>8548</v>
      </c>
      <c r="K897">
        <v>4274</v>
      </c>
      <c r="L897">
        <v>52965</v>
      </c>
      <c r="M897">
        <v>10593</v>
      </c>
      <c r="N897">
        <v>15889</v>
      </c>
      <c r="O897">
        <v>5296</v>
      </c>
      <c r="P897">
        <v>-21186</v>
      </c>
      <c r="Q897">
        <v>-13241</v>
      </c>
      <c r="R897">
        <v>58722</v>
      </c>
      <c r="S897">
        <v>17616</v>
      </c>
      <c r="T897">
        <v>5872</v>
      </c>
      <c r="U897">
        <v>2648</v>
      </c>
      <c r="V897">
        <v>1588</v>
      </c>
      <c r="W897">
        <v>1059</v>
      </c>
      <c r="X897">
        <v>5296</v>
      </c>
      <c r="Y897">
        <v>2648</v>
      </c>
      <c r="Z897">
        <v>2936</v>
      </c>
      <c r="AA897">
        <v>1761</v>
      </c>
      <c r="AB897">
        <v>1174</v>
      </c>
    </row>
    <row r="898" spans="1:28" x14ac:dyDescent="0.35">
      <c r="A898" t="s">
        <v>943</v>
      </c>
      <c r="B898" t="s">
        <v>9</v>
      </c>
      <c r="C898" t="s">
        <v>1</v>
      </c>
      <c r="D898" t="s">
        <v>10</v>
      </c>
      <c r="E898" t="s">
        <v>11</v>
      </c>
      <c r="F898">
        <v>477685</v>
      </c>
      <c r="G898">
        <v>-240397</v>
      </c>
      <c r="H898">
        <v>187639</v>
      </c>
      <c r="I898">
        <v>477685</v>
      </c>
      <c r="J898">
        <v>47768</v>
      </c>
      <c r="K898">
        <v>23884</v>
      </c>
      <c r="L898">
        <v>252233</v>
      </c>
      <c r="M898">
        <v>50446</v>
      </c>
      <c r="N898">
        <v>75669</v>
      </c>
      <c r="O898">
        <v>25223</v>
      </c>
      <c r="P898">
        <v>-100893</v>
      </c>
      <c r="Q898">
        <v>-63058</v>
      </c>
      <c r="R898">
        <v>297370</v>
      </c>
      <c r="S898">
        <v>89211</v>
      </c>
      <c r="T898">
        <v>29737</v>
      </c>
      <c r="U898">
        <v>12611</v>
      </c>
      <c r="V898">
        <v>7566</v>
      </c>
      <c r="W898">
        <v>5044</v>
      </c>
      <c r="X898">
        <v>25223</v>
      </c>
      <c r="Y898">
        <v>12611</v>
      </c>
      <c r="Z898">
        <v>14868</v>
      </c>
      <c r="AA898">
        <v>8921</v>
      </c>
      <c r="AB898">
        <v>5947</v>
      </c>
    </row>
    <row r="899" spans="1:28" x14ac:dyDescent="0.35">
      <c r="A899" t="s">
        <v>944</v>
      </c>
      <c r="B899" t="s">
        <v>9</v>
      </c>
      <c r="C899" t="s">
        <v>1</v>
      </c>
      <c r="D899" t="s">
        <v>10</v>
      </c>
      <c r="E899" t="s">
        <v>11</v>
      </c>
      <c r="F899">
        <v>363052</v>
      </c>
      <c r="G899">
        <v>-111298</v>
      </c>
      <c r="H899">
        <v>93967</v>
      </c>
      <c r="I899">
        <v>363052</v>
      </c>
      <c r="J899">
        <v>36305</v>
      </c>
      <c r="K899">
        <v>18152</v>
      </c>
      <c r="L899">
        <v>165224</v>
      </c>
      <c r="M899">
        <v>33044</v>
      </c>
      <c r="N899">
        <v>49567</v>
      </c>
      <c r="O899">
        <v>16522</v>
      </c>
      <c r="P899">
        <v>-66089</v>
      </c>
      <c r="Q899">
        <v>-41306</v>
      </c>
      <c r="R899">
        <v>151616</v>
      </c>
      <c r="S899">
        <v>45484</v>
      </c>
      <c r="T899">
        <v>15161</v>
      </c>
      <c r="U899">
        <v>8261</v>
      </c>
      <c r="V899">
        <v>4956</v>
      </c>
      <c r="W899">
        <v>3304</v>
      </c>
      <c r="X899">
        <v>16522</v>
      </c>
      <c r="Y899">
        <v>8261</v>
      </c>
      <c r="Z899">
        <v>7580</v>
      </c>
      <c r="AA899">
        <v>4548</v>
      </c>
      <c r="AB899">
        <v>3032</v>
      </c>
    </row>
    <row r="900" spans="1:28" x14ac:dyDescent="0.35">
      <c r="A900" t="s">
        <v>945</v>
      </c>
      <c r="B900" t="s">
        <v>9</v>
      </c>
      <c r="C900" t="s">
        <v>1</v>
      </c>
      <c r="D900" t="s">
        <v>10</v>
      </c>
      <c r="E900" t="s">
        <v>11</v>
      </c>
      <c r="F900">
        <v>470659</v>
      </c>
      <c r="G900">
        <v>-221546</v>
      </c>
      <c r="H900">
        <v>173483</v>
      </c>
      <c r="I900">
        <v>470659</v>
      </c>
      <c r="J900">
        <v>47065</v>
      </c>
      <c r="K900">
        <v>23532</v>
      </c>
      <c r="L900">
        <v>372610</v>
      </c>
      <c r="M900">
        <v>74522</v>
      </c>
      <c r="N900">
        <v>111783</v>
      </c>
      <c r="O900">
        <v>37261</v>
      </c>
      <c r="P900">
        <v>-149044</v>
      </c>
      <c r="Q900">
        <v>-93152</v>
      </c>
      <c r="R900">
        <v>381827</v>
      </c>
      <c r="S900">
        <v>114548</v>
      </c>
      <c r="T900">
        <v>38182</v>
      </c>
      <c r="U900">
        <v>18630</v>
      </c>
      <c r="V900">
        <v>11178</v>
      </c>
      <c r="W900">
        <v>7452</v>
      </c>
      <c r="X900">
        <v>37261</v>
      </c>
      <c r="Y900">
        <v>18630</v>
      </c>
      <c r="Z900">
        <v>19091</v>
      </c>
      <c r="AA900">
        <v>11454</v>
      </c>
      <c r="AB900">
        <v>7636</v>
      </c>
    </row>
    <row r="901" spans="1:28" x14ac:dyDescent="0.35">
      <c r="A901" t="s">
        <v>946</v>
      </c>
      <c r="B901" t="s">
        <v>9</v>
      </c>
      <c r="C901" t="s">
        <v>1</v>
      </c>
      <c r="D901" t="s">
        <v>10</v>
      </c>
      <c r="E901" t="s">
        <v>11</v>
      </c>
      <c r="F901">
        <v>265248</v>
      </c>
      <c r="G901">
        <v>-144078</v>
      </c>
      <c r="H901">
        <v>127569</v>
      </c>
      <c r="I901">
        <v>265248</v>
      </c>
      <c r="J901">
        <v>26524</v>
      </c>
      <c r="K901">
        <v>13262</v>
      </c>
      <c r="L901">
        <v>209325</v>
      </c>
      <c r="M901">
        <v>41865</v>
      </c>
      <c r="N901">
        <v>62797</v>
      </c>
      <c r="O901">
        <v>20932</v>
      </c>
      <c r="P901">
        <v>-83730</v>
      </c>
      <c r="Q901">
        <v>-52331</v>
      </c>
      <c r="R901">
        <v>250110</v>
      </c>
      <c r="S901">
        <v>75033</v>
      </c>
      <c r="T901">
        <v>25011</v>
      </c>
      <c r="U901">
        <v>10466</v>
      </c>
      <c r="V901">
        <v>6279</v>
      </c>
      <c r="W901">
        <v>4186</v>
      </c>
      <c r="X901">
        <v>20932</v>
      </c>
      <c r="Y901">
        <v>10466</v>
      </c>
      <c r="Z901">
        <v>12505</v>
      </c>
      <c r="AA901">
        <v>7503</v>
      </c>
      <c r="AB901">
        <v>5002</v>
      </c>
    </row>
    <row r="902" spans="1:28" x14ac:dyDescent="0.35">
      <c r="A902" t="s">
        <v>947</v>
      </c>
      <c r="B902" t="s">
        <v>9</v>
      </c>
      <c r="C902" t="s">
        <v>1</v>
      </c>
      <c r="D902" t="s">
        <v>10</v>
      </c>
      <c r="E902" t="s">
        <v>11</v>
      </c>
      <c r="F902">
        <v>188536</v>
      </c>
      <c r="G902">
        <v>-45484</v>
      </c>
      <c r="H902">
        <v>37629</v>
      </c>
      <c r="I902">
        <v>188536</v>
      </c>
      <c r="J902">
        <v>18853</v>
      </c>
      <c r="K902">
        <v>9426</v>
      </c>
      <c r="L902">
        <v>46904</v>
      </c>
      <c r="M902">
        <v>9380</v>
      </c>
      <c r="N902">
        <v>14071</v>
      </c>
      <c r="O902">
        <v>4690</v>
      </c>
      <c r="P902">
        <v>-18761</v>
      </c>
      <c r="Q902">
        <v>-11726</v>
      </c>
      <c r="R902">
        <v>45602</v>
      </c>
      <c r="S902">
        <v>13680</v>
      </c>
      <c r="T902">
        <v>4560</v>
      </c>
      <c r="U902">
        <v>2345</v>
      </c>
      <c r="V902">
        <v>1407</v>
      </c>
      <c r="W902">
        <v>938</v>
      </c>
      <c r="X902">
        <v>4690</v>
      </c>
      <c r="Y902">
        <v>2345</v>
      </c>
      <c r="Z902">
        <v>2280</v>
      </c>
      <c r="AA902">
        <v>1368</v>
      </c>
      <c r="AB902">
        <v>912</v>
      </c>
    </row>
    <row r="903" spans="1:28" x14ac:dyDescent="0.35">
      <c r="A903" t="s">
        <v>948</v>
      </c>
      <c r="B903" t="s">
        <v>9</v>
      </c>
      <c r="C903" t="s">
        <v>1</v>
      </c>
      <c r="D903" t="s">
        <v>10</v>
      </c>
      <c r="E903" t="s">
        <v>11</v>
      </c>
      <c r="F903">
        <v>421883</v>
      </c>
      <c r="G903">
        <v>-98007</v>
      </c>
      <c r="H903">
        <v>54118</v>
      </c>
      <c r="I903">
        <v>421883</v>
      </c>
      <c r="J903">
        <v>42188</v>
      </c>
      <c r="K903">
        <v>21094</v>
      </c>
      <c r="L903">
        <v>332249</v>
      </c>
      <c r="M903">
        <v>66449</v>
      </c>
      <c r="N903">
        <v>99674</v>
      </c>
      <c r="O903">
        <v>33224</v>
      </c>
      <c r="P903">
        <v>-132899</v>
      </c>
      <c r="Q903">
        <v>-83062</v>
      </c>
      <c r="R903">
        <v>300429</v>
      </c>
      <c r="S903">
        <v>90128</v>
      </c>
      <c r="T903">
        <v>30042</v>
      </c>
      <c r="U903">
        <v>16612</v>
      </c>
      <c r="V903">
        <v>9967</v>
      </c>
      <c r="W903">
        <v>6644</v>
      </c>
      <c r="X903">
        <v>33224</v>
      </c>
      <c r="Y903">
        <v>16612</v>
      </c>
      <c r="Z903">
        <v>15021</v>
      </c>
      <c r="AA903">
        <v>9012</v>
      </c>
      <c r="AB903">
        <v>6008</v>
      </c>
    </row>
    <row r="904" spans="1:28" x14ac:dyDescent="0.35">
      <c r="A904" t="s">
        <v>949</v>
      </c>
      <c r="B904" t="s">
        <v>9</v>
      </c>
      <c r="C904" t="s">
        <v>1</v>
      </c>
      <c r="D904" t="s">
        <v>10</v>
      </c>
      <c r="E904" t="s">
        <v>11</v>
      </c>
      <c r="F904">
        <v>93351</v>
      </c>
      <c r="G904">
        <v>-39524</v>
      </c>
      <c r="H904">
        <v>44828</v>
      </c>
      <c r="I904">
        <v>93351</v>
      </c>
      <c r="J904">
        <v>9335</v>
      </c>
      <c r="K904">
        <v>4667</v>
      </c>
      <c r="L904">
        <v>21443</v>
      </c>
      <c r="M904">
        <v>4288</v>
      </c>
      <c r="N904">
        <v>6432</v>
      </c>
      <c r="O904">
        <v>2144</v>
      </c>
      <c r="P904">
        <v>-8577</v>
      </c>
      <c r="Q904">
        <v>-5360</v>
      </c>
      <c r="R904">
        <v>21293</v>
      </c>
      <c r="S904">
        <v>6387</v>
      </c>
      <c r="T904">
        <v>2129</v>
      </c>
      <c r="U904">
        <v>1072</v>
      </c>
      <c r="V904">
        <v>643</v>
      </c>
      <c r="W904">
        <v>428</v>
      </c>
      <c r="X904">
        <v>2144</v>
      </c>
      <c r="Y904">
        <v>1072</v>
      </c>
      <c r="Z904">
        <v>1064</v>
      </c>
      <c r="AA904">
        <v>638</v>
      </c>
      <c r="AB904">
        <v>425</v>
      </c>
    </row>
    <row r="905" spans="1:28" x14ac:dyDescent="0.35">
      <c r="A905" t="s">
        <v>950</v>
      </c>
      <c r="B905" t="s">
        <v>9</v>
      </c>
      <c r="C905" t="s">
        <v>1</v>
      </c>
      <c r="D905" t="s">
        <v>10</v>
      </c>
      <c r="E905" t="s">
        <v>11</v>
      </c>
      <c r="F905">
        <v>278500</v>
      </c>
      <c r="G905">
        <v>-148589</v>
      </c>
      <c r="H905">
        <v>80209</v>
      </c>
      <c r="I905">
        <v>278500</v>
      </c>
      <c r="J905">
        <v>27850</v>
      </c>
      <c r="K905">
        <v>13925</v>
      </c>
      <c r="L905">
        <v>150815</v>
      </c>
      <c r="M905">
        <v>30163</v>
      </c>
      <c r="N905">
        <v>45244</v>
      </c>
      <c r="O905">
        <v>15081</v>
      </c>
      <c r="P905">
        <v>-60326</v>
      </c>
      <c r="Q905">
        <v>-37703</v>
      </c>
      <c r="R905">
        <v>155318</v>
      </c>
      <c r="S905">
        <v>46595</v>
      </c>
      <c r="T905">
        <v>15531</v>
      </c>
      <c r="U905">
        <v>7540</v>
      </c>
      <c r="V905">
        <v>4524</v>
      </c>
      <c r="W905">
        <v>3016</v>
      </c>
      <c r="X905">
        <v>15081</v>
      </c>
      <c r="Y905">
        <v>7540</v>
      </c>
      <c r="Z905">
        <v>7765</v>
      </c>
      <c r="AA905">
        <v>4659</v>
      </c>
      <c r="AB905">
        <v>3106</v>
      </c>
    </row>
    <row r="906" spans="1:28" x14ac:dyDescent="0.35">
      <c r="A906" t="s">
        <v>951</v>
      </c>
      <c r="B906" t="s">
        <v>9</v>
      </c>
      <c r="C906" t="s">
        <v>1</v>
      </c>
      <c r="D906" t="s">
        <v>10</v>
      </c>
      <c r="E906" t="s">
        <v>11</v>
      </c>
      <c r="F906">
        <v>194532</v>
      </c>
      <c r="G906">
        <v>-60984</v>
      </c>
      <c r="H906">
        <v>84553</v>
      </c>
      <c r="I906">
        <v>194532</v>
      </c>
      <c r="J906">
        <v>19453</v>
      </c>
      <c r="K906">
        <v>9726</v>
      </c>
      <c r="L906">
        <v>54729</v>
      </c>
      <c r="M906">
        <v>10945</v>
      </c>
      <c r="N906">
        <v>16418</v>
      </c>
      <c r="O906">
        <v>5472</v>
      </c>
      <c r="P906">
        <v>-21891</v>
      </c>
      <c r="Q906">
        <v>-13682</v>
      </c>
      <c r="R906">
        <v>61809</v>
      </c>
      <c r="S906">
        <v>18542</v>
      </c>
      <c r="T906">
        <v>6180</v>
      </c>
      <c r="U906">
        <v>2736</v>
      </c>
      <c r="V906">
        <v>1641</v>
      </c>
      <c r="W906">
        <v>1094</v>
      </c>
      <c r="X906">
        <v>5472</v>
      </c>
      <c r="Y906">
        <v>2736</v>
      </c>
      <c r="Z906">
        <v>3090</v>
      </c>
      <c r="AA906">
        <v>1854</v>
      </c>
      <c r="AB906">
        <v>1236</v>
      </c>
    </row>
    <row r="907" spans="1:28" x14ac:dyDescent="0.35">
      <c r="A907" t="s">
        <v>952</v>
      </c>
      <c r="B907" t="s">
        <v>9</v>
      </c>
      <c r="C907" t="s">
        <v>1</v>
      </c>
      <c r="D907" t="s">
        <v>10</v>
      </c>
      <c r="E907" t="s">
        <v>11</v>
      </c>
      <c r="F907">
        <v>309523</v>
      </c>
      <c r="G907">
        <v>-166517</v>
      </c>
      <c r="H907">
        <v>133632</v>
      </c>
      <c r="I907">
        <v>309523</v>
      </c>
      <c r="J907">
        <v>30952</v>
      </c>
      <c r="K907">
        <v>15476</v>
      </c>
      <c r="L907">
        <v>175541</v>
      </c>
      <c r="M907">
        <v>35108</v>
      </c>
      <c r="N907">
        <v>52662</v>
      </c>
      <c r="O907">
        <v>17554</v>
      </c>
      <c r="P907">
        <v>-70216</v>
      </c>
      <c r="Q907">
        <v>-43885</v>
      </c>
      <c r="R907">
        <v>156976</v>
      </c>
      <c r="S907">
        <v>47092</v>
      </c>
      <c r="T907">
        <v>15697</v>
      </c>
      <c r="U907">
        <v>8777</v>
      </c>
      <c r="V907">
        <v>5266</v>
      </c>
      <c r="W907">
        <v>3510</v>
      </c>
      <c r="X907">
        <v>17554</v>
      </c>
      <c r="Y907">
        <v>8777</v>
      </c>
      <c r="Z907">
        <v>7848</v>
      </c>
      <c r="AA907">
        <v>4709</v>
      </c>
      <c r="AB907">
        <v>3139</v>
      </c>
    </row>
    <row r="908" spans="1:28" x14ac:dyDescent="0.35">
      <c r="A908" t="s">
        <v>953</v>
      </c>
      <c r="B908" t="s">
        <v>9</v>
      </c>
      <c r="C908" t="s">
        <v>1</v>
      </c>
      <c r="D908" t="s">
        <v>10</v>
      </c>
      <c r="E908" t="s">
        <v>11</v>
      </c>
      <c r="F908">
        <v>348122</v>
      </c>
      <c r="G908">
        <v>-82163</v>
      </c>
      <c r="H908">
        <v>66144</v>
      </c>
      <c r="I908">
        <v>348122</v>
      </c>
      <c r="J908">
        <v>34812</v>
      </c>
      <c r="K908">
        <v>17406</v>
      </c>
      <c r="L908">
        <v>268097</v>
      </c>
      <c r="M908">
        <v>53619</v>
      </c>
      <c r="N908">
        <v>80429</v>
      </c>
      <c r="O908">
        <v>26809</v>
      </c>
      <c r="P908">
        <v>-107238</v>
      </c>
      <c r="Q908">
        <v>-67024</v>
      </c>
      <c r="R908">
        <v>282180</v>
      </c>
      <c r="S908">
        <v>84654</v>
      </c>
      <c r="T908">
        <v>28218</v>
      </c>
      <c r="U908">
        <v>13404</v>
      </c>
      <c r="V908">
        <v>8042</v>
      </c>
      <c r="W908">
        <v>5361</v>
      </c>
      <c r="X908">
        <v>26809</v>
      </c>
      <c r="Y908">
        <v>13404</v>
      </c>
      <c r="Z908">
        <v>14109</v>
      </c>
      <c r="AA908">
        <v>8465</v>
      </c>
      <c r="AB908">
        <v>5643</v>
      </c>
    </row>
    <row r="909" spans="1:28" x14ac:dyDescent="0.35">
      <c r="A909" t="s">
        <v>954</v>
      </c>
      <c r="B909" t="s">
        <v>9</v>
      </c>
      <c r="C909" t="s">
        <v>1</v>
      </c>
      <c r="D909" t="s">
        <v>10</v>
      </c>
      <c r="E909" t="s">
        <v>11</v>
      </c>
      <c r="F909">
        <v>282838</v>
      </c>
      <c r="G909">
        <v>-103617</v>
      </c>
      <c r="H909">
        <v>107541</v>
      </c>
      <c r="I909">
        <v>282838</v>
      </c>
      <c r="J909">
        <v>28283</v>
      </c>
      <c r="K909">
        <v>14141</v>
      </c>
      <c r="L909">
        <v>105928</v>
      </c>
      <c r="M909">
        <v>21185</v>
      </c>
      <c r="N909">
        <v>31778</v>
      </c>
      <c r="O909">
        <v>10592</v>
      </c>
      <c r="P909">
        <v>-42371</v>
      </c>
      <c r="Q909">
        <v>-26482</v>
      </c>
      <c r="R909">
        <v>125814</v>
      </c>
      <c r="S909">
        <v>37744</v>
      </c>
      <c r="T909">
        <v>12581</v>
      </c>
      <c r="U909">
        <v>5296</v>
      </c>
      <c r="V909">
        <v>3177</v>
      </c>
      <c r="W909">
        <v>2118</v>
      </c>
      <c r="X909">
        <v>10592</v>
      </c>
      <c r="Y909">
        <v>5296</v>
      </c>
      <c r="Z909">
        <v>6290</v>
      </c>
      <c r="AA909">
        <v>3774</v>
      </c>
      <c r="AB909">
        <v>2516</v>
      </c>
    </row>
    <row r="910" spans="1:28" x14ac:dyDescent="0.35">
      <c r="A910" t="s">
        <v>955</v>
      </c>
      <c r="B910" t="s">
        <v>9</v>
      </c>
      <c r="C910" t="s">
        <v>1</v>
      </c>
      <c r="D910" t="s">
        <v>10</v>
      </c>
      <c r="E910" t="s">
        <v>11</v>
      </c>
      <c r="F910">
        <v>393316</v>
      </c>
      <c r="G910">
        <v>-218899</v>
      </c>
      <c r="H910">
        <v>115733</v>
      </c>
      <c r="I910">
        <v>393316</v>
      </c>
      <c r="J910">
        <v>39331</v>
      </c>
      <c r="K910">
        <v>19665</v>
      </c>
      <c r="L910">
        <v>188370</v>
      </c>
      <c r="M910">
        <v>37674</v>
      </c>
      <c r="N910">
        <v>56511</v>
      </c>
      <c r="O910">
        <v>18837</v>
      </c>
      <c r="P910">
        <v>-75348</v>
      </c>
      <c r="Q910">
        <v>-47092</v>
      </c>
      <c r="R910">
        <v>217288</v>
      </c>
      <c r="S910">
        <v>65186</v>
      </c>
      <c r="T910">
        <v>21728</v>
      </c>
      <c r="U910">
        <v>9418</v>
      </c>
      <c r="V910">
        <v>5651</v>
      </c>
      <c r="W910">
        <v>3767</v>
      </c>
      <c r="X910">
        <v>18837</v>
      </c>
      <c r="Y910">
        <v>9418</v>
      </c>
      <c r="Z910">
        <v>10864</v>
      </c>
      <c r="AA910">
        <v>6518</v>
      </c>
      <c r="AB910">
        <v>4345</v>
      </c>
    </row>
    <row r="911" spans="1:28" x14ac:dyDescent="0.35">
      <c r="A911" t="s">
        <v>956</v>
      </c>
      <c r="B911" t="s">
        <v>9</v>
      </c>
      <c r="C911" t="s">
        <v>1</v>
      </c>
      <c r="D911" t="s">
        <v>10</v>
      </c>
      <c r="E911" t="s">
        <v>11</v>
      </c>
      <c r="F911">
        <v>437442</v>
      </c>
      <c r="G911">
        <v>-181884</v>
      </c>
      <c r="H911">
        <v>80577</v>
      </c>
      <c r="I911">
        <v>437442</v>
      </c>
      <c r="J911">
        <v>43744</v>
      </c>
      <c r="K911">
        <v>21872</v>
      </c>
      <c r="L911">
        <v>266942</v>
      </c>
      <c r="M911">
        <v>53388</v>
      </c>
      <c r="N911">
        <v>80082</v>
      </c>
      <c r="O911">
        <v>26694</v>
      </c>
      <c r="P911">
        <v>-106776</v>
      </c>
      <c r="Q911">
        <v>-66735</v>
      </c>
      <c r="R911">
        <v>235490</v>
      </c>
      <c r="S911">
        <v>70647</v>
      </c>
      <c r="T911">
        <v>23549</v>
      </c>
      <c r="U911">
        <v>13347</v>
      </c>
      <c r="V911">
        <v>8008</v>
      </c>
      <c r="W911">
        <v>5338</v>
      </c>
      <c r="X911">
        <v>26694</v>
      </c>
      <c r="Y911">
        <v>13347</v>
      </c>
      <c r="Z911">
        <v>11774</v>
      </c>
      <c r="AA911">
        <v>7064</v>
      </c>
      <c r="AB911">
        <v>4709</v>
      </c>
    </row>
    <row r="912" spans="1:28" x14ac:dyDescent="0.35">
      <c r="A912" t="s">
        <v>957</v>
      </c>
      <c r="B912" t="s">
        <v>9</v>
      </c>
      <c r="C912" t="s">
        <v>1</v>
      </c>
      <c r="D912" t="s">
        <v>10</v>
      </c>
      <c r="E912" t="s">
        <v>11</v>
      </c>
      <c r="F912">
        <v>440988</v>
      </c>
      <c r="G912">
        <v>-221999</v>
      </c>
      <c r="H912">
        <v>160327</v>
      </c>
      <c r="I912">
        <v>440988</v>
      </c>
      <c r="J912">
        <v>44098</v>
      </c>
      <c r="K912">
        <v>22049</v>
      </c>
      <c r="L912">
        <v>89348</v>
      </c>
      <c r="M912">
        <v>17869</v>
      </c>
      <c r="N912">
        <v>26804</v>
      </c>
      <c r="O912">
        <v>8934</v>
      </c>
      <c r="P912">
        <v>-35739</v>
      </c>
      <c r="Q912">
        <v>-22337</v>
      </c>
      <c r="R912">
        <v>81123</v>
      </c>
      <c r="S912">
        <v>24336</v>
      </c>
      <c r="T912">
        <v>8112</v>
      </c>
      <c r="U912">
        <v>4467</v>
      </c>
      <c r="V912">
        <v>2680</v>
      </c>
      <c r="W912">
        <v>1786</v>
      </c>
      <c r="X912">
        <v>8934</v>
      </c>
      <c r="Y912">
        <v>4467</v>
      </c>
      <c r="Z912">
        <v>4056</v>
      </c>
      <c r="AA912">
        <v>2433</v>
      </c>
      <c r="AB912">
        <v>1622</v>
      </c>
    </row>
    <row r="913" spans="1:28" x14ac:dyDescent="0.35">
      <c r="A913" t="s">
        <v>958</v>
      </c>
      <c r="B913" t="s">
        <v>9</v>
      </c>
      <c r="C913" t="s">
        <v>1</v>
      </c>
      <c r="D913" t="s">
        <v>10</v>
      </c>
      <c r="E913" t="s">
        <v>11</v>
      </c>
      <c r="F913">
        <v>463055</v>
      </c>
      <c r="G913">
        <v>-224147</v>
      </c>
      <c r="H913">
        <v>229427</v>
      </c>
      <c r="I913">
        <v>463055</v>
      </c>
      <c r="J913">
        <v>46305</v>
      </c>
      <c r="K913">
        <v>23152</v>
      </c>
      <c r="L913">
        <v>186238</v>
      </c>
      <c r="M913">
        <v>37247</v>
      </c>
      <c r="N913">
        <v>55871</v>
      </c>
      <c r="O913">
        <v>18623</v>
      </c>
      <c r="P913">
        <v>-74495</v>
      </c>
      <c r="Q913">
        <v>-46559</v>
      </c>
      <c r="R913">
        <v>205083</v>
      </c>
      <c r="S913">
        <v>61524</v>
      </c>
      <c r="T913">
        <v>20508</v>
      </c>
      <c r="U913">
        <v>9311</v>
      </c>
      <c r="V913">
        <v>5587</v>
      </c>
      <c r="W913">
        <v>3724</v>
      </c>
      <c r="X913">
        <v>18623</v>
      </c>
      <c r="Y913">
        <v>9311</v>
      </c>
      <c r="Z913">
        <v>10254</v>
      </c>
      <c r="AA913">
        <v>6152</v>
      </c>
      <c r="AB913">
        <v>4101</v>
      </c>
    </row>
    <row r="914" spans="1:28" x14ac:dyDescent="0.35">
      <c r="A914" t="s">
        <v>959</v>
      </c>
      <c r="B914" t="s">
        <v>9</v>
      </c>
      <c r="C914" t="s">
        <v>1</v>
      </c>
      <c r="D914" t="s">
        <v>10</v>
      </c>
      <c r="E914" t="s">
        <v>11</v>
      </c>
      <c r="F914">
        <v>205854</v>
      </c>
      <c r="G914">
        <v>-44504</v>
      </c>
      <c r="H914">
        <v>63481</v>
      </c>
      <c r="I914">
        <v>205854</v>
      </c>
      <c r="J914">
        <v>20585</v>
      </c>
      <c r="K914">
        <v>10292</v>
      </c>
      <c r="L914">
        <v>148468</v>
      </c>
      <c r="M914">
        <v>29693</v>
      </c>
      <c r="N914">
        <v>44540</v>
      </c>
      <c r="O914">
        <v>14846</v>
      </c>
      <c r="P914">
        <v>-59387</v>
      </c>
      <c r="Q914">
        <v>-37117</v>
      </c>
      <c r="R914">
        <v>131408</v>
      </c>
      <c r="S914">
        <v>39422</v>
      </c>
      <c r="T914">
        <v>13140</v>
      </c>
      <c r="U914">
        <v>7423</v>
      </c>
      <c r="V914">
        <v>4454</v>
      </c>
      <c r="W914">
        <v>2969</v>
      </c>
      <c r="X914">
        <v>14846</v>
      </c>
      <c r="Y914">
        <v>7423</v>
      </c>
      <c r="Z914">
        <v>6570</v>
      </c>
      <c r="AA914">
        <v>3942</v>
      </c>
      <c r="AB914">
        <v>2628</v>
      </c>
    </row>
    <row r="915" spans="1:28" x14ac:dyDescent="0.35">
      <c r="A915" t="s">
        <v>960</v>
      </c>
      <c r="B915" t="s">
        <v>9</v>
      </c>
      <c r="C915" t="s">
        <v>1</v>
      </c>
      <c r="D915" t="s">
        <v>10</v>
      </c>
      <c r="E915" t="s">
        <v>11</v>
      </c>
      <c r="F915">
        <v>181437</v>
      </c>
      <c r="G915">
        <v>-69547</v>
      </c>
      <c r="H915">
        <v>34073</v>
      </c>
      <c r="I915">
        <v>181437</v>
      </c>
      <c r="J915">
        <v>18143</v>
      </c>
      <c r="K915">
        <v>9071</v>
      </c>
      <c r="L915">
        <v>40698</v>
      </c>
      <c r="M915">
        <v>8139</v>
      </c>
      <c r="N915">
        <v>12209</v>
      </c>
      <c r="O915">
        <v>4069</v>
      </c>
      <c r="P915">
        <v>-16279</v>
      </c>
      <c r="Q915">
        <v>-10174</v>
      </c>
      <c r="R915">
        <v>38865</v>
      </c>
      <c r="S915">
        <v>11659</v>
      </c>
      <c r="T915">
        <v>3886</v>
      </c>
      <c r="U915">
        <v>2034</v>
      </c>
      <c r="V915">
        <v>1220</v>
      </c>
      <c r="W915">
        <v>813</v>
      </c>
      <c r="X915">
        <v>4069</v>
      </c>
      <c r="Y915">
        <v>2034</v>
      </c>
      <c r="Z915">
        <v>1943</v>
      </c>
      <c r="AA915">
        <v>1165</v>
      </c>
      <c r="AB915">
        <v>777</v>
      </c>
    </row>
    <row r="916" spans="1:28" x14ac:dyDescent="0.35">
      <c r="A916" t="s">
        <v>961</v>
      </c>
      <c r="B916" t="s">
        <v>9</v>
      </c>
      <c r="C916" t="s">
        <v>1</v>
      </c>
      <c r="D916" t="s">
        <v>10</v>
      </c>
      <c r="E916" t="s">
        <v>11</v>
      </c>
      <c r="F916">
        <v>202723</v>
      </c>
      <c r="G916">
        <v>-102563</v>
      </c>
      <c r="H916">
        <v>82662</v>
      </c>
      <c r="I916">
        <v>202723</v>
      </c>
      <c r="J916">
        <v>20272</v>
      </c>
      <c r="K916">
        <v>10136</v>
      </c>
      <c r="L916">
        <v>79832</v>
      </c>
      <c r="M916">
        <v>15966</v>
      </c>
      <c r="N916">
        <v>23949</v>
      </c>
      <c r="O916">
        <v>7983</v>
      </c>
      <c r="P916">
        <v>-31932</v>
      </c>
      <c r="Q916">
        <v>-19958</v>
      </c>
      <c r="R916">
        <v>69032</v>
      </c>
      <c r="S916">
        <v>20709</v>
      </c>
      <c r="T916">
        <v>6903</v>
      </c>
      <c r="U916">
        <v>3991</v>
      </c>
      <c r="V916">
        <v>2394</v>
      </c>
      <c r="W916">
        <v>1596</v>
      </c>
      <c r="X916">
        <v>7983</v>
      </c>
      <c r="Y916">
        <v>3991</v>
      </c>
      <c r="Z916">
        <v>3451</v>
      </c>
      <c r="AA916">
        <v>2070</v>
      </c>
      <c r="AB916">
        <v>1380</v>
      </c>
    </row>
    <row r="917" spans="1:28" x14ac:dyDescent="0.35">
      <c r="A917" t="s">
        <v>962</v>
      </c>
      <c r="B917" t="s">
        <v>9</v>
      </c>
      <c r="C917" t="s">
        <v>1</v>
      </c>
      <c r="D917" t="s">
        <v>10</v>
      </c>
      <c r="E917" t="s">
        <v>11</v>
      </c>
      <c r="F917">
        <v>231289</v>
      </c>
      <c r="G917">
        <v>-61199</v>
      </c>
      <c r="H917">
        <v>86013</v>
      </c>
      <c r="I917">
        <v>231289</v>
      </c>
      <c r="J917">
        <v>23128</v>
      </c>
      <c r="K917">
        <v>11564</v>
      </c>
      <c r="L917">
        <v>75139</v>
      </c>
      <c r="M917">
        <v>15027</v>
      </c>
      <c r="N917">
        <v>22541</v>
      </c>
      <c r="O917">
        <v>7513</v>
      </c>
      <c r="P917">
        <v>-30055</v>
      </c>
      <c r="Q917">
        <v>-18784</v>
      </c>
      <c r="R917">
        <v>65224</v>
      </c>
      <c r="S917">
        <v>19567</v>
      </c>
      <c r="T917">
        <v>6522</v>
      </c>
      <c r="U917">
        <v>3756</v>
      </c>
      <c r="V917">
        <v>2254</v>
      </c>
      <c r="W917">
        <v>1502</v>
      </c>
      <c r="X917">
        <v>7513</v>
      </c>
      <c r="Y917">
        <v>3756</v>
      </c>
      <c r="Z917">
        <v>3261</v>
      </c>
      <c r="AA917">
        <v>1956</v>
      </c>
      <c r="AB917">
        <v>1304</v>
      </c>
    </row>
    <row r="918" spans="1:28" x14ac:dyDescent="0.35">
      <c r="A918" t="s">
        <v>963</v>
      </c>
      <c r="B918" t="s">
        <v>9</v>
      </c>
      <c r="C918" t="s">
        <v>1</v>
      </c>
      <c r="D918" t="s">
        <v>10</v>
      </c>
      <c r="E918" t="s">
        <v>11</v>
      </c>
      <c r="F918">
        <v>313136</v>
      </c>
      <c r="G918">
        <v>-148311</v>
      </c>
      <c r="H918">
        <v>96591</v>
      </c>
      <c r="I918">
        <v>313136</v>
      </c>
      <c r="J918">
        <v>31313</v>
      </c>
      <c r="K918">
        <v>15656</v>
      </c>
      <c r="L918">
        <v>71767</v>
      </c>
      <c r="M918">
        <v>14353</v>
      </c>
      <c r="N918">
        <v>21530</v>
      </c>
      <c r="O918">
        <v>7176</v>
      </c>
      <c r="P918">
        <v>-28706</v>
      </c>
      <c r="Q918">
        <v>-17941</v>
      </c>
      <c r="R918">
        <v>66628</v>
      </c>
      <c r="S918">
        <v>19988</v>
      </c>
      <c r="T918">
        <v>6662</v>
      </c>
      <c r="U918">
        <v>3588</v>
      </c>
      <c r="V918">
        <v>2153</v>
      </c>
      <c r="W918">
        <v>1435</v>
      </c>
      <c r="X918">
        <v>7176</v>
      </c>
      <c r="Y918">
        <v>3588</v>
      </c>
      <c r="Z918">
        <v>3331</v>
      </c>
      <c r="AA918">
        <v>1998</v>
      </c>
      <c r="AB918">
        <v>1332</v>
      </c>
    </row>
    <row r="919" spans="1:28" x14ac:dyDescent="0.35">
      <c r="A919" t="s">
        <v>964</v>
      </c>
      <c r="B919" t="s">
        <v>9</v>
      </c>
      <c r="C919" t="s">
        <v>1</v>
      </c>
      <c r="D919" t="s">
        <v>10</v>
      </c>
      <c r="E919" t="s">
        <v>11</v>
      </c>
      <c r="F919">
        <v>233426</v>
      </c>
      <c r="G919">
        <v>-49373</v>
      </c>
      <c r="H919">
        <v>102059</v>
      </c>
      <c r="I919">
        <v>233426</v>
      </c>
      <c r="J919">
        <v>23342</v>
      </c>
      <c r="K919">
        <v>11671</v>
      </c>
      <c r="L919">
        <v>93139</v>
      </c>
      <c r="M919">
        <v>18627</v>
      </c>
      <c r="N919">
        <v>27941</v>
      </c>
      <c r="O919">
        <v>9313</v>
      </c>
      <c r="P919">
        <v>-37255</v>
      </c>
      <c r="Q919">
        <v>-23284</v>
      </c>
      <c r="R919">
        <v>99928</v>
      </c>
      <c r="S919">
        <v>29978</v>
      </c>
      <c r="T919">
        <v>9992</v>
      </c>
      <c r="U919">
        <v>4656</v>
      </c>
      <c r="V919">
        <v>2794</v>
      </c>
      <c r="W919">
        <v>1862</v>
      </c>
      <c r="X919">
        <v>9313</v>
      </c>
      <c r="Y919">
        <v>4656</v>
      </c>
      <c r="Z919">
        <v>4996</v>
      </c>
      <c r="AA919">
        <v>2997</v>
      </c>
      <c r="AB919">
        <v>1998</v>
      </c>
    </row>
    <row r="920" spans="1:28" x14ac:dyDescent="0.35">
      <c r="A920" t="s">
        <v>965</v>
      </c>
      <c r="B920" t="s">
        <v>9</v>
      </c>
      <c r="C920" t="s">
        <v>1</v>
      </c>
      <c r="D920" t="s">
        <v>10</v>
      </c>
      <c r="E920" t="s">
        <v>11</v>
      </c>
      <c r="F920">
        <v>110112</v>
      </c>
      <c r="G920">
        <v>-39789</v>
      </c>
      <c r="H920">
        <v>38099</v>
      </c>
      <c r="I920">
        <v>110112</v>
      </c>
      <c r="J920">
        <v>11011</v>
      </c>
      <c r="K920">
        <v>5505</v>
      </c>
      <c r="L920">
        <v>61444</v>
      </c>
      <c r="M920">
        <v>12288</v>
      </c>
      <c r="N920">
        <v>18433</v>
      </c>
      <c r="O920">
        <v>6144</v>
      </c>
      <c r="P920">
        <v>-24577</v>
      </c>
      <c r="Q920">
        <v>-15361</v>
      </c>
      <c r="R920">
        <v>61830</v>
      </c>
      <c r="S920">
        <v>18549</v>
      </c>
      <c r="T920">
        <v>6183</v>
      </c>
      <c r="U920">
        <v>3072</v>
      </c>
      <c r="V920">
        <v>1843</v>
      </c>
      <c r="W920">
        <v>1228</v>
      </c>
      <c r="X920">
        <v>6144</v>
      </c>
      <c r="Y920">
        <v>3072</v>
      </c>
      <c r="Z920">
        <v>3091</v>
      </c>
      <c r="AA920">
        <v>1854</v>
      </c>
      <c r="AB920">
        <v>1236</v>
      </c>
    </row>
    <row r="921" spans="1:28" x14ac:dyDescent="0.35">
      <c r="A921" t="s">
        <v>966</v>
      </c>
      <c r="B921" t="s">
        <v>9</v>
      </c>
      <c r="C921" t="s">
        <v>1</v>
      </c>
      <c r="D921" t="s">
        <v>10</v>
      </c>
      <c r="E921" t="s">
        <v>11</v>
      </c>
      <c r="F921">
        <v>159877</v>
      </c>
      <c r="G921">
        <v>-51981</v>
      </c>
      <c r="H921">
        <v>78857</v>
      </c>
      <c r="I921">
        <v>159877</v>
      </c>
      <c r="J921">
        <v>15987</v>
      </c>
      <c r="K921">
        <v>7993</v>
      </c>
      <c r="L921">
        <v>81019</v>
      </c>
      <c r="M921">
        <v>16203</v>
      </c>
      <c r="N921">
        <v>24305</v>
      </c>
      <c r="O921">
        <v>8101</v>
      </c>
      <c r="P921">
        <v>-32407</v>
      </c>
      <c r="Q921">
        <v>-20254</v>
      </c>
      <c r="R921">
        <v>88424</v>
      </c>
      <c r="S921">
        <v>26527</v>
      </c>
      <c r="T921">
        <v>8842</v>
      </c>
      <c r="U921">
        <v>4050</v>
      </c>
      <c r="V921">
        <v>2430</v>
      </c>
      <c r="W921">
        <v>1620</v>
      </c>
      <c r="X921">
        <v>8101</v>
      </c>
      <c r="Y921">
        <v>4050</v>
      </c>
      <c r="Z921">
        <v>4421</v>
      </c>
      <c r="AA921">
        <v>2652</v>
      </c>
      <c r="AB921">
        <v>1768</v>
      </c>
    </row>
    <row r="922" spans="1:28" x14ac:dyDescent="0.35">
      <c r="A922" t="s">
        <v>967</v>
      </c>
      <c r="B922" t="s">
        <v>9</v>
      </c>
      <c r="C922" t="s">
        <v>1</v>
      </c>
      <c r="D922" t="s">
        <v>10</v>
      </c>
      <c r="E922" t="s">
        <v>11</v>
      </c>
      <c r="F922">
        <v>233334</v>
      </c>
      <c r="G922">
        <v>-57501</v>
      </c>
      <c r="H922">
        <v>30784</v>
      </c>
      <c r="I922">
        <v>233334</v>
      </c>
      <c r="J922">
        <v>23333</v>
      </c>
      <c r="K922">
        <v>11666</v>
      </c>
      <c r="L922">
        <v>140951</v>
      </c>
      <c r="M922">
        <v>28190</v>
      </c>
      <c r="N922">
        <v>42285</v>
      </c>
      <c r="O922">
        <v>14095</v>
      </c>
      <c r="P922">
        <v>-56380</v>
      </c>
      <c r="Q922">
        <v>-35237</v>
      </c>
      <c r="R922">
        <v>113750</v>
      </c>
      <c r="S922">
        <v>34125</v>
      </c>
      <c r="T922">
        <v>11375</v>
      </c>
      <c r="U922">
        <v>7047</v>
      </c>
      <c r="V922">
        <v>4228</v>
      </c>
      <c r="W922">
        <v>2819</v>
      </c>
      <c r="X922">
        <v>14095</v>
      </c>
      <c r="Y922">
        <v>7047</v>
      </c>
      <c r="Z922">
        <v>5687</v>
      </c>
      <c r="AA922">
        <v>3412</v>
      </c>
      <c r="AB922">
        <v>2275</v>
      </c>
    </row>
    <row r="923" spans="1:28" x14ac:dyDescent="0.35">
      <c r="A923" t="s">
        <v>968</v>
      </c>
      <c r="B923" t="s">
        <v>9</v>
      </c>
      <c r="C923" t="s">
        <v>1</v>
      </c>
      <c r="D923" t="s">
        <v>10</v>
      </c>
      <c r="E923" t="s">
        <v>11</v>
      </c>
      <c r="F923">
        <v>414497</v>
      </c>
      <c r="G923">
        <v>-174355</v>
      </c>
      <c r="H923">
        <v>121337</v>
      </c>
      <c r="I923">
        <v>414497</v>
      </c>
      <c r="J923">
        <v>41449</v>
      </c>
      <c r="K923">
        <v>20724</v>
      </c>
      <c r="L923">
        <v>236743</v>
      </c>
      <c r="M923">
        <v>47348</v>
      </c>
      <c r="N923">
        <v>71022</v>
      </c>
      <c r="O923">
        <v>23674</v>
      </c>
      <c r="P923">
        <v>-94697</v>
      </c>
      <c r="Q923">
        <v>-59185</v>
      </c>
      <c r="R923">
        <v>230884</v>
      </c>
      <c r="S923">
        <v>69265</v>
      </c>
      <c r="T923">
        <v>23088</v>
      </c>
      <c r="U923">
        <v>11837</v>
      </c>
      <c r="V923">
        <v>7102</v>
      </c>
      <c r="W923">
        <v>4734</v>
      </c>
      <c r="X923">
        <v>23674</v>
      </c>
      <c r="Y923">
        <v>11837</v>
      </c>
      <c r="Z923">
        <v>11544</v>
      </c>
      <c r="AA923">
        <v>6926</v>
      </c>
      <c r="AB923">
        <v>4617</v>
      </c>
    </row>
    <row r="924" spans="1:28" x14ac:dyDescent="0.35">
      <c r="A924" t="s">
        <v>969</v>
      </c>
      <c r="B924" t="s">
        <v>9</v>
      </c>
      <c r="C924" t="s">
        <v>1</v>
      </c>
      <c r="D924" t="s">
        <v>10</v>
      </c>
      <c r="E924" t="s">
        <v>11</v>
      </c>
      <c r="F924">
        <v>84667</v>
      </c>
      <c r="G924">
        <v>-19854</v>
      </c>
      <c r="H924">
        <v>30811</v>
      </c>
      <c r="I924">
        <v>84667</v>
      </c>
      <c r="J924">
        <v>8466</v>
      </c>
      <c r="K924">
        <v>4233</v>
      </c>
      <c r="L924">
        <v>65860</v>
      </c>
      <c r="M924">
        <v>13172</v>
      </c>
      <c r="N924">
        <v>19758</v>
      </c>
      <c r="O924">
        <v>6586</v>
      </c>
      <c r="P924">
        <v>-26344</v>
      </c>
      <c r="Q924">
        <v>-16465</v>
      </c>
      <c r="R924">
        <v>70891</v>
      </c>
      <c r="S924">
        <v>21267</v>
      </c>
      <c r="T924">
        <v>7089</v>
      </c>
      <c r="U924">
        <v>3293</v>
      </c>
      <c r="V924">
        <v>1975</v>
      </c>
      <c r="W924">
        <v>1317</v>
      </c>
      <c r="X924">
        <v>6586</v>
      </c>
      <c r="Y924">
        <v>3293</v>
      </c>
      <c r="Z924">
        <v>3544</v>
      </c>
      <c r="AA924">
        <v>2126</v>
      </c>
      <c r="AB924">
        <v>1417</v>
      </c>
    </row>
    <row r="925" spans="1:28" x14ac:dyDescent="0.35">
      <c r="A925" t="s">
        <v>970</v>
      </c>
      <c r="B925" t="s">
        <v>9</v>
      </c>
      <c r="C925" t="s">
        <v>1</v>
      </c>
      <c r="D925" t="s">
        <v>10</v>
      </c>
      <c r="E925" t="s">
        <v>11</v>
      </c>
      <c r="F925">
        <v>218110</v>
      </c>
      <c r="G925">
        <v>-52154</v>
      </c>
      <c r="H925">
        <v>64974</v>
      </c>
      <c r="I925">
        <v>218110</v>
      </c>
      <c r="J925">
        <v>21811</v>
      </c>
      <c r="K925">
        <v>10905</v>
      </c>
      <c r="L925">
        <v>48604</v>
      </c>
      <c r="M925">
        <v>9720</v>
      </c>
      <c r="N925">
        <v>14581</v>
      </c>
      <c r="O925">
        <v>4860</v>
      </c>
      <c r="P925">
        <v>-19441</v>
      </c>
      <c r="Q925">
        <v>-12151</v>
      </c>
      <c r="R925">
        <v>53424</v>
      </c>
      <c r="S925">
        <v>16027</v>
      </c>
      <c r="T925">
        <v>5342</v>
      </c>
      <c r="U925">
        <v>2430</v>
      </c>
      <c r="V925">
        <v>1458</v>
      </c>
      <c r="W925">
        <v>972</v>
      </c>
      <c r="X925">
        <v>4860</v>
      </c>
      <c r="Y925">
        <v>2430</v>
      </c>
      <c r="Z925">
        <v>2671</v>
      </c>
      <c r="AA925">
        <v>1602</v>
      </c>
      <c r="AB925">
        <v>1068</v>
      </c>
    </row>
    <row r="926" spans="1:28" x14ac:dyDescent="0.35">
      <c r="A926" t="s">
        <v>971</v>
      </c>
      <c r="B926" t="s">
        <v>9</v>
      </c>
      <c r="C926" t="s">
        <v>1</v>
      </c>
      <c r="D926" t="s">
        <v>10</v>
      </c>
      <c r="E926" t="s">
        <v>11</v>
      </c>
      <c r="F926">
        <v>495704</v>
      </c>
      <c r="G926">
        <v>-264263</v>
      </c>
      <c r="H926">
        <v>183154</v>
      </c>
      <c r="I926">
        <v>495704</v>
      </c>
      <c r="J926">
        <v>49570</v>
      </c>
      <c r="K926">
        <v>24785</v>
      </c>
      <c r="L926">
        <v>134277</v>
      </c>
      <c r="M926">
        <v>26855</v>
      </c>
      <c r="N926">
        <v>40283</v>
      </c>
      <c r="O926">
        <v>13427</v>
      </c>
      <c r="P926">
        <v>-53710</v>
      </c>
      <c r="Q926">
        <v>-33569</v>
      </c>
      <c r="R926">
        <v>132267</v>
      </c>
      <c r="S926">
        <v>39680</v>
      </c>
      <c r="T926">
        <v>13226</v>
      </c>
      <c r="U926">
        <v>6713</v>
      </c>
      <c r="V926">
        <v>4028</v>
      </c>
      <c r="W926">
        <v>2685</v>
      </c>
      <c r="X926">
        <v>13427</v>
      </c>
      <c r="Y926">
        <v>6713</v>
      </c>
      <c r="Z926">
        <v>6613</v>
      </c>
      <c r="AA926">
        <v>3968</v>
      </c>
      <c r="AB926">
        <v>2645</v>
      </c>
    </row>
    <row r="927" spans="1:28" x14ac:dyDescent="0.35">
      <c r="A927" t="s">
        <v>972</v>
      </c>
      <c r="B927" t="s">
        <v>9</v>
      </c>
      <c r="C927" t="s">
        <v>1</v>
      </c>
      <c r="D927" t="s">
        <v>10</v>
      </c>
      <c r="E927" t="s">
        <v>11</v>
      </c>
      <c r="F927">
        <v>297603</v>
      </c>
      <c r="G927">
        <v>-150099</v>
      </c>
      <c r="H927">
        <v>37368</v>
      </c>
      <c r="I927">
        <v>297603</v>
      </c>
      <c r="J927">
        <v>29760</v>
      </c>
      <c r="K927">
        <v>14880</v>
      </c>
      <c r="L927">
        <v>181732</v>
      </c>
      <c r="M927">
        <v>36346</v>
      </c>
      <c r="N927">
        <v>54519</v>
      </c>
      <c r="O927">
        <v>18173</v>
      </c>
      <c r="P927">
        <v>-72692</v>
      </c>
      <c r="Q927">
        <v>-45433</v>
      </c>
      <c r="R927">
        <v>207901</v>
      </c>
      <c r="S927">
        <v>62370</v>
      </c>
      <c r="T927">
        <v>20790</v>
      </c>
      <c r="U927">
        <v>9086</v>
      </c>
      <c r="V927">
        <v>5451</v>
      </c>
      <c r="W927">
        <v>3634</v>
      </c>
      <c r="X927">
        <v>18173</v>
      </c>
      <c r="Y927">
        <v>9086</v>
      </c>
      <c r="Z927">
        <v>10395</v>
      </c>
      <c r="AA927">
        <v>6237</v>
      </c>
      <c r="AB927">
        <v>4158</v>
      </c>
    </row>
    <row r="928" spans="1:28" x14ac:dyDescent="0.35">
      <c r="A928" t="s">
        <v>973</v>
      </c>
      <c r="B928" t="s">
        <v>9</v>
      </c>
      <c r="C928" t="s">
        <v>1</v>
      </c>
      <c r="D928" t="s">
        <v>10</v>
      </c>
      <c r="E928" t="s">
        <v>11</v>
      </c>
      <c r="F928">
        <v>206005</v>
      </c>
      <c r="G928">
        <v>-73034</v>
      </c>
      <c r="H928">
        <v>24047</v>
      </c>
      <c r="I928">
        <v>206005</v>
      </c>
      <c r="J928">
        <v>20600</v>
      </c>
      <c r="K928">
        <v>10300</v>
      </c>
      <c r="L928">
        <v>54419</v>
      </c>
      <c r="M928">
        <v>10883</v>
      </c>
      <c r="N928">
        <v>16325</v>
      </c>
      <c r="O928">
        <v>5441</v>
      </c>
      <c r="P928">
        <v>-21767</v>
      </c>
      <c r="Q928">
        <v>-13604</v>
      </c>
      <c r="R928">
        <v>51681</v>
      </c>
      <c r="S928">
        <v>15504</v>
      </c>
      <c r="T928">
        <v>5168</v>
      </c>
      <c r="U928">
        <v>2720</v>
      </c>
      <c r="V928">
        <v>1632</v>
      </c>
      <c r="W928">
        <v>1088</v>
      </c>
      <c r="X928">
        <v>5441</v>
      </c>
      <c r="Y928">
        <v>2720</v>
      </c>
      <c r="Z928">
        <v>2584</v>
      </c>
      <c r="AA928">
        <v>1550</v>
      </c>
      <c r="AB928">
        <v>1033</v>
      </c>
    </row>
    <row r="929" spans="1:28" x14ac:dyDescent="0.35">
      <c r="A929" t="s">
        <v>974</v>
      </c>
      <c r="B929" t="s">
        <v>9</v>
      </c>
      <c r="C929" t="s">
        <v>1</v>
      </c>
      <c r="D929" t="s">
        <v>10</v>
      </c>
      <c r="E929" t="s">
        <v>11</v>
      </c>
      <c r="F929">
        <v>364163</v>
      </c>
      <c r="G929">
        <v>-182673</v>
      </c>
      <c r="H929">
        <v>135041</v>
      </c>
      <c r="I929">
        <v>364163</v>
      </c>
      <c r="J929">
        <v>36416</v>
      </c>
      <c r="K929">
        <v>18208</v>
      </c>
      <c r="L929">
        <v>114138</v>
      </c>
      <c r="M929">
        <v>22827</v>
      </c>
      <c r="N929">
        <v>34241</v>
      </c>
      <c r="O929">
        <v>11413</v>
      </c>
      <c r="P929">
        <v>-45655</v>
      </c>
      <c r="Q929">
        <v>-28534</v>
      </c>
      <c r="R929">
        <v>120887</v>
      </c>
      <c r="S929">
        <v>36266</v>
      </c>
      <c r="T929">
        <v>12088</v>
      </c>
      <c r="U929">
        <v>5706</v>
      </c>
      <c r="V929">
        <v>3424</v>
      </c>
      <c r="W929">
        <v>2282</v>
      </c>
      <c r="X929">
        <v>11413</v>
      </c>
      <c r="Y929">
        <v>5706</v>
      </c>
      <c r="Z929">
        <v>6044</v>
      </c>
      <c r="AA929">
        <v>3626</v>
      </c>
      <c r="AB929">
        <v>2417</v>
      </c>
    </row>
    <row r="930" spans="1:28" x14ac:dyDescent="0.35">
      <c r="A930" t="s">
        <v>975</v>
      </c>
      <c r="B930" t="s">
        <v>9</v>
      </c>
      <c r="C930" t="s">
        <v>1</v>
      </c>
      <c r="D930" t="s">
        <v>10</v>
      </c>
      <c r="E930" t="s">
        <v>11</v>
      </c>
      <c r="F930">
        <v>217740</v>
      </c>
      <c r="G930">
        <v>-122722</v>
      </c>
      <c r="H930">
        <v>59587</v>
      </c>
      <c r="I930">
        <v>217740</v>
      </c>
      <c r="J930">
        <v>21774</v>
      </c>
      <c r="K930">
        <v>10887</v>
      </c>
      <c r="L930">
        <v>132442</v>
      </c>
      <c r="M930">
        <v>26488</v>
      </c>
      <c r="N930">
        <v>39732</v>
      </c>
      <c r="O930">
        <v>13244</v>
      </c>
      <c r="P930">
        <v>-52976</v>
      </c>
      <c r="Q930">
        <v>-33110</v>
      </c>
      <c r="R930">
        <v>145957</v>
      </c>
      <c r="S930">
        <v>43787</v>
      </c>
      <c r="T930">
        <v>14595</v>
      </c>
      <c r="U930">
        <v>6622</v>
      </c>
      <c r="V930">
        <v>3973</v>
      </c>
      <c r="W930">
        <v>2648</v>
      </c>
      <c r="X930">
        <v>13244</v>
      </c>
      <c r="Y930">
        <v>6622</v>
      </c>
      <c r="Z930">
        <v>7297</v>
      </c>
      <c r="AA930">
        <v>4378</v>
      </c>
      <c r="AB930">
        <v>2919</v>
      </c>
    </row>
    <row r="931" spans="1:28" x14ac:dyDescent="0.35">
      <c r="A931" t="s">
        <v>976</v>
      </c>
      <c r="B931" t="s">
        <v>9</v>
      </c>
      <c r="C931" t="s">
        <v>1</v>
      </c>
      <c r="D931" t="s">
        <v>10</v>
      </c>
      <c r="E931" t="s">
        <v>11</v>
      </c>
      <c r="F931">
        <v>175512</v>
      </c>
      <c r="G931">
        <v>-105054</v>
      </c>
      <c r="H931">
        <v>70981</v>
      </c>
      <c r="I931">
        <v>175512</v>
      </c>
      <c r="J931">
        <v>17551</v>
      </c>
      <c r="K931">
        <v>8775</v>
      </c>
      <c r="L931">
        <v>67887</v>
      </c>
      <c r="M931">
        <v>13577</v>
      </c>
      <c r="N931">
        <v>20366</v>
      </c>
      <c r="O931">
        <v>6788</v>
      </c>
      <c r="P931">
        <v>-27154</v>
      </c>
      <c r="Q931">
        <v>-16971</v>
      </c>
      <c r="R931">
        <v>72705</v>
      </c>
      <c r="S931">
        <v>21811</v>
      </c>
      <c r="T931">
        <v>7270</v>
      </c>
      <c r="U931">
        <v>3394</v>
      </c>
      <c r="V931">
        <v>2036</v>
      </c>
      <c r="W931">
        <v>1357</v>
      </c>
      <c r="X931">
        <v>6788</v>
      </c>
      <c r="Y931">
        <v>3394</v>
      </c>
      <c r="Z931">
        <v>3635</v>
      </c>
      <c r="AA931">
        <v>2181</v>
      </c>
      <c r="AB931">
        <v>1454</v>
      </c>
    </row>
    <row r="932" spans="1:28" x14ac:dyDescent="0.35">
      <c r="A932" t="s">
        <v>977</v>
      </c>
      <c r="B932" t="s">
        <v>9</v>
      </c>
      <c r="C932" t="s">
        <v>1</v>
      </c>
      <c r="D932" t="s">
        <v>10</v>
      </c>
      <c r="E932" t="s">
        <v>11</v>
      </c>
      <c r="F932">
        <v>346186</v>
      </c>
      <c r="G932">
        <v>-178400</v>
      </c>
      <c r="H932">
        <v>125798</v>
      </c>
      <c r="I932">
        <v>346186</v>
      </c>
      <c r="J932">
        <v>34618</v>
      </c>
      <c r="K932">
        <v>17309</v>
      </c>
      <c r="L932">
        <v>266491</v>
      </c>
      <c r="M932">
        <v>53298</v>
      </c>
      <c r="N932">
        <v>79947</v>
      </c>
      <c r="O932">
        <v>26649</v>
      </c>
      <c r="P932">
        <v>-106596</v>
      </c>
      <c r="Q932">
        <v>-66622</v>
      </c>
      <c r="R932">
        <v>267089</v>
      </c>
      <c r="S932">
        <v>80126</v>
      </c>
      <c r="T932">
        <v>26708</v>
      </c>
      <c r="U932">
        <v>13324</v>
      </c>
      <c r="V932">
        <v>7994</v>
      </c>
      <c r="W932">
        <v>5329</v>
      </c>
      <c r="X932">
        <v>26649</v>
      </c>
      <c r="Y932">
        <v>13324</v>
      </c>
      <c r="Z932">
        <v>13354</v>
      </c>
      <c r="AA932">
        <v>8012</v>
      </c>
      <c r="AB932">
        <v>5341</v>
      </c>
    </row>
    <row r="933" spans="1:28" x14ac:dyDescent="0.35">
      <c r="A933" t="s">
        <v>978</v>
      </c>
      <c r="B933" t="s">
        <v>9</v>
      </c>
      <c r="C933" t="s">
        <v>1</v>
      </c>
      <c r="D933" t="s">
        <v>10</v>
      </c>
      <c r="E933" t="s">
        <v>11</v>
      </c>
      <c r="F933">
        <v>144483</v>
      </c>
      <c r="G933">
        <v>-59793</v>
      </c>
      <c r="H933">
        <v>24106</v>
      </c>
      <c r="I933">
        <v>144483</v>
      </c>
      <c r="J933">
        <v>14448</v>
      </c>
      <c r="K933">
        <v>7224</v>
      </c>
      <c r="L933">
        <v>114520</v>
      </c>
      <c r="M933">
        <v>22904</v>
      </c>
      <c r="N933">
        <v>34356</v>
      </c>
      <c r="O933">
        <v>11452</v>
      </c>
      <c r="P933">
        <v>-45808</v>
      </c>
      <c r="Q933">
        <v>-28630</v>
      </c>
      <c r="R933">
        <v>94594</v>
      </c>
      <c r="S933">
        <v>28378</v>
      </c>
      <c r="T933">
        <v>9459</v>
      </c>
      <c r="U933">
        <v>5726</v>
      </c>
      <c r="V933">
        <v>3435</v>
      </c>
      <c r="W933">
        <v>2290</v>
      </c>
      <c r="X933">
        <v>11452</v>
      </c>
      <c r="Y933">
        <v>5726</v>
      </c>
      <c r="Z933">
        <v>4729</v>
      </c>
      <c r="AA933">
        <v>2837</v>
      </c>
      <c r="AB933">
        <v>1891</v>
      </c>
    </row>
    <row r="934" spans="1:28" x14ac:dyDescent="0.35">
      <c r="A934" t="s">
        <v>979</v>
      </c>
      <c r="B934" t="s">
        <v>9</v>
      </c>
      <c r="C934" t="s">
        <v>1</v>
      </c>
      <c r="D934" t="s">
        <v>10</v>
      </c>
      <c r="E934" t="s">
        <v>11</v>
      </c>
      <c r="F934">
        <v>66252</v>
      </c>
      <c r="G934">
        <v>-14390</v>
      </c>
      <c r="H934">
        <v>15061</v>
      </c>
      <c r="I934">
        <v>66252</v>
      </c>
      <c r="J934">
        <v>6625</v>
      </c>
      <c r="K934">
        <v>3312</v>
      </c>
      <c r="L934">
        <v>48427</v>
      </c>
      <c r="M934">
        <v>9685</v>
      </c>
      <c r="N934">
        <v>14528</v>
      </c>
      <c r="O934">
        <v>4842</v>
      </c>
      <c r="P934">
        <v>-19370</v>
      </c>
      <c r="Q934">
        <v>-12106</v>
      </c>
      <c r="R934">
        <v>44068</v>
      </c>
      <c r="S934">
        <v>13220</v>
      </c>
      <c r="T934">
        <v>4406</v>
      </c>
      <c r="U934">
        <v>2421</v>
      </c>
      <c r="V934">
        <v>1452</v>
      </c>
      <c r="W934">
        <v>968</v>
      </c>
      <c r="X934">
        <v>4842</v>
      </c>
      <c r="Y934">
        <v>2421</v>
      </c>
      <c r="Z934">
        <v>2203</v>
      </c>
      <c r="AA934">
        <v>1322</v>
      </c>
      <c r="AB934">
        <v>881</v>
      </c>
    </row>
    <row r="935" spans="1:28" x14ac:dyDescent="0.35">
      <c r="A935" t="s">
        <v>980</v>
      </c>
      <c r="B935" t="s">
        <v>9</v>
      </c>
      <c r="C935" t="s">
        <v>1</v>
      </c>
      <c r="D935" t="s">
        <v>10</v>
      </c>
      <c r="E935" t="s">
        <v>11</v>
      </c>
      <c r="F935">
        <v>58567</v>
      </c>
      <c r="G935">
        <v>-34046</v>
      </c>
      <c r="H935">
        <v>13447</v>
      </c>
      <c r="I935">
        <v>58567</v>
      </c>
      <c r="J935">
        <v>5856</v>
      </c>
      <c r="K935">
        <v>2928</v>
      </c>
      <c r="L935">
        <v>11824</v>
      </c>
      <c r="M935">
        <v>2364</v>
      </c>
      <c r="N935">
        <v>3547</v>
      </c>
      <c r="O935">
        <v>1182</v>
      </c>
      <c r="P935">
        <v>-4729</v>
      </c>
      <c r="Q935">
        <v>-2956</v>
      </c>
      <c r="R935">
        <v>9558</v>
      </c>
      <c r="S935">
        <v>2867</v>
      </c>
      <c r="T935">
        <v>955</v>
      </c>
      <c r="U935">
        <v>591</v>
      </c>
      <c r="V935">
        <v>354</v>
      </c>
      <c r="W935">
        <v>236</v>
      </c>
      <c r="X935">
        <v>1182</v>
      </c>
      <c r="Y935">
        <v>591</v>
      </c>
      <c r="Z935">
        <v>477</v>
      </c>
      <c r="AA935">
        <v>286</v>
      </c>
      <c r="AB935">
        <v>191</v>
      </c>
    </row>
    <row r="936" spans="1:28" x14ac:dyDescent="0.35">
      <c r="A936" t="s">
        <v>981</v>
      </c>
      <c r="B936" t="s">
        <v>9</v>
      </c>
      <c r="C936" t="s">
        <v>1</v>
      </c>
      <c r="D936" t="s">
        <v>10</v>
      </c>
      <c r="E936" t="s">
        <v>11</v>
      </c>
      <c r="F936">
        <v>178501</v>
      </c>
      <c r="G936">
        <v>-55410</v>
      </c>
      <c r="H936">
        <v>56807</v>
      </c>
      <c r="I936">
        <v>178501</v>
      </c>
      <c r="J936">
        <v>17850</v>
      </c>
      <c r="K936">
        <v>8925</v>
      </c>
      <c r="L936">
        <v>61457</v>
      </c>
      <c r="M936">
        <v>12291</v>
      </c>
      <c r="N936">
        <v>18437</v>
      </c>
      <c r="O936">
        <v>6145</v>
      </c>
      <c r="P936">
        <v>-24582</v>
      </c>
      <c r="Q936">
        <v>-15364</v>
      </c>
      <c r="R936">
        <v>62263</v>
      </c>
      <c r="S936">
        <v>18678</v>
      </c>
      <c r="T936">
        <v>6226</v>
      </c>
      <c r="U936">
        <v>3072</v>
      </c>
      <c r="V936">
        <v>1843</v>
      </c>
      <c r="W936">
        <v>1229</v>
      </c>
      <c r="X936">
        <v>6145</v>
      </c>
      <c r="Y936">
        <v>3072</v>
      </c>
      <c r="Z936">
        <v>3113</v>
      </c>
      <c r="AA936">
        <v>1867</v>
      </c>
      <c r="AB936">
        <v>1245</v>
      </c>
    </row>
    <row r="937" spans="1:28" x14ac:dyDescent="0.35">
      <c r="A937" t="s">
        <v>982</v>
      </c>
      <c r="B937" t="s">
        <v>9</v>
      </c>
      <c r="C937" t="s">
        <v>1</v>
      </c>
      <c r="D937" t="s">
        <v>10</v>
      </c>
      <c r="E937" t="s">
        <v>11</v>
      </c>
      <c r="F937">
        <v>137448</v>
      </c>
      <c r="G937">
        <v>-55209</v>
      </c>
      <c r="H937">
        <v>61072</v>
      </c>
      <c r="I937">
        <v>137448</v>
      </c>
      <c r="J937">
        <v>13744</v>
      </c>
      <c r="K937">
        <v>6872</v>
      </c>
      <c r="L937">
        <v>79852</v>
      </c>
      <c r="M937">
        <v>15970</v>
      </c>
      <c r="N937">
        <v>23955</v>
      </c>
      <c r="O937">
        <v>7985</v>
      </c>
      <c r="P937">
        <v>-31940</v>
      </c>
      <c r="Q937">
        <v>-19963</v>
      </c>
      <c r="R937">
        <v>66517</v>
      </c>
      <c r="S937">
        <v>19955</v>
      </c>
      <c r="T937">
        <v>6651</v>
      </c>
      <c r="U937">
        <v>3992</v>
      </c>
      <c r="V937">
        <v>2395</v>
      </c>
      <c r="W937">
        <v>1597</v>
      </c>
      <c r="X937">
        <v>7985</v>
      </c>
      <c r="Y937">
        <v>3992</v>
      </c>
      <c r="Z937">
        <v>3325</v>
      </c>
      <c r="AA937">
        <v>1995</v>
      </c>
      <c r="AB937">
        <v>1330</v>
      </c>
    </row>
    <row r="938" spans="1:28" x14ac:dyDescent="0.35">
      <c r="A938" t="s">
        <v>983</v>
      </c>
      <c r="B938" t="s">
        <v>9</v>
      </c>
      <c r="C938" t="s">
        <v>1</v>
      </c>
      <c r="D938" t="s">
        <v>10</v>
      </c>
      <c r="E938" t="s">
        <v>11</v>
      </c>
      <c r="F938">
        <v>80946</v>
      </c>
      <c r="G938">
        <v>-43225</v>
      </c>
      <c r="H938">
        <v>19784</v>
      </c>
      <c r="I938">
        <v>80946</v>
      </c>
      <c r="J938">
        <v>8094</v>
      </c>
      <c r="K938">
        <v>4047</v>
      </c>
      <c r="L938">
        <v>49216</v>
      </c>
      <c r="M938">
        <v>9843</v>
      </c>
      <c r="N938">
        <v>14764</v>
      </c>
      <c r="O938">
        <v>4921</v>
      </c>
      <c r="P938">
        <v>-19686</v>
      </c>
      <c r="Q938">
        <v>-12304</v>
      </c>
      <c r="R938">
        <v>55811</v>
      </c>
      <c r="S938">
        <v>16743</v>
      </c>
      <c r="T938">
        <v>5581</v>
      </c>
      <c r="U938">
        <v>2460</v>
      </c>
      <c r="V938">
        <v>1476</v>
      </c>
      <c r="W938">
        <v>984</v>
      </c>
      <c r="X938">
        <v>4921</v>
      </c>
      <c r="Y938">
        <v>2460</v>
      </c>
      <c r="Z938">
        <v>2790</v>
      </c>
      <c r="AA938">
        <v>1674</v>
      </c>
      <c r="AB938">
        <v>1116</v>
      </c>
    </row>
    <row r="939" spans="1:28" x14ac:dyDescent="0.35">
      <c r="A939" t="s">
        <v>984</v>
      </c>
      <c r="B939" t="s">
        <v>9</v>
      </c>
      <c r="C939" t="s">
        <v>1</v>
      </c>
      <c r="D939" t="s">
        <v>10</v>
      </c>
      <c r="E939" t="s">
        <v>11</v>
      </c>
      <c r="F939">
        <v>323692</v>
      </c>
      <c r="G939">
        <v>-117443</v>
      </c>
      <c r="H939">
        <v>114100</v>
      </c>
      <c r="I939">
        <v>323692</v>
      </c>
      <c r="J939">
        <v>32369</v>
      </c>
      <c r="K939">
        <v>16184</v>
      </c>
      <c r="L939">
        <v>243737</v>
      </c>
      <c r="M939">
        <v>48747</v>
      </c>
      <c r="N939">
        <v>73121</v>
      </c>
      <c r="O939">
        <v>24373</v>
      </c>
      <c r="P939">
        <v>-97494</v>
      </c>
      <c r="Q939">
        <v>-60934</v>
      </c>
      <c r="R939">
        <v>271689</v>
      </c>
      <c r="S939">
        <v>81506</v>
      </c>
      <c r="T939">
        <v>27168</v>
      </c>
      <c r="U939">
        <v>12186</v>
      </c>
      <c r="V939">
        <v>7312</v>
      </c>
      <c r="W939">
        <v>4874</v>
      </c>
      <c r="X939">
        <v>24373</v>
      </c>
      <c r="Y939">
        <v>12186</v>
      </c>
      <c r="Z939">
        <v>13584</v>
      </c>
      <c r="AA939">
        <v>8150</v>
      </c>
      <c r="AB939">
        <v>5433</v>
      </c>
    </row>
    <row r="940" spans="1:28" x14ac:dyDescent="0.35">
      <c r="A940" t="s">
        <v>985</v>
      </c>
      <c r="B940" t="s">
        <v>9</v>
      </c>
      <c r="C940" t="s">
        <v>1</v>
      </c>
      <c r="D940" t="s">
        <v>10</v>
      </c>
      <c r="E940" t="s">
        <v>11</v>
      </c>
      <c r="F940">
        <v>373278</v>
      </c>
      <c r="G940">
        <v>-121588</v>
      </c>
      <c r="H940">
        <v>151328</v>
      </c>
      <c r="I940">
        <v>373278</v>
      </c>
      <c r="J940">
        <v>37327</v>
      </c>
      <c r="K940">
        <v>18663</v>
      </c>
      <c r="L940">
        <v>106956</v>
      </c>
      <c r="M940">
        <v>21391</v>
      </c>
      <c r="N940">
        <v>32086</v>
      </c>
      <c r="O940">
        <v>10695</v>
      </c>
      <c r="P940">
        <v>-42782</v>
      </c>
      <c r="Q940">
        <v>-26739</v>
      </c>
      <c r="R940">
        <v>125214</v>
      </c>
      <c r="S940">
        <v>37564</v>
      </c>
      <c r="T940">
        <v>12521</v>
      </c>
      <c r="U940">
        <v>5347</v>
      </c>
      <c r="V940">
        <v>3208</v>
      </c>
      <c r="W940">
        <v>2139</v>
      </c>
      <c r="X940">
        <v>10695</v>
      </c>
      <c r="Y940">
        <v>5347</v>
      </c>
      <c r="Z940">
        <v>6260</v>
      </c>
      <c r="AA940">
        <v>3756</v>
      </c>
      <c r="AB940">
        <v>2504</v>
      </c>
    </row>
    <row r="941" spans="1:28" x14ac:dyDescent="0.35">
      <c r="A941" t="s">
        <v>986</v>
      </c>
      <c r="B941" t="s">
        <v>9</v>
      </c>
      <c r="C941" t="s">
        <v>1</v>
      </c>
      <c r="D941" t="s">
        <v>10</v>
      </c>
      <c r="E941" t="s">
        <v>11</v>
      </c>
      <c r="F941">
        <v>105894</v>
      </c>
      <c r="G941">
        <v>-38743</v>
      </c>
      <c r="H941">
        <v>38130</v>
      </c>
      <c r="I941">
        <v>105894</v>
      </c>
      <c r="J941">
        <v>10589</v>
      </c>
      <c r="K941">
        <v>5294</v>
      </c>
      <c r="L941">
        <v>35377</v>
      </c>
      <c r="M941">
        <v>7075</v>
      </c>
      <c r="N941">
        <v>10613</v>
      </c>
      <c r="O941">
        <v>3537</v>
      </c>
      <c r="P941">
        <v>-14150</v>
      </c>
      <c r="Q941">
        <v>-8844</v>
      </c>
      <c r="R941">
        <v>41296</v>
      </c>
      <c r="S941">
        <v>12388</v>
      </c>
      <c r="T941">
        <v>4129</v>
      </c>
      <c r="U941">
        <v>1768</v>
      </c>
      <c r="V941">
        <v>1061</v>
      </c>
      <c r="W941">
        <v>707</v>
      </c>
      <c r="X941">
        <v>3537</v>
      </c>
      <c r="Y941">
        <v>1768</v>
      </c>
      <c r="Z941">
        <v>2064</v>
      </c>
      <c r="AA941">
        <v>1238</v>
      </c>
      <c r="AB941">
        <v>825</v>
      </c>
    </row>
    <row r="942" spans="1:28" x14ac:dyDescent="0.35">
      <c r="A942" t="s">
        <v>987</v>
      </c>
      <c r="B942" t="s">
        <v>9</v>
      </c>
      <c r="C942" t="s">
        <v>1</v>
      </c>
      <c r="D942" t="s">
        <v>10</v>
      </c>
      <c r="E942" t="s">
        <v>11</v>
      </c>
      <c r="F942">
        <v>354968</v>
      </c>
      <c r="G942">
        <v>-89049</v>
      </c>
      <c r="H942">
        <v>129260</v>
      </c>
      <c r="I942">
        <v>354968</v>
      </c>
      <c r="J942">
        <v>35496</v>
      </c>
      <c r="K942">
        <v>17748</v>
      </c>
      <c r="L942">
        <v>247019</v>
      </c>
      <c r="M942">
        <v>49403</v>
      </c>
      <c r="N942">
        <v>74105</v>
      </c>
      <c r="O942">
        <v>24701</v>
      </c>
      <c r="P942">
        <v>-98807</v>
      </c>
      <c r="Q942">
        <v>-61754</v>
      </c>
      <c r="R942">
        <v>271680</v>
      </c>
      <c r="S942">
        <v>81504</v>
      </c>
      <c r="T942">
        <v>27168</v>
      </c>
      <c r="U942">
        <v>12350</v>
      </c>
      <c r="V942">
        <v>7410</v>
      </c>
      <c r="W942">
        <v>4940</v>
      </c>
      <c r="X942">
        <v>24701</v>
      </c>
      <c r="Y942">
        <v>12350</v>
      </c>
      <c r="Z942">
        <v>13584</v>
      </c>
      <c r="AA942">
        <v>8150</v>
      </c>
      <c r="AB942">
        <v>5433</v>
      </c>
    </row>
    <row r="943" spans="1:28" x14ac:dyDescent="0.35">
      <c r="A943" t="s">
        <v>988</v>
      </c>
      <c r="B943" t="s">
        <v>9</v>
      </c>
      <c r="C943" t="s">
        <v>1</v>
      </c>
      <c r="D943" t="s">
        <v>10</v>
      </c>
      <c r="E943" t="s">
        <v>11</v>
      </c>
      <c r="F943">
        <v>161363</v>
      </c>
      <c r="G943">
        <v>-94027</v>
      </c>
      <c r="H943">
        <v>22455</v>
      </c>
      <c r="I943">
        <v>161363</v>
      </c>
      <c r="J943">
        <v>16136</v>
      </c>
      <c r="K943">
        <v>8068</v>
      </c>
      <c r="L943">
        <v>77257</v>
      </c>
      <c r="M943">
        <v>15451</v>
      </c>
      <c r="N943">
        <v>23177</v>
      </c>
      <c r="O943">
        <v>7725</v>
      </c>
      <c r="P943">
        <v>-30902</v>
      </c>
      <c r="Q943">
        <v>-19314</v>
      </c>
      <c r="R943">
        <v>64245</v>
      </c>
      <c r="S943">
        <v>19273</v>
      </c>
      <c r="T943">
        <v>6424</v>
      </c>
      <c r="U943">
        <v>3862</v>
      </c>
      <c r="V943">
        <v>2317</v>
      </c>
      <c r="W943">
        <v>1545</v>
      </c>
      <c r="X943">
        <v>7725</v>
      </c>
      <c r="Y943">
        <v>3862</v>
      </c>
      <c r="Z943">
        <v>3212</v>
      </c>
      <c r="AA943">
        <v>1927</v>
      </c>
      <c r="AB943">
        <v>1284</v>
      </c>
    </row>
    <row r="944" spans="1:28" x14ac:dyDescent="0.35">
      <c r="A944" t="s">
        <v>989</v>
      </c>
      <c r="B944" t="s">
        <v>9</v>
      </c>
      <c r="C944" t="s">
        <v>1</v>
      </c>
      <c r="D944" t="s">
        <v>10</v>
      </c>
      <c r="E944" t="s">
        <v>11</v>
      </c>
      <c r="F944">
        <v>201512</v>
      </c>
      <c r="G944">
        <v>-79593</v>
      </c>
      <c r="H944">
        <v>51233</v>
      </c>
      <c r="I944">
        <v>201512</v>
      </c>
      <c r="J944">
        <v>20151</v>
      </c>
      <c r="K944">
        <v>10075</v>
      </c>
      <c r="L944">
        <v>109237</v>
      </c>
      <c r="M944">
        <v>21847</v>
      </c>
      <c r="N944">
        <v>32771</v>
      </c>
      <c r="O944">
        <v>10923</v>
      </c>
      <c r="P944">
        <v>-43694</v>
      </c>
      <c r="Q944">
        <v>-27309</v>
      </c>
      <c r="R944">
        <v>130285</v>
      </c>
      <c r="S944">
        <v>39085</v>
      </c>
      <c r="T944">
        <v>13028</v>
      </c>
      <c r="U944">
        <v>5461</v>
      </c>
      <c r="V944">
        <v>3277</v>
      </c>
      <c r="W944">
        <v>2184</v>
      </c>
      <c r="X944">
        <v>10923</v>
      </c>
      <c r="Y944">
        <v>5461</v>
      </c>
      <c r="Z944">
        <v>6514</v>
      </c>
      <c r="AA944">
        <v>3908</v>
      </c>
      <c r="AB944">
        <v>2605</v>
      </c>
    </row>
    <row r="945" spans="1:28" x14ac:dyDescent="0.35">
      <c r="A945" t="s">
        <v>990</v>
      </c>
      <c r="B945" t="s">
        <v>9</v>
      </c>
      <c r="C945" t="s">
        <v>1</v>
      </c>
      <c r="D945" t="s">
        <v>10</v>
      </c>
      <c r="E945" t="s">
        <v>11</v>
      </c>
      <c r="F945">
        <v>370531</v>
      </c>
      <c r="G945">
        <v>-98798</v>
      </c>
      <c r="H945">
        <v>94506</v>
      </c>
      <c r="I945">
        <v>370531</v>
      </c>
      <c r="J945">
        <v>37053</v>
      </c>
      <c r="K945">
        <v>18526</v>
      </c>
      <c r="L945">
        <v>276358</v>
      </c>
      <c r="M945">
        <v>55271</v>
      </c>
      <c r="N945">
        <v>82907</v>
      </c>
      <c r="O945">
        <v>27635</v>
      </c>
      <c r="P945">
        <v>-110543</v>
      </c>
      <c r="Q945">
        <v>-69089</v>
      </c>
      <c r="R945">
        <v>320954</v>
      </c>
      <c r="S945">
        <v>96286</v>
      </c>
      <c r="T945">
        <v>32095</v>
      </c>
      <c r="U945">
        <v>13817</v>
      </c>
      <c r="V945">
        <v>8290</v>
      </c>
      <c r="W945">
        <v>5527</v>
      </c>
      <c r="X945">
        <v>27635</v>
      </c>
      <c r="Y945">
        <v>13817</v>
      </c>
      <c r="Z945">
        <v>16047</v>
      </c>
      <c r="AA945">
        <v>9628</v>
      </c>
      <c r="AB945">
        <v>6419</v>
      </c>
    </row>
    <row r="946" spans="1:28" x14ac:dyDescent="0.35">
      <c r="A946" t="s">
        <v>991</v>
      </c>
      <c r="B946" t="s">
        <v>9</v>
      </c>
      <c r="C946" t="s">
        <v>1</v>
      </c>
      <c r="D946" t="s">
        <v>10</v>
      </c>
      <c r="E946" t="s">
        <v>11</v>
      </c>
      <c r="F946">
        <v>379871</v>
      </c>
      <c r="G946">
        <v>-87436</v>
      </c>
      <c r="H946">
        <v>97488</v>
      </c>
      <c r="I946">
        <v>379871</v>
      </c>
      <c r="J946">
        <v>37987</v>
      </c>
      <c r="K946">
        <v>18993</v>
      </c>
      <c r="L946">
        <v>238694</v>
      </c>
      <c r="M946">
        <v>47738</v>
      </c>
      <c r="N946">
        <v>71608</v>
      </c>
      <c r="O946">
        <v>23869</v>
      </c>
      <c r="P946">
        <v>-95477</v>
      </c>
      <c r="Q946">
        <v>-59673</v>
      </c>
      <c r="R946">
        <v>234155</v>
      </c>
      <c r="S946">
        <v>70246</v>
      </c>
      <c r="T946">
        <v>23415</v>
      </c>
      <c r="U946">
        <v>11934</v>
      </c>
      <c r="V946">
        <v>7160</v>
      </c>
      <c r="W946">
        <v>4773</v>
      </c>
      <c r="X946">
        <v>23869</v>
      </c>
      <c r="Y946">
        <v>11934</v>
      </c>
      <c r="Z946">
        <v>11707</v>
      </c>
      <c r="AA946">
        <v>7024</v>
      </c>
      <c r="AB946">
        <v>4683</v>
      </c>
    </row>
    <row r="947" spans="1:28" x14ac:dyDescent="0.35">
      <c r="A947" t="s">
        <v>992</v>
      </c>
      <c r="B947" t="s">
        <v>9</v>
      </c>
      <c r="C947" t="s">
        <v>1</v>
      </c>
      <c r="D947" t="s">
        <v>10</v>
      </c>
      <c r="E947" t="s">
        <v>11</v>
      </c>
      <c r="F947">
        <v>313060</v>
      </c>
      <c r="G947">
        <v>-106988</v>
      </c>
      <c r="H947">
        <v>139737</v>
      </c>
      <c r="I947">
        <v>313060</v>
      </c>
      <c r="J947">
        <v>31306</v>
      </c>
      <c r="K947">
        <v>15653</v>
      </c>
      <c r="L947">
        <v>232462</v>
      </c>
      <c r="M947">
        <v>46492</v>
      </c>
      <c r="N947">
        <v>69738</v>
      </c>
      <c r="O947">
        <v>23246</v>
      </c>
      <c r="P947">
        <v>-92984</v>
      </c>
      <c r="Q947">
        <v>-58115</v>
      </c>
      <c r="R947">
        <v>266778</v>
      </c>
      <c r="S947">
        <v>80033</v>
      </c>
      <c r="T947">
        <v>26677</v>
      </c>
      <c r="U947">
        <v>11623</v>
      </c>
      <c r="V947">
        <v>6973</v>
      </c>
      <c r="W947">
        <v>4649</v>
      </c>
      <c r="X947">
        <v>23246</v>
      </c>
      <c r="Y947">
        <v>11623</v>
      </c>
      <c r="Z947">
        <v>13338</v>
      </c>
      <c r="AA947">
        <v>8003</v>
      </c>
      <c r="AB947">
        <v>5335</v>
      </c>
    </row>
    <row r="948" spans="1:28" x14ac:dyDescent="0.35">
      <c r="A948" t="s">
        <v>993</v>
      </c>
      <c r="B948" t="s">
        <v>9</v>
      </c>
      <c r="C948" t="s">
        <v>1</v>
      </c>
      <c r="D948" t="s">
        <v>10</v>
      </c>
      <c r="E948" t="s">
        <v>11</v>
      </c>
      <c r="F948">
        <v>146806</v>
      </c>
      <c r="G948">
        <v>-42285</v>
      </c>
      <c r="H948">
        <v>32077</v>
      </c>
      <c r="I948">
        <v>146806</v>
      </c>
      <c r="J948">
        <v>14680</v>
      </c>
      <c r="K948">
        <v>7340</v>
      </c>
      <c r="L948">
        <v>110365</v>
      </c>
      <c r="M948">
        <v>22073</v>
      </c>
      <c r="N948">
        <v>33109</v>
      </c>
      <c r="O948">
        <v>11036</v>
      </c>
      <c r="P948">
        <v>-44146</v>
      </c>
      <c r="Q948">
        <v>-27591</v>
      </c>
      <c r="R948">
        <v>124589</v>
      </c>
      <c r="S948">
        <v>37376</v>
      </c>
      <c r="T948">
        <v>12458</v>
      </c>
      <c r="U948">
        <v>5518</v>
      </c>
      <c r="V948">
        <v>3310</v>
      </c>
      <c r="W948">
        <v>2207</v>
      </c>
      <c r="X948">
        <v>11036</v>
      </c>
      <c r="Y948">
        <v>5518</v>
      </c>
      <c r="Z948">
        <v>6229</v>
      </c>
      <c r="AA948">
        <v>3737</v>
      </c>
      <c r="AB948">
        <v>2491</v>
      </c>
    </row>
    <row r="949" spans="1:28" x14ac:dyDescent="0.35">
      <c r="A949" t="s">
        <v>994</v>
      </c>
      <c r="B949" t="s">
        <v>9</v>
      </c>
      <c r="C949" t="s">
        <v>1</v>
      </c>
      <c r="D949" t="s">
        <v>10</v>
      </c>
      <c r="E949" t="s">
        <v>11</v>
      </c>
      <c r="F949">
        <v>293830</v>
      </c>
      <c r="G949">
        <v>-161549</v>
      </c>
      <c r="H949">
        <v>115848</v>
      </c>
      <c r="I949">
        <v>293830</v>
      </c>
      <c r="J949">
        <v>29383</v>
      </c>
      <c r="K949">
        <v>14691</v>
      </c>
      <c r="L949">
        <v>59891</v>
      </c>
      <c r="M949">
        <v>11978</v>
      </c>
      <c r="N949">
        <v>17967</v>
      </c>
      <c r="O949">
        <v>5989</v>
      </c>
      <c r="P949">
        <v>-23956</v>
      </c>
      <c r="Q949">
        <v>-14972</v>
      </c>
      <c r="R949">
        <v>64512</v>
      </c>
      <c r="S949">
        <v>19353</v>
      </c>
      <c r="T949">
        <v>6451</v>
      </c>
      <c r="U949">
        <v>2994</v>
      </c>
      <c r="V949">
        <v>1796</v>
      </c>
      <c r="W949">
        <v>1197</v>
      </c>
      <c r="X949">
        <v>5989</v>
      </c>
      <c r="Y949">
        <v>2994</v>
      </c>
      <c r="Z949">
        <v>3225</v>
      </c>
      <c r="AA949">
        <v>1935</v>
      </c>
      <c r="AB949">
        <v>1290</v>
      </c>
    </row>
    <row r="950" spans="1:28" x14ac:dyDescent="0.35">
      <c r="A950" t="s">
        <v>995</v>
      </c>
      <c r="B950" t="s">
        <v>9</v>
      </c>
      <c r="C950" t="s">
        <v>1</v>
      </c>
      <c r="D950" t="s">
        <v>10</v>
      </c>
      <c r="E950" t="s">
        <v>11</v>
      </c>
      <c r="F950">
        <v>314148</v>
      </c>
      <c r="G950">
        <v>-138887</v>
      </c>
      <c r="H950">
        <v>68228</v>
      </c>
      <c r="I950">
        <v>314148</v>
      </c>
      <c r="J950">
        <v>31414</v>
      </c>
      <c r="K950">
        <v>15707</v>
      </c>
      <c r="L950">
        <v>242466</v>
      </c>
      <c r="M950">
        <v>48493</v>
      </c>
      <c r="N950">
        <v>72739</v>
      </c>
      <c r="O950">
        <v>24246</v>
      </c>
      <c r="P950">
        <v>-96986</v>
      </c>
      <c r="Q950">
        <v>-60616</v>
      </c>
      <c r="R950">
        <v>246364</v>
      </c>
      <c r="S950">
        <v>73909</v>
      </c>
      <c r="T950">
        <v>24636</v>
      </c>
      <c r="U950">
        <v>12123</v>
      </c>
      <c r="V950">
        <v>7273</v>
      </c>
      <c r="W950">
        <v>4849</v>
      </c>
      <c r="X950">
        <v>24246</v>
      </c>
      <c r="Y950">
        <v>12123</v>
      </c>
      <c r="Z950">
        <v>12318</v>
      </c>
      <c r="AA950">
        <v>7390</v>
      </c>
      <c r="AB950">
        <v>4927</v>
      </c>
    </row>
    <row r="951" spans="1:28" x14ac:dyDescent="0.35">
      <c r="A951" t="s">
        <v>996</v>
      </c>
      <c r="B951" t="s">
        <v>9</v>
      </c>
      <c r="C951" t="s">
        <v>1</v>
      </c>
      <c r="D951" t="s">
        <v>10</v>
      </c>
      <c r="E951" t="s">
        <v>11</v>
      </c>
      <c r="F951">
        <v>258428</v>
      </c>
      <c r="G951">
        <v>-136407</v>
      </c>
      <c r="H951">
        <v>40948</v>
      </c>
      <c r="I951">
        <v>258428</v>
      </c>
      <c r="J951">
        <v>25842</v>
      </c>
      <c r="K951">
        <v>12921</v>
      </c>
      <c r="L951">
        <v>162689</v>
      </c>
      <c r="M951">
        <v>32537</v>
      </c>
      <c r="N951">
        <v>48806</v>
      </c>
      <c r="O951">
        <v>16268</v>
      </c>
      <c r="P951">
        <v>-65075</v>
      </c>
      <c r="Q951">
        <v>-40672</v>
      </c>
      <c r="R951">
        <v>131828</v>
      </c>
      <c r="S951">
        <v>39548</v>
      </c>
      <c r="T951">
        <v>13182</v>
      </c>
      <c r="U951">
        <v>8134</v>
      </c>
      <c r="V951">
        <v>4880</v>
      </c>
      <c r="W951">
        <v>3253</v>
      </c>
      <c r="X951">
        <v>16268</v>
      </c>
      <c r="Y951">
        <v>8134</v>
      </c>
      <c r="Z951">
        <v>6591</v>
      </c>
      <c r="AA951">
        <v>3954</v>
      </c>
      <c r="AB951">
        <v>2636</v>
      </c>
    </row>
    <row r="952" spans="1:28" x14ac:dyDescent="0.35">
      <c r="A952" t="s">
        <v>997</v>
      </c>
      <c r="B952" t="s">
        <v>9</v>
      </c>
      <c r="C952" t="s">
        <v>1</v>
      </c>
      <c r="D952" t="s">
        <v>10</v>
      </c>
      <c r="E952" t="s">
        <v>11</v>
      </c>
      <c r="F952">
        <v>279230</v>
      </c>
      <c r="G952">
        <v>-108898</v>
      </c>
      <c r="H952">
        <v>128257</v>
      </c>
      <c r="I952">
        <v>279230</v>
      </c>
      <c r="J952">
        <v>27923</v>
      </c>
      <c r="K952">
        <v>13961</v>
      </c>
      <c r="L952">
        <v>92059</v>
      </c>
      <c r="M952">
        <v>18411</v>
      </c>
      <c r="N952">
        <v>27617</v>
      </c>
      <c r="O952">
        <v>9205</v>
      </c>
      <c r="P952">
        <v>-36823</v>
      </c>
      <c r="Q952">
        <v>-23014</v>
      </c>
      <c r="R952">
        <v>87387</v>
      </c>
      <c r="S952">
        <v>26216</v>
      </c>
      <c r="T952">
        <v>8738</v>
      </c>
      <c r="U952">
        <v>4602</v>
      </c>
      <c r="V952">
        <v>2761</v>
      </c>
      <c r="W952">
        <v>1841</v>
      </c>
      <c r="X952">
        <v>9205</v>
      </c>
      <c r="Y952">
        <v>4602</v>
      </c>
      <c r="Z952">
        <v>4369</v>
      </c>
      <c r="AA952">
        <v>2621</v>
      </c>
      <c r="AB952">
        <v>1747</v>
      </c>
    </row>
    <row r="953" spans="1:28" x14ac:dyDescent="0.35">
      <c r="A953" t="s">
        <v>998</v>
      </c>
      <c r="B953" t="s">
        <v>9</v>
      </c>
      <c r="C953" t="s">
        <v>1</v>
      </c>
      <c r="D953" t="s">
        <v>10</v>
      </c>
      <c r="E953" t="s">
        <v>11</v>
      </c>
      <c r="F953">
        <v>438509</v>
      </c>
      <c r="G953">
        <v>-244200</v>
      </c>
      <c r="H953">
        <v>211591</v>
      </c>
      <c r="I953">
        <v>438509</v>
      </c>
      <c r="J953">
        <v>43850</v>
      </c>
      <c r="K953">
        <v>21925</v>
      </c>
      <c r="L953">
        <v>108365</v>
      </c>
      <c r="M953">
        <v>21673</v>
      </c>
      <c r="N953">
        <v>32509</v>
      </c>
      <c r="O953">
        <v>10836</v>
      </c>
      <c r="P953">
        <v>-43346</v>
      </c>
      <c r="Q953">
        <v>-27091</v>
      </c>
      <c r="R953">
        <v>88910</v>
      </c>
      <c r="S953">
        <v>26673</v>
      </c>
      <c r="T953">
        <v>8891</v>
      </c>
      <c r="U953">
        <v>5418</v>
      </c>
      <c r="V953">
        <v>3250</v>
      </c>
      <c r="W953">
        <v>2167</v>
      </c>
      <c r="X953">
        <v>10836</v>
      </c>
      <c r="Y953">
        <v>5418</v>
      </c>
      <c r="Z953">
        <v>4445</v>
      </c>
      <c r="AA953">
        <v>2667</v>
      </c>
      <c r="AB953">
        <v>1778</v>
      </c>
    </row>
    <row r="954" spans="1:28" x14ac:dyDescent="0.35">
      <c r="A954" t="s">
        <v>999</v>
      </c>
      <c r="B954" t="s">
        <v>9</v>
      </c>
      <c r="C954" t="s">
        <v>1</v>
      </c>
      <c r="D954" t="s">
        <v>10</v>
      </c>
      <c r="E954" t="s">
        <v>11</v>
      </c>
      <c r="F954">
        <v>157540</v>
      </c>
      <c r="G954">
        <v>-78385</v>
      </c>
      <c r="H954">
        <v>61106</v>
      </c>
      <c r="I954">
        <v>157540</v>
      </c>
      <c r="J954">
        <v>15754</v>
      </c>
      <c r="K954">
        <v>7877</v>
      </c>
      <c r="L954">
        <v>115963</v>
      </c>
      <c r="M954">
        <v>23192</v>
      </c>
      <c r="N954">
        <v>34788</v>
      </c>
      <c r="O954">
        <v>11596</v>
      </c>
      <c r="P954">
        <v>-46385</v>
      </c>
      <c r="Q954">
        <v>-28990</v>
      </c>
      <c r="R954">
        <v>118770</v>
      </c>
      <c r="S954">
        <v>35631</v>
      </c>
      <c r="T954">
        <v>11877</v>
      </c>
      <c r="U954">
        <v>5798</v>
      </c>
      <c r="V954">
        <v>3478</v>
      </c>
      <c r="W954">
        <v>2319</v>
      </c>
      <c r="X954">
        <v>11596</v>
      </c>
      <c r="Y954">
        <v>5798</v>
      </c>
      <c r="Z954">
        <v>5938</v>
      </c>
      <c r="AA954">
        <v>3563</v>
      </c>
      <c r="AB954">
        <v>2375</v>
      </c>
    </row>
    <row r="955" spans="1:28" x14ac:dyDescent="0.35">
      <c r="A955" t="s">
        <v>1000</v>
      </c>
      <c r="B955" t="s">
        <v>9</v>
      </c>
      <c r="C955" t="s">
        <v>1</v>
      </c>
      <c r="D955" t="s">
        <v>10</v>
      </c>
      <c r="E955" t="s">
        <v>11</v>
      </c>
      <c r="F955">
        <v>254258</v>
      </c>
      <c r="G955">
        <v>-141076</v>
      </c>
      <c r="H955">
        <v>118489</v>
      </c>
      <c r="I955">
        <v>254258</v>
      </c>
      <c r="J955">
        <v>25425</v>
      </c>
      <c r="K955">
        <v>12712</v>
      </c>
      <c r="L955">
        <v>60423</v>
      </c>
      <c r="M955">
        <v>12084</v>
      </c>
      <c r="N955">
        <v>18126</v>
      </c>
      <c r="O955">
        <v>6042</v>
      </c>
      <c r="P955">
        <v>-24169</v>
      </c>
      <c r="Q955">
        <v>-15105</v>
      </c>
      <c r="R955">
        <v>64898</v>
      </c>
      <c r="S955">
        <v>19469</v>
      </c>
      <c r="T955">
        <v>6489</v>
      </c>
      <c r="U955">
        <v>3021</v>
      </c>
      <c r="V955">
        <v>1812</v>
      </c>
      <c r="W955">
        <v>1208</v>
      </c>
      <c r="X955">
        <v>6042</v>
      </c>
      <c r="Y955">
        <v>3021</v>
      </c>
      <c r="Z955">
        <v>3244</v>
      </c>
      <c r="AA955">
        <v>1946</v>
      </c>
      <c r="AB955">
        <v>1297</v>
      </c>
    </row>
    <row r="956" spans="1:28" x14ac:dyDescent="0.35">
      <c r="A956" t="s">
        <v>1001</v>
      </c>
      <c r="B956" t="s">
        <v>9</v>
      </c>
      <c r="C956" t="s">
        <v>1</v>
      </c>
      <c r="D956" t="s">
        <v>10</v>
      </c>
      <c r="E956" t="s">
        <v>11</v>
      </c>
      <c r="F956">
        <v>420160</v>
      </c>
      <c r="G956">
        <v>-250700</v>
      </c>
      <c r="H956">
        <v>99448</v>
      </c>
      <c r="I956">
        <v>420160</v>
      </c>
      <c r="J956">
        <v>42016</v>
      </c>
      <c r="K956">
        <v>21008</v>
      </c>
      <c r="L956">
        <v>306741</v>
      </c>
      <c r="M956">
        <v>61348</v>
      </c>
      <c r="N956">
        <v>92022</v>
      </c>
      <c r="O956">
        <v>30674</v>
      </c>
      <c r="P956">
        <v>-122696</v>
      </c>
      <c r="Q956">
        <v>-76685</v>
      </c>
      <c r="R956">
        <v>252655</v>
      </c>
      <c r="S956">
        <v>75796</v>
      </c>
      <c r="T956">
        <v>25265</v>
      </c>
      <c r="U956">
        <v>15337</v>
      </c>
      <c r="V956">
        <v>9202</v>
      </c>
      <c r="W956">
        <v>6134</v>
      </c>
      <c r="X956">
        <v>30674</v>
      </c>
      <c r="Y956">
        <v>15337</v>
      </c>
      <c r="Z956">
        <v>12632</v>
      </c>
      <c r="AA956">
        <v>7579</v>
      </c>
      <c r="AB956">
        <v>5053</v>
      </c>
    </row>
    <row r="957" spans="1:28" x14ac:dyDescent="0.35">
      <c r="A957" t="s">
        <v>1002</v>
      </c>
      <c r="B957" t="s">
        <v>9</v>
      </c>
      <c r="C957" t="s">
        <v>1</v>
      </c>
      <c r="D957" t="s">
        <v>10</v>
      </c>
      <c r="E957" t="s">
        <v>11</v>
      </c>
      <c r="F957">
        <v>311392</v>
      </c>
      <c r="G957">
        <v>-145349</v>
      </c>
      <c r="H957">
        <v>122441</v>
      </c>
      <c r="I957">
        <v>311392</v>
      </c>
      <c r="J957">
        <v>31139</v>
      </c>
      <c r="K957">
        <v>15569</v>
      </c>
      <c r="L957">
        <v>223953</v>
      </c>
      <c r="M957">
        <v>44790</v>
      </c>
      <c r="N957">
        <v>67185</v>
      </c>
      <c r="O957">
        <v>22395</v>
      </c>
      <c r="P957">
        <v>-89581</v>
      </c>
      <c r="Q957">
        <v>-55988</v>
      </c>
      <c r="R957">
        <v>240016</v>
      </c>
      <c r="S957">
        <v>72004</v>
      </c>
      <c r="T957">
        <v>24001</v>
      </c>
      <c r="U957">
        <v>11197</v>
      </c>
      <c r="V957">
        <v>6718</v>
      </c>
      <c r="W957">
        <v>4479</v>
      </c>
      <c r="X957">
        <v>22395</v>
      </c>
      <c r="Y957">
        <v>11197</v>
      </c>
      <c r="Z957">
        <v>12000</v>
      </c>
      <c r="AA957">
        <v>7200</v>
      </c>
      <c r="AB957">
        <v>4800</v>
      </c>
    </row>
    <row r="958" spans="1:28" x14ac:dyDescent="0.35">
      <c r="A958" t="s">
        <v>1003</v>
      </c>
      <c r="B958" t="s">
        <v>9</v>
      </c>
      <c r="C958" t="s">
        <v>1</v>
      </c>
      <c r="D958" t="s">
        <v>10</v>
      </c>
      <c r="E958" t="s">
        <v>11</v>
      </c>
      <c r="F958">
        <v>137156</v>
      </c>
      <c r="G958">
        <v>-70055</v>
      </c>
      <c r="H958">
        <v>19475</v>
      </c>
      <c r="I958">
        <v>137156</v>
      </c>
      <c r="J958">
        <v>13715</v>
      </c>
      <c r="K958">
        <v>6857</v>
      </c>
      <c r="L958">
        <v>62304</v>
      </c>
      <c r="M958">
        <v>12460</v>
      </c>
      <c r="N958">
        <v>18691</v>
      </c>
      <c r="O958">
        <v>6230</v>
      </c>
      <c r="P958">
        <v>-24921</v>
      </c>
      <c r="Q958">
        <v>-15576</v>
      </c>
      <c r="R958">
        <v>63580</v>
      </c>
      <c r="S958">
        <v>19074</v>
      </c>
      <c r="T958">
        <v>6358</v>
      </c>
      <c r="U958">
        <v>3115</v>
      </c>
      <c r="V958">
        <v>1869</v>
      </c>
      <c r="W958">
        <v>1246</v>
      </c>
      <c r="X958">
        <v>6230</v>
      </c>
      <c r="Y958">
        <v>3115</v>
      </c>
      <c r="Z958">
        <v>3179</v>
      </c>
      <c r="AA958">
        <v>1907</v>
      </c>
      <c r="AB958">
        <v>1271</v>
      </c>
    </row>
    <row r="959" spans="1:28" x14ac:dyDescent="0.35">
      <c r="A959" t="s">
        <v>1004</v>
      </c>
      <c r="B959" t="s">
        <v>9</v>
      </c>
      <c r="C959" t="s">
        <v>1</v>
      </c>
      <c r="D959" t="s">
        <v>10</v>
      </c>
      <c r="E959" t="s">
        <v>11</v>
      </c>
      <c r="F959">
        <v>82538</v>
      </c>
      <c r="G959">
        <v>-24108</v>
      </c>
      <c r="H959">
        <v>25530</v>
      </c>
      <c r="I959">
        <v>82538</v>
      </c>
      <c r="J959">
        <v>8253</v>
      </c>
      <c r="K959">
        <v>4126</v>
      </c>
      <c r="L959">
        <v>49831</v>
      </c>
      <c r="M959">
        <v>9966</v>
      </c>
      <c r="N959">
        <v>14949</v>
      </c>
      <c r="O959">
        <v>4983</v>
      </c>
      <c r="P959">
        <v>-19932</v>
      </c>
      <c r="Q959">
        <v>-12457</v>
      </c>
      <c r="R959">
        <v>42227</v>
      </c>
      <c r="S959">
        <v>12668</v>
      </c>
      <c r="T959">
        <v>4222</v>
      </c>
      <c r="U959">
        <v>2491</v>
      </c>
      <c r="V959">
        <v>1494</v>
      </c>
      <c r="W959">
        <v>996</v>
      </c>
      <c r="X959">
        <v>4983</v>
      </c>
      <c r="Y959">
        <v>2491</v>
      </c>
      <c r="Z959">
        <v>2111</v>
      </c>
      <c r="AA959">
        <v>1266</v>
      </c>
      <c r="AB959">
        <v>844</v>
      </c>
    </row>
    <row r="960" spans="1:28" x14ac:dyDescent="0.35">
      <c r="A960" t="s">
        <v>1005</v>
      </c>
      <c r="B960" t="s">
        <v>9</v>
      </c>
      <c r="C960" t="s">
        <v>1</v>
      </c>
      <c r="D960" t="s">
        <v>10</v>
      </c>
      <c r="E960" t="s">
        <v>11</v>
      </c>
      <c r="F960">
        <v>302732</v>
      </c>
      <c r="G960">
        <v>-167970</v>
      </c>
      <c r="H960">
        <v>146866</v>
      </c>
      <c r="I960">
        <v>302732</v>
      </c>
      <c r="J960">
        <v>30273</v>
      </c>
      <c r="K960">
        <v>15136</v>
      </c>
      <c r="L960">
        <v>219084</v>
      </c>
      <c r="M960">
        <v>43816</v>
      </c>
      <c r="N960">
        <v>65725</v>
      </c>
      <c r="O960">
        <v>21908</v>
      </c>
      <c r="P960">
        <v>-87633</v>
      </c>
      <c r="Q960">
        <v>-54771</v>
      </c>
      <c r="R960">
        <v>217841</v>
      </c>
      <c r="S960">
        <v>65352</v>
      </c>
      <c r="T960">
        <v>21784</v>
      </c>
      <c r="U960">
        <v>10954</v>
      </c>
      <c r="V960">
        <v>6572</v>
      </c>
      <c r="W960">
        <v>4381</v>
      </c>
      <c r="X960">
        <v>21908</v>
      </c>
      <c r="Y960">
        <v>10954</v>
      </c>
      <c r="Z960">
        <v>10892</v>
      </c>
      <c r="AA960">
        <v>6535</v>
      </c>
      <c r="AB960">
        <v>4356</v>
      </c>
    </row>
    <row r="961" spans="1:28" x14ac:dyDescent="0.35">
      <c r="A961" t="s">
        <v>1006</v>
      </c>
      <c r="B961" t="s">
        <v>9</v>
      </c>
      <c r="C961" t="s">
        <v>1</v>
      </c>
      <c r="D961" t="s">
        <v>10</v>
      </c>
      <c r="E961" t="s">
        <v>11</v>
      </c>
      <c r="F961">
        <v>223637</v>
      </c>
      <c r="G961">
        <v>-95038</v>
      </c>
      <c r="H961">
        <v>92194</v>
      </c>
      <c r="I961">
        <v>223637</v>
      </c>
      <c r="J961">
        <v>22363</v>
      </c>
      <c r="K961">
        <v>11181</v>
      </c>
      <c r="L961">
        <v>63537</v>
      </c>
      <c r="M961">
        <v>12707</v>
      </c>
      <c r="N961">
        <v>19061</v>
      </c>
      <c r="O961">
        <v>6353</v>
      </c>
      <c r="P961">
        <v>-25414</v>
      </c>
      <c r="Q961">
        <v>-15884</v>
      </c>
      <c r="R961">
        <v>69928</v>
      </c>
      <c r="S961">
        <v>20978</v>
      </c>
      <c r="T961">
        <v>6992</v>
      </c>
      <c r="U961">
        <v>3176</v>
      </c>
      <c r="V961">
        <v>1906</v>
      </c>
      <c r="W961">
        <v>1270</v>
      </c>
      <c r="X961">
        <v>6353</v>
      </c>
      <c r="Y961">
        <v>3176</v>
      </c>
      <c r="Z961">
        <v>3496</v>
      </c>
      <c r="AA961">
        <v>2097</v>
      </c>
      <c r="AB961">
        <v>1398</v>
      </c>
    </row>
    <row r="962" spans="1:28" x14ac:dyDescent="0.35">
      <c r="A962" t="s">
        <v>1007</v>
      </c>
      <c r="B962" t="s">
        <v>9</v>
      </c>
      <c r="C962" t="s">
        <v>1</v>
      </c>
      <c r="D962" t="s">
        <v>10</v>
      </c>
      <c r="E962" t="s">
        <v>11</v>
      </c>
      <c r="F962">
        <v>493561</v>
      </c>
      <c r="G962">
        <v>-101788</v>
      </c>
      <c r="H962">
        <v>224548</v>
      </c>
      <c r="I962">
        <v>493561</v>
      </c>
      <c r="J962">
        <v>49356</v>
      </c>
      <c r="K962">
        <v>24678</v>
      </c>
      <c r="L962">
        <v>264743</v>
      </c>
      <c r="M962">
        <v>52948</v>
      </c>
      <c r="N962">
        <v>79422</v>
      </c>
      <c r="O962">
        <v>26474</v>
      </c>
      <c r="P962">
        <v>-105897</v>
      </c>
      <c r="Q962">
        <v>-66185</v>
      </c>
      <c r="R962">
        <v>265298</v>
      </c>
      <c r="S962">
        <v>79589</v>
      </c>
      <c r="T962">
        <v>26529</v>
      </c>
      <c r="U962">
        <v>13237</v>
      </c>
      <c r="V962">
        <v>7942</v>
      </c>
      <c r="W962">
        <v>5294</v>
      </c>
      <c r="X962">
        <v>26474</v>
      </c>
      <c r="Y962">
        <v>13237</v>
      </c>
      <c r="Z962">
        <v>13264</v>
      </c>
      <c r="AA962">
        <v>7958</v>
      </c>
      <c r="AB962">
        <v>5305</v>
      </c>
    </row>
    <row r="963" spans="1:28" x14ac:dyDescent="0.35">
      <c r="A963" t="s">
        <v>1008</v>
      </c>
      <c r="B963" t="s">
        <v>9</v>
      </c>
      <c r="C963" t="s">
        <v>1</v>
      </c>
      <c r="D963" t="s">
        <v>10</v>
      </c>
      <c r="E963" t="s">
        <v>11</v>
      </c>
      <c r="F963">
        <v>357539</v>
      </c>
      <c r="G963">
        <v>-99346</v>
      </c>
      <c r="H963">
        <v>142993</v>
      </c>
      <c r="I963">
        <v>357539</v>
      </c>
      <c r="J963">
        <v>35753</v>
      </c>
      <c r="K963">
        <v>17876</v>
      </c>
      <c r="L963">
        <v>141081</v>
      </c>
      <c r="M963">
        <v>28216</v>
      </c>
      <c r="N963">
        <v>42324</v>
      </c>
      <c r="O963">
        <v>14108</v>
      </c>
      <c r="P963">
        <v>-56432</v>
      </c>
      <c r="Q963">
        <v>-35270</v>
      </c>
      <c r="R963">
        <v>119926</v>
      </c>
      <c r="S963">
        <v>35977</v>
      </c>
      <c r="T963">
        <v>11992</v>
      </c>
      <c r="U963">
        <v>7054</v>
      </c>
      <c r="V963">
        <v>4232</v>
      </c>
      <c r="W963">
        <v>2821</v>
      </c>
      <c r="X963">
        <v>14108</v>
      </c>
      <c r="Y963">
        <v>7054</v>
      </c>
      <c r="Z963">
        <v>5996</v>
      </c>
      <c r="AA963">
        <v>3597</v>
      </c>
      <c r="AB963">
        <v>2398</v>
      </c>
    </row>
    <row r="964" spans="1:28" x14ac:dyDescent="0.35">
      <c r="A964" t="s">
        <v>1009</v>
      </c>
      <c r="B964" t="s">
        <v>9</v>
      </c>
      <c r="C964" t="s">
        <v>1</v>
      </c>
      <c r="D964" t="s">
        <v>10</v>
      </c>
      <c r="E964" t="s">
        <v>11</v>
      </c>
      <c r="F964">
        <v>409689</v>
      </c>
      <c r="G964">
        <v>-193458</v>
      </c>
      <c r="H964">
        <v>189906</v>
      </c>
      <c r="I964">
        <v>409689</v>
      </c>
      <c r="J964">
        <v>40968</v>
      </c>
      <c r="K964">
        <v>20484</v>
      </c>
      <c r="L964">
        <v>206096</v>
      </c>
      <c r="M964">
        <v>41219</v>
      </c>
      <c r="N964">
        <v>61828</v>
      </c>
      <c r="O964">
        <v>20609</v>
      </c>
      <c r="P964">
        <v>-82438</v>
      </c>
      <c r="Q964">
        <v>-51524</v>
      </c>
      <c r="R964">
        <v>219683</v>
      </c>
      <c r="S964">
        <v>65904</v>
      </c>
      <c r="T964">
        <v>21968</v>
      </c>
      <c r="U964">
        <v>10304</v>
      </c>
      <c r="V964">
        <v>6182</v>
      </c>
      <c r="W964">
        <v>4121</v>
      </c>
      <c r="X964">
        <v>20609</v>
      </c>
      <c r="Y964">
        <v>10304</v>
      </c>
      <c r="Z964">
        <v>10984</v>
      </c>
      <c r="AA964">
        <v>6590</v>
      </c>
      <c r="AB964">
        <v>4393</v>
      </c>
    </row>
    <row r="965" spans="1:28" x14ac:dyDescent="0.35">
      <c r="A965" t="s">
        <v>1010</v>
      </c>
      <c r="B965" t="s">
        <v>9</v>
      </c>
      <c r="C965" t="s">
        <v>1</v>
      </c>
      <c r="D965" t="s">
        <v>10</v>
      </c>
      <c r="E965" t="s">
        <v>11</v>
      </c>
      <c r="F965">
        <v>399024</v>
      </c>
      <c r="G965">
        <v>-203605</v>
      </c>
      <c r="H965">
        <v>167658</v>
      </c>
      <c r="I965">
        <v>399024</v>
      </c>
      <c r="J965">
        <v>39902</v>
      </c>
      <c r="K965">
        <v>19951</v>
      </c>
      <c r="L965">
        <v>279891</v>
      </c>
      <c r="M965">
        <v>55978</v>
      </c>
      <c r="N965">
        <v>83967</v>
      </c>
      <c r="O965">
        <v>27989</v>
      </c>
      <c r="P965">
        <v>-111956</v>
      </c>
      <c r="Q965">
        <v>-69972</v>
      </c>
      <c r="R965">
        <v>268734</v>
      </c>
      <c r="S965">
        <v>80620</v>
      </c>
      <c r="T965">
        <v>26873</v>
      </c>
      <c r="U965">
        <v>13994</v>
      </c>
      <c r="V965">
        <v>8396</v>
      </c>
      <c r="W965">
        <v>5597</v>
      </c>
      <c r="X965">
        <v>27989</v>
      </c>
      <c r="Y965">
        <v>13994</v>
      </c>
      <c r="Z965">
        <v>13436</v>
      </c>
      <c r="AA965">
        <v>8062</v>
      </c>
      <c r="AB965">
        <v>5374</v>
      </c>
    </row>
    <row r="966" spans="1:28" x14ac:dyDescent="0.35">
      <c r="A966" t="s">
        <v>1011</v>
      </c>
      <c r="B966" t="s">
        <v>9</v>
      </c>
      <c r="C966" t="s">
        <v>1</v>
      </c>
      <c r="D966" t="s">
        <v>10</v>
      </c>
      <c r="E966" t="s">
        <v>11</v>
      </c>
      <c r="F966">
        <v>162049</v>
      </c>
      <c r="G966">
        <v>-48304</v>
      </c>
      <c r="H966">
        <v>40903</v>
      </c>
      <c r="I966">
        <v>162049</v>
      </c>
      <c r="J966">
        <v>16204</v>
      </c>
      <c r="K966">
        <v>8102</v>
      </c>
      <c r="L966">
        <v>51704</v>
      </c>
      <c r="M966">
        <v>10340</v>
      </c>
      <c r="N966">
        <v>15511</v>
      </c>
      <c r="O966">
        <v>5170</v>
      </c>
      <c r="P966">
        <v>-20681</v>
      </c>
      <c r="Q966">
        <v>-12926</v>
      </c>
      <c r="R966">
        <v>54730</v>
      </c>
      <c r="S966">
        <v>16419</v>
      </c>
      <c r="T966">
        <v>5473</v>
      </c>
      <c r="U966">
        <v>2585</v>
      </c>
      <c r="V966">
        <v>1551</v>
      </c>
      <c r="W966">
        <v>1034</v>
      </c>
      <c r="X966">
        <v>5170</v>
      </c>
      <c r="Y966">
        <v>2585</v>
      </c>
      <c r="Z966">
        <v>2736</v>
      </c>
      <c r="AA966">
        <v>1641</v>
      </c>
      <c r="AB966">
        <v>1094</v>
      </c>
    </row>
    <row r="967" spans="1:28" x14ac:dyDescent="0.35">
      <c r="A967" t="s">
        <v>1012</v>
      </c>
      <c r="B967" t="s">
        <v>9</v>
      </c>
      <c r="C967" t="s">
        <v>1</v>
      </c>
      <c r="D967" t="s">
        <v>10</v>
      </c>
      <c r="E967" t="s">
        <v>11</v>
      </c>
      <c r="F967">
        <v>330333</v>
      </c>
      <c r="G967">
        <v>-122061</v>
      </c>
      <c r="H967">
        <v>145327</v>
      </c>
      <c r="I967">
        <v>330333</v>
      </c>
      <c r="J967">
        <v>33033</v>
      </c>
      <c r="K967">
        <v>16516</v>
      </c>
      <c r="L967">
        <v>201500</v>
      </c>
      <c r="M967">
        <v>40300</v>
      </c>
      <c r="N967">
        <v>60450</v>
      </c>
      <c r="O967">
        <v>20150</v>
      </c>
      <c r="P967">
        <v>-80600</v>
      </c>
      <c r="Q967">
        <v>-50375</v>
      </c>
      <c r="R967">
        <v>226236</v>
      </c>
      <c r="S967">
        <v>67870</v>
      </c>
      <c r="T967">
        <v>22623</v>
      </c>
      <c r="U967">
        <v>10075</v>
      </c>
      <c r="V967">
        <v>6045</v>
      </c>
      <c r="W967">
        <v>4030</v>
      </c>
      <c r="X967">
        <v>20150</v>
      </c>
      <c r="Y967">
        <v>10075</v>
      </c>
      <c r="Z967">
        <v>11311</v>
      </c>
      <c r="AA967">
        <v>6787</v>
      </c>
      <c r="AB967">
        <v>4524</v>
      </c>
    </row>
    <row r="968" spans="1:28" x14ac:dyDescent="0.35">
      <c r="A968" t="s">
        <v>1013</v>
      </c>
      <c r="B968" t="s">
        <v>9</v>
      </c>
      <c r="C968" t="s">
        <v>1</v>
      </c>
      <c r="D968" t="s">
        <v>10</v>
      </c>
      <c r="E968" t="s">
        <v>11</v>
      </c>
      <c r="F968">
        <v>338536</v>
      </c>
      <c r="G968">
        <v>-167549</v>
      </c>
      <c r="H968">
        <v>149853</v>
      </c>
      <c r="I968">
        <v>338536</v>
      </c>
      <c r="J968">
        <v>33853</v>
      </c>
      <c r="K968">
        <v>16926</v>
      </c>
      <c r="L968">
        <v>184012</v>
      </c>
      <c r="M968">
        <v>36802</v>
      </c>
      <c r="N968">
        <v>55203</v>
      </c>
      <c r="O968">
        <v>18401</v>
      </c>
      <c r="P968">
        <v>-73604</v>
      </c>
      <c r="Q968">
        <v>-46003</v>
      </c>
      <c r="R968">
        <v>153606</v>
      </c>
      <c r="S968">
        <v>46081</v>
      </c>
      <c r="T968">
        <v>15360</v>
      </c>
      <c r="U968">
        <v>9200</v>
      </c>
      <c r="V968">
        <v>5520</v>
      </c>
      <c r="W968">
        <v>3680</v>
      </c>
      <c r="X968">
        <v>18401</v>
      </c>
      <c r="Y968">
        <v>9200</v>
      </c>
      <c r="Z968">
        <v>7680</v>
      </c>
      <c r="AA968">
        <v>4608</v>
      </c>
      <c r="AB968">
        <v>3072</v>
      </c>
    </row>
    <row r="969" spans="1:28" x14ac:dyDescent="0.35">
      <c r="A969" t="s">
        <v>1014</v>
      </c>
      <c r="B969" t="s">
        <v>9</v>
      </c>
      <c r="C969" t="s">
        <v>1</v>
      </c>
      <c r="D969" t="s">
        <v>10</v>
      </c>
      <c r="E969" t="s">
        <v>11</v>
      </c>
      <c r="F969">
        <v>395252</v>
      </c>
      <c r="G969">
        <v>-228793</v>
      </c>
      <c r="H969">
        <v>191332</v>
      </c>
      <c r="I969">
        <v>395252</v>
      </c>
      <c r="J969">
        <v>39525</v>
      </c>
      <c r="K969">
        <v>19762</v>
      </c>
      <c r="L969">
        <v>133014</v>
      </c>
      <c r="M969">
        <v>26602</v>
      </c>
      <c r="N969">
        <v>39904</v>
      </c>
      <c r="O969">
        <v>13301</v>
      </c>
      <c r="P969">
        <v>-53205</v>
      </c>
      <c r="Q969">
        <v>-33253</v>
      </c>
      <c r="R969">
        <v>138916</v>
      </c>
      <c r="S969">
        <v>41674</v>
      </c>
      <c r="T969">
        <v>13891</v>
      </c>
      <c r="U969">
        <v>6650</v>
      </c>
      <c r="V969">
        <v>3990</v>
      </c>
      <c r="W969">
        <v>2660</v>
      </c>
      <c r="X969">
        <v>13301</v>
      </c>
      <c r="Y969">
        <v>6650</v>
      </c>
      <c r="Z969">
        <v>6945</v>
      </c>
      <c r="AA969">
        <v>4167</v>
      </c>
      <c r="AB969">
        <v>2778</v>
      </c>
    </row>
    <row r="970" spans="1:28" x14ac:dyDescent="0.35">
      <c r="A970" t="s">
        <v>1015</v>
      </c>
      <c r="B970" t="s">
        <v>9</v>
      </c>
      <c r="C970" t="s">
        <v>1</v>
      </c>
      <c r="D970" t="s">
        <v>10</v>
      </c>
      <c r="E970" t="s">
        <v>11</v>
      </c>
      <c r="F970">
        <v>434775</v>
      </c>
      <c r="G970">
        <v>-184277</v>
      </c>
      <c r="H970">
        <v>53644</v>
      </c>
      <c r="I970">
        <v>434775</v>
      </c>
      <c r="J970">
        <v>43477</v>
      </c>
      <c r="K970">
        <v>21738</v>
      </c>
      <c r="L970">
        <v>118602</v>
      </c>
      <c r="M970">
        <v>23720</v>
      </c>
      <c r="N970">
        <v>35580</v>
      </c>
      <c r="O970">
        <v>11860</v>
      </c>
      <c r="P970">
        <v>-47440</v>
      </c>
      <c r="Q970">
        <v>-29650</v>
      </c>
      <c r="R970">
        <v>133781</v>
      </c>
      <c r="S970">
        <v>40134</v>
      </c>
      <c r="T970">
        <v>13378</v>
      </c>
      <c r="U970">
        <v>5930</v>
      </c>
      <c r="V970">
        <v>3558</v>
      </c>
      <c r="W970">
        <v>2372</v>
      </c>
      <c r="X970">
        <v>11860</v>
      </c>
      <c r="Y970">
        <v>5930</v>
      </c>
      <c r="Z970">
        <v>6689</v>
      </c>
      <c r="AA970">
        <v>4013</v>
      </c>
      <c r="AB970">
        <v>2675</v>
      </c>
    </row>
    <row r="971" spans="1:28" x14ac:dyDescent="0.35">
      <c r="A971" t="s">
        <v>1016</v>
      </c>
      <c r="B971" t="s">
        <v>9</v>
      </c>
      <c r="C971" t="s">
        <v>1</v>
      </c>
      <c r="D971" t="s">
        <v>10</v>
      </c>
      <c r="E971" t="s">
        <v>11</v>
      </c>
      <c r="F971">
        <v>222000</v>
      </c>
      <c r="G971">
        <v>-126330</v>
      </c>
      <c r="H971">
        <v>82394</v>
      </c>
      <c r="I971">
        <v>222000</v>
      </c>
      <c r="J971">
        <v>22200</v>
      </c>
      <c r="K971">
        <v>11100</v>
      </c>
      <c r="L971">
        <v>92818</v>
      </c>
      <c r="M971">
        <v>18563</v>
      </c>
      <c r="N971">
        <v>27845</v>
      </c>
      <c r="O971">
        <v>9281</v>
      </c>
      <c r="P971">
        <v>-37127</v>
      </c>
      <c r="Q971">
        <v>-23204</v>
      </c>
      <c r="R971">
        <v>86467</v>
      </c>
      <c r="S971">
        <v>25940</v>
      </c>
      <c r="T971">
        <v>8646</v>
      </c>
      <c r="U971">
        <v>4640</v>
      </c>
      <c r="V971">
        <v>2784</v>
      </c>
      <c r="W971">
        <v>1856</v>
      </c>
      <c r="X971">
        <v>9281</v>
      </c>
      <c r="Y971">
        <v>4640</v>
      </c>
      <c r="Z971">
        <v>4323</v>
      </c>
      <c r="AA971">
        <v>2594</v>
      </c>
      <c r="AB971">
        <v>1729</v>
      </c>
    </row>
    <row r="972" spans="1:28" x14ac:dyDescent="0.35">
      <c r="A972" t="s">
        <v>1017</v>
      </c>
      <c r="B972" t="s">
        <v>9</v>
      </c>
      <c r="C972" t="s">
        <v>1</v>
      </c>
      <c r="D972" t="s">
        <v>10</v>
      </c>
      <c r="E972" t="s">
        <v>11</v>
      </c>
      <c r="F972">
        <v>440873</v>
      </c>
      <c r="G972">
        <v>-104302</v>
      </c>
      <c r="H972">
        <v>185593</v>
      </c>
      <c r="I972">
        <v>440873</v>
      </c>
      <c r="J972">
        <v>44087</v>
      </c>
      <c r="K972">
        <v>22043</v>
      </c>
      <c r="L972">
        <v>203305</v>
      </c>
      <c r="M972">
        <v>40661</v>
      </c>
      <c r="N972">
        <v>60991</v>
      </c>
      <c r="O972">
        <v>20330</v>
      </c>
      <c r="P972">
        <v>-81322</v>
      </c>
      <c r="Q972">
        <v>-50826</v>
      </c>
      <c r="R972">
        <v>213220</v>
      </c>
      <c r="S972">
        <v>63966</v>
      </c>
      <c r="T972">
        <v>21322</v>
      </c>
      <c r="U972">
        <v>10165</v>
      </c>
      <c r="V972">
        <v>6099</v>
      </c>
      <c r="W972">
        <v>4066</v>
      </c>
      <c r="X972">
        <v>20330</v>
      </c>
      <c r="Y972">
        <v>10165</v>
      </c>
      <c r="Z972">
        <v>10661</v>
      </c>
      <c r="AA972">
        <v>6396</v>
      </c>
      <c r="AB972">
        <v>4264</v>
      </c>
    </row>
    <row r="973" spans="1:28" x14ac:dyDescent="0.35">
      <c r="A973" t="s">
        <v>1018</v>
      </c>
      <c r="B973" t="s">
        <v>9</v>
      </c>
      <c r="C973" t="s">
        <v>1</v>
      </c>
      <c r="D973" t="s">
        <v>10</v>
      </c>
      <c r="E973" t="s">
        <v>11</v>
      </c>
      <c r="F973">
        <v>304404</v>
      </c>
      <c r="G973">
        <v>-122385</v>
      </c>
      <c r="H973">
        <v>66224</v>
      </c>
      <c r="I973">
        <v>304404</v>
      </c>
      <c r="J973">
        <v>30440</v>
      </c>
      <c r="K973">
        <v>15220</v>
      </c>
      <c r="L973">
        <v>196095</v>
      </c>
      <c r="M973">
        <v>39219</v>
      </c>
      <c r="N973">
        <v>58828</v>
      </c>
      <c r="O973">
        <v>19609</v>
      </c>
      <c r="P973">
        <v>-78438</v>
      </c>
      <c r="Q973">
        <v>-49023</v>
      </c>
      <c r="R973">
        <v>201332</v>
      </c>
      <c r="S973">
        <v>60399</v>
      </c>
      <c r="T973">
        <v>20133</v>
      </c>
      <c r="U973">
        <v>9804</v>
      </c>
      <c r="V973">
        <v>5882</v>
      </c>
      <c r="W973">
        <v>3921</v>
      </c>
      <c r="X973">
        <v>19609</v>
      </c>
      <c r="Y973">
        <v>9804</v>
      </c>
      <c r="Z973">
        <v>10066</v>
      </c>
      <c r="AA973">
        <v>6039</v>
      </c>
      <c r="AB973">
        <v>4026</v>
      </c>
    </row>
    <row r="974" spans="1:28" x14ac:dyDescent="0.35">
      <c r="A974" t="s">
        <v>1019</v>
      </c>
      <c r="B974" t="s">
        <v>9</v>
      </c>
      <c r="C974" t="s">
        <v>1</v>
      </c>
      <c r="D974" t="s">
        <v>10</v>
      </c>
      <c r="E974" t="s">
        <v>11</v>
      </c>
      <c r="F974">
        <v>314235</v>
      </c>
      <c r="G974">
        <v>-112181</v>
      </c>
      <c r="H974">
        <v>153615</v>
      </c>
      <c r="I974">
        <v>314235</v>
      </c>
      <c r="J974">
        <v>31423</v>
      </c>
      <c r="K974">
        <v>15711</v>
      </c>
      <c r="L974">
        <v>139279</v>
      </c>
      <c r="M974">
        <v>27855</v>
      </c>
      <c r="N974">
        <v>41783</v>
      </c>
      <c r="O974">
        <v>13927</v>
      </c>
      <c r="P974">
        <v>-55711</v>
      </c>
      <c r="Q974">
        <v>-34819</v>
      </c>
      <c r="R974">
        <v>142438</v>
      </c>
      <c r="S974">
        <v>42731</v>
      </c>
      <c r="T974">
        <v>14243</v>
      </c>
      <c r="U974">
        <v>6963</v>
      </c>
      <c r="V974">
        <v>4178</v>
      </c>
      <c r="W974">
        <v>2785</v>
      </c>
      <c r="X974">
        <v>13927</v>
      </c>
      <c r="Y974">
        <v>6963</v>
      </c>
      <c r="Z974">
        <v>7121</v>
      </c>
      <c r="AA974">
        <v>4273</v>
      </c>
      <c r="AB974">
        <v>2848</v>
      </c>
    </row>
    <row r="975" spans="1:28" x14ac:dyDescent="0.35">
      <c r="A975" t="s">
        <v>1020</v>
      </c>
      <c r="B975" t="s">
        <v>9</v>
      </c>
      <c r="C975" t="s">
        <v>1</v>
      </c>
      <c r="D975" t="s">
        <v>10</v>
      </c>
      <c r="E975" t="s">
        <v>11</v>
      </c>
      <c r="F975">
        <v>443459</v>
      </c>
      <c r="G975">
        <v>-255606</v>
      </c>
      <c r="H975">
        <v>155139</v>
      </c>
      <c r="I975">
        <v>443459</v>
      </c>
      <c r="J975">
        <v>44345</v>
      </c>
      <c r="K975">
        <v>22172</v>
      </c>
      <c r="L975">
        <v>282901</v>
      </c>
      <c r="M975">
        <v>56580</v>
      </c>
      <c r="N975">
        <v>84870</v>
      </c>
      <c r="O975">
        <v>28290</v>
      </c>
      <c r="P975">
        <v>-113160</v>
      </c>
      <c r="Q975">
        <v>-70725</v>
      </c>
      <c r="R975">
        <v>266834</v>
      </c>
      <c r="S975">
        <v>80050</v>
      </c>
      <c r="T975">
        <v>26683</v>
      </c>
      <c r="U975">
        <v>14145</v>
      </c>
      <c r="V975">
        <v>8487</v>
      </c>
      <c r="W975">
        <v>5658</v>
      </c>
      <c r="X975">
        <v>28290</v>
      </c>
      <c r="Y975">
        <v>14145</v>
      </c>
      <c r="Z975">
        <v>13341</v>
      </c>
      <c r="AA975">
        <v>8005</v>
      </c>
      <c r="AB975">
        <v>5336</v>
      </c>
    </row>
    <row r="976" spans="1:28" x14ac:dyDescent="0.35">
      <c r="A976" t="s">
        <v>1021</v>
      </c>
      <c r="B976" t="s">
        <v>9</v>
      </c>
      <c r="C976" t="s">
        <v>1</v>
      </c>
      <c r="D976" t="s">
        <v>10</v>
      </c>
      <c r="E976" t="s">
        <v>11</v>
      </c>
      <c r="F976">
        <v>201425</v>
      </c>
      <c r="G976">
        <v>-67603</v>
      </c>
      <c r="H976">
        <v>64861</v>
      </c>
      <c r="I976">
        <v>201425</v>
      </c>
      <c r="J976">
        <v>20142</v>
      </c>
      <c r="K976">
        <v>10071</v>
      </c>
      <c r="L976">
        <v>46585</v>
      </c>
      <c r="M976">
        <v>9317</v>
      </c>
      <c r="N976">
        <v>13975</v>
      </c>
      <c r="O976">
        <v>4658</v>
      </c>
      <c r="P976">
        <v>-18634</v>
      </c>
      <c r="Q976">
        <v>-11646</v>
      </c>
      <c r="R976">
        <v>43694</v>
      </c>
      <c r="S976">
        <v>13108</v>
      </c>
      <c r="T976">
        <v>4369</v>
      </c>
      <c r="U976">
        <v>2329</v>
      </c>
      <c r="V976">
        <v>1397</v>
      </c>
      <c r="W976">
        <v>931</v>
      </c>
      <c r="X976">
        <v>4658</v>
      </c>
      <c r="Y976">
        <v>2329</v>
      </c>
      <c r="Z976">
        <v>2184</v>
      </c>
      <c r="AA976">
        <v>1310</v>
      </c>
      <c r="AB976">
        <v>873</v>
      </c>
    </row>
    <row r="977" spans="1:28" x14ac:dyDescent="0.35">
      <c r="A977" t="s">
        <v>1022</v>
      </c>
      <c r="B977" t="s">
        <v>9</v>
      </c>
      <c r="C977" t="s">
        <v>1</v>
      </c>
      <c r="D977" t="s">
        <v>10</v>
      </c>
      <c r="E977" t="s">
        <v>11</v>
      </c>
      <c r="F977">
        <v>90959</v>
      </c>
      <c r="G977">
        <v>-27884</v>
      </c>
      <c r="H977">
        <v>37299</v>
      </c>
      <c r="I977">
        <v>90959</v>
      </c>
      <c r="J977">
        <v>9095</v>
      </c>
      <c r="K977">
        <v>4547</v>
      </c>
      <c r="L977">
        <v>68487</v>
      </c>
      <c r="M977">
        <v>13697</v>
      </c>
      <c r="N977">
        <v>20546</v>
      </c>
      <c r="O977">
        <v>6848</v>
      </c>
      <c r="P977">
        <v>-27394</v>
      </c>
      <c r="Q977">
        <v>-17121</v>
      </c>
      <c r="R977">
        <v>65262</v>
      </c>
      <c r="S977">
        <v>19578</v>
      </c>
      <c r="T977">
        <v>6526</v>
      </c>
      <c r="U977">
        <v>3424</v>
      </c>
      <c r="V977">
        <v>2054</v>
      </c>
      <c r="W977">
        <v>1369</v>
      </c>
      <c r="X977">
        <v>6848</v>
      </c>
      <c r="Y977">
        <v>3424</v>
      </c>
      <c r="Z977">
        <v>3263</v>
      </c>
      <c r="AA977">
        <v>1957</v>
      </c>
      <c r="AB977">
        <v>1305</v>
      </c>
    </row>
    <row r="978" spans="1:28" x14ac:dyDescent="0.35">
      <c r="A978" t="s">
        <v>1023</v>
      </c>
      <c r="B978" t="s">
        <v>9</v>
      </c>
      <c r="C978" t="s">
        <v>1</v>
      </c>
      <c r="D978" t="s">
        <v>10</v>
      </c>
      <c r="E978" t="s">
        <v>11</v>
      </c>
      <c r="F978">
        <v>415451</v>
      </c>
      <c r="G978">
        <v>-93156</v>
      </c>
      <c r="H978">
        <v>173900</v>
      </c>
      <c r="I978">
        <v>415451</v>
      </c>
      <c r="J978">
        <v>41545</v>
      </c>
      <c r="K978">
        <v>20772</v>
      </c>
      <c r="L978">
        <v>213500</v>
      </c>
      <c r="M978">
        <v>42700</v>
      </c>
      <c r="N978">
        <v>64050</v>
      </c>
      <c r="O978">
        <v>21350</v>
      </c>
      <c r="P978">
        <v>-85400</v>
      </c>
      <c r="Q978">
        <v>-53375</v>
      </c>
      <c r="R978">
        <v>250394</v>
      </c>
      <c r="S978">
        <v>75118</v>
      </c>
      <c r="T978">
        <v>25039</v>
      </c>
      <c r="U978">
        <v>10675</v>
      </c>
      <c r="V978">
        <v>6405</v>
      </c>
      <c r="W978">
        <v>4270</v>
      </c>
      <c r="X978">
        <v>21350</v>
      </c>
      <c r="Y978">
        <v>10675</v>
      </c>
      <c r="Z978">
        <v>12519</v>
      </c>
      <c r="AA978">
        <v>7511</v>
      </c>
      <c r="AB978">
        <v>5007</v>
      </c>
    </row>
    <row r="979" spans="1:28" x14ac:dyDescent="0.35">
      <c r="A979" t="s">
        <v>1024</v>
      </c>
      <c r="B979" t="s">
        <v>9</v>
      </c>
      <c r="C979" t="s">
        <v>1</v>
      </c>
      <c r="D979" t="s">
        <v>10</v>
      </c>
      <c r="E979" t="s">
        <v>11</v>
      </c>
      <c r="F979">
        <v>351140</v>
      </c>
      <c r="G979">
        <v>-165621</v>
      </c>
      <c r="H979">
        <v>60395</v>
      </c>
      <c r="I979">
        <v>351140</v>
      </c>
      <c r="J979">
        <v>35114</v>
      </c>
      <c r="K979">
        <v>17557</v>
      </c>
      <c r="L979">
        <v>270478</v>
      </c>
      <c r="M979">
        <v>54095</v>
      </c>
      <c r="N979">
        <v>81143</v>
      </c>
      <c r="O979">
        <v>27047</v>
      </c>
      <c r="P979">
        <v>-108191</v>
      </c>
      <c r="Q979">
        <v>-67619</v>
      </c>
      <c r="R979">
        <v>301882</v>
      </c>
      <c r="S979">
        <v>90564</v>
      </c>
      <c r="T979">
        <v>30188</v>
      </c>
      <c r="U979">
        <v>13523</v>
      </c>
      <c r="V979">
        <v>8114</v>
      </c>
      <c r="W979">
        <v>5409</v>
      </c>
      <c r="X979">
        <v>27047</v>
      </c>
      <c r="Y979">
        <v>13523</v>
      </c>
      <c r="Z979">
        <v>15094</v>
      </c>
      <c r="AA979">
        <v>9056</v>
      </c>
      <c r="AB979">
        <v>6037</v>
      </c>
    </row>
    <row r="980" spans="1:28" x14ac:dyDescent="0.35">
      <c r="A980" t="s">
        <v>1025</v>
      </c>
      <c r="B980" t="s">
        <v>9</v>
      </c>
      <c r="C980" t="s">
        <v>1</v>
      </c>
      <c r="D980" t="s">
        <v>10</v>
      </c>
      <c r="E980" t="s">
        <v>11</v>
      </c>
      <c r="F980">
        <v>118823</v>
      </c>
      <c r="G980">
        <v>-32623</v>
      </c>
      <c r="H980">
        <v>52827</v>
      </c>
      <c r="I980">
        <v>118823</v>
      </c>
      <c r="J980">
        <v>11882</v>
      </c>
      <c r="K980">
        <v>5941</v>
      </c>
      <c r="L980">
        <v>25534</v>
      </c>
      <c r="M980">
        <v>5106</v>
      </c>
      <c r="N980">
        <v>7660</v>
      </c>
      <c r="O980">
        <v>2553</v>
      </c>
      <c r="P980">
        <v>-10213</v>
      </c>
      <c r="Q980">
        <v>-6383</v>
      </c>
      <c r="R980">
        <v>29627</v>
      </c>
      <c r="S980">
        <v>8888</v>
      </c>
      <c r="T980">
        <v>2962</v>
      </c>
      <c r="U980">
        <v>1276</v>
      </c>
      <c r="V980">
        <v>766</v>
      </c>
      <c r="W980">
        <v>510</v>
      </c>
      <c r="X980">
        <v>2553</v>
      </c>
      <c r="Y980">
        <v>1276</v>
      </c>
      <c r="Z980">
        <v>1481</v>
      </c>
      <c r="AA980">
        <v>888</v>
      </c>
      <c r="AB980">
        <v>592</v>
      </c>
    </row>
    <row r="981" spans="1:28" x14ac:dyDescent="0.35">
      <c r="A981" t="s">
        <v>1026</v>
      </c>
      <c r="B981" t="s">
        <v>9</v>
      </c>
      <c r="C981" t="s">
        <v>1</v>
      </c>
      <c r="D981" t="s">
        <v>10</v>
      </c>
      <c r="E981" t="s">
        <v>11</v>
      </c>
      <c r="F981">
        <v>417126</v>
      </c>
      <c r="G981">
        <v>-209347</v>
      </c>
      <c r="H981">
        <v>62861</v>
      </c>
      <c r="I981">
        <v>417126</v>
      </c>
      <c r="J981">
        <v>41712</v>
      </c>
      <c r="K981">
        <v>20856</v>
      </c>
      <c r="L981">
        <v>250710</v>
      </c>
      <c r="M981">
        <v>50142</v>
      </c>
      <c r="N981">
        <v>75213</v>
      </c>
      <c r="O981">
        <v>25071</v>
      </c>
      <c r="P981">
        <v>-100284</v>
      </c>
      <c r="Q981">
        <v>-62677</v>
      </c>
      <c r="R981">
        <v>247939</v>
      </c>
      <c r="S981">
        <v>74381</v>
      </c>
      <c r="T981">
        <v>24793</v>
      </c>
      <c r="U981">
        <v>12535</v>
      </c>
      <c r="V981">
        <v>7521</v>
      </c>
      <c r="W981">
        <v>5014</v>
      </c>
      <c r="X981">
        <v>25071</v>
      </c>
      <c r="Y981">
        <v>12535</v>
      </c>
      <c r="Z981">
        <v>12396</v>
      </c>
      <c r="AA981">
        <v>7438</v>
      </c>
      <c r="AB981">
        <v>4958</v>
      </c>
    </row>
    <row r="982" spans="1:28" x14ac:dyDescent="0.35">
      <c r="A982" t="s">
        <v>1027</v>
      </c>
      <c r="B982" t="s">
        <v>9</v>
      </c>
      <c r="C982" t="s">
        <v>1</v>
      </c>
      <c r="D982" t="s">
        <v>10</v>
      </c>
      <c r="E982" t="s">
        <v>11</v>
      </c>
      <c r="F982">
        <v>464170</v>
      </c>
      <c r="G982">
        <v>-135659</v>
      </c>
      <c r="H982">
        <v>102644</v>
      </c>
      <c r="I982">
        <v>464170</v>
      </c>
      <c r="J982">
        <v>46417</v>
      </c>
      <c r="K982">
        <v>23208</v>
      </c>
      <c r="L982">
        <v>326706</v>
      </c>
      <c r="M982">
        <v>65341</v>
      </c>
      <c r="N982">
        <v>98011</v>
      </c>
      <c r="O982">
        <v>32670</v>
      </c>
      <c r="P982">
        <v>-130682</v>
      </c>
      <c r="Q982">
        <v>-81676</v>
      </c>
      <c r="R982">
        <v>265349</v>
      </c>
      <c r="S982">
        <v>79604</v>
      </c>
      <c r="T982">
        <v>26534</v>
      </c>
      <c r="U982">
        <v>16335</v>
      </c>
      <c r="V982">
        <v>9801</v>
      </c>
      <c r="W982">
        <v>6534</v>
      </c>
      <c r="X982">
        <v>32670</v>
      </c>
      <c r="Y982">
        <v>16335</v>
      </c>
      <c r="Z982">
        <v>13267</v>
      </c>
      <c r="AA982">
        <v>7960</v>
      </c>
      <c r="AB982">
        <v>5306</v>
      </c>
    </row>
    <row r="983" spans="1:28" x14ac:dyDescent="0.35">
      <c r="A983" t="s">
        <v>1028</v>
      </c>
      <c r="B983" t="s">
        <v>9</v>
      </c>
      <c r="C983" t="s">
        <v>1</v>
      </c>
      <c r="D983" t="s">
        <v>10</v>
      </c>
      <c r="E983" t="s">
        <v>11</v>
      </c>
      <c r="F983">
        <v>253921</v>
      </c>
      <c r="G983">
        <v>-97836</v>
      </c>
      <c r="H983">
        <v>87612</v>
      </c>
      <c r="I983">
        <v>253921</v>
      </c>
      <c r="J983">
        <v>25392</v>
      </c>
      <c r="K983">
        <v>12696</v>
      </c>
      <c r="L983">
        <v>51404</v>
      </c>
      <c r="M983">
        <v>10280</v>
      </c>
      <c r="N983">
        <v>15421</v>
      </c>
      <c r="O983">
        <v>5140</v>
      </c>
      <c r="P983">
        <v>-20561</v>
      </c>
      <c r="Q983">
        <v>-12851</v>
      </c>
      <c r="R983">
        <v>47538</v>
      </c>
      <c r="S983">
        <v>14261</v>
      </c>
      <c r="T983">
        <v>4753</v>
      </c>
      <c r="U983">
        <v>2570</v>
      </c>
      <c r="V983">
        <v>1542</v>
      </c>
      <c r="W983">
        <v>1028</v>
      </c>
      <c r="X983">
        <v>5140</v>
      </c>
      <c r="Y983">
        <v>2570</v>
      </c>
      <c r="Z983">
        <v>2376</v>
      </c>
      <c r="AA983">
        <v>1426</v>
      </c>
      <c r="AB983">
        <v>950</v>
      </c>
    </row>
    <row r="984" spans="1:28" x14ac:dyDescent="0.35">
      <c r="A984" t="s">
        <v>1029</v>
      </c>
      <c r="B984" t="s">
        <v>9</v>
      </c>
      <c r="C984" t="s">
        <v>1</v>
      </c>
      <c r="D984" t="s">
        <v>10</v>
      </c>
      <c r="E984" t="s">
        <v>11</v>
      </c>
      <c r="F984">
        <v>166555</v>
      </c>
      <c r="G984">
        <v>-73455</v>
      </c>
      <c r="H984">
        <v>40121</v>
      </c>
      <c r="I984">
        <v>166555</v>
      </c>
      <c r="J984">
        <v>16655</v>
      </c>
      <c r="K984">
        <v>8327</v>
      </c>
      <c r="L984">
        <v>58922</v>
      </c>
      <c r="M984">
        <v>11784</v>
      </c>
      <c r="N984">
        <v>17676</v>
      </c>
      <c r="O984">
        <v>5892</v>
      </c>
      <c r="P984">
        <v>-23568</v>
      </c>
      <c r="Q984">
        <v>-14730</v>
      </c>
      <c r="R984">
        <v>49828</v>
      </c>
      <c r="S984">
        <v>14948</v>
      </c>
      <c r="T984">
        <v>4982</v>
      </c>
      <c r="U984">
        <v>2946</v>
      </c>
      <c r="V984">
        <v>1767</v>
      </c>
      <c r="W984">
        <v>1178</v>
      </c>
      <c r="X984">
        <v>5892</v>
      </c>
      <c r="Y984">
        <v>2946</v>
      </c>
      <c r="Z984">
        <v>2491</v>
      </c>
      <c r="AA984">
        <v>1494</v>
      </c>
      <c r="AB984">
        <v>996</v>
      </c>
    </row>
    <row r="985" spans="1:28" x14ac:dyDescent="0.35">
      <c r="A985" t="s">
        <v>1030</v>
      </c>
      <c r="B985" t="s">
        <v>9</v>
      </c>
      <c r="C985" t="s">
        <v>1</v>
      </c>
      <c r="D985" t="s">
        <v>10</v>
      </c>
      <c r="E985" t="s">
        <v>11</v>
      </c>
      <c r="F985">
        <v>69631</v>
      </c>
      <c r="G985">
        <v>-24792</v>
      </c>
      <c r="H985">
        <v>25665</v>
      </c>
      <c r="I985">
        <v>69631</v>
      </c>
      <c r="J985">
        <v>6963</v>
      </c>
      <c r="K985">
        <v>3481</v>
      </c>
      <c r="L985">
        <v>32884</v>
      </c>
      <c r="M985">
        <v>6576</v>
      </c>
      <c r="N985">
        <v>9865</v>
      </c>
      <c r="O985">
        <v>3288</v>
      </c>
      <c r="P985">
        <v>-13153</v>
      </c>
      <c r="Q985">
        <v>-8221</v>
      </c>
      <c r="R985">
        <v>35257</v>
      </c>
      <c r="S985">
        <v>10577</v>
      </c>
      <c r="T985">
        <v>3525</v>
      </c>
      <c r="U985">
        <v>1644</v>
      </c>
      <c r="V985">
        <v>986</v>
      </c>
      <c r="W985">
        <v>657</v>
      </c>
      <c r="X985">
        <v>3288</v>
      </c>
      <c r="Y985">
        <v>1644</v>
      </c>
      <c r="Z985">
        <v>1762</v>
      </c>
      <c r="AA985">
        <v>1057</v>
      </c>
      <c r="AB985">
        <v>705</v>
      </c>
    </row>
    <row r="986" spans="1:28" x14ac:dyDescent="0.35">
      <c r="A986" t="s">
        <v>1031</v>
      </c>
      <c r="B986" t="s">
        <v>9</v>
      </c>
      <c r="C986" t="s">
        <v>1</v>
      </c>
      <c r="D986" t="s">
        <v>10</v>
      </c>
      <c r="E986" t="s">
        <v>11</v>
      </c>
      <c r="F986">
        <v>402184</v>
      </c>
      <c r="G986">
        <v>-210294</v>
      </c>
      <c r="H986">
        <v>180433</v>
      </c>
      <c r="I986">
        <v>402184</v>
      </c>
      <c r="J986">
        <v>40218</v>
      </c>
      <c r="K986">
        <v>20109</v>
      </c>
      <c r="L986">
        <v>164836</v>
      </c>
      <c r="M986">
        <v>32967</v>
      </c>
      <c r="N986">
        <v>49450</v>
      </c>
      <c r="O986">
        <v>16483</v>
      </c>
      <c r="P986">
        <v>-65934</v>
      </c>
      <c r="Q986">
        <v>-41209</v>
      </c>
      <c r="R986">
        <v>166848</v>
      </c>
      <c r="S986">
        <v>50054</v>
      </c>
      <c r="T986">
        <v>16684</v>
      </c>
      <c r="U986">
        <v>8241</v>
      </c>
      <c r="V986">
        <v>4945</v>
      </c>
      <c r="W986">
        <v>3296</v>
      </c>
      <c r="X986">
        <v>16483</v>
      </c>
      <c r="Y986">
        <v>8241</v>
      </c>
      <c r="Z986">
        <v>8342</v>
      </c>
      <c r="AA986">
        <v>5005</v>
      </c>
      <c r="AB986">
        <v>3336</v>
      </c>
    </row>
    <row r="987" spans="1:28" x14ac:dyDescent="0.35">
      <c r="A987" t="s">
        <v>1032</v>
      </c>
      <c r="B987" t="s">
        <v>9</v>
      </c>
      <c r="C987" t="s">
        <v>1</v>
      </c>
      <c r="D987" t="s">
        <v>10</v>
      </c>
      <c r="E987" t="s">
        <v>11</v>
      </c>
      <c r="F987">
        <v>458062</v>
      </c>
      <c r="G987">
        <v>-164933</v>
      </c>
      <c r="H987">
        <v>119992</v>
      </c>
      <c r="I987">
        <v>458062</v>
      </c>
      <c r="J987">
        <v>45806</v>
      </c>
      <c r="K987">
        <v>22903</v>
      </c>
      <c r="L987">
        <v>287670</v>
      </c>
      <c r="M987">
        <v>57534</v>
      </c>
      <c r="N987">
        <v>86301</v>
      </c>
      <c r="O987">
        <v>28767</v>
      </c>
      <c r="P987">
        <v>-115068</v>
      </c>
      <c r="Q987">
        <v>-71917</v>
      </c>
      <c r="R987">
        <v>313705</v>
      </c>
      <c r="S987">
        <v>94111</v>
      </c>
      <c r="T987">
        <v>31370</v>
      </c>
      <c r="U987">
        <v>14383</v>
      </c>
      <c r="V987">
        <v>8630</v>
      </c>
      <c r="W987">
        <v>5753</v>
      </c>
      <c r="X987">
        <v>28767</v>
      </c>
      <c r="Y987">
        <v>14383</v>
      </c>
      <c r="Z987">
        <v>15685</v>
      </c>
      <c r="AA987">
        <v>9411</v>
      </c>
      <c r="AB987">
        <v>6274</v>
      </c>
    </row>
    <row r="988" spans="1:28" x14ac:dyDescent="0.35">
      <c r="A988" t="s">
        <v>1033</v>
      </c>
      <c r="B988" t="s">
        <v>9</v>
      </c>
      <c r="C988" t="s">
        <v>1</v>
      </c>
      <c r="D988" t="s">
        <v>10</v>
      </c>
      <c r="E988" t="s">
        <v>11</v>
      </c>
      <c r="F988">
        <v>198997</v>
      </c>
      <c r="G988">
        <v>-68027</v>
      </c>
      <c r="H988">
        <v>24294</v>
      </c>
      <c r="I988">
        <v>198997</v>
      </c>
      <c r="J988">
        <v>19899</v>
      </c>
      <c r="K988">
        <v>9949</v>
      </c>
      <c r="L988">
        <v>143757</v>
      </c>
      <c r="M988">
        <v>28751</v>
      </c>
      <c r="N988">
        <v>43127</v>
      </c>
      <c r="O988">
        <v>14375</v>
      </c>
      <c r="P988">
        <v>-57502</v>
      </c>
      <c r="Q988">
        <v>-35939</v>
      </c>
      <c r="R988">
        <v>146086</v>
      </c>
      <c r="S988">
        <v>43825</v>
      </c>
      <c r="T988">
        <v>14608</v>
      </c>
      <c r="U988">
        <v>7187</v>
      </c>
      <c r="V988">
        <v>4312</v>
      </c>
      <c r="W988">
        <v>2875</v>
      </c>
      <c r="X988">
        <v>14375</v>
      </c>
      <c r="Y988">
        <v>7187</v>
      </c>
      <c r="Z988">
        <v>7304</v>
      </c>
      <c r="AA988">
        <v>4382</v>
      </c>
      <c r="AB988">
        <v>2921</v>
      </c>
    </row>
    <row r="989" spans="1:28" x14ac:dyDescent="0.35">
      <c r="A989" t="s">
        <v>1034</v>
      </c>
      <c r="B989" t="s">
        <v>9</v>
      </c>
      <c r="C989" t="s">
        <v>1</v>
      </c>
      <c r="D989" t="s">
        <v>10</v>
      </c>
      <c r="E989" t="s">
        <v>11</v>
      </c>
      <c r="F989">
        <v>384160</v>
      </c>
      <c r="G989">
        <v>-158665</v>
      </c>
      <c r="H989">
        <v>150800</v>
      </c>
      <c r="I989">
        <v>384160</v>
      </c>
      <c r="J989">
        <v>38416</v>
      </c>
      <c r="K989">
        <v>19208</v>
      </c>
      <c r="L989">
        <v>114408</v>
      </c>
      <c r="M989">
        <v>22881</v>
      </c>
      <c r="N989">
        <v>34322</v>
      </c>
      <c r="O989">
        <v>11440</v>
      </c>
      <c r="P989">
        <v>-45763</v>
      </c>
      <c r="Q989">
        <v>-28602</v>
      </c>
      <c r="R989">
        <v>124211</v>
      </c>
      <c r="S989">
        <v>37263</v>
      </c>
      <c r="T989">
        <v>12421</v>
      </c>
      <c r="U989">
        <v>5720</v>
      </c>
      <c r="V989">
        <v>3432</v>
      </c>
      <c r="W989">
        <v>2288</v>
      </c>
      <c r="X989">
        <v>11440</v>
      </c>
      <c r="Y989">
        <v>5720</v>
      </c>
      <c r="Z989">
        <v>6210</v>
      </c>
      <c r="AA989">
        <v>3726</v>
      </c>
      <c r="AB989">
        <v>2484</v>
      </c>
    </row>
    <row r="990" spans="1:28" x14ac:dyDescent="0.35">
      <c r="A990" t="s">
        <v>1035</v>
      </c>
      <c r="B990" t="s">
        <v>9</v>
      </c>
      <c r="C990" t="s">
        <v>1</v>
      </c>
      <c r="D990" t="s">
        <v>10</v>
      </c>
      <c r="E990" t="s">
        <v>11</v>
      </c>
      <c r="F990">
        <v>321766</v>
      </c>
      <c r="G990">
        <v>-68118</v>
      </c>
      <c r="H990">
        <v>91698</v>
      </c>
      <c r="I990">
        <v>321766</v>
      </c>
      <c r="J990">
        <v>32176</v>
      </c>
      <c r="K990">
        <v>16088</v>
      </c>
      <c r="L990">
        <v>240431</v>
      </c>
      <c r="M990">
        <v>48086</v>
      </c>
      <c r="N990">
        <v>72129</v>
      </c>
      <c r="O990">
        <v>24043</v>
      </c>
      <c r="P990">
        <v>-96172</v>
      </c>
      <c r="Q990">
        <v>-60107</v>
      </c>
      <c r="R990">
        <v>278828</v>
      </c>
      <c r="S990">
        <v>83648</v>
      </c>
      <c r="T990">
        <v>27882</v>
      </c>
      <c r="U990">
        <v>12021</v>
      </c>
      <c r="V990">
        <v>7212</v>
      </c>
      <c r="W990">
        <v>4808</v>
      </c>
      <c r="X990">
        <v>24043</v>
      </c>
      <c r="Y990">
        <v>12021</v>
      </c>
      <c r="Z990">
        <v>13941</v>
      </c>
      <c r="AA990">
        <v>8364</v>
      </c>
      <c r="AB990">
        <v>5576</v>
      </c>
    </row>
    <row r="991" spans="1:28" x14ac:dyDescent="0.35">
      <c r="A991" t="s">
        <v>1036</v>
      </c>
      <c r="B991" t="s">
        <v>9</v>
      </c>
      <c r="C991" t="s">
        <v>1</v>
      </c>
      <c r="D991" t="s">
        <v>10</v>
      </c>
      <c r="E991" t="s">
        <v>11</v>
      </c>
      <c r="F991">
        <v>210282</v>
      </c>
      <c r="G991">
        <v>-66859</v>
      </c>
      <c r="H991">
        <v>80953</v>
      </c>
      <c r="I991">
        <v>210282</v>
      </c>
      <c r="J991">
        <v>21028</v>
      </c>
      <c r="K991">
        <v>10514</v>
      </c>
      <c r="L991">
        <v>43400</v>
      </c>
      <c r="M991">
        <v>8680</v>
      </c>
      <c r="N991">
        <v>13020</v>
      </c>
      <c r="O991">
        <v>4340</v>
      </c>
      <c r="P991">
        <v>-17360</v>
      </c>
      <c r="Q991">
        <v>-10850</v>
      </c>
      <c r="R991">
        <v>50436</v>
      </c>
      <c r="S991">
        <v>15130</v>
      </c>
      <c r="T991">
        <v>5043</v>
      </c>
      <c r="U991">
        <v>2170</v>
      </c>
      <c r="V991">
        <v>1302</v>
      </c>
      <c r="W991">
        <v>868</v>
      </c>
      <c r="X991">
        <v>4340</v>
      </c>
      <c r="Y991">
        <v>2170</v>
      </c>
      <c r="Z991">
        <v>2521</v>
      </c>
      <c r="AA991">
        <v>1513</v>
      </c>
      <c r="AB991">
        <v>1008</v>
      </c>
    </row>
    <row r="992" spans="1:28" x14ac:dyDescent="0.35">
      <c r="A992" t="s">
        <v>1037</v>
      </c>
      <c r="B992" t="s">
        <v>9</v>
      </c>
      <c r="C992" t="s">
        <v>1</v>
      </c>
      <c r="D992" t="s">
        <v>10</v>
      </c>
      <c r="E992" t="s">
        <v>11</v>
      </c>
      <c r="F992">
        <v>169230</v>
      </c>
      <c r="G992">
        <v>-79226</v>
      </c>
      <c r="H992">
        <v>40411</v>
      </c>
      <c r="I992">
        <v>169230</v>
      </c>
      <c r="J992">
        <v>16923</v>
      </c>
      <c r="K992">
        <v>8461</v>
      </c>
      <c r="L992">
        <v>124950</v>
      </c>
      <c r="M992">
        <v>24990</v>
      </c>
      <c r="N992">
        <v>37485</v>
      </c>
      <c r="O992">
        <v>12495</v>
      </c>
      <c r="P992">
        <v>-49980</v>
      </c>
      <c r="Q992">
        <v>-31237</v>
      </c>
      <c r="R992">
        <v>139282</v>
      </c>
      <c r="S992">
        <v>41784</v>
      </c>
      <c r="T992">
        <v>13928</v>
      </c>
      <c r="U992">
        <v>6247</v>
      </c>
      <c r="V992">
        <v>3748</v>
      </c>
      <c r="W992">
        <v>2499</v>
      </c>
      <c r="X992">
        <v>12495</v>
      </c>
      <c r="Y992">
        <v>6247</v>
      </c>
      <c r="Z992">
        <v>6964</v>
      </c>
      <c r="AA992">
        <v>4178</v>
      </c>
      <c r="AB992">
        <v>2785</v>
      </c>
    </row>
    <row r="993" spans="1:28" x14ac:dyDescent="0.35">
      <c r="A993" t="s">
        <v>1038</v>
      </c>
      <c r="B993" t="s">
        <v>9</v>
      </c>
      <c r="C993" t="s">
        <v>1</v>
      </c>
      <c r="D993" t="s">
        <v>10</v>
      </c>
      <c r="E993" t="s">
        <v>11</v>
      </c>
      <c r="F993">
        <v>454427</v>
      </c>
      <c r="G993">
        <v>-134393</v>
      </c>
      <c r="H993">
        <v>72226</v>
      </c>
      <c r="I993">
        <v>454427</v>
      </c>
      <c r="J993">
        <v>45442</v>
      </c>
      <c r="K993">
        <v>22721</v>
      </c>
      <c r="L993">
        <v>184198</v>
      </c>
      <c r="M993">
        <v>36839</v>
      </c>
      <c r="N993">
        <v>55259</v>
      </c>
      <c r="O993">
        <v>18419</v>
      </c>
      <c r="P993">
        <v>-73679</v>
      </c>
      <c r="Q993">
        <v>-46049</v>
      </c>
      <c r="R993">
        <v>191122</v>
      </c>
      <c r="S993">
        <v>57336</v>
      </c>
      <c r="T993">
        <v>19112</v>
      </c>
      <c r="U993">
        <v>9209</v>
      </c>
      <c r="V993">
        <v>5525</v>
      </c>
      <c r="W993">
        <v>3683</v>
      </c>
      <c r="X993">
        <v>18419</v>
      </c>
      <c r="Y993">
        <v>9209</v>
      </c>
      <c r="Z993">
        <v>9556</v>
      </c>
      <c r="AA993">
        <v>5733</v>
      </c>
      <c r="AB993">
        <v>3822</v>
      </c>
    </row>
    <row r="994" spans="1:28" x14ac:dyDescent="0.35">
      <c r="A994" t="s">
        <v>1039</v>
      </c>
      <c r="B994" t="s">
        <v>9</v>
      </c>
      <c r="C994" t="s">
        <v>1</v>
      </c>
      <c r="D994" t="s">
        <v>10</v>
      </c>
      <c r="E994" t="s">
        <v>11</v>
      </c>
      <c r="F994">
        <v>335889</v>
      </c>
      <c r="G994">
        <v>-164908</v>
      </c>
      <c r="H994">
        <v>133507</v>
      </c>
      <c r="I994">
        <v>335889</v>
      </c>
      <c r="J994">
        <v>33588</v>
      </c>
      <c r="K994">
        <v>16794</v>
      </c>
      <c r="L994">
        <v>158853</v>
      </c>
      <c r="M994">
        <v>31770</v>
      </c>
      <c r="N994">
        <v>47655</v>
      </c>
      <c r="O994">
        <v>15885</v>
      </c>
      <c r="P994">
        <v>-63541</v>
      </c>
      <c r="Q994">
        <v>-39713</v>
      </c>
      <c r="R994">
        <v>142929</v>
      </c>
      <c r="S994">
        <v>42878</v>
      </c>
      <c r="T994">
        <v>14292</v>
      </c>
      <c r="U994">
        <v>7942</v>
      </c>
      <c r="V994">
        <v>4765</v>
      </c>
      <c r="W994">
        <v>3177</v>
      </c>
      <c r="X994">
        <v>15885</v>
      </c>
      <c r="Y994">
        <v>7942</v>
      </c>
      <c r="Z994">
        <v>7146</v>
      </c>
      <c r="AA994">
        <v>4287</v>
      </c>
      <c r="AB994">
        <v>2858</v>
      </c>
    </row>
    <row r="995" spans="1:28" x14ac:dyDescent="0.35">
      <c r="A995" t="s">
        <v>1040</v>
      </c>
      <c r="B995" t="s">
        <v>9</v>
      </c>
      <c r="C995" t="s">
        <v>1</v>
      </c>
      <c r="D995" t="s">
        <v>10</v>
      </c>
      <c r="E995" t="s">
        <v>11</v>
      </c>
      <c r="F995">
        <v>82088</v>
      </c>
      <c r="G995">
        <v>-45384</v>
      </c>
      <c r="H995">
        <v>33898</v>
      </c>
      <c r="I995">
        <v>82088</v>
      </c>
      <c r="J995">
        <v>8208</v>
      </c>
      <c r="K995">
        <v>4104</v>
      </c>
      <c r="L995">
        <v>17761</v>
      </c>
      <c r="M995">
        <v>3552</v>
      </c>
      <c r="N995">
        <v>5328</v>
      </c>
      <c r="O995">
        <v>1776</v>
      </c>
      <c r="P995">
        <v>-7104</v>
      </c>
      <c r="Q995">
        <v>-4440</v>
      </c>
      <c r="R995">
        <v>18891</v>
      </c>
      <c r="S995">
        <v>5667</v>
      </c>
      <c r="T995">
        <v>1889</v>
      </c>
      <c r="U995">
        <v>888</v>
      </c>
      <c r="V995">
        <v>532</v>
      </c>
      <c r="W995">
        <v>355</v>
      </c>
      <c r="X995">
        <v>1776</v>
      </c>
      <c r="Y995">
        <v>888</v>
      </c>
      <c r="Z995">
        <v>944</v>
      </c>
      <c r="AA995">
        <v>566</v>
      </c>
      <c r="AB995">
        <v>377</v>
      </c>
    </row>
    <row r="996" spans="1:28" x14ac:dyDescent="0.35">
      <c r="A996" t="s">
        <v>1041</v>
      </c>
      <c r="B996" t="s">
        <v>9</v>
      </c>
      <c r="C996" t="s">
        <v>1</v>
      </c>
      <c r="D996" t="s">
        <v>10</v>
      </c>
      <c r="E996" t="s">
        <v>11</v>
      </c>
      <c r="F996">
        <v>339930</v>
      </c>
      <c r="G996">
        <v>-124733</v>
      </c>
      <c r="H996">
        <v>130775</v>
      </c>
      <c r="I996">
        <v>339930</v>
      </c>
      <c r="J996">
        <v>33993</v>
      </c>
      <c r="K996">
        <v>16996</v>
      </c>
      <c r="L996">
        <v>186854</v>
      </c>
      <c r="M996">
        <v>37370</v>
      </c>
      <c r="N996">
        <v>56056</v>
      </c>
      <c r="O996">
        <v>18685</v>
      </c>
      <c r="P996">
        <v>-74741</v>
      </c>
      <c r="Q996">
        <v>-46713</v>
      </c>
      <c r="R996">
        <v>212442</v>
      </c>
      <c r="S996">
        <v>63732</v>
      </c>
      <c r="T996">
        <v>21244</v>
      </c>
      <c r="U996">
        <v>9342</v>
      </c>
      <c r="V996">
        <v>5605</v>
      </c>
      <c r="W996">
        <v>3737</v>
      </c>
      <c r="X996">
        <v>18685</v>
      </c>
      <c r="Y996">
        <v>9342</v>
      </c>
      <c r="Z996">
        <v>10622</v>
      </c>
      <c r="AA996">
        <v>6373</v>
      </c>
      <c r="AB996">
        <v>4248</v>
      </c>
    </row>
    <row r="997" spans="1:28" x14ac:dyDescent="0.35">
      <c r="A997" t="s">
        <v>1042</v>
      </c>
      <c r="B997" t="s">
        <v>9</v>
      </c>
      <c r="C997" t="s">
        <v>1</v>
      </c>
      <c r="D997" t="s">
        <v>10</v>
      </c>
      <c r="E997" t="s">
        <v>11</v>
      </c>
      <c r="F997">
        <v>240138</v>
      </c>
      <c r="G997">
        <v>-96037</v>
      </c>
      <c r="H997">
        <v>56869</v>
      </c>
      <c r="I997">
        <v>240138</v>
      </c>
      <c r="J997">
        <v>24013</v>
      </c>
      <c r="K997">
        <v>12006</v>
      </c>
      <c r="L997">
        <v>185934</v>
      </c>
      <c r="M997">
        <v>37186</v>
      </c>
      <c r="N997">
        <v>55780</v>
      </c>
      <c r="O997">
        <v>18593</v>
      </c>
      <c r="P997">
        <v>-74373</v>
      </c>
      <c r="Q997">
        <v>-46483</v>
      </c>
      <c r="R997">
        <v>160917</v>
      </c>
      <c r="S997">
        <v>48275</v>
      </c>
      <c r="T997">
        <v>16091</v>
      </c>
      <c r="U997">
        <v>9296</v>
      </c>
      <c r="V997">
        <v>5578</v>
      </c>
      <c r="W997">
        <v>3718</v>
      </c>
      <c r="X997">
        <v>18593</v>
      </c>
      <c r="Y997">
        <v>9296</v>
      </c>
      <c r="Z997">
        <v>8045</v>
      </c>
      <c r="AA997">
        <v>4827</v>
      </c>
      <c r="AB997">
        <v>3218</v>
      </c>
    </row>
    <row r="998" spans="1:28" x14ac:dyDescent="0.35">
      <c r="A998" t="s">
        <v>1043</v>
      </c>
      <c r="B998" t="s">
        <v>9</v>
      </c>
      <c r="C998" t="s">
        <v>1</v>
      </c>
      <c r="D998" t="s">
        <v>10</v>
      </c>
      <c r="E998" t="s">
        <v>11</v>
      </c>
      <c r="F998">
        <v>263167</v>
      </c>
      <c r="G998">
        <v>-150302</v>
      </c>
      <c r="H998">
        <v>97270</v>
      </c>
      <c r="I998">
        <v>263167</v>
      </c>
      <c r="J998">
        <v>26316</v>
      </c>
      <c r="K998">
        <v>13158</v>
      </c>
      <c r="L998">
        <v>150595</v>
      </c>
      <c r="M998">
        <v>30119</v>
      </c>
      <c r="N998">
        <v>45178</v>
      </c>
      <c r="O998">
        <v>15059</v>
      </c>
      <c r="P998">
        <v>-60238</v>
      </c>
      <c r="Q998">
        <v>-37648</v>
      </c>
      <c r="R998">
        <v>155757</v>
      </c>
      <c r="S998">
        <v>46727</v>
      </c>
      <c r="T998">
        <v>15575</v>
      </c>
      <c r="U998">
        <v>7529</v>
      </c>
      <c r="V998">
        <v>4517</v>
      </c>
      <c r="W998">
        <v>3011</v>
      </c>
      <c r="X998">
        <v>15059</v>
      </c>
      <c r="Y998">
        <v>7529</v>
      </c>
      <c r="Z998">
        <v>7787</v>
      </c>
      <c r="AA998">
        <v>4672</v>
      </c>
      <c r="AB998">
        <v>3115</v>
      </c>
    </row>
    <row r="999" spans="1:28" x14ac:dyDescent="0.35">
      <c r="A999" t="s">
        <v>1044</v>
      </c>
      <c r="B999" t="s">
        <v>9</v>
      </c>
      <c r="C999" t="s">
        <v>1</v>
      </c>
      <c r="D999" t="s">
        <v>10</v>
      </c>
      <c r="E999" t="s">
        <v>11</v>
      </c>
      <c r="F999">
        <v>87841</v>
      </c>
      <c r="G999">
        <v>-17605</v>
      </c>
      <c r="H999">
        <v>15908</v>
      </c>
      <c r="I999">
        <v>87841</v>
      </c>
      <c r="J999">
        <v>8784</v>
      </c>
      <c r="K999">
        <v>4392</v>
      </c>
      <c r="L999">
        <v>37326</v>
      </c>
      <c r="M999">
        <v>7465</v>
      </c>
      <c r="N999">
        <v>11197</v>
      </c>
      <c r="O999">
        <v>3732</v>
      </c>
      <c r="P999">
        <v>-14930</v>
      </c>
      <c r="Q999">
        <v>-9331</v>
      </c>
      <c r="R999">
        <v>29920</v>
      </c>
      <c r="S999">
        <v>8976</v>
      </c>
      <c r="T999">
        <v>2992</v>
      </c>
      <c r="U999">
        <v>1866</v>
      </c>
      <c r="V999">
        <v>1119</v>
      </c>
      <c r="W999">
        <v>746</v>
      </c>
      <c r="X999">
        <v>3732</v>
      </c>
      <c r="Y999">
        <v>1866</v>
      </c>
      <c r="Z999">
        <v>1496</v>
      </c>
      <c r="AA999">
        <v>897</v>
      </c>
      <c r="AB999">
        <v>598</v>
      </c>
    </row>
    <row r="1000" spans="1:28" x14ac:dyDescent="0.35">
      <c r="A1000" t="s">
        <v>1045</v>
      </c>
      <c r="B1000" t="s">
        <v>9</v>
      </c>
      <c r="C1000" t="s">
        <v>1</v>
      </c>
      <c r="D1000" t="s">
        <v>10</v>
      </c>
      <c r="E1000" t="s">
        <v>11</v>
      </c>
      <c r="F1000">
        <v>394257</v>
      </c>
      <c r="G1000">
        <v>-79685</v>
      </c>
      <c r="H1000">
        <v>119349</v>
      </c>
      <c r="I1000">
        <v>394257</v>
      </c>
      <c r="J1000">
        <v>39425</v>
      </c>
      <c r="K1000">
        <v>19712</v>
      </c>
      <c r="L1000">
        <v>141420</v>
      </c>
      <c r="M1000">
        <v>28284</v>
      </c>
      <c r="N1000">
        <v>42426</v>
      </c>
      <c r="O1000">
        <v>14142</v>
      </c>
      <c r="P1000">
        <v>-56568</v>
      </c>
      <c r="Q1000">
        <v>-35355</v>
      </c>
      <c r="R1000">
        <v>126677</v>
      </c>
      <c r="S1000">
        <v>38003</v>
      </c>
      <c r="T1000">
        <v>12667</v>
      </c>
      <c r="U1000">
        <v>7071</v>
      </c>
      <c r="V1000">
        <v>4242</v>
      </c>
      <c r="W1000">
        <v>2828</v>
      </c>
      <c r="X1000">
        <v>14142</v>
      </c>
      <c r="Y1000">
        <v>7071</v>
      </c>
      <c r="Z1000">
        <v>6333</v>
      </c>
      <c r="AA1000">
        <v>3800</v>
      </c>
      <c r="AB1000">
        <v>2533</v>
      </c>
    </row>
    <row r="1001" spans="1:28" x14ac:dyDescent="0.35">
      <c r="A1001" t="s">
        <v>1046</v>
      </c>
      <c r="B1001" t="s">
        <v>9</v>
      </c>
      <c r="C1001" t="s">
        <v>1</v>
      </c>
      <c r="D1001" t="s">
        <v>10</v>
      </c>
      <c r="E1001" t="s">
        <v>11</v>
      </c>
      <c r="F1001">
        <v>467324</v>
      </c>
      <c r="G1001">
        <v>-248374</v>
      </c>
      <c r="H1001">
        <v>67587</v>
      </c>
      <c r="I1001">
        <v>467324</v>
      </c>
      <c r="J1001">
        <v>46732</v>
      </c>
      <c r="K1001">
        <v>23366</v>
      </c>
      <c r="L1001">
        <v>111266</v>
      </c>
      <c r="M1001">
        <v>22253</v>
      </c>
      <c r="N1001">
        <v>33379</v>
      </c>
      <c r="O1001">
        <v>11126</v>
      </c>
      <c r="P1001">
        <v>-44506</v>
      </c>
      <c r="Q1001">
        <v>-27816</v>
      </c>
      <c r="R1001">
        <v>125955</v>
      </c>
      <c r="S1001">
        <v>37786</v>
      </c>
      <c r="T1001">
        <v>12595</v>
      </c>
      <c r="U1001">
        <v>5563</v>
      </c>
      <c r="V1001">
        <v>3337</v>
      </c>
      <c r="W1001">
        <v>2225</v>
      </c>
      <c r="X1001">
        <v>11126</v>
      </c>
      <c r="Y1001">
        <v>5563</v>
      </c>
      <c r="Z1001">
        <v>6297</v>
      </c>
      <c r="AA1001">
        <v>3778</v>
      </c>
      <c r="AB1001">
        <v>2519</v>
      </c>
    </row>
    <row r="1002" spans="1:28" x14ac:dyDescent="0.35">
      <c r="A1002" t="s">
        <v>1047</v>
      </c>
      <c r="B1002" t="s">
        <v>9</v>
      </c>
      <c r="C1002" t="s">
        <v>1</v>
      </c>
      <c r="D1002" t="s">
        <v>10</v>
      </c>
      <c r="E1002" t="s">
        <v>11</v>
      </c>
      <c r="F1002">
        <v>221824</v>
      </c>
      <c r="G1002">
        <v>-62915</v>
      </c>
      <c r="H1002">
        <v>38217</v>
      </c>
      <c r="I1002">
        <v>221824</v>
      </c>
      <c r="J1002">
        <v>22182</v>
      </c>
      <c r="K1002">
        <v>11091</v>
      </c>
      <c r="L1002">
        <v>101915</v>
      </c>
      <c r="M1002">
        <v>20383</v>
      </c>
      <c r="N1002">
        <v>30574</v>
      </c>
      <c r="O1002">
        <v>10191</v>
      </c>
      <c r="P1002">
        <v>-40766</v>
      </c>
      <c r="Q1002">
        <v>-25478</v>
      </c>
      <c r="R1002">
        <v>93407</v>
      </c>
      <c r="S1002">
        <v>28022</v>
      </c>
      <c r="T1002">
        <v>9340</v>
      </c>
      <c r="U1002">
        <v>5095</v>
      </c>
      <c r="V1002">
        <v>3057</v>
      </c>
      <c r="W1002">
        <v>2038</v>
      </c>
      <c r="X1002">
        <v>10191</v>
      </c>
      <c r="Y1002">
        <v>5095</v>
      </c>
      <c r="Z1002">
        <v>4670</v>
      </c>
      <c r="AA1002">
        <v>2802</v>
      </c>
      <c r="AB1002">
        <v>1868</v>
      </c>
    </row>
    <row r="1003" spans="1:28" x14ac:dyDescent="0.35">
      <c r="A1003" t="s">
        <v>1048</v>
      </c>
      <c r="B1003" t="s">
        <v>9</v>
      </c>
      <c r="C1003" t="s">
        <v>1</v>
      </c>
      <c r="D1003" t="s">
        <v>10</v>
      </c>
      <c r="E1003" t="s">
        <v>11</v>
      </c>
      <c r="F1003">
        <v>389579</v>
      </c>
      <c r="G1003">
        <v>-113906</v>
      </c>
      <c r="H1003">
        <v>88505</v>
      </c>
      <c r="I1003">
        <v>389579</v>
      </c>
      <c r="J1003">
        <v>38957</v>
      </c>
      <c r="K1003">
        <v>19478</v>
      </c>
      <c r="L1003">
        <v>205608</v>
      </c>
      <c r="M1003">
        <v>41121</v>
      </c>
      <c r="N1003">
        <v>61682</v>
      </c>
      <c r="O1003">
        <v>20560</v>
      </c>
      <c r="P1003">
        <v>-82243</v>
      </c>
      <c r="Q1003">
        <v>-51402</v>
      </c>
      <c r="R1003">
        <v>194700</v>
      </c>
      <c r="S1003">
        <v>58410</v>
      </c>
      <c r="T1003">
        <v>19470</v>
      </c>
      <c r="U1003">
        <v>10280</v>
      </c>
      <c r="V1003">
        <v>6168</v>
      </c>
      <c r="W1003">
        <v>4112</v>
      </c>
      <c r="X1003">
        <v>20560</v>
      </c>
      <c r="Y1003">
        <v>10280</v>
      </c>
      <c r="Z1003">
        <v>9735</v>
      </c>
      <c r="AA1003">
        <v>5841</v>
      </c>
      <c r="AB1003">
        <v>3894</v>
      </c>
    </row>
    <row r="1004" spans="1:28" x14ac:dyDescent="0.35">
      <c r="A1004" t="s">
        <v>1049</v>
      </c>
      <c r="B1004" t="s">
        <v>9</v>
      </c>
      <c r="C1004" t="s">
        <v>1</v>
      </c>
      <c r="D1004" t="s">
        <v>10</v>
      </c>
      <c r="E1004" t="s">
        <v>11</v>
      </c>
      <c r="F1004">
        <v>422043</v>
      </c>
      <c r="G1004">
        <v>-161356</v>
      </c>
      <c r="H1004">
        <v>52346</v>
      </c>
      <c r="I1004">
        <v>422043</v>
      </c>
      <c r="J1004">
        <v>42204</v>
      </c>
      <c r="K1004">
        <v>21102</v>
      </c>
      <c r="L1004">
        <v>307918</v>
      </c>
      <c r="M1004">
        <v>61583</v>
      </c>
      <c r="N1004">
        <v>92375</v>
      </c>
      <c r="O1004">
        <v>30791</v>
      </c>
      <c r="P1004">
        <v>-123167</v>
      </c>
      <c r="Q1004">
        <v>-76979</v>
      </c>
      <c r="R1004">
        <v>368453</v>
      </c>
      <c r="S1004">
        <v>110535</v>
      </c>
      <c r="T1004">
        <v>36845</v>
      </c>
      <c r="U1004">
        <v>15395</v>
      </c>
      <c r="V1004">
        <v>9237</v>
      </c>
      <c r="W1004">
        <v>6158</v>
      </c>
      <c r="X1004">
        <v>30791</v>
      </c>
      <c r="Y1004">
        <v>15395</v>
      </c>
      <c r="Z1004">
        <v>18422</v>
      </c>
      <c r="AA1004">
        <v>11053</v>
      </c>
      <c r="AB1004">
        <v>7369</v>
      </c>
    </row>
    <row r="1005" spans="1:28" x14ac:dyDescent="0.35">
      <c r="A1005" t="s">
        <v>1050</v>
      </c>
      <c r="B1005" t="s">
        <v>9</v>
      </c>
      <c r="C1005" t="s">
        <v>1</v>
      </c>
      <c r="D1005" t="s">
        <v>10</v>
      </c>
      <c r="E1005" t="s">
        <v>11</v>
      </c>
      <c r="F1005">
        <v>472000</v>
      </c>
      <c r="G1005">
        <v>-190979</v>
      </c>
      <c r="H1005">
        <v>218143</v>
      </c>
      <c r="I1005">
        <v>472000</v>
      </c>
      <c r="J1005">
        <v>47200</v>
      </c>
      <c r="K1005">
        <v>23600</v>
      </c>
      <c r="L1005">
        <v>226324</v>
      </c>
      <c r="M1005">
        <v>45264</v>
      </c>
      <c r="N1005">
        <v>67897</v>
      </c>
      <c r="O1005">
        <v>22632</v>
      </c>
      <c r="P1005">
        <v>-90529</v>
      </c>
      <c r="Q1005">
        <v>-56581</v>
      </c>
      <c r="R1005">
        <v>188863</v>
      </c>
      <c r="S1005">
        <v>56658</v>
      </c>
      <c r="T1005">
        <v>18886</v>
      </c>
      <c r="U1005">
        <v>11316</v>
      </c>
      <c r="V1005">
        <v>6789</v>
      </c>
      <c r="W1005">
        <v>4526</v>
      </c>
      <c r="X1005">
        <v>22632</v>
      </c>
      <c r="Y1005">
        <v>11316</v>
      </c>
      <c r="Z1005">
        <v>9443</v>
      </c>
      <c r="AA1005">
        <v>5665</v>
      </c>
      <c r="AB1005">
        <v>3777</v>
      </c>
    </row>
    <row r="1006" spans="1:28" x14ac:dyDescent="0.35">
      <c r="A1006" t="s">
        <v>1051</v>
      </c>
      <c r="B1006" t="s">
        <v>9</v>
      </c>
      <c r="C1006" t="s">
        <v>1</v>
      </c>
      <c r="D1006" t="s">
        <v>10</v>
      </c>
      <c r="E1006" t="s">
        <v>11</v>
      </c>
      <c r="F1006">
        <v>337881</v>
      </c>
      <c r="G1006">
        <v>-186989</v>
      </c>
      <c r="H1006">
        <v>33950</v>
      </c>
      <c r="I1006">
        <v>337881</v>
      </c>
      <c r="J1006">
        <v>33788</v>
      </c>
      <c r="K1006">
        <v>16894</v>
      </c>
      <c r="L1006">
        <v>214201</v>
      </c>
      <c r="M1006">
        <v>42840</v>
      </c>
      <c r="N1006">
        <v>64260</v>
      </c>
      <c r="O1006">
        <v>21420</v>
      </c>
      <c r="P1006">
        <v>-85680</v>
      </c>
      <c r="Q1006">
        <v>-53550</v>
      </c>
      <c r="R1006">
        <v>217425</v>
      </c>
      <c r="S1006">
        <v>65227</v>
      </c>
      <c r="T1006">
        <v>21742</v>
      </c>
      <c r="U1006">
        <v>10710</v>
      </c>
      <c r="V1006">
        <v>6426</v>
      </c>
      <c r="W1006">
        <v>4284</v>
      </c>
      <c r="X1006">
        <v>21420</v>
      </c>
      <c r="Y1006">
        <v>10710</v>
      </c>
      <c r="Z1006">
        <v>10871</v>
      </c>
      <c r="AA1006">
        <v>6522</v>
      </c>
      <c r="AB1006">
        <v>4348</v>
      </c>
    </row>
    <row r="1007" spans="1:28" x14ac:dyDescent="0.35">
      <c r="A1007" t="s">
        <v>1052</v>
      </c>
      <c r="B1007" t="s">
        <v>9</v>
      </c>
      <c r="C1007" t="s">
        <v>1</v>
      </c>
      <c r="D1007" t="s">
        <v>10</v>
      </c>
      <c r="E1007" t="s">
        <v>11</v>
      </c>
      <c r="F1007">
        <v>460984</v>
      </c>
      <c r="G1007">
        <v>-237451</v>
      </c>
      <c r="H1007">
        <v>60365</v>
      </c>
      <c r="I1007">
        <v>460984</v>
      </c>
      <c r="J1007">
        <v>46098</v>
      </c>
      <c r="K1007">
        <v>23049</v>
      </c>
      <c r="L1007">
        <v>230450</v>
      </c>
      <c r="M1007">
        <v>46090</v>
      </c>
      <c r="N1007">
        <v>69135</v>
      </c>
      <c r="O1007">
        <v>23045</v>
      </c>
      <c r="P1007">
        <v>-92180</v>
      </c>
      <c r="Q1007">
        <v>-57612</v>
      </c>
      <c r="R1007">
        <v>274783</v>
      </c>
      <c r="S1007">
        <v>82434</v>
      </c>
      <c r="T1007">
        <v>27478</v>
      </c>
      <c r="U1007">
        <v>11522</v>
      </c>
      <c r="V1007">
        <v>6913</v>
      </c>
      <c r="W1007">
        <v>4609</v>
      </c>
      <c r="X1007">
        <v>23045</v>
      </c>
      <c r="Y1007">
        <v>11522</v>
      </c>
      <c r="Z1007">
        <v>13739</v>
      </c>
      <c r="AA1007">
        <v>8243</v>
      </c>
      <c r="AB1007">
        <v>5495</v>
      </c>
    </row>
    <row r="1008" spans="1:28" x14ac:dyDescent="0.35">
      <c r="A1008" t="s">
        <v>1053</v>
      </c>
      <c r="B1008" t="s">
        <v>9</v>
      </c>
      <c r="C1008" t="s">
        <v>1</v>
      </c>
      <c r="D1008" t="s">
        <v>10</v>
      </c>
      <c r="E1008" t="s">
        <v>11</v>
      </c>
      <c r="F1008">
        <v>418360</v>
      </c>
      <c r="G1008">
        <v>-152179</v>
      </c>
      <c r="H1008">
        <v>150193</v>
      </c>
      <c r="I1008">
        <v>418360</v>
      </c>
      <c r="J1008">
        <v>41836</v>
      </c>
      <c r="K1008">
        <v>20918</v>
      </c>
      <c r="L1008">
        <v>216392</v>
      </c>
      <c r="M1008">
        <v>43278</v>
      </c>
      <c r="N1008">
        <v>64917</v>
      </c>
      <c r="O1008">
        <v>21639</v>
      </c>
      <c r="P1008">
        <v>-86556</v>
      </c>
      <c r="Q1008">
        <v>-54098</v>
      </c>
      <c r="R1008">
        <v>183929</v>
      </c>
      <c r="S1008">
        <v>55178</v>
      </c>
      <c r="T1008">
        <v>18392</v>
      </c>
      <c r="U1008">
        <v>10819</v>
      </c>
      <c r="V1008">
        <v>6491</v>
      </c>
      <c r="W1008">
        <v>4327</v>
      </c>
      <c r="X1008">
        <v>21639</v>
      </c>
      <c r="Y1008">
        <v>10819</v>
      </c>
      <c r="Z1008">
        <v>9196</v>
      </c>
      <c r="AA1008">
        <v>5517</v>
      </c>
      <c r="AB1008">
        <v>3678</v>
      </c>
    </row>
    <row r="1009" spans="1:28" x14ac:dyDescent="0.35">
      <c r="A1009" t="s">
        <v>1054</v>
      </c>
      <c r="B1009" t="s">
        <v>9</v>
      </c>
      <c r="C1009" t="s">
        <v>1</v>
      </c>
      <c r="D1009" t="s">
        <v>10</v>
      </c>
      <c r="E1009" t="s">
        <v>11</v>
      </c>
      <c r="F1009">
        <v>414224</v>
      </c>
      <c r="G1009">
        <v>-204656</v>
      </c>
      <c r="H1009">
        <v>46813</v>
      </c>
      <c r="I1009">
        <v>414224</v>
      </c>
      <c r="J1009">
        <v>41422</v>
      </c>
      <c r="K1009">
        <v>20711</v>
      </c>
      <c r="L1009">
        <v>190601</v>
      </c>
      <c r="M1009">
        <v>38120</v>
      </c>
      <c r="N1009">
        <v>57180</v>
      </c>
      <c r="O1009">
        <v>19060</v>
      </c>
      <c r="P1009">
        <v>-76240</v>
      </c>
      <c r="Q1009">
        <v>-47650</v>
      </c>
      <c r="R1009">
        <v>223357</v>
      </c>
      <c r="S1009">
        <v>67007</v>
      </c>
      <c r="T1009">
        <v>22335</v>
      </c>
      <c r="U1009">
        <v>9530</v>
      </c>
      <c r="V1009">
        <v>5718</v>
      </c>
      <c r="W1009">
        <v>3812</v>
      </c>
      <c r="X1009">
        <v>19060</v>
      </c>
      <c r="Y1009">
        <v>9530</v>
      </c>
      <c r="Z1009">
        <v>11167</v>
      </c>
      <c r="AA1009">
        <v>6700</v>
      </c>
      <c r="AB1009">
        <v>4467</v>
      </c>
    </row>
    <row r="1010" spans="1:28" x14ac:dyDescent="0.35">
      <c r="A1010" t="s">
        <v>1055</v>
      </c>
      <c r="B1010" t="s">
        <v>9</v>
      </c>
      <c r="C1010" t="s">
        <v>1</v>
      </c>
      <c r="D1010" t="s">
        <v>10</v>
      </c>
      <c r="E1010" t="s">
        <v>11</v>
      </c>
      <c r="F1010">
        <v>326676</v>
      </c>
      <c r="G1010">
        <v>-131779</v>
      </c>
      <c r="H1010">
        <v>146418</v>
      </c>
      <c r="I1010">
        <v>326676</v>
      </c>
      <c r="J1010">
        <v>32667</v>
      </c>
      <c r="K1010">
        <v>16333</v>
      </c>
      <c r="L1010">
        <v>89888</v>
      </c>
      <c r="M1010">
        <v>17977</v>
      </c>
      <c r="N1010">
        <v>26966</v>
      </c>
      <c r="O1010">
        <v>8988</v>
      </c>
      <c r="P1010">
        <v>-35955</v>
      </c>
      <c r="Q1010">
        <v>-22472</v>
      </c>
      <c r="R1010">
        <v>105053</v>
      </c>
      <c r="S1010">
        <v>31515</v>
      </c>
      <c r="T1010">
        <v>10505</v>
      </c>
      <c r="U1010">
        <v>4494</v>
      </c>
      <c r="V1010">
        <v>2696</v>
      </c>
      <c r="W1010">
        <v>1797</v>
      </c>
      <c r="X1010">
        <v>8988</v>
      </c>
      <c r="Y1010">
        <v>4494</v>
      </c>
      <c r="Z1010">
        <v>5252</v>
      </c>
      <c r="AA1010">
        <v>3151</v>
      </c>
      <c r="AB1010">
        <v>2101</v>
      </c>
    </row>
    <row r="1011" spans="1:28" x14ac:dyDescent="0.35">
      <c r="A1011" t="s">
        <v>1056</v>
      </c>
      <c r="B1011" t="s">
        <v>9</v>
      </c>
      <c r="C1011" t="s">
        <v>1</v>
      </c>
      <c r="D1011" t="s">
        <v>10</v>
      </c>
      <c r="E1011" t="s">
        <v>11</v>
      </c>
      <c r="F1011">
        <v>72802</v>
      </c>
      <c r="G1011">
        <v>-30065</v>
      </c>
      <c r="H1011">
        <v>17546</v>
      </c>
      <c r="I1011">
        <v>72802</v>
      </c>
      <c r="J1011">
        <v>7280</v>
      </c>
      <c r="K1011">
        <v>3640</v>
      </c>
      <c r="L1011">
        <v>38876</v>
      </c>
      <c r="M1011">
        <v>7775</v>
      </c>
      <c r="N1011">
        <v>11662</v>
      </c>
      <c r="O1011">
        <v>3887</v>
      </c>
      <c r="P1011">
        <v>-15550</v>
      </c>
      <c r="Q1011">
        <v>-9719</v>
      </c>
      <c r="R1011">
        <v>36679</v>
      </c>
      <c r="S1011">
        <v>11003</v>
      </c>
      <c r="T1011">
        <v>3667</v>
      </c>
      <c r="U1011">
        <v>1943</v>
      </c>
      <c r="V1011">
        <v>1166</v>
      </c>
      <c r="W1011">
        <v>777</v>
      </c>
      <c r="X1011">
        <v>3887</v>
      </c>
      <c r="Y1011">
        <v>1943</v>
      </c>
      <c r="Z1011">
        <v>1833</v>
      </c>
      <c r="AA1011">
        <v>1100</v>
      </c>
      <c r="AB1011">
        <v>733</v>
      </c>
    </row>
    <row r="1012" spans="1:28" x14ac:dyDescent="0.35">
      <c r="A1012" t="s">
        <v>1057</v>
      </c>
      <c r="B1012" t="s">
        <v>9</v>
      </c>
      <c r="C1012" t="s">
        <v>1</v>
      </c>
      <c r="D1012" t="s">
        <v>10</v>
      </c>
      <c r="E1012" t="s">
        <v>11</v>
      </c>
      <c r="F1012">
        <v>291124</v>
      </c>
      <c r="G1012">
        <v>-117618</v>
      </c>
      <c r="H1012">
        <v>100341</v>
      </c>
      <c r="I1012">
        <v>291124</v>
      </c>
      <c r="J1012">
        <v>29112</v>
      </c>
      <c r="K1012">
        <v>14556</v>
      </c>
      <c r="L1012">
        <v>205069</v>
      </c>
      <c r="M1012">
        <v>41013</v>
      </c>
      <c r="N1012">
        <v>61520</v>
      </c>
      <c r="O1012">
        <v>20506</v>
      </c>
      <c r="P1012">
        <v>-82027</v>
      </c>
      <c r="Q1012">
        <v>-51267</v>
      </c>
      <c r="R1012">
        <v>186997</v>
      </c>
      <c r="S1012">
        <v>56099</v>
      </c>
      <c r="T1012">
        <v>18699</v>
      </c>
      <c r="U1012">
        <v>10253</v>
      </c>
      <c r="V1012">
        <v>6152</v>
      </c>
      <c r="W1012">
        <v>4101</v>
      </c>
      <c r="X1012">
        <v>20506</v>
      </c>
      <c r="Y1012">
        <v>10253</v>
      </c>
      <c r="Z1012">
        <v>9349</v>
      </c>
      <c r="AA1012">
        <v>5609</v>
      </c>
      <c r="AB1012">
        <v>3739</v>
      </c>
    </row>
    <row r="1013" spans="1:28" x14ac:dyDescent="0.35">
      <c r="A1013" t="s">
        <v>1058</v>
      </c>
      <c r="B1013" t="s">
        <v>9</v>
      </c>
      <c r="C1013" t="s">
        <v>1</v>
      </c>
      <c r="D1013" t="s">
        <v>10</v>
      </c>
      <c r="E1013" t="s">
        <v>11</v>
      </c>
      <c r="F1013">
        <v>458010</v>
      </c>
      <c r="G1013">
        <v>-110238</v>
      </c>
      <c r="H1013">
        <v>174872</v>
      </c>
      <c r="I1013">
        <v>458010</v>
      </c>
      <c r="J1013">
        <v>45801</v>
      </c>
      <c r="K1013">
        <v>22900</v>
      </c>
      <c r="L1013">
        <v>300918</v>
      </c>
      <c r="M1013">
        <v>60183</v>
      </c>
      <c r="N1013">
        <v>90275</v>
      </c>
      <c r="O1013">
        <v>30091</v>
      </c>
      <c r="P1013">
        <v>-120367</v>
      </c>
      <c r="Q1013">
        <v>-75229</v>
      </c>
      <c r="R1013">
        <v>344021</v>
      </c>
      <c r="S1013">
        <v>103206</v>
      </c>
      <c r="T1013">
        <v>34402</v>
      </c>
      <c r="U1013">
        <v>15045</v>
      </c>
      <c r="V1013">
        <v>9027</v>
      </c>
      <c r="W1013">
        <v>6018</v>
      </c>
      <c r="X1013">
        <v>30091</v>
      </c>
      <c r="Y1013">
        <v>15045</v>
      </c>
      <c r="Z1013">
        <v>17201</v>
      </c>
      <c r="AA1013">
        <v>10320</v>
      </c>
      <c r="AB1013">
        <v>6880</v>
      </c>
    </row>
    <row r="1014" spans="1:28" x14ac:dyDescent="0.35">
      <c r="A1014" t="s">
        <v>1059</v>
      </c>
      <c r="B1014" t="s">
        <v>9</v>
      </c>
      <c r="C1014" t="s">
        <v>1</v>
      </c>
      <c r="D1014" t="s">
        <v>10</v>
      </c>
      <c r="E1014" t="s">
        <v>11</v>
      </c>
      <c r="F1014">
        <v>443512</v>
      </c>
      <c r="G1014">
        <v>-187093</v>
      </c>
      <c r="H1014">
        <v>123973</v>
      </c>
      <c r="I1014">
        <v>443512</v>
      </c>
      <c r="J1014">
        <v>44351</v>
      </c>
      <c r="K1014">
        <v>22175</v>
      </c>
      <c r="L1014">
        <v>179416</v>
      </c>
      <c r="M1014">
        <v>35883</v>
      </c>
      <c r="N1014">
        <v>53824</v>
      </c>
      <c r="O1014">
        <v>17941</v>
      </c>
      <c r="P1014">
        <v>-71766</v>
      </c>
      <c r="Q1014">
        <v>-44854</v>
      </c>
      <c r="R1014">
        <v>200589</v>
      </c>
      <c r="S1014">
        <v>60176</v>
      </c>
      <c r="T1014">
        <v>20058</v>
      </c>
      <c r="U1014">
        <v>8970</v>
      </c>
      <c r="V1014">
        <v>5382</v>
      </c>
      <c r="W1014">
        <v>3588</v>
      </c>
      <c r="X1014">
        <v>17941</v>
      </c>
      <c r="Y1014">
        <v>8970</v>
      </c>
      <c r="Z1014">
        <v>10029</v>
      </c>
      <c r="AA1014">
        <v>6017</v>
      </c>
      <c r="AB1014">
        <v>4011</v>
      </c>
    </row>
    <row r="1015" spans="1:28" x14ac:dyDescent="0.35">
      <c r="A1015" t="s">
        <v>1060</v>
      </c>
      <c r="B1015" t="s">
        <v>9</v>
      </c>
      <c r="C1015" t="s">
        <v>1</v>
      </c>
      <c r="D1015" t="s">
        <v>10</v>
      </c>
      <c r="E1015" t="s">
        <v>11</v>
      </c>
      <c r="F1015">
        <v>264305</v>
      </c>
      <c r="G1015">
        <v>-82411</v>
      </c>
      <c r="H1015">
        <v>99383</v>
      </c>
      <c r="I1015">
        <v>264305</v>
      </c>
      <c r="J1015">
        <v>26430</v>
      </c>
      <c r="K1015">
        <v>13215</v>
      </c>
      <c r="L1015">
        <v>69365</v>
      </c>
      <c r="M1015">
        <v>13873</v>
      </c>
      <c r="N1015">
        <v>20809</v>
      </c>
      <c r="O1015">
        <v>6936</v>
      </c>
      <c r="P1015">
        <v>-27746</v>
      </c>
      <c r="Q1015">
        <v>-17341</v>
      </c>
      <c r="R1015">
        <v>81178</v>
      </c>
      <c r="S1015">
        <v>24353</v>
      </c>
      <c r="T1015">
        <v>8117</v>
      </c>
      <c r="U1015">
        <v>3468</v>
      </c>
      <c r="V1015">
        <v>2080</v>
      </c>
      <c r="W1015">
        <v>1387</v>
      </c>
      <c r="X1015">
        <v>6936</v>
      </c>
      <c r="Y1015">
        <v>3468</v>
      </c>
      <c r="Z1015">
        <v>4058</v>
      </c>
      <c r="AA1015">
        <v>2435</v>
      </c>
      <c r="AB1015">
        <v>1623</v>
      </c>
    </row>
    <row r="1016" spans="1:28" x14ac:dyDescent="0.35">
      <c r="A1016" t="s">
        <v>1061</v>
      </c>
      <c r="B1016" t="s">
        <v>9</v>
      </c>
      <c r="C1016" t="s">
        <v>1</v>
      </c>
      <c r="D1016" t="s">
        <v>10</v>
      </c>
      <c r="E1016" t="s">
        <v>11</v>
      </c>
      <c r="F1016">
        <v>209835</v>
      </c>
      <c r="G1016">
        <v>-77360</v>
      </c>
      <c r="H1016">
        <v>23944</v>
      </c>
      <c r="I1016">
        <v>209835</v>
      </c>
      <c r="J1016">
        <v>20983</v>
      </c>
      <c r="K1016">
        <v>10491</v>
      </c>
      <c r="L1016">
        <v>103046</v>
      </c>
      <c r="M1016">
        <v>20609</v>
      </c>
      <c r="N1016">
        <v>30913</v>
      </c>
      <c r="O1016">
        <v>10304</v>
      </c>
      <c r="P1016">
        <v>-41218</v>
      </c>
      <c r="Q1016">
        <v>-25761</v>
      </c>
      <c r="R1016">
        <v>108555</v>
      </c>
      <c r="S1016">
        <v>32566</v>
      </c>
      <c r="T1016">
        <v>10855</v>
      </c>
      <c r="U1016">
        <v>5152</v>
      </c>
      <c r="V1016">
        <v>3091</v>
      </c>
      <c r="W1016">
        <v>2060</v>
      </c>
      <c r="X1016">
        <v>10304</v>
      </c>
      <c r="Y1016">
        <v>5152</v>
      </c>
      <c r="Z1016">
        <v>5427</v>
      </c>
      <c r="AA1016">
        <v>3256</v>
      </c>
      <c r="AB1016">
        <v>2171</v>
      </c>
    </row>
    <row r="1017" spans="1:28" x14ac:dyDescent="0.35">
      <c r="A1017" t="s">
        <v>1062</v>
      </c>
      <c r="B1017" t="s">
        <v>9</v>
      </c>
      <c r="C1017" t="s">
        <v>1</v>
      </c>
      <c r="D1017" t="s">
        <v>10</v>
      </c>
      <c r="E1017" t="s">
        <v>11</v>
      </c>
      <c r="F1017">
        <v>221979</v>
      </c>
      <c r="G1017">
        <v>-118275</v>
      </c>
      <c r="H1017">
        <v>72056</v>
      </c>
      <c r="I1017">
        <v>221979</v>
      </c>
      <c r="J1017">
        <v>22197</v>
      </c>
      <c r="K1017">
        <v>11098</v>
      </c>
      <c r="L1017">
        <v>68504</v>
      </c>
      <c r="M1017">
        <v>13700</v>
      </c>
      <c r="N1017">
        <v>20551</v>
      </c>
      <c r="O1017">
        <v>6850</v>
      </c>
      <c r="P1017">
        <v>-27401</v>
      </c>
      <c r="Q1017">
        <v>-17126</v>
      </c>
      <c r="R1017">
        <v>56487</v>
      </c>
      <c r="S1017">
        <v>16946</v>
      </c>
      <c r="T1017">
        <v>5648</v>
      </c>
      <c r="U1017">
        <v>3425</v>
      </c>
      <c r="V1017">
        <v>2055</v>
      </c>
      <c r="W1017">
        <v>1370</v>
      </c>
      <c r="X1017">
        <v>6850</v>
      </c>
      <c r="Y1017">
        <v>3425</v>
      </c>
      <c r="Z1017">
        <v>2824</v>
      </c>
      <c r="AA1017">
        <v>1694</v>
      </c>
      <c r="AB1017">
        <v>1129</v>
      </c>
    </row>
    <row r="1018" spans="1:28" x14ac:dyDescent="0.35">
      <c r="A1018" t="s">
        <v>1063</v>
      </c>
      <c r="B1018" t="s">
        <v>9</v>
      </c>
      <c r="C1018" t="s">
        <v>1</v>
      </c>
      <c r="D1018" t="s">
        <v>10</v>
      </c>
      <c r="E1018" t="s">
        <v>11</v>
      </c>
      <c r="F1018">
        <v>239699</v>
      </c>
      <c r="G1018">
        <v>-121151</v>
      </c>
      <c r="H1018">
        <v>77040</v>
      </c>
      <c r="I1018">
        <v>239699</v>
      </c>
      <c r="J1018">
        <v>23969</v>
      </c>
      <c r="K1018">
        <v>11984</v>
      </c>
      <c r="L1018">
        <v>177899</v>
      </c>
      <c r="M1018">
        <v>35579</v>
      </c>
      <c r="N1018">
        <v>53369</v>
      </c>
      <c r="O1018">
        <v>17789</v>
      </c>
      <c r="P1018">
        <v>-71159</v>
      </c>
      <c r="Q1018">
        <v>-44474</v>
      </c>
      <c r="R1018">
        <v>209953</v>
      </c>
      <c r="S1018">
        <v>62985</v>
      </c>
      <c r="T1018">
        <v>20995</v>
      </c>
      <c r="U1018">
        <v>8894</v>
      </c>
      <c r="V1018">
        <v>5336</v>
      </c>
      <c r="W1018">
        <v>3557</v>
      </c>
      <c r="X1018">
        <v>17789</v>
      </c>
      <c r="Y1018">
        <v>8894</v>
      </c>
      <c r="Z1018">
        <v>10497</v>
      </c>
      <c r="AA1018">
        <v>6298</v>
      </c>
      <c r="AB1018">
        <v>4199</v>
      </c>
    </row>
    <row r="1019" spans="1:28" x14ac:dyDescent="0.35">
      <c r="A1019" t="s">
        <v>1064</v>
      </c>
      <c r="B1019" t="s">
        <v>9</v>
      </c>
      <c r="C1019" t="s">
        <v>1</v>
      </c>
      <c r="D1019" t="s">
        <v>10</v>
      </c>
      <c r="E1019" t="s">
        <v>11</v>
      </c>
      <c r="F1019">
        <v>471512</v>
      </c>
      <c r="G1019">
        <v>-118856</v>
      </c>
      <c r="H1019">
        <v>118803</v>
      </c>
      <c r="I1019">
        <v>471512</v>
      </c>
      <c r="J1019">
        <v>47151</v>
      </c>
      <c r="K1019">
        <v>23575</v>
      </c>
      <c r="L1019">
        <v>345723</v>
      </c>
      <c r="M1019">
        <v>69144</v>
      </c>
      <c r="N1019">
        <v>103716</v>
      </c>
      <c r="O1019">
        <v>34572</v>
      </c>
      <c r="P1019">
        <v>-138289</v>
      </c>
      <c r="Q1019">
        <v>-86430</v>
      </c>
      <c r="R1019">
        <v>282802</v>
      </c>
      <c r="S1019">
        <v>84840</v>
      </c>
      <c r="T1019">
        <v>28280</v>
      </c>
      <c r="U1019">
        <v>17286</v>
      </c>
      <c r="V1019">
        <v>10371</v>
      </c>
      <c r="W1019">
        <v>6914</v>
      </c>
      <c r="X1019">
        <v>34572</v>
      </c>
      <c r="Y1019">
        <v>17286</v>
      </c>
      <c r="Z1019">
        <v>14140</v>
      </c>
      <c r="AA1019">
        <v>8484</v>
      </c>
      <c r="AB1019">
        <v>5656</v>
      </c>
    </row>
    <row r="1020" spans="1:28" x14ac:dyDescent="0.35">
      <c r="A1020" t="s">
        <v>1065</v>
      </c>
      <c r="B1020" t="s">
        <v>9</v>
      </c>
      <c r="C1020" t="s">
        <v>1</v>
      </c>
      <c r="D1020" t="s">
        <v>10</v>
      </c>
      <c r="E1020" t="s">
        <v>11</v>
      </c>
      <c r="F1020">
        <v>193861</v>
      </c>
      <c r="G1020">
        <v>-63570</v>
      </c>
      <c r="H1020">
        <v>69947</v>
      </c>
      <c r="I1020">
        <v>193861</v>
      </c>
      <c r="J1020">
        <v>19386</v>
      </c>
      <c r="K1020">
        <v>9693</v>
      </c>
      <c r="L1020">
        <v>57966</v>
      </c>
      <c r="M1020">
        <v>11593</v>
      </c>
      <c r="N1020">
        <v>17389</v>
      </c>
      <c r="O1020">
        <v>5796</v>
      </c>
      <c r="P1020">
        <v>-23186</v>
      </c>
      <c r="Q1020">
        <v>-14491</v>
      </c>
      <c r="R1020">
        <v>49150</v>
      </c>
      <c r="S1020">
        <v>14745</v>
      </c>
      <c r="T1020">
        <v>4915</v>
      </c>
      <c r="U1020">
        <v>2898</v>
      </c>
      <c r="V1020">
        <v>1738</v>
      </c>
      <c r="W1020">
        <v>1159</v>
      </c>
      <c r="X1020">
        <v>5796</v>
      </c>
      <c r="Y1020">
        <v>2898</v>
      </c>
      <c r="Z1020">
        <v>2457</v>
      </c>
      <c r="AA1020">
        <v>1474</v>
      </c>
      <c r="AB1020">
        <v>983</v>
      </c>
    </row>
    <row r="1021" spans="1:28" x14ac:dyDescent="0.35">
      <c r="A1021" t="s">
        <v>1066</v>
      </c>
      <c r="B1021" t="s">
        <v>9</v>
      </c>
      <c r="C1021" t="s">
        <v>1</v>
      </c>
      <c r="D1021" t="s">
        <v>10</v>
      </c>
      <c r="E1021" t="s">
        <v>11</v>
      </c>
      <c r="F1021">
        <v>376533</v>
      </c>
      <c r="G1021">
        <v>-193150</v>
      </c>
      <c r="H1021">
        <v>165409</v>
      </c>
      <c r="I1021">
        <v>376533</v>
      </c>
      <c r="J1021">
        <v>37653</v>
      </c>
      <c r="K1021">
        <v>18826</v>
      </c>
      <c r="L1021">
        <v>97043</v>
      </c>
      <c r="M1021">
        <v>19408</v>
      </c>
      <c r="N1021">
        <v>29112</v>
      </c>
      <c r="O1021">
        <v>9704</v>
      </c>
      <c r="P1021">
        <v>-38817</v>
      </c>
      <c r="Q1021">
        <v>-24260</v>
      </c>
      <c r="R1021">
        <v>106375</v>
      </c>
      <c r="S1021">
        <v>31912</v>
      </c>
      <c r="T1021">
        <v>10637</v>
      </c>
      <c r="U1021">
        <v>4852</v>
      </c>
      <c r="V1021">
        <v>2911</v>
      </c>
      <c r="W1021">
        <v>1940</v>
      </c>
      <c r="X1021">
        <v>9704</v>
      </c>
      <c r="Y1021">
        <v>4852</v>
      </c>
      <c r="Z1021">
        <v>5318</v>
      </c>
      <c r="AA1021">
        <v>3191</v>
      </c>
      <c r="AB1021">
        <v>2127</v>
      </c>
    </row>
    <row r="1022" spans="1:28" x14ac:dyDescent="0.35">
      <c r="A1022" t="s">
        <v>1067</v>
      </c>
      <c r="B1022" t="s">
        <v>9</v>
      </c>
      <c r="C1022" t="s">
        <v>1</v>
      </c>
      <c r="D1022" t="s">
        <v>10</v>
      </c>
      <c r="E1022" t="s">
        <v>11</v>
      </c>
      <c r="F1022">
        <v>82052</v>
      </c>
      <c r="G1022">
        <v>-48466</v>
      </c>
      <c r="H1022">
        <v>34965</v>
      </c>
      <c r="I1022">
        <v>82052</v>
      </c>
      <c r="J1022">
        <v>8205</v>
      </c>
      <c r="K1022">
        <v>4102</v>
      </c>
      <c r="L1022">
        <v>53682</v>
      </c>
      <c r="M1022">
        <v>10736</v>
      </c>
      <c r="N1022">
        <v>16104</v>
      </c>
      <c r="O1022">
        <v>5368</v>
      </c>
      <c r="P1022">
        <v>-21472</v>
      </c>
      <c r="Q1022">
        <v>-13420</v>
      </c>
      <c r="R1022">
        <v>45108</v>
      </c>
      <c r="S1022">
        <v>13532</v>
      </c>
      <c r="T1022">
        <v>4510</v>
      </c>
      <c r="U1022">
        <v>2684</v>
      </c>
      <c r="V1022">
        <v>1610</v>
      </c>
      <c r="W1022">
        <v>1073</v>
      </c>
      <c r="X1022">
        <v>5368</v>
      </c>
      <c r="Y1022">
        <v>2684</v>
      </c>
      <c r="Z1022">
        <v>2255</v>
      </c>
      <c r="AA1022">
        <v>1353</v>
      </c>
      <c r="AB1022">
        <v>902</v>
      </c>
    </row>
    <row r="1023" spans="1:28" x14ac:dyDescent="0.35">
      <c r="A1023" t="s">
        <v>1068</v>
      </c>
      <c r="B1023" t="s">
        <v>9</v>
      </c>
      <c r="C1023" t="s">
        <v>1</v>
      </c>
      <c r="D1023" t="s">
        <v>10</v>
      </c>
      <c r="E1023" t="s">
        <v>11</v>
      </c>
      <c r="F1023">
        <v>83240</v>
      </c>
      <c r="G1023">
        <v>-46296</v>
      </c>
      <c r="H1023">
        <v>10805</v>
      </c>
      <c r="I1023">
        <v>83240</v>
      </c>
      <c r="J1023">
        <v>8324</v>
      </c>
      <c r="K1023">
        <v>4162</v>
      </c>
      <c r="L1023">
        <v>52655</v>
      </c>
      <c r="M1023">
        <v>10531</v>
      </c>
      <c r="N1023">
        <v>15796</v>
      </c>
      <c r="O1023">
        <v>5265</v>
      </c>
      <c r="P1023">
        <v>-21062</v>
      </c>
      <c r="Q1023">
        <v>-13163</v>
      </c>
      <c r="R1023">
        <v>45910</v>
      </c>
      <c r="S1023">
        <v>13773</v>
      </c>
      <c r="T1023">
        <v>4591</v>
      </c>
      <c r="U1023">
        <v>2632</v>
      </c>
      <c r="V1023">
        <v>1579</v>
      </c>
      <c r="W1023">
        <v>1053</v>
      </c>
      <c r="X1023">
        <v>5265</v>
      </c>
      <c r="Y1023">
        <v>2632</v>
      </c>
      <c r="Z1023">
        <v>2295</v>
      </c>
      <c r="AA1023">
        <v>1377</v>
      </c>
      <c r="AB1023">
        <v>918</v>
      </c>
    </row>
    <row r="1024" spans="1:28" x14ac:dyDescent="0.35">
      <c r="A1024" t="s">
        <v>1069</v>
      </c>
      <c r="B1024" t="s">
        <v>9</v>
      </c>
      <c r="C1024" t="s">
        <v>1</v>
      </c>
      <c r="D1024" t="s">
        <v>10</v>
      </c>
      <c r="E1024" t="s">
        <v>11</v>
      </c>
      <c r="F1024">
        <v>218718</v>
      </c>
      <c r="G1024">
        <v>-66315</v>
      </c>
      <c r="H1024">
        <v>54252</v>
      </c>
      <c r="I1024">
        <v>218718</v>
      </c>
      <c r="J1024">
        <v>21871</v>
      </c>
      <c r="K1024">
        <v>10935</v>
      </c>
      <c r="L1024">
        <v>65572</v>
      </c>
      <c r="M1024">
        <v>13114</v>
      </c>
      <c r="N1024">
        <v>19671</v>
      </c>
      <c r="O1024">
        <v>6557</v>
      </c>
      <c r="P1024">
        <v>-26228</v>
      </c>
      <c r="Q1024">
        <v>-16393</v>
      </c>
      <c r="R1024">
        <v>78333</v>
      </c>
      <c r="S1024">
        <v>23499</v>
      </c>
      <c r="T1024">
        <v>7833</v>
      </c>
      <c r="U1024">
        <v>3278</v>
      </c>
      <c r="V1024">
        <v>1967</v>
      </c>
      <c r="W1024">
        <v>1311</v>
      </c>
      <c r="X1024">
        <v>6557</v>
      </c>
      <c r="Y1024">
        <v>3278</v>
      </c>
      <c r="Z1024">
        <v>3916</v>
      </c>
      <c r="AA1024">
        <v>2349</v>
      </c>
      <c r="AB1024">
        <v>1566</v>
      </c>
    </row>
    <row r="1025" spans="1:28" x14ac:dyDescent="0.35">
      <c r="A1025" t="s">
        <v>1070</v>
      </c>
      <c r="B1025" t="s">
        <v>9</v>
      </c>
      <c r="C1025" t="s">
        <v>1</v>
      </c>
      <c r="D1025" t="s">
        <v>10</v>
      </c>
      <c r="E1025" t="s">
        <v>11</v>
      </c>
      <c r="F1025">
        <v>293956</v>
      </c>
      <c r="G1025">
        <v>-129712</v>
      </c>
      <c r="H1025">
        <v>100061</v>
      </c>
      <c r="I1025">
        <v>293956</v>
      </c>
      <c r="J1025">
        <v>29395</v>
      </c>
      <c r="K1025">
        <v>14697</v>
      </c>
      <c r="L1025">
        <v>124620</v>
      </c>
      <c r="M1025">
        <v>24924</v>
      </c>
      <c r="N1025">
        <v>37386</v>
      </c>
      <c r="O1025">
        <v>12462</v>
      </c>
      <c r="P1025">
        <v>-49848</v>
      </c>
      <c r="Q1025">
        <v>-31155</v>
      </c>
      <c r="R1025">
        <v>115062</v>
      </c>
      <c r="S1025">
        <v>34518</v>
      </c>
      <c r="T1025">
        <v>11506</v>
      </c>
      <c r="U1025">
        <v>6231</v>
      </c>
      <c r="V1025">
        <v>3738</v>
      </c>
      <c r="W1025">
        <v>2492</v>
      </c>
      <c r="X1025">
        <v>12462</v>
      </c>
      <c r="Y1025">
        <v>6231</v>
      </c>
      <c r="Z1025">
        <v>5753</v>
      </c>
      <c r="AA1025">
        <v>3451</v>
      </c>
      <c r="AB1025">
        <v>2301</v>
      </c>
    </row>
    <row r="1026" spans="1:28" x14ac:dyDescent="0.35">
      <c r="A1026" t="s">
        <v>1071</v>
      </c>
      <c r="B1026" t="s">
        <v>9</v>
      </c>
      <c r="C1026" t="s">
        <v>1</v>
      </c>
      <c r="D1026" t="s">
        <v>10</v>
      </c>
      <c r="E1026" t="s">
        <v>11</v>
      </c>
      <c r="F1026">
        <v>106656</v>
      </c>
      <c r="G1026">
        <v>-53931</v>
      </c>
      <c r="H1026">
        <v>26505</v>
      </c>
      <c r="I1026">
        <v>106656</v>
      </c>
      <c r="J1026">
        <v>10665</v>
      </c>
      <c r="K1026">
        <v>5332</v>
      </c>
      <c r="L1026">
        <v>70201</v>
      </c>
      <c r="M1026">
        <v>14040</v>
      </c>
      <c r="N1026">
        <v>21060</v>
      </c>
      <c r="O1026">
        <v>7020</v>
      </c>
      <c r="P1026">
        <v>-28080</v>
      </c>
      <c r="Q1026">
        <v>-17550</v>
      </c>
      <c r="R1026">
        <v>65129</v>
      </c>
      <c r="S1026">
        <v>19538</v>
      </c>
      <c r="T1026">
        <v>6512</v>
      </c>
      <c r="U1026">
        <v>3510</v>
      </c>
      <c r="V1026">
        <v>2106</v>
      </c>
      <c r="W1026">
        <v>1404</v>
      </c>
      <c r="X1026">
        <v>7020</v>
      </c>
      <c r="Y1026">
        <v>3510</v>
      </c>
      <c r="Z1026">
        <v>3256</v>
      </c>
      <c r="AA1026">
        <v>1953</v>
      </c>
      <c r="AB1026">
        <v>1302</v>
      </c>
    </row>
    <row r="1027" spans="1:28" x14ac:dyDescent="0.35">
      <c r="A1027" t="s">
        <v>1072</v>
      </c>
      <c r="B1027" t="s">
        <v>9</v>
      </c>
      <c r="C1027" t="s">
        <v>1</v>
      </c>
      <c r="D1027" t="s">
        <v>10</v>
      </c>
      <c r="E1027" t="s">
        <v>11</v>
      </c>
      <c r="F1027">
        <v>284890</v>
      </c>
      <c r="G1027">
        <v>-65459</v>
      </c>
      <c r="H1027">
        <v>106140</v>
      </c>
      <c r="I1027">
        <v>284890</v>
      </c>
      <c r="J1027">
        <v>28489</v>
      </c>
      <c r="K1027">
        <v>14244</v>
      </c>
      <c r="L1027">
        <v>163349</v>
      </c>
      <c r="M1027">
        <v>32669</v>
      </c>
      <c r="N1027">
        <v>49004</v>
      </c>
      <c r="O1027">
        <v>16334</v>
      </c>
      <c r="P1027">
        <v>-65339</v>
      </c>
      <c r="Q1027">
        <v>-40837</v>
      </c>
      <c r="R1027">
        <v>149191</v>
      </c>
      <c r="S1027">
        <v>44757</v>
      </c>
      <c r="T1027">
        <v>14919</v>
      </c>
      <c r="U1027">
        <v>8167</v>
      </c>
      <c r="V1027">
        <v>4900</v>
      </c>
      <c r="W1027">
        <v>3266</v>
      </c>
      <c r="X1027">
        <v>16334</v>
      </c>
      <c r="Y1027">
        <v>8167</v>
      </c>
      <c r="Z1027">
        <v>7459</v>
      </c>
      <c r="AA1027">
        <v>4475</v>
      </c>
      <c r="AB1027">
        <v>2983</v>
      </c>
    </row>
    <row r="1028" spans="1:28" x14ac:dyDescent="0.35">
      <c r="A1028" t="s">
        <v>1073</v>
      </c>
      <c r="B1028" t="s">
        <v>9</v>
      </c>
      <c r="C1028" t="s">
        <v>1</v>
      </c>
      <c r="D1028" t="s">
        <v>10</v>
      </c>
      <c r="E1028" t="s">
        <v>11</v>
      </c>
      <c r="F1028">
        <v>425188</v>
      </c>
      <c r="G1028">
        <v>-168805</v>
      </c>
      <c r="H1028">
        <v>127757</v>
      </c>
      <c r="I1028">
        <v>425188</v>
      </c>
      <c r="J1028">
        <v>42518</v>
      </c>
      <c r="K1028">
        <v>21259</v>
      </c>
      <c r="L1028">
        <v>262183</v>
      </c>
      <c r="M1028">
        <v>52436</v>
      </c>
      <c r="N1028">
        <v>78654</v>
      </c>
      <c r="O1028">
        <v>26218</v>
      </c>
      <c r="P1028">
        <v>-104873</v>
      </c>
      <c r="Q1028">
        <v>-65545</v>
      </c>
      <c r="R1028">
        <v>282687</v>
      </c>
      <c r="S1028">
        <v>84806</v>
      </c>
      <c r="T1028">
        <v>28268</v>
      </c>
      <c r="U1028">
        <v>13109</v>
      </c>
      <c r="V1028">
        <v>7865</v>
      </c>
      <c r="W1028">
        <v>5243</v>
      </c>
      <c r="X1028">
        <v>26218</v>
      </c>
      <c r="Y1028">
        <v>13109</v>
      </c>
      <c r="Z1028">
        <v>14134</v>
      </c>
      <c r="AA1028">
        <v>8480</v>
      </c>
      <c r="AB1028">
        <v>5653</v>
      </c>
    </row>
    <row r="1029" spans="1:28" x14ac:dyDescent="0.35">
      <c r="A1029" t="s">
        <v>1074</v>
      </c>
      <c r="B1029" t="s">
        <v>9</v>
      </c>
      <c r="C1029" t="s">
        <v>1</v>
      </c>
      <c r="D1029" t="s">
        <v>10</v>
      </c>
      <c r="E1029" t="s">
        <v>11</v>
      </c>
      <c r="F1029">
        <v>233101</v>
      </c>
      <c r="G1029">
        <v>-137370</v>
      </c>
      <c r="H1029">
        <v>86831</v>
      </c>
      <c r="I1029">
        <v>233101</v>
      </c>
      <c r="J1029">
        <v>23310</v>
      </c>
      <c r="K1029">
        <v>11655</v>
      </c>
      <c r="L1029">
        <v>106018</v>
      </c>
      <c r="M1029">
        <v>21203</v>
      </c>
      <c r="N1029">
        <v>31805</v>
      </c>
      <c r="O1029">
        <v>10601</v>
      </c>
      <c r="P1029">
        <v>-42407</v>
      </c>
      <c r="Q1029">
        <v>-26504</v>
      </c>
      <c r="R1029">
        <v>104467</v>
      </c>
      <c r="S1029">
        <v>31340</v>
      </c>
      <c r="T1029">
        <v>10446</v>
      </c>
      <c r="U1029">
        <v>5300</v>
      </c>
      <c r="V1029">
        <v>3180</v>
      </c>
      <c r="W1029">
        <v>2120</v>
      </c>
      <c r="X1029">
        <v>10601</v>
      </c>
      <c r="Y1029">
        <v>5300</v>
      </c>
      <c r="Z1029">
        <v>5223</v>
      </c>
      <c r="AA1029">
        <v>3134</v>
      </c>
      <c r="AB1029">
        <v>2089</v>
      </c>
    </row>
    <row r="1030" spans="1:28" x14ac:dyDescent="0.35">
      <c r="A1030" t="s">
        <v>1075</v>
      </c>
      <c r="B1030" t="s">
        <v>9</v>
      </c>
      <c r="C1030" t="s">
        <v>1</v>
      </c>
      <c r="D1030" t="s">
        <v>10</v>
      </c>
      <c r="E1030" t="s">
        <v>11</v>
      </c>
      <c r="F1030">
        <v>92620</v>
      </c>
      <c r="G1030">
        <v>-25671</v>
      </c>
      <c r="H1030">
        <v>44306</v>
      </c>
      <c r="I1030">
        <v>92620</v>
      </c>
      <c r="J1030">
        <v>9262</v>
      </c>
      <c r="K1030">
        <v>4631</v>
      </c>
      <c r="L1030">
        <v>34360</v>
      </c>
      <c r="M1030">
        <v>6872</v>
      </c>
      <c r="N1030">
        <v>10308</v>
      </c>
      <c r="O1030">
        <v>3436</v>
      </c>
      <c r="P1030">
        <v>-13744</v>
      </c>
      <c r="Q1030">
        <v>-8590</v>
      </c>
      <c r="R1030">
        <v>28680</v>
      </c>
      <c r="S1030">
        <v>8604</v>
      </c>
      <c r="T1030">
        <v>2868</v>
      </c>
      <c r="U1030">
        <v>1718</v>
      </c>
      <c r="V1030">
        <v>1030</v>
      </c>
      <c r="W1030">
        <v>687</v>
      </c>
      <c r="X1030">
        <v>3436</v>
      </c>
      <c r="Y1030">
        <v>1718</v>
      </c>
      <c r="Z1030">
        <v>1434</v>
      </c>
      <c r="AA1030">
        <v>860</v>
      </c>
      <c r="AB1030">
        <v>573</v>
      </c>
    </row>
    <row r="1031" spans="1:28" x14ac:dyDescent="0.35">
      <c r="A1031" t="s">
        <v>1076</v>
      </c>
      <c r="B1031" t="s">
        <v>9</v>
      </c>
      <c r="C1031" t="s">
        <v>1</v>
      </c>
      <c r="D1031" t="s">
        <v>10</v>
      </c>
      <c r="E1031" t="s">
        <v>11</v>
      </c>
      <c r="F1031">
        <v>188967</v>
      </c>
      <c r="G1031">
        <v>-56320</v>
      </c>
      <c r="H1031">
        <v>40942</v>
      </c>
      <c r="I1031">
        <v>188967</v>
      </c>
      <c r="J1031">
        <v>18896</v>
      </c>
      <c r="K1031">
        <v>9448</v>
      </c>
      <c r="L1031">
        <v>87207</v>
      </c>
      <c r="M1031">
        <v>17441</v>
      </c>
      <c r="N1031">
        <v>26162</v>
      </c>
      <c r="O1031">
        <v>8720</v>
      </c>
      <c r="P1031">
        <v>-34882</v>
      </c>
      <c r="Q1031">
        <v>-21801</v>
      </c>
      <c r="R1031">
        <v>69824</v>
      </c>
      <c r="S1031">
        <v>20947</v>
      </c>
      <c r="T1031">
        <v>6982</v>
      </c>
      <c r="U1031">
        <v>4360</v>
      </c>
      <c r="V1031">
        <v>2616</v>
      </c>
      <c r="W1031">
        <v>1744</v>
      </c>
      <c r="X1031">
        <v>8720</v>
      </c>
      <c r="Y1031">
        <v>4360</v>
      </c>
      <c r="Z1031">
        <v>3491</v>
      </c>
      <c r="AA1031">
        <v>2094</v>
      </c>
      <c r="AB1031">
        <v>1396</v>
      </c>
    </row>
    <row r="1032" spans="1:28" x14ac:dyDescent="0.35">
      <c r="A1032" t="s">
        <v>1077</v>
      </c>
      <c r="B1032" t="s">
        <v>9</v>
      </c>
      <c r="C1032" t="s">
        <v>1</v>
      </c>
      <c r="D1032" t="s">
        <v>10</v>
      </c>
      <c r="E1032" t="s">
        <v>11</v>
      </c>
      <c r="F1032">
        <v>241647</v>
      </c>
      <c r="G1032">
        <v>-109287</v>
      </c>
      <c r="H1032">
        <v>57019</v>
      </c>
      <c r="I1032">
        <v>241647</v>
      </c>
      <c r="J1032">
        <v>24164</v>
      </c>
      <c r="K1032">
        <v>12082</v>
      </c>
      <c r="L1032">
        <v>134847</v>
      </c>
      <c r="M1032">
        <v>26969</v>
      </c>
      <c r="N1032">
        <v>40454</v>
      </c>
      <c r="O1032">
        <v>13484</v>
      </c>
      <c r="P1032">
        <v>-53938</v>
      </c>
      <c r="Q1032">
        <v>-33711</v>
      </c>
      <c r="R1032">
        <v>152658</v>
      </c>
      <c r="S1032">
        <v>45797</v>
      </c>
      <c r="T1032">
        <v>15265</v>
      </c>
      <c r="U1032">
        <v>6742</v>
      </c>
      <c r="V1032">
        <v>4045</v>
      </c>
      <c r="W1032">
        <v>2696</v>
      </c>
      <c r="X1032">
        <v>13484</v>
      </c>
      <c r="Y1032">
        <v>6742</v>
      </c>
      <c r="Z1032">
        <v>7632</v>
      </c>
      <c r="AA1032">
        <v>4579</v>
      </c>
      <c r="AB1032">
        <v>3053</v>
      </c>
    </row>
    <row r="1033" spans="1:28" x14ac:dyDescent="0.35">
      <c r="A1033" t="s">
        <v>1078</v>
      </c>
      <c r="B1033" t="s">
        <v>9</v>
      </c>
      <c r="C1033" t="s">
        <v>1</v>
      </c>
      <c r="D1033" t="s">
        <v>10</v>
      </c>
      <c r="E1033" t="s">
        <v>11</v>
      </c>
      <c r="F1033">
        <v>98796</v>
      </c>
      <c r="G1033">
        <v>-57779</v>
      </c>
      <c r="H1033">
        <v>47086</v>
      </c>
      <c r="I1033">
        <v>98796</v>
      </c>
      <c r="J1033">
        <v>9879</v>
      </c>
      <c r="K1033">
        <v>4939</v>
      </c>
      <c r="L1033">
        <v>63882</v>
      </c>
      <c r="M1033">
        <v>12776</v>
      </c>
      <c r="N1033">
        <v>19164</v>
      </c>
      <c r="O1033">
        <v>6388</v>
      </c>
      <c r="P1033">
        <v>-25552</v>
      </c>
      <c r="Q1033">
        <v>-15970</v>
      </c>
      <c r="R1033">
        <v>75931</v>
      </c>
      <c r="S1033">
        <v>22779</v>
      </c>
      <c r="T1033">
        <v>7593</v>
      </c>
      <c r="U1033">
        <v>3194</v>
      </c>
      <c r="V1033">
        <v>1916</v>
      </c>
      <c r="W1033">
        <v>1277</v>
      </c>
      <c r="X1033">
        <v>6388</v>
      </c>
      <c r="Y1033">
        <v>3194</v>
      </c>
      <c r="Z1033">
        <v>3796</v>
      </c>
      <c r="AA1033">
        <v>2277</v>
      </c>
      <c r="AB1033">
        <v>1518</v>
      </c>
    </row>
    <row r="1034" spans="1:28" x14ac:dyDescent="0.35">
      <c r="A1034" t="s">
        <v>1079</v>
      </c>
      <c r="B1034" t="s">
        <v>9</v>
      </c>
      <c r="C1034" t="s">
        <v>1</v>
      </c>
      <c r="D1034" t="s">
        <v>10</v>
      </c>
      <c r="E1034" t="s">
        <v>11</v>
      </c>
      <c r="F1034">
        <v>403909</v>
      </c>
      <c r="G1034">
        <v>-142917</v>
      </c>
      <c r="H1034">
        <v>91940</v>
      </c>
      <c r="I1034">
        <v>403909</v>
      </c>
      <c r="J1034">
        <v>40390</v>
      </c>
      <c r="K1034">
        <v>20195</v>
      </c>
      <c r="L1034">
        <v>217386</v>
      </c>
      <c r="M1034">
        <v>43477</v>
      </c>
      <c r="N1034">
        <v>65215</v>
      </c>
      <c r="O1034">
        <v>21738</v>
      </c>
      <c r="P1034">
        <v>-86954</v>
      </c>
      <c r="Q1034">
        <v>-54346</v>
      </c>
      <c r="R1034">
        <v>199042</v>
      </c>
      <c r="S1034">
        <v>59712</v>
      </c>
      <c r="T1034">
        <v>19904</v>
      </c>
      <c r="U1034">
        <v>10869</v>
      </c>
      <c r="V1034">
        <v>6521</v>
      </c>
      <c r="W1034">
        <v>4347</v>
      </c>
      <c r="X1034">
        <v>21738</v>
      </c>
      <c r="Y1034">
        <v>10869</v>
      </c>
      <c r="Z1034">
        <v>9952</v>
      </c>
      <c r="AA1034">
        <v>5971</v>
      </c>
      <c r="AB1034">
        <v>3980</v>
      </c>
    </row>
    <row r="1035" spans="1:28" x14ac:dyDescent="0.35">
      <c r="A1035" t="s">
        <v>1080</v>
      </c>
      <c r="B1035" t="s">
        <v>9</v>
      </c>
      <c r="C1035" t="s">
        <v>1</v>
      </c>
      <c r="D1035" t="s">
        <v>10</v>
      </c>
      <c r="E1035" t="s">
        <v>11</v>
      </c>
      <c r="F1035">
        <v>296742</v>
      </c>
      <c r="G1035">
        <v>-143720</v>
      </c>
      <c r="H1035">
        <v>141065</v>
      </c>
      <c r="I1035">
        <v>296742</v>
      </c>
      <c r="J1035">
        <v>29674</v>
      </c>
      <c r="K1035">
        <v>14837</v>
      </c>
      <c r="L1035">
        <v>207859</v>
      </c>
      <c r="M1035">
        <v>41571</v>
      </c>
      <c r="N1035">
        <v>62357</v>
      </c>
      <c r="O1035">
        <v>20785</v>
      </c>
      <c r="P1035">
        <v>-83143</v>
      </c>
      <c r="Q1035">
        <v>-51964</v>
      </c>
      <c r="R1035">
        <v>213398</v>
      </c>
      <c r="S1035">
        <v>64019</v>
      </c>
      <c r="T1035">
        <v>21339</v>
      </c>
      <c r="U1035">
        <v>10392</v>
      </c>
      <c r="V1035">
        <v>6235</v>
      </c>
      <c r="W1035">
        <v>4157</v>
      </c>
      <c r="X1035">
        <v>20785</v>
      </c>
      <c r="Y1035">
        <v>10392</v>
      </c>
      <c r="Z1035">
        <v>10669</v>
      </c>
      <c r="AA1035">
        <v>6401</v>
      </c>
      <c r="AB1035">
        <v>4267</v>
      </c>
    </row>
    <row r="1036" spans="1:28" x14ac:dyDescent="0.35">
      <c r="A1036" t="s">
        <v>1081</v>
      </c>
      <c r="B1036" t="s">
        <v>9</v>
      </c>
      <c r="C1036" t="s">
        <v>1</v>
      </c>
      <c r="D1036" t="s">
        <v>10</v>
      </c>
      <c r="E1036" t="s">
        <v>11</v>
      </c>
      <c r="F1036">
        <v>292525</v>
      </c>
      <c r="G1036">
        <v>-127679</v>
      </c>
      <c r="H1036">
        <v>115659</v>
      </c>
      <c r="I1036">
        <v>292525</v>
      </c>
      <c r="J1036">
        <v>29252</v>
      </c>
      <c r="K1036">
        <v>14626</v>
      </c>
      <c r="L1036">
        <v>131531</v>
      </c>
      <c r="M1036">
        <v>26306</v>
      </c>
      <c r="N1036">
        <v>39459</v>
      </c>
      <c r="O1036">
        <v>13153</v>
      </c>
      <c r="P1036">
        <v>-52612</v>
      </c>
      <c r="Q1036">
        <v>-32882</v>
      </c>
      <c r="R1036">
        <v>112692</v>
      </c>
      <c r="S1036">
        <v>33807</v>
      </c>
      <c r="T1036">
        <v>11269</v>
      </c>
      <c r="U1036">
        <v>6576</v>
      </c>
      <c r="V1036">
        <v>3945</v>
      </c>
      <c r="W1036">
        <v>2630</v>
      </c>
      <c r="X1036">
        <v>13153</v>
      </c>
      <c r="Y1036">
        <v>6576</v>
      </c>
      <c r="Z1036">
        <v>5634</v>
      </c>
      <c r="AA1036">
        <v>3380</v>
      </c>
      <c r="AB1036">
        <v>2253</v>
      </c>
    </row>
    <row r="1037" spans="1:28" x14ac:dyDescent="0.35">
      <c r="A1037" t="s">
        <v>1082</v>
      </c>
      <c r="B1037" t="s">
        <v>9</v>
      </c>
      <c r="C1037" t="s">
        <v>1</v>
      </c>
      <c r="D1037" t="s">
        <v>10</v>
      </c>
      <c r="E1037" t="s">
        <v>11</v>
      </c>
      <c r="F1037">
        <v>243380</v>
      </c>
      <c r="G1037">
        <v>-60038</v>
      </c>
      <c r="H1037">
        <v>105900</v>
      </c>
      <c r="I1037">
        <v>243380</v>
      </c>
      <c r="J1037">
        <v>24338</v>
      </c>
      <c r="K1037">
        <v>12169</v>
      </c>
      <c r="L1037">
        <v>56653</v>
      </c>
      <c r="M1037">
        <v>11330</v>
      </c>
      <c r="N1037">
        <v>16995</v>
      </c>
      <c r="O1037">
        <v>5665</v>
      </c>
      <c r="P1037">
        <v>-22661</v>
      </c>
      <c r="Q1037">
        <v>-14163</v>
      </c>
      <c r="R1037">
        <v>64614</v>
      </c>
      <c r="S1037">
        <v>19384</v>
      </c>
      <c r="T1037">
        <v>6461</v>
      </c>
      <c r="U1037">
        <v>2832</v>
      </c>
      <c r="V1037">
        <v>1699</v>
      </c>
      <c r="W1037">
        <v>1133</v>
      </c>
      <c r="X1037">
        <v>5665</v>
      </c>
      <c r="Y1037">
        <v>2832</v>
      </c>
      <c r="Z1037">
        <v>3230</v>
      </c>
      <c r="AA1037">
        <v>1938</v>
      </c>
      <c r="AB1037">
        <v>1292</v>
      </c>
    </row>
    <row r="1038" spans="1:28" x14ac:dyDescent="0.35">
      <c r="A1038" t="s">
        <v>1083</v>
      </c>
      <c r="B1038" t="s">
        <v>9</v>
      </c>
      <c r="C1038" t="s">
        <v>1</v>
      </c>
      <c r="D1038" t="s">
        <v>10</v>
      </c>
      <c r="E1038" t="s">
        <v>11</v>
      </c>
      <c r="F1038">
        <v>357513</v>
      </c>
      <c r="G1038">
        <v>-201785</v>
      </c>
      <c r="H1038">
        <v>121919</v>
      </c>
      <c r="I1038">
        <v>357513</v>
      </c>
      <c r="J1038">
        <v>35751</v>
      </c>
      <c r="K1038">
        <v>17875</v>
      </c>
      <c r="L1038">
        <v>180430</v>
      </c>
      <c r="M1038">
        <v>36086</v>
      </c>
      <c r="N1038">
        <v>54129</v>
      </c>
      <c r="O1038">
        <v>18043</v>
      </c>
      <c r="P1038">
        <v>-72172</v>
      </c>
      <c r="Q1038">
        <v>-45107</v>
      </c>
      <c r="R1038">
        <v>153335</v>
      </c>
      <c r="S1038">
        <v>46000</v>
      </c>
      <c r="T1038">
        <v>15333</v>
      </c>
      <c r="U1038">
        <v>9021</v>
      </c>
      <c r="V1038">
        <v>5412</v>
      </c>
      <c r="W1038">
        <v>3608</v>
      </c>
      <c r="X1038">
        <v>18043</v>
      </c>
      <c r="Y1038">
        <v>9021</v>
      </c>
      <c r="Z1038">
        <v>7666</v>
      </c>
      <c r="AA1038">
        <v>4600</v>
      </c>
      <c r="AB1038">
        <v>3066</v>
      </c>
    </row>
    <row r="1039" spans="1:28" x14ac:dyDescent="0.35">
      <c r="A1039" t="s">
        <v>1084</v>
      </c>
      <c r="B1039" t="s">
        <v>9</v>
      </c>
      <c r="C1039" t="s">
        <v>1</v>
      </c>
      <c r="D1039" t="s">
        <v>10</v>
      </c>
      <c r="E1039" t="s">
        <v>11</v>
      </c>
      <c r="F1039">
        <v>278993</v>
      </c>
      <c r="G1039">
        <v>-155519</v>
      </c>
      <c r="H1039">
        <v>132137</v>
      </c>
      <c r="I1039">
        <v>278993</v>
      </c>
      <c r="J1039">
        <v>27899</v>
      </c>
      <c r="K1039">
        <v>13949</v>
      </c>
      <c r="L1039">
        <v>181828</v>
      </c>
      <c r="M1039">
        <v>36365</v>
      </c>
      <c r="N1039">
        <v>54548</v>
      </c>
      <c r="O1039">
        <v>18182</v>
      </c>
      <c r="P1039">
        <v>-72731</v>
      </c>
      <c r="Q1039">
        <v>-45457</v>
      </c>
      <c r="R1039">
        <v>174749</v>
      </c>
      <c r="S1039">
        <v>52424</v>
      </c>
      <c r="T1039">
        <v>17474</v>
      </c>
      <c r="U1039">
        <v>9091</v>
      </c>
      <c r="V1039">
        <v>5454</v>
      </c>
      <c r="W1039">
        <v>3636</v>
      </c>
      <c r="X1039">
        <v>18182</v>
      </c>
      <c r="Y1039">
        <v>9091</v>
      </c>
      <c r="Z1039">
        <v>8737</v>
      </c>
      <c r="AA1039">
        <v>5242</v>
      </c>
      <c r="AB1039">
        <v>3494</v>
      </c>
    </row>
    <row r="1040" spans="1:28" x14ac:dyDescent="0.35">
      <c r="A1040" t="s">
        <v>1085</v>
      </c>
      <c r="B1040" t="s">
        <v>9</v>
      </c>
      <c r="C1040" t="s">
        <v>1</v>
      </c>
      <c r="D1040" t="s">
        <v>10</v>
      </c>
      <c r="E1040" t="s">
        <v>11</v>
      </c>
      <c r="F1040">
        <v>380188</v>
      </c>
      <c r="G1040">
        <v>-135985</v>
      </c>
      <c r="H1040">
        <v>143734</v>
      </c>
      <c r="I1040">
        <v>380188</v>
      </c>
      <c r="J1040">
        <v>38018</v>
      </c>
      <c r="K1040">
        <v>19009</v>
      </c>
      <c r="L1040">
        <v>215345</v>
      </c>
      <c r="M1040">
        <v>43069</v>
      </c>
      <c r="N1040">
        <v>64603</v>
      </c>
      <c r="O1040">
        <v>21534</v>
      </c>
      <c r="P1040">
        <v>-86138</v>
      </c>
      <c r="Q1040">
        <v>-53836</v>
      </c>
      <c r="R1040">
        <v>207074</v>
      </c>
      <c r="S1040">
        <v>62122</v>
      </c>
      <c r="T1040">
        <v>20707</v>
      </c>
      <c r="U1040">
        <v>10767</v>
      </c>
      <c r="V1040">
        <v>6460</v>
      </c>
      <c r="W1040">
        <v>4306</v>
      </c>
      <c r="X1040">
        <v>21534</v>
      </c>
      <c r="Y1040">
        <v>10767</v>
      </c>
      <c r="Z1040">
        <v>10353</v>
      </c>
      <c r="AA1040">
        <v>6212</v>
      </c>
      <c r="AB1040">
        <v>4141</v>
      </c>
    </row>
    <row r="1041" spans="1:28" x14ac:dyDescent="0.35">
      <c r="A1041" t="s">
        <v>1086</v>
      </c>
      <c r="B1041" t="s">
        <v>9</v>
      </c>
      <c r="C1041" t="s">
        <v>1</v>
      </c>
      <c r="D1041" t="s">
        <v>10</v>
      </c>
      <c r="E1041" t="s">
        <v>11</v>
      </c>
      <c r="F1041">
        <v>352016</v>
      </c>
      <c r="G1041">
        <v>-77387</v>
      </c>
      <c r="H1041">
        <v>125807</v>
      </c>
      <c r="I1041">
        <v>352016</v>
      </c>
      <c r="J1041">
        <v>35201</v>
      </c>
      <c r="K1041">
        <v>17600</v>
      </c>
      <c r="L1041">
        <v>129965</v>
      </c>
      <c r="M1041">
        <v>25993</v>
      </c>
      <c r="N1041">
        <v>38989</v>
      </c>
      <c r="O1041">
        <v>12996</v>
      </c>
      <c r="P1041">
        <v>-51986</v>
      </c>
      <c r="Q1041">
        <v>-32491</v>
      </c>
      <c r="R1041">
        <v>114824</v>
      </c>
      <c r="S1041">
        <v>34447</v>
      </c>
      <c r="T1041">
        <v>11482</v>
      </c>
      <c r="U1041">
        <v>6498</v>
      </c>
      <c r="V1041">
        <v>3898</v>
      </c>
      <c r="W1041">
        <v>2599</v>
      </c>
      <c r="X1041">
        <v>12996</v>
      </c>
      <c r="Y1041">
        <v>6498</v>
      </c>
      <c r="Z1041">
        <v>5741</v>
      </c>
      <c r="AA1041">
        <v>3444</v>
      </c>
      <c r="AB1041">
        <v>2296</v>
      </c>
    </row>
    <row r="1042" spans="1:28" x14ac:dyDescent="0.35">
      <c r="A1042" t="s">
        <v>1087</v>
      </c>
      <c r="B1042" t="s">
        <v>9</v>
      </c>
      <c r="C1042" t="s">
        <v>1</v>
      </c>
      <c r="D1042" t="s">
        <v>10</v>
      </c>
      <c r="E1042" t="s">
        <v>11</v>
      </c>
      <c r="F1042">
        <v>436149</v>
      </c>
      <c r="G1042">
        <v>-149030</v>
      </c>
      <c r="H1042">
        <v>102391</v>
      </c>
      <c r="I1042">
        <v>436149</v>
      </c>
      <c r="J1042">
        <v>43614</v>
      </c>
      <c r="K1042">
        <v>21807</v>
      </c>
      <c r="L1042">
        <v>289111</v>
      </c>
      <c r="M1042">
        <v>57822</v>
      </c>
      <c r="N1042">
        <v>86733</v>
      </c>
      <c r="O1042">
        <v>28911</v>
      </c>
      <c r="P1042">
        <v>-115644</v>
      </c>
      <c r="Q1042">
        <v>-72277</v>
      </c>
      <c r="R1042">
        <v>279873</v>
      </c>
      <c r="S1042">
        <v>83961</v>
      </c>
      <c r="T1042">
        <v>27987</v>
      </c>
      <c r="U1042">
        <v>14455</v>
      </c>
      <c r="V1042">
        <v>8673</v>
      </c>
      <c r="W1042">
        <v>5782</v>
      </c>
      <c r="X1042">
        <v>28911</v>
      </c>
      <c r="Y1042">
        <v>14455</v>
      </c>
      <c r="Z1042">
        <v>13993</v>
      </c>
      <c r="AA1042">
        <v>8396</v>
      </c>
      <c r="AB1042">
        <v>5597</v>
      </c>
    </row>
    <row r="1043" spans="1:28" x14ac:dyDescent="0.35">
      <c r="A1043" t="s">
        <v>1088</v>
      </c>
      <c r="B1043" t="s">
        <v>9</v>
      </c>
      <c r="C1043" t="s">
        <v>1</v>
      </c>
      <c r="D1043" t="s">
        <v>10</v>
      </c>
      <c r="E1043" t="s">
        <v>11</v>
      </c>
      <c r="F1043">
        <v>451683</v>
      </c>
      <c r="G1043">
        <v>-189444</v>
      </c>
      <c r="H1043">
        <v>135110</v>
      </c>
      <c r="I1043">
        <v>451683</v>
      </c>
      <c r="J1043">
        <v>45168</v>
      </c>
      <c r="K1043">
        <v>22584</v>
      </c>
      <c r="L1043">
        <v>108570</v>
      </c>
      <c r="M1043">
        <v>21714</v>
      </c>
      <c r="N1043">
        <v>32571</v>
      </c>
      <c r="O1043">
        <v>10857</v>
      </c>
      <c r="P1043">
        <v>-43428</v>
      </c>
      <c r="Q1043">
        <v>-27142</v>
      </c>
      <c r="R1043">
        <v>97981</v>
      </c>
      <c r="S1043">
        <v>29394</v>
      </c>
      <c r="T1043">
        <v>9798</v>
      </c>
      <c r="U1043">
        <v>5428</v>
      </c>
      <c r="V1043">
        <v>3257</v>
      </c>
      <c r="W1043">
        <v>2171</v>
      </c>
      <c r="X1043">
        <v>10857</v>
      </c>
      <c r="Y1043">
        <v>5428</v>
      </c>
      <c r="Z1043">
        <v>4899</v>
      </c>
      <c r="AA1043">
        <v>2939</v>
      </c>
      <c r="AB1043">
        <v>1959</v>
      </c>
    </row>
    <row r="1044" spans="1:28" x14ac:dyDescent="0.35">
      <c r="A1044" t="s">
        <v>1089</v>
      </c>
      <c r="B1044" t="s">
        <v>9</v>
      </c>
      <c r="C1044" t="s">
        <v>1</v>
      </c>
      <c r="D1044" t="s">
        <v>10</v>
      </c>
      <c r="E1044" t="s">
        <v>11</v>
      </c>
      <c r="F1044">
        <v>215131</v>
      </c>
      <c r="G1044">
        <v>-79835</v>
      </c>
      <c r="H1044">
        <v>38005</v>
      </c>
      <c r="I1044">
        <v>215131</v>
      </c>
      <c r="J1044">
        <v>21513</v>
      </c>
      <c r="K1044">
        <v>10756</v>
      </c>
      <c r="L1044">
        <v>73632</v>
      </c>
      <c r="M1044">
        <v>14726</v>
      </c>
      <c r="N1044">
        <v>22089</v>
      </c>
      <c r="O1044">
        <v>7363</v>
      </c>
      <c r="P1044">
        <v>-29452</v>
      </c>
      <c r="Q1044">
        <v>-18408</v>
      </c>
      <c r="R1044">
        <v>62297</v>
      </c>
      <c r="S1044">
        <v>18689</v>
      </c>
      <c r="T1044">
        <v>6229</v>
      </c>
      <c r="U1044">
        <v>3681</v>
      </c>
      <c r="V1044">
        <v>2208</v>
      </c>
      <c r="W1044">
        <v>1472</v>
      </c>
      <c r="X1044">
        <v>7363</v>
      </c>
      <c r="Y1044">
        <v>3681</v>
      </c>
      <c r="Z1044">
        <v>3114</v>
      </c>
      <c r="AA1044">
        <v>1868</v>
      </c>
      <c r="AB1044">
        <v>1245</v>
      </c>
    </row>
    <row r="1045" spans="1:28" x14ac:dyDescent="0.35">
      <c r="A1045" t="s">
        <v>1090</v>
      </c>
      <c r="B1045" t="s">
        <v>9</v>
      </c>
      <c r="C1045" t="s">
        <v>1</v>
      </c>
      <c r="D1045" t="s">
        <v>10</v>
      </c>
      <c r="E1045" t="s">
        <v>11</v>
      </c>
      <c r="F1045">
        <v>90792</v>
      </c>
      <c r="G1045">
        <v>-26436</v>
      </c>
      <c r="H1045">
        <v>25759</v>
      </c>
      <c r="I1045">
        <v>90792</v>
      </c>
      <c r="J1045">
        <v>9079</v>
      </c>
      <c r="K1045">
        <v>4539</v>
      </c>
      <c r="L1045">
        <v>19210</v>
      </c>
      <c r="M1045">
        <v>3842</v>
      </c>
      <c r="N1045">
        <v>5763</v>
      </c>
      <c r="O1045">
        <v>1921</v>
      </c>
      <c r="P1045">
        <v>-7684</v>
      </c>
      <c r="Q1045">
        <v>-4802</v>
      </c>
      <c r="R1045">
        <v>22903</v>
      </c>
      <c r="S1045">
        <v>6870</v>
      </c>
      <c r="T1045">
        <v>2290</v>
      </c>
      <c r="U1045">
        <v>960</v>
      </c>
      <c r="V1045">
        <v>576</v>
      </c>
      <c r="W1045">
        <v>384</v>
      </c>
      <c r="X1045">
        <v>1921</v>
      </c>
      <c r="Y1045">
        <v>960</v>
      </c>
      <c r="Z1045">
        <v>1145</v>
      </c>
      <c r="AA1045">
        <v>687</v>
      </c>
      <c r="AB1045">
        <v>458</v>
      </c>
    </row>
    <row r="1046" spans="1:28" x14ac:dyDescent="0.35">
      <c r="A1046" t="s">
        <v>1091</v>
      </c>
      <c r="B1046" t="s">
        <v>9</v>
      </c>
      <c r="C1046" t="s">
        <v>1</v>
      </c>
      <c r="D1046" t="s">
        <v>10</v>
      </c>
      <c r="E1046" t="s">
        <v>11</v>
      </c>
      <c r="F1046">
        <v>224363</v>
      </c>
      <c r="G1046">
        <v>-57211</v>
      </c>
      <c r="H1046">
        <v>39760</v>
      </c>
      <c r="I1046">
        <v>224363</v>
      </c>
      <c r="J1046">
        <v>22436</v>
      </c>
      <c r="K1046">
        <v>11218</v>
      </c>
      <c r="L1046">
        <v>105995</v>
      </c>
      <c r="M1046">
        <v>21199</v>
      </c>
      <c r="N1046">
        <v>31798</v>
      </c>
      <c r="O1046">
        <v>10599</v>
      </c>
      <c r="P1046">
        <v>-42398</v>
      </c>
      <c r="Q1046">
        <v>-26498</v>
      </c>
      <c r="R1046">
        <v>115007</v>
      </c>
      <c r="S1046">
        <v>34502</v>
      </c>
      <c r="T1046">
        <v>11500</v>
      </c>
      <c r="U1046">
        <v>5299</v>
      </c>
      <c r="V1046">
        <v>3179</v>
      </c>
      <c r="W1046">
        <v>2119</v>
      </c>
      <c r="X1046">
        <v>10599</v>
      </c>
      <c r="Y1046">
        <v>5299</v>
      </c>
      <c r="Z1046">
        <v>5750</v>
      </c>
      <c r="AA1046">
        <v>3450</v>
      </c>
      <c r="AB1046">
        <v>2300</v>
      </c>
    </row>
    <row r="1047" spans="1:28" x14ac:dyDescent="0.35">
      <c r="A1047" t="s">
        <v>1092</v>
      </c>
      <c r="B1047" t="s">
        <v>9</v>
      </c>
      <c r="C1047" t="s">
        <v>1</v>
      </c>
      <c r="D1047" t="s">
        <v>10</v>
      </c>
      <c r="E1047" t="s">
        <v>11</v>
      </c>
      <c r="F1047">
        <v>187156</v>
      </c>
      <c r="G1047">
        <v>-83764</v>
      </c>
      <c r="H1047">
        <v>63640</v>
      </c>
      <c r="I1047">
        <v>187156</v>
      </c>
      <c r="J1047">
        <v>18715</v>
      </c>
      <c r="K1047">
        <v>9357</v>
      </c>
      <c r="L1047">
        <v>37509</v>
      </c>
      <c r="M1047">
        <v>7501</v>
      </c>
      <c r="N1047">
        <v>11252</v>
      </c>
      <c r="O1047">
        <v>3750</v>
      </c>
      <c r="P1047">
        <v>-15003</v>
      </c>
      <c r="Q1047">
        <v>-9377</v>
      </c>
      <c r="R1047">
        <v>44525</v>
      </c>
      <c r="S1047">
        <v>13357</v>
      </c>
      <c r="T1047">
        <v>4452</v>
      </c>
      <c r="U1047">
        <v>1875</v>
      </c>
      <c r="V1047">
        <v>1125</v>
      </c>
      <c r="W1047">
        <v>750</v>
      </c>
      <c r="X1047">
        <v>3750</v>
      </c>
      <c r="Y1047">
        <v>1875</v>
      </c>
      <c r="Z1047">
        <v>2226</v>
      </c>
      <c r="AA1047">
        <v>1335</v>
      </c>
      <c r="AB1047">
        <v>890</v>
      </c>
    </row>
    <row r="1048" spans="1:28" x14ac:dyDescent="0.35">
      <c r="A1048" t="s">
        <v>1093</v>
      </c>
      <c r="B1048" t="s">
        <v>9</v>
      </c>
      <c r="C1048" t="s">
        <v>1</v>
      </c>
      <c r="D1048" t="s">
        <v>10</v>
      </c>
      <c r="E1048" t="s">
        <v>11</v>
      </c>
      <c r="F1048">
        <v>65129</v>
      </c>
      <c r="G1048">
        <v>-16912</v>
      </c>
      <c r="H1048">
        <v>28575</v>
      </c>
      <c r="I1048">
        <v>65129</v>
      </c>
      <c r="J1048">
        <v>6512</v>
      </c>
      <c r="K1048">
        <v>3256</v>
      </c>
      <c r="L1048">
        <v>45255</v>
      </c>
      <c r="M1048">
        <v>9051</v>
      </c>
      <c r="N1048">
        <v>13576</v>
      </c>
      <c r="O1048">
        <v>4525</v>
      </c>
      <c r="P1048">
        <v>-18102</v>
      </c>
      <c r="Q1048">
        <v>-11313</v>
      </c>
      <c r="R1048">
        <v>40593</v>
      </c>
      <c r="S1048">
        <v>12177</v>
      </c>
      <c r="T1048">
        <v>4059</v>
      </c>
      <c r="U1048">
        <v>2262</v>
      </c>
      <c r="V1048">
        <v>1357</v>
      </c>
      <c r="W1048">
        <v>905</v>
      </c>
      <c r="X1048">
        <v>4525</v>
      </c>
      <c r="Y1048">
        <v>2262</v>
      </c>
      <c r="Z1048">
        <v>2029</v>
      </c>
      <c r="AA1048">
        <v>1217</v>
      </c>
      <c r="AB1048">
        <v>811</v>
      </c>
    </row>
    <row r="1049" spans="1:28" x14ac:dyDescent="0.35">
      <c r="A1049" t="s">
        <v>1094</v>
      </c>
      <c r="B1049" t="s">
        <v>9</v>
      </c>
      <c r="C1049" t="s">
        <v>1</v>
      </c>
      <c r="D1049" t="s">
        <v>10</v>
      </c>
      <c r="E1049" t="s">
        <v>11</v>
      </c>
      <c r="F1049">
        <v>120752</v>
      </c>
      <c r="G1049">
        <v>-44943</v>
      </c>
      <c r="H1049">
        <v>23504</v>
      </c>
      <c r="I1049">
        <v>120752</v>
      </c>
      <c r="J1049">
        <v>12075</v>
      </c>
      <c r="K1049">
        <v>6037</v>
      </c>
      <c r="L1049">
        <v>80614</v>
      </c>
      <c r="M1049">
        <v>16122</v>
      </c>
      <c r="N1049">
        <v>24184</v>
      </c>
      <c r="O1049">
        <v>8061</v>
      </c>
      <c r="P1049">
        <v>-32245</v>
      </c>
      <c r="Q1049">
        <v>-20153</v>
      </c>
      <c r="R1049">
        <v>80307</v>
      </c>
      <c r="S1049">
        <v>24092</v>
      </c>
      <c r="T1049">
        <v>8030</v>
      </c>
      <c r="U1049">
        <v>4030</v>
      </c>
      <c r="V1049">
        <v>2418</v>
      </c>
      <c r="W1049">
        <v>1612</v>
      </c>
      <c r="X1049">
        <v>8061</v>
      </c>
      <c r="Y1049">
        <v>4030</v>
      </c>
      <c r="Z1049">
        <v>4015</v>
      </c>
      <c r="AA1049">
        <v>2409</v>
      </c>
      <c r="AB1049">
        <v>1606</v>
      </c>
    </row>
    <row r="1050" spans="1:28" x14ac:dyDescent="0.35">
      <c r="A1050" t="s">
        <v>1095</v>
      </c>
      <c r="B1050" t="s">
        <v>9</v>
      </c>
      <c r="C1050" t="s">
        <v>1</v>
      </c>
      <c r="D1050" t="s">
        <v>10</v>
      </c>
      <c r="E1050" t="s">
        <v>11</v>
      </c>
      <c r="F1050">
        <v>222302</v>
      </c>
      <c r="G1050">
        <v>-102133</v>
      </c>
      <c r="H1050">
        <v>107582</v>
      </c>
      <c r="I1050">
        <v>222302</v>
      </c>
      <c r="J1050">
        <v>22230</v>
      </c>
      <c r="K1050">
        <v>11115</v>
      </c>
      <c r="L1050">
        <v>103413</v>
      </c>
      <c r="M1050">
        <v>20682</v>
      </c>
      <c r="N1050">
        <v>31023</v>
      </c>
      <c r="O1050">
        <v>10341</v>
      </c>
      <c r="P1050">
        <v>-41365</v>
      </c>
      <c r="Q1050">
        <v>-25853</v>
      </c>
      <c r="R1050">
        <v>111304</v>
      </c>
      <c r="S1050">
        <v>33391</v>
      </c>
      <c r="T1050">
        <v>11130</v>
      </c>
      <c r="U1050">
        <v>5170</v>
      </c>
      <c r="V1050">
        <v>3102</v>
      </c>
      <c r="W1050">
        <v>2068</v>
      </c>
      <c r="X1050">
        <v>10341</v>
      </c>
      <c r="Y1050">
        <v>5170</v>
      </c>
      <c r="Z1050">
        <v>5565</v>
      </c>
      <c r="AA1050">
        <v>3339</v>
      </c>
      <c r="AB1050">
        <v>2226</v>
      </c>
    </row>
    <row r="1051" spans="1:28" x14ac:dyDescent="0.35">
      <c r="A1051" t="s">
        <v>1096</v>
      </c>
      <c r="B1051" t="s">
        <v>9</v>
      </c>
      <c r="C1051" t="s">
        <v>1</v>
      </c>
      <c r="D1051" t="s">
        <v>10</v>
      </c>
      <c r="E1051" t="s">
        <v>11</v>
      </c>
      <c r="F1051">
        <v>167161</v>
      </c>
      <c r="G1051">
        <v>-88380</v>
      </c>
      <c r="H1051">
        <v>17026</v>
      </c>
      <c r="I1051">
        <v>167161</v>
      </c>
      <c r="J1051">
        <v>16716</v>
      </c>
      <c r="K1051">
        <v>8358</v>
      </c>
      <c r="L1051">
        <v>38919</v>
      </c>
      <c r="M1051">
        <v>7783</v>
      </c>
      <c r="N1051">
        <v>11675</v>
      </c>
      <c r="O1051">
        <v>3891</v>
      </c>
      <c r="P1051">
        <v>-15567</v>
      </c>
      <c r="Q1051">
        <v>-9729</v>
      </c>
      <c r="R1051">
        <v>33192</v>
      </c>
      <c r="S1051">
        <v>9957</v>
      </c>
      <c r="T1051">
        <v>3319</v>
      </c>
      <c r="U1051">
        <v>1945</v>
      </c>
      <c r="V1051">
        <v>1167</v>
      </c>
      <c r="W1051">
        <v>778</v>
      </c>
      <c r="X1051">
        <v>3891</v>
      </c>
      <c r="Y1051">
        <v>1945</v>
      </c>
      <c r="Z1051">
        <v>1659</v>
      </c>
      <c r="AA1051">
        <v>995</v>
      </c>
      <c r="AB1051">
        <v>663</v>
      </c>
    </row>
    <row r="1052" spans="1:28" x14ac:dyDescent="0.35">
      <c r="A1052" t="s">
        <v>1097</v>
      </c>
      <c r="B1052" t="s">
        <v>9</v>
      </c>
      <c r="C1052" t="s">
        <v>1</v>
      </c>
      <c r="D1052" t="s">
        <v>10</v>
      </c>
      <c r="E1052" t="s">
        <v>11</v>
      </c>
      <c r="F1052">
        <v>269494</v>
      </c>
      <c r="G1052">
        <v>-136678</v>
      </c>
      <c r="H1052">
        <v>82471</v>
      </c>
      <c r="I1052">
        <v>269494</v>
      </c>
      <c r="J1052">
        <v>26949</v>
      </c>
      <c r="K1052">
        <v>13474</v>
      </c>
      <c r="L1052">
        <v>156247</v>
      </c>
      <c r="M1052">
        <v>31249</v>
      </c>
      <c r="N1052">
        <v>46874</v>
      </c>
      <c r="O1052">
        <v>15624</v>
      </c>
      <c r="P1052">
        <v>-62498</v>
      </c>
      <c r="Q1052">
        <v>-39061</v>
      </c>
      <c r="R1052">
        <v>151883</v>
      </c>
      <c r="S1052">
        <v>45564</v>
      </c>
      <c r="T1052">
        <v>15188</v>
      </c>
      <c r="U1052">
        <v>7812</v>
      </c>
      <c r="V1052">
        <v>4687</v>
      </c>
      <c r="W1052">
        <v>3124</v>
      </c>
      <c r="X1052">
        <v>15624</v>
      </c>
      <c r="Y1052">
        <v>7812</v>
      </c>
      <c r="Z1052">
        <v>7594</v>
      </c>
      <c r="AA1052">
        <v>4556</v>
      </c>
      <c r="AB1052">
        <v>3037</v>
      </c>
    </row>
    <row r="1053" spans="1:28" x14ac:dyDescent="0.35">
      <c r="A1053" t="s">
        <v>1098</v>
      </c>
      <c r="B1053" t="s">
        <v>9</v>
      </c>
      <c r="C1053" t="s">
        <v>1</v>
      </c>
      <c r="D1053" t="s">
        <v>10</v>
      </c>
      <c r="E1053" t="s">
        <v>11</v>
      </c>
      <c r="F1053">
        <v>147917</v>
      </c>
      <c r="G1053">
        <v>-65168</v>
      </c>
      <c r="H1053">
        <v>62163</v>
      </c>
      <c r="I1053">
        <v>147917</v>
      </c>
      <c r="J1053">
        <v>14791</v>
      </c>
      <c r="K1053">
        <v>7395</v>
      </c>
      <c r="L1053">
        <v>77836</v>
      </c>
      <c r="M1053">
        <v>15567</v>
      </c>
      <c r="N1053">
        <v>23350</v>
      </c>
      <c r="O1053">
        <v>7783</v>
      </c>
      <c r="P1053">
        <v>-31134</v>
      </c>
      <c r="Q1053">
        <v>-19459</v>
      </c>
      <c r="R1053">
        <v>76946</v>
      </c>
      <c r="S1053">
        <v>23083</v>
      </c>
      <c r="T1053">
        <v>7694</v>
      </c>
      <c r="U1053">
        <v>3891</v>
      </c>
      <c r="V1053">
        <v>2335</v>
      </c>
      <c r="W1053">
        <v>1556</v>
      </c>
      <c r="X1053">
        <v>7783</v>
      </c>
      <c r="Y1053">
        <v>3891</v>
      </c>
      <c r="Z1053">
        <v>3847</v>
      </c>
      <c r="AA1053">
        <v>2308</v>
      </c>
      <c r="AB1053">
        <v>1538</v>
      </c>
    </row>
    <row r="1054" spans="1:28" x14ac:dyDescent="0.35">
      <c r="A1054" t="s">
        <v>1099</v>
      </c>
      <c r="B1054" t="s">
        <v>9</v>
      </c>
      <c r="C1054" t="s">
        <v>1</v>
      </c>
      <c r="D1054" t="s">
        <v>10</v>
      </c>
      <c r="E1054" t="s">
        <v>11</v>
      </c>
      <c r="F1054">
        <v>121425</v>
      </c>
      <c r="G1054">
        <v>-31984</v>
      </c>
      <c r="H1054">
        <v>12582</v>
      </c>
      <c r="I1054">
        <v>121425</v>
      </c>
      <c r="J1054">
        <v>12142</v>
      </c>
      <c r="K1054">
        <v>6071</v>
      </c>
      <c r="L1054">
        <v>33267</v>
      </c>
      <c r="M1054">
        <v>6653</v>
      </c>
      <c r="N1054">
        <v>9980</v>
      </c>
      <c r="O1054">
        <v>3326</v>
      </c>
      <c r="P1054">
        <v>-13306</v>
      </c>
      <c r="Q1054">
        <v>-8316</v>
      </c>
      <c r="R1054">
        <v>36011</v>
      </c>
      <c r="S1054">
        <v>10803</v>
      </c>
      <c r="T1054">
        <v>3601</v>
      </c>
      <c r="U1054">
        <v>1663</v>
      </c>
      <c r="V1054">
        <v>998</v>
      </c>
      <c r="W1054">
        <v>665</v>
      </c>
      <c r="X1054">
        <v>3326</v>
      </c>
      <c r="Y1054">
        <v>1663</v>
      </c>
      <c r="Z1054">
        <v>1800</v>
      </c>
      <c r="AA1054">
        <v>1080</v>
      </c>
      <c r="AB1054">
        <v>720</v>
      </c>
    </row>
    <row r="1055" spans="1:28" x14ac:dyDescent="0.35">
      <c r="A1055" t="s">
        <v>1100</v>
      </c>
      <c r="B1055" t="s">
        <v>9</v>
      </c>
      <c r="C1055" t="s">
        <v>1</v>
      </c>
      <c r="D1055" t="s">
        <v>10</v>
      </c>
      <c r="E1055" t="s">
        <v>11</v>
      </c>
      <c r="F1055">
        <v>189671</v>
      </c>
      <c r="G1055">
        <v>-64078</v>
      </c>
      <c r="H1055">
        <v>59517</v>
      </c>
      <c r="I1055">
        <v>189671</v>
      </c>
      <c r="J1055">
        <v>18967</v>
      </c>
      <c r="K1055">
        <v>9483</v>
      </c>
      <c r="L1055">
        <v>100330</v>
      </c>
      <c r="M1055">
        <v>20066</v>
      </c>
      <c r="N1055">
        <v>30099</v>
      </c>
      <c r="O1055">
        <v>10033</v>
      </c>
      <c r="P1055">
        <v>-40132</v>
      </c>
      <c r="Q1055">
        <v>-25082</v>
      </c>
      <c r="R1055">
        <v>86493</v>
      </c>
      <c r="S1055">
        <v>25947</v>
      </c>
      <c r="T1055">
        <v>8649</v>
      </c>
      <c r="U1055">
        <v>5016</v>
      </c>
      <c r="V1055">
        <v>3009</v>
      </c>
      <c r="W1055">
        <v>2006</v>
      </c>
      <c r="X1055">
        <v>10033</v>
      </c>
      <c r="Y1055">
        <v>5016</v>
      </c>
      <c r="Z1055">
        <v>4324</v>
      </c>
      <c r="AA1055">
        <v>2594</v>
      </c>
      <c r="AB1055">
        <v>1729</v>
      </c>
    </row>
    <row r="1056" spans="1:28" x14ac:dyDescent="0.35">
      <c r="A1056" t="s">
        <v>1101</v>
      </c>
      <c r="B1056" t="s">
        <v>9</v>
      </c>
      <c r="C1056" t="s">
        <v>1</v>
      </c>
      <c r="D1056" t="s">
        <v>10</v>
      </c>
      <c r="E1056" t="s">
        <v>11</v>
      </c>
      <c r="F1056">
        <v>250681</v>
      </c>
      <c r="G1056">
        <v>-83113</v>
      </c>
      <c r="H1056">
        <v>48572</v>
      </c>
      <c r="I1056">
        <v>250681</v>
      </c>
      <c r="J1056">
        <v>25068</v>
      </c>
      <c r="K1056">
        <v>12534</v>
      </c>
      <c r="L1056">
        <v>183740</v>
      </c>
      <c r="M1056">
        <v>36748</v>
      </c>
      <c r="N1056">
        <v>55122</v>
      </c>
      <c r="O1056">
        <v>18374</v>
      </c>
      <c r="P1056">
        <v>-73496</v>
      </c>
      <c r="Q1056">
        <v>-45935</v>
      </c>
      <c r="R1056">
        <v>193390</v>
      </c>
      <c r="S1056">
        <v>58017</v>
      </c>
      <c r="T1056">
        <v>19339</v>
      </c>
      <c r="U1056">
        <v>9187</v>
      </c>
      <c r="V1056">
        <v>5512</v>
      </c>
      <c r="W1056">
        <v>3674</v>
      </c>
      <c r="X1056">
        <v>18374</v>
      </c>
      <c r="Y1056">
        <v>9187</v>
      </c>
      <c r="Z1056">
        <v>9669</v>
      </c>
      <c r="AA1056">
        <v>5801</v>
      </c>
      <c r="AB1056">
        <v>3867</v>
      </c>
    </row>
    <row r="1057" spans="1:28" x14ac:dyDescent="0.35">
      <c r="A1057" t="s">
        <v>1102</v>
      </c>
      <c r="B1057" t="s">
        <v>9</v>
      </c>
      <c r="C1057" t="s">
        <v>1</v>
      </c>
      <c r="D1057" t="s">
        <v>10</v>
      </c>
      <c r="E1057" t="s">
        <v>11</v>
      </c>
      <c r="F1057">
        <v>347471</v>
      </c>
      <c r="G1057">
        <v>-77902</v>
      </c>
      <c r="H1057">
        <v>56720</v>
      </c>
      <c r="I1057">
        <v>347471</v>
      </c>
      <c r="J1057">
        <v>34747</v>
      </c>
      <c r="K1057">
        <v>17373</v>
      </c>
      <c r="L1057">
        <v>74905</v>
      </c>
      <c r="M1057">
        <v>14981</v>
      </c>
      <c r="N1057">
        <v>22471</v>
      </c>
      <c r="O1057">
        <v>7490</v>
      </c>
      <c r="P1057">
        <v>-29962</v>
      </c>
      <c r="Q1057">
        <v>-18726</v>
      </c>
      <c r="R1057">
        <v>69016</v>
      </c>
      <c r="S1057">
        <v>20704</v>
      </c>
      <c r="T1057">
        <v>6901</v>
      </c>
      <c r="U1057">
        <v>3745</v>
      </c>
      <c r="V1057">
        <v>2247</v>
      </c>
      <c r="W1057">
        <v>1498</v>
      </c>
      <c r="X1057">
        <v>7490</v>
      </c>
      <c r="Y1057">
        <v>3745</v>
      </c>
      <c r="Z1057">
        <v>3450</v>
      </c>
      <c r="AA1057">
        <v>2070</v>
      </c>
      <c r="AB1057">
        <v>1380</v>
      </c>
    </row>
    <row r="1058" spans="1:28" x14ac:dyDescent="0.35">
      <c r="A1058" t="s">
        <v>1103</v>
      </c>
      <c r="B1058" t="s">
        <v>9</v>
      </c>
      <c r="C1058" t="s">
        <v>1</v>
      </c>
      <c r="D1058" t="s">
        <v>10</v>
      </c>
      <c r="E1058" t="s">
        <v>11</v>
      </c>
      <c r="F1058">
        <v>428270</v>
      </c>
      <c r="G1058">
        <v>-226755</v>
      </c>
      <c r="H1058">
        <v>153844</v>
      </c>
      <c r="I1058">
        <v>428270</v>
      </c>
      <c r="J1058">
        <v>42827</v>
      </c>
      <c r="K1058">
        <v>21413</v>
      </c>
      <c r="L1058">
        <v>160509</v>
      </c>
      <c r="M1058">
        <v>32101</v>
      </c>
      <c r="N1058">
        <v>48152</v>
      </c>
      <c r="O1058">
        <v>16050</v>
      </c>
      <c r="P1058">
        <v>-64203</v>
      </c>
      <c r="Q1058">
        <v>-40127</v>
      </c>
      <c r="R1058">
        <v>150728</v>
      </c>
      <c r="S1058">
        <v>45218</v>
      </c>
      <c r="T1058">
        <v>15072</v>
      </c>
      <c r="U1058">
        <v>8025</v>
      </c>
      <c r="V1058">
        <v>4815</v>
      </c>
      <c r="W1058">
        <v>3210</v>
      </c>
      <c r="X1058">
        <v>16050</v>
      </c>
      <c r="Y1058">
        <v>8025</v>
      </c>
      <c r="Z1058">
        <v>7536</v>
      </c>
      <c r="AA1058">
        <v>4521</v>
      </c>
      <c r="AB1058">
        <v>3014</v>
      </c>
    </row>
    <row r="1059" spans="1:28" x14ac:dyDescent="0.35">
      <c r="A1059" t="s">
        <v>1104</v>
      </c>
      <c r="B1059" t="s">
        <v>9</v>
      </c>
      <c r="C1059" t="s">
        <v>1</v>
      </c>
      <c r="D1059" t="s">
        <v>10</v>
      </c>
      <c r="E1059" t="s">
        <v>11</v>
      </c>
      <c r="F1059">
        <v>107037</v>
      </c>
      <c r="G1059">
        <v>-23645</v>
      </c>
      <c r="H1059">
        <v>28321</v>
      </c>
      <c r="I1059">
        <v>107037</v>
      </c>
      <c r="J1059">
        <v>10703</v>
      </c>
      <c r="K1059">
        <v>5351</v>
      </c>
      <c r="L1059">
        <v>85143</v>
      </c>
      <c r="M1059">
        <v>17028</v>
      </c>
      <c r="N1059">
        <v>25542</v>
      </c>
      <c r="O1059">
        <v>8514</v>
      </c>
      <c r="P1059">
        <v>-34057</v>
      </c>
      <c r="Q1059">
        <v>-21285</v>
      </c>
      <c r="R1059">
        <v>76766</v>
      </c>
      <c r="S1059">
        <v>23029</v>
      </c>
      <c r="T1059">
        <v>7676</v>
      </c>
      <c r="U1059">
        <v>4257</v>
      </c>
      <c r="V1059">
        <v>2554</v>
      </c>
      <c r="W1059">
        <v>1702</v>
      </c>
      <c r="X1059">
        <v>8514</v>
      </c>
      <c r="Y1059">
        <v>4257</v>
      </c>
      <c r="Z1059">
        <v>3838</v>
      </c>
      <c r="AA1059">
        <v>2302</v>
      </c>
      <c r="AB1059">
        <v>1535</v>
      </c>
    </row>
    <row r="1060" spans="1:28" x14ac:dyDescent="0.35">
      <c r="A1060" t="s">
        <v>1105</v>
      </c>
      <c r="B1060" t="s">
        <v>9</v>
      </c>
      <c r="C1060" t="s">
        <v>1</v>
      </c>
      <c r="D1060" t="s">
        <v>10</v>
      </c>
      <c r="E1060" t="s">
        <v>11</v>
      </c>
      <c r="F1060">
        <v>282215</v>
      </c>
      <c r="G1060">
        <v>-73557</v>
      </c>
      <c r="H1060">
        <v>140880</v>
      </c>
      <c r="I1060">
        <v>282215</v>
      </c>
      <c r="J1060">
        <v>28221</v>
      </c>
      <c r="K1060">
        <v>14110</v>
      </c>
      <c r="L1060">
        <v>115615</v>
      </c>
      <c r="M1060">
        <v>23123</v>
      </c>
      <c r="N1060">
        <v>34684</v>
      </c>
      <c r="O1060">
        <v>11561</v>
      </c>
      <c r="P1060">
        <v>-46246</v>
      </c>
      <c r="Q1060">
        <v>-28903</v>
      </c>
      <c r="R1060">
        <v>136274</v>
      </c>
      <c r="S1060">
        <v>40882</v>
      </c>
      <c r="T1060">
        <v>13627</v>
      </c>
      <c r="U1060">
        <v>5780</v>
      </c>
      <c r="V1060">
        <v>3468</v>
      </c>
      <c r="W1060">
        <v>2312</v>
      </c>
      <c r="X1060">
        <v>11561</v>
      </c>
      <c r="Y1060">
        <v>5780</v>
      </c>
      <c r="Z1060">
        <v>6813</v>
      </c>
      <c r="AA1060">
        <v>4088</v>
      </c>
      <c r="AB1060">
        <v>2725</v>
      </c>
    </row>
    <row r="1061" spans="1:28" x14ac:dyDescent="0.35">
      <c r="A1061" t="s">
        <v>1106</v>
      </c>
      <c r="B1061" t="s">
        <v>9</v>
      </c>
      <c r="C1061" t="s">
        <v>1</v>
      </c>
      <c r="D1061" t="s">
        <v>10</v>
      </c>
      <c r="E1061" t="s">
        <v>11</v>
      </c>
      <c r="F1061">
        <v>254579</v>
      </c>
      <c r="G1061">
        <v>-103243</v>
      </c>
      <c r="H1061">
        <v>110658</v>
      </c>
      <c r="I1061">
        <v>254579</v>
      </c>
      <c r="J1061">
        <v>25457</v>
      </c>
      <c r="K1061">
        <v>12728</v>
      </c>
      <c r="L1061">
        <v>71369</v>
      </c>
      <c r="M1061">
        <v>14273</v>
      </c>
      <c r="N1061">
        <v>21410</v>
      </c>
      <c r="O1061">
        <v>7136</v>
      </c>
      <c r="P1061">
        <v>-28547</v>
      </c>
      <c r="Q1061">
        <v>-17842</v>
      </c>
      <c r="R1061">
        <v>70582</v>
      </c>
      <c r="S1061">
        <v>21174</v>
      </c>
      <c r="T1061">
        <v>7058</v>
      </c>
      <c r="U1061">
        <v>3568</v>
      </c>
      <c r="V1061">
        <v>2141</v>
      </c>
      <c r="W1061">
        <v>1427</v>
      </c>
      <c r="X1061">
        <v>7136</v>
      </c>
      <c r="Y1061">
        <v>3568</v>
      </c>
      <c r="Z1061">
        <v>3529</v>
      </c>
      <c r="AA1061">
        <v>2117</v>
      </c>
      <c r="AB1061">
        <v>1411</v>
      </c>
    </row>
    <row r="1062" spans="1:28" x14ac:dyDescent="0.35">
      <c r="A1062" t="s">
        <v>1107</v>
      </c>
      <c r="B1062" t="s">
        <v>9</v>
      </c>
      <c r="C1062" t="s">
        <v>1</v>
      </c>
      <c r="D1062" t="s">
        <v>10</v>
      </c>
      <c r="E1062" t="s">
        <v>11</v>
      </c>
      <c r="F1062">
        <v>464938</v>
      </c>
      <c r="G1062">
        <v>-122394</v>
      </c>
      <c r="H1062">
        <v>86628</v>
      </c>
      <c r="I1062">
        <v>464938</v>
      </c>
      <c r="J1062">
        <v>46493</v>
      </c>
      <c r="K1062">
        <v>23246</v>
      </c>
      <c r="L1062">
        <v>326981</v>
      </c>
      <c r="M1062">
        <v>65396</v>
      </c>
      <c r="N1062">
        <v>98094</v>
      </c>
      <c r="O1062">
        <v>32698</v>
      </c>
      <c r="P1062">
        <v>-130792</v>
      </c>
      <c r="Q1062">
        <v>-81745</v>
      </c>
      <c r="R1062">
        <v>367614</v>
      </c>
      <c r="S1062">
        <v>110284</v>
      </c>
      <c r="T1062">
        <v>36761</v>
      </c>
      <c r="U1062">
        <v>16349</v>
      </c>
      <c r="V1062">
        <v>9809</v>
      </c>
      <c r="W1062">
        <v>6539</v>
      </c>
      <c r="X1062">
        <v>32698</v>
      </c>
      <c r="Y1062">
        <v>16349</v>
      </c>
      <c r="Z1062">
        <v>18380</v>
      </c>
      <c r="AA1062">
        <v>11028</v>
      </c>
      <c r="AB1062">
        <v>7352</v>
      </c>
    </row>
    <row r="1063" spans="1:28" x14ac:dyDescent="0.35">
      <c r="A1063" t="s">
        <v>1108</v>
      </c>
      <c r="B1063" t="s">
        <v>9</v>
      </c>
      <c r="C1063" t="s">
        <v>1</v>
      </c>
      <c r="D1063" t="s">
        <v>10</v>
      </c>
      <c r="E1063" t="s">
        <v>11</v>
      </c>
      <c r="F1063">
        <v>55452</v>
      </c>
      <c r="G1063">
        <v>-22605</v>
      </c>
      <c r="H1063">
        <v>8344</v>
      </c>
      <c r="I1063">
        <v>55452</v>
      </c>
      <c r="J1063">
        <v>5545</v>
      </c>
      <c r="K1063">
        <v>2772</v>
      </c>
      <c r="L1063">
        <v>31386</v>
      </c>
      <c r="M1063">
        <v>6277</v>
      </c>
      <c r="N1063">
        <v>9415</v>
      </c>
      <c r="O1063">
        <v>3138</v>
      </c>
      <c r="P1063">
        <v>-12554</v>
      </c>
      <c r="Q1063">
        <v>-7846</v>
      </c>
      <c r="R1063">
        <v>32686</v>
      </c>
      <c r="S1063">
        <v>9805</v>
      </c>
      <c r="T1063">
        <v>3268</v>
      </c>
      <c r="U1063">
        <v>1569</v>
      </c>
      <c r="V1063">
        <v>941</v>
      </c>
      <c r="W1063">
        <v>627</v>
      </c>
      <c r="X1063">
        <v>3138</v>
      </c>
      <c r="Y1063">
        <v>1569</v>
      </c>
      <c r="Z1063">
        <v>1634</v>
      </c>
      <c r="AA1063">
        <v>980</v>
      </c>
      <c r="AB1063">
        <v>653</v>
      </c>
    </row>
    <row r="1064" spans="1:28" x14ac:dyDescent="0.35">
      <c r="A1064" t="s">
        <v>1109</v>
      </c>
      <c r="B1064" t="s">
        <v>9</v>
      </c>
      <c r="C1064" t="s">
        <v>1</v>
      </c>
      <c r="D1064" t="s">
        <v>10</v>
      </c>
      <c r="E1064" t="s">
        <v>11</v>
      </c>
      <c r="F1064">
        <v>232971</v>
      </c>
      <c r="G1064">
        <v>-94927</v>
      </c>
      <c r="H1064">
        <v>109226</v>
      </c>
      <c r="I1064">
        <v>232971</v>
      </c>
      <c r="J1064">
        <v>23297</v>
      </c>
      <c r="K1064">
        <v>11648</v>
      </c>
      <c r="L1064">
        <v>141113</v>
      </c>
      <c r="M1064">
        <v>28222</v>
      </c>
      <c r="N1064">
        <v>42333</v>
      </c>
      <c r="O1064">
        <v>14111</v>
      </c>
      <c r="P1064">
        <v>-56445</v>
      </c>
      <c r="Q1064">
        <v>-35278</v>
      </c>
      <c r="R1064">
        <v>133342</v>
      </c>
      <c r="S1064">
        <v>40002</v>
      </c>
      <c r="T1064">
        <v>13334</v>
      </c>
      <c r="U1064">
        <v>7055</v>
      </c>
      <c r="V1064">
        <v>4233</v>
      </c>
      <c r="W1064">
        <v>2822</v>
      </c>
      <c r="X1064">
        <v>14111</v>
      </c>
      <c r="Y1064">
        <v>7055</v>
      </c>
      <c r="Z1064">
        <v>6667</v>
      </c>
      <c r="AA1064">
        <v>4000</v>
      </c>
      <c r="AB1064">
        <v>2666</v>
      </c>
    </row>
    <row r="1065" spans="1:28" x14ac:dyDescent="0.35">
      <c r="A1065" t="s">
        <v>1110</v>
      </c>
      <c r="B1065" t="s">
        <v>9</v>
      </c>
      <c r="C1065" t="s">
        <v>1</v>
      </c>
      <c r="D1065" t="s">
        <v>10</v>
      </c>
      <c r="E1065" t="s">
        <v>11</v>
      </c>
      <c r="F1065">
        <v>475619</v>
      </c>
      <c r="G1065">
        <v>-272830</v>
      </c>
      <c r="H1065">
        <v>204652</v>
      </c>
      <c r="I1065">
        <v>475619</v>
      </c>
      <c r="J1065">
        <v>47561</v>
      </c>
      <c r="K1065">
        <v>23780</v>
      </c>
      <c r="L1065">
        <v>171895</v>
      </c>
      <c r="M1065">
        <v>34379</v>
      </c>
      <c r="N1065">
        <v>51568</v>
      </c>
      <c r="O1065">
        <v>17189</v>
      </c>
      <c r="P1065">
        <v>-68758</v>
      </c>
      <c r="Q1065">
        <v>-42973</v>
      </c>
      <c r="R1065">
        <v>156570</v>
      </c>
      <c r="S1065">
        <v>46971</v>
      </c>
      <c r="T1065">
        <v>15657</v>
      </c>
      <c r="U1065">
        <v>8594</v>
      </c>
      <c r="V1065">
        <v>5156</v>
      </c>
      <c r="W1065">
        <v>3437</v>
      </c>
      <c r="X1065">
        <v>17189</v>
      </c>
      <c r="Y1065">
        <v>8594</v>
      </c>
      <c r="Z1065">
        <v>7828</v>
      </c>
      <c r="AA1065">
        <v>4697</v>
      </c>
      <c r="AB1065">
        <v>3131</v>
      </c>
    </row>
    <row r="1066" spans="1:28" x14ac:dyDescent="0.35">
      <c r="A1066" t="s">
        <v>1111</v>
      </c>
      <c r="B1066" t="s">
        <v>9</v>
      </c>
      <c r="C1066" t="s">
        <v>1</v>
      </c>
      <c r="D1066" t="s">
        <v>10</v>
      </c>
      <c r="E1066" t="s">
        <v>11</v>
      </c>
      <c r="F1066">
        <v>160748</v>
      </c>
      <c r="G1066">
        <v>-72259</v>
      </c>
      <c r="H1066">
        <v>63016</v>
      </c>
      <c r="I1066">
        <v>160748</v>
      </c>
      <c r="J1066">
        <v>16074</v>
      </c>
      <c r="K1066">
        <v>8037</v>
      </c>
      <c r="L1066">
        <v>67451</v>
      </c>
      <c r="M1066">
        <v>13490</v>
      </c>
      <c r="N1066">
        <v>20235</v>
      </c>
      <c r="O1066">
        <v>6745</v>
      </c>
      <c r="P1066">
        <v>-26980</v>
      </c>
      <c r="Q1066">
        <v>-16862</v>
      </c>
      <c r="R1066">
        <v>60690</v>
      </c>
      <c r="S1066">
        <v>18207</v>
      </c>
      <c r="T1066">
        <v>6069</v>
      </c>
      <c r="U1066">
        <v>3372</v>
      </c>
      <c r="V1066">
        <v>2023</v>
      </c>
      <c r="W1066">
        <v>1349</v>
      </c>
      <c r="X1066">
        <v>6745</v>
      </c>
      <c r="Y1066">
        <v>3372</v>
      </c>
      <c r="Z1066">
        <v>3034</v>
      </c>
      <c r="AA1066">
        <v>1820</v>
      </c>
      <c r="AB1066">
        <v>1213</v>
      </c>
    </row>
    <row r="1067" spans="1:28" x14ac:dyDescent="0.35">
      <c r="A1067" t="s">
        <v>1112</v>
      </c>
      <c r="B1067" t="s">
        <v>9</v>
      </c>
      <c r="C1067" t="s">
        <v>1</v>
      </c>
      <c r="D1067" t="s">
        <v>10</v>
      </c>
      <c r="E1067" t="s">
        <v>11</v>
      </c>
      <c r="F1067">
        <v>119316</v>
      </c>
      <c r="G1067">
        <v>-66210</v>
      </c>
      <c r="H1067">
        <v>44392</v>
      </c>
      <c r="I1067">
        <v>119316</v>
      </c>
      <c r="J1067">
        <v>11931</v>
      </c>
      <c r="K1067">
        <v>5965</v>
      </c>
      <c r="L1067">
        <v>69220</v>
      </c>
      <c r="M1067">
        <v>13844</v>
      </c>
      <c r="N1067">
        <v>20766</v>
      </c>
      <c r="O1067">
        <v>6922</v>
      </c>
      <c r="P1067">
        <v>-27688</v>
      </c>
      <c r="Q1067">
        <v>-17305</v>
      </c>
      <c r="R1067">
        <v>70116</v>
      </c>
      <c r="S1067">
        <v>21034</v>
      </c>
      <c r="T1067">
        <v>7011</v>
      </c>
      <c r="U1067">
        <v>3461</v>
      </c>
      <c r="V1067">
        <v>2076</v>
      </c>
      <c r="W1067">
        <v>1384</v>
      </c>
      <c r="X1067">
        <v>6922</v>
      </c>
      <c r="Y1067">
        <v>3461</v>
      </c>
      <c r="Z1067">
        <v>3505</v>
      </c>
      <c r="AA1067">
        <v>2103</v>
      </c>
      <c r="AB1067">
        <v>1402</v>
      </c>
    </row>
    <row r="1068" spans="1:28" x14ac:dyDescent="0.35">
      <c r="A1068" t="s">
        <v>1113</v>
      </c>
      <c r="B1068" t="s">
        <v>9</v>
      </c>
      <c r="C1068" t="s">
        <v>1</v>
      </c>
      <c r="D1068" t="s">
        <v>10</v>
      </c>
      <c r="E1068" t="s">
        <v>11</v>
      </c>
      <c r="F1068">
        <v>52444</v>
      </c>
      <c r="G1068">
        <v>-20721</v>
      </c>
      <c r="H1068">
        <v>9543</v>
      </c>
      <c r="I1068">
        <v>52444</v>
      </c>
      <c r="J1068">
        <v>5244</v>
      </c>
      <c r="K1068">
        <v>2622</v>
      </c>
      <c r="L1068">
        <v>35371</v>
      </c>
      <c r="M1068">
        <v>7074</v>
      </c>
      <c r="N1068">
        <v>10611</v>
      </c>
      <c r="O1068">
        <v>3537</v>
      </c>
      <c r="P1068">
        <v>-14148</v>
      </c>
      <c r="Q1068">
        <v>-8842</v>
      </c>
      <c r="R1068">
        <v>32761</v>
      </c>
      <c r="S1068">
        <v>9828</v>
      </c>
      <c r="T1068">
        <v>3276</v>
      </c>
      <c r="U1068">
        <v>1768</v>
      </c>
      <c r="V1068">
        <v>1061</v>
      </c>
      <c r="W1068">
        <v>707</v>
      </c>
      <c r="X1068">
        <v>3537</v>
      </c>
      <c r="Y1068">
        <v>1768</v>
      </c>
      <c r="Z1068">
        <v>1638</v>
      </c>
      <c r="AA1068">
        <v>982</v>
      </c>
      <c r="AB1068">
        <v>655</v>
      </c>
    </row>
    <row r="1069" spans="1:28" x14ac:dyDescent="0.35">
      <c r="A1069" t="s">
        <v>1114</v>
      </c>
      <c r="B1069" t="s">
        <v>9</v>
      </c>
      <c r="C1069" t="s">
        <v>1</v>
      </c>
      <c r="D1069" t="s">
        <v>10</v>
      </c>
      <c r="E1069" t="s">
        <v>11</v>
      </c>
      <c r="F1069">
        <v>158169</v>
      </c>
      <c r="G1069">
        <v>-77801</v>
      </c>
      <c r="H1069">
        <v>31917</v>
      </c>
      <c r="I1069">
        <v>158169</v>
      </c>
      <c r="J1069">
        <v>15816</v>
      </c>
      <c r="K1069">
        <v>7908</v>
      </c>
      <c r="L1069">
        <v>119952</v>
      </c>
      <c r="M1069">
        <v>23990</v>
      </c>
      <c r="N1069">
        <v>35985</v>
      </c>
      <c r="O1069">
        <v>11995</v>
      </c>
      <c r="P1069">
        <v>-47980</v>
      </c>
      <c r="Q1069">
        <v>-29988</v>
      </c>
      <c r="R1069">
        <v>113987</v>
      </c>
      <c r="S1069">
        <v>34196</v>
      </c>
      <c r="T1069">
        <v>11398</v>
      </c>
      <c r="U1069">
        <v>5997</v>
      </c>
      <c r="V1069">
        <v>3598</v>
      </c>
      <c r="W1069">
        <v>2399</v>
      </c>
      <c r="X1069">
        <v>11995</v>
      </c>
      <c r="Y1069">
        <v>5997</v>
      </c>
      <c r="Z1069">
        <v>5699</v>
      </c>
      <c r="AA1069">
        <v>3419</v>
      </c>
      <c r="AB1069">
        <v>2279</v>
      </c>
    </row>
    <row r="1070" spans="1:28" x14ac:dyDescent="0.35">
      <c r="A1070" t="s">
        <v>1115</v>
      </c>
      <c r="B1070" t="s">
        <v>9</v>
      </c>
      <c r="C1070" t="s">
        <v>1</v>
      </c>
      <c r="D1070" t="s">
        <v>10</v>
      </c>
      <c r="E1070" t="s">
        <v>11</v>
      </c>
      <c r="F1070">
        <v>97425</v>
      </c>
      <c r="G1070">
        <v>-21583</v>
      </c>
      <c r="H1070">
        <v>31000</v>
      </c>
      <c r="I1070">
        <v>97425</v>
      </c>
      <c r="J1070">
        <v>9742</v>
      </c>
      <c r="K1070">
        <v>4871</v>
      </c>
      <c r="L1070">
        <v>53722</v>
      </c>
      <c r="M1070">
        <v>10744</v>
      </c>
      <c r="N1070">
        <v>16116</v>
      </c>
      <c r="O1070">
        <v>5372</v>
      </c>
      <c r="P1070">
        <v>-21488</v>
      </c>
      <c r="Q1070">
        <v>-13430</v>
      </c>
      <c r="R1070">
        <v>51260</v>
      </c>
      <c r="S1070">
        <v>15378</v>
      </c>
      <c r="T1070">
        <v>5126</v>
      </c>
      <c r="U1070">
        <v>2686</v>
      </c>
      <c r="V1070">
        <v>1611</v>
      </c>
      <c r="W1070">
        <v>1074</v>
      </c>
      <c r="X1070">
        <v>5372</v>
      </c>
      <c r="Y1070">
        <v>2686</v>
      </c>
      <c r="Z1070">
        <v>2563</v>
      </c>
      <c r="AA1070">
        <v>1537</v>
      </c>
      <c r="AB1070">
        <v>1025</v>
      </c>
    </row>
    <row r="1071" spans="1:28" x14ac:dyDescent="0.35">
      <c r="A1071" t="s">
        <v>1116</v>
      </c>
      <c r="B1071" t="s">
        <v>9</v>
      </c>
      <c r="C1071" t="s">
        <v>1</v>
      </c>
      <c r="D1071" t="s">
        <v>10</v>
      </c>
      <c r="E1071" t="s">
        <v>11</v>
      </c>
      <c r="F1071">
        <v>79704</v>
      </c>
      <c r="G1071">
        <v>-39681</v>
      </c>
      <c r="H1071">
        <v>11248</v>
      </c>
      <c r="I1071">
        <v>79704</v>
      </c>
      <c r="J1071">
        <v>7970</v>
      </c>
      <c r="K1071">
        <v>3985</v>
      </c>
      <c r="L1071">
        <v>32572</v>
      </c>
      <c r="M1071">
        <v>6514</v>
      </c>
      <c r="N1071">
        <v>9771</v>
      </c>
      <c r="O1071">
        <v>3257</v>
      </c>
      <c r="P1071">
        <v>-13028</v>
      </c>
      <c r="Q1071">
        <v>-8143</v>
      </c>
      <c r="R1071">
        <v>37589</v>
      </c>
      <c r="S1071">
        <v>11276</v>
      </c>
      <c r="T1071">
        <v>3758</v>
      </c>
      <c r="U1071">
        <v>1628</v>
      </c>
      <c r="V1071">
        <v>977</v>
      </c>
      <c r="W1071">
        <v>651</v>
      </c>
      <c r="X1071">
        <v>3257</v>
      </c>
      <c r="Y1071">
        <v>1628</v>
      </c>
      <c r="Z1071">
        <v>1879</v>
      </c>
      <c r="AA1071">
        <v>1127</v>
      </c>
      <c r="AB1071">
        <v>751</v>
      </c>
    </row>
    <row r="1072" spans="1:28" x14ac:dyDescent="0.35">
      <c r="A1072" t="s">
        <v>1117</v>
      </c>
      <c r="B1072" t="s">
        <v>9</v>
      </c>
      <c r="C1072" t="s">
        <v>1</v>
      </c>
      <c r="D1072" t="s">
        <v>10</v>
      </c>
      <c r="E1072" t="s">
        <v>11</v>
      </c>
      <c r="F1072">
        <v>321687</v>
      </c>
      <c r="G1072">
        <v>-168777</v>
      </c>
      <c r="H1072">
        <v>84606</v>
      </c>
      <c r="I1072">
        <v>321687</v>
      </c>
      <c r="J1072">
        <v>32168</v>
      </c>
      <c r="K1072">
        <v>16084</v>
      </c>
      <c r="L1072">
        <v>231697</v>
      </c>
      <c r="M1072">
        <v>46339</v>
      </c>
      <c r="N1072">
        <v>69509</v>
      </c>
      <c r="O1072">
        <v>23169</v>
      </c>
      <c r="P1072">
        <v>-92678</v>
      </c>
      <c r="Q1072">
        <v>-57924</v>
      </c>
      <c r="R1072">
        <v>208179</v>
      </c>
      <c r="S1072">
        <v>62453</v>
      </c>
      <c r="T1072">
        <v>20817</v>
      </c>
      <c r="U1072">
        <v>11584</v>
      </c>
      <c r="V1072">
        <v>6950</v>
      </c>
      <c r="W1072">
        <v>4633</v>
      </c>
      <c r="X1072">
        <v>23169</v>
      </c>
      <c r="Y1072">
        <v>11584</v>
      </c>
      <c r="Z1072">
        <v>10408</v>
      </c>
      <c r="AA1072">
        <v>6245</v>
      </c>
      <c r="AB1072">
        <v>4163</v>
      </c>
    </row>
    <row r="1073" spans="1:28" x14ac:dyDescent="0.35">
      <c r="A1073" t="s">
        <v>1118</v>
      </c>
      <c r="B1073" t="s">
        <v>9</v>
      </c>
      <c r="C1073" t="s">
        <v>1</v>
      </c>
      <c r="D1073" t="s">
        <v>10</v>
      </c>
      <c r="E1073" t="s">
        <v>11</v>
      </c>
      <c r="F1073">
        <v>468147</v>
      </c>
      <c r="G1073">
        <v>-160023</v>
      </c>
      <c r="H1073">
        <v>126396</v>
      </c>
      <c r="I1073">
        <v>468147</v>
      </c>
      <c r="J1073">
        <v>46814</v>
      </c>
      <c r="K1073">
        <v>23407</v>
      </c>
      <c r="L1073">
        <v>149262</v>
      </c>
      <c r="M1073">
        <v>29852</v>
      </c>
      <c r="N1073">
        <v>44778</v>
      </c>
      <c r="O1073">
        <v>14926</v>
      </c>
      <c r="P1073">
        <v>-59704</v>
      </c>
      <c r="Q1073">
        <v>-37315</v>
      </c>
      <c r="R1073">
        <v>174110</v>
      </c>
      <c r="S1073">
        <v>52233</v>
      </c>
      <c r="T1073">
        <v>17411</v>
      </c>
      <c r="U1073">
        <v>7463</v>
      </c>
      <c r="V1073">
        <v>4477</v>
      </c>
      <c r="W1073">
        <v>2985</v>
      </c>
      <c r="X1073">
        <v>14926</v>
      </c>
      <c r="Y1073">
        <v>7463</v>
      </c>
      <c r="Z1073">
        <v>8705</v>
      </c>
      <c r="AA1073">
        <v>5223</v>
      </c>
      <c r="AB1073">
        <v>3482</v>
      </c>
    </row>
    <row r="1074" spans="1:28" x14ac:dyDescent="0.35">
      <c r="A1074" t="s">
        <v>1119</v>
      </c>
      <c r="B1074" t="s">
        <v>9</v>
      </c>
      <c r="C1074" t="s">
        <v>1</v>
      </c>
      <c r="D1074" t="s">
        <v>10</v>
      </c>
      <c r="E1074" t="s">
        <v>11</v>
      </c>
      <c r="F1074">
        <v>249544</v>
      </c>
      <c r="G1074">
        <v>-134297</v>
      </c>
      <c r="H1074">
        <v>71121</v>
      </c>
      <c r="I1074">
        <v>249544</v>
      </c>
      <c r="J1074">
        <v>24954</v>
      </c>
      <c r="K1074">
        <v>12477</v>
      </c>
      <c r="L1074">
        <v>182995</v>
      </c>
      <c r="M1074">
        <v>36599</v>
      </c>
      <c r="N1074">
        <v>54898</v>
      </c>
      <c r="O1074">
        <v>18299</v>
      </c>
      <c r="P1074">
        <v>-73198</v>
      </c>
      <c r="Q1074">
        <v>-45748</v>
      </c>
      <c r="R1074">
        <v>172583</v>
      </c>
      <c r="S1074">
        <v>51774</v>
      </c>
      <c r="T1074">
        <v>17258</v>
      </c>
      <c r="U1074">
        <v>9149</v>
      </c>
      <c r="V1074">
        <v>5489</v>
      </c>
      <c r="W1074">
        <v>3659</v>
      </c>
      <c r="X1074">
        <v>18299</v>
      </c>
      <c r="Y1074">
        <v>9149</v>
      </c>
      <c r="Z1074">
        <v>8629</v>
      </c>
      <c r="AA1074">
        <v>5177</v>
      </c>
      <c r="AB1074">
        <v>3451</v>
      </c>
    </row>
    <row r="1075" spans="1:28" x14ac:dyDescent="0.35">
      <c r="A1075" t="s">
        <v>1120</v>
      </c>
      <c r="B1075" t="s">
        <v>9</v>
      </c>
      <c r="C1075" t="s">
        <v>1</v>
      </c>
      <c r="D1075" t="s">
        <v>10</v>
      </c>
      <c r="E1075" t="s">
        <v>11</v>
      </c>
      <c r="F1075">
        <v>420176</v>
      </c>
      <c r="G1075">
        <v>-222942</v>
      </c>
      <c r="H1075">
        <v>152216</v>
      </c>
      <c r="I1075">
        <v>420176</v>
      </c>
      <c r="J1075">
        <v>42017</v>
      </c>
      <c r="K1075">
        <v>21008</v>
      </c>
      <c r="L1075">
        <v>330459</v>
      </c>
      <c r="M1075">
        <v>66091</v>
      </c>
      <c r="N1075">
        <v>99137</v>
      </c>
      <c r="O1075">
        <v>33045</v>
      </c>
      <c r="P1075">
        <v>-132183</v>
      </c>
      <c r="Q1075">
        <v>-82614</v>
      </c>
      <c r="R1075">
        <v>301066</v>
      </c>
      <c r="S1075">
        <v>90319</v>
      </c>
      <c r="T1075">
        <v>30106</v>
      </c>
      <c r="U1075">
        <v>16522</v>
      </c>
      <c r="V1075">
        <v>9913</v>
      </c>
      <c r="W1075">
        <v>6609</v>
      </c>
      <c r="X1075">
        <v>33045</v>
      </c>
      <c r="Y1075">
        <v>16522</v>
      </c>
      <c r="Z1075">
        <v>15053</v>
      </c>
      <c r="AA1075">
        <v>9031</v>
      </c>
      <c r="AB1075">
        <v>6021</v>
      </c>
    </row>
    <row r="1076" spans="1:28" x14ac:dyDescent="0.35">
      <c r="A1076" t="s">
        <v>1121</v>
      </c>
      <c r="B1076" t="s">
        <v>9</v>
      </c>
      <c r="C1076" t="s">
        <v>1</v>
      </c>
      <c r="D1076" t="s">
        <v>10</v>
      </c>
      <c r="E1076" t="s">
        <v>11</v>
      </c>
      <c r="F1076">
        <v>245112</v>
      </c>
      <c r="G1076">
        <v>-91014</v>
      </c>
      <c r="H1076">
        <v>26641</v>
      </c>
      <c r="I1076">
        <v>245112</v>
      </c>
      <c r="J1076">
        <v>24511</v>
      </c>
      <c r="K1076">
        <v>12255</v>
      </c>
      <c r="L1076">
        <v>169352</v>
      </c>
      <c r="M1076">
        <v>33870</v>
      </c>
      <c r="N1076">
        <v>50805</v>
      </c>
      <c r="O1076">
        <v>16935</v>
      </c>
      <c r="P1076">
        <v>-67740</v>
      </c>
      <c r="Q1076">
        <v>-42338</v>
      </c>
      <c r="R1076">
        <v>168519</v>
      </c>
      <c r="S1076">
        <v>50555</v>
      </c>
      <c r="T1076">
        <v>16851</v>
      </c>
      <c r="U1076">
        <v>8467</v>
      </c>
      <c r="V1076">
        <v>5080</v>
      </c>
      <c r="W1076">
        <v>3387</v>
      </c>
      <c r="X1076">
        <v>16935</v>
      </c>
      <c r="Y1076">
        <v>8467</v>
      </c>
      <c r="Z1076">
        <v>8425</v>
      </c>
      <c r="AA1076">
        <v>5055</v>
      </c>
      <c r="AB1076">
        <v>3370</v>
      </c>
    </row>
    <row r="1077" spans="1:28" x14ac:dyDescent="0.35">
      <c r="A1077" t="s">
        <v>1122</v>
      </c>
      <c r="B1077" t="s">
        <v>9</v>
      </c>
      <c r="C1077" t="s">
        <v>1</v>
      </c>
      <c r="D1077" t="s">
        <v>10</v>
      </c>
      <c r="E1077" t="s">
        <v>11</v>
      </c>
      <c r="F1077">
        <v>67970</v>
      </c>
      <c r="G1077">
        <v>-31512</v>
      </c>
      <c r="H1077">
        <v>15358</v>
      </c>
      <c r="I1077">
        <v>67970</v>
      </c>
      <c r="J1077">
        <v>6797</v>
      </c>
      <c r="K1077">
        <v>3398</v>
      </c>
      <c r="L1077">
        <v>37444</v>
      </c>
      <c r="M1077">
        <v>7488</v>
      </c>
      <c r="N1077">
        <v>11233</v>
      </c>
      <c r="O1077">
        <v>3744</v>
      </c>
      <c r="P1077">
        <v>-14977</v>
      </c>
      <c r="Q1077">
        <v>-9361</v>
      </c>
      <c r="R1077">
        <v>33825</v>
      </c>
      <c r="S1077">
        <v>10147</v>
      </c>
      <c r="T1077">
        <v>3382</v>
      </c>
      <c r="U1077">
        <v>1872</v>
      </c>
      <c r="V1077">
        <v>1123</v>
      </c>
      <c r="W1077">
        <v>748</v>
      </c>
      <c r="X1077">
        <v>3744</v>
      </c>
      <c r="Y1077">
        <v>1872</v>
      </c>
      <c r="Z1077">
        <v>1691</v>
      </c>
      <c r="AA1077">
        <v>1014</v>
      </c>
      <c r="AB1077">
        <v>676</v>
      </c>
    </row>
    <row r="1078" spans="1:28" x14ac:dyDescent="0.35">
      <c r="A1078" t="s">
        <v>1123</v>
      </c>
      <c r="B1078" t="s">
        <v>9</v>
      </c>
      <c r="C1078" t="s">
        <v>1</v>
      </c>
      <c r="D1078" t="s">
        <v>10</v>
      </c>
      <c r="E1078" t="s">
        <v>11</v>
      </c>
      <c r="F1078">
        <v>375749</v>
      </c>
      <c r="G1078">
        <v>-163012</v>
      </c>
      <c r="H1078">
        <v>166589</v>
      </c>
      <c r="I1078">
        <v>375749</v>
      </c>
      <c r="J1078">
        <v>37574</v>
      </c>
      <c r="K1078">
        <v>18787</v>
      </c>
      <c r="L1078">
        <v>274059</v>
      </c>
      <c r="M1078">
        <v>54811</v>
      </c>
      <c r="N1078">
        <v>82217</v>
      </c>
      <c r="O1078">
        <v>27405</v>
      </c>
      <c r="P1078">
        <v>-109623</v>
      </c>
      <c r="Q1078">
        <v>-68514</v>
      </c>
      <c r="R1078">
        <v>313664</v>
      </c>
      <c r="S1078">
        <v>94099</v>
      </c>
      <c r="T1078">
        <v>31366</v>
      </c>
      <c r="U1078">
        <v>13702</v>
      </c>
      <c r="V1078">
        <v>8221</v>
      </c>
      <c r="W1078">
        <v>5481</v>
      </c>
      <c r="X1078">
        <v>27405</v>
      </c>
      <c r="Y1078">
        <v>13702</v>
      </c>
      <c r="Z1078">
        <v>15683</v>
      </c>
      <c r="AA1078">
        <v>9409</v>
      </c>
      <c r="AB1078">
        <v>6273</v>
      </c>
    </row>
    <row r="1079" spans="1:28" x14ac:dyDescent="0.35">
      <c r="A1079" t="s">
        <v>1124</v>
      </c>
      <c r="B1079" t="s">
        <v>9</v>
      </c>
      <c r="C1079" t="s">
        <v>1</v>
      </c>
      <c r="D1079" t="s">
        <v>10</v>
      </c>
      <c r="E1079" t="s">
        <v>11</v>
      </c>
      <c r="F1079">
        <v>354658</v>
      </c>
      <c r="G1079">
        <v>-116875</v>
      </c>
      <c r="H1079">
        <v>71838</v>
      </c>
      <c r="I1079">
        <v>354658</v>
      </c>
      <c r="J1079">
        <v>35465</v>
      </c>
      <c r="K1079">
        <v>17732</v>
      </c>
      <c r="L1079">
        <v>259216</v>
      </c>
      <c r="M1079">
        <v>51843</v>
      </c>
      <c r="N1079">
        <v>77764</v>
      </c>
      <c r="O1079">
        <v>25921</v>
      </c>
      <c r="P1079">
        <v>-103686</v>
      </c>
      <c r="Q1079">
        <v>-64804</v>
      </c>
      <c r="R1079">
        <v>298941</v>
      </c>
      <c r="S1079">
        <v>89682</v>
      </c>
      <c r="T1079">
        <v>29894</v>
      </c>
      <c r="U1079">
        <v>12960</v>
      </c>
      <c r="V1079">
        <v>7776</v>
      </c>
      <c r="W1079">
        <v>5184</v>
      </c>
      <c r="X1079">
        <v>25921</v>
      </c>
      <c r="Y1079">
        <v>12960</v>
      </c>
      <c r="Z1079">
        <v>14947</v>
      </c>
      <c r="AA1079">
        <v>8968</v>
      </c>
      <c r="AB1079">
        <v>5978</v>
      </c>
    </row>
    <row r="1080" spans="1:28" x14ac:dyDescent="0.35">
      <c r="A1080" t="s">
        <v>1125</v>
      </c>
      <c r="B1080" t="s">
        <v>9</v>
      </c>
      <c r="C1080" t="s">
        <v>1</v>
      </c>
      <c r="D1080" t="s">
        <v>10</v>
      </c>
      <c r="E1080" t="s">
        <v>11</v>
      </c>
      <c r="F1080">
        <v>275748</v>
      </c>
      <c r="G1080">
        <v>-104874</v>
      </c>
      <c r="H1080">
        <v>122344</v>
      </c>
      <c r="I1080">
        <v>275748</v>
      </c>
      <c r="J1080">
        <v>27574</v>
      </c>
      <c r="K1080">
        <v>13787</v>
      </c>
      <c r="L1080">
        <v>208403</v>
      </c>
      <c r="M1080">
        <v>41680</v>
      </c>
      <c r="N1080">
        <v>62520</v>
      </c>
      <c r="O1080">
        <v>20840</v>
      </c>
      <c r="P1080">
        <v>-83361</v>
      </c>
      <c r="Q1080">
        <v>-52100</v>
      </c>
      <c r="R1080">
        <v>180556</v>
      </c>
      <c r="S1080">
        <v>54166</v>
      </c>
      <c r="T1080">
        <v>18055</v>
      </c>
      <c r="U1080">
        <v>10420</v>
      </c>
      <c r="V1080">
        <v>6252</v>
      </c>
      <c r="W1080">
        <v>4168</v>
      </c>
      <c r="X1080">
        <v>20840</v>
      </c>
      <c r="Y1080">
        <v>10420</v>
      </c>
      <c r="Z1080">
        <v>9027</v>
      </c>
      <c r="AA1080">
        <v>5416</v>
      </c>
      <c r="AB1080">
        <v>3611</v>
      </c>
    </row>
    <row r="1081" spans="1:28" x14ac:dyDescent="0.35">
      <c r="A1081" t="s">
        <v>1126</v>
      </c>
      <c r="B1081" t="s">
        <v>9</v>
      </c>
      <c r="C1081" t="s">
        <v>1</v>
      </c>
      <c r="D1081" t="s">
        <v>10</v>
      </c>
      <c r="E1081" t="s">
        <v>11</v>
      </c>
      <c r="F1081">
        <v>376305</v>
      </c>
      <c r="G1081">
        <v>-163770</v>
      </c>
      <c r="H1081">
        <v>53112</v>
      </c>
      <c r="I1081">
        <v>376305</v>
      </c>
      <c r="J1081">
        <v>37630</v>
      </c>
      <c r="K1081">
        <v>18815</v>
      </c>
      <c r="L1081">
        <v>118327</v>
      </c>
      <c r="M1081">
        <v>23665</v>
      </c>
      <c r="N1081">
        <v>35498</v>
      </c>
      <c r="O1081">
        <v>11832</v>
      </c>
      <c r="P1081">
        <v>-47330</v>
      </c>
      <c r="Q1081">
        <v>-29581</v>
      </c>
      <c r="R1081">
        <v>133363</v>
      </c>
      <c r="S1081">
        <v>40008</v>
      </c>
      <c r="T1081">
        <v>13336</v>
      </c>
      <c r="U1081">
        <v>5916</v>
      </c>
      <c r="V1081">
        <v>3549</v>
      </c>
      <c r="W1081">
        <v>2366</v>
      </c>
      <c r="X1081">
        <v>11832</v>
      </c>
      <c r="Y1081">
        <v>5916</v>
      </c>
      <c r="Z1081">
        <v>6668</v>
      </c>
      <c r="AA1081">
        <v>4000</v>
      </c>
      <c r="AB1081">
        <v>2667</v>
      </c>
    </row>
    <row r="1082" spans="1:28" x14ac:dyDescent="0.35">
      <c r="A1082" t="s">
        <v>1127</v>
      </c>
      <c r="B1082" t="s">
        <v>9</v>
      </c>
      <c r="C1082" t="s">
        <v>1</v>
      </c>
      <c r="D1082" t="s">
        <v>10</v>
      </c>
      <c r="E1082" t="s">
        <v>11</v>
      </c>
      <c r="F1082">
        <v>326541</v>
      </c>
      <c r="G1082">
        <v>-132149</v>
      </c>
      <c r="H1082">
        <v>38454</v>
      </c>
      <c r="I1082">
        <v>326541</v>
      </c>
      <c r="J1082">
        <v>32654</v>
      </c>
      <c r="K1082">
        <v>16327</v>
      </c>
      <c r="L1082">
        <v>188013</v>
      </c>
      <c r="M1082">
        <v>37602</v>
      </c>
      <c r="N1082">
        <v>56403</v>
      </c>
      <c r="O1082">
        <v>18801</v>
      </c>
      <c r="P1082">
        <v>-75205</v>
      </c>
      <c r="Q1082">
        <v>-47003</v>
      </c>
      <c r="R1082">
        <v>207977</v>
      </c>
      <c r="S1082">
        <v>62393</v>
      </c>
      <c r="T1082">
        <v>20797</v>
      </c>
      <c r="U1082">
        <v>9400</v>
      </c>
      <c r="V1082">
        <v>5640</v>
      </c>
      <c r="W1082">
        <v>3760</v>
      </c>
      <c r="X1082">
        <v>18801</v>
      </c>
      <c r="Y1082">
        <v>9400</v>
      </c>
      <c r="Z1082">
        <v>10398</v>
      </c>
      <c r="AA1082">
        <v>6239</v>
      </c>
      <c r="AB1082">
        <v>4159</v>
      </c>
    </row>
    <row r="1083" spans="1:28" x14ac:dyDescent="0.35">
      <c r="A1083" t="s">
        <v>1128</v>
      </c>
      <c r="B1083" t="s">
        <v>9</v>
      </c>
      <c r="C1083" t="s">
        <v>1</v>
      </c>
      <c r="D1083" t="s">
        <v>10</v>
      </c>
      <c r="E1083" t="s">
        <v>11</v>
      </c>
      <c r="F1083">
        <v>185542</v>
      </c>
      <c r="G1083">
        <v>-111167</v>
      </c>
      <c r="H1083">
        <v>28539</v>
      </c>
      <c r="I1083">
        <v>185542</v>
      </c>
      <c r="J1083">
        <v>18554</v>
      </c>
      <c r="K1083">
        <v>9277</v>
      </c>
      <c r="L1083">
        <v>112212</v>
      </c>
      <c r="M1083">
        <v>22442</v>
      </c>
      <c r="N1083">
        <v>33663</v>
      </c>
      <c r="O1083">
        <v>11221</v>
      </c>
      <c r="P1083">
        <v>-44884</v>
      </c>
      <c r="Q1083">
        <v>-28053</v>
      </c>
      <c r="R1083">
        <v>94471</v>
      </c>
      <c r="S1083">
        <v>28341</v>
      </c>
      <c r="T1083">
        <v>9447</v>
      </c>
      <c r="U1083">
        <v>5610</v>
      </c>
      <c r="V1083">
        <v>3366</v>
      </c>
      <c r="W1083">
        <v>2244</v>
      </c>
      <c r="X1083">
        <v>11221</v>
      </c>
      <c r="Y1083">
        <v>5610</v>
      </c>
      <c r="Z1083">
        <v>4723</v>
      </c>
      <c r="AA1083">
        <v>2834</v>
      </c>
      <c r="AB1083">
        <v>1889</v>
      </c>
    </row>
    <row r="1084" spans="1:28" x14ac:dyDescent="0.35">
      <c r="A1084" t="s">
        <v>1129</v>
      </c>
      <c r="B1084" t="s">
        <v>9</v>
      </c>
      <c r="C1084" t="s">
        <v>1</v>
      </c>
      <c r="D1084" t="s">
        <v>10</v>
      </c>
      <c r="E1084" t="s">
        <v>11</v>
      </c>
      <c r="F1084">
        <v>351055</v>
      </c>
      <c r="G1084">
        <v>-98437</v>
      </c>
      <c r="H1084">
        <v>157947</v>
      </c>
      <c r="I1084">
        <v>351055</v>
      </c>
      <c r="J1084">
        <v>35105</v>
      </c>
      <c r="K1084">
        <v>17552</v>
      </c>
      <c r="L1084">
        <v>209791</v>
      </c>
      <c r="M1084">
        <v>41958</v>
      </c>
      <c r="N1084">
        <v>62937</v>
      </c>
      <c r="O1084">
        <v>20979</v>
      </c>
      <c r="P1084">
        <v>-83916</v>
      </c>
      <c r="Q1084">
        <v>-52447</v>
      </c>
      <c r="R1084">
        <v>172105</v>
      </c>
      <c r="S1084">
        <v>51631</v>
      </c>
      <c r="T1084">
        <v>17210</v>
      </c>
      <c r="U1084">
        <v>10489</v>
      </c>
      <c r="V1084">
        <v>6293</v>
      </c>
      <c r="W1084">
        <v>4195</v>
      </c>
      <c r="X1084">
        <v>20979</v>
      </c>
      <c r="Y1084">
        <v>10489</v>
      </c>
      <c r="Z1084">
        <v>8605</v>
      </c>
      <c r="AA1084">
        <v>5163</v>
      </c>
      <c r="AB1084">
        <v>3442</v>
      </c>
    </row>
    <row r="1085" spans="1:28" x14ac:dyDescent="0.35">
      <c r="A1085" t="s">
        <v>1130</v>
      </c>
      <c r="B1085" t="s">
        <v>9</v>
      </c>
      <c r="C1085" t="s">
        <v>1</v>
      </c>
      <c r="D1085" t="s">
        <v>10</v>
      </c>
      <c r="E1085" t="s">
        <v>11</v>
      </c>
      <c r="F1085">
        <v>434474</v>
      </c>
      <c r="G1085">
        <v>-120115</v>
      </c>
      <c r="H1085">
        <v>189868</v>
      </c>
      <c r="I1085">
        <v>434474</v>
      </c>
      <c r="J1085">
        <v>43447</v>
      </c>
      <c r="K1085">
        <v>21723</v>
      </c>
      <c r="L1085">
        <v>330661</v>
      </c>
      <c r="M1085">
        <v>66132</v>
      </c>
      <c r="N1085">
        <v>99198</v>
      </c>
      <c r="O1085">
        <v>33066</v>
      </c>
      <c r="P1085">
        <v>-132264</v>
      </c>
      <c r="Q1085">
        <v>-82665</v>
      </c>
      <c r="R1085">
        <v>370494</v>
      </c>
      <c r="S1085">
        <v>111148</v>
      </c>
      <c r="T1085">
        <v>37049</v>
      </c>
      <c r="U1085">
        <v>16533</v>
      </c>
      <c r="V1085">
        <v>9919</v>
      </c>
      <c r="W1085">
        <v>6613</v>
      </c>
      <c r="X1085">
        <v>33066</v>
      </c>
      <c r="Y1085">
        <v>16533</v>
      </c>
      <c r="Z1085">
        <v>18524</v>
      </c>
      <c r="AA1085">
        <v>11114</v>
      </c>
      <c r="AB1085">
        <v>7409</v>
      </c>
    </row>
    <row r="1086" spans="1:28" x14ac:dyDescent="0.35">
      <c r="A1086" t="s">
        <v>1131</v>
      </c>
      <c r="B1086" t="s">
        <v>9</v>
      </c>
      <c r="C1086" t="s">
        <v>1</v>
      </c>
      <c r="D1086" t="s">
        <v>10</v>
      </c>
      <c r="E1086" t="s">
        <v>11</v>
      </c>
      <c r="F1086">
        <v>146895</v>
      </c>
      <c r="G1086">
        <v>-79317</v>
      </c>
      <c r="H1086">
        <v>44632</v>
      </c>
      <c r="I1086">
        <v>146895</v>
      </c>
      <c r="J1086">
        <v>14689</v>
      </c>
      <c r="K1086">
        <v>7344</v>
      </c>
      <c r="L1086">
        <v>68961</v>
      </c>
      <c r="M1086">
        <v>13792</v>
      </c>
      <c r="N1086">
        <v>20688</v>
      </c>
      <c r="O1086">
        <v>6896</v>
      </c>
      <c r="P1086">
        <v>-27584</v>
      </c>
      <c r="Q1086">
        <v>-17240</v>
      </c>
      <c r="R1086">
        <v>78157</v>
      </c>
      <c r="S1086">
        <v>23447</v>
      </c>
      <c r="T1086">
        <v>7815</v>
      </c>
      <c r="U1086">
        <v>3448</v>
      </c>
      <c r="V1086">
        <v>2068</v>
      </c>
      <c r="W1086">
        <v>1379</v>
      </c>
      <c r="X1086">
        <v>6896</v>
      </c>
      <c r="Y1086">
        <v>3448</v>
      </c>
      <c r="Z1086">
        <v>3907</v>
      </c>
      <c r="AA1086">
        <v>2344</v>
      </c>
      <c r="AB1086">
        <v>1563</v>
      </c>
    </row>
    <row r="1087" spans="1:28" x14ac:dyDescent="0.35">
      <c r="A1087" t="s">
        <v>1132</v>
      </c>
      <c r="B1087" t="s">
        <v>9</v>
      </c>
      <c r="C1087" t="s">
        <v>1</v>
      </c>
      <c r="D1087" t="s">
        <v>10</v>
      </c>
      <c r="E1087" t="s">
        <v>11</v>
      </c>
      <c r="F1087">
        <v>228146</v>
      </c>
      <c r="G1087">
        <v>-127866</v>
      </c>
      <c r="H1087">
        <v>26485</v>
      </c>
      <c r="I1087">
        <v>228146</v>
      </c>
      <c r="J1087">
        <v>22814</v>
      </c>
      <c r="K1087">
        <v>11407</v>
      </c>
      <c r="L1087">
        <v>55449</v>
      </c>
      <c r="M1087">
        <v>11089</v>
      </c>
      <c r="N1087">
        <v>16634</v>
      </c>
      <c r="O1087">
        <v>5544</v>
      </c>
      <c r="P1087">
        <v>-22179</v>
      </c>
      <c r="Q1087">
        <v>-13862</v>
      </c>
      <c r="R1087">
        <v>62536</v>
      </c>
      <c r="S1087">
        <v>18760</v>
      </c>
      <c r="T1087">
        <v>6253</v>
      </c>
      <c r="U1087">
        <v>2772</v>
      </c>
      <c r="V1087">
        <v>1663</v>
      </c>
      <c r="W1087">
        <v>1108</v>
      </c>
      <c r="X1087">
        <v>5544</v>
      </c>
      <c r="Y1087">
        <v>2772</v>
      </c>
      <c r="Z1087">
        <v>3126</v>
      </c>
      <c r="AA1087">
        <v>1876</v>
      </c>
      <c r="AB1087">
        <v>1250</v>
      </c>
    </row>
    <row r="1088" spans="1:28" x14ac:dyDescent="0.35">
      <c r="A1088" t="s">
        <v>1133</v>
      </c>
      <c r="B1088" t="s">
        <v>9</v>
      </c>
      <c r="C1088" t="s">
        <v>1</v>
      </c>
      <c r="D1088" t="s">
        <v>10</v>
      </c>
      <c r="E1088" t="s">
        <v>11</v>
      </c>
      <c r="F1088">
        <v>65218</v>
      </c>
      <c r="G1088">
        <v>-36694</v>
      </c>
      <c r="H1088">
        <v>21796</v>
      </c>
      <c r="I1088">
        <v>65218</v>
      </c>
      <c r="J1088">
        <v>6521</v>
      </c>
      <c r="K1088">
        <v>3260</v>
      </c>
      <c r="L1088">
        <v>29916</v>
      </c>
      <c r="M1088">
        <v>5983</v>
      </c>
      <c r="N1088">
        <v>8974</v>
      </c>
      <c r="O1088">
        <v>2991</v>
      </c>
      <c r="P1088">
        <v>-11966</v>
      </c>
      <c r="Q1088">
        <v>-7479</v>
      </c>
      <c r="R1088">
        <v>31042</v>
      </c>
      <c r="S1088">
        <v>9312</v>
      </c>
      <c r="T1088">
        <v>3104</v>
      </c>
      <c r="U1088">
        <v>1495</v>
      </c>
      <c r="V1088">
        <v>897</v>
      </c>
      <c r="W1088">
        <v>598</v>
      </c>
      <c r="X1088">
        <v>2991</v>
      </c>
      <c r="Y1088">
        <v>1495</v>
      </c>
      <c r="Z1088">
        <v>1552</v>
      </c>
      <c r="AA1088">
        <v>931</v>
      </c>
      <c r="AB1088">
        <v>620</v>
      </c>
    </row>
    <row r="1089" spans="1:28" x14ac:dyDescent="0.35">
      <c r="A1089" t="s">
        <v>1134</v>
      </c>
      <c r="B1089" t="s">
        <v>9</v>
      </c>
      <c r="C1089" t="s">
        <v>1</v>
      </c>
      <c r="D1089" t="s">
        <v>10</v>
      </c>
      <c r="E1089" t="s">
        <v>11</v>
      </c>
      <c r="F1089">
        <v>422897</v>
      </c>
      <c r="G1089">
        <v>-116795</v>
      </c>
      <c r="H1089">
        <v>120773</v>
      </c>
      <c r="I1089">
        <v>422897</v>
      </c>
      <c r="J1089">
        <v>42289</v>
      </c>
      <c r="K1089">
        <v>21144</v>
      </c>
      <c r="L1089">
        <v>95776</v>
      </c>
      <c r="M1089">
        <v>19155</v>
      </c>
      <c r="N1089">
        <v>28732</v>
      </c>
      <c r="O1089">
        <v>9577</v>
      </c>
      <c r="P1089">
        <v>-38310</v>
      </c>
      <c r="Q1089">
        <v>-23944</v>
      </c>
      <c r="R1089">
        <v>94950</v>
      </c>
      <c r="S1089">
        <v>28485</v>
      </c>
      <c r="T1089">
        <v>9495</v>
      </c>
      <c r="U1089">
        <v>4788</v>
      </c>
      <c r="V1089">
        <v>2873</v>
      </c>
      <c r="W1089">
        <v>1915</v>
      </c>
      <c r="X1089">
        <v>9577</v>
      </c>
      <c r="Y1089">
        <v>4788</v>
      </c>
      <c r="Z1089">
        <v>4747</v>
      </c>
      <c r="AA1089">
        <v>2848</v>
      </c>
      <c r="AB1089">
        <v>1899</v>
      </c>
    </row>
    <row r="1090" spans="1:28" x14ac:dyDescent="0.35">
      <c r="A1090" t="s">
        <v>1135</v>
      </c>
      <c r="B1090" t="s">
        <v>9</v>
      </c>
      <c r="C1090" t="s">
        <v>1</v>
      </c>
      <c r="D1090" t="s">
        <v>10</v>
      </c>
      <c r="E1090" t="s">
        <v>11</v>
      </c>
      <c r="F1090">
        <v>396708</v>
      </c>
      <c r="G1090">
        <v>-186920</v>
      </c>
      <c r="H1090">
        <v>135787</v>
      </c>
      <c r="I1090">
        <v>396708</v>
      </c>
      <c r="J1090">
        <v>39670</v>
      </c>
      <c r="K1090">
        <v>19835</v>
      </c>
      <c r="L1090">
        <v>199048</v>
      </c>
      <c r="M1090">
        <v>39809</v>
      </c>
      <c r="N1090">
        <v>59714</v>
      </c>
      <c r="O1090">
        <v>19904</v>
      </c>
      <c r="P1090">
        <v>-79619</v>
      </c>
      <c r="Q1090">
        <v>-49762</v>
      </c>
      <c r="R1090">
        <v>189083</v>
      </c>
      <c r="S1090">
        <v>56724</v>
      </c>
      <c r="T1090">
        <v>18908</v>
      </c>
      <c r="U1090">
        <v>9952</v>
      </c>
      <c r="V1090">
        <v>5971</v>
      </c>
      <c r="W1090">
        <v>3980</v>
      </c>
      <c r="X1090">
        <v>19904</v>
      </c>
      <c r="Y1090">
        <v>9952</v>
      </c>
      <c r="Z1090">
        <v>9454</v>
      </c>
      <c r="AA1090">
        <v>5672</v>
      </c>
      <c r="AB1090">
        <v>3781</v>
      </c>
    </row>
    <row r="1091" spans="1:28" x14ac:dyDescent="0.35">
      <c r="A1091" t="s">
        <v>1136</v>
      </c>
      <c r="B1091" t="s">
        <v>9</v>
      </c>
      <c r="C1091" t="s">
        <v>1</v>
      </c>
      <c r="D1091" t="s">
        <v>10</v>
      </c>
      <c r="E1091" t="s">
        <v>11</v>
      </c>
      <c r="F1091">
        <v>126692</v>
      </c>
      <c r="G1091">
        <v>-58538</v>
      </c>
      <c r="H1091">
        <v>59653</v>
      </c>
      <c r="I1091">
        <v>126692</v>
      </c>
      <c r="J1091">
        <v>12669</v>
      </c>
      <c r="K1091">
        <v>6334</v>
      </c>
      <c r="L1091">
        <v>79639</v>
      </c>
      <c r="M1091">
        <v>15927</v>
      </c>
      <c r="N1091">
        <v>23891</v>
      </c>
      <c r="O1091">
        <v>7963</v>
      </c>
      <c r="P1091">
        <v>-31855</v>
      </c>
      <c r="Q1091">
        <v>-19909</v>
      </c>
      <c r="R1091">
        <v>80686</v>
      </c>
      <c r="S1091">
        <v>24205</v>
      </c>
      <c r="T1091">
        <v>8068</v>
      </c>
      <c r="U1091">
        <v>3981</v>
      </c>
      <c r="V1091">
        <v>2389</v>
      </c>
      <c r="W1091">
        <v>1592</v>
      </c>
      <c r="X1091">
        <v>7963</v>
      </c>
      <c r="Y1091">
        <v>3981</v>
      </c>
      <c r="Z1091">
        <v>4034</v>
      </c>
      <c r="AA1091">
        <v>2420</v>
      </c>
      <c r="AB1091">
        <v>1613</v>
      </c>
    </row>
    <row r="1092" spans="1:28" x14ac:dyDescent="0.35">
      <c r="A1092" t="s">
        <v>1137</v>
      </c>
      <c r="B1092" t="s">
        <v>9</v>
      </c>
      <c r="C1092" t="s">
        <v>1</v>
      </c>
      <c r="D1092" t="s">
        <v>10</v>
      </c>
      <c r="E1092" t="s">
        <v>11</v>
      </c>
      <c r="F1092">
        <v>465210</v>
      </c>
      <c r="G1092">
        <v>-107590</v>
      </c>
      <c r="H1092">
        <v>189069</v>
      </c>
      <c r="I1092">
        <v>465210</v>
      </c>
      <c r="J1092">
        <v>46521</v>
      </c>
      <c r="K1092">
        <v>23260</v>
      </c>
      <c r="L1092">
        <v>320446</v>
      </c>
      <c r="M1092">
        <v>64089</v>
      </c>
      <c r="N1092">
        <v>96133</v>
      </c>
      <c r="O1092">
        <v>32044</v>
      </c>
      <c r="P1092">
        <v>-128178</v>
      </c>
      <c r="Q1092">
        <v>-80111</v>
      </c>
      <c r="R1092">
        <v>311635</v>
      </c>
      <c r="S1092">
        <v>93490</v>
      </c>
      <c r="T1092">
        <v>31163</v>
      </c>
      <c r="U1092">
        <v>16022</v>
      </c>
      <c r="V1092">
        <v>9613</v>
      </c>
      <c r="W1092">
        <v>6408</v>
      </c>
      <c r="X1092">
        <v>32044</v>
      </c>
      <c r="Y1092">
        <v>16022</v>
      </c>
      <c r="Z1092">
        <v>15581</v>
      </c>
      <c r="AA1092">
        <v>9349</v>
      </c>
      <c r="AB1092">
        <v>6232</v>
      </c>
    </row>
    <row r="1093" spans="1:28" x14ac:dyDescent="0.35">
      <c r="A1093" t="s">
        <v>1138</v>
      </c>
      <c r="B1093" t="s">
        <v>9</v>
      </c>
      <c r="C1093" t="s">
        <v>1</v>
      </c>
      <c r="D1093" t="s">
        <v>10</v>
      </c>
      <c r="E1093" t="s">
        <v>11</v>
      </c>
      <c r="F1093">
        <v>111193</v>
      </c>
      <c r="G1093">
        <v>-61382</v>
      </c>
      <c r="H1093">
        <v>25704</v>
      </c>
      <c r="I1093">
        <v>111193</v>
      </c>
      <c r="J1093">
        <v>11119</v>
      </c>
      <c r="K1093">
        <v>5559</v>
      </c>
      <c r="L1093">
        <v>67601</v>
      </c>
      <c r="M1093">
        <v>13520</v>
      </c>
      <c r="N1093">
        <v>20280</v>
      </c>
      <c r="O1093">
        <v>6760</v>
      </c>
      <c r="P1093">
        <v>-27040</v>
      </c>
      <c r="Q1093">
        <v>-16900</v>
      </c>
      <c r="R1093">
        <v>77857</v>
      </c>
      <c r="S1093">
        <v>23357</v>
      </c>
      <c r="T1093">
        <v>7785</v>
      </c>
      <c r="U1093">
        <v>3380</v>
      </c>
      <c r="V1093">
        <v>2028</v>
      </c>
      <c r="W1093">
        <v>1352</v>
      </c>
      <c r="X1093">
        <v>6760</v>
      </c>
      <c r="Y1093">
        <v>3380</v>
      </c>
      <c r="Z1093">
        <v>3892</v>
      </c>
      <c r="AA1093">
        <v>2335</v>
      </c>
      <c r="AB1093">
        <v>1557</v>
      </c>
    </row>
    <row r="1094" spans="1:28" x14ac:dyDescent="0.35">
      <c r="A1094" t="s">
        <v>1139</v>
      </c>
      <c r="B1094" t="s">
        <v>9</v>
      </c>
      <c r="C1094" t="s">
        <v>1</v>
      </c>
      <c r="D1094" t="s">
        <v>10</v>
      </c>
      <c r="E1094" t="s">
        <v>11</v>
      </c>
      <c r="F1094">
        <v>390637</v>
      </c>
      <c r="G1094">
        <v>-141010</v>
      </c>
      <c r="H1094">
        <v>76710</v>
      </c>
      <c r="I1094">
        <v>390637</v>
      </c>
      <c r="J1094">
        <v>39063</v>
      </c>
      <c r="K1094">
        <v>19531</v>
      </c>
      <c r="L1094">
        <v>142489</v>
      </c>
      <c r="M1094">
        <v>28497</v>
      </c>
      <c r="N1094">
        <v>42746</v>
      </c>
      <c r="O1094">
        <v>14248</v>
      </c>
      <c r="P1094">
        <v>-56995</v>
      </c>
      <c r="Q1094">
        <v>-35622</v>
      </c>
      <c r="R1094">
        <v>125087</v>
      </c>
      <c r="S1094">
        <v>37526</v>
      </c>
      <c r="T1094">
        <v>12508</v>
      </c>
      <c r="U1094">
        <v>7124</v>
      </c>
      <c r="V1094">
        <v>4274</v>
      </c>
      <c r="W1094">
        <v>2849</v>
      </c>
      <c r="X1094">
        <v>14248</v>
      </c>
      <c r="Y1094">
        <v>7124</v>
      </c>
      <c r="Z1094">
        <v>6254</v>
      </c>
      <c r="AA1094">
        <v>3752</v>
      </c>
      <c r="AB1094">
        <v>2501</v>
      </c>
    </row>
    <row r="1095" spans="1:28" x14ac:dyDescent="0.35">
      <c r="A1095" t="s">
        <v>1140</v>
      </c>
      <c r="B1095" t="s">
        <v>9</v>
      </c>
      <c r="C1095" t="s">
        <v>1</v>
      </c>
      <c r="D1095" t="s">
        <v>10</v>
      </c>
      <c r="E1095" t="s">
        <v>11</v>
      </c>
      <c r="F1095">
        <v>131140</v>
      </c>
      <c r="G1095">
        <v>-30358</v>
      </c>
      <c r="H1095">
        <v>44775</v>
      </c>
      <c r="I1095">
        <v>131140</v>
      </c>
      <c r="J1095">
        <v>13114</v>
      </c>
      <c r="K1095">
        <v>6557</v>
      </c>
      <c r="L1095">
        <v>97516</v>
      </c>
      <c r="M1095">
        <v>19503</v>
      </c>
      <c r="N1095">
        <v>29254</v>
      </c>
      <c r="O1095">
        <v>9751</v>
      </c>
      <c r="P1095">
        <v>-39006</v>
      </c>
      <c r="Q1095">
        <v>-24379</v>
      </c>
      <c r="R1095">
        <v>86889</v>
      </c>
      <c r="S1095">
        <v>26066</v>
      </c>
      <c r="T1095">
        <v>8688</v>
      </c>
      <c r="U1095">
        <v>4875</v>
      </c>
      <c r="V1095">
        <v>2925</v>
      </c>
      <c r="W1095">
        <v>1950</v>
      </c>
      <c r="X1095">
        <v>9751</v>
      </c>
      <c r="Y1095">
        <v>4875</v>
      </c>
      <c r="Z1095">
        <v>4344</v>
      </c>
      <c r="AA1095">
        <v>2606</v>
      </c>
      <c r="AB1095">
        <v>1737</v>
      </c>
    </row>
    <row r="1096" spans="1:28" x14ac:dyDescent="0.35">
      <c r="A1096" t="s">
        <v>1141</v>
      </c>
      <c r="B1096" t="s">
        <v>9</v>
      </c>
      <c r="C1096" t="s">
        <v>1</v>
      </c>
      <c r="D1096" t="s">
        <v>10</v>
      </c>
      <c r="E1096" t="s">
        <v>11</v>
      </c>
      <c r="F1096">
        <v>120375</v>
      </c>
      <c r="G1096">
        <v>-61646</v>
      </c>
      <c r="H1096">
        <v>44616</v>
      </c>
      <c r="I1096">
        <v>120375</v>
      </c>
      <c r="J1096">
        <v>12037</v>
      </c>
      <c r="K1096">
        <v>6018</v>
      </c>
      <c r="L1096">
        <v>46862</v>
      </c>
      <c r="M1096">
        <v>9372</v>
      </c>
      <c r="N1096">
        <v>14058</v>
      </c>
      <c r="O1096">
        <v>4686</v>
      </c>
      <c r="P1096">
        <v>-18744</v>
      </c>
      <c r="Q1096">
        <v>-11715</v>
      </c>
      <c r="R1096">
        <v>38769</v>
      </c>
      <c r="S1096">
        <v>11630</v>
      </c>
      <c r="T1096">
        <v>3876</v>
      </c>
      <c r="U1096">
        <v>2343</v>
      </c>
      <c r="V1096">
        <v>1405</v>
      </c>
      <c r="W1096">
        <v>937</v>
      </c>
      <c r="X1096">
        <v>4686</v>
      </c>
      <c r="Y1096">
        <v>2343</v>
      </c>
      <c r="Z1096">
        <v>1938</v>
      </c>
      <c r="AA1096">
        <v>1163</v>
      </c>
      <c r="AB1096">
        <v>775</v>
      </c>
    </row>
    <row r="1097" spans="1:28" x14ac:dyDescent="0.35">
      <c r="A1097" t="s">
        <v>1142</v>
      </c>
      <c r="B1097" t="s">
        <v>9</v>
      </c>
      <c r="C1097" t="s">
        <v>1</v>
      </c>
      <c r="D1097" t="s">
        <v>10</v>
      </c>
      <c r="E1097" t="s">
        <v>11</v>
      </c>
      <c r="F1097">
        <v>73442</v>
      </c>
      <c r="G1097">
        <v>-39152</v>
      </c>
      <c r="H1097">
        <v>33312</v>
      </c>
      <c r="I1097">
        <v>73442</v>
      </c>
      <c r="J1097">
        <v>7344</v>
      </c>
      <c r="K1097">
        <v>3672</v>
      </c>
      <c r="L1097">
        <v>44016</v>
      </c>
      <c r="M1097">
        <v>8803</v>
      </c>
      <c r="N1097">
        <v>13204</v>
      </c>
      <c r="O1097">
        <v>4401</v>
      </c>
      <c r="P1097">
        <v>-17606</v>
      </c>
      <c r="Q1097">
        <v>-11004</v>
      </c>
      <c r="R1097">
        <v>46233</v>
      </c>
      <c r="S1097">
        <v>13869</v>
      </c>
      <c r="T1097">
        <v>4623</v>
      </c>
      <c r="U1097">
        <v>2200</v>
      </c>
      <c r="V1097">
        <v>1320</v>
      </c>
      <c r="W1097">
        <v>880</v>
      </c>
      <c r="X1097">
        <v>4401</v>
      </c>
      <c r="Y1097">
        <v>2200</v>
      </c>
      <c r="Z1097">
        <v>2311</v>
      </c>
      <c r="AA1097">
        <v>1386</v>
      </c>
      <c r="AB1097">
        <v>924</v>
      </c>
    </row>
    <row r="1098" spans="1:28" x14ac:dyDescent="0.35">
      <c r="A1098" t="s">
        <v>1143</v>
      </c>
      <c r="B1098" t="s">
        <v>9</v>
      </c>
      <c r="C1098" t="s">
        <v>1</v>
      </c>
      <c r="D1098" t="s">
        <v>10</v>
      </c>
      <c r="E1098" t="s">
        <v>11</v>
      </c>
      <c r="F1098">
        <v>338766</v>
      </c>
      <c r="G1098">
        <v>-187526</v>
      </c>
      <c r="H1098">
        <v>63106</v>
      </c>
      <c r="I1098">
        <v>338766</v>
      </c>
      <c r="J1098">
        <v>33876</v>
      </c>
      <c r="K1098">
        <v>16938</v>
      </c>
      <c r="L1098">
        <v>220156</v>
      </c>
      <c r="M1098">
        <v>44031</v>
      </c>
      <c r="N1098">
        <v>66046</v>
      </c>
      <c r="O1098">
        <v>22015</v>
      </c>
      <c r="P1098">
        <v>-88062</v>
      </c>
      <c r="Q1098">
        <v>-55039</v>
      </c>
      <c r="R1098">
        <v>230706</v>
      </c>
      <c r="S1098">
        <v>69211</v>
      </c>
      <c r="T1098">
        <v>23070</v>
      </c>
      <c r="U1098">
        <v>11007</v>
      </c>
      <c r="V1098">
        <v>6604</v>
      </c>
      <c r="W1098">
        <v>4403</v>
      </c>
      <c r="X1098">
        <v>22015</v>
      </c>
      <c r="Y1098">
        <v>11007</v>
      </c>
      <c r="Z1098">
        <v>11535</v>
      </c>
      <c r="AA1098">
        <v>6921</v>
      </c>
      <c r="AB1098">
        <v>4614</v>
      </c>
    </row>
    <row r="1099" spans="1:28" x14ac:dyDescent="0.35">
      <c r="A1099" t="s">
        <v>1144</v>
      </c>
      <c r="B1099" t="s">
        <v>9</v>
      </c>
      <c r="C1099" t="s">
        <v>1</v>
      </c>
      <c r="D1099" t="s">
        <v>10</v>
      </c>
      <c r="E1099" t="s">
        <v>11</v>
      </c>
      <c r="F1099">
        <v>283374</v>
      </c>
      <c r="G1099">
        <v>-122295</v>
      </c>
      <c r="H1099">
        <v>123583</v>
      </c>
      <c r="I1099">
        <v>283374</v>
      </c>
      <c r="J1099">
        <v>28337</v>
      </c>
      <c r="K1099">
        <v>14168</v>
      </c>
      <c r="L1099">
        <v>69592</v>
      </c>
      <c r="M1099">
        <v>13918</v>
      </c>
      <c r="N1099">
        <v>20877</v>
      </c>
      <c r="O1099">
        <v>6959</v>
      </c>
      <c r="P1099">
        <v>-27836</v>
      </c>
      <c r="Q1099">
        <v>-17398</v>
      </c>
      <c r="R1099">
        <v>58559</v>
      </c>
      <c r="S1099">
        <v>17567</v>
      </c>
      <c r="T1099">
        <v>5855</v>
      </c>
      <c r="U1099">
        <v>3479</v>
      </c>
      <c r="V1099">
        <v>2087</v>
      </c>
      <c r="W1099">
        <v>1391</v>
      </c>
      <c r="X1099">
        <v>6959</v>
      </c>
      <c r="Y1099">
        <v>3479</v>
      </c>
      <c r="Z1099">
        <v>2927</v>
      </c>
      <c r="AA1099">
        <v>1756</v>
      </c>
      <c r="AB1099">
        <v>1171</v>
      </c>
    </row>
    <row r="1100" spans="1:28" x14ac:dyDescent="0.35">
      <c r="A1100" t="s">
        <v>1145</v>
      </c>
      <c r="B1100" t="s">
        <v>9</v>
      </c>
      <c r="C1100" t="s">
        <v>1</v>
      </c>
      <c r="D1100" t="s">
        <v>10</v>
      </c>
      <c r="E1100" t="s">
        <v>11</v>
      </c>
      <c r="F1100">
        <v>55716</v>
      </c>
      <c r="G1100">
        <v>-11357</v>
      </c>
      <c r="H1100">
        <v>25118</v>
      </c>
      <c r="I1100">
        <v>55716</v>
      </c>
      <c r="J1100">
        <v>5571</v>
      </c>
      <c r="K1100">
        <v>2785</v>
      </c>
      <c r="L1100">
        <v>34745</v>
      </c>
      <c r="M1100">
        <v>6949</v>
      </c>
      <c r="N1100">
        <v>10423</v>
      </c>
      <c r="O1100">
        <v>3474</v>
      </c>
      <c r="P1100">
        <v>-13898</v>
      </c>
      <c r="Q1100">
        <v>-8686</v>
      </c>
      <c r="R1100">
        <v>28261</v>
      </c>
      <c r="S1100">
        <v>8478</v>
      </c>
      <c r="T1100">
        <v>2826</v>
      </c>
      <c r="U1100">
        <v>1737</v>
      </c>
      <c r="V1100">
        <v>1042</v>
      </c>
      <c r="W1100">
        <v>694</v>
      </c>
      <c r="X1100">
        <v>3474</v>
      </c>
      <c r="Y1100">
        <v>1737</v>
      </c>
      <c r="Z1100">
        <v>1413</v>
      </c>
      <c r="AA1100">
        <v>847</v>
      </c>
      <c r="AB1100">
        <v>565</v>
      </c>
    </row>
    <row r="1101" spans="1:28" x14ac:dyDescent="0.35">
      <c r="A1101" t="s">
        <v>1146</v>
      </c>
      <c r="B1101" t="s">
        <v>9</v>
      </c>
      <c r="C1101" t="s">
        <v>1</v>
      </c>
      <c r="D1101" t="s">
        <v>10</v>
      </c>
      <c r="E1101" t="s">
        <v>11</v>
      </c>
      <c r="F1101">
        <v>468871</v>
      </c>
      <c r="G1101">
        <v>-154770</v>
      </c>
      <c r="H1101">
        <v>197716</v>
      </c>
      <c r="I1101">
        <v>468871</v>
      </c>
      <c r="J1101">
        <v>46887</v>
      </c>
      <c r="K1101">
        <v>23443</v>
      </c>
      <c r="L1101">
        <v>100715</v>
      </c>
      <c r="M1101">
        <v>20143</v>
      </c>
      <c r="N1101">
        <v>30214</v>
      </c>
      <c r="O1101">
        <v>10071</v>
      </c>
      <c r="P1101">
        <v>-40286</v>
      </c>
      <c r="Q1101">
        <v>-25178</v>
      </c>
      <c r="R1101">
        <v>111279</v>
      </c>
      <c r="S1101">
        <v>33383</v>
      </c>
      <c r="T1101">
        <v>11127</v>
      </c>
      <c r="U1101">
        <v>5035</v>
      </c>
      <c r="V1101">
        <v>3021</v>
      </c>
      <c r="W1101">
        <v>2014</v>
      </c>
      <c r="X1101">
        <v>10071</v>
      </c>
      <c r="Y1101">
        <v>5035</v>
      </c>
      <c r="Z1101">
        <v>5563</v>
      </c>
      <c r="AA1101">
        <v>3338</v>
      </c>
      <c r="AB1101">
        <v>2225</v>
      </c>
    </row>
    <row r="1102" spans="1:28" x14ac:dyDescent="0.35">
      <c r="A1102" t="s">
        <v>1147</v>
      </c>
      <c r="B1102" t="s">
        <v>9</v>
      </c>
      <c r="C1102" t="s">
        <v>1</v>
      </c>
      <c r="D1102" t="s">
        <v>10</v>
      </c>
      <c r="E1102" t="s">
        <v>11</v>
      </c>
      <c r="F1102">
        <v>291561</v>
      </c>
      <c r="G1102">
        <v>-134147</v>
      </c>
      <c r="H1102">
        <v>68404</v>
      </c>
      <c r="I1102">
        <v>291561</v>
      </c>
      <c r="J1102">
        <v>29156</v>
      </c>
      <c r="K1102">
        <v>14578</v>
      </c>
      <c r="L1102">
        <v>149278</v>
      </c>
      <c r="M1102">
        <v>29855</v>
      </c>
      <c r="N1102">
        <v>44783</v>
      </c>
      <c r="O1102">
        <v>14927</v>
      </c>
      <c r="P1102">
        <v>-59711</v>
      </c>
      <c r="Q1102">
        <v>-37319</v>
      </c>
      <c r="R1102">
        <v>119898</v>
      </c>
      <c r="S1102">
        <v>35969</v>
      </c>
      <c r="T1102">
        <v>11989</v>
      </c>
      <c r="U1102">
        <v>7463</v>
      </c>
      <c r="V1102">
        <v>4478</v>
      </c>
      <c r="W1102">
        <v>2985</v>
      </c>
      <c r="X1102">
        <v>14927</v>
      </c>
      <c r="Y1102">
        <v>7463</v>
      </c>
      <c r="Z1102">
        <v>5994</v>
      </c>
      <c r="AA1102">
        <v>3596</v>
      </c>
      <c r="AB1102">
        <v>2397</v>
      </c>
    </row>
    <row r="1103" spans="1:28" x14ac:dyDescent="0.35">
      <c r="A1103" t="s">
        <v>1148</v>
      </c>
      <c r="B1103" t="s">
        <v>9</v>
      </c>
      <c r="C1103" t="s">
        <v>1</v>
      </c>
      <c r="D1103" t="s">
        <v>10</v>
      </c>
      <c r="E1103" t="s">
        <v>11</v>
      </c>
      <c r="F1103">
        <v>155750</v>
      </c>
      <c r="G1103">
        <v>-74540</v>
      </c>
      <c r="H1103">
        <v>51471</v>
      </c>
      <c r="I1103">
        <v>155750</v>
      </c>
      <c r="J1103">
        <v>15575</v>
      </c>
      <c r="K1103">
        <v>7787</v>
      </c>
      <c r="L1103">
        <v>64188</v>
      </c>
      <c r="M1103">
        <v>12837</v>
      </c>
      <c r="N1103">
        <v>19256</v>
      </c>
      <c r="O1103">
        <v>6418</v>
      </c>
      <c r="P1103">
        <v>-25675</v>
      </c>
      <c r="Q1103">
        <v>-16047</v>
      </c>
      <c r="R1103">
        <v>75074</v>
      </c>
      <c r="S1103">
        <v>22522</v>
      </c>
      <c r="T1103">
        <v>7507</v>
      </c>
      <c r="U1103">
        <v>3209</v>
      </c>
      <c r="V1103">
        <v>1925</v>
      </c>
      <c r="W1103">
        <v>1283</v>
      </c>
      <c r="X1103">
        <v>6418</v>
      </c>
      <c r="Y1103">
        <v>3209</v>
      </c>
      <c r="Z1103">
        <v>3753</v>
      </c>
      <c r="AA1103">
        <v>2252</v>
      </c>
      <c r="AB1103">
        <v>1501</v>
      </c>
    </row>
    <row r="1104" spans="1:28" x14ac:dyDescent="0.35">
      <c r="A1104" t="s">
        <v>1149</v>
      </c>
      <c r="B1104" t="s">
        <v>9</v>
      </c>
      <c r="C1104" t="s">
        <v>1</v>
      </c>
      <c r="D1104" t="s">
        <v>10</v>
      </c>
      <c r="E1104" t="s">
        <v>11</v>
      </c>
      <c r="F1104">
        <v>223424</v>
      </c>
      <c r="G1104">
        <v>-44755</v>
      </c>
      <c r="H1104">
        <v>86975</v>
      </c>
      <c r="I1104">
        <v>223424</v>
      </c>
      <c r="J1104">
        <v>22342</v>
      </c>
      <c r="K1104">
        <v>11171</v>
      </c>
      <c r="L1104">
        <v>65225</v>
      </c>
      <c r="M1104">
        <v>13045</v>
      </c>
      <c r="N1104">
        <v>19567</v>
      </c>
      <c r="O1104">
        <v>6522</v>
      </c>
      <c r="P1104">
        <v>-26090</v>
      </c>
      <c r="Q1104">
        <v>-16306</v>
      </c>
      <c r="R1104">
        <v>70392</v>
      </c>
      <c r="S1104">
        <v>21117</v>
      </c>
      <c r="T1104">
        <v>7039</v>
      </c>
      <c r="U1104">
        <v>3261</v>
      </c>
      <c r="V1104">
        <v>1956</v>
      </c>
      <c r="W1104">
        <v>1304</v>
      </c>
      <c r="X1104">
        <v>6522</v>
      </c>
      <c r="Y1104">
        <v>3261</v>
      </c>
      <c r="Z1104">
        <v>3519</v>
      </c>
      <c r="AA1104">
        <v>2111</v>
      </c>
      <c r="AB1104">
        <v>1407</v>
      </c>
    </row>
    <row r="1105" spans="1:28" x14ac:dyDescent="0.35">
      <c r="A1105" t="s">
        <v>1150</v>
      </c>
      <c r="B1105" t="s">
        <v>9</v>
      </c>
      <c r="C1105" t="s">
        <v>1</v>
      </c>
      <c r="D1105" t="s">
        <v>10</v>
      </c>
      <c r="E1105" t="s">
        <v>11</v>
      </c>
      <c r="F1105">
        <v>438822</v>
      </c>
      <c r="G1105">
        <v>-108660</v>
      </c>
      <c r="H1105">
        <v>60768</v>
      </c>
      <c r="I1105">
        <v>438822</v>
      </c>
      <c r="J1105">
        <v>43882</v>
      </c>
      <c r="K1105">
        <v>21941</v>
      </c>
      <c r="L1105">
        <v>197941</v>
      </c>
      <c r="M1105">
        <v>39588</v>
      </c>
      <c r="N1105">
        <v>59382</v>
      </c>
      <c r="O1105">
        <v>19794</v>
      </c>
      <c r="P1105">
        <v>-79176</v>
      </c>
      <c r="Q1105">
        <v>-49485</v>
      </c>
      <c r="R1105">
        <v>194663</v>
      </c>
      <c r="S1105">
        <v>58398</v>
      </c>
      <c r="T1105">
        <v>19466</v>
      </c>
      <c r="U1105">
        <v>9897</v>
      </c>
      <c r="V1105">
        <v>5938</v>
      </c>
      <c r="W1105">
        <v>3958</v>
      </c>
      <c r="X1105">
        <v>19794</v>
      </c>
      <c r="Y1105">
        <v>9897</v>
      </c>
      <c r="Z1105">
        <v>9733</v>
      </c>
      <c r="AA1105">
        <v>5839</v>
      </c>
      <c r="AB1105">
        <v>3893</v>
      </c>
    </row>
    <row r="1106" spans="1:28" x14ac:dyDescent="0.35">
      <c r="A1106" t="s">
        <v>1151</v>
      </c>
      <c r="B1106" t="s">
        <v>9</v>
      </c>
      <c r="C1106" t="s">
        <v>1</v>
      </c>
      <c r="D1106" t="s">
        <v>10</v>
      </c>
      <c r="E1106" t="s">
        <v>11</v>
      </c>
      <c r="F1106">
        <v>304409</v>
      </c>
      <c r="G1106">
        <v>-107498</v>
      </c>
      <c r="H1106">
        <v>102748</v>
      </c>
      <c r="I1106">
        <v>304409</v>
      </c>
      <c r="J1106">
        <v>30440</v>
      </c>
      <c r="K1106">
        <v>15220</v>
      </c>
      <c r="L1106">
        <v>158302</v>
      </c>
      <c r="M1106">
        <v>31660</v>
      </c>
      <c r="N1106">
        <v>47490</v>
      </c>
      <c r="O1106">
        <v>15830</v>
      </c>
      <c r="P1106">
        <v>-63320</v>
      </c>
      <c r="Q1106">
        <v>-39575</v>
      </c>
      <c r="R1106">
        <v>157212</v>
      </c>
      <c r="S1106">
        <v>47163</v>
      </c>
      <c r="T1106">
        <v>15721</v>
      </c>
      <c r="U1106">
        <v>7915</v>
      </c>
      <c r="V1106">
        <v>4749</v>
      </c>
      <c r="W1106">
        <v>3166</v>
      </c>
      <c r="X1106">
        <v>15830</v>
      </c>
      <c r="Y1106">
        <v>7915</v>
      </c>
      <c r="Z1106">
        <v>7860</v>
      </c>
      <c r="AA1106">
        <v>4716</v>
      </c>
      <c r="AB1106">
        <v>3144</v>
      </c>
    </row>
    <row r="1107" spans="1:28" x14ac:dyDescent="0.35">
      <c r="A1107" t="s">
        <v>1152</v>
      </c>
      <c r="B1107" t="s">
        <v>9</v>
      </c>
      <c r="C1107" t="s">
        <v>1</v>
      </c>
      <c r="D1107" t="s">
        <v>10</v>
      </c>
      <c r="E1107" t="s">
        <v>11</v>
      </c>
      <c r="F1107">
        <v>194967</v>
      </c>
      <c r="G1107">
        <v>-89519</v>
      </c>
      <c r="H1107">
        <v>34644</v>
      </c>
      <c r="I1107">
        <v>194967</v>
      </c>
      <c r="J1107">
        <v>19496</v>
      </c>
      <c r="K1107">
        <v>9748</v>
      </c>
      <c r="L1107">
        <v>123477</v>
      </c>
      <c r="M1107">
        <v>24695</v>
      </c>
      <c r="N1107">
        <v>37043</v>
      </c>
      <c r="O1107">
        <v>12347</v>
      </c>
      <c r="P1107">
        <v>-49390</v>
      </c>
      <c r="Q1107">
        <v>-30869</v>
      </c>
      <c r="R1107">
        <v>102762</v>
      </c>
      <c r="S1107">
        <v>30828</v>
      </c>
      <c r="T1107">
        <v>10276</v>
      </c>
      <c r="U1107">
        <v>6173</v>
      </c>
      <c r="V1107">
        <v>3704</v>
      </c>
      <c r="W1107">
        <v>2469</v>
      </c>
      <c r="X1107">
        <v>12347</v>
      </c>
      <c r="Y1107">
        <v>6173</v>
      </c>
      <c r="Z1107">
        <v>5138</v>
      </c>
      <c r="AA1107">
        <v>3082</v>
      </c>
      <c r="AB1107">
        <v>2055</v>
      </c>
    </row>
    <row r="1108" spans="1:28" x14ac:dyDescent="0.35">
      <c r="A1108" t="s">
        <v>1153</v>
      </c>
      <c r="B1108" t="s">
        <v>9</v>
      </c>
      <c r="C1108" t="s">
        <v>1</v>
      </c>
      <c r="D1108" t="s">
        <v>10</v>
      </c>
      <c r="E1108" t="s">
        <v>11</v>
      </c>
      <c r="F1108">
        <v>449680</v>
      </c>
      <c r="G1108">
        <v>-246970</v>
      </c>
      <c r="H1108">
        <v>157244</v>
      </c>
      <c r="I1108">
        <v>449680</v>
      </c>
      <c r="J1108">
        <v>44968</v>
      </c>
      <c r="K1108">
        <v>22484</v>
      </c>
      <c r="L1108">
        <v>180634</v>
      </c>
      <c r="M1108">
        <v>36126</v>
      </c>
      <c r="N1108">
        <v>54190</v>
      </c>
      <c r="O1108">
        <v>18063</v>
      </c>
      <c r="P1108">
        <v>-72253</v>
      </c>
      <c r="Q1108">
        <v>-45158</v>
      </c>
      <c r="R1108">
        <v>188247</v>
      </c>
      <c r="S1108">
        <v>56474</v>
      </c>
      <c r="T1108">
        <v>18824</v>
      </c>
      <c r="U1108">
        <v>9031</v>
      </c>
      <c r="V1108">
        <v>5419</v>
      </c>
      <c r="W1108">
        <v>3612</v>
      </c>
      <c r="X1108">
        <v>18063</v>
      </c>
      <c r="Y1108">
        <v>9031</v>
      </c>
      <c r="Z1108">
        <v>9412</v>
      </c>
      <c r="AA1108">
        <v>5647</v>
      </c>
      <c r="AB1108">
        <v>3764</v>
      </c>
    </row>
    <row r="1109" spans="1:28" x14ac:dyDescent="0.35">
      <c r="A1109" t="s">
        <v>1154</v>
      </c>
      <c r="B1109" t="s">
        <v>9</v>
      </c>
      <c r="C1109" t="s">
        <v>1</v>
      </c>
      <c r="D1109" t="s">
        <v>10</v>
      </c>
      <c r="E1109" t="s">
        <v>11</v>
      </c>
      <c r="F1109">
        <v>158743</v>
      </c>
      <c r="G1109">
        <v>-77062</v>
      </c>
      <c r="H1109">
        <v>61161</v>
      </c>
      <c r="I1109">
        <v>158743</v>
      </c>
      <c r="J1109">
        <v>15874</v>
      </c>
      <c r="K1109">
        <v>7937</v>
      </c>
      <c r="L1109">
        <v>88737</v>
      </c>
      <c r="M1109">
        <v>17747</v>
      </c>
      <c r="N1109">
        <v>26621</v>
      </c>
      <c r="O1109">
        <v>8873</v>
      </c>
      <c r="P1109">
        <v>-35494</v>
      </c>
      <c r="Q1109">
        <v>-22184</v>
      </c>
      <c r="R1109">
        <v>99684</v>
      </c>
      <c r="S1109">
        <v>29905</v>
      </c>
      <c r="T1109">
        <v>9968</v>
      </c>
      <c r="U1109">
        <v>4436</v>
      </c>
      <c r="V1109">
        <v>2662</v>
      </c>
      <c r="W1109">
        <v>1774</v>
      </c>
      <c r="X1109">
        <v>8873</v>
      </c>
      <c r="Y1109">
        <v>4436</v>
      </c>
      <c r="Z1109">
        <v>4984</v>
      </c>
      <c r="AA1109">
        <v>2990</v>
      </c>
      <c r="AB1109">
        <v>1993</v>
      </c>
    </row>
    <row r="1110" spans="1:28" x14ac:dyDescent="0.35">
      <c r="A1110" t="s">
        <v>1155</v>
      </c>
      <c r="B1110" t="s">
        <v>9</v>
      </c>
      <c r="C1110" t="s">
        <v>1</v>
      </c>
      <c r="D1110" t="s">
        <v>10</v>
      </c>
      <c r="E1110" t="s">
        <v>11</v>
      </c>
      <c r="F1110">
        <v>144041</v>
      </c>
      <c r="G1110">
        <v>-43789</v>
      </c>
      <c r="H1110">
        <v>20030</v>
      </c>
      <c r="I1110">
        <v>144041</v>
      </c>
      <c r="J1110">
        <v>14404</v>
      </c>
      <c r="K1110">
        <v>7202</v>
      </c>
      <c r="L1110">
        <v>74125</v>
      </c>
      <c r="M1110">
        <v>14825</v>
      </c>
      <c r="N1110">
        <v>22237</v>
      </c>
      <c r="O1110">
        <v>7412</v>
      </c>
      <c r="P1110">
        <v>-29650</v>
      </c>
      <c r="Q1110">
        <v>-18531</v>
      </c>
      <c r="R1110">
        <v>80030</v>
      </c>
      <c r="S1110">
        <v>24009</v>
      </c>
      <c r="T1110">
        <v>8003</v>
      </c>
      <c r="U1110">
        <v>3706</v>
      </c>
      <c r="V1110">
        <v>2223</v>
      </c>
      <c r="W1110">
        <v>1482</v>
      </c>
      <c r="X1110">
        <v>7412</v>
      </c>
      <c r="Y1110">
        <v>3706</v>
      </c>
      <c r="Z1110">
        <v>4001</v>
      </c>
      <c r="AA1110">
        <v>2400</v>
      </c>
      <c r="AB1110">
        <v>1600</v>
      </c>
    </row>
    <row r="1111" spans="1:28" x14ac:dyDescent="0.35">
      <c r="A1111" t="s">
        <v>1156</v>
      </c>
      <c r="B1111" t="s">
        <v>9</v>
      </c>
      <c r="C1111" t="s">
        <v>1</v>
      </c>
      <c r="D1111" t="s">
        <v>10</v>
      </c>
      <c r="E1111" t="s">
        <v>11</v>
      </c>
      <c r="F1111">
        <v>182815</v>
      </c>
      <c r="G1111">
        <v>-49801</v>
      </c>
      <c r="H1111">
        <v>45960</v>
      </c>
      <c r="I1111">
        <v>182815</v>
      </c>
      <c r="J1111">
        <v>18281</v>
      </c>
      <c r="K1111">
        <v>9140</v>
      </c>
      <c r="L1111">
        <v>136034</v>
      </c>
      <c r="M1111">
        <v>27206</v>
      </c>
      <c r="N1111">
        <v>40810</v>
      </c>
      <c r="O1111">
        <v>13603</v>
      </c>
      <c r="P1111">
        <v>-54413</v>
      </c>
      <c r="Q1111">
        <v>-34008</v>
      </c>
      <c r="R1111">
        <v>139255</v>
      </c>
      <c r="S1111">
        <v>41776</v>
      </c>
      <c r="T1111">
        <v>13925</v>
      </c>
      <c r="U1111">
        <v>6801</v>
      </c>
      <c r="V1111">
        <v>4081</v>
      </c>
      <c r="W1111">
        <v>2720</v>
      </c>
      <c r="X1111">
        <v>13603</v>
      </c>
      <c r="Y1111">
        <v>6801</v>
      </c>
      <c r="Z1111">
        <v>6962</v>
      </c>
      <c r="AA1111">
        <v>4177</v>
      </c>
      <c r="AB1111">
        <v>2785</v>
      </c>
    </row>
    <row r="1112" spans="1:28" x14ac:dyDescent="0.35">
      <c r="A1112" t="s">
        <v>1157</v>
      </c>
      <c r="B1112" t="s">
        <v>9</v>
      </c>
      <c r="C1112" t="s">
        <v>1</v>
      </c>
      <c r="D1112" t="s">
        <v>10</v>
      </c>
      <c r="E1112" t="s">
        <v>11</v>
      </c>
      <c r="F1112">
        <v>420122</v>
      </c>
      <c r="G1112">
        <v>-222509</v>
      </c>
      <c r="H1112">
        <v>102177</v>
      </c>
      <c r="I1112">
        <v>420122</v>
      </c>
      <c r="J1112">
        <v>42012</v>
      </c>
      <c r="K1112">
        <v>21006</v>
      </c>
      <c r="L1112">
        <v>189755</v>
      </c>
      <c r="M1112">
        <v>37951</v>
      </c>
      <c r="N1112">
        <v>56926</v>
      </c>
      <c r="O1112">
        <v>18975</v>
      </c>
      <c r="P1112">
        <v>-75902</v>
      </c>
      <c r="Q1112">
        <v>-47438</v>
      </c>
      <c r="R1112">
        <v>164106</v>
      </c>
      <c r="S1112">
        <v>49231</v>
      </c>
      <c r="T1112">
        <v>16410</v>
      </c>
      <c r="U1112">
        <v>9487</v>
      </c>
      <c r="V1112">
        <v>5692</v>
      </c>
      <c r="W1112">
        <v>3795</v>
      </c>
      <c r="X1112">
        <v>18975</v>
      </c>
      <c r="Y1112">
        <v>9487</v>
      </c>
      <c r="Z1112">
        <v>8205</v>
      </c>
      <c r="AA1112">
        <v>4923</v>
      </c>
      <c r="AB1112">
        <v>3282</v>
      </c>
    </row>
    <row r="1113" spans="1:28" x14ac:dyDescent="0.35">
      <c r="A1113" t="s">
        <v>1158</v>
      </c>
      <c r="B1113" t="s">
        <v>9</v>
      </c>
      <c r="C1113" t="s">
        <v>1</v>
      </c>
      <c r="D1113" t="s">
        <v>10</v>
      </c>
      <c r="E1113" t="s">
        <v>11</v>
      </c>
      <c r="F1113">
        <v>90305</v>
      </c>
      <c r="G1113">
        <v>-41077</v>
      </c>
      <c r="H1113">
        <v>25378</v>
      </c>
      <c r="I1113">
        <v>90305</v>
      </c>
      <c r="J1113">
        <v>9030</v>
      </c>
      <c r="K1113">
        <v>4515</v>
      </c>
      <c r="L1113">
        <v>69174</v>
      </c>
      <c r="M1113">
        <v>13834</v>
      </c>
      <c r="N1113">
        <v>20752</v>
      </c>
      <c r="O1113">
        <v>6917</v>
      </c>
      <c r="P1113">
        <v>-27669</v>
      </c>
      <c r="Q1113">
        <v>-17293</v>
      </c>
      <c r="R1113">
        <v>69756</v>
      </c>
      <c r="S1113">
        <v>20926</v>
      </c>
      <c r="T1113">
        <v>6975</v>
      </c>
      <c r="U1113">
        <v>3458</v>
      </c>
      <c r="V1113">
        <v>2075</v>
      </c>
      <c r="W1113">
        <v>1383</v>
      </c>
      <c r="X1113">
        <v>6917</v>
      </c>
      <c r="Y1113">
        <v>3458</v>
      </c>
      <c r="Z1113">
        <v>3487</v>
      </c>
      <c r="AA1113">
        <v>2092</v>
      </c>
      <c r="AB1113">
        <v>1395</v>
      </c>
    </row>
    <row r="1114" spans="1:28" x14ac:dyDescent="0.35">
      <c r="A1114" t="s">
        <v>1159</v>
      </c>
      <c r="B1114" t="s">
        <v>9</v>
      </c>
      <c r="C1114" t="s">
        <v>1</v>
      </c>
      <c r="D1114" t="s">
        <v>10</v>
      </c>
      <c r="E1114" t="s">
        <v>11</v>
      </c>
      <c r="F1114">
        <v>323684</v>
      </c>
      <c r="G1114">
        <v>-116917</v>
      </c>
      <c r="H1114">
        <v>140756</v>
      </c>
      <c r="I1114">
        <v>323684</v>
      </c>
      <c r="J1114">
        <v>32368</v>
      </c>
      <c r="K1114">
        <v>16184</v>
      </c>
      <c r="L1114">
        <v>237876</v>
      </c>
      <c r="M1114">
        <v>47575</v>
      </c>
      <c r="N1114">
        <v>71362</v>
      </c>
      <c r="O1114">
        <v>23787</v>
      </c>
      <c r="P1114">
        <v>-95150</v>
      </c>
      <c r="Q1114">
        <v>-59469</v>
      </c>
      <c r="R1114">
        <v>261565</v>
      </c>
      <c r="S1114">
        <v>78469</v>
      </c>
      <c r="T1114">
        <v>26156</v>
      </c>
      <c r="U1114">
        <v>11893</v>
      </c>
      <c r="V1114">
        <v>7136</v>
      </c>
      <c r="W1114">
        <v>4757</v>
      </c>
      <c r="X1114">
        <v>23787</v>
      </c>
      <c r="Y1114">
        <v>11893</v>
      </c>
      <c r="Z1114">
        <v>13078</v>
      </c>
      <c r="AA1114">
        <v>7846</v>
      </c>
      <c r="AB1114">
        <v>5231</v>
      </c>
    </row>
    <row r="1115" spans="1:28" x14ac:dyDescent="0.35">
      <c r="A1115" t="s">
        <v>1160</v>
      </c>
      <c r="B1115" t="s">
        <v>9</v>
      </c>
      <c r="C1115" t="s">
        <v>1</v>
      </c>
      <c r="D1115" t="s">
        <v>10</v>
      </c>
      <c r="E1115" t="s">
        <v>11</v>
      </c>
      <c r="F1115">
        <v>200492</v>
      </c>
      <c r="G1115">
        <v>-77696</v>
      </c>
      <c r="H1115">
        <v>81184</v>
      </c>
      <c r="I1115">
        <v>200492</v>
      </c>
      <c r="J1115">
        <v>20049</v>
      </c>
      <c r="K1115">
        <v>10024</v>
      </c>
      <c r="L1115">
        <v>43425</v>
      </c>
      <c r="M1115">
        <v>8685</v>
      </c>
      <c r="N1115">
        <v>13027</v>
      </c>
      <c r="O1115">
        <v>4342</v>
      </c>
      <c r="P1115">
        <v>-17370</v>
      </c>
      <c r="Q1115">
        <v>-10856</v>
      </c>
      <c r="R1115">
        <v>38783</v>
      </c>
      <c r="S1115">
        <v>11634</v>
      </c>
      <c r="T1115">
        <v>3878</v>
      </c>
      <c r="U1115">
        <v>2171</v>
      </c>
      <c r="V1115">
        <v>1302</v>
      </c>
      <c r="W1115">
        <v>868</v>
      </c>
      <c r="X1115">
        <v>4342</v>
      </c>
      <c r="Y1115">
        <v>2171</v>
      </c>
      <c r="Z1115">
        <v>1939</v>
      </c>
      <c r="AA1115">
        <v>1163</v>
      </c>
      <c r="AB1115">
        <v>775</v>
      </c>
    </row>
    <row r="1116" spans="1:28" x14ac:dyDescent="0.35">
      <c r="A1116" t="s">
        <v>1161</v>
      </c>
      <c r="B1116" t="s">
        <v>9</v>
      </c>
      <c r="C1116" t="s">
        <v>1</v>
      </c>
      <c r="D1116" t="s">
        <v>10</v>
      </c>
      <c r="E1116" t="s">
        <v>11</v>
      </c>
      <c r="F1116">
        <v>425871</v>
      </c>
      <c r="G1116">
        <v>-211386</v>
      </c>
      <c r="H1116">
        <v>150896</v>
      </c>
      <c r="I1116">
        <v>425871</v>
      </c>
      <c r="J1116">
        <v>42587</v>
      </c>
      <c r="K1116">
        <v>21293</v>
      </c>
      <c r="L1116">
        <v>186492</v>
      </c>
      <c r="M1116">
        <v>37298</v>
      </c>
      <c r="N1116">
        <v>55947</v>
      </c>
      <c r="O1116">
        <v>18649</v>
      </c>
      <c r="P1116">
        <v>-74596</v>
      </c>
      <c r="Q1116">
        <v>-46623</v>
      </c>
      <c r="R1116">
        <v>194574</v>
      </c>
      <c r="S1116">
        <v>58372</v>
      </c>
      <c r="T1116">
        <v>19457</v>
      </c>
      <c r="U1116">
        <v>9324</v>
      </c>
      <c r="V1116">
        <v>5594</v>
      </c>
      <c r="W1116">
        <v>3729</v>
      </c>
      <c r="X1116">
        <v>18649</v>
      </c>
      <c r="Y1116">
        <v>9324</v>
      </c>
      <c r="Z1116">
        <v>9728</v>
      </c>
      <c r="AA1116">
        <v>5837</v>
      </c>
      <c r="AB1116">
        <v>3891</v>
      </c>
    </row>
    <row r="1117" spans="1:28" x14ac:dyDescent="0.35">
      <c r="A1117" t="s">
        <v>1162</v>
      </c>
      <c r="B1117" t="s">
        <v>9</v>
      </c>
      <c r="C1117" t="s">
        <v>1</v>
      </c>
      <c r="D1117" t="s">
        <v>10</v>
      </c>
      <c r="E1117" t="s">
        <v>11</v>
      </c>
      <c r="F1117">
        <v>331742</v>
      </c>
      <c r="G1117">
        <v>-196055</v>
      </c>
      <c r="H1117">
        <v>73643</v>
      </c>
      <c r="I1117">
        <v>331742</v>
      </c>
      <c r="J1117">
        <v>33174</v>
      </c>
      <c r="K1117">
        <v>16587</v>
      </c>
      <c r="L1117">
        <v>178208</v>
      </c>
      <c r="M1117">
        <v>35641</v>
      </c>
      <c r="N1117">
        <v>53462</v>
      </c>
      <c r="O1117">
        <v>17820</v>
      </c>
      <c r="P1117">
        <v>-71283</v>
      </c>
      <c r="Q1117">
        <v>-44552</v>
      </c>
      <c r="R1117">
        <v>193652</v>
      </c>
      <c r="S1117">
        <v>58095</v>
      </c>
      <c r="T1117">
        <v>19365</v>
      </c>
      <c r="U1117">
        <v>8910</v>
      </c>
      <c r="V1117">
        <v>5346</v>
      </c>
      <c r="W1117">
        <v>3564</v>
      </c>
      <c r="X1117">
        <v>17820</v>
      </c>
      <c r="Y1117">
        <v>8910</v>
      </c>
      <c r="Z1117">
        <v>9682</v>
      </c>
      <c r="AA1117">
        <v>5809</v>
      </c>
      <c r="AB1117">
        <v>3873</v>
      </c>
    </row>
    <row r="1118" spans="1:28" x14ac:dyDescent="0.35">
      <c r="A1118" t="s">
        <v>1163</v>
      </c>
      <c r="B1118" t="s">
        <v>9</v>
      </c>
      <c r="C1118" t="s">
        <v>1</v>
      </c>
      <c r="D1118" t="s">
        <v>10</v>
      </c>
      <c r="E1118" t="s">
        <v>11</v>
      </c>
      <c r="F1118">
        <v>113270</v>
      </c>
      <c r="G1118">
        <v>-29771</v>
      </c>
      <c r="H1118">
        <v>17117</v>
      </c>
      <c r="I1118">
        <v>113270</v>
      </c>
      <c r="J1118">
        <v>11327</v>
      </c>
      <c r="K1118">
        <v>5663</v>
      </c>
      <c r="L1118">
        <v>47218</v>
      </c>
      <c r="M1118">
        <v>9443</v>
      </c>
      <c r="N1118">
        <v>14165</v>
      </c>
      <c r="O1118">
        <v>4721</v>
      </c>
      <c r="P1118">
        <v>-18887</v>
      </c>
      <c r="Q1118">
        <v>-11804</v>
      </c>
      <c r="R1118">
        <v>38964</v>
      </c>
      <c r="S1118">
        <v>11689</v>
      </c>
      <c r="T1118">
        <v>3896</v>
      </c>
      <c r="U1118">
        <v>2360</v>
      </c>
      <c r="V1118">
        <v>1416</v>
      </c>
      <c r="W1118">
        <v>944</v>
      </c>
      <c r="X1118">
        <v>4721</v>
      </c>
      <c r="Y1118">
        <v>2360</v>
      </c>
      <c r="Z1118">
        <v>1948</v>
      </c>
      <c r="AA1118">
        <v>1168</v>
      </c>
      <c r="AB1118">
        <v>779</v>
      </c>
    </row>
    <row r="1119" spans="1:28" x14ac:dyDescent="0.35">
      <c r="A1119" t="s">
        <v>1164</v>
      </c>
      <c r="B1119" t="s">
        <v>9</v>
      </c>
      <c r="C1119" t="s">
        <v>1</v>
      </c>
      <c r="D1119" t="s">
        <v>10</v>
      </c>
      <c r="E1119" t="s">
        <v>11</v>
      </c>
      <c r="F1119">
        <v>153893</v>
      </c>
      <c r="G1119">
        <v>-80710</v>
      </c>
      <c r="H1119">
        <v>60850</v>
      </c>
      <c r="I1119">
        <v>153893</v>
      </c>
      <c r="J1119">
        <v>15389</v>
      </c>
      <c r="K1119">
        <v>7694</v>
      </c>
      <c r="L1119">
        <v>53281</v>
      </c>
      <c r="M1119">
        <v>10656</v>
      </c>
      <c r="N1119">
        <v>15984</v>
      </c>
      <c r="O1119">
        <v>5328</v>
      </c>
      <c r="P1119">
        <v>-21312</v>
      </c>
      <c r="Q1119">
        <v>-13320</v>
      </c>
      <c r="R1119">
        <v>59511</v>
      </c>
      <c r="S1119">
        <v>17853</v>
      </c>
      <c r="T1119">
        <v>5951</v>
      </c>
      <c r="U1119">
        <v>2664</v>
      </c>
      <c r="V1119">
        <v>1598</v>
      </c>
      <c r="W1119">
        <v>1065</v>
      </c>
      <c r="X1119">
        <v>5328</v>
      </c>
      <c r="Y1119">
        <v>2664</v>
      </c>
      <c r="Z1119">
        <v>2975</v>
      </c>
      <c r="AA1119">
        <v>1785</v>
      </c>
      <c r="AB1119">
        <v>1190</v>
      </c>
    </row>
    <row r="1120" spans="1:28" x14ac:dyDescent="0.35">
      <c r="A1120" t="s">
        <v>1165</v>
      </c>
      <c r="B1120" t="s">
        <v>9</v>
      </c>
      <c r="C1120" t="s">
        <v>1</v>
      </c>
      <c r="D1120" t="s">
        <v>10</v>
      </c>
      <c r="E1120" t="s">
        <v>11</v>
      </c>
      <c r="F1120">
        <v>391928</v>
      </c>
      <c r="G1120">
        <v>-138728</v>
      </c>
      <c r="H1120">
        <v>126069</v>
      </c>
      <c r="I1120">
        <v>391928</v>
      </c>
      <c r="J1120">
        <v>39192</v>
      </c>
      <c r="K1120">
        <v>19596</v>
      </c>
      <c r="L1120">
        <v>107227</v>
      </c>
      <c r="M1120">
        <v>21445</v>
      </c>
      <c r="N1120">
        <v>32168</v>
      </c>
      <c r="O1120">
        <v>10722</v>
      </c>
      <c r="P1120">
        <v>-42890</v>
      </c>
      <c r="Q1120">
        <v>-26806</v>
      </c>
      <c r="R1120">
        <v>96086</v>
      </c>
      <c r="S1120">
        <v>28825</v>
      </c>
      <c r="T1120">
        <v>9608</v>
      </c>
      <c r="U1120">
        <v>5361</v>
      </c>
      <c r="V1120">
        <v>3216</v>
      </c>
      <c r="W1120">
        <v>2144</v>
      </c>
      <c r="X1120">
        <v>10722</v>
      </c>
      <c r="Y1120">
        <v>5361</v>
      </c>
      <c r="Z1120">
        <v>4804</v>
      </c>
      <c r="AA1120">
        <v>2882</v>
      </c>
      <c r="AB1120">
        <v>1921</v>
      </c>
    </row>
    <row r="1121" spans="1:28" x14ac:dyDescent="0.35">
      <c r="A1121" t="s">
        <v>1166</v>
      </c>
      <c r="B1121" t="s">
        <v>9</v>
      </c>
      <c r="C1121" t="s">
        <v>1</v>
      </c>
      <c r="D1121" t="s">
        <v>10</v>
      </c>
      <c r="E1121" t="s">
        <v>11</v>
      </c>
      <c r="F1121">
        <v>332388</v>
      </c>
      <c r="G1121">
        <v>-80204</v>
      </c>
      <c r="H1121">
        <v>139543</v>
      </c>
      <c r="I1121">
        <v>332388</v>
      </c>
      <c r="J1121">
        <v>33238</v>
      </c>
      <c r="K1121">
        <v>16619</v>
      </c>
      <c r="L1121">
        <v>253141</v>
      </c>
      <c r="M1121">
        <v>50628</v>
      </c>
      <c r="N1121">
        <v>75942</v>
      </c>
      <c r="O1121">
        <v>25314</v>
      </c>
      <c r="P1121">
        <v>-101256</v>
      </c>
      <c r="Q1121">
        <v>-63285</v>
      </c>
      <c r="R1121">
        <v>210938</v>
      </c>
      <c r="S1121">
        <v>63281</v>
      </c>
      <c r="T1121">
        <v>21093</v>
      </c>
      <c r="U1121">
        <v>12657</v>
      </c>
      <c r="V1121">
        <v>7594</v>
      </c>
      <c r="W1121">
        <v>5062</v>
      </c>
      <c r="X1121">
        <v>25314</v>
      </c>
      <c r="Y1121">
        <v>12657</v>
      </c>
      <c r="Z1121">
        <v>10546</v>
      </c>
      <c r="AA1121">
        <v>6328</v>
      </c>
      <c r="AB1121">
        <v>4218</v>
      </c>
    </row>
    <row r="1122" spans="1:28" x14ac:dyDescent="0.35">
      <c r="A1122" t="s">
        <v>1167</v>
      </c>
      <c r="B1122" t="s">
        <v>9</v>
      </c>
      <c r="C1122" t="s">
        <v>1</v>
      </c>
      <c r="D1122" t="s">
        <v>10</v>
      </c>
      <c r="E1122" t="s">
        <v>11</v>
      </c>
      <c r="F1122">
        <v>496898</v>
      </c>
      <c r="G1122">
        <v>-215026</v>
      </c>
      <c r="H1122">
        <v>73204</v>
      </c>
      <c r="I1122">
        <v>496898</v>
      </c>
      <c r="J1122">
        <v>49689</v>
      </c>
      <c r="K1122">
        <v>24844</v>
      </c>
      <c r="L1122">
        <v>327794</v>
      </c>
      <c r="M1122">
        <v>65558</v>
      </c>
      <c r="N1122">
        <v>98338</v>
      </c>
      <c r="O1122">
        <v>32779</v>
      </c>
      <c r="P1122">
        <v>-131117</v>
      </c>
      <c r="Q1122">
        <v>-81948</v>
      </c>
      <c r="R1122">
        <v>337467</v>
      </c>
      <c r="S1122">
        <v>101240</v>
      </c>
      <c r="T1122">
        <v>33746</v>
      </c>
      <c r="U1122">
        <v>16389</v>
      </c>
      <c r="V1122">
        <v>9833</v>
      </c>
      <c r="W1122">
        <v>6555</v>
      </c>
      <c r="X1122">
        <v>32779</v>
      </c>
      <c r="Y1122">
        <v>16389</v>
      </c>
      <c r="Z1122">
        <v>16873</v>
      </c>
      <c r="AA1122">
        <v>10124</v>
      </c>
      <c r="AB1122">
        <v>6749</v>
      </c>
    </row>
    <row r="1123" spans="1:28" x14ac:dyDescent="0.35">
      <c r="A1123" t="s">
        <v>1168</v>
      </c>
      <c r="B1123" t="s">
        <v>9</v>
      </c>
      <c r="C1123" t="s">
        <v>1</v>
      </c>
      <c r="D1123" t="s">
        <v>10</v>
      </c>
      <c r="E1123" t="s">
        <v>11</v>
      </c>
      <c r="F1123">
        <v>492169</v>
      </c>
      <c r="G1123">
        <v>-166396</v>
      </c>
      <c r="H1123">
        <v>208672</v>
      </c>
      <c r="I1123">
        <v>492169</v>
      </c>
      <c r="J1123">
        <v>49216</v>
      </c>
      <c r="K1123">
        <v>24608</v>
      </c>
      <c r="L1123">
        <v>142655</v>
      </c>
      <c r="M1123">
        <v>28531</v>
      </c>
      <c r="N1123">
        <v>42796</v>
      </c>
      <c r="O1123">
        <v>14265</v>
      </c>
      <c r="P1123">
        <v>-57062</v>
      </c>
      <c r="Q1123">
        <v>-35663</v>
      </c>
      <c r="R1123">
        <v>131258</v>
      </c>
      <c r="S1123">
        <v>39377</v>
      </c>
      <c r="T1123">
        <v>13125</v>
      </c>
      <c r="U1123">
        <v>7132</v>
      </c>
      <c r="V1123">
        <v>4279</v>
      </c>
      <c r="W1123">
        <v>2853</v>
      </c>
      <c r="X1123">
        <v>14265</v>
      </c>
      <c r="Y1123">
        <v>7132</v>
      </c>
      <c r="Z1123">
        <v>6562</v>
      </c>
      <c r="AA1123">
        <v>3937</v>
      </c>
      <c r="AB1123">
        <v>2625</v>
      </c>
    </row>
    <row r="1124" spans="1:28" x14ac:dyDescent="0.35">
      <c r="A1124" t="s">
        <v>1169</v>
      </c>
      <c r="B1124" t="s">
        <v>9</v>
      </c>
      <c r="C1124" t="s">
        <v>1</v>
      </c>
      <c r="D1124" t="s">
        <v>10</v>
      </c>
      <c r="E1124" t="s">
        <v>11</v>
      </c>
      <c r="F1124">
        <v>254602</v>
      </c>
      <c r="G1124">
        <v>-80133</v>
      </c>
      <c r="H1124">
        <v>108025</v>
      </c>
      <c r="I1124">
        <v>254602</v>
      </c>
      <c r="J1124">
        <v>25460</v>
      </c>
      <c r="K1124">
        <v>12730</v>
      </c>
      <c r="L1124">
        <v>93185</v>
      </c>
      <c r="M1124">
        <v>18637</v>
      </c>
      <c r="N1124">
        <v>27955</v>
      </c>
      <c r="O1124">
        <v>9318</v>
      </c>
      <c r="P1124">
        <v>-37274</v>
      </c>
      <c r="Q1124">
        <v>-23296</v>
      </c>
      <c r="R1124">
        <v>92654</v>
      </c>
      <c r="S1124">
        <v>27796</v>
      </c>
      <c r="T1124">
        <v>9265</v>
      </c>
      <c r="U1124">
        <v>4659</v>
      </c>
      <c r="V1124">
        <v>2795</v>
      </c>
      <c r="W1124">
        <v>1863</v>
      </c>
      <c r="X1124">
        <v>9318</v>
      </c>
      <c r="Y1124">
        <v>4659</v>
      </c>
      <c r="Z1124">
        <v>4632</v>
      </c>
      <c r="AA1124">
        <v>2779</v>
      </c>
      <c r="AB1124">
        <v>1853</v>
      </c>
    </row>
    <row r="1125" spans="1:28" x14ac:dyDescent="0.35">
      <c r="A1125" t="s">
        <v>1170</v>
      </c>
      <c r="B1125" t="s">
        <v>9</v>
      </c>
      <c r="C1125" t="s">
        <v>1</v>
      </c>
      <c r="D1125" t="s">
        <v>10</v>
      </c>
      <c r="E1125" t="s">
        <v>11</v>
      </c>
      <c r="F1125">
        <v>395599</v>
      </c>
      <c r="G1125">
        <v>-149269</v>
      </c>
      <c r="H1125">
        <v>55589</v>
      </c>
      <c r="I1125">
        <v>395599</v>
      </c>
      <c r="J1125">
        <v>39559</v>
      </c>
      <c r="K1125">
        <v>19779</v>
      </c>
      <c r="L1125">
        <v>229226</v>
      </c>
      <c r="M1125">
        <v>45845</v>
      </c>
      <c r="N1125">
        <v>68767</v>
      </c>
      <c r="O1125">
        <v>22922</v>
      </c>
      <c r="P1125">
        <v>-91690</v>
      </c>
      <c r="Q1125">
        <v>-57306</v>
      </c>
      <c r="R1125">
        <v>215503</v>
      </c>
      <c r="S1125">
        <v>64650</v>
      </c>
      <c r="T1125">
        <v>21550</v>
      </c>
      <c r="U1125">
        <v>11461</v>
      </c>
      <c r="V1125">
        <v>6876</v>
      </c>
      <c r="W1125">
        <v>4584</v>
      </c>
      <c r="X1125">
        <v>22922</v>
      </c>
      <c r="Y1125">
        <v>11461</v>
      </c>
      <c r="Z1125">
        <v>10775</v>
      </c>
      <c r="AA1125">
        <v>6465</v>
      </c>
      <c r="AB1125">
        <v>4310</v>
      </c>
    </row>
    <row r="1126" spans="1:28" x14ac:dyDescent="0.35">
      <c r="A1126" t="s">
        <v>1171</v>
      </c>
      <c r="B1126" t="s">
        <v>9</v>
      </c>
      <c r="C1126" t="s">
        <v>1</v>
      </c>
      <c r="D1126" t="s">
        <v>10</v>
      </c>
      <c r="E1126" t="s">
        <v>11</v>
      </c>
      <c r="F1126">
        <v>338415</v>
      </c>
      <c r="G1126">
        <v>-127122</v>
      </c>
      <c r="H1126">
        <v>123091</v>
      </c>
      <c r="I1126">
        <v>338415</v>
      </c>
      <c r="J1126">
        <v>33841</v>
      </c>
      <c r="K1126">
        <v>16920</v>
      </c>
      <c r="L1126">
        <v>247047</v>
      </c>
      <c r="M1126">
        <v>49409</v>
      </c>
      <c r="N1126">
        <v>74114</v>
      </c>
      <c r="O1126">
        <v>24704</v>
      </c>
      <c r="P1126">
        <v>-98818</v>
      </c>
      <c r="Q1126">
        <v>-61761</v>
      </c>
      <c r="R1126">
        <v>219895</v>
      </c>
      <c r="S1126">
        <v>65968</v>
      </c>
      <c r="T1126">
        <v>21989</v>
      </c>
      <c r="U1126">
        <v>12352</v>
      </c>
      <c r="V1126">
        <v>7411</v>
      </c>
      <c r="W1126">
        <v>4940</v>
      </c>
      <c r="X1126">
        <v>24704</v>
      </c>
      <c r="Y1126">
        <v>12352</v>
      </c>
      <c r="Z1126">
        <v>10994</v>
      </c>
      <c r="AA1126">
        <v>6596</v>
      </c>
      <c r="AB1126">
        <v>4397</v>
      </c>
    </row>
    <row r="1127" spans="1:28" x14ac:dyDescent="0.35">
      <c r="A1127" t="s">
        <v>1172</v>
      </c>
      <c r="B1127" t="s">
        <v>9</v>
      </c>
      <c r="C1127" t="s">
        <v>1</v>
      </c>
      <c r="D1127" t="s">
        <v>10</v>
      </c>
      <c r="E1127" t="s">
        <v>11</v>
      </c>
      <c r="F1127">
        <v>379175</v>
      </c>
      <c r="G1127">
        <v>-96934</v>
      </c>
      <c r="H1127">
        <v>164874</v>
      </c>
      <c r="I1127">
        <v>379175</v>
      </c>
      <c r="J1127">
        <v>37917</v>
      </c>
      <c r="K1127">
        <v>18958</v>
      </c>
      <c r="L1127">
        <v>89190</v>
      </c>
      <c r="M1127">
        <v>17838</v>
      </c>
      <c r="N1127">
        <v>26757</v>
      </c>
      <c r="O1127">
        <v>8919</v>
      </c>
      <c r="P1127">
        <v>-35676</v>
      </c>
      <c r="Q1127">
        <v>-22297</v>
      </c>
      <c r="R1127">
        <v>88302</v>
      </c>
      <c r="S1127">
        <v>26490</v>
      </c>
      <c r="T1127">
        <v>8830</v>
      </c>
      <c r="U1127">
        <v>4459</v>
      </c>
      <c r="V1127">
        <v>2675</v>
      </c>
      <c r="W1127">
        <v>1783</v>
      </c>
      <c r="X1127">
        <v>8919</v>
      </c>
      <c r="Y1127">
        <v>4459</v>
      </c>
      <c r="Z1127">
        <v>4415</v>
      </c>
      <c r="AA1127">
        <v>2649</v>
      </c>
      <c r="AB1127">
        <v>1766</v>
      </c>
    </row>
    <row r="1128" spans="1:28" x14ac:dyDescent="0.35">
      <c r="A1128" t="s">
        <v>1173</v>
      </c>
      <c r="B1128" t="s">
        <v>9</v>
      </c>
      <c r="C1128" t="s">
        <v>1</v>
      </c>
      <c r="D1128" t="s">
        <v>10</v>
      </c>
      <c r="E1128" t="s">
        <v>11</v>
      </c>
      <c r="F1128">
        <v>219561</v>
      </c>
      <c r="G1128">
        <v>-110167</v>
      </c>
      <c r="H1128">
        <v>97440</v>
      </c>
      <c r="I1128">
        <v>219561</v>
      </c>
      <c r="J1128">
        <v>21956</v>
      </c>
      <c r="K1128">
        <v>10978</v>
      </c>
      <c r="L1128">
        <v>92089</v>
      </c>
      <c r="M1128">
        <v>18417</v>
      </c>
      <c r="N1128">
        <v>27626</v>
      </c>
      <c r="O1128">
        <v>9208</v>
      </c>
      <c r="P1128">
        <v>-36835</v>
      </c>
      <c r="Q1128">
        <v>-23022</v>
      </c>
      <c r="R1128">
        <v>92822</v>
      </c>
      <c r="S1128">
        <v>27846</v>
      </c>
      <c r="T1128">
        <v>9282</v>
      </c>
      <c r="U1128">
        <v>4604</v>
      </c>
      <c r="V1128">
        <v>2762</v>
      </c>
      <c r="W1128">
        <v>1841</v>
      </c>
      <c r="X1128">
        <v>9208</v>
      </c>
      <c r="Y1128">
        <v>4604</v>
      </c>
      <c r="Z1128">
        <v>4641</v>
      </c>
      <c r="AA1128">
        <v>2784</v>
      </c>
      <c r="AB1128">
        <v>1856</v>
      </c>
    </row>
    <row r="1129" spans="1:28" x14ac:dyDescent="0.35">
      <c r="A1129" t="s">
        <v>1174</v>
      </c>
      <c r="B1129" t="s">
        <v>9</v>
      </c>
      <c r="C1129" t="s">
        <v>1</v>
      </c>
      <c r="D1129" t="s">
        <v>10</v>
      </c>
      <c r="E1129" t="s">
        <v>11</v>
      </c>
      <c r="F1129">
        <v>141283</v>
      </c>
      <c r="G1129">
        <v>-33770</v>
      </c>
      <c r="H1129">
        <v>48569</v>
      </c>
      <c r="I1129">
        <v>141283</v>
      </c>
      <c r="J1129">
        <v>14128</v>
      </c>
      <c r="K1129">
        <v>7064</v>
      </c>
      <c r="L1129">
        <v>57079</v>
      </c>
      <c r="M1129">
        <v>11415</v>
      </c>
      <c r="N1129">
        <v>17123</v>
      </c>
      <c r="O1129">
        <v>5707</v>
      </c>
      <c r="P1129">
        <v>-22831</v>
      </c>
      <c r="Q1129">
        <v>-14269</v>
      </c>
      <c r="R1129">
        <v>61698</v>
      </c>
      <c r="S1129">
        <v>18509</v>
      </c>
      <c r="T1129">
        <v>6169</v>
      </c>
      <c r="U1129">
        <v>2853</v>
      </c>
      <c r="V1129">
        <v>1712</v>
      </c>
      <c r="W1129">
        <v>1141</v>
      </c>
      <c r="X1129">
        <v>5707</v>
      </c>
      <c r="Y1129">
        <v>2853</v>
      </c>
      <c r="Z1129">
        <v>3084</v>
      </c>
      <c r="AA1129">
        <v>1850</v>
      </c>
      <c r="AB1129">
        <v>1233</v>
      </c>
    </row>
    <row r="1130" spans="1:28" x14ac:dyDescent="0.35">
      <c r="A1130" t="s">
        <v>1175</v>
      </c>
      <c r="B1130" t="s">
        <v>9</v>
      </c>
      <c r="C1130" t="s">
        <v>1</v>
      </c>
      <c r="D1130" t="s">
        <v>10</v>
      </c>
      <c r="E1130" t="s">
        <v>11</v>
      </c>
      <c r="F1130">
        <v>492010</v>
      </c>
      <c r="G1130">
        <v>-165222</v>
      </c>
      <c r="H1130">
        <v>244580</v>
      </c>
      <c r="I1130">
        <v>492010</v>
      </c>
      <c r="J1130">
        <v>49201</v>
      </c>
      <c r="K1130">
        <v>24600</v>
      </c>
      <c r="L1130">
        <v>287151</v>
      </c>
      <c r="M1130">
        <v>57430</v>
      </c>
      <c r="N1130">
        <v>86145</v>
      </c>
      <c r="O1130">
        <v>28715</v>
      </c>
      <c r="P1130">
        <v>-114860</v>
      </c>
      <c r="Q1130">
        <v>-71787</v>
      </c>
      <c r="R1130">
        <v>273518</v>
      </c>
      <c r="S1130">
        <v>82055</v>
      </c>
      <c r="T1130">
        <v>27351</v>
      </c>
      <c r="U1130">
        <v>14357</v>
      </c>
      <c r="V1130">
        <v>8614</v>
      </c>
      <c r="W1130">
        <v>5743</v>
      </c>
      <c r="X1130">
        <v>28715</v>
      </c>
      <c r="Y1130">
        <v>14357</v>
      </c>
      <c r="Z1130">
        <v>13675</v>
      </c>
      <c r="AA1130">
        <v>8205</v>
      </c>
      <c r="AB1130">
        <v>5470</v>
      </c>
    </row>
    <row r="1131" spans="1:28" x14ac:dyDescent="0.35">
      <c r="A1131" t="s">
        <v>1176</v>
      </c>
      <c r="B1131" t="s">
        <v>9</v>
      </c>
      <c r="C1131" t="s">
        <v>1</v>
      </c>
      <c r="D1131" t="s">
        <v>10</v>
      </c>
      <c r="E1131" t="s">
        <v>11</v>
      </c>
      <c r="F1131">
        <v>151159</v>
      </c>
      <c r="G1131">
        <v>-65539</v>
      </c>
      <c r="H1131">
        <v>25172</v>
      </c>
      <c r="I1131">
        <v>151159</v>
      </c>
      <c r="J1131">
        <v>15115</v>
      </c>
      <c r="K1131">
        <v>7557</v>
      </c>
      <c r="L1131">
        <v>71267</v>
      </c>
      <c r="M1131">
        <v>14253</v>
      </c>
      <c r="N1131">
        <v>21380</v>
      </c>
      <c r="O1131">
        <v>7126</v>
      </c>
      <c r="P1131">
        <v>-28506</v>
      </c>
      <c r="Q1131">
        <v>-17816</v>
      </c>
      <c r="R1131">
        <v>62940</v>
      </c>
      <c r="S1131">
        <v>18882</v>
      </c>
      <c r="T1131">
        <v>6294</v>
      </c>
      <c r="U1131">
        <v>3563</v>
      </c>
      <c r="V1131">
        <v>2138</v>
      </c>
      <c r="W1131">
        <v>1425</v>
      </c>
      <c r="X1131">
        <v>7126</v>
      </c>
      <c r="Y1131">
        <v>3563</v>
      </c>
      <c r="Z1131">
        <v>3147</v>
      </c>
      <c r="AA1131">
        <v>1888</v>
      </c>
      <c r="AB1131">
        <v>1258</v>
      </c>
    </row>
    <row r="1132" spans="1:28" x14ac:dyDescent="0.35">
      <c r="A1132" t="s">
        <v>1177</v>
      </c>
      <c r="B1132" t="s">
        <v>9</v>
      </c>
      <c r="C1132" t="s">
        <v>1</v>
      </c>
      <c r="D1132" t="s">
        <v>10</v>
      </c>
      <c r="E1132" t="s">
        <v>11</v>
      </c>
      <c r="F1132">
        <v>327627</v>
      </c>
      <c r="G1132">
        <v>-95276</v>
      </c>
      <c r="H1132">
        <v>142516</v>
      </c>
      <c r="I1132">
        <v>327627</v>
      </c>
      <c r="J1132">
        <v>32762</v>
      </c>
      <c r="K1132">
        <v>16381</v>
      </c>
      <c r="L1132">
        <v>161461</v>
      </c>
      <c r="M1132">
        <v>32292</v>
      </c>
      <c r="N1132">
        <v>48438</v>
      </c>
      <c r="O1132">
        <v>16146</v>
      </c>
      <c r="P1132">
        <v>-64584</v>
      </c>
      <c r="Q1132">
        <v>-40365</v>
      </c>
      <c r="R1132">
        <v>153000</v>
      </c>
      <c r="S1132">
        <v>45900</v>
      </c>
      <c r="T1132">
        <v>15300</v>
      </c>
      <c r="U1132">
        <v>8073</v>
      </c>
      <c r="V1132">
        <v>4843</v>
      </c>
      <c r="W1132">
        <v>3229</v>
      </c>
      <c r="X1132">
        <v>16146</v>
      </c>
      <c r="Y1132">
        <v>8073</v>
      </c>
      <c r="Z1132">
        <v>7650</v>
      </c>
      <c r="AA1132">
        <v>4590</v>
      </c>
      <c r="AB1132">
        <v>3060</v>
      </c>
    </row>
    <row r="1133" spans="1:28" x14ac:dyDescent="0.35">
      <c r="A1133" t="s">
        <v>1178</v>
      </c>
      <c r="B1133" t="s">
        <v>9</v>
      </c>
      <c r="C1133" t="s">
        <v>1</v>
      </c>
      <c r="D1133" t="s">
        <v>10</v>
      </c>
      <c r="E1133" t="s">
        <v>11</v>
      </c>
      <c r="F1133">
        <v>210123</v>
      </c>
      <c r="G1133">
        <v>-51014</v>
      </c>
      <c r="H1133">
        <v>25907</v>
      </c>
      <c r="I1133">
        <v>210123</v>
      </c>
      <c r="J1133">
        <v>21012</v>
      </c>
      <c r="K1133">
        <v>10506</v>
      </c>
      <c r="L1133">
        <v>79116</v>
      </c>
      <c r="M1133">
        <v>15823</v>
      </c>
      <c r="N1133">
        <v>23734</v>
      </c>
      <c r="O1133">
        <v>7911</v>
      </c>
      <c r="P1133">
        <v>-31646</v>
      </c>
      <c r="Q1133">
        <v>-19779</v>
      </c>
      <c r="R1133">
        <v>73522</v>
      </c>
      <c r="S1133">
        <v>22056</v>
      </c>
      <c r="T1133">
        <v>7352</v>
      </c>
      <c r="U1133">
        <v>3955</v>
      </c>
      <c r="V1133">
        <v>2373</v>
      </c>
      <c r="W1133">
        <v>1582</v>
      </c>
      <c r="X1133">
        <v>7911</v>
      </c>
      <c r="Y1133">
        <v>3955</v>
      </c>
      <c r="Z1133">
        <v>3676</v>
      </c>
      <c r="AA1133">
        <v>2205</v>
      </c>
      <c r="AB1133">
        <v>1470</v>
      </c>
    </row>
    <row r="1134" spans="1:28" x14ac:dyDescent="0.35">
      <c r="A1134" t="s">
        <v>1179</v>
      </c>
      <c r="B1134" t="s">
        <v>9</v>
      </c>
      <c r="C1134" t="s">
        <v>1</v>
      </c>
      <c r="D1134" t="s">
        <v>10</v>
      </c>
      <c r="E1134" t="s">
        <v>11</v>
      </c>
      <c r="F1134">
        <v>360669</v>
      </c>
      <c r="G1134">
        <v>-191557</v>
      </c>
      <c r="H1134">
        <v>106472</v>
      </c>
      <c r="I1134">
        <v>360669</v>
      </c>
      <c r="J1134">
        <v>36066</v>
      </c>
      <c r="K1134">
        <v>18033</v>
      </c>
      <c r="L1134">
        <v>89207</v>
      </c>
      <c r="M1134">
        <v>17841</v>
      </c>
      <c r="N1134">
        <v>26762</v>
      </c>
      <c r="O1134">
        <v>8920</v>
      </c>
      <c r="P1134">
        <v>-35682</v>
      </c>
      <c r="Q1134">
        <v>-22301</v>
      </c>
      <c r="R1134">
        <v>79347</v>
      </c>
      <c r="S1134">
        <v>23804</v>
      </c>
      <c r="T1134">
        <v>7934</v>
      </c>
      <c r="U1134">
        <v>4460</v>
      </c>
      <c r="V1134">
        <v>2676</v>
      </c>
      <c r="W1134">
        <v>1784</v>
      </c>
      <c r="X1134">
        <v>8920</v>
      </c>
      <c r="Y1134">
        <v>4460</v>
      </c>
      <c r="Z1134">
        <v>3967</v>
      </c>
      <c r="AA1134">
        <v>2380</v>
      </c>
      <c r="AB1134">
        <v>1586</v>
      </c>
    </row>
    <row r="1135" spans="1:28" x14ac:dyDescent="0.35">
      <c r="A1135" t="s">
        <v>1180</v>
      </c>
      <c r="B1135" t="s">
        <v>9</v>
      </c>
      <c r="C1135" t="s">
        <v>1</v>
      </c>
      <c r="D1135" t="s">
        <v>10</v>
      </c>
      <c r="E1135" t="s">
        <v>11</v>
      </c>
      <c r="F1135">
        <v>273955</v>
      </c>
      <c r="G1135">
        <v>-101647</v>
      </c>
      <c r="H1135">
        <v>93332</v>
      </c>
      <c r="I1135">
        <v>273955</v>
      </c>
      <c r="J1135">
        <v>27395</v>
      </c>
      <c r="K1135">
        <v>13697</v>
      </c>
      <c r="L1135">
        <v>189236</v>
      </c>
      <c r="M1135">
        <v>37847</v>
      </c>
      <c r="N1135">
        <v>56770</v>
      </c>
      <c r="O1135">
        <v>18923</v>
      </c>
      <c r="P1135">
        <v>-75694</v>
      </c>
      <c r="Q1135">
        <v>-47309</v>
      </c>
      <c r="R1135">
        <v>196704</v>
      </c>
      <c r="S1135">
        <v>59011</v>
      </c>
      <c r="T1135">
        <v>19670</v>
      </c>
      <c r="U1135">
        <v>9461</v>
      </c>
      <c r="V1135">
        <v>5677</v>
      </c>
      <c r="W1135">
        <v>3784</v>
      </c>
      <c r="X1135">
        <v>18923</v>
      </c>
      <c r="Y1135">
        <v>9461</v>
      </c>
      <c r="Z1135">
        <v>9835</v>
      </c>
      <c r="AA1135">
        <v>5901</v>
      </c>
      <c r="AB1135">
        <v>3934</v>
      </c>
    </row>
    <row r="1136" spans="1:28" x14ac:dyDescent="0.35">
      <c r="A1136" t="s">
        <v>1181</v>
      </c>
      <c r="B1136" t="s">
        <v>9</v>
      </c>
      <c r="C1136" t="s">
        <v>1</v>
      </c>
      <c r="D1136" t="s">
        <v>10</v>
      </c>
      <c r="E1136" t="s">
        <v>11</v>
      </c>
      <c r="F1136">
        <v>110748</v>
      </c>
      <c r="G1136">
        <v>-45967</v>
      </c>
      <c r="H1136">
        <v>30126</v>
      </c>
      <c r="I1136">
        <v>110748</v>
      </c>
      <c r="J1136">
        <v>11074</v>
      </c>
      <c r="K1136">
        <v>5537</v>
      </c>
      <c r="L1136">
        <v>37185</v>
      </c>
      <c r="M1136">
        <v>7437</v>
      </c>
      <c r="N1136">
        <v>11155</v>
      </c>
      <c r="O1136">
        <v>3718</v>
      </c>
      <c r="P1136">
        <v>-14874</v>
      </c>
      <c r="Q1136">
        <v>-9296</v>
      </c>
      <c r="R1136">
        <v>33834</v>
      </c>
      <c r="S1136">
        <v>10150</v>
      </c>
      <c r="T1136">
        <v>3383</v>
      </c>
      <c r="U1136">
        <v>1859</v>
      </c>
      <c r="V1136">
        <v>1115</v>
      </c>
      <c r="W1136">
        <v>743</v>
      </c>
      <c r="X1136">
        <v>3718</v>
      </c>
      <c r="Y1136">
        <v>1859</v>
      </c>
      <c r="Z1136">
        <v>1691</v>
      </c>
      <c r="AA1136">
        <v>1015</v>
      </c>
      <c r="AB1136">
        <v>676</v>
      </c>
    </row>
    <row r="1137" spans="1:28" x14ac:dyDescent="0.35">
      <c r="A1137" t="s">
        <v>1182</v>
      </c>
      <c r="B1137" t="s">
        <v>9</v>
      </c>
      <c r="C1137" t="s">
        <v>1</v>
      </c>
      <c r="D1137" t="s">
        <v>10</v>
      </c>
      <c r="E1137" t="s">
        <v>11</v>
      </c>
      <c r="F1137">
        <v>406807</v>
      </c>
      <c r="G1137">
        <v>-130257</v>
      </c>
      <c r="H1137">
        <v>64277</v>
      </c>
      <c r="I1137">
        <v>406807</v>
      </c>
      <c r="J1137">
        <v>40680</v>
      </c>
      <c r="K1137">
        <v>20340</v>
      </c>
      <c r="L1137">
        <v>273014</v>
      </c>
      <c r="M1137">
        <v>54602</v>
      </c>
      <c r="N1137">
        <v>81904</v>
      </c>
      <c r="O1137">
        <v>27301</v>
      </c>
      <c r="P1137">
        <v>-109205</v>
      </c>
      <c r="Q1137">
        <v>-68253</v>
      </c>
      <c r="R1137">
        <v>249891</v>
      </c>
      <c r="S1137">
        <v>74967</v>
      </c>
      <c r="T1137">
        <v>24989</v>
      </c>
      <c r="U1137">
        <v>13650</v>
      </c>
      <c r="V1137">
        <v>8190</v>
      </c>
      <c r="W1137">
        <v>5460</v>
      </c>
      <c r="X1137">
        <v>27301</v>
      </c>
      <c r="Y1137">
        <v>13650</v>
      </c>
      <c r="Z1137">
        <v>12494</v>
      </c>
      <c r="AA1137">
        <v>7496</v>
      </c>
      <c r="AB1137">
        <v>4997</v>
      </c>
    </row>
    <row r="1138" spans="1:28" x14ac:dyDescent="0.35">
      <c r="A1138" t="s">
        <v>1183</v>
      </c>
      <c r="B1138" t="s">
        <v>9</v>
      </c>
      <c r="C1138" t="s">
        <v>1</v>
      </c>
      <c r="D1138" t="s">
        <v>10</v>
      </c>
      <c r="E1138" t="s">
        <v>11</v>
      </c>
      <c r="F1138">
        <v>382857</v>
      </c>
      <c r="G1138">
        <v>-137023</v>
      </c>
      <c r="H1138">
        <v>160987</v>
      </c>
      <c r="I1138">
        <v>382857</v>
      </c>
      <c r="J1138">
        <v>38285</v>
      </c>
      <c r="K1138">
        <v>19142</v>
      </c>
      <c r="L1138">
        <v>305146</v>
      </c>
      <c r="M1138">
        <v>61029</v>
      </c>
      <c r="N1138">
        <v>91543</v>
      </c>
      <c r="O1138">
        <v>30514</v>
      </c>
      <c r="P1138">
        <v>-122058</v>
      </c>
      <c r="Q1138">
        <v>-76286</v>
      </c>
      <c r="R1138">
        <v>344162</v>
      </c>
      <c r="S1138">
        <v>103248</v>
      </c>
      <c r="T1138">
        <v>34416</v>
      </c>
      <c r="U1138">
        <v>15257</v>
      </c>
      <c r="V1138">
        <v>9154</v>
      </c>
      <c r="W1138">
        <v>6102</v>
      </c>
      <c r="X1138">
        <v>30514</v>
      </c>
      <c r="Y1138">
        <v>15257</v>
      </c>
      <c r="Z1138">
        <v>17208</v>
      </c>
      <c r="AA1138">
        <v>10324</v>
      </c>
      <c r="AB1138">
        <v>6883</v>
      </c>
    </row>
    <row r="1139" spans="1:28" x14ac:dyDescent="0.35">
      <c r="A1139" t="s">
        <v>1184</v>
      </c>
      <c r="B1139" t="s">
        <v>9</v>
      </c>
      <c r="C1139" t="s">
        <v>1</v>
      </c>
      <c r="D1139" t="s">
        <v>10</v>
      </c>
      <c r="E1139" t="s">
        <v>11</v>
      </c>
      <c r="F1139">
        <v>443992</v>
      </c>
      <c r="G1139">
        <v>-95347</v>
      </c>
      <c r="H1139">
        <v>62581</v>
      </c>
      <c r="I1139">
        <v>443992</v>
      </c>
      <c r="J1139">
        <v>44399</v>
      </c>
      <c r="K1139">
        <v>22199</v>
      </c>
      <c r="L1139">
        <v>301327</v>
      </c>
      <c r="M1139">
        <v>60265</v>
      </c>
      <c r="N1139">
        <v>90398</v>
      </c>
      <c r="O1139">
        <v>30132</v>
      </c>
      <c r="P1139">
        <v>-120530</v>
      </c>
      <c r="Q1139">
        <v>-75331</v>
      </c>
      <c r="R1139">
        <v>285145</v>
      </c>
      <c r="S1139">
        <v>85543</v>
      </c>
      <c r="T1139">
        <v>28514</v>
      </c>
      <c r="U1139">
        <v>15066</v>
      </c>
      <c r="V1139">
        <v>9039</v>
      </c>
      <c r="W1139">
        <v>6026</v>
      </c>
      <c r="X1139">
        <v>30132</v>
      </c>
      <c r="Y1139">
        <v>15066</v>
      </c>
      <c r="Z1139">
        <v>14257</v>
      </c>
      <c r="AA1139">
        <v>8554</v>
      </c>
      <c r="AB1139">
        <v>5702</v>
      </c>
    </row>
    <row r="1140" spans="1:28" x14ac:dyDescent="0.35">
      <c r="A1140" t="s">
        <v>1185</v>
      </c>
      <c r="B1140" t="s">
        <v>9</v>
      </c>
      <c r="C1140" t="s">
        <v>1</v>
      </c>
      <c r="D1140" t="s">
        <v>10</v>
      </c>
      <c r="E1140" t="s">
        <v>11</v>
      </c>
      <c r="F1140">
        <v>299387</v>
      </c>
      <c r="G1140">
        <v>-156387</v>
      </c>
      <c r="H1140">
        <v>89517</v>
      </c>
      <c r="I1140">
        <v>299387</v>
      </c>
      <c r="J1140">
        <v>29938</v>
      </c>
      <c r="K1140">
        <v>14969</v>
      </c>
      <c r="L1140">
        <v>204077</v>
      </c>
      <c r="M1140">
        <v>40815</v>
      </c>
      <c r="N1140">
        <v>61223</v>
      </c>
      <c r="O1140">
        <v>20407</v>
      </c>
      <c r="P1140">
        <v>-81630</v>
      </c>
      <c r="Q1140">
        <v>-51019</v>
      </c>
      <c r="R1140">
        <v>243478</v>
      </c>
      <c r="S1140">
        <v>73043</v>
      </c>
      <c r="T1140">
        <v>24347</v>
      </c>
      <c r="U1140">
        <v>10203</v>
      </c>
      <c r="V1140">
        <v>6122</v>
      </c>
      <c r="W1140">
        <v>4081</v>
      </c>
      <c r="X1140">
        <v>20407</v>
      </c>
      <c r="Y1140">
        <v>10203</v>
      </c>
      <c r="Z1140">
        <v>12173</v>
      </c>
      <c r="AA1140">
        <v>7304</v>
      </c>
      <c r="AB1140">
        <v>4869</v>
      </c>
    </row>
    <row r="1141" spans="1:28" x14ac:dyDescent="0.35">
      <c r="A1141" t="s">
        <v>1186</v>
      </c>
      <c r="B1141" t="s">
        <v>9</v>
      </c>
      <c r="C1141" t="s">
        <v>1</v>
      </c>
      <c r="D1141" t="s">
        <v>10</v>
      </c>
      <c r="E1141" t="s">
        <v>11</v>
      </c>
      <c r="F1141">
        <v>457254</v>
      </c>
      <c r="G1141">
        <v>-239025</v>
      </c>
      <c r="H1141">
        <v>226589</v>
      </c>
      <c r="I1141">
        <v>457254</v>
      </c>
      <c r="J1141">
        <v>45725</v>
      </c>
      <c r="K1141">
        <v>22862</v>
      </c>
      <c r="L1141">
        <v>257830</v>
      </c>
      <c r="M1141">
        <v>51566</v>
      </c>
      <c r="N1141">
        <v>77349</v>
      </c>
      <c r="O1141">
        <v>25783</v>
      </c>
      <c r="P1141">
        <v>-103132</v>
      </c>
      <c r="Q1141">
        <v>-64457</v>
      </c>
      <c r="R1141">
        <v>252990</v>
      </c>
      <c r="S1141">
        <v>75897</v>
      </c>
      <c r="T1141">
        <v>25299</v>
      </c>
      <c r="U1141">
        <v>12891</v>
      </c>
      <c r="V1141">
        <v>7734</v>
      </c>
      <c r="W1141">
        <v>5156</v>
      </c>
      <c r="X1141">
        <v>25783</v>
      </c>
      <c r="Y1141">
        <v>12891</v>
      </c>
      <c r="Z1141">
        <v>12649</v>
      </c>
      <c r="AA1141">
        <v>7589</v>
      </c>
      <c r="AB1141">
        <v>5059</v>
      </c>
    </row>
    <row r="1142" spans="1:28" x14ac:dyDescent="0.35">
      <c r="A1142" t="s">
        <v>1187</v>
      </c>
      <c r="B1142" t="s">
        <v>9</v>
      </c>
      <c r="C1142" t="s">
        <v>1</v>
      </c>
      <c r="D1142" t="s">
        <v>10</v>
      </c>
      <c r="E1142" t="s">
        <v>11</v>
      </c>
      <c r="F1142">
        <v>475240</v>
      </c>
      <c r="G1142">
        <v>-157252</v>
      </c>
      <c r="H1142">
        <v>224681</v>
      </c>
      <c r="I1142">
        <v>475240</v>
      </c>
      <c r="J1142">
        <v>47524</v>
      </c>
      <c r="K1142">
        <v>23762</v>
      </c>
      <c r="L1142">
        <v>129582</v>
      </c>
      <c r="M1142">
        <v>25916</v>
      </c>
      <c r="N1142">
        <v>38874</v>
      </c>
      <c r="O1142">
        <v>12958</v>
      </c>
      <c r="P1142">
        <v>-51832</v>
      </c>
      <c r="Q1142">
        <v>-32395</v>
      </c>
      <c r="R1142">
        <v>111476</v>
      </c>
      <c r="S1142">
        <v>33442</v>
      </c>
      <c r="T1142">
        <v>11147</v>
      </c>
      <c r="U1142">
        <v>6479</v>
      </c>
      <c r="V1142">
        <v>3887</v>
      </c>
      <c r="W1142">
        <v>2591</v>
      </c>
      <c r="X1142">
        <v>12958</v>
      </c>
      <c r="Y1142">
        <v>6479</v>
      </c>
      <c r="Z1142">
        <v>5573</v>
      </c>
      <c r="AA1142">
        <v>3344</v>
      </c>
      <c r="AB1142">
        <v>2229</v>
      </c>
    </row>
    <row r="1143" spans="1:28" x14ac:dyDescent="0.35">
      <c r="A1143" t="s">
        <v>1188</v>
      </c>
      <c r="B1143" t="s">
        <v>9</v>
      </c>
      <c r="C1143" t="s">
        <v>1</v>
      </c>
      <c r="D1143" t="s">
        <v>10</v>
      </c>
      <c r="E1143" t="s">
        <v>11</v>
      </c>
      <c r="F1143">
        <v>229706</v>
      </c>
      <c r="G1143">
        <v>-65320</v>
      </c>
      <c r="H1143">
        <v>46693</v>
      </c>
      <c r="I1143">
        <v>229706</v>
      </c>
      <c r="J1143">
        <v>22970</v>
      </c>
      <c r="K1143">
        <v>11485</v>
      </c>
      <c r="L1143">
        <v>176759</v>
      </c>
      <c r="M1143">
        <v>35351</v>
      </c>
      <c r="N1143">
        <v>53027</v>
      </c>
      <c r="O1143">
        <v>17675</v>
      </c>
      <c r="P1143">
        <v>-70703</v>
      </c>
      <c r="Q1143">
        <v>-44189</v>
      </c>
      <c r="R1143">
        <v>159187</v>
      </c>
      <c r="S1143">
        <v>47756</v>
      </c>
      <c r="T1143">
        <v>15918</v>
      </c>
      <c r="U1143">
        <v>8837</v>
      </c>
      <c r="V1143">
        <v>5302</v>
      </c>
      <c r="W1143">
        <v>3535</v>
      </c>
      <c r="X1143">
        <v>17675</v>
      </c>
      <c r="Y1143">
        <v>8837</v>
      </c>
      <c r="Z1143">
        <v>7959</v>
      </c>
      <c r="AA1143">
        <v>4775</v>
      </c>
      <c r="AB1143">
        <v>3183</v>
      </c>
    </row>
    <row r="1144" spans="1:28" x14ac:dyDescent="0.35">
      <c r="A1144" t="s">
        <v>1189</v>
      </c>
      <c r="B1144" t="s">
        <v>9</v>
      </c>
      <c r="C1144" t="s">
        <v>1</v>
      </c>
      <c r="D1144" t="s">
        <v>10</v>
      </c>
      <c r="E1144" t="s">
        <v>11</v>
      </c>
      <c r="F1144">
        <v>446206</v>
      </c>
      <c r="G1144">
        <v>-127948</v>
      </c>
      <c r="H1144">
        <v>193559</v>
      </c>
      <c r="I1144">
        <v>446206</v>
      </c>
      <c r="J1144">
        <v>44620</v>
      </c>
      <c r="K1144">
        <v>22310</v>
      </c>
      <c r="L1144">
        <v>288473</v>
      </c>
      <c r="M1144">
        <v>57694</v>
      </c>
      <c r="N1144">
        <v>86541</v>
      </c>
      <c r="O1144">
        <v>28847</v>
      </c>
      <c r="P1144">
        <v>-115389</v>
      </c>
      <c r="Q1144">
        <v>-72118</v>
      </c>
      <c r="R1144">
        <v>325486</v>
      </c>
      <c r="S1144">
        <v>97645</v>
      </c>
      <c r="T1144">
        <v>32548</v>
      </c>
      <c r="U1144">
        <v>14423</v>
      </c>
      <c r="V1144">
        <v>8654</v>
      </c>
      <c r="W1144">
        <v>5769</v>
      </c>
      <c r="X1144">
        <v>28847</v>
      </c>
      <c r="Y1144">
        <v>14423</v>
      </c>
      <c r="Z1144">
        <v>16274</v>
      </c>
      <c r="AA1144">
        <v>9764</v>
      </c>
      <c r="AB1144">
        <v>6509</v>
      </c>
    </row>
    <row r="1145" spans="1:28" x14ac:dyDescent="0.35">
      <c r="A1145" t="s">
        <v>1190</v>
      </c>
      <c r="B1145" t="s">
        <v>9</v>
      </c>
      <c r="C1145" t="s">
        <v>1</v>
      </c>
      <c r="D1145" t="s">
        <v>10</v>
      </c>
      <c r="E1145" t="s">
        <v>11</v>
      </c>
      <c r="F1145">
        <v>293995</v>
      </c>
      <c r="G1145">
        <v>-80108</v>
      </c>
      <c r="H1145">
        <v>78176</v>
      </c>
      <c r="I1145">
        <v>293995</v>
      </c>
      <c r="J1145">
        <v>29399</v>
      </c>
      <c r="K1145">
        <v>14699</v>
      </c>
      <c r="L1145">
        <v>160392</v>
      </c>
      <c r="M1145">
        <v>32078</v>
      </c>
      <c r="N1145">
        <v>48117</v>
      </c>
      <c r="O1145">
        <v>16039</v>
      </c>
      <c r="P1145">
        <v>-64156</v>
      </c>
      <c r="Q1145">
        <v>-40098</v>
      </c>
      <c r="R1145">
        <v>165995</v>
      </c>
      <c r="S1145">
        <v>49798</v>
      </c>
      <c r="T1145">
        <v>16599</v>
      </c>
      <c r="U1145">
        <v>8019</v>
      </c>
      <c r="V1145">
        <v>4811</v>
      </c>
      <c r="W1145">
        <v>3207</v>
      </c>
      <c r="X1145">
        <v>16039</v>
      </c>
      <c r="Y1145">
        <v>8019</v>
      </c>
      <c r="Z1145">
        <v>8299</v>
      </c>
      <c r="AA1145">
        <v>4979</v>
      </c>
      <c r="AB1145">
        <v>3319</v>
      </c>
    </row>
    <row r="1146" spans="1:28" x14ac:dyDescent="0.35">
      <c r="A1146" t="s">
        <v>1191</v>
      </c>
      <c r="B1146" t="s">
        <v>9</v>
      </c>
      <c r="C1146" t="s">
        <v>1</v>
      </c>
      <c r="D1146" t="s">
        <v>10</v>
      </c>
      <c r="E1146" t="s">
        <v>11</v>
      </c>
      <c r="F1146">
        <v>201728</v>
      </c>
      <c r="G1146">
        <v>-89516</v>
      </c>
      <c r="H1146">
        <v>70636</v>
      </c>
      <c r="I1146">
        <v>201728</v>
      </c>
      <c r="J1146">
        <v>20172</v>
      </c>
      <c r="K1146">
        <v>10086</v>
      </c>
      <c r="L1146">
        <v>109089</v>
      </c>
      <c r="M1146">
        <v>21817</v>
      </c>
      <c r="N1146">
        <v>32726</v>
      </c>
      <c r="O1146">
        <v>10908</v>
      </c>
      <c r="P1146">
        <v>-43635</v>
      </c>
      <c r="Q1146">
        <v>-27272</v>
      </c>
      <c r="R1146">
        <v>103030</v>
      </c>
      <c r="S1146">
        <v>30909</v>
      </c>
      <c r="T1146">
        <v>10303</v>
      </c>
      <c r="U1146">
        <v>5454</v>
      </c>
      <c r="V1146">
        <v>3272</v>
      </c>
      <c r="W1146">
        <v>2181</v>
      </c>
      <c r="X1146">
        <v>10908</v>
      </c>
      <c r="Y1146">
        <v>5454</v>
      </c>
      <c r="Z1146">
        <v>5151</v>
      </c>
      <c r="AA1146">
        <v>3090</v>
      </c>
      <c r="AB1146">
        <v>2060</v>
      </c>
    </row>
    <row r="1147" spans="1:28" x14ac:dyDescent="0.35">
      <c r="A1147" t="s">
        <v>1192</v>
      </c>
      <c r="B1147" t="s">
        <v>9</v>
      </c>
      <c r="C1147" t="s">
        <v>1</v>
      </c>
      <c r="D1147" t="s">
        <v>10</v>
      </c>
      <c r="E1147" t="s">
        <v>11</v>
      </c>
      <c r="F1147">
        <v>289664</v>
      </c>
      <c r="G1147">
        <v>-138541</v>
      </c>
      <c r="H1147">
        <v>102567</v>
      </c>
      <c r="I1147">
        <v>289664</v>
      </c>
      <c r="J1147">
        <v>28966</v>
      </c>
      <c r="K1147">
        <v>14483</v>
      </c>
      <c r="L1147">
        <v>184191</v>
      </c>
      <c r="M1147">
        <v>36838</v>
      </c>
      <c r="N1147">
        <v>55257</v>
      </c>
      <c r="O1147">
        <v>18419</v>
      </c>
      <c r="P1147">
        <v>-73676</v>
      </c>
      <c r="Q1147">
        <v>-46047</v>
      </c>
      <c r="R1147">
        <v>172459</v>
      </c>
      <c r="S1147">
        <v>51737</v>
      </c>
      <c r="T1147">
        <v>17245</v>
      </c>
      <c r="U1147">
        <v>9209</v>
      </c>
      <c r="V1147">
        <v>5525</v>
      </c>
      <c r="W1147">
        <v>3683</v>
      </c>
      <c r="X1147">
        <v>18419</v>
      </c>
      <c r="Y1147">
        <v>9209</v>
      </c>
      <c r="Z1147">
        <v>8622</v>
      </c>
      <c r="AA1147">
        <v>5173</v>
      </c>
      <c r="AB1147">
        <v>3449</v>
      </c>
    </row>
    <row r="1148" spans="1:28" x14ac:dyDescent="0.35">
      <c r="A1148" t="s">
        <v>1193</v>
      </c>
      <c r="B1148" t="s">
        <v>9</v>
      </c>
      <c r="C1148" t="s">
        <v>1</v>
      </c>
      <c r="D1148" t="s">
        <v>10</v>
      </c>
      <c r="E1148" t="s">
        <v>11</v>
      </c>
      <c r="F1148">
        <v>82975</v>
      </c>
      <c r="G1148">
        <v>-19237</v>
      </c>
      <c r="H1148">
        <v>32526</v>
      </c>
      <c r="I1148">
        <v>82975</v>
      </c>
      <c r="J1148">
        <v>8297</v>
      </c>
      <c r="K1148">
        <v>4148</v>
      </c>
      <c r="L1148">
        <v>30757</v>
      </c>
      <c r="M1148">
        <v>6151</v>
      </c>
      <c r="N1148">
        <v>9227</v>
      </c>
      <c r="O1148">
        <v>3075</v>
      </c>
      <c r="P1148">
        <v>-12302</v>
      </c>
      <c r="Q1148">
        <v>-7689</v>
      </c>
      <c r="R1148">
        <v>30196</v>
      </c>
      <c r="S1148">
        <v>9058</v>
      </c>
      <c r="T1148">
        <v>3019</v>
      </c>
      <c r="U1148">
        <v>1537</v>
      </c>
      <c r="V1148">
        <v>922</v>
      </c>
      <c r="W1148">
        <v>615</v>
      </c>
      <c r="X1148">
        <v>3075</v>
      </c>
      <c r="Y1148">
        <v>1537</v>
      </c>
      <c r="Z1148">
        <v>1509</v>
      </c>
      <c r="AA1148">
        <v>905</v>
      </c>
      <c r="AB1148">
        <v>603</v>
      </c>
    </row>
    <row r="1149" spans="1:28" x14ac:dyDescent="0.35">
      <c r="A1149" t="s">
        <v>1194</v>
      </c>
      <c r="B1149" t="s">
        <v>9</v>
      </c>
      <c r="C1149" t="s">
        <v>1</v>
      </c>
      <c r="D1149" t="s">
        <v>10</v>
      </c>
      <c r="E1149" t="s">
        <v>11</v>
      </c>
      <c r="F1149">
        <v>271183</v>
      </c>
      <c r="G1149">
        <v>-70182</v>
      </c>
      <c r="H1149">
        <v>68873</v>
      </c>
      <c r="I1149">
        <v>271183</v>
      </c>
      <c r="J1149">
        <v>27118</v>
      </c>
      <c r="K1149">
        <v>13559</v>
      </c>
      <c r="L1149">
        <v>103127</v>
      </c>
      <c r="M1149">
        <v>20625</v>
      </c>
      <c r="N1149">
        <v>30938</v>
      </c>
      <c r="O1149">
        <v>10312</v>
      </c>
      <c r="P1149">
        <v>-41250</v>
      </c>
      <c r="Q1149">
        <v>-25781</v>
      </c>
      <c r="R1149">
        <v>90463</v>
      </c>
      <c r="S1149">
        <v>27138</v>
      </c>
      <c r="T1149">
        <v>9046</v>
      </c>
      <c r="U1149">
        <v>5156</v>
      </c>
      <c r="V1149">
        <v>3093</v>
      </c>
      <c r="W1149">
        <v>2062</v>
      </c>
      <c r="X1149">
        <v>10312</v>
      </c>
      <c r="Y1149">
        <v>5156</v>
      </c>
      <c r="Z1149">
        <v>4523</v>
      </c>
      <c r="AA1149">
        <v>2713</v>
      </c>
      <c r="AB1149">
        <v>1809</v>
      </c>
    </row>
    <row r="1150" spans="1:28" x14ac:dyDescent="0.35">
      <c r="A1150" t="s">
        <v>1195</v>
      </c>
      <c r="B1150" t="s">
        <v>9</v>
      </c>
      <c r="C1150" t="s">
        <v>1</v>
      </c>
      <c r="D1150" t="s">
        <v>10</v>
      </c>
      <c r="E1150" t="s">
        <v>11</v>
      </c>
      <c r="F1150">
        <v>106947</v>
      </c>
      <c r="G1150">
        <v>-25552</v>
      </c>
      <c r="H1150">
        <v>32297</v>
      </c>
      <c r="I1150">
        <v>106947</v>
      </c>
      <c r="J1150">
        <v>10694</v>
      </c>
      <c r="K1150">
        <v>5347</v>
      </c>
      <c r="L1150">
        <v>23933</v>
      </c>
      <c r="M1150">
        <v>4786</v>
      </c>
      <c r="N1150">
        <v>7179</v>
      </c>
      <c r="O1150">
        <v>2393</v>
      </c>
      <c r="P1150">
        <v>-9573</v>
      </c>
      <c r="Q1150">
        <v>-5983</v>
      </c>
      <c r="R1150">
        <v>24979</v>
      </c>
      <c r="S1150">
        <v>7493</v>
      </c>
      <c r="T1150">
        <v>2497</v>
      </c>
      <c r="U1150">
        <v>1196</v>
      </c>
      <c r="V1150">
        <v>717</v>
      </c>
      <c r="W1150">
        <v>478</v>
      </c>
      <c r="X1150">
        <v>2393</v>
      </c>
      <c r="Y1150">
        <v>1196</v>
      </c>
      <c r="Z1150">
        <v>1248</v>
      </c>
      <c r="AA1150">
        <v>749</v>
      </c>
      <c r="AB1150">
        <v>499</v>
      </c>
    </row>
    <row r="1151" spans="1:28" x14ac:dyDescent="0.35">
      <c r="A1151" t="s">
        <v>1196</v>
      </c>
      <c r="B1151" t="s">
        <v>9</v>
      </c>
      <c r="C1151" t="s">
        <v>1</v>
      </c>
      <c r="D1151" t="s">
        <v>10</v>
      </c>
      <c r="E1151" t="s">
        <v>11</v>
      </c>
      <c r="F1151">
        <v>50540</v>
      </c>
      <c r="G1151">
        <v>-17958</v>
      </c>
      <c r="H1151">
        <v>6669</v>
      </c>
      <c r="I1151">
        <v>50540</v>
      </c>
      <c r="J1151">
        <v>5054</v>
      </c>
      <c r="K1151">
        <v>2527</v>
      </c>
      <c r="L1151">
        <v>34046</v>
      </c>
      <c r="M1151">
        <v>6809</v>
      </c>
      <c r="N1151">
        <v>10213</v>
      </c>
      <c r="O1151">
        <v>3404</v>
      </c>
      <c r="P1151">
        <v>-13618</v>
      </c>
      <c r="Q1151">
        <v>-8511</v>
      </c>
      <c r="R1151">
        <v>36347</v>
      </c>
      <c r="S1151">
        <v>10904</v>
      </c>
      <c r="T1151">
        <v>3634</v>
      </c>
      <c r="U1151">
        <v>1702</v>
      </c>
      <c r="V1151">
        <v>1021</v>
      </c>
      <c r="W1151">
        <v>680</v>
      </c>
      <c r="X1151">
        <v>3404</v>
      </c>
      <c r="Y1151">
        <v>1702</v>
      </c>
      <c r="Z1151">
        <v>1817</v>
      </c>
      <c r="AA1151">
        <v>1090</v>
      </c>
      <c r="AB1151">
        <v>726</v>
      </c>
    </row>
    <row r="1152" spans="1:28" x14ac:dyDescent="0.35">
      <c r="A1152" t="s">
        <v>1197</v>
      </c>
      <c r="B1152" t="s">
        <v>9</v>
      </c>
      <c r="C1152" t="s">
        <v>1</v>
      </c>
      <c r="D1152" t="s">
        <v>10</v>
      </c>
      <c r="E1152" t="s">
        <v>11</v>
      </c>
      <c r="F1152">
        <v>281140</v>
      </c>
      <c r="G1152">
        <v>-163072</v>
      </c>
      <c r="H1152">
        <v>63549</v>
      </c>
      <c r="I1152">
        <v>281140</v>
      </c>
      <c r="J1152">
        <v>28114</v>
      </c>
      <c r="K1152">
        <v>14057</v>
      </c>
      <c r="L1152">
        <v>211963</v>
      </c>
      <c r="M1152">
        <v>42392</v>
      </c>
      <c r="N1152">
        <v>63588</v>
      </c>
      <c r="O1152">
        <v>21196</v>
      </c>
      <c r="P1152">
        <v>-84785</v>
      </c>
      <c r="Q1152">
        <v>-52990</v>
      </c>
      <c r="R1152">
        <v>243892</v>
      </c>
      <c r="S1152">
        <v>73167</v>
      </c>
      <c r="T1152">
        <v>24389</v>
      </c>
      <c r="U1152">
        <v>10598</v>
      </c>
      <c r="V1152">
        <v>6358</v>
      </c>
      <c r="W1152">
        <v>4239</v>
      </c>
      <c r="X1152">
        <v>21196</v>
      </c>
      <c r="Y1152">
        <v>10598</v>
      </c>
      <c r="Z1152">
        <v>12194</v>
      </c>
      <c r="AA1152">
        <v>7316</v>
      </c>
      <c r="AB1152">
        <v>4877</v>
      </c>
    </row>
    <row r="1153" spans="1:28" x14ac:dyDescent="0.35">
      <c r="A1153" t="s">
        <v>1198</v>
      </c>
      <c r="B1153" t="s">
        <v>9</v>
      </c>
      <c r="C1153" t="s">
        <v>1</v>
      </c>
      <c r="D1153" t="s">
        <v>10</v>
      </c>
      <c r="E1153" t="s">
        <v>11</v>
      </c>
      <c r="F1153">
        <v>426954</v>
      </c>
      <c r="G1153">
        <v>-229334</v>
      </c>
      <c r="H1153">
        <v>136370</v>
      </c>
      <c r="I1153">
        <v>426954</v>
      </c>
      <c r="J1153">
        <v>42695</v>
      </c>
      <c r="K1153">
        <v>21347</v>
      </c>
      <c r="L1153">
        <v>139825</v>
      </c>
      <c r="M1153">
        <v>27965</v>
      </c>
      <c r="N1153">
        <v>41947</v>
      </c>
      <c r="O1153">
        <v>13982</v>
      </c>
      <c r="P1153">
        <v>-55930</v>
      </c>
      <c r="Q1153">
        <v>-34956</v>
      </c>
      <c r="R1153">
        <v>117817</v>
      </c>
      <c r="S1153">
        <v>35345</v>
      </c>
      <c r="T1153">
        <v>11781</v>
      </c>
      <c r="U1153">
        <v>6991</v>
      </c>
      <c r="V1153">
        <v>4194</v>
      </c>
      <c r="W1153">
        <v>2796</v>
      </c>
      <c r="X1153">
        <v>13982</v>
      </c>
      <c r="Y1153">
        <v>6991</v>
      </c>
      <c r="Z1153">
        <v>5890</v>
      </c>
      <c r="AA1153">
        <v>3534</v>
      </c>
      <c r="AB1153">
        <v>2356</v>
      </c>
    </row>
    <row r="1154" spans="1:28" x14ac:dyDescent="0.35">
      <c r="A1154" t="s">
        <v>1199</v>
      </c>
      <c r="B1154" t="s">
        <v>9</v>
      </c>
      <c r="C1154" t="s">
        <v>1</v>
      </c>
      <c r="D1154" t="s">
        <v>10</v>
      </c>
      <c r="E1154" t="s">
        <v>11</v>
      </c>
      <c r="F1154">
        <v>341757</v>
      </c>
      <c r="G1154">
        <v>-181813</v>
      </c>
      <c r="H1154">
        <v>148065</v>
      </c>
      <c r="I1154">
        <v>341757</v>
      </c>
      <c r="J1154">
        <v>34175</v>
      </c>
      <c r="K1154">
        <v>17087</v>
      </c>
      <c r="L1154">
        <v>257782</v>
      </c>
      <c r="M1154">
        <v>51556</v>
      </c>
      <c r="N1154">
        <v>77334</v>
      </c>
      <c r="O1154">
        <v>25778</v>
      </c>
      <c r="P1154">
        <v>-103112</v>
      </c>
      <c r="Q1154">
        <v>-64445</v>
      </c>
      <c r="R1154">
        <v>280783</v>
      </c>
      <c r="S1154">
        <v>84234</v>
      </c>
      <c r="T1154">
        <v>28078</v>
      </c>
      <c r="U1154">
        <v>12889</v>
      </c>
      <c r="V1154">
        <v>7733</v>
      </c>
      <c r="W1154">
        <v>5155</v>
      </c>
      <c r="X1154">
        <v>25778</v>
      </c>
      <c r="Y1154">
        <v>12889</v>
      </c>
      <c r="Z1154">
        <v>14039</v>
      </c>
      <c r="AA1154">
        <v>8423</v>
      </c>
      <c r="AB1154">
        <v>5615</v>
      </c>
    </row>
    <row r="1155" spans="1:28" x14ac:dyDescent="0.35">
      <c r="A1155" t="s">
        <v>1200</v>
      </c>
      <c r="B1155" t="s">
        <v>9</v>
      </c>
      <c r="C1155" t="s">
        <v>1</v>
      </c>
      <c r="D1155" t="s">
        <v>10</v>
      </c>
      <c r="E1155" t="s">
        <v>11</v>
      </c>
      <c r="F1155">
        <v>108544</v>
      </c>
      <c r="G1155">
        <v>-42864</v>
      </c>
      <c r="H1155">
        <v>30357</v>
      </c>
      <c r="I1155">
        <v>108544</v>
      </c>
      <c r="J1155">
        <v>10854</v>
      </c>
      <c r="K1155">
        <v>5427</v>
      </c>
      <c r="L1155">
        <v>29655</v>
      </c>
      <c r="M1155">
        <v>5931</v>
      </c>
      <c r="N1155">
        <v>8896</v>
      </c>
      <c r="O1155">
        <v>2965</v>
      </c>
      <c r="P1155">
        <v>-11862</v>
      </c>
      <c r="Q1155">
        <v>-7413</v>
      </c>
      <c r="R1155">
        <v>25445</v>
      </c>
      <c r="S1155">
        <v>7633</v>
      </c>
      <c r="T1155">
        <v>2544</v>
      </c>
      <c r="U1155">
        <v>1482</v>
      </c>
      <c r="V1155">
        <v>889</v>
      </c>
      <c r="W1155">
        <v>593</v>
      </c>
      <c r="X1155">
        <v>2965</v>
      </c>
      <c r="Y1155">
        <v>1482</v>
      </c>
      <c r="Z1155">
        <v>1272</v>
      </c>
      <c r="AA1155">
        <v>763</v>
      </c>
      <c r="AB1155">
        <v>508</v>
      </c>
    </row>
    <row r="1156" spans="1:28" x14ac:dyDescent="0.35">
      <c r="A1156" t="s">
        <v>1201</v>
      </c>
      <c r="B1156" t="s">
        <v>9</v>
      </c>
      <c r="C1156" t="s">
        <v>1</v>
      </c>
      <c r="D1156" t="s">
        <v>10</v>
      </c>
      <c r="E1156" t="s">
        <v>11</v>
      </c>
      <c r="F1156">
        <v>233858</v>
      </c>
      <c r="G1156">
        <v>-53849</v>
      </c>
      <c r="H1156">
        <v>28820</v>
      </c>
      <c r="I1156">
        <v>233858</v>
      </c>
      <c r="J1156">
        <v>23385</v>
      </c>
      <c r="K1156">
        <v>11692</v>
      </c>
      <c r="L1156">
        <v>177560</v>
      </c>
      <c r="M1156">
        <v>35512</v>
      </c>
      <c r="N1156">
        <v>53268</v>
      </c>
      <c r="O1156">
        <v>17756</v>
      </c>
      <c r="P1156">
        <v>-71024</v>
      </c>
      <c r="Q1156">
        <v>-44390</v>
      </c>
      <c r="R1156">
        <v>202411</v>
      </c>
      <c r="S1156">
        <v>60723</v>
      </c>
      <c r="T1156">
        <v>20241</v>
      </c>
      <c r="U1156">
        <v>8878</v>
      </c>
      <c r="V1156">
        <v>5326</v>
      </c>
      <c r="W1156">
        <v>3551</v>
      </c>
      <c r="X1156">
        <v>17756</v>
      </c>
      <c r="Y1156">
        <v>8878</v>
      </c>
      <c r="Z1156">
        <v>10120</v>
      </c>
      <c r="AA1156">
        <v>6072</v>
      </c>
      <c r="AB1156">
        <v>4048</v>
      </c>
    </row>
    <row r="1157" spans="1:28" x14ac:dyDescent="0.35">
      <c r="A1157" t="s">
        <v>1202</v>
      </c>
      <c r="B1157" t="s">
        <v>9</v>
      </c>
      <c r="C1157" t="s">
        <v>1</v>
      </c>
      <c r="D1157" t="s">
        <v>10</v>
      </c>
      <c r="E1157" t="s">
        <v>11</v>
      </c>
      <c r="F1157">
        <v>443770</v>
      </c>
      <c r="G1157">
        <v>-191533</v>
      </c>
      <c r="H1157">
        <v>212746</v>
      </c>
      <c r="I1157">
        <v>443770</v>
      </c>
      <c r="J1157">
        <v>44377</v>
      </c>
      <c r="K1157">
        <v>22188</v>
      </c>
      <c r="L1157">
        <v>175786</v>
      </c>
      <c r="M1157">
        <v>35157</v>
      </c>
      <c r="N1157">
        <v>52735</v>
      </c>
      <c r="O1157">
        <v>17578</v>
      </c>
      <c r="P1157">
        <v>-70314</v>
      </c>
      <c r="Q1157">
        <v>-43946</v>
      </c>
      <c r="R1157">
        <v>165733</v>
      </c>
      <c r="S1157">
        <v>49719</v>
      </c>
      <c r="T1157">
        <v>16573</v>
      </c>
      <c r="U1157">
        <v>8789</v>
      </c>
      <c r="V1157">
        <v>5273</v>
      </c>
      <c r="W1157">
        <v>3515</v>
      </c>
      <c r="X1157">
        <v>17578</v>
      </c>
      <c r="Y1157">
        <v>8789</v>
      </c>
      <c r="Z1157">
        <v>8286</v>
      </c>
      <c r="AA1157">
        <v>4971</v>
      </c>
      <c r="AB1157">
        <v>3314</v>
      </c>
    </row>
    <row r="1158" spans="1:28" x14ac:dyDescent="0.35">
      <c r="A1158" t="s">
        <v>1203</v>
      </c>
      <c r="B1158" t="s">
        <v>9</v>
      </c>
      <c r="C1158" t="s">
        <v>1</v>
      </c>
      <c r="D1158" t="s">
        <v>10</v>
      </c>
      <c r="E1158" t="s">
        <v>11</v>
      </c>
      <c r="F1158">
        <v>253863</v>
      </c>
      <c r="G1158">
        <v>-110185</v>
      </c>
      <c r="H1158">
        <v>42472</v>
      </c>
      <c r="I1158">
        <v>253863</v>
      </c>
      <c r="J1158">
        <v>25386</v>
      </c>
      <c r="K1158">
        <v>12693</v>
      </c>
      <c r="L1158">
        <v>62332</v>
      </c>
      <c r="M1158">
        <v>12466</v>
      </c>
      <c r="N1158">
        <v>18699</v>
      </c>
      <c r="O1158">
        <v>6233</v>
      </c>
      <c r="P1158">
        <v>-24932</v>
      </c>
      <c r="Q1158">
        <v>-15583</v>
      </c>
      <c r="R1158">
        <v>51051</v>
      </c>
      <c r="S1158">
        <v>15315</v>
      </c>
      <c r="T1158">
        <v>5105</v>
      </c>
      <c r="U1158">
        <v>3116</v>
      </c>
      <c r="V1158">
        <v>1869</v>
      </c>
      <c r="W1158">
        <v>1246</v>
      </c>
      <c r="X1158">
        <v>6233</v>
      </c>
      <c r="Y1158">
        <v>3116</v>
      </c>
      <c r="Z1158">
        <v>2552</v>
      </c>
      <c r="AA1158">
        <v>1531</v>
      </c>
      <c r="AB1158">
        <v>1021</v>
      </c>
    </row>
    <row r="1159" spans="1:28" x14ac:dyDescent="0.35">
      <c r="A1159" t="s">
        <v>1204</v>
      </c>
      <c r="B1159" t="s">
        <v>9</v>
      </c>
      <c r="C1159" t="s">
        <v>1</v>
      </c>
      <c r="D1159" t="s">
        <v>10</v>
      </c>
      <c r="E1159" t="s">
        <v>11</v>
      </c>
      <c r="F1159">
        <v>468216</v>
      </c>
      <c r="G1159">
        <v>-196474</v>
      </c>
      <c r="H1159">
        <v>83933</v>
      </c>
      <c r="I1159">
        <v>468216</v>
      </c>
      <c r="J1159">
        <v>46821</v>
      </c>
      <c r="K1159">
        <v>23410</v>
      </c>
      <c r="L1159">
        <v>344172</v>
      </c>
      <c r="M1159">
        <v>68834</v>
      </c>
      <c r="N1159">
        <v>103251</v>
      </c>
      <c r="O1159">
        <v>34417</v>
      </c>
      <c r="P1159">
        <v>-137668</v>
      </c>
      <c r="Q1159">
        <v>-86043</v>
      </c>
      <c r="R1159">
        <v>379533</v>
      </c>
      <c r="S1159">
        <v>113859</v>
      </c>
      <c r="T1159">
        <v>37953</v>
      </c>
      <c r="U1159">
        <v>17208</v>
      </c>
      <c r="V1159">
        <v>10325</v>
      </c>
      <c r="W1159">
        <v>6883</v>
      </c>
      <c r="X1159">
        <v>34417</v>
      </c>
      <c r="Y1159">
        <v>17208</v>
      </c>
      <c r="Z1159">
        <v>18976</v>
      </c>
      <c r="AA1159">
        <v>11385</v>
      </c>
      <c r="AB1159">
        <v>7590</v>
      </c>
    </row>
    <row r="1160" spans="1:28" x14ac:dyDescent="0.35">
      <c r="A1160" t="s">
        <v>1205</v>
      </c>
      <c r="B1160" t="s">
        <v>9</v>
      </c>
      <c r="C1160" t="s">
        <v>1</v>
      </c>
      <c r="D1160" t="s">
        <v>10</v>
      </c>
      <c r="E1160" t="s">
        <v>11</v>
      </c>
      <c r="F1160">
        <v>481761</v>
      </c>
      <c r="G1160">
        <v>-226237</v>
      </c>
      <c r="H1160">
        <v>182268</v>
      </c>
      <c r="I1160">
        <v>481761</v>
      </c>
      <c r="J1160">
        <v>48176</v>
      </c>
      <c r="K1160">
        <v>24088</v>
      </c>
      <c r="L1160">
        <v>313235</v>
      </c>
      <c r="M1160">
        <v>62647</v>
      </c>
      <c r="N1160">
        <v>93970</v>
      </c>
      <c r="O1160">
        <v>31323</v>
      </c>
      <c r="P1160">
        <v>-125294</v>
      </c>
      <c r="Q1160">
        <v>-78308</v>
      </c>
      <c r="R1160">
        <v>285688</v>
      </c>
      <c r="S1160">
        <v>85706</v>
      </c>
      <c r="T1160">
        <v>28568</v>
      </c>
      <c r="U1160">
        <v>15661</v>
      </c>
      <c r="V1160">
        <v>9397</v>
      </c>
      <c r="W1160">
        <v>6264</v>
      </c>
      <c r="X1160">
        <v>31323</v>
      </c>
      <c r="Y1160">
        <v>15661</v>
      </c>
      <c r="Z1160">
        <v>14284</v>
      </c>
      <c r="AA1160">
        <v>8570</v>
      </c>
      <c r="AB1160">
        <v>5713</v>
      </c>
    </row>
    <row r="1161" spans="1:28" x14ac:dyDescent="0.35">
      <c r="A1161" t="s">
        <v>1206</v>
      </c>
      <c r="B1161" t="s">
        <v>9</v>
      </c>
      <c r="C1161" t="s">
        <v>1</v>
      </c>
      <c r="D1161" t="s">
        <v>10</v>
      </c>
      <c r="E1161" t="s">
        <v>11</v>
      </c>
      <c r="F1161">
        <v>339988</v>
      </c>
      <c r="G1161">
        <v>-78538</v>
      </c>
      <c r="H1161">
        <v>118388</v>
      </c>
      <c r="I1161">
        <v>339988</v>
      </c>
      <c r="J1161">
        <v>33998</v>
      </c>
      <c r="K1161">
        <v>16999</v>
      </c>
      <c r="L1161">
        <v>93385</v>
      </c>
      <c r="M1161">
        <v>18677</v>
      </c>
      <c r="N1161">
        <v>28015</v>
      </c>
      <c r="O1161">
        <v>9338</v>
      </c>
      <c r="P1161">
        <v>-37354</v>
      </c>
      <c r="Q1161">
        <v>-23346</v>
      </c>
      <c r="R1161">
        <v>102942</v>
      </c>
      <c r="S1161">
        <v>30882</v>
      </c>
      <c r="T1161">
        <v>10294</v>
      </c>
      <c r="U1161">
        <v>4669</v>
      </c>
      <c r="V1161">
        <v>2801</v>
      </c>
      <c r="W1161">
        <v>1867</v>
      </c>
      <c r="X1161">
        <v>9338</v>
      </c>
      <c r="Y1161">
        <v>4669</v>
      </c>
      <c r="Z1161">
        <v>5147</v>
      </c>
      <c r="AA1161">
        <v>3088</v>
      </c>
      <c r="AB1161">
        <v>2058</v>
      </c>
    </row>
    <row r="1162" spans="1:28" x14ac:dyDescent="0.35">
      <c r="A1162" t="s">
        <v>1207</v>
      </c>
      <c r="B1162" t="s">
        <v>9</v>
      </c>
      <c r="C1162" t="s">
        <v>1</v>
      </c>
      <c r="D1162" t="s">
        <v>10</v>
      </c>
      <c r="E1162" t="s">
        <v>11</v>
      </c>
      <c r="F1162">
        <v>398373</v>
      </c>
      <c r="G1162">
        <v>-129468</v>
      </c>
      <c r="H1162">
        <v>190110</v>
      </c>
      <c r="I1162">
        <v>398373</v>
      </c>
      <c r="J1162">
        <v>39837</v>
      </c>
      <c r="K1162">
        <v>19918</v>
      </c>
      <c r="L1162">
        <v>264712</v>
      </c>
      <c r="M1162">
        <v>52942</v>
      </c>
      <c r="N1162">
        <v>79413</v>
      </c>
      <c r="O1162">
        <v>26471</v>
      </c>
      <c r="P1162">
        <v>-105884</v>
      </c>
      <c r="Q1162">
        <v>-66178</v>
      </c>
      <c r="R1162">
        <v>215363</v>
      </c>
      <c r="S1162">
        <v>64608</v>
      </c>
      <c r="T1162">
        <v>21536</v>
      </c>
      <c r="U1162">
        <v>13235</v>
      </c>
      <c r="V1162">
        <v>7941</v>
      </c>
      <c r="W1162">
        <v>5294</v>
      </c>
      <c r="X1162">
        <v>26471</v>
      </c>
      <c r="Y1162">
        <v>13235</v>
      </c>
      <c r="Z1162">
        <v>10768</v>
      </c>
      <c r="AA1162">
        <v>6460</v>
      </c>
      <c r="AB1162">
        <v>4307</v>
      </c>
    </row>
    <row r="1163" spans="1:28" x14ac:dyDescent="0.35">
      <c r="A1163" t="s">
        <v>1208</v>
      </c>
      <c r="B1163" t="s">
        <v>9</v>
      </c>
      <c r="C1163" t="s">
        <v>1</v>
      </c>
      <c r="D1163" t="s">
        <v>10</v>
      </c>
      <c r="E1163" t="s">
        <v>11</v>
      </c>
      <c r="F1163">
        <v>387487</v>
      </c>
      <c r="G1163">
        <v>-186842</v>
      </c>
      <c r="H1163">
        <v>189293</v>
      </c>
      <c r="I1163">
        <v>387487</v>
      </c>
      <c r="J1163">
        <v>38748</v>
      </c>
      <c r="K1163">
        <v>19374</v>
      </c>
      <c r="L1163">
        <v>85119</v>
      </c>
      <c r="M1163">
        <v>17023</v>
      </c>
      <c r="N1163">
        <v>25535</v>
      </c>
      <c r="O1163">
        <v>8511</v>
      </c>
      <c r="P1163">
        <v>-34047</v>
      </c>
      <c r="Q1163">
        <v>-21279</v>
      </c>
      <c r="R1163">
        <v>97929</v>
      </c>
      <c r="S1163">
        <v>29378</v>
      </c>
      <c r="T1163">
        <v>9792</v>
      </c>
      <c r="U1163">
        <v>4255</v>
      </c>
      <c r="V1163">
        <v>2553</v>
      </c>
      <c r="W1163">
        <v>1702</v>
      </c>
      <c r="X1163">
        <v>8511</v>
      </c>
      <c r="Y1163">
        <v>4255</v>
      </c>
      <c r="Z1163">
        <v>4896</v>
      </c>
      <c r="AA1163">
        <v>2937</v>
      </c>
      <c r="AB1163">
        <v>1958</v>
      </c>
    </row>
    <row r="1164" spans="1:28" x14ac:dyDescent="0.35">
      <c r="A1164" t="s">
        <v>1209</v>
      </c>
      <c r="B1164" t="s">
        <v>9</v>
      </c>
      <c r="C1164" t="s">
        <v>1</v>
      </c>
      <c r="D1164" t="s">
        <v>10</v>
      </c>
      <c r="E1164" t="s">
        <v>11</v>
      </c>
      <c r="F1164">
        <v>390826</v>
      </c>
      <c r="G1164">
        <v>-207815</v>
      </c>
      <c r="H1164">
        <v>96881</v>
      </c>
      <c r="I1164">
        <v>390826</v>
      </c>
      <c r="J1164">
        <v>39082</v>
      </c>
      <c r="K1164">
        <v>19541</v>
      </c>
      <c r="L1164">
        <v>204770</v>
      </c>
      <c r="M1164">
        <v>40954</v>
      </c>
      <c r="N1164">
        <v>61431</v>
      </c>
      <c r="O1164">
        <v>20477</v>
      </c>
      <c r="P1164">
        <v>-81908</v>
      </c>
      <c r="Q1164">
        <v>-51192</v>
      </c>
      <c r="R1164">
        <v>171489</v>
      </c>
      <c r="S1164">
        <v>51446</v>
      </c>
      <c r="T1164">
        <v>17148</v>
      </c>
      <c r="U1164">
        <v>10238</v>
      </c>
      <c r="V1164">
        <v>6143</v>
      </c>
      <c r="W1164">
        <v>4095</v>
      </c>
      <c r="X1164">
        <v>20477</v>
      </c>
      <c r="Y1164">
        <v>10238</v>
      </c>
      <c r="Z1164">
        <v>8574</v>
      </c>
      <c r="AA1164">
        <v>5144</v>
      </c>
      <c r="AB1164">
        <v>3429</v>
      </c>
    </row>
    <row r="1165" spans="1:28" x14ac:dyDescent="0.35">
      <c r="A1165" t="s">
        <v>1210</v>
      </c>
      <c r="B1165" t="s">
        <v>9</v>
      </c>
      <c r="C1165" t="s">
        <v>1</v>
      </c>
      <c r="D1165" t="s">
        <v>10</v>
      </c>
      <c r="E1165" t="s">
        <v>11</v>
      </c>
      <c r="F1165">
        <v>366050</v>
      </c>
      <c r="G1165">
        <v>-154599</v>
      </c>
      <c r="H1165">
        <v>104403</v>
      </c>
      <c r="I1165">
        <v>366050</v>
      </c>
      <c r="J1165">
        <v>36605</v>
      </c>
      <c r="K1165">
        <v>18302</v>
      </c>
      <c r="L1165">
        <v>266708</v>
      </c>
      <c r="M1165">
        <v>53341</v>
      </c>
      <c r="N1165">
        <v>80012</v>
      </c>
      <c r="O1165">
        <v>26670</v>
      </c>
      <c r="P1165">
        <v>-106683</v>
      </c>
      <c r="Q1165">
        <v>-66677</v>
      </c>
      <c r="R1165">
        <v>316542</v>
      </c>
      <c r="S1165">
        <v>94962</v>
      </c>
      <c r="T1165">
        <v>31654</v>
      </c>
      <c r="U1165">
        <v>13335</v>
      </c>
      <c r="V1165">
        <v>8001</v>
      </c>
      <c r="W1165">
        <v>5334</v>
      </c>
      <c r="X1165">
        <v>26670</v>
      </c>
      <c r="Y1165">
        <v>13335</v>
      </c>
      <c r="Z1165">
        <v>15827</v>
      </c>
      <c r="AA1165">
        <v>9496</v>
      </c>
      <c r="AB1165">
        <v>6330</v>
      </c>
    </row>
    <row r="1166" spans="1:28" x14ac:dyDescent="0.35">
      <c r="A1166" t="s">
        <v>1211</v>
      </c>
      <c r="B1166" t="s">
        <v>9</v>
      </c>
      <c r="C1166" t="s">
        <v>1</v>
      </c>
      <c r="D1166" t="s">
        <v>10</v>
      </c>
      <c r="E1166" t="s">
        <v>11</v>
      </c>
      <c r="F1166">
        <v>296115</v>
      </c>
      <c r="G1166">
        <v>-80579</v>
      </c>
      <c r="H1166">
        <v>97654</v>
      </c>
      <c r="I1166">
        <v>296115</v>
      </c>
      <c r="J1166">
        <v>29611</v>
      </c>
      <c r="K1166">
        <v>14805</v>
      </c>
      <c r="L1166">
        <v>192370</v>
      </c>
      <c r="M1166">
        <v>38474</v>
      </c>
      <c r="N1166">
        <v>57711</v>
      </c>
      <c r="O1166">
        <v>19237</v>
      </c>
      <c r="P1166">
        <v>-76948</v>
      </c>
      <c r="Q1166">
        <v>-48092</v>
      </c>
      <c r="R1166">
        <v>187583</v>
      </c>
      <c r="S1166">
        <v>56274</v>
      </c>
      <c r="T1166">
        <v>18758</v>
      </c>
      <c r="U1166">
        <v>9618</v>
      </c>
      <c r="V1166">
        <v>5771</v>
      </c>
      <c r="W1166">
        <v>3847</v>
      </c>
      <c r="X1166">
        <v>19237</v>
      </c>
      <c r="Y1166">
        <v>9618</v>
      </c>
      <c r="Z1166">
        <v>9379</v>
      </c>
      <c r="AA1166">
        <v>5627</v>
      </c>
      <c r="AB1166">
        <v>3751</v>
      </c>
    </row>
    <row r="1167" spans="1:28" x14ac:dyDescent="0.35">
      <c r="A1167" t="s">
        <v>1212</v>
      </c>
      <c r="B1167" t="s">
        <v>9</v>
      </c>
      <c r="C1167" t="s">
        <v>1</v>
      </c>
      <c r="D1167" t="s">
        <v>10</v>
      </c>
      <c r="E1167" t="s">
        <v>11</v>
      </c>
      <c r="F1167">
        <v>136473</v>
      </c>
      <c r="G1167">
        <v>-58395</v>
      </c>
      <c r="H1167">
        <v>16620</v>
      </c>
      <c r="I1167">
        <v>136473</v>
      </c>
      <c r="J1167">
        <v>13647</v>
      </c>
      <c r="K1167">
        <v>6823</v>
      </c>
      <c r="L1167">
        <v>105460</v>
      </c>
      <c r="M1167">
        <v>21092</v>
      </c>
      <c r="N1167">
        <v>31638</v>
      </c>
      <c r="O1167">
        <v>10546</v>
      </c>
      <c r="P1167">
        <v>-42184</v>
      </c>
      <c r="Q1167">
        <v>-26365</v>
      </c>
      <c r="R1167">
        <v>114534</v>
      </c>
      <c r="S1167">
        <v>34360</v>
      </c>
      <c r="T1167">
        <v>11453</v>
      </c>
      <c r="U1167">
        <v>5273</v>
      </c>
      <c r="V1167">
        <v>3163</v>
      </c>
      <c r="W1167">
        <v>2109</v>
      </c>
      <c r="X1167">
        <v>10546</v>
      </c>
      <c r="Y1167">
        <v>5273</v>
      </c>
      <c r="Z1167">
        <v>5726</v>
      </c>
      <c r="AA1167">
        <v>3436</v>
      </c>
      <c r="AB1167">
        <v>2290</v>
      </c>
    </row>
    <row r="1168" spans="1:28" x14ac:dyDescent="0.35">
      <c r="A1168" t="s">
        <v>1213</v>
      </c>
      <c r="B1168" t="s">
        <v>9</v>
      </c>
      <c r="C1168" t="s">
        <v>1</v>
      </c>
      <c r="D1168" t="s">
        <v>10</v>
      </c>
      <c r="E1168" t="s">
        <v>11</v>
      </c>
      <c r="F1168">
        <v>192571</v>
      </c>
      <c r="G1168">
        <v>-56945</v>
      </c>
      <c r="H1168">
        <v>33836</v>
      </c>
      <c r="I1168">
        <v>192571</v>
      </c>
      <c r="J1168">
        <v>19257</v>
      </c>
      <c r="K1168">
        <v>9628</v>
      </c>
      <c r="L1168">
        <v>134815</v>
      </c>
      <c r="M1168">
        <v>26963</v>
      </c>
      <c r="N1168">
        <v>40444</v>
      </c>
      <c r="O1168">
        <v>13481</v>
      </c>
      <c r="P1168">
        <v>-53926</v>
      </c>
      <c r="Q1168">
        <v>-33703</v>
      </c>
      <c r="R1168">
        <v>115542</v>
      </c>
      <c r="S1168">
        <v>34662</v>
      </c>
      <c r="T1168">
        <v>11554</v>
      </c>
      <c r="U1168">
        <v>6740</v>
      </c>
      <c r="V1168">
        <v>4044</v>
      </c>
      <c r="W1168">
        <v>2696</v>
      </c>
      <c r="X1168">
        <v>13481</v>
      </c>
      <c r="Y1168">
        <v>6740</v>
      </c>
      <c r="Z1168">
        <v>5777</v>
      </c>
      <c r="AA1168">
        <v>3466</v>
      </c>
      <c r="AB1168">
        <v>2310</v>
      </c>
    </row>
    <row r="1169" spans="1:28" x14ac:dyDescent="0.35">
      <c r="A1169" t="s">
        <v>1214</v>
      </c>
      <c r="B1169" t="s">
        <v>9</v>
      </c>
      <c r="C1169" t="s">
        <v>1</v>
      </c>
      <c r="D1169" t="s">
        <v>10</v>
      </c>
      <c r="E1169" t="s">
        <v>11</v>
      </c>
      <c r="F1169">
        <v>193940</v>
      </c>
      <c r="G1169">
        <v>-114992</v>
      </c>
      <c r="H1169">
        <v>79338</v>
      </c>
      <c r="I1169">
        <v>193940</v>
      </c>
      <c r="J1169">
        <v>19394</v>
      </c>
      <c r="K1169">
        <v>9697</v>
      </c>
      <c r="L1169">
        <v>130507</v>
      </c>
      <c r="M1169">
        <v>26101</v>
      </c>
      <c r="N1169">
        <v>39152</v>
      </c>
      <c r="O1169">
        <v>13050</v>
      </c>
      <c r="P1169">
        <v>-52202</v>
      </c>
      <c r="Q1169">
        <v>-32626</v>
      </c>
      <c r="R1169">
        <v>133675</v>
      </c>
      <c r="S1169">
        <v>40102</v>
      </c>
      <c r="T1169">
        <v>13367</v>
      </c>
      <c r="U1169">
        <v>6525</v>
      </c>
      <c r="V1169">
        <v>3915</v>
      </c>
      <c r="W1169">
        <v>2610</v>
      </c>
      <c r="X1169">
        <v>13050</v>
      </c>
      <c r="Y1169">
        <v>6525</v>
      </c>
      <c r="Z1169">
        <v>6683</v>
      </c>
      <c r="AA1169">
        <v>4010</v>
      </c>
      <c r="AB1169">
        <v>2673</v>
      </c>
    </row>
    <row r="1170" spans="1:28" x14ac:dyDescent="0.35">
      <c r="A1170" t="s">
        <v>1215</v>
      </c>
      <c r="B1170" t="s">
        <v>9</v>
      </c>
      <c r="C1170" t="s">
        <v>1</v>
      </c>
      <c r="D1170" t="s">
        <v>10</v>
      </c>
      <c r="E1170" t="s">
        <v>11</v>
      </c>
      <c r="F1170">
        <v>111322</v>
      </c>
      <c r="G1170">
        <v>-43109</v>
      </c>
      <c r="H1170">
        <v>23230</v>
      </c>
      <c r="I1170">
        <v>111322</v>
      </c>
      <c r="J1170">
        <v>11132</v>
      </c>
      <c r="K1170">
        <v>5566</v>
      </c>
      <c r="L1170">
        <v>55322</v>
      </c>
      <c r="M1170">
        <v>11064</v>
      </c>
      <c r="N1170">
        <v>16596</v>
      </c>
      <c r="O1170">
        <v>5532</v>
      </c>
      <c r="P1170">
        <v>-22128</v>
      </c>
      <c r="Q1170">
        <v>-13830</v>
      </c>
      <c r="R1170">
        <v>64396</v>
      </c>
      <c r="S1170">
        <v>19318</v>
      </c>
      <c r="T1170">
        <v>6439</v>
      </c>
      <c r="U1170">
        <v>2766</v>
      </c>
      <c r="V1170">
        <v>1659</v>
      </c>
      <c r="W1170">
        <v>1106</v>
      </c>
      <c r="X1170">
        <v>5532</v>
      </c>
      <c r="Y1170">
        <v>2766</v>
      </c>
      <c r="Z1170">
        <v>3219</v>
      </c>
      <c r="AA1170">
        <v>1931</v>
      </c>
      <c r="AB1170">
        <v>1287</v>
      </c>
    </row>
    <row r="1171" spans="1:28" x14ac:dyDescent="0.35">
      <c r="A1171" t="s">
        <v>1216</v>
      </c>
      <c r="B1171" t="s">
        <v>9</v>
      </c>
      <c r="C1171" t="s">
        <v>1</v>
      </c>
      <c r="D1171" t="s">
        <v>10</v>
      </c>
      <c r="E1171" t="s">
        <v>11</v>
      </c>
      <c r="F1171">
        <v>56548</v>
      </c>
      <c r="G1171">
        <v>-33174</v>
      </c>
      <c r="H1171">
        <v>11233</v>
      </c>
      <c r="I1171">
        <v>56548</v>
      </c>
      <c r="J1171">
        <v>5654</v>
      </c>
      <c r="K1171">
        <v>2827</v>
      </c>
      <c r="L1171">
        <v>39428</v>
      </c>
      <c r="M1171">
        <v>7885</v>
      </c>
      <c r="N1171">
        <v>11828</v>
      </c>
      <c r="O1171">
        <v>3942</v>
      </c>
      <c r="P1171">
        <v>-15771</v>
      </c>
      <c r="Q1171">
        <v>-9857</v>
      </c>
      <c r="R1171">
        <v>46896</v>
      </c>
      <c r="S1171">
        <v>14068</v>
      </c>
      <c r="T1171">
        <v>4689</v>
      </c>
      <c r="U1171">
        <v>1971</v>
      </c>
      <c r="V1171">
        <v>1182</v>
      </c>
      <c r="W1171">
        <v>788</v>
      </c>
      <c r="X1171">
        <v>3942</v>
      </c>
      <c r="Y1171">
        <v>1971</v>
      </c>
      <c r="Z1171">
        <v>2344</v>
      </c>
      <c r="AA1171">
        <v>1406</v>
      </c>
      <c r="AB1171">
        <v>937</v>
      </c>
    </row>
    <row r="1172" spans="1:28" x14ac:dyDescent="0.35">
      <c r="A1172" t="s">
        <v>1217</v>
      </c>
      <c r="B1172" t="s">
        <v>9</v>
      </c>
      <c r="C1172" t="s">
        <v>1</v>
      </c>
      <c r="D1172" t="s">
        <v>10</v>
      </c>
      <c r="E1172" t="s">
        <v>11</v>
      </c>
      <c r="F1172">
        <v>381345</v>
      </c>
      <c r="G1172">
        <v>-168825</v>
      </c>
      <c r="H1172">
        <v>38971</v>
      </c>
      <c r="I1172">
        <v>381345</v>
      </c>
      <c r="J1172">
        <v>38134</v>
      </c>
      <c r="K1172">
        <v>19067</v>
      </c>
      <c r="L1172">
        <v>261970</v>
      </c>
      <c r="M1172">
        <v>52394</v>
      </c>
      <c r="N1172">
        <v>78591</v>
      </c>
      <c r="O1172">
        <v>26197</v>
      </c>
      <c r="P1172">
        <v>-104788</v>
      </c>
      <c r="Q1172">
        <v>-65492</v>
      </c>
      <c r="R1172">
        <v>222317</v>
      </c>
      <c r="S1172">
        <v>66695</v>
      </c>
      <c r="T1172">
        <v>22231</v>
      </c>
      <c r="U1172">
        <v>13098</v>
      </c>
      <c r="V1172">
        <v>7859</v>
      </c>
      <c r="W1172">
        <v>5239</v>
      </c>
      <c r="X1172">
        <v>26197</v>
      </c>
      <c r="Y1172">
        <v>13098</v>
      </c>
      <c r="Z1172">
        <v>11115</v>
      </c>
      <c r="AA1172">
        <v>6669</v>
      </c>
      <c r="AB1172">
        <v>4446</v>
      </c>
    </row>
    <row r="1173" spans="1:28" x14ac:dyDescent="0.35">
      <c r="A1173" t="s">
        <v>1218</v>
      </c>
      <c r="B1173" t="s">
        <v>9</v>
      </c>
      <c r="C1173" t="s">
        <v>1</v>
      </c>
      <c r="D1173" t="s">
        <v>10</v>
      </c>
      <c r="E1173" t="s">
        <v>11</v>
      </c>
      <c r="F1173">
        <v>497698</v>
      </c>
      <c r="G1173">
        <v>-210832</v>
      </c>
      <c r="H1173">
        <v>209978</v>
      </c>
      <c r="I1173">
        <v>497698</v>
      </c>
      <c r="J1173">
        <v>49769</v>
      </c>
      <c r="K1173">
        <v>24884</v>
      </c>
      <c r="L1173">
        <v>212908</v>
      </c>
      <c r="M1173">
        <v>42581</v>
      </c>
      <c r="N1173">
        <v>63872</v>
      </c>
      <c r="O1173">
        <v>21290</v>
      </c>
      <c r="P1173">
        <v>-85163</v>
      </c>
      <c r="Q1173">
        <v>-53227</v>
      </c>
      <c r="R1173">
        <v>241315</v>
      </c>
      <c r="S1173">
        <v>72394</v>
      </c>
      <c r="T1173">
        <v>24131</v>
      </c>
      <c r="U1173">
        <v>10645</v>
      </c>
      <c r="V1173">
        <v>6387</v>
      </c>
      <c r="W1173">
        <v>4258</v>
      </c>
      <c r="X1173">
        <v>21290</v>
      </c>
      <c r="Y1173">
        <v>10645</v>
      </c>
      <c r="Z1173">
        <v>12065</v>
      </c>
      <c r="AA1173">
        <v>7239</v>
      </c>
      <c r="AB1173">
        <v>4826</v>
      </c>
    </row>
    <row r="1174" spans="1:28" x14ac:dyDescent="0.35">
      <c r="A1174" t="s">
        <v>1219</v>
      </c>
      <c r="B1174" t="s">
        <v>9</v>
      </c>
      <c r="C1174" t="s">
        <v>1</v>
      </c>
      <c r="D1174" t="s">
        <v>10</v>
      </c>
      <c r="E1174" t="s">
        <v>11</v>
      </c>
      <c r="F1174">
        <v>59612</v>
      </c>
      <c r="G1174">
        <v>-31959</v>
      </c>
      <c r="H1174">
        <v>7351</v>
      </c>
      <c r="I1174">
        <v>59612</v>
      </c>
      <c r="J1174">
        <v>5961</v>
      </c>
      <c r="K1174">
        <v>2980</v>
      </c>
      <c r="L1174">
        <v>26154</v>
      </c>
      <c r="M1174">
        <v>5230</v>
      </c>
      <c r="N1174">
        <v>7846</v>
      </c>
      <c r="O1174">
        <v>2615</v>
      </c>
      <c r="P1174">
        <v>-10461</v>
      </c>
      <c r="Q1174">
        <v>-6538</v>
      </c>
      <c r="R1174">
        <v>30729</v>
      </c>
      <c r="S1174">
        <v>9218</v>
      </c>
      <c r="T1174">
        <v>3072</v>
      </c>
      <c r="U1174">
        <v>1307</v>
      </c>
      <c r="V1174">
        <v>784</v>
      </c>
      <c r="W1174">
        <v>523</v>
      </c>
      <c r="X1174">
        <v>2615</v>
      </c>
      <c r="Y1174">
        <v>1307</v>
      </c>
      <c r="Z1174">
        <v>1536</v>
      </c>
      <c r="AA1174">
        <v>921</v>
      </c>
      <c r="AB1174">
        <v>614</v>
      </c>
    </row>
    <row r="1175" spans="1:28" x14ac:dyDescent="0.35">
      <c r="A1175" t="s">
        <v>1220</v>
      </c>
      <c r="B1175" t="s">
        <v>9</v>
      </c>
      <c r="C1175" t="s">
        <v>1</v>
      </c>
      <c r="D1175" t="s">
        <v>10</v>
      </c>
      <c r="E1175" t="s">
        <v>11</v>
      </c>
      <c r="F1175">
        <v>326955</v>
      </c>
      <c r="G1175">
        <v>-144087</v>
      </c>
      <c r="H1175">
        <v>51714</v>
      </c>
      <c r="I1175">
        <v>326955</v>
      </c>
      <c r="J1175">
        <v>32695</v>
      </c>
      <c r="K1175">
        <v>16347</v>
      </c>
      <c r="L1175">
        <v>232945</v>
      </c>
      <c r="M1175">
        <v>46589</v>
      </c>
      <c r="N1175">
        <v>69883</v>
      </c>
      <c r="O1175">
        <v>23294</v>
      </c>
      <c r="P1175">
        <v>-93178</v>
      </c>
      <c r="Q1175">
        <v>-58236</v>
      </c>
      <c r="R1175">
        <v>198974</v>
      </c>
      <c r="S1175">
        <v>59692</v>
      </c>
      <c r="T1175">
        <v>19897</v>
      </c>
      <c r="U1175">
        <v>11647</v>
      </c>
      <c r="V1175">
        <v>6988</v>
      </c>
      <c r="W1175">
        <v>4658</v>
      </c>
      <c r="X1175">
        <v>23294</v>
      </c>
      <c r="Y1175">
        <v>11647</v>
      </c>
      <c r="Z1175">
        <v>9948</v>
      </c>
      <c r="AA1175">
        <v>5969</v>
      </c>
      <c r="AB1175">
        <v>3979</v>
      </c>
    </row>
    <row r="1176" spans="1:28" x14ac:dyDescent="0.35">
      <c r="A1176" t="s">
        <v>1221</v>
      </c>
      <c r="B1176" t="s">
        <v>9</v>
      </c>
      <c r="C1176" t="s">
        <v>1</v>
      </c>
      <c r="D1176" t="s">
        <v>10</v>
      </c>
      <c r="E1176" t="s">
        <v>11</v>
      </c>
      <c r="F1176">
        <v>159796</v>
      </c>
      <c r="G1176">
        <v>-69611</v>
      </c>
      <c r="H1176">
        <v>23146</v>
      </c>
      <c r="I1176">
        <v>159796</v>
      </c>
      <c r="J1176">
        <v>15979</v>
      </c>
      <c r="K1176">
        <v>7989</v>
      </c>
      <c r="L1176">
        <v>56720</v>
      </c>
      <c r="M1176">
        <v>11344</v>
      </c>
      <c r="N1176">
        <v>17016</v>
      </c>
      <c r="O1176">
        <v>5672</v>
      </c>
      <c r="P1176">
        <v>-22688</v>
      </c>
      <c r="Q1176">
        <v>-14180</v>
      </c>
      <c r="R1176">
        <v>56283</v>
      </c>
      <c r="S1176">
        <v>16884</v>
      </c>
      <c r="T1176">
        <v>5628</v>
      </c>
      <c r="U1176">
        <v>2836</v>
      </c>
      <c r="V1176">
        <v>1701</v>
      </c>
      <c r="W1176">
        <v>1134</v>
      </c>
      <c r="X1176">
        <v>5672</v>
      </c>
      <c r="Y1176">
        <v>2836</v>
      </c>
      <c r="Z1176">
        <v>2814</v>
      </c>
      <c r="AA1176">
        <v>1688</v>
      </c>
      <c r="AB1176">
        <v>1125</v>
      </c>
    </row>
    <row r="1177" spans="1:28" x14ac:dyDescent="0.35">
      <c r="A1177" t="s">
        <v>1222</v>
      </c>
      <c r="B1177" t="s">
        <v>9</v>
      </c>
      <c r="C1177" t="s">
        <v>1</v>
      </c>
      <c r="D1177" t="s">
        <v>10</v>
      </c>
      <c r="E1177" t="s">
        <v>11</v>
      </c>
      <c r="F1177">
        <v>262145</v>
      </c>
      <c r="G1177">
        <v>-154786</v>
      </c>
      <c r="H1177">
        <v>52942</v>
      </c>
      <c r="I1177">
        <v>262145</v>
      </c>
      <c r="J1177">
        <v>26214</v>
      </c>
      <c r="K1177">
        <v>13107</v>
      </c>
      <c r="L1177">
        <v>120853</v>
      </c>
      <c r="M1177">
        <v>24170</v>
      </c>
      <c r="N1177">
        <v>36255</v>
      </c>
      <c r="O1177">
        <v>12085</v>
      </c>
      <c r="P1177">
        <v>-48341</v>
      </c>
      <c r="Q1177">
        <v>-30213</v>
      </c>
      <c r="R1177">
        <v>141185</v>
      </c>
      <c r="S1177">
        <v>42355</v>
      </c>
      <c r="T1177">
        <v>14118</v>
      </c>
      <c r="U1177">
        <v>6042</v>
      </c>
      <c r="V1177">
        <v>3625</v>
      </c>
      <c r="W1177">
        <v>2417</v>
      </c>
      <c r="X1177">
        <v>12085</v>
      </c>
      <c r="Y1177">
        <v>6042</v>
      </c>
      <c r="Z1177">
        <v>7059</v>
      </c>
      <c r="AA1177">
        <v>4235</v>
      </c>
      <c r="AB1177">
        <v>2823</v>
      </c>
    </row>
    <row r="1178" spans="1:28" x14ac:dyDescent="0.35">
      <c r="A1178" t="s">
        <v>1223</v>
      </c>
      <c r="B1178" t="s">
        <v>9</v>
      </c>
      <c r="C1178" t="s">
        <v>1</v>
      </c>
      <c r="D1178" t="s">
        <v>10</v>
      </c>
      <c r="E1178" t="s">
        <v>11</v>
      </c>
      <c r="F1178">
        <v>286470</v>
      </c>
      <c r="G1178">
        <v>-110202</v>
      </c>
      <c r="H1178">
        <v>129185</v>
      </c>
      <c r="I1178">
        <v>286470</v>
      </c>
      <c r="J1178">
        <v>28647</v>
      </c>
      <c r="K1178">
        <v>14323</v>
      </c>
      <c r="L1178">
        <v>140590</v>
      </c>
      <c r="M1178">
        <v>28118</v>
      </c>
      <c r="N1178">
        <v>42177</v>
      </c>
      <c r="O1178">
        <v>14059</v>
      </c>
      <c r="P1178">
        <v>-56236</v>
      </c>
      <c r="Q1178">
        <v>-35147</v>
      </c>
      <c r="R1178">
        <v>133966</v>
      </c>
      <c r="S1178">
        <v>40189</v>
      </c>
      <c r="T1178">
        <v>13396</v>
      </c>
      <c r="U1178">
        <v>7029</v>
      </c>
      <c r="V1178">
        <v>4217</v>
      </c>
      <c r="W1178">
        <v>2811</v>
      </c>
      <c r="X1178">
        <v>14059</v>
      </c>
      <c r="Y1178">
        <v>7029</v>
      </c>
      <c r="Z1178">
        <v>6698</v>
      </c>
      <c r="AA1178">
        <v>4018</v>
      </c>
      <c r="AB1178">
        <v>2679</v>
      </c>
    </row>
    <row r="1179" spans="1:28" x14ac:dyDescent="0.35">
      <c r="A1179" t="s">
        <v>1224</v>
      </c>
      <c r="B1179" t="s">
        <v>9</v>
      </c>
      <c r="C1179" t="s">
        <v>1</v>
      </c>
      <c r="D1179" t="s">
        <v>10</v>
      </c>
      <c r="E1179" t="s">
        <v>11</v>
      </c>
      <c r="F1179">
        <v>240869</v>
      </c>
      <c r="G1179">
        <v>-69187</v>
      </c>
      <c r="H1179">
        <v>69364</v>
      </c>
      <c r="I1179">
        <v>240869</v>
      </c>
      <c r="J1179">
        <v>24086</v>
      </c>
      <c r="K1179">
        <v>12043</v>
      </c>
      <c r="L1179">
        <v>65340</v>
      </c>
      <c r="M1179">
        <v>13068</v>
      </c>
      <c r="N1179">
        <v>19602</v>
      </c>
      <c r="O1179">
        <v>6534</v>
      </c>
      <c r="P1179">
        <v>-26136</v>
      </c>
      <c r="Q1179">
        <v>-16335</v>
      </c>
      <c r="R1179">
        <v>59287</v>
      </c>
      <c r="S1179">
        <v>17786</v>
      </c>
      <c r="T1179">
        <v>5928</v>
      </c>
      <c r="U1179">
        <v>3267</v>
      </c>
      <c r="V1179">
        <v>1960</v>
      </c>
      <c r="W1179">
        <v>1306</v>
      </c>
      <c r="X1179">
        <v>6534</v>
      </c>
      <c r="Y1179">
        <v>3267</v>
      </c>
      <c r="Z1179">
        <v>2964</v>
      </c>
      <c r="AA1179">
        <v>1778</v>
      </c>
      <c r="AB1179">
        <v>1185</v>
      </c>
    </row>
    <row r="1180" spans="1:28" x14ac:dyDescent="0.35">
      <c r="A1180" t="s">
        <v>1225</v>
      </c>
      <c r="B1180" t="s">
        <v>9</v>
      </c>
      <c r="C1180" t="s">
        <v>1</v>
      </c>
      <c r="D1180" t="s">
        <v>10</v>
      </c>
      <c r="E1180" t="s">
        <v>11</v>
      </c>
      <c r="F1180">
        <v>343940</v>
      </c>
      <c r="G1180">
        <v>-76385</v>
      </c>
      <c r="H1180">
        <v>71933</v>
      </c>
      <c r="I1180">
        <v>343940</v>
      </c>
      <c r="J1180">
        <v>34394</v>
      </c>
      <c r="K1180">
        <v>17197</v>
      </c>
      <c r="L1180">
        <v>92568</v>
      </c>
      <c r="M1180">
        <v>18513</v>
      </c>
      <c r="N1180">
        <v>27770</v>
      </c>
      <c r="O1180">
        <v>9256</v>
      </c>
      <c r="P1180">
        <v>-37027</v>
      </c>
      <c r="Q1180">
        <v>-23142</v>
      </c>
      <c r="R1180">
        <v>88080</v>
      </c>
      <c r="S1180">
        <v>26424</v>
      </c>
      <c r="T1180">
        <v>8808</v>
      </c>
      <c r="U1180">
        <v>4628</v>
      </c>
      <c r="V1180">
        <v>2777</v>
      </c>
      <c r="W1180">
        <v>1851</v>
      </c>
      <c r="X1180">
        <v>9256</v>
      </c>
      <c r="Y1180">
        <v>4628</v>
      </c>
      <c r="Z1180">
        <v>4404</v>
      </c>
      <c r="AA1180">
        <v>2642</v>
      </c>
      <c r="AB1180">
        <v>1761</v>
      </c>
    </row>
    <row r="1181" spans="1:28" x14ac:dyDescent="0.35">
      <c r="A1181" t="s">
        <v>1226</v>
      </c>
      <c r="B1181" t="s">
        <v>9</v>
      </c>
      <c r="C1181" t="s">
        <v>1</v>
      </c>
      <c r="D1181" t="s">
        <v>10</v>
      </c>
      <c r="E1181" t="s">
        <v>11</v>
      </c>
      <c r="F1181">
        <v>474509</v>
      </c>
      <c r="G1181">
        <v>-129694</v>
      </c>
      <c r="H1181">
        <v>168912</v>
      </c>
      <c r="I1181">
        <v>474509</v>
      </c>
      <c r="J1181">
        <v>47450</v>
      </c>
      <c r="K1181">
        <v>23725</v>
      </c>
      <c r="L1181">
        <v>183702</v>
      </c>
      <c r="M1181">
        <v>36740</v>
      </c>
      <c r="N1181">
        <v>55110</v>
      </c>
      <c r="O1181">
        <v>18370</v>
      </c>
      <c r="P1181">
        <v>-73480</v>
      </c>
      <c r="Q1181">
        <v>-45925</v>
      </c>
      <c r="R1181">
        <v>198322</v>
      </c>
      <c r="S1181">
        <v>59496</v>
      </c>
      <c r="T1181">
        <v>19832</v>
      </c>
      <c r="U1181">
        <v>9185</v>
      </c>
      <c r="V1181">
        <v>5511</v>
      </c>
      <c r="W1181">
        <v>3674</v>
      </c>
      <c r="X1181">
        <v>18370</v>
      </c>
      <c r="Y1181">
        <v>9185</v>
      </c>
      <c r="Z1181">
        <v>9916</v>
      </c>
      <c r="AA1181">
        <v>5949</v>
      </c>
      <c r="AB1181">
        <v>3966</v>
      </c>
    </row>
    <row r="1182" spans="1:28" x14ac:dyDescent="0.35">
      <c r="A1182" t="s">
        <v>1227</v>
      </c>
      <c r="B1182" t="s">
        <v>9</v>
      </c>
      <c r="C1182" t="s">
        <v>1</v>
      </c>
      <c r="D1182" t="s">
        <v>10</v>
      </c>
      <c r="E1182" t="s">
        <v>11</v>
      </c>
      <c r="F1182">
        <v>329884</v>
      </c>
      <c r="G1182">
        <v>-99493</v>
      </c>
      <c r="H1182">
        <v>91626</v>
      </c>
      <c r="I1182">
        <v>329884</v>
      </c>
      <c r="J1182">
        <v>32988</v>
      </c>
      <c r="K1182">
        <v>16494</v>
      </c>
      <c r="L1182">
        <v>156017</v>
      </c>
      <c r="M1182">
        <v>31203</v>
      </c>
      <c r="N1182">
        <v>46805</v>
      </c>
      <c r="O1182">
        <v>15601</v>
      </c>
      <c r="P1182">
        <v>-62406</v>
      </c>
      <c r="Q1182">
        <v>-39004</v>
      </c>
      <c r="R1182">
        <v>140003</v>
      </c>
      <c r="S1182">
        <v>42000</v>
      </c>
      <c r="T1182">
        <v>14000</v>
      </c>
      <c r="U1182">
        <v>7800</v>
      </c>
      <c r="V1182">
        <v>4680</v>
      </c>
      <c r="W1182">
        <v>3120</v>
      </c>
      <c r="X1182">
        <v>15601</v>
      </c>
      <c r="Y1182">
        <v>7800</v>
      </c>
      <c r="Z1182">
        <v>7000</v>
      </c>
      <c r="AA1182">
        <v>4200</v>
      </c>
      <c r="AB1182">
        <v>2800</v>
      </c>
    </row>
    <row r="1183" spans="1:28" x14ac:dyDescent="0.35">
      <c r="A1183" t="s">
        <v>1228</v>
      </c>
      <c r="B1183" t="s">
        <v>9</v>
      </c>
      <c r="C1183" t="s">
        <v>1</v>
      </c>
      <c r="D1183" t="s">
        <v>10</v>
      </c>
      <c r="E1183" t="s">
        <v>11</v>
      </c>
      <c r="F1183">
        <v>478726</v>
      </c>
      <c r="G1183">
        <v>-220199</v>
      </c>
      <c r="H1183">
        <v>93364</v>
      </c>
      <c r="I1183">
        <v>478726</v>
      </c>
      <c r="J1183">
        <v>47872</v>
      </c>
      <c r="K1183">
        <v>23936</v>
      </c>
      <c r="L1183">
        <v>249243</v>
      </c>
      <c r="M1183">
        <v>49848</v>
      </c>
      <c r="N1183">
        <v>74772</v>
      </c>
      <c r="O1183">
        <v>24924</v>
      </c>
      <c r="P1183">
        <v>-99697</v>
      </c>
      <c r="Q1183">
        <v>-62310</v>
      </c>
      <c r="R1183">
        <v>264136</v>
      </c>
      <c r="S1183">
        <v>79240</v>
      </c>
      <c r="T1183">
        <v>26413</v>
      </c>
      <c r="U1183">
        <v>12462</v>
      </c>
      <c r="V1183">
        <v>7477</v>
      </c>
      <c r="W1183">
        <v>4984</v>
      </c>
      <c r="X1183">
        <v>24924</v>
      </c>
      <c r="Y1183">
        <v>12462</v>
      </c>
      <c r="Z1183">
        <v>13206</v>
      </c>
      <c r="AA1183">
        <v>7924</v>
      </c>
      <c r="AB1183">
        <v>5282</v>
      </c>
    </row>
    <row r="1184" spans="1:28" x14ac:dyDescent="0.35">
      <c r="A1184" t="s">
        <v>1229</v>
      </c>
      <c r="B1184" t="s">
        <v>9</v>
      </c>
      <c r="C1184" t="s">
        <v>1</v>
      </c>
      <c r="D1184" t="s">
        <v>10</v>
      </c>
      <c r="E1184" t="s">
        <v>11</v>
      </c>
      <c r="F1184">
        <v>230448</v>
      </c>
      <c r="G1184">
        <v>-83136</v>
      </c>
      <c r="H1184">
        <v>87337</v>
      </c>
      <c r="I1184">
        <v>230448</v>
      </c>
      <c r="J1184">
        <v>23044</v>
      </c>
      <c r="K1184">
        <v>11522</v>
      </c>
      <c r="L1184">
        <v>180346</v>
      </c>
      <c r="M1184">
        <v>36069</v>
      </c>
      <c r="N1184">
        <v>54103</v>
      </c>
      <c r="O1184">
        <v>18034</v>
      </c>
      <c r="P1184">
        <v>-72138</v>
      </c>
      <c r="Q1184">
        <v>-45086</v>
      </c>
      <c r="R1184">
        <v>156018</v>
      </c>
      <c r="S1184">
        <v>46805</v>
      </c>
      <c r="T1184">
        <v>15601</v>
      </c>
      <c r="U1184">
        <v>9017</v>
      </c>
      <c r="V1184">
        <v>5410</v>
      </c>
      <c r="W1184">
        <v>3606</v>
      </c>
      <c r="X1184">
        <v>18034</v>
      </c>
      <c r="Y1184">
        <v>9017</v>
      </c>
      <c r="Z1184">
        <v>7800</v>
      </c>
      <c r="AA1184">
        <v>4680</v>
      </c>
      <c r="AB1184">
        <v>3120</v>
      </c>
    </row>
    <row r="1185" spans="1:28" x14ac:dyDescent="0.35">
      <c r="A1185" t="s">
        <v>1230</v>
      </c>
      <c r="B1185" t="s">
        <v>9</v>
      </c>
      <c r="C1185" t="s">
        <v>1</v>
      </c>
      <c r="D1185" t="s">
        <v>10</v>
      </c>
      <c r="E1185" t="s">
        <v>11</v>
      </c>
      <c r="F1185">
        <v>60069</v>
      </c>
      <c r="G1185">
        <v>-16867</v>
      </c>
      <c r="H1185">
        <v>7744</v>
      </c>
      <c r="I1185">
        <v>60069</v>
      </c>
      <c r="J1185">
        <v>6006</v>
      </c>
      <c r="K1185">
        <v>3003</v>
      </c>
      <c r="L1185">
        <v>26025</v>
      </c>
      <c r="M1185">
        <v>5205</v>
      </c>
      <c r="N1185">
        <v>7807</v>
      </c>
      <c r="O1185">
        <v>2602</v>
      </c>
      <c r="P1185">
        <v>-10410</v>
      </c>
      <c r="Q1185">
        <v>-6506</v>
      </c>
      <c r="R1185">
        <v>24338</v>
      </c>
      <c r="S1185">
        <v>7301</v>
      </c>
      <c r="T1185">
        <v>2433</v>
      </c>
      <c r="U1185">
        <v>1301</v>
      </c>
      <c r="V1185">
        <v>780</v>
      </c>
      <c r="W1185">
        <v>520</v>
      </c>
      <c r="X1185">
        <v>2602</v>
      </c>
      <c r="Y1185">
        <v>1301</v>
      </c>
      <c r="Z1185">
        <v>1216</v>
      </c>
      <c r="AA1185">
        <v>730</v>
      </c>
      <c r="AB1185">
        <v>486</v>
      </c>
    </row>
    <row r="1186" spans="1:28" x14ac:dyDescent="0.35">
      <c r="A1186" t="s">
        <v>1231</v>
      </c>
      <c r="B1186" t="s">
        <v>9</v>
      </c>
      <c r="C1186" t="s">
        <v>1</v>
      </c>
      <c r="D1186" t="s">
        <v>10</v>
      </c>
      <c r="E1186" t="s">
        <v>11</v>
      </c>
      <c r="F1186">
        <v>493141</v>
      </c>
      <c r="G1186">
        <v>-241095</v>
      </c>
      <c r="H1186">
        <v>78348</v>
      </c>
      <c r="I1186">
        <v>493141</v>
      </c>
      <c r="J1186">
        <v>49314</v>
      </c>
      <c r="K1186">
        <v>24657</v>
      </c>
      <c r="L1186">
        <v>373800</v>
      </c>
      <c r="M1186">
        <v>74760</v>
      </c>
      <c r="N1186">
        <v>112140</v>
      </c>
      <c r="O1186">
        <v>37380</v>
      </c>
      <c r="P1186">
        <v>-149520</v>
      </c>
      <c r="Q1186">
        <v>-93450</v>
      </c>
      <c r="R1186">
        <v>441259</v>
      </c>
      <c r="S1186">
        <v>132377</v>
      </c>
      <c r="T1186">
        <v>44125</v>
      </c>
      <c r="U1186">
        <v>18690</v>
      </c>
      <c r="V1186">
        <v>11214</v>
      </c>
      <c r="W1186">
        <v>7476</v>
      </c>
      <c r="X1186">
        <v>37380</v>
      </c>
      <c r="Y1186">
        <v>18690</v>
      </c>
      <c r="Z1186">
        <v>22062</v>
      </c>
      <c r="AA1186">
        <v>13237</v>
      </c>
      <c r="AB1186">
        <v>8825</v>
      </c>
    </row>
    <row r="1187" spans="1:28" x14ac:dyDescent="0.35">
      <c r="A1187" t="s">
        <v>1232</v>
      </c>
      <c r="B1187" t="s">
        <v>9</v>
      </c>
      <c r="C1187" t="s">
        <v>1</v>
      </c>
      <c r="D1187" t="s">
        <v>10</v>
      </c>
      <c r="E1187" t="s">
        <v>11</v>
      </c>
      <c r="F1187">
        <v>482824</v>
      </c>
      <c r="G1187">
        <v>-202047</v>
      </c>
      <c r="H1187">
        <v>94220</v>
      </c>
      <c r="I1187">
        <v>482824</v>
      </c>
      <c r="J1187">
        <v>48282</v>
      </c>
      <c r="K1187">
        <v>24141</v>
      </c>
      <c r="L1187">
        <v>356212</v>
      </c>
      <c r="M1187">
        <v>71242</v>
      </c>
      <c r="N1187">
        <v>106863</v>
      </c>
      <c r="O1187">
        <v>35621</v>
      </c>
      <c r="P1187">
        <v>-142484</v>
      </c>
      <c r="Q1187">
        <v>-89053</v>
      </c>
      <c r="R1187">
        <v>305779</v>
      </c>
      <c r="S1187">
        <v>91733</v>
      </c>
      <c r="T1187">
        <v>30577</v>
      </c>
      <c r="U1187">
        <v>17810</v>
      </c>
      <c r="V1187">
        <v>10686</v>
      </c>
      <c r="W1187">
        <v>7124</v>
      </c>
      <c r="X1187">
        <v>35621</v>
      </c>
      <c r="Y1187">
        <v>17810</v>
      </c>
      <c r="Z1187">
        <v>15288</v>
      </c>
      <c r="AA1187">
        <v>9173</v>
      </c>
      <c r="AB1187">
        <v>6115</v>
      </c>
    </row>
    <row r="1188" spans="1:28" x14ac:dyDescent="0.35">
      <c r="A1188" t="s">
        <v>1233</v>
      </c>
      <c r="B1188" t="s">
        <v>9</v>
      </c>
      <c r="C1188" t="s">
        <v>1</v>
      </c>
      <c r="D1188" t="s">
        <v>10</v>
      </c>
      <c r="E1188" t="s">
        <v>11</v>
      </c>
      <c r="F1188">
        <v>123733</v>
      </c>
      <c r="G1188">
        <v>-40206</v>
      </c>
      <c r="H1188">
        <v>51368</v>
      </c>
      <c r="I1188">
        <v>123733</v>
      </c>
      <c r="J1188">
        <v>12373</v>
      </c>
      <c r="K1188">
        <v>6186</v>
      </c>
      <c r="L1188">
        <v>40322</v>
      </c>
      <c r="M1188">
        <v>8064</v>
      </c>
      <c r="N1188">
        <v>12096</v>
      </c>
      <c r="O1188">
        <v>4032</v>
      </c>
      <c r="P1188">
        <v>-16128</v>
      </c>
      <c r="Q1188">
        <v>-10080</v>
      </c>
      <c r="R1188">
        <v>35252</v>
      </c>
      <c r="S1188">
        <v>10575</v>
      </c>
      <c r="T1188">
        <v>3525</v>
      </c>
      <c r="U1188">
        <v>2016</v>
      </c>
      <c r="V1188">
        <v>1209</v>
      </c>
      <c r="W1188">
        <v>806</v>
      </c>
      <c r="X1188">
        <v>4032</v>
      </c>
      <c r="Y1188">
        <v>2016</v>
      </c>
      <c r="Z1188">
        <v>1762</v>
      </c>
      <c r="AA1188">
        <v>1057</v>
      </c>
      <c r="AB1188">
        <v>705</v>
      </c>
    </row>
    <row r="1189" spans="1:28" x14ac:dyDescent="0.35">
      <c r="A1189" t="s">
        <v>1234</v>
      </c>
      <c r="B1189" t="s">
        <v>9</v>
      </c>
      <c r="C1189" t="s">
        <v>1</v>
      </c>
      <c r="D1189" t="s">
        <v>10</v>
      </c>
      <c r="E1189" t="s">
        <v>11</v>
      </c>
      <c r="F1189">
        <v>240666</v>
      </c>
      <c r="G1189">
        <v>-75811</v>
      </c>
      <c r="H1189">
        <v>57316</v>
      </c>
      <c r="I1189">
        <v>240666</v>
      </c>
      <c r="J1189">
        <v>24066</v>
      </c>
      <c r="K1189">
        <v>12033</v>
      </c>
      <c r="L1189">
        <v>80362</v>
      </c>
      <c r="M1189">
        <v>16072</v>
      </c>
      <c r="N1189">
        <v>24108</v>
      </c>
      <c r="O1189">
        <v>8036</v>
      </c>
      <c r="P1189">
        <v>-32144</v>
      </c>
      <c r="Q1189">
        <v>-20090</v>
      </c>
      <c r="R1189">
        <v>83673</v>
      </c>
      <c r="S1189">
        <v>25101</v>
      </c>
      <c r="T1189">
        <v>8367</v>
      </c>
      <c r="U1189">
        <v>4018</v>
      </c>
      <c r="V1189">
        <v>2410</v>
      </c>
      <c r="W1189">
        <v>1607</v>
      </c>
      <c r="X1189">
        <v>8036</v>
      </c>
      <c r="Y1189">
        <v>4018</v>
      </c>
      <c r="Z1189">
        <v>4183</v>
      </c>
      <c r="AA1189">
        <v>2510</v>
      </c>
      <c r="AB1189">
        <v>1673</v>
      </c>
    </row>
    <row r="1190" spans="1:28" x14ac:dyDescent="0.35">
      <c r="A1190" t="s">
        <v>1235</v>
      </c>
      <c r="B1190" t="s">
        <v>9</v>
      </c>
      <c r="C1190" t="s">
        <v>1</v>
      </c>
      <c r="D1190" t="s">
        <v>10</v>
      </c>
      <c r="E1190" t="s">
        <v>11</v>
      </c>
      <c r="F1190">
        <v>317784</v>
      </c>
      <c r="G1190">
        <v>-82012</v>
      </c>
      <c r="H1190">
        <v>89627</v>
      </c>
      <c r="I1190">
        <v>317784</v>
      </c>
      <c r="J1190">
        <v>31778</v>
      </c>
      <c r="K1190">
        <v>15889</v>
      </c>
      <c r="L1190">
        <v>232152</v>
      </c>
      <c r="M1190">
        <v>46430</v>
      </c>
      <c r="N1190">
        <v>69645</v>
      </c>
      <c r="O1190">
        <v>23215</v>
      </c>
      <c r="P1190">
        <v>-92860</v>
      </c>
      <c r="Q1190">
        <v>-58038</v>
      </c>
      <c r="R1190">
        <v>247678</v>
      </c>
      <c r="S1190">
        <v>74303</v>
      </c>
      <c r="T1190">
        <v>24767</v>
      </c>
      <c r="U1190">
        <v>11607</v>
      </c>
      <c r="V1190">
        <v>6964</v>
      </c>
      <c r="W1190">
        <v>4643</v>
      </c>
      <c r="X1190">
        <v>23215</v>
      </c>
      <c r="Y1190">
        <v>11607</v>
      </c>
      <c r="Z1190">
        <v>12383</v>
      </c>
      <c r="AA1190">
        <v>7430</v>
      </c>
      <c r="AB1190">
        <v>4953</v>
      </c>
    </row>
    <row r="1191" spans="1:28" x14ac:dyDescent="0.35">
      <c r="A1191" t="s">
        <v>1236</v>
      </c>
      <c r="B1191" t="s">
        <v>9</v>
      </c>
      <c r="C1191" t="s">
        <v>1</v>
      </c>
      <c r="D1191" t="s">
        <v>10</v>
      </c>
      <c r="E1191" t="s">
        <v>11</v>
      </c>
      <c r="F1191">
        <v>327951</v>
      </c>
      <c r="G1191">
        <v>-125862</v>
      </c>
      <c r="H1191">
        <v>130888</v>
      </c>
      <c r="I1191">
        <v>327951</v>
      </c>
      <c r="J1191">
        <v>32795</v>
      </c>
      <c r="K1191">
        <v>16397</v>
      </c>
      <c r="L1191">
        <v>130650</v>
      </c>
      <c r="M1191">
        <v>26130</v>
      </c>
      <c r="N1191">
        <v>39195</v>
      </c>
      <c r="O1191">
        <v>13065</v>
      </c>
      <c r="P1191">
        <v>-52260</v>
      </c>
      <c r="Q1191">
        <v>-32662</v>
      </c>
      <c r="R1191">
        <v>116587</v>
      </c>
      <c r="S1191">
        <v>34976</v>
      </c>
      <c r="T1191">
        <v>11658</v>
      </c>
      <c r="U1191">
        <v>6532</v>
      </c>
      <c r="V1191">
        <v>3919</v>
      </c>
      <c r="W1191">
        <v>2613</v>
      </c>
      <c r="X1191">
        <v>13065</v>
      </c>
      <c r="Y1191">
        <v>6532</v>
      </c>
      <c r="Z1191">
        <v>5829</v>
      </c>
      <c r="AA1191">
        <v>3497</v>
      </c>
      <c r="AB1191">
        <v>2331</v>
      </c>
    </row>
    <row r="1192" spans="1:28" x14ac:dyDescent="0.35">
      <c r="A1192" t="s">
        <v>1237</v>
      </c>
      <c r="B1192" t="s">
        <v>9</v>
      </c>
      <c r="C1192" t="s">
        <v>1</v>
      </c>
      <c r="D1192" t="s">
        <v>10</v>
      </c>
      <c r="E1192" t="s">
        <v>11</v>
      </c>
      <c r="F1192">
        <v>395710</v>
      </c>
      <c r="G1192">
        <v>-83239</v>
      </c>
      <c r="H1192">
        <v>75261</v>
      </c>
      <c r="I1192">
        <v>395710</v>
      </c>
      <c r="J1192">
        <v>39571</v>
      </c>
      <c r="K1192">
        <v>19785</v>
      </c>
      <c r="L1192">
        <v>217314</v>
      </c>
      <c r="M1192">
        <v>43462</v>
      </c>
      <c r="N1192">
        <v>65194</v>
      </c>
      <c r="O1192">
        <v>21731</v>
      </c>
      <c r="P1192">
        <v>-86925</v>
      </c>
      <c r="Q1192">
        <v>-54328</v>
      </c>
      <c r="R1192">
        <v>256396</v>
      </c>
      <c r="S1192">
        <v>76918</v>
      </c>
      <c r="T1192">
        <v>25639</v>
      </c>
      <c r="U1192">
        <v>10865</v>
      </c>
      <c r="V1192">
        <v>6519</v>
      </c>
      <c r="W1192">
        <v>4346</v>
      </c>
      <c r="X1192">
        <v>21731</v>
      </c>
      <c r="Y1192">
        <v>10865</v>
      </c>
      <c r="Z1192">
        <v>12819</v>
      </c>
      <c r="AA1192">
        <v>7691</v>
      </c>
      <c r="AB1192">
        <v>5127</v>
      </c>
    </row>
    <row r="1193" spans="1:28" x14ac:dyDescent="0.35">
      <c r="A1193" t="s">
        <v>1238</v>
      </c>
      <c r="B1193" t="s">
        <v>9</v>
      </c>
      <c r="C1193" t="s">
        <v>1</v>
      </c>
      <c r="D1193" t="s">
        <v>10</v>
      </c>
      <c r="E1193" t="s">
        <v>11</v>
      </c>
      <c r="F1193">
        <v>99771</v>
      </c>
      <c r="G1193">
        <v>-45733</v>
      </c>
      <c r="H1193">
        <v>48500</v>
      </c>
      <c r="I1193">
        <v>99771</v>
      </c>
      <c r="J1193">
        <v>9977</v>
      </c>
      <c r="K1193">
        <v>4988</v>
      </c>
      <c r="L1193">
        <v>60508</v>
      </c>
      <c r="M1193">
        <v>12101</v>
      </c>
      <c r="N1193">
        <v>18152</v>
      </c>
      <c r="O1193">
        <v>6050</v>
      </c>
      <c r="P1193">
        <v>-24203</v>
      </c>
      <c r="Q1193">
        <v>-15127</v>
      </c>
      <c r="R1193">
        <v>61514</v>
      </c>
      <c r="S1193">
        <v>18454</v>
      </c>
      <c r="T1193">
        <v>6151</v>
      </c>
      <c r="U1193">
        <v>3025</v>
      </c>
      <c r="V1193">
        <v>1815</v>
      </c>
      <c r="W1193">
        <v>1210</v>
      </c>
      <c r="X1193">
        <v>6050</v>
      </c>
      <c r="Y1193">
        <v>3025</v>
      </c>
      <c r="Z1193">
        <v>3075</v>
      </c>
      <c r="AA1193">
        <v>1845</v>
      </c>
      <c r="AB1193">
        <v>1230</v>
      </c>
    </row>
    <row r="1194" spans="1:28" x14ac:dyDescent="0.35">
      <c r="A1194" t="s">
        <v>1239</v>
      </c>
      <c r="B1194" t="s">
        <v>9</v>
      </c>
      <c r="C1194" t="s">
        <v>1</v>
      </c>
      <c r="D1194" t="s">
        <v>10</v>
      </c>
      <c r="E1194" t="s">
        <v>11</v>
      </c>
      <c r="F1194">
        <v>319458</v>
      </c>
      <c r="G1194">
        <v>-102560</v>
      </c>
      <c r="H1194">
        <v>102270</v>
      </c>
      <c r="I1194">
        <v>319458</v>
      </c>
      <c r="J1194">
        <v>31945</v>
      </c>
      <c r="K1194">
        <v>15972</v>
      </c>
      <c r="L1194">
        <v>69577</v>
      </c>
      <c r="M1194">
        <v>13915</v>
      </c>
      <c r="N1194">
        <v>20873</v>
      </c>
      <c r="O1194">
        <v>6957</v>
      </c>
      <c r="P1194">
        <v>-27830</v>
      </c>
      <c r="Q1194">
        <v>-17394</v>
      </c>
      <c r="R1194">
        <v>60633</v>
      </c>
      <c r="S1194">
        <v>18189</v>
      </c>
      <c r="T1194">
        <v>6063</v>
      </c>
      <c r="U1194">
        <v>3478</v>
      </c>
      <c r="V1194">
        <v>2087</v>
      </c>
      <c r="W1194">
        <v>1391</v>
      </c>
      <c r="X1194">
        <v>6957</v>
      </c>
      <c r="Y1194">
        <v>3478</v>
      </c>
      <c r="Z1194">
        <v>3031</v>
      </c>
      <c r="AA1194">
        <v>1818</v>
      </c>
      <c r="AB1194">
        <v>1212</v>
      </c>
    </row>
    <row r="1195" spans="1:28" x14ac:dyDescent="0.35">
      <c r="A1195" t="s">
        <v>1240</v>
      </c>
      <c r="B1195" t="s">
        <v>9</v>
      </c>
      <c r="C1195" t="s">
        <v>1</v>
      </c>
      <c r="D1195" t="s">
        <v>10</v>
      </c>
      <c r="E1195" t="s">
        <v>11</v>
      </c>
      <c r="F1195">
        <v>153351</v>
      </c>
      <c r="G1195">
        <v>-64384</v>
      </c>
      <c r="H1195">
        <v>71314</v>
      </c>
      <c r="I1195">
        <v>153351</v>
      </c>
      <c r="J1195">
        <v>15335</v>
      </c>
      <c r="K1195">
        <v>7667</v>
      </c>
      <c r="L1195">
        <v>111379</v>
      </c>
      <c r="M1195">
        <v>22275</v>
      </c>
      <c r="N1195">
        <v>33413</v>
      </c>
      <c r="O1195">
        <v>11137</v>
      </c>
      <c r="P1195">
        <v>-44551</v>
      </c>
      <c r="Q1195">
        <v>-27844</v>
      </c>
      <c r="R1195">
        <v>100310</v>
      </c>
      <c r="S1195">
        <v>30093</v>
      </c>
      <c r="T1195">
        <v>10031</v>
      </c>
      <c r="U1195">
        <v>5568</v>
      </c>
      <c r="V1195">
        <v>3341</v>
      </c>
      <c r="W1195">
        <v>2227</v>
      </c>
      <c r="X1195">
        <v>11137</v>
      </c>
      <c r="Y1195">
        <v>5568</v>
      </c>
      <c r="Z1195">
        <v>5015</v>
      </c>
      <c r="AA1195">
        <v>3009</v>
      </c>
      <c r="AB1195">
        <v>2006</v>
      </c>
    </row>
    <row r="1196" spans="1:28" x14ac:dyDescent="0.35">
      <c r="A1196" t="s">
        <v>1241</v>
      </c>
      <c r="B1196" t="s">
        <v>9</v>
      </c>
      <c r="C1196" t="s">
        <v>1</v>
      </c>
      <c r="D1196" t="s">
        <v>10</v>
      </c>
      <c r="E1196" t="s">
        <v>11</v>
      </c>
      <c r="F1196">
        <v>345652</v>
      </c>
      <c r="G1196">
        <v>-78414</v>
      </c>
      <c r="H1196">
        <v>121035</v>
      </c>
      <c r="I1196">
        <v>345652</v>
      </c>
      <c r="J1196">
        <v>34565</v>
      </c>
      <c r="K1196">
        <v>17282</v>
      </c>
      <c r="L1196">
        <v>242248</v>
      </c>
      <c r="M1196">
        <v>48449</v>
      </c>
      <c r="N1196">
        <v>72674</v>
      </c>
      <c r="O1196">
        <v>24224</v>
      </c>
      <c r="P1196">
        <v>-96899</v>
      </c>
      <c r="Q1196">
        <v>-60562</v>
      </c>
      <c r="R1196">
        <v>237670</v>
      </c>
      <c r="S1196">
        <v>71301</v>
      </c>
      <c r="T1196">
        <v>23767</v>
      </c>
      <c r="U1196">
        <v>12112</v>
      </c>
      <c r="V1196">
        <v>7267</v>
      </c>
      <c r="W1196">
        <v>4844</v>
      </c>
      <c r="X1196">
        <v>24224</v>
      </c>
      <c r="Y1196">
        <v>12112</v>
      </c>
      <c r="Z1196">
        <v>11883</v>
      </c>
      <c r="AA1196">
        <v>7130</v>
      </c>
      <c r="AB1196">
        <v>4753</v>
      </c>
    </row>
    <row r="1197" spans="1:28" x14ac:dyDescent="0.35">
      <c r="A1197" t="s">
        <v>1242</v>
      </c>
      <c r="B1197" t="s">
        <v>9</v>
      </c>
      <c r="C1197" t="s">
        <v>1</v>
      </c>
      <c r="D1197" t="s">
        <v>10</v>
      </c>
      <c r="E1197" t="s">
        <v>11</v>
      </c>
      <c r="F1197">
        <v>271965</v>
      </c>
      <c r="G1197">
        <v>-96667</v>
      </c>
      <c r="H1197">
        <v>35954</v>
      </c>
      <c r="I1197">
        <v>271965</v>
      </c>
      <c r="J1197">
        <v>27196</v>
      </c>
      <c r="K1197">
        <v>13598</v>
      </c>
      <c r="L1197">
        <v>199870</v>
      </c>
      <c r="M1197">
        <v>39974</v>
      </c>
      <c r="N1197">
        <v>59961</v>
      </c>
      <c r="O1197">
        <v>19987</v>
      </c>
      <c r="P1197">
        <v>-79948</v>
      </c>
      <c r="Q1197">
        <v>-49967</v>
      </c>
      <c r="R1197">
        <v>168293</v>
      </c>
      <c r="S1197">
        <v>50487</v>
      </c>
      <c r="T1197">
        <v>16829</v>
      </c>
      <c r="U1197">
        <v>9993</v>
      </c>
      <c r="V1197">
        <v>5996</v>
      </c>
      <c r="W1197">
        <v>3997</v>
      </c>
      <c r="X1197">
        <v>19987</v>
      </c>
      <c r="Y1197">
        <v>9993</v>
      </c>
      <c r="Z1197">
        <v>8414</v>
      </c>
      <c r="AA1197">
        <v>5048</v>
      </c>
      <c r="AB1197">
        <v>3365</v>
      </c>
    </row>
    <row r="1198" spans="1:28" x14ac:dyDescent="0.35">
      <c r="A1198" t="s">
        <v>1243</v>
      </c>
      <c r="B1198" t="s">
        <v>9</v>
      </c>
      <c r="C1198" t="s">
        <v>1</v>
      </c>
      <c r="D1198" t="s">
        <v>10</v>
      </c>
      <c r="E1198" t="s">
        <v>11</v>
      </c>
      <c r="F1198">
        <v>54505</v>
      </c>
      <c r="G1198">
        <v>-17423</v>
      </c>
      <c r="H1198">
        <v>16584</v>
      </c>
      <c r="I1198">
        <v>54505</v>
      </c>
      <c r="J1198">
        <v>5450</v>
      </c>
      <c r="K1198">
        <v>2725</v>
      </c>
      <c r="L1198">
        <v>25555</v>
      </c>
      <c r="M1198">
        <v>5111</v>
      </c>
      <c r="N1198">
        <v>7666</v>
      </c>
      <c r="O1198">
        <v>2555</v>
      </c>
      <c r="P1198">
        <v>-10222</v>
      </c>
      <c r="Q1198">
        <v>-6388</v>
      </c>
      <c r="R1198">
        <v>26721</v>
      </c>
      <c r="S1198">
        <v>8016</v>
      </c>
      <c r="T1198">
        <v>2672</v>
      </c>
      <c r="U1198">
        <v>1277</v>
      </c>
      <c r="V1198">
        <v>766</v>
      </c>
      <c r="W1198">
        <v>511</v>
      </c>
      <c r="X1198">
        <v>2555</v>
      </c>
      <c r="Y1198">
        <v>1277</v>
      </c>
      <c r="Z1198">
        <v>1336</v>
      </c>
      <c r="AA1198">
        <v>801</v>
      </c>
      <c r="AB1198">
        <v>534</v>
      </c>
    </row>
    <row r="1199" spans="1:28" x14ac:dyDescent="0.35">
      <c r="A1199" t="s">
        <v>1244</v>
      </c>
      <c r="B1199" t="s">
        <v>9</v>
      </c>
      <c r="C1199" t="s">
        <v>1</v>
      </c>
      <c r="D1199" t="s">
        <v>10</v>
      </c>
      <c r="E1199" t="s">
        <v>11</v>
      </c>
      <c r="F1199">
        <v>63701</v>
      </c>
      <c r="G1199">
        <v>-15026</v>
      </c>
      <c r="H1199">
        <v>12451</v>
      </c>
      <c r="I1199">
        <v>63701</v>
      </c>
      <c r="J1199">
        <v>6370</v>
      </c>
      <c r="K1199">
        <v>3185</v>
      </c>
      <c r="L1199">
        <v>49948</v>
      </c>
      <c r="M1199">
        <v>9989</v>
      </c>
      <c r="N1199">
        <v>14984</v>
      </c>
      <c r="O1199">
        <v>4994</v>
      </c>
      <c r="P1199">
        <v>-19979</v>
      </c>
      <c r="Q1199">
        <v>-12487</v>
      </c>
      <c r="R1199">
        <v>43192</v>
      </c>
      <c r="S1199">
        <v>12957</v>
      </c>
      <c r="T1199">
        <v>4319</v>
      </c>
      <c r="U1199">
        <v>2497</v>
      </c>
      <c r="V1199">
        <v>1498</v>
      </c>
      <c r="W1199">
        <v>998</v>
      </c>
      <c r="X1199">
        <v>4994</v>
      </c>
      <c r="Y1199">
        <v>2497</v>
      </c>
      <c r="Z1199">
        <v>2159</v>
      </c>
      <c r="AA1199">
        <v>1295</v>
      </c>
      <c r="AB1199">
        <v>863</v>
      </c>
    </row>
    <row r="1200" spans="1:28" x14ac:dyDescent="0.35">
      <c r="A1200" t="s">
        <v>1245</v>
      </c>
      <c r="B1200" t="s">
        <v>9</v>
      </c>
      <c r="C1200" t="s">
        <v>1</v>
      </c>
      <c r="D1200" t="s">
        <v>10</v>
      </c>
      <c r="E1200" t="s">
        <v>11</v>
      </c>
      <c r="F1200">
        <v>70704</v>
      </c>
      <c r="G1200">
        <v>-17856</v>
      </c>
      <c r="H1200">
        <v>29970</v>
      </c>
      <c r="I1200">
        <v>70704</v>
      </c>
      <c r="J1200">
        <v>7070</v>
      </c>
      <c r="K1200">
        <v>3535</v>
      </c>
      <c r="L1200">
        <v>42061</v>
      </c>
      <c r="M1200">
        <v>8412</v>
      </c>
      <c r="N1200">
        <v>12618</v>
      </c>
      <c r="O1200">
        <v>4206</v>
      </c>
      <c r="P1200">
        <v>-16824</v>
      </c>
      <c r="Q1200">
        <v>-10515</v>
      </c>
      <c r="R1200">
        <v>38615</v>
      </c>
      <c r="S1200">
        <v>11584</v>
      </c>
      <c r="T1200">
        <v>3861</v>
      </c>
      <c r="U1200">
        <v>2103</v>
      </c>
      <c r="V1200">
        <v>1261</v>
      </c>
      <c r="W1200">
        <v>841</v>
      </c>
      <c r="X1200">
        <v>4206</v>
      </c>
      <c r="Y1200">
        <v>2103</v>
      </c>
      <c r="Z1200">
        <v>1930</v>
      </c>
      <c r="AA1200">
        <v>1158</v>
      </c>
      <c r="AB1200">
        <v>772</v>
      </c>
    </row>
    <row r="1201" spans="1:28" x14ac:dyDescent="0.35">
      <c r="A1201" t="s">
        <v>1246</v>
      </c>
      <c r="B1201" t="s">
        <v>9</v>
      </c>
      <c r="C1201" t="s">
        <v>1</v>
      </c>
      <c r="D1201" t="s">
        <v>10</v>
      </c>
      <c r="E1201" t="s">
        <v>11</v>
      </c>
      <c r="F1201">
        <v>370160</v>
      </c>
      <c r="G1201">
        <v>-83585</v>
      </c>
      <c r="H1201">
        <v>143141</v>
      </c>
      <c r="I1201">
        <v>370160</v>
      </c>
      <c r="J1201">
        <v>37016</v>
      </c>
      <c r="K1201">
        <v>18508</v>
      </c>
      <c r="L1201">
        <v>262308</v>
      </c>
      <c r="M1201">
        <v>52461</v>
      </c>
      <c r="N1201">
        <v>78692</v>
      </c>
      <c r="O1201">
        <v>26230</v>
      </c>
      <c r="P1201">
        <v>-104923</v>
      </c>
      <c r="Q1201">
        <v>-65577</v>
      </c>
      <c r="R1201">
        <v>308284</v>
      </c>
      <c r="S1201">
        <v>92485</v>
      </c>
      <c r="T1201">
        <v>30828</v>
      </c>
      <c r="U1201">
        <v>13115</v>
      </c>
      <c r="V1201">
        <v>7869</v>
      </c>
      <c r="W1201">
        <v>5246</v>
      </c>
      <c r="X1201">
        <v>26230</v>
      </c>
      <c r="Y1201">
        <v>13115</v>
      </c>
      <c r="Z1201">
        <v>15414</v>
      </c>
      <c r="AA1201">
        <v>9248</v>
      </c>
      <c r="AB1201">
        <v>6165</v>
      </c>
    </row>
    <row r="1202" spans="1:28" x14ac:dyDescent="0.35">
      <c r="A1202" t="s">
        <v>1247</v>
      </c>
      <c r="B1202" t="s">
        <v>9</v>
      </c>
      <c r="C1202" t="s">
        <v>1</v>
      </c>
      <c r="D1202" t="s">
        <v>10</v>
      </c>
      <c r="E1202" t="s">
        <v>11</v>
      </c>
      <c r="F1202">
        <v>205006</v>
      </c>
      <c r="G1202">
        <v>-98829</v>
      </c>
      <c r="H1202">
        <v>76961</v>
      </c>
      <c r="I1202">
        <v>205006</v>
      </c>
      <c r="J1202">
        <v>20500</v>
      </c>
      <c r="K1202">
        <v>10250</v>
      </c>
      <c r="L1202">
        <v>74061</v>
      </c>
      <c r="M1202">
        <v>14812</v>
      </c>
      <c r="N1202">
        <v>22218</v>
      </c>
      <c r="O1202">
        <v>7406</v>
      </c>
      <c r="P1202">
        <v>-29624</v>
      </c>
      <c r="Q1202">
        <v>-18515</v>
      </c>
      <c r="R1202">
        <v>78850</v>
      </c>
      <c r="S1202">
        <v>23655</v>
      </c>
      <c r="T1202">
        <v>7885</v>
      </c>
      <c r="U1202">
        <v>3703</v>
      </c>
      <c r="V1202">
        <v>2221</v>
      </c>
      <c r="W1202">
        <v>1481</v>
      </c>
      <c r="X1202">
        <v>7406</v>
      </c>
      <c r="Y1202">
        <v>3703</v>
      </c>
      <c r="Z1202">
        <v>3942</v>
      </c>
      <c r="AA1202">
        <v>2365</v>
      </c>
      <c r="AB1202">
        <v>1577</v>
      </c>
    </row>
    <row r="1203" spans="1:28" x14ac:dyDescent="0.35">
      <c r="A1203" t="s">
        <v>1248</v>
      </c>
      <c r="B1203" t="s">
        <v>9</v>
      </c>
      <c r="C1203" t="s">
        <v>1</v>
      </c>
      <c r="D1203" t="s">
        <v>10</v>
      </c>
      <c r="E1203" t="s">
        <v>11</v>
      </c>
      <c r="F1203">
        <v>430779</v>
      </c>
      <c r="G1203">
        <v>-163069</v>
      </c>
      <c r="H1203">
        <v>128141</v>
      </c>
      <c r="I1203">
        <v>430779</v>
      </c>
      <c r="J1203">
        <v>43077</v>
      </c>
      <c r="K1203">
        <v>21538</v>
      </c>
      <c r="L1203">
        <v>165190</v>
      </c>
      <c r="M1203">
        <v>33038</v>
      </c>
      <c r="N1203">
        <v>49557</v>
      </c>
      <c r="O1203">
        <v>16519</v>
      </c>
      <c r="P1203">
        <v>-66076</v>
      </c>
      <c r="Q1203">
        <v>-41297</v>
      </c>
      <c r="R1203">
        <v>137846</v>
      </c>
      <c r="S1203">
        <v>41353</v>
      </c>
      <c r="T1203">
        <v>13784</v>
      </c>
      <c r="U1203">
        <v>8259</v>
      </c>
      <c r="V1203">
        <v>4955</v>
      </c>
      <c r="W1203">
        <v>3303</v>
      </c>
      <c r="X1203">
        <v>16519</v>
      </c>
      <c r="Y1203">
        <v>8259</v>
      </c>
      <c r="Z1203">
        <v>6892</v>
      </c>
      <c r="AA1203">
        <v>4135</v>
      </c>
      <c r="AB1203">
        <v>2756</v>
      </c>
    </row>
    <row r="1204" spans="1:28" x14ac:dyDescent="0.35">
      <c r="A1204" t="s">
        <v>1249</v>
      </c>
      <c r="B1204" t="s">
        <v>9</v>
      </c>
      <c r="C1204" t="s">
        <v>1</v>
      </c>
      <c r="D1204" t="s">
        <v>10</v>
      </c>
      <c r="E1204" t="s">
        <v>11</v>
      </c>
      <c r="F1204">
        <v>248072</v>
      </c>
      <c r="G1204">
        <v>-127649</v>
      </c>
      <c r="H1204">
        <v>33287</v>
      </c>
      <c r="I1204">
        <v>248072</v>
      </c>
      <c r="J1204">
        <v>24807</v>
      </c>
      <c r="K1204">
        <v>12403</v>
      </c>
      <c r="L1204">
        <v>132643</v>
      </c>
      <c r="M1204">
        <v>26528</v>
      </c>
      <c r="N1204">
        <v>39792</v>
      </c>
      <c r="O1204">
        <v>13264</v>
      </c>
      <c r="P1204">
        <v>-53057</v>
      </c>
      <c r="Q1204">
        <v>-33160</v>
      </c>
      <c r="R1204">
        <v>122938</v>
      </c>
      <c r="S1204">
        <v>36881</v>
      </c>
      <c r="T1204">
        <v>12293</v>
      </c>
      <c r="U1204">
        <v>6632</v>
      </c>
      <c r="V1204">
        <v>3979</v>
      </c>
      <c r="W1204">
        <v>2652</v>
      </c>
      <c r="X1204">
        <v>13264</v>
      </c>
      <c r="Y1204">
        <v>6632</v>
      </c>
      <c r="Z1204">
        <v>6146</v>
      </c>
      <c r="AA1204">
        <v>3688</v>
      </c>
      <c r="AB1204">
        <v>2458</v>
      </c>
    </row>
    <row r="1205" spans="1:28" x14ac:dyDescent="0.35">
      <c r="A1205" t="s">
        <v>1250</v>
      </c>
      <c r="B1205" t="s">
        <v>9</v>
      </c>
      <c r="C1205" t="s">
        <v>1</v>
      </c>
      <c r="D1205" t="s">
        <v>10</v>
      </c>
      <c r="E1205" t="s">
        <v>11</v>
      </c>
      <c r="F1205">
        <v>74612</v>
      </c>
      <c r="G1205">
        <v>-33424</v>
      </c>
      <c r="H1205">
        <v>11733</v>
      </c>
      <c r="I1205">
        <v>74612</v>
      </c>
      <c r="J1205">
        <v>7461</v>
      </c>
      <c r="K1205">
        <v>3730</v>
      </c>
      <c r="L1205">
        <v>19536</v>
      </c>
      <c r="M1205">
        <v>3907</v>
      </c>
      <c r="N1205">
        <v>5860</v>
      </c>
      <c r="O1205">
        <v>1953</v>
      </c>
      <c r="P1205">
        <v>-7814</v>
      </c>
      <c r="Q1205">
        <v>-4884</v>
      </c>
      <c r="R1205">
        <v>19565</v>
      </c>
      <c r="S1205">
        <v>5869</v>
      </c>
      <c r="T1205">
        <v>1956</v>
      </c>
      <c r="U1205">
        <v>976</v>
      </c>
      <c r="V1205">
        <v>586</v>
      </c>
      <c r="W1205">
        <v>390</v>
      </c>
      <c r="X1205">
        <v>1953</v>
      </c>
      <c r="Y1205">
        <v>976</v>
      </c>
      <c r="Z1205">
        <v>978</v>
      </c>
      <c r="AA1205">
        <v>586</v>
      </c>
      <c r="AB1205">
        <v>391</v>
      </c>
    </row>
    <row r="1206" spans="1:28" x14ac:dyDescent="0.35">
      <c r="A1206" t="s">
        <v>1251</v>
      </c>
      <c r="B1206" t="s">
        <v>9</v>
      </c>
      <c r="C1206" t="s">
        <v>1</v>
      </c>
      <c r="D1206" t="s">
        <v>10</v>
      </c>
      <c r="E1206" t="s">
        <v>11</v>
      </c>
      <c r="F1206">
        <v>334950</v>
      </c>
      <c r="G1206">
        <v>-154932</v>
      </c>
      <c r="H1206">
        <v>47095</v>
      </c>
      <c r="I1206">
        <v>334950</v>
      </c>
      <c r="J1206">
        <v>33495</v>
      </c>
      <c r="K1206">
        <v>16747</v>
      </c>
      <c r="L1206">
        <v>103330</v>
      </c>
      <c r="M1206">
        <v>20666</v>
      </c>
      <c r="N1206">
        <v>30999</v>
      </c>
      <c r="O1206">
        <v>10333</v>
      </c>
      <c r="P1206">
        <v>-41332</v>
      </c>
      <c r="Q1206">
        <v>-25832</v>
      </c>
      <c r="R1206">
        <v>82869</v>
      </c>
      <c r="S1206">
        <v>24860</v>
      </c>
      <c r="T1206">
        <v>8286</v>
      </c>
      <c r="U1206">
        <v>5166</v>
      </c>
      <c r="V1206">
        <v>3099</v>
      </c>
      <c r="W1206">
        <v>2066</v>
      </c>
      <c r="X1206">
        <v>10333</v>
      </c>
      <c r="Y1206">
        <v>5166</v>
      </c>
      <c r="Z1206">
        <v>4143</v>
      </c>
      <c r="AA1206">
        <v>2486</v>
      </c>
      <c r="AB1206">
        <v>1657</v>
      </c>
    </row>
    <row r="1207" spans="1:28" x14ac:dyDescent="0.35">
      <c r="A1207" t="s">
        <v>1252</v>
      </c>
      <c r="B1207" t="s">
        <v>9</v>
      </c>
      <c r="C1207" t="s">
        <v>1</v>
      </c>
      <c r="D1207" t="s">
        <v>10</v>
      </c>
      <c r="E1207" t="s">
        <v>11</v>
      </c>
      <c r="F1207">
        <v>491302</v>
      </c>
      <c r="G1207">
        <v>-138654</v>
      </c>
      <c r="H1207">
        <v>224850</v>
      </c>
      <c r="I1207">
        <v>491302</v>
      </c>
      <c r="J1207">
        <v>49130</v>
      </c>
      <c r="K1207">
        <v>24565</v>
      </c>
      <c r="L1207">
        <v>246520</v>
      </c>
      <c r="M1207">
        <v>49304</v>
      </c>
      <c r="N1207">
        <v>73956</v>
      </c>
      <c r="O1207">
        <v>24652</v>
      </c>
      <c r="P1207">
        <v>-98608</v>
      </c>
      <c r="Q1207">
        <v>-61630</v>
      </c>
      <c r="R1207">
        <v>254808</v>
      </c>
      <c r="S1207">
        <v>76442</v>
      </c>
      <c r="T1207">
        <v>25480</v>
      </c>
      <c r="U1207">
        <v>12326</v>
      </c>
      <c r="V1207">
        <v>7395</v>
      </c>
      <c r="W1207">
        <v>4930</v>
      </c>
      <c r="X1207">
        <v>24652</v>
      </c>
      <c r="Y1207">
        <v>12326</v>
      </c>
      <c r="Z1207">
        <v>12740</v>
      </c>
      <c r="AA1207">
        <v>7644</v>
      </c>
      <c r="AB1207">
        <v>5096</v>
      </c>
    </row>
    <row r="1208" spans="1:28" x14ac:dyDescent="0.35">
      <c r="A1208" t="s">
        <v>1253</v>
      </c>
      <c r="B1208" t="s">
        <v>9</v>
      </c>
      <c r="C1208" t="s">
        <v>1</v>
      </c>
      <c r="D1208" t="s">
        <v>10</v>
      </c>
      <c r="E1208" t="s">
        <v>11</v>
      </c>
      <c r="F1208">
        <v>414018</v>
      </c>
      <c r="G1208">
        <v>-163707</v>
      </c>
      <c r="H1208">
        <v>124951</v>
      </c>
      <c r="I1208">
        <v>414018</v>
      </c>
      <c r="J1208">
        <v>41401</v>
      </c>
      <c r="K1208">
        <v>20700</v>
      </c>
      <c r="L1208">
        <v>201650</v>
      </c>
      <c r="M1208">
        <v>40330</v>
      </c>
      <c r="N1208">
        <v>60495</v>
      </c>
      <c r="O1208">
        <v>20165</v>
      </c>
      <c r="P1208">
        <v>-80660</v>
      </c>
      <c r="Q1208">
        <v>-50412</v>
      </c>
      <c r="R1208">
        <v>170810</v>
      </c>
      <c r="S1208">
        <v>51243</v>
      </c>
      <c r="T1208">
        <v>17081</v>
      </c>
      <c r="U1208">
        <v>10082</v>
      </c>
      <c r="V1208">
        <v>6049</v>
      </c>
      <c r="W1208">
        <v>4033</v>
      </c>
      <c r="X1208">
        <v>20165</v>
      </c>
      <c r="Y1208">
        <v>10082</v>
      </c>
      <c r="Z1208">
        <v>8540</v>
      </c>
      <c r="AA1208">
        <v>5124</v>
      </c>
      <c r="AB1208">
        <v>3416</v>
      </c>
    </row>
    <row r="1209" spans="1:28" x14ac:dyDescent="0.35">
      <c r="A1209" t="s">
        <v>1254</v>
      </c>
      <c r="B1209" t="s">
        <v>9</v>
      </c>
      <c r="C1209" t="s">
        <v>1</v>
      </c>
      <c r="D1209" t="s">
        <v>10</v>
      </c>
      <c r="E1209" t="s">
        <v>11</v>
      </c>
      <c r="F1209">
        <v>315595</v>
      </c>
      <c r="G1209">
        <v>-155516</v>
      </c>
      <c r="H1209">
        <v>127819</v>
      </c>
      <c r="I1209">
        <v>315595</v>
      </c>
      <c r="J1209">
        <v>31559</v>
      </c>
      <c r="K1209">
        <v>15779</v>
      </c>
      <c r="L1209">
        <v>116294</v>
      </c>
      <c r="M1209">
        <v>23258</v>
      </c>
      <c r="N1209">
        <v>34888</v>
      </c>
      <c r="O1209">
        <v>11629</v>
      </c>
      <c r="P1209">
        <v>-46517</v>
      </c>
      <c r="Q1209">
        <v>-29073</v>
      </c>
      <c r="R1209">
        <v>116706</v>
      </c>
      <c r="S1209">
        <v>35011</v>
      </c>
      <c r="T1209">
        <v>11670</v>
      </c>
      <c r="U1209">
        <v>5814</v>
      </c>
      <c r="V1209">
        <v>3488</v>
      </c>
      <c r="W1209">
        <v>2325</v>
      </c>
      <c r="X1209">
        <v>11629</v>
      </c>
      <c r="Y1209">
        <v>5814</v>
      </c>
      <c r="Z1209">
        <v>5835</v>
      </c>
      <c r="AA1209">
        <v>3501</v>
      </c>
      <c r="AB1209">
        <v>2334</v>
      </c>
    </row>
    <row r="1210" spans="1:28" x14ac:dyDescent="0.35">
      <c r="A1210" t="s">
        <v>1255</v>
      </c>
      <c r="B1210" t="s">
        <v>9</v>
      </c>
      <c r="C1210" t="s">
        <v>1</v>
      </c>
      <c r="D1210" t="s">
        <v>10</v>
      </c>
      <c r="E1210" t="s">
        <v>11</v>
      </c>
      <c r="F1210">
        <v>449712</v>
      </c>
      <c r="G1210">
        <v>-195508</v>
      </c>
      <c r="H1210">
        <v>60381</v>
      </c>
      <c r="I1210">
        <v>449712</v>
      </c>
      <c r="J1210">
        <v>44971</v>
      </c>
      <c r="K1210">
        <v>22485</v>
      </c>
      <c r="L1210">
        <v>357656</v>
      </c>
      <c r="M1210">
        <v>71531</v>
      </c>
      <c r="N1210">
        <v>107296</v>
      </c>
      <c r="O1210">
        <v>35765</v>
      </c>
      <c r="P1210">
        <v>-143062</v>
      </c>
      <c r="Q1210">
        <v>-89414</v>
      </c>
      <c r="R1210">
        <v>425316</v>
      </c>
      <c r="S1210">
        <v>127594</v>
      </c>
      <c r="T1210">
        <v>42531</v>
      </c>
      <c r="U1210">
        <v>17882</v>
      </c>
      <c r="V1210">
        <v>10729</v>
      </c>
      <c r="W1210">
        <v>7153</v>
      </c>
      <c r="X1210">
        <v>35765</v>
      </c>
      <c r="Y1210">
        <v>17882</v>
      </c>
      <c r="Z1210">
        <v>21265</v>
      </c>
      <c r="AA1210">
        <v>12759</v>
      </c>
      <c r="AB1210">
        <v>8506</v>
      </c>
    </row>
    <row r="1211" spans="1:28" x14ac:dyDescent="0.35">
      <c r="A1211" t="s">
        <v>1256</v>
      </c>
      <c r="B1211" t="s">
        <v>9</v>
      </c>
      <c r="C1211" t="s">
        <v>1</v>
      </c>
      <c r="D1211" t="s">
        <v>10</v>
      </c>
      <c r="E1211" t="s">
        <v>11</v>
      </c>
      <c r="F1211">
        <v>326954</v>
      </c>
      <c r="G1211">
        <v>-183161</v>
      </c>
      <c r="H1211">
        <v>112947</v>
      </c>
      <c r="I1211">
        <v>326954</v>
      </c>
      <c r="J1211">
        <v>32695</v>
      </c>
      <c r="K1211">
        <v>16347</v>
      </c>
      <c r="L1211">
        <v>147195</v>
      </c>
      <c r="M1211">
        <v>29439</v>
      </c>
      <c r="N1211">
        <v>44158</v>
      </c>
      <c r="O1211">
        <v>14719</v>
      </c>
      <c r="P1211">
        <v>-58878</v>
      </c>
      <c r="Q1211">
        <v>-36798</v>
      </c>
      <c r="R1211">
        <v>144629</v>
      </c>
      <c r="S1211">
        <v>43388</v>
      </c>
      <c r="T1211">
        <v>14462</v>
      </c>
      <c r="U1211">
        <v>7359</v>
      </c>
      <c r="V1211">
        <v>4415</v>
      </c>
      <c r="W1211">
        <v>2943</v>
      </c>
      <c r="X1211">
        <v>14719</v>
      </c>
      <c r="Y1211">
        <v>7359</v>
      </c>
      <c r="Z1211">
        <v>7231</v>
      </c>
      <c r="AA1211">
        <v>4338</v>
      </c>
      <c r="AB1211">
        <v>2892</v>
      </c>
    </row>
    <row r="1212" spans="1:28" x14ac:dyDescent="0.35">
      <c r="A1212" t="s">
        <v>1257</v>
      </c>
      <c r="B1212" t="s">
        <v>9</v>
      </c>
      <c r="C1212" t="s">
        <v>1</v>
      </c>
      <c r="D1212" t="s">
        <v>10</v>
      </c>
      <c r="E1212" t="s">
        <v>11</v>
      </c>
      <c r="F1212">
        <v>68972</v>
      </c>
      <c r="G1212">
        <v>-31896</v>
      </c>
      <c r="H1212">
        <v>29553</v>
      </c>
      <c r="I1212">
        <v>68972</v>
      </c>
      <c r="J1212">
        <v>6897</v>
      </c>
      <c r="K1212">
        <v>3448</v>
      </c>
      <c r="L1212">
        <v>52849</v>
      </c>
      <c r="M1212">
        <v>10569</v>
      </c>
      <c r="N1212">
        <v>15854</v>
      </c>
      <c r="O1212">
        <v>5284</v>
      </c>
      <c r="P1212">
        <v>-21139</v>
      </c>
      <c r="Q1212">
        <v>-13212</v>
      </c>
      <c r="R1212">
        <v>51610</v>
      </c>
      <c r="S1212">
        <v>15483</v>
      </c>
      <c r="T1212">
        <v>5161</v>
      </c>
      <c r="U1212">
        <v>2642</v>
      </c>
      <c r="V1212">
        <v>1585</v>
      </c>
      <c r="W1212">
        <v>1056</v>
      </c>
      <c r="X1212">
        <v>5284</v>
      </c>
      <c r="Y1212">
        <v>2642</v>
      </c>
      <c r="Z1212">
        <v>2580</v>
      </c>
      <c r="AA1212">
        <v>1548</v>
      </c>
      <c r="AB1212">
        <v>1032</v>
      </c>
    </row>
    <row r="1213" spans="1:28" x14ac:dyDescent="0.35">
      <c r="A1213" t="s">
        <v>1258</v>
      </c>
      <c r="B1213" t="s">
        <v>9</v>
      </c>
      <c r="C1213" t="s">
        <v>1</v>
      </c>
      <c r="D1213" t="s">
        <v>10</v>
      </c>
      <c r="E1213" t="s">
        <v>11</v>
      </c>
      <c r="F1213">
        <v>86630</v>
      </c>
      <c r="G1213">
        <v>-43707</v>
      </c>
      <c r="H1213">
        <v>42515</v>
      </c>
      <c r="I1213">
        <v>86630</v>
      </c>
      <c r="J1213">
        <v>8663</v>
      </c>
      <c r="K1213">
        <v>4331</v>
      </c>
      <c r="L1213">
        <v>34300</v>
      </c>
      <c r="M1213">
        <v>6860</v>
      </c>
      <c r="N1213">
        <v>10290</v>
      </c>
      <c r="O1213">
        <v>3430</v>
      </c>
      <c r="P1213">
        <v>-13720</v>
      </c>
      <c r="Q1213">
        <v>-8575</v>
      </c>
      <c r="R1213">
        <v>39044</v>
      </c>
      <c r="S1213">
        <v>11713</v>
      </c>
      <c r="T1213">
        <v>3904</v>
      </c>
      <c r="U1213">
        <v>1715</v>
      </c>
      <c r="V1213">
        <v>1029</v>
      </c>
      <c r="W1213">
        <v>686</v>
      </c>
      <c r="X1213">
        <v>3430</v>
      </c>
      <c r="Y1213">
        <v>1715</v>
      </c>
      <c r="Z1213">
        <v>1952</v>
      </c>
      <c r="AA1213">
        <v>1171</v>
      </c>
      <c r="AB1213">
        <v>780</v>
      </c>
    </row>
    <row r="1214" spans="1:28" x14ac:dyDescent="0.35">
      <c r="A1214" t="s">
        <v>1259</v>
      </c>
      <c r="B1214" t="s">
        <v>9</v>
      </c>
      <c r="C1214" t="s">
        <v>1</v>
      </c>
      <c r="D1214" t="s">
        <v>10</v>
      </c>
      <c r="E1214" t="s">
        <v>11</v>
      </c>
      <c r="F1214">
        <v>466383</v>
      </c>
      <c r="G1214">
        <v>-158488</v>
      </c>
      <c r="H1214">
        <v>219580</v>
      </c>
      <c r="I1214">
        <v>466383</v>
      </c>
      <c r="J1214">
        <v>46638</v>
      </c>
      <c r="K1214">
        <v>23319</v>
      </c>
      <c r="L1214">
        <v>135722</v>
      </c>
      <c r="M1214">
        <v>27144</v>
      </c>
      <c r="N1214">
        <v>40716</v>
      </c>
      <c r="O1214">
        <v>13572</v>
      </c>
      <c r="P1214">
        <v>-54288</v>
      </c>
      <c r="Q1214">
        <v>-33930</v>
      </c>
      <c r="R1214">
        <v>123837</v>
      </c>
      <c r="S1214">
        <v>37151</v>
      </c>
      <c r="T1214">
        <v>12383</v>
      </c>
      <c r="U1214">
        <v>6786</v>
      </c>
      <c r="V1214">
        <v>4071</v>
      </c>
      <c r="W1214">
        <v>2714</v>
      </c>
      <c r="X1214">
        <v>13572</v>
      </c>
      <c r="Y1214">
        <v>6786</v>
      </c>
      <c r="Z1214">
        <v>6191</v>
      </c>
      <c r="AA1214">
        <v>3715</v>
      </c>
      <c r="AB1214">
        <v>2476</v>
      </c>
    </row>
    <row r="1215" spans="1:28" x14ac:dyDescent="0.35">
      <c r="A1215" t="s">
        <v>1260</v>
      </c>
      <c r="B1215" t="s">
        <v>9</v>
      </c>
      <c r="C1215" t="s">
        <v>1</v>
      </c>
      <c r="D1215" t="s">
        <v>10</v>
      </c>
      <c r="E1215" t="s">
        <v>11</v>
      </c>
      <c r="F1215">
        <v>240997</v>
      </c>
      <c r="G1215">
        <v>-59145</v>
      </c>
      <c r="H1215">
        <v>80472</v>
      </c>
      <c r="I1215">
        <v>240997</v>
      </c>
      <c r="J1215">
        <v>24099</v>
      </c>
      <c r="K1215">
        <v>12049</v>
      </c>
      <c r="L1215">
        <v>90115</v>
      </c>
      <c r="M1215">
        <v>18023</v>
      </c>
      <c r="N1215">
        <v>27034</v>
      </c>
      <c r="O1215">
        <v>9011</v>
      </c>
      <c r="P1215">
        <v>-36046</v>
      </c>
      <c r="Q1215">
        <v>-22528</v>
      </c>
      <c r="R1215">
        <v>83262</v>
      </c>
      <c r="S1215">
        <v>24978</v>
      </c>
      <c r="T1215">
        <v>8326</v>
      </c>
      <c r="U1215">
        <v>4505</v>
      </c>
      <c r="V1215">
        <v>2703</v>
      </c>
      <c r="W1215">
        <v>1802</v>
      </c>
      <c r="X1215">
        <v>9011</v>
      </c>
      <c r="Y1215">
        <v>4505</v>
      </c>
      <c r="Z1215">
        <v>4163</v>
      </c>
      <c r="AA1215">
        <v>2497</v>
      </c>
      <c r="AB1215">
        <v>1665</v>
      </c>
    </row>
    <row r="1216" spans="1:28" x14ac:dyDescent="0.35">
      <c r="A1216" t="s">
        <v>1261</v>
      </c>
      <c r="B1216" t="s">
        <v>9</v>
      </c>
      <c r="C1216" t="s">
        <v>1</v>
      </c>
      <c r="D1216" t="s">
        <v>10</v>
      </c>
      <c r="E1216" t="s">
        <v>11</v>
      </c>
      <c r="F1216">
        <v>281335</v>
      </c>
      <c r="G1216">
        <v>-59718</v>
      </c>
      <c r="H1216">
        <v>93231</v>
      </c>
      <c r="I1216">
        <v>281335</v>
      </c>
      <c r="J1216">
        <v>28133</v>
      </c>
      <c r="K1216">
        <v>14066</v>
      </c>
      <c r="L1216">
        <v>198281</v>
      </c>
      <c r="M1216">
        <v>39656</v>
      </c>
      <c r="N1216">
        <v>59484</v>
      </c>
      <c r="O1216">
        <v>19828</v>
      </c>
      <c r="P1216">
        <v>-79312</v>
      </c>
      <c r="Q1216">
        <v>-49570</v>
      </c>
      <c r="R1216">
        <v>213204</v>
      </c>
      <c r="S1216">
        <v>63961</v>
      </c>
      <c r="T1216">
        <v>21320</v>
      </c>
      <c r="U1216">
        <v>9914</v>
      </c>
      <c r="V1216">
        <v>5948</v>
      </c>
      <c r="W1216">
        <v>3965</v>
      </c>
      <c r="X1216">
        <v>19828</v>
      </c>
      <c r="Y1216">
        <v>9914</v>
      </c>
      <c r="Z1216">
        <v>10660</v>
      </c>
      <c r="AA1216">
        <v>6396</v>
      </c>
      <c r="AB1216">
        <v>4264</v>
      </c>
    </row>
    <row r="1217" spans="1:28" x14ac:dyDescent="0.35">
      <c r="A1217" t="s">
        <v>1262</v>
      </c>
      <c r="B1217" t="s">
        <v>9</v>
      </c>
      <c r="C1217" t="s">
        <v>1</v>
      </c>
      <c r="D1217" t="s">
        <v>10</v>
      </c>
      <c r="E1217" t="s">
        <v>11</v>
      </c>
      <c r="F1217">
        <v>493387</v>
      </c>
      <c r="G1217">
        <v>-252047</v>
      </c>
      <c r="H1217">
        <v>186269</v>
      </c>
      <c r="I1217">
        <v>493387</v>
      </c>
      <c r="J1217">
        <v>49338</v>
      </c>
      <c r="K1217">
        <v>24669</v>
      </c>
      <c r="L1217">
        <v>360255</v>
      </c>
      <c r="M1217">
        <v>72051</v>
      </c>
      <c r="N1217">
        <v>108076</v>
      </c>
      <c r="O1217">
        <v>36025</v>
      </c>
      <c r="P1217">
        <v>-144102</v>
      </c>
      <c r="Q1217">
        <v>-90063</v>
      </c>
      <c r="R1217">
        <v>297255</v>
      </c>
      <c r="S1217">
        <v>89176</v>
      </c>
      <c r="T1217">
        <v>29725</v>
      </c>
      <c r="U1217">
        <v>18012</v>
      </c>
      <c r="V1217">
        <v>10807</v>
      </c>
      <c r="W1217">
        <v>7205</v>
      </c>
      <c r="X1217">
        <v>36025</v>
      </c>
      <c r="Y1217">
        <v>18012</v>
      </c>
      <c r="Z1217">
        <v>14862</v>
      </c>
      <c r="AA1217">
        <v>8917</v>
      </c>
      <c r="AB1217">
        <v>5945</v>
      </c>
    </row>
    <row r="1218" spans="1:28" x14ac:dyDescent="0.35">
      <c r="A1218" t="s">
        <v>1263</v>
      </c>
      <c r="B1218" t="s">
        <v>9</v>
      </c>
      <c r="C1218" t="s">
        <v>1</v>
      </c>
      <c r="D1218" t="s">
        <v>10</v>
      </c>
      <c r="E1218" t="s">
        <v>11</v>
      </c>
      <c r="F1218">
        <v>369107</v>
      </c>
      <c r="G1218">
        <v>-105554</v>
      </c>
      <c r="H1218">
        <v>117113</v>
      </c>
      <c r="I1218">
        <v>369107</v>
      </c>
      <c r="J1218">
        <v>36910</v>
      </c>
      <c r="K1218">
        <v>18455</v>
      </c>
      <c r="L1218">
        <v>227733</v>
      </c>
      <c r="M1218">
        <v>45546</v>
      </c>
      <c r="N1218">
        <v>68319</v>
      </c>
      <c r="O1218">
        <v>22773</v>
      </c>
      <c r="P1218">
        <v>-91093</v>
      </c>
      <c r="Q1218">
        <v>-56933</v>
      </c>
      <c r="R1218">
        <v>257078</v>
      </c>
      <c r="S1218">
        <v>77123</v>
      </c>
      <c r="T1218">
        <v>25707</v>
      </c>
      <c r="U1218">
        <v>11386</v>
      </c>
      <c r="V1218">
        <v>6831</v>
      </c>
      <c r="W1218">
        <v>4554</v>
      </c>
      <c r="X1218">
        <v>22773</v>
      </c>
      <c r="Y1218">
        <v>11386</v>
      </c>
      <c r="Z1218">
        <v>12853</v>
      </c>
      <c r="AA1218">
        <v>7712</v>
      </c>
      <c r="AB1218">
        <v>5141</v>
      </c>
    </row>
    <row r="1219" spans="1:28" x14ac:dyDescent="0.35">
      <c r="A1219" t="s">
        <v>1264</v>
      </c>
      <c r="B1219" t="s">
        <v>9</v>
      </c>
      <c r="C1219" t="s">
        <v>1</v>
      </c>
      <c r="D1219" t="s">
        <v>10</v>
      </c>
      <c r="E1219" t="s">
        <v>11</v>
      </c>
      <c r="F1219">
        <v>78989</v>
      </c>
      <c r="G1219">
        <v>-35633</v>
      </c>
      <c r="H1219">
        <v>22324</v>
      </c>
      <c r="I1219">
        <v>78989</v>
      </c>
      <c r="J1219">
        <v>7898</v>
      </c>
      <c r="K1219">
        <v>3949</v>
      </c>
      <c r="L1219">
        <v>31567</v>
      </c>
      <c r="M1219">
        <v>6313</v>
      </c>
      <c r="N1219">
        <v>9470</v>
      </c>
      <c r="O1219">
        <v>3156</v>
      </c>
      <c r="P1219">
        <v>-12626</v>
      </c>
      <c r="Q1219">
        <v>-7891</v>
      </c>
      <c r="R1219">
        <v>26319</v>
      </c>
      <c r="S1219">
        <v>7895</v>
      </c>
      <c r="T1219">
        <v>2631</v>
      </c>
      <c r="U1219">
        <v>1578</v>
      </c>
      <c r="V1219">
        <v>947</v>
      </c>
      <c r="W1219">
        <v>631</v>
      </c>
      <c r="X1219">
        <v>3156</v>
      </c>
      <c r="Y1219">
        <v>1578</v>
      </c>
      <c r="Z1219">
        <v>1315</v>
      </c>
      <c r="AA1219">
        <v>789</v>
      </c>
      <c r="AB1219">
        <v>526</v>
      </c>
    </row>
    <row r="1220" spans="1:28" x14ac:dyDescent="0.35">
      <c r="A1220" t="s">
        <v>1265</v>
      </c>
      <c r="B1220" t="s">
        <v>9</v>
      </c>
      <c r="C1220" t="s">
        <v>1</v>
      </c>
      <c r="D1220" t="s">
        <v>10</v>
      </c>
      <c r="E1220" t="s">
        <v>11</v>
      </c>
      <c r="F1220">
        <v>103047</v>
      </c>
      <c r="G1220">
        <v>-28200</v>
      </c>
      <c r="H1220">
        <v>48504</v>
      </c>
      <c r="I1220">
        <v>103047</v>
      </c>
      <c r="J1220">
        <v>10304</v>
      </c>
      <c r="K1220">
        <v>5152</v>
      </c>
      <c r="L1220">
        <v>76610</v>
      </c>
      <c r="M1220">
        <v>15322</v>
      </c>
      <c r="N1220">
        <v>22983</v>
      </c>
      <c r="O1220">
        <v>7661</v>
      </c>
      <c r="P1220">
        <v>-30644</v>
      </c>
      <c r="Q1220">
        <v>-19152</v>
      </c>
      <c r="R1220">
        <v>80012</v>
      </c>
      <c r="S1220">
        <v>24003</v>
      </c>
      <c r="T1220">
        <v>8001</v>
      </c>
      <c r="U1220">
        <v>3830</v>
      </c>
      <c r="V1220">
        <v>2298</v>
      </c>
      <c r="W1220">
        <v>1532</v>
      </c>
      <c r="X1220">
        <v>7661</v>
      </c>
      <c r="Y1220">
        <v>3830</v>
      </c>
      <c r="Z1220">
        <v>4000</v>
      </c>
      <c r="AA1220">
        <v>2400</v>
      </c>
      <c r="AB1220">
        <v>1600</v>
      </c>
    </row>
    <row r="1221" spans="1:28" x14ac:dyDescent="0.35">
      <c r="A1221" t="s">
        <v>1266</v>
      </c>
      <c r="B1221" t="s">
        <v>9</v>
      </c>
      <c r="C1221" t="s">
        <v>1</v>
      </c>
      <c r="D1221" t="s">
        <v>10</v>
      </c>
      <c r="E1221" t="s">
        <v>11</v>
      </c>
      <c r="F1221">
        <v>126301</v>
      </c>
      <c r="G1221">
        <v>-72411</v>
      </c>
      <c r="H1221">
        <v>51755</v>
      </c>
      <c r="I1221">
        <v>126301</v>
      </c>
      <c r="J1221">
        <v>12630</v>
      </c>
      <c r="K1221">
        <v>6315</v>
      </c>
      <c r="L1221">
        <v>26998</v>
      </c>
      <c r="M1221">
        <v>5399</v>
      </c>
      <c r="N1221">
        <v>8099</v>
      </c>
      <c r="O1221">
        <v>2699</v>
      </c>
      <c r="P1221">
        <v>-10799</v>
      </c>
      <c r="Q1221">
        <v>-6749</v>
      </c>
      <c r="R1221">
        <v>21658</v>
      </c>
      <c r="S1221">
        <v>6497</v>
      </c>
      <c r="T1221">
        <v>2165</v>
      </c>
      <c r="U1221">
        <v>1349</v>
      </c>
      <c r="V1221">
        <v>809</v>
      </c>
      <c r="W1221">
        <v>539</v>
      </c>
      <c r="X1221">
        <v>2699</v>
      </c>
      <c r="Y1221">
        <v>1349</v>
      </c>
      <c r="Z1221">
        <v>1082</v>
      </c>
      <c r="AA1221">
        <v>649</v>
      </c>
      <c r="AB1221">
        <v>433</v>
      </c>
    </row>
    <row r="1222" spans="1:28" x14ac:dyDescent="0.35">
      <c r="A1222" t="s">
        <v>1267</v>
      </c>
      <c r="B1222" t="s">
        <v>9</v>
      </c>
      <c r="C1222" t="s">
        <v>1</v>
      </c>
      <c r="D1222" t="s">
        <v>10</v>
      </c>
      <c r="E1222" t="s">
        <v>11</v>
      </c>
      <c r="F1222">
        <v>272756</v>
      </c>
      <c r="G1222">
        <v>-73303</v>
      </c>
      <c r="H1222">
        <v>130180</v>
      </c>
      <c r="I1222">
        <v>272756</v>
      </c>
      <c r="J1222">
        <v>27275</v>
      </c>
      <c r="K1222">
        <v>13637</v>
      </c>
      <c r="L1222">
        <v>211328</v>
      </c>
      <c r="M1222">
        <v>42265</v>
      </c>
      <c r="N1222">
        <v>63398</v>
      </c>
      <c r="O1222">
        <v>21132</v>
      </c>
      <c r="P1222">
        <v>-84531</v>
      </c>
      <c r="Q1222">
        <v>-52832</v>
      </c>
      <c r="R1222">
        <v>192839</v>
      </c>
      <c r="S1222">
        <v>57851</v>
      </c>
      <c r="T1222">
        <v>19283</v>
      </c>
      <c r="U1222">
        <v>10566</v>
      </c>
      <c r="V1222">
        <v>6339</v>
      </c>
      <c r="W1222">
        <v>4226</v>
      </c>
      <c r="X1222">
        <v>21132</v>
      </c>
      <c r="Y1222">
        <v>10566</v>
      </c>
      <c r="Z1222">
        <v>9641</v>
      </c>
      <c r="AA1222">
        <v>5785</v>
      </c>
      <c r="AB1222">
        <v>3856</v>
      </c>
    </row>
    <row r="1223" spans="1:28" x14ac:dyDescent="0.35">
      <c r="A1223" t="s">
        <v>1268</v>
      </c>
      <c r="B1223" t="s">
        <v>9</v>
      </c>
      <c r="C1223" t="s">
        <v>1</v>
      </c>
      <c r="D1223" t="s">
        <v>10</v>
      </c>
      <c r="E1223" t="s">
        <v>11</v>
      </c>
      <c r="F1223">
        <v>455322</v>
      </c>
      <c r="G1223">
        <v>-214954</v>
      </c>
      <c r="H1223">
        <v>62502</v>
      </c>
      <c r="I1223">
        <v>455322</v>
      </c>
      <c r="J1223">
        <v>45532</v>
      </c>
      <c r="K1223">
        <v>22766</v>
      </c>
      <c r="L1223">
        <v>125152</v>
      </c>
      <c r="M1223">
        <v>25030</v>
      </c>
      <c r="N1223">
        <v>37545</v>
      </c>
      <c r="O1223">
        <v>12515</v>
      </c>
      <c r="P1223">
        <v>-50060</v>
      </c>
      <c r="Q1223">
        <v>-31288</v>
      </c>
      <c r="R1223">
        <v>100648</v>
      </c>
      <c r="S1223">
        <v>30194</v>
      </c>
      <c r="T1223">
        <v>10064</v>
      </c>
      <c r="U1223">
        <v>6257</v>
      </c>
      <c r="V1223">
        <v>3754</v>
      </c>
      <c r="W1223">
        <v>2503</v>
      </c>
      <c r="X1223">
        <v>12515</v>
      </c>
      <c r="Y1223">
        <v>6257</v>
      </c>
      <c r="Z1223">
        <v>5032</v>
      </c>
      <c r="AA1223">
        <v>3019</v>
      </c>
      <c r="AB1223">
        <v>2012</v>
      </c>
    </row>
    <row r="1224" spans="1:28" x14ac:dyDescent="0.35">
      <c r="A1224" t="s">
        <v>1269</v>
      </c>
      <c r="B1224" t="s">
        <v>9</v>
      </c>
      <c r="C1224" t="s">
        <v>1</v>
      </c>
      <c r="D1224" t="s">
        <v>10</v>
      </c>
      <c r="E1224" t="s">
        <v>11</v>
      </c>
      <c r="F1224">
        <v>105841</v>
      </c>
      <c r="G1224">
        <v>-41632</v>
      </c>
      <c r="H1224">
        <v>37347</v>
      </c>
      <c r="I1224">
        <v>105841</v>
      </c>
      <c r="J1224">
        <v>10584</v>
      </c>
      <c r="K1224">
        <v>5292</v>
      </c>
      <c r="L1224">
        <v>32144</v>
      </c>
      <c r="M1224">
        <v>6428</v>
      </c>
      <c r="N1224">
        <v>9643</v>
      </c>
      <c r="O1224">
        <v>3214</v>
      </c>
      <c r="P1224">
        <v>-12857</v>
      </c>
      <c r="Q1224">
        <v>-8036</v>
      </c>
      <c r="R1224">
        <v>33326</v>
      </c>
      <c r="S1224">
        <v>9997</v>
      </c>
      <c r="T1224">
        <v>3332</v>
      </c>
      <c r="U1224">
        <v>1607</v>
      </c>
      <c r="V1224">
        <v>964</v>
      </c>
      <c r="W1224">
        <v>642</v>
      </c>
      <c r="X1224">
        <v>3214</v>
      </c>
      <c r="Y1224">
        <v>1607</v>
      </c>
      <c r="Z1224">
        <v>1666</v>
      </c>
      <c r="AA1224">
        <v>999</v>
      </c>
      <c r="AB1224">
        <v>666</v>
      </c>
    </row>
    <row r="1225" spans="1:28" x14ac:dyDescent="0.35">
      <c r="A1225" t="s">
        <v>1270</v>
      </c>
      <c r="B1225" t="s">
        <v>9</v>
      </c>
      <c r="C1225" t="s">
        <v>1</v>
      </c>
      <c r="D1225" t="s">
        <v>10</v>
      </c>
      <c r="E1225" t="s">
        <v>11</v>
      </c>
      <c r="F1225">
        <v>233263</v>
      </c>
      <c r="G1225">
        <v>-125405</v>
      </c>
      <c r="H1225">
        <v>101849</v>
      </c>
      <c r="I1225">
        <v>233263</v>
      </c>
      <c r="J1225">
        <v>23326</v>
      </c>
      <c r="K1225">
        <v>11663</v>
      </c>
      <c r="L1225">
        <v>174767</v>
      </c>
      <c r="M1225">
        <v>34953</v>
      </c>
      <c r="N1225">
        <v>52430</v>
      </c>
      <c r="O1225">
        <v>17476</v>
      </c>
      <c r="P1225">
        <v>-69906</v>
      </c>
      <c r="Q1225">
        <v>-43691</v>
      </c>
      <c r="R1225">
        <v>152944</v>
      </c>
      <c r="S1225">
        <v>45883</v>
      </c>
      <c r="T1225">
        <v>15294</v>
      </c>
      <c r="U1225">
        <v>8738</v>
      </c>
      <c r="V1225">
        <v>5243</v>
      </c>
      <c r="W1225">
        <v>3495</v>
      </c>
      <c r="X1225">
        <v>17476</v>
      </c>
      <c r="Y1225">
        <v>8738</v>
      </c>
      <c r="Z1225">
        <v>7647</v>
      </c>
      <c r="AA1225">
        <v>4588</v>
      </c>
      <c r="AB1225">
        <v>3058</v>
      </c>
    </row>
    <row r="1226" spans="1:28" x14ac:dyDescent="0.35">
      <c r="A1226" t="s">
        <v>1271</v>
      </c>
      <c r="B1226" t="s">
        <v>9</v>
      </c>
      <c r="C1226" t="s">
        <v>1</v>
      </c>
      <c r="D1226" t="s">
        <v>10</v>
      </c>
      <c r="E1226" t="s">
        <v>11</v>
      </c>
      <c r="F1226">
        <v>199252</v>
      </c>
      <c r="G1226">
        <v>-111689</v>
      </c>
      <c r="H1226">
        <v>44939</v>
      </c>
      <c r="I1226">
        <v>199252</v>
      </c>
      <c r="J1226">
        <v>19925</v>
      </c>
      <c r="K1226">
        <v>9962</v>
      </c>
      <c r="L1226">
        <v>117877</v>
      </c>
      <c r="M1226">
        <v>23575</v>
      </c>
      <c r="N1226">
        <v>35363</v>
      </c>
      <c r="O1226">
        <v>11787</v>
      </c>
      <c r="P1226">
        <v>-47150</v>
      </c>
      <c r="Q1226">
        <v>-29469</v>
      </c>
      <c r="R1226">
        <v>108704</v>
      </c>
      <c r="S1226">
        <v>32611</v>
      </c>
      <c r="T1226">
        <v>10870</v>
      </c>
      <c r="U1226">
        <v>5893</v>
      </c>
      <c r="V1226">
        <v>3536</v>
      </c>
      <c r="W1226">
        <v>2357</v>
      </c>
      <c r="X1226">
        <v>11787</v>
      </c>
      <c r="Y1226">
        <v>5893</v>
      </c>
      <c r="Z1226">
        <v>5435</v>
      </c>
      <c r="AA1226">
        <v>3261</v>
      </c>
      <c r="AB1226">
        <v>2174</v>
      </c>
    </row>
    <row r="1227" spans="1:28" x14ac:dyDescent="0.35">
      <c r="A1227" t="s">
        <v>1272</v>
      </c>
      <c r="B1227" t="s">
        <v>9</v>
      </c>
      <c r="C1227" t="s">
        <v>1</v>
      </c>
      <c r="D1227" t="s">
        <v>10</v>
      </c>
      <c r="E1227" t="s">
        <v>11</v>
      </c>
      <c r="F1227">
        <v>435579</v>
      </c>
      <c r="G1227">
        <v>-251339</v>
      </c>
      <c r="H1227">
        <v>105846</v>
      </c>
      <c r="I1227">
        <v>435579</v>
      </c>
      <c r="J1227">
        <v>43557</v>
      </c>
      <c r="K1227">
        <v>21778</v>
      </c>
      <c r="L1227">
        <v>90667</v>
      </c>
      <c r="M1227">
        <v>18133</v>
      </c>
      <c r="N1227">
        <v>27200</v>
      </c>
      <c r="O1227">
        <v>9066</v>
      </c>
      <c r="P1227">
        <v>-36266</v>
      </c>
      <c r="Q1227">
        <v>-22666</v>
      </c>
      <c r="R1227">
        <v>86705</v>
      </c>
      <c r="S1227">
        <v>26011</v>
      </c>
      <c r="T1227">
        <v>8670</v>
      </c>
      <c r="U1227">
        <v>4533</v>
      </c>
      <c r="V1227">
        <v>2720</v>
      </c>
      <c r="W1227">
        <v>1813</v>
      </c>
      <c r="X1227">
        <v>9066</v>
      </c>
      <c r="Y1227">
        <v>4533</v>
      </c>
      <c r="Z1227">
        <v>4335</v>
      </c>
      <c r="AA1227">
        <v>2601</v>
      </c>
      <c r="AB1227">
        <v>1734</v>
      </c>
    </row>
    <row r="1228" spans="1:28" x14ac:dyDescent="0.35">
      <c r="A1228" t="s">
        <v>1273</v>
      </c>
      <c r="B1228" t="s">
        <v>9</v>
      </c>
      <c r="C1228" t="s">
        <v>1</v>
      </c>
      <c r="D1228" t="s">
        <v>10</v>
      </c>
      <c r="E1228" t="s">
        <v>11</v>
      </c>
      <c r="F1228">
        <v>397219</v>
      </c>
      <c r="G1228">
        <v>-130576</v>
      </c>
      <c r="H1228">
        <v>161732</v>
      </c>
      <c r="I1228">
        <v>397219</v>
      </c>
      <c r="J1228">
        <v>39721</v>
      </c>
      <c r="K1228">
        <v>19860</v>
      </c>
      <c r="L1228">
        <v>272142</v>
      </c>
      <c r="M1228">
        <v>54428</v>
      </c>
      <c r="N1228">
        <v>81642</v>
      </c>
      <c r="O1228">
        <v>27214</v>
      </c>
      <c r="P1228">
        <v>-108856</v>
      </c>
      <c r="Q1228">
        <v>-68035</v>
      </c>
      <c r="R1228">
        <v>296330</v>
      </c>
      <c r="S1228">
        <v>88899</v>
      </c>
      <c r="T1228">
        <v>29633</v>
      </c>
      <c r="U1228">
        <v>13607</v>
      </c>
      <c r="V1228">
        <v>8164</v>
      </c>
      <c r="W1228">
        <v>5442</v>
      </c>
      <c r="X1228">
        <v>27214</v>
      </c>
      <c r="Y1228">
        <v>13607</v>
      </c>
      <c r="Z1228">
        <v>14816</v>
      </c>
      <c r="AA1228">
        <v>8889</v>
      </c>
      <c r="AB1228">
        <v>5926</v>
      </c>
    </row>
    <row r="1229" spans="1:28" x14ac:dyDescent="0.35">
      <c r="A1229" t="s">
        <v>1274</v>
      </c>
      <c r="B1229" t="s">
        <v>9</v>
      </c>
      <c r="C1229" t="s">
        <v>1</v>
      </c>
      <c r="D1229" t="s">
        <v>10</v>
      </c>
      <c r="E1229" t="s">
        <v>11</v>
      </c>
      <c r="F1229">
        <v>79963</v>
      </c>
      <c r="G1229">
        <v>-46220</v>
      </c>
      <c r="H1229">
        <v>23619</v>
      </c>
      <c r="I1229">
        <v>79963</v>
      </c>
      <c r="J1229">
        <v>7996</v>
      </c>
      <c r="K1229">
        <v>3998</v>
      </c>
      <c r="L1229">
        <v>23686</v>
      </c>
      <c r="M1229">
        <v>4737</v>
      </c>
      <c r="N1229">
        <v>7105</v>
      </c>
      <c r="O1229">
        <v>2368</v>
      </c>
      <c r="P1229">
        <v>-9474</v>
      </c>
      <c r="Q1229">
        <v>-5921</v>
      </c>
      <c r="R1229">
        <v>26806</v>
      </c>
      <c r="S1229">
        <v>8041</v>
      </c>
      <c r="T1229">
        <v>2680</v>
      </c>
      <c r="U1229">
        <v>1184</v>
      </c>
      <c r="V1229">
        <v>710</v>
      </c>
      <c r="W1229">
        <v>473</v>
      </c>
      <c r="X1229">
        <v>2368</v>
      </c>
      <c r="Y1229">
        <v>1184</v>
      </c>
      <c r="Z1229">
        <v>1340</v>
      </c>
      <c r="AA1229">
        <v>804</v>
      </c>
      <c r="AB1229">
        <v>536</v>
      </c>
    </row>
    <row r="1230" spans="1:28" x14ac:dyDescent="0.35">
      <c r="A1230" t="s">
        <v>1275</v>
      </c>
      <c r="B1230" t="s">
        <v>9</v>
      </c>
      <c r="C1230" t="s">
        <v>1</v>
      </c>
      <c r="D1230" t="s">
        <v>10</v>
      </c>
      <c r="E1230" t="s">
        <v>11</v>
      </c>
      <c r="F1230">
        <v>347415</v>
      </c>
      <c r="G1230">
        <v>-202837</v>
      </c>
      <c r="H1230">
        <v>72191</v>
      </c>
      <c r="I1230">
        <v>347415</v>
      </c>
      <c r="J1230">
        <v>34741</v>
      </c>
      <c r="K1230">
        <v>17370</v>
      </c>
      <c r="L1230">
        <v>149490</v>
      </c>
      <c r="M1230">
        <v>29898</v>
      </c>
      <c r="N1230">
        <v>44847</v>
      </c>
      <c r="O1230">
        <v>14949</v>
      </c>
      <c r="P1230">
        <v>-59796</v>
      </c>
      <c r="Q1230">
        <v>-37372</v>
      </c>
      <c r="R1230">
        <v>165944</v>
      </c>
      <c r="S1230">
        <v>49783</v>
      </c>
      <c r="T1230">
        <v>16594</v>
      </c>
      <c r="U1230">
        <v>7474</v>
      </c>
      <c r="V1230">
        <v>4484</v>
      </c>
      <c r="W1230">
        <v>2989</v>
      </c>
      <c r="X1230">
        <v>14949</v>
      </c>
      <c r="Y1230">
        <v>7474</v>
      </c>
      <c r="Z1230">
        <v>8297</v>
      </c>
      <c r="AA1230">
        <v>4978</v>
      </c>
      <c r="AB1230">
        <v>3318</v>
      </c>
    </row>
    <row r="1231" spans="1:28" x14ac:dyDescent="0.35">
      <c r="A1231" t="s">
        <v>1276</v>
      </c>
      <c r="B1231" t="s">
        <v>9</v>
      </c>
      <c r="C1231" t="s">
        <v>1</v>
      </c>
      <c r="D1231" t="s">
        <v>10</v>
      </c>
      <c r="E1231" t="s">
        <v>11</v>
      </c>
      <c r="F1231">
        <v>67014</v>
      </c>
      <c r="G1231">
        <v>-14759</v>
      </c>
      <c r="H1231">
        <v>18971</v>
      </c>
      <c r="I1231">
        <v>67014</v>
      </c>
      <c r="J1231">
        <v>6701</v>
      </c>
      <c r="K1231">
        <v>3350</v>
      </c>
      <c r="L1231">
        <v>20596</v>
      </c>
      <c r="M1231">
        <v>4119</v>
      </c>
      <c r="N1231">
        <v>6178</v>
      </c>
      <c r="O1231">
        <v>2059</v>
      </c>
      <c r="P1231">
        <v>-8238</v>
      </c>
      <c r="Q1231">
        <v>-5149</v>
      </c>
      <c r="R1231">
        <v>20075</v>
      </c>
      <c r="S1231">
        <v>6022</v>
      </c>
      <c r="T1231">
        <v>2007</v>
      </c>
      <c r="U1231">
        <v>1029</v>
      </c>
      <c r="V1231">
        <v>617</v>
      </c>
      <c r="W1231">
        <v>411</v>
      </c>
      <c r="X1231">
        <v>2059</v>
      </c>
      <c r="Y1231">
        <v>1029</v>
      </c>
      <c r="Z1231">
        <v>1003</v>
      </c>
      <c r="AA1231">
        <v>602</v>
      </c>
      <c r="AB1231">
        <v>401</v>
      </c>
    </row>
    <row r="1232" spans="1:28" x14ac:dyDescent="0.35">
      <c r="A1232" t="s">
        <v>1277</v>
      </c>
      <c r="B1232" t="s">
        <v>9</v>
      </c>
      <c r="C1232" t="s">
        <v>1</v>
      </c>
      <c r="D1232" t="s">
        <v>10</v>
      </c>
      <c r="E1232" t="s">
        <v>11</v>
      </c>
      <c r="F1232">
        <v>222137</v>
      </c>
      <c r="G1232">
        <v>-73264</v>
      </c>
      <c r="H1232">
        <v>38421</v>
      </c>
      <c r="I1232">
        <v>222137</v>
      </c>
      <c r="J1232">
        <v>22213</v>
      </c>
      <c r="K1232">
        <v>11106</v>
      </c>
      <c r="L1232">
        <v>50502</v>
      </c>
      <c r="M1232">
        <v>10100</v>
      </c>
      <c r="N1232">
        <v>15150</v>
      </c>
      <c r="O1232">
        <v>5050</v>
      </c>
      <c r="P1232">
        <v>-20200</v>
      </c>
      <c r="Q1232">
        <v>-12625</v>
      </c>
      <c r="R1232">
        <v>59373</v>
      </c>
      <c r="S1232">
        <v>17811</v>
      </c>
      <c r="T1232">
        <v>5937</v>
      </c>
      <c r="U1232">
        <v>2525</v>
      </c>
      <c r="V1232">
        <v>1515</v>
      </c>
      <c r="W1232">
        <v>1010</v>
      </c>
      <c r="X1232">
        <v>5050</v>
      </c>
      <c r="Y1232">
        <v>2525</v>
      </c>
      <c r="Z1232">
        <v>2968</v>
      </c>
      <c r="AA1232">
        <v>1781</v>
      </c>
      <c r="AB1232">
        <v>1187</v>
      </c>
    </row>
    <row r="1233" spans="1:28" x14ac:dyDescent="0.35">
      <c r="A1233" t="s">
        <v>1278</v>
      </c>
      <c r="B1233" t="s">
        <v>9</v>
      </c>
      <c r="C1233" t="s">
        <v>1</v>
      </c>
      <c r="D1233" t="s">
        <v>10</v>
      </c>
      <c r="E1233" t="s">
        <v>11</v>
      </c>
      <c r="F1233">
        <v>498411</v>
      </c>
      <c r="G1233">
        <v>-276705</v>
      </c>
      <c r="H1233">
        <v>124789</v>
      </c>
      <c r="I1233">
        <v>498411</v>
      </c>
      <c r="J1233">
        <v>49841</v>
      </c>
      <c r="K1233">
        <v>24920</v>
      </c>
      <c r="L1233">
        <v>293032</v>
      </c>
      <c r="M1233">
        <v>58606</v>
      </c>
      <c r="N1233">
        <v>87909</v>
      </c>
      <c r="O1233">
        <v>29303</v>
      </c>
      <c r="P1233">
        <v>-117212</v>
      </c>
      <c r="Q1233">
        <v>-73258</v>
      </c>
      <c r="R1233">
        <v>308779</v>
      </c>
      <c r="S1233">
        <v>92633</v>
      </c>
      <c r="T1233">
        <v>30877</v>
      </c>
      <c r="U1233">
        <v>14651</v>
      </c>
      <c r="V1233">
        <v>8790</v>
      </c>
      <c r="W1233">
        <v>5860</v>
      </c>
      <c r="X1233">
        <v>29303</v>
      </c>
      <c r="Y1233">
        <v>14651</v>
      </c>
      <c r="Z1233">
        <v>15438</v>
      </c>
      <c r="AA1233">
        <v>9263</v>
      </c>
      <c r="AB1233">
        <v>6175</v>
      </c>
    </row>
    <row r="1234" spans="1:28" x14ac:dyDescent="0.35">
      <c r="A1234" t="s">
        <v>1279</v>
      </c>
      <c r="B1234" t="s">
        <v>9</v>
      </c>
      <c r="C1234" t="s">
        <v>1</v>
      </c>
      <c r="D1234" t="s">
        <v>10</v>
      </c>
      <c r="E1234" t="s">
        <v>11</v>
      </c>
      <c r="F1234">
        <v>280949</v>
      </c>
      <c r="G1234">
        <v>-130200</v>
      </c>
      <c r="H1234">
        <v>72031</v>
      </c>
      <c r="I1234">
        <v>280949</v>
      </c>
      <c r="J1234">
        <v>28094</v>
      </c>
      <c r="K1234">
        <v>14047</v>
      </c>
      <c r="L1234">
        <v>126624</v>
      </c>
      <c r="M1234">
        <v>25324</v>
      </c>
      <c r="N1234">
        <v>37987</v>
      </c>
      <c r="O1234">
        <v>12662</v>
      </c>
      <c r="P1234">
        <v>-50649</v>
      </c>
      <c r="Q1234">
        <v>-31656</v>
      </c>
      <c r="R1234">
        <v>137978</v>
      </c>
      <c r="S1234">
        <v>41393</v>
      </c>
      <c r="T1234">
        <v>13797</v>
      </c>
      <c r="U1234">
        <v>6331</v>
      </c>
      <c r="V1234">
        <v>3798</v>
      </c>
      <c r="W1234">
        <v>2532</v>
      </c>
      <c r="X1234">
        <v>12662</v>
      </c>
      <c r="Y1234">
        <v>6331</v>
      </c>
      <c r="Z1234">
        <v>6898</v>
      </c>
      <c r="AA1234">
        <v>4139</v>
      </c>
      <c r="AB1234">
        <v>2759</v>
      </c>
    </row>
    <row r="1235" spans="1:28" x14ac:dyDescent="0.35">
      <c r="A1235" t="s">
        <v>1280</v>
      </c>
      <c r="B1235" t="s">
        <v>9</v>
      </c>
      <c r="C1235" t="s">
        <v>1</v>
      </c>
      <c r="D1235" t="s">
        <v>10</v>
      </c>
      <c r="E1235" t="s">
        <v>11</v>
      </c>
      <c r="F1235">
        <v>183837</v>
      </c>
      <c r="G1235">
        <v>-51290</v>
      </c>
      <c r="H1235">
        <v>64543</v>
      </c>
      <c r="I1235">
        <v>183837</v>
      </c>
      <c r="J1235">
        <v>18383</v>
      </c>
      <c r="K1235">
        <v>9191</v>
      </c>
      <c r="L1235">
        <v>46072</v>
      </c>
      <c r="M1235">
        <v>9214</v>
      </c>
      <c r="N1235">
        <v>13821</v>
      </c>
      <c r="O1235">
        <v>4607</v>
      </c>
      <c r="P1235">
        <v>-18428</v>
      </c>
      <c r="Q1235">
        <v>-11518</v>
      </c>
      <c r="R1235">
        <v>41338</v>
      </c>
      <c r="S1235">
        <v>12401</v>
      </c>
      <c r="T1235">
        <v>4133</v>
      </c>
      <c r="U1235">
        <v>2303</v>
      </c>
      <c r="V1235">
        <v>1382</v>
      </c>
      <c r="W1235">
        <v>921</v>
      </c>
      <c r="X1235">
        <v>4607</v>
      </c>
      <c r="Y1235">
        <v>2303</v>
      </c>
      <c r="Z1235">
        <v>2066</v>
      </c>
      <c r="AA1235">
        <v>1240</v>
      </c>
      <c r="AB1235">
        <v>826</v>
      </c>
    </row>
    <row r="1236" spans="1:28" x14ac:dyDescent="0.35">
      <c r="A1236" t="s">
        <v>1281</v>
      </c>
      <c r="B1236" t="s">
        <v>9</v>
      </c>
      <c r="C1236" t="s">
        <v>1</v>
      </c>
      <c r="D1236" t="s">
        <v>10</v>
      </c>
      <c r="E1236" t="s">
        <v>11</v>
      </c>
      <c r="F1236">
        <v>360926</v>
      </c>
      <c r="G1236">
        <v>-89930</v>
      </c>
      <c r="H1236">
        <v>119841</v>
      </c>
      <c r="I1236">
        <v>360926</v>
      </c>
      <c r="J1236">
        <v>36092</v>
      </c>
      <c r="K1236">
        <v>18046</v>
      </c>
      <c r="L1236">
        <v>87814</v>
      </c>
      <c r="M1236">
        <v>17562</v>
      </c>
      <c r="N1236">
        <v>26344</v>
      </c>
      <c r="O1236">
        <v>8781</v>
      </c>
      <c r="P1236">
        <v>-35125</v>
      </c>
      <c r="Q1236">
        <v>-21953</v>
      </c>
      <c r="R1236">
        <v>84073</v>
      </c>
      <c r="S1236">
        <v>25221</v>
      </c>
      <c r="T1236">
        <v>8407</v>
      </c>
      <c r="U1236">
        <v>4390</v>
      </c>
      <c r="V1236">
        <v>2634</v>
      </c>
      <c r="W1236">
        <v>1756</v>
      </c>
      <c r="X1236">
        <v>8781</v>
      </c>
      <c r="Y1236">
        <v>4390</v>
      </c>
      <c r="Z1236">
        <v>4203</v>
      </c>
      <c r="AA1236">
        <v>2522</v>
      </c>
      <c r="AB1236">
        <v>1681</v>
      </c>
    </row>
    <row r="1237" spans="1:28" x14ac:dyDescent="0.35">
      <c r="A1237" t="s">
        <v>1282</v>
      </c>
      <c r="B1237" t="s">
        <v>9</v>
      </c>
      <c r="C1237" t="s">
        <v>1</v>
      </c>
      <c r="D1237" t="s">
        <v>10</v>
      </c>
      <c r="E1237" t="s">
        <v>11</v>
      </c>
      <c r="F1237">
        <v>192206</v>
      </c>
      <c r="G1237">
        <v>-88846</v>
      </c>
      <c r="H1237">
        <v>29722</v>
      </c>
      <c r="I1237">
        <v>192206</v>
      </c>
      <c r="J1237">
        <v>19220</v>
      </c>
      <c r="K1237">
        <v>9610</v>
      </c>
      <c r="L1237">
        <v>63326</v>
      </c>
      <c r="M1237">
        <v>12665</v>
      </c>
      <c r="N1237">
        <v>18997</v>
      </c>
      <c r="O1237">
        <v>6332</v>
      </c>
      <c r="P1237">
        <v>-25330</v>
      </c>
      <c r="Q1237">
        <v>-15831</v>
      </c>
      <c r="R1237">
        <v>57300</v>
      </c>
      <c r="S1237">
        <v>17190</v>
      </c>
      <c r="T1237">
        <v>5730</v>
      </c>
      <c r="U1237">
        <v>3166</v>
      </c>
      <c r="V1237">
        <v>1899</v>
      </c>
      <c r="W1237">
        <v>1266</v>
      </c>
      <c r="X1237">
        <v>6332</v>
      </c>
      <c r="Y1237">
        <v>3166</v>
      </c>
      <c r="Z1237">
        <v>2865</v>
      </c>
      <c r="AA1237">
        <v>1719</v>
      </c>
      <c r="AB1237">
        <v>1146</v>
      </c>
    </row>
    <row r="1238" spans="1:28" x14ac:dyDescent="0.35">
      <c r="A1238" t="s">
        <v>1283</v>
      </c>
      <c r="B1238" t="s">
        <v>9</v>
      </c>
      <c r="C1238" t="s">
        <v>1</v>
      </c>
      <c r="D1238" t="s">
        <v>10</v>
      </c>
      <c r="E1238" t="s">
        <v>11</v>
      </c>
      <c r="F1238">
        <v>140873</v>
      </c>
      <c r="G1238">
        <v>-50153</v>
      </c>
      <c r="H1238">
        <v>65430</v>
      </c>
      <c r="I1238">
        <v>140873</v>
      </c>
      <c r="J1238">
        <v>14087</v>
      </c>
      <c r="K1238">
        <v>7043</v>
      </c>
      <c r="L1238">
        <v>96286</v>
      </c>
      <c r="M1238">
        <v>19257</v>
      </c>
      <c r="N1238">
        <v>28885</v>
      </c>
      <c r="O1238">
        <v>9628</v>
      </c>
      <c r="P1238">
        <v>-38514</v>
      </c>
      <c r="Q1238">
        <v>-24071</v>
      </c>
      <c r="R1238">
        <v>92722</v>
      </c>
      <c r="S1238">
        <v>27816</v>
      </c>
      <c r="T1238">
        <v>9272</v>
      </c>
      <c r="U1238">
        <v>4814</v>
      </c>
      <c r="V1238">
        <v>2888</v>
      </c>
      <c r="W1238">
        <v>1925</v>
      </c>
      <c r="X1238">
        <v>9628</v>
      </c>
      <c r="Y1238">
        <v>4814</v>
      </c>
      <c r="Z1238">
        <v>4636</v>
      </c>
      <c r="AA1238">
        <v>2781</v>
      </c>
      <c r="AB1238">
        <v>1854</v>
      </c>
    </row>
    <row r="1239" spans="1:28" x14ac:dyDescent="0.35">
      <c r="A1239" t="s">
        <v>1284</v>
      </c>
      <c r="B1239" t="s">
        <v>9</v>
      </c>
      <c r="C1239" t="s">
        <v>1</v>
      </c>
      <c r="D1239" t="s">
        <v>10</v>
      </c>
      <c r="E1239" t="s">
        <v>11</v>
      </c>
      <c r="F1239">
        <v>269523</v>
      </c>
      <c r="G1239">
        <v>-115169</v>
      </c>
      <c r="H1239">
        <v>32748</v>
      </c>
      <c r="I1239">
        <v>269523</v>
      </c>
      <c r="J1239">
        <v>26952</v>
      </c>
      <c r="K1239">
        <v>13476</v>
      </c>
      <c r="L1239">
        <v>86190</v>
      </c>
      <c r="M1239">
        <v>17238</v>
      </c>
      <c r="N1239">
        <v>25857</v>
      </c>
      <c r="O1239">
        <v>8619</v>
      </c>
      <c r="P1239">
        <v>-34476</v>
      </c>
      <c r="Q1239">
        <v>-21547</v>
      </c>
      <c r="R1239">
        <v>92126</v>
      </c>
      <c r="S1239">
        <v>27637</v>
      </c>
      <c r="T1239">
        <v>9212</v>
      </c>
      <c r="U1239">
        <v>4309</v>
      </c>
      <c r="V1239">
        <v>2585</v>
      </c>
      <c r="W1239">
        <v>1723</v>
      </c>
      <c r="X1239">
        <v>8619</v>
      </c>
      <c r="Y1239">
        <v>4309</v>
      </c>
      <c r="Z1239">
        <v>4606</v>
      </c>
      <c r="AA1239">
        <v>2763</v>
      </c>
      <c r="AB1239">
        <v>1842</v>
      </c>
    </row>
    <row r="1240" spans="1:28" x14ac:dyDescent="0.35">
      <c r="A1240" t="s">
        <v>1285</v>
      </c>
      <c r="B1240" t="s">
        <v>9</v>
      </c>
      <c r="C1240" t="s">
        <v>1</v>
      </c>
      <c r="D1240" t="s">
        <v>10</v>
      </c>
      <c r="E1240" t="s">
        <v>11</v>
      </c>
      <c r="F1240">
        <v>80225</v>
      </c>
      <c r="G1240">
        <v>-36141</v>
      </c>
      <c r="H1240">
        <v>16142</v>
      </c>
      <c r="I1240">
        <v>80225</v>
      </c>
      <c r="J1240">
        <v>8022</v>
      </c>
      <c r="K1240">
        <v>4011</v>
      </c>
      <c r="L1240">
        <v>48618</v>
      </c>
      <c r="M1240">
        <v>9723</v>
      </c>
      <c r="N1240">
        <v>14585</v>
      </c>
      <c r="O1240">
        <v>4861</v>
      </c>
      <c r="P1240">
        <v>-19447</v>
      </c>
      <c r="Q1240">
        <v>-12154</v>
      </c>
      <c r="R1240">
        <v>50613</v>
      </c>
      <c r="S1240">
        <v>15183</v>
      </c>
      <c r="T1240">
        <v>5061</v>
      </c>
      <c r="U1240">
        <v>2430</v>
      </c>
      <c r="V1240">
        <v>1458</v>
      </c>
      <c r="W1240">
        <v>972</v>
      </c>
      <c r="X1240">
        <v>4861</v>
      </c>
      <c r="Y1240">
        <v>2430</v>
      </c>
      <c r="Z1240">
        <v>2530</v>
      </c>
      <c r="AA1240">
        <v>1518</v>
      </c>
      <c r="AB1240">
        <v>1012</v>
      </c>
    </row>
    <row r="1241" spans="1:28" x14ac:dyDescent="0.35">
      <c r="A1241" t="s">
        <v>1286</v>
      </c>
      <c r="B1241" t="s">
        <v>9</v>
      </c>
      <c r="C1241" t="s">
        <v>1</v>
      </c>
      <c r="D1241" t="s">
        <v>10</v>
      </c>
      <c r="E1241" t="s">
        <v>11</v>
      </c>
      <c r="F1241">
        <v>256282</v>
      </c>
      <c r="G1241">
        <v>-124770</v>
      </c>
      <c r="H1241">
        <v>121556</v>
      </c>
      <c r="I1241">
        <v>256282</v>
      </c>
      <c r="J1241">
        <v>25628</v>
      </c>
      <c r="K1241">
        <v>12814</v>
      </c>
      <c r="L1241">
        <v>136463</v>
      </c>
      <c r="M1241">
        <v>27292</v>
      </c>
      <c r="N1241">
        <v>40938</v>
      </c>
      <c r="O1241">
        <v>13646</v>
      </c>
      <c r="P1241">
        <v>-54585</v>
      </c>
      <c r="Q1241">
        <v>-34115</v>
      </c>
      <c r="R1241">
        <v>147602</v>
      </c>
      <c r="S1241">
        <v>44280</v>
      </c>
      <c r="T1241">
        <v>14760</v>
      </c>
      <c r="U1241">
        <v>6823</v>
      </c>
      <c r="V1241">
        <v>4093</v>
      </c>
      <c r="W1241">
        <v>2729</v>
      </c>
      <c r="X1241">
        <v>13646</v>
      </c>
      <c r="Y1241">
        <v>6823</v>
      </c>
      <c r="Z1241">
        <v>7380</v>
      </c>
      <c r="AA1241">
        <v>4428</v>
      </c>
      <c r="AB1241">
        <v>2952</v>
      </c>
    </row>
    <row r="1242" spans="1:28" x14ac:dyDescent="0.35">
      <c r="A1242" t="s">
        <v>1287</v>
      </c>
      <c r="B1242" t="s">
        <v>9</v>
      </c>
      <c r="C1242" t="s">
        <v>1</v>
      </c>
      <c r="D1242" t="s">
        <v>10</v>
      </c>
      <c r="E1242" t="s">
        <v>11</v>
      </c>
      <c r="F1242">
        <v>229286</v>
      </c>
      <c r="G1242">
        <v>-61749</v>
      </c>
      <c r="H1242">
        <v>96864</v>
      </c>
      <c r="I1242">
        <v>229286</v>
      </c>
      <c r="J1242">
        <v>22928</v>
      </c>
      <c r="K1242">
        <v>11464</v>
      </c>
      <c r="L1242">
        <v>170870</v>
      </c>
      <c r="M1242">
        <v>34174</v>
      </c>
      <c r="N1242">
        <v>51261</v>
      </c>
      <c r="O1242">
        <v>17087</v>
      </c>
      <c r="P1242">
        <v>-68348</v>
      </c>
      <c r="Q1242">
        <v>-42717</v>
      </c>
      <c r="R1242">
        <v>148868</v>
      </c>
      <c r="S1242">
        <v>44660</v>
      </c>
      <c r="T1242">
        <v>14886</v>
      </c>
      <c r="U1242">
        <v>8543</v>
      </c>
      <c r="V1242">
        <v>5126</v>
      </c>
      <c r="W1242">
        <v>3417</v>
      </c>
      <c r="X1242">
        <v>17087</v>
      </c>
      <c r="Y1242">
        <v>8543</v>
      </c>
      <c r="Z1242">
        <v>7443</v>
      </c>
      <c r="AA1242">
        <v>4466</v>
      </c>
      <c r="AB1242">
        <v>2977</v>
      </c>
    </row>
    <row r="1243" spans="1:28" x14ac:dyDescent="0.35">
      <c r="A1243" t="s">
        <v>1288</v>
      </c>
      <c r="B1243" t="s">
        <v>9</v>
      </c>
      <c r="C1243" t="s">
        <v>1</v>
      </c>
      <c r="D1243" t="s">
        <v>10</v>
      </c>
      <c r="E1243" t="s">
        <v>11</v>
      </c>
      <c r="F1243">
        <v>326645</v>
      </c>
      <c r="G1243">
        <v>-96182</v>
      </c>
      <c r="H1243">
        <v>44324</v>
      </c>
      <c r="I1243">
        <v>326645</v>
      </c>
      <c r="J1243">
        <v>32664</v>
      </c>
      <c r="K1243">
        <v>16332</v>
      </c>
      <c r="L1243">
        <v>101403</v>
      </c>
      <c r="M1243">
        <v>20280</v>
      </c>
      <c r="N1243">
        <v>30420</v>
      </c>
      <c r="O1243">
        <v>10140</v>
      </c>
      <c r="P1243">
        <v>-40561</v>
      </c>
      <c r="Q1243">
        <v>-25350</v>
      </c>
      <c r="R1243">
        <v>90969</v>
      </c>
      <c r="S1243">
        <v>27290</v>
      </c>
      <c r="T1243">
        <v>9096</v>
      </c>
      <c r="U1243">
        <v>5070</v>
      </c>
      <c r="V1243">
        <v>3042</v>
      </c>
      <c r="W1243">
        <v>2028</v>
      </c>
      <c r="X1243">
        <v>10140</v>
      </c>
      <c r="Y1243">
        <v>5070</v>
      </c>
      <c r="Z1243">
        <v>4548</v>
      </c>
      <c r="AA1243">
        <v>2729</v>
      </c>
      <c r="AB1243">
        <v>1819</v>
      </c>
    </row>
    <row r="1244" spans="1:28" x14ac:dyDescent="0.35">
      <c r="A1244" t="s">
        <v>1289</v>
      </c>
      <c r="B1244" t="s">
        <v>9</v>
      </c>
      <c r="C1244" t="s">
        <v>1</v>
      </c>
      <c r="D1244" t="s">
        <v>10</v>
      </c>
      <c r="E1244" t="s">
        <v>11</v>
      </c>
      <c r="F1244">
        <v>288016</v>
      </c>
      <c r="G1244">
        <v>-58607</v>
      </c>
      <c r="H1244">
        <v>73286</v>
      </c>
      <c r="I1244">
        <v>288016</v>
      </c>
      <c r="J1244">
        <v>28801</v>
      </c>
      <c r="K1244">
        <v>14400</v>
      </c>
      <c r="L1244">
        <v>112619</v>
      </c>
      <c r="M1244">
        <v>22523</v>
      </c>
      <c r="N1244">
        <v>33785</v>
      </c>
      <c r="O1244">
        <v>11261</v>
      </c>
      <c r="P1244">
        <v>-45047</v>
      </c>
      <c r="Q1244">
        <v>-28154</v>
      </c>
      <c r="R1244">
        <v>123912</v>
      </c>
      <c r="S1244">
        <v>37173</v>
      </c>
      <c r="T1244">
        <v>12391</v>
      </c>
      <c r="U1244">
        <v>5630</v>
      </c>
      <c r="V1244">
        <v>3378</v>
      </c>
      <c r="W1244">
        <v>2252</v>
      </c>
      <c r="X1244">
        <v>11261</v>
      </c>
      <c r="Y1244">
        <v>5630</v>
      </c>
      <c r="Z1244">
        <v>6195</v>
      </c>
      <c r="AA1244">
        <v>3717</v>
      </c>
      <c r="AB1244">
        <v>2478</v>
      </c>
    </row>
    <row r="1245" spans="1:28" x14ac:dyDescent="0.35">
      <c r="A1245" t="s">
        <v>1290</v>
      </c>
      <c r="B1245" t="s">
        <v>9</v>
      </c>
      <c r="C1245" t="s">
        <v>1</v>
      </c>
      <c r="D1245" t="s">
        <v>10</v>
      </c>
      <c r="E1245" t="s">
        <v>11</v>
      </c>
      <c r="F1245">
        <v>181049</v>
      </c>
      <c r="G1245">
        <v>-54208</v>
      </c>
      <c r="H1245">
        <v>46248</v>
      </c>
      <c r="I1245">
        <v>181049</v>
      </c>
      <c r="J1245">
        <v>18104</v>
      </c>
      <c r="K1245">
        <v>9052</v>
      </c>
      <c r="L1245">
        <v>69881</v>
      </c>
      <c r="M1245">
        <v>13976</v>
      </c>
      <c r="N1245">
        <v>20964</v>
      </c>
      <c r="O1245">
        <v>6988</v>
      </c>
      <c r="P1245">
        <v>-27952</v>
      </c>
      <c r="Q1245">
        <v>-17470</v>
      </c>
      <c r="R1245">
        <v>82705</v>
      </c>
      <c r="S1245">
        <v>24811</v>
      </c>
      <c r="T1245">
        <v>8270</v>
      </c>
      <c r="U1245">
        <v>3494</v>
      </c>
      <c r="V1245">
        <v>2096</v>
      </c>
      <c r="W1245">
        <v>1397</v>
      </c>
      <c r="X1245">
        <v>6988</v>
      </c>
      <c r="Y1245">
        <v>3494</v>
      </c>
      <c r="Z1245">
        <v>4135</v>
      </c>
      <c r="AA1245">
        <v>2481</v>
      </c>
      <c r="AB1245">
        <v>1654</v>
      </c>
    </row>
    <row r="1246" spans="1:28" x14ac:dyDescent="0.35">
      <c r="A1246" t="s">
        <v>1291</v>
      </c>
      <c r="B1246" t="s">
        <v>9</v>
      </c>
      <c r="C1246" t="s">
        <v>1</v>
      </c>
      <c r="D1246" t="s">
        <v>10</v>
      </c>
      <c r="E1246" t="s">
        <v>11</v>
      </c>
      <c r="F1246">
        <v>73236</v>
      </c>
      <c r="G1246">
        <v>-38467</v>
      </c>
      <c r="H1246">
        <v>17716</v>
      </c>
      <c r="I1246">
        <v>73236</v>
      </c>
      <c r="J1246">
        <v>7323</v>
      </c>
      <c r="K1246">
        <v>3661</v>
      </c>
      <c r="L1246">
        <v>16022</v>
      </c>
      <c r="M1246">
        <v>3204</v>
      </c>
      <c r="N1246">
        <v>4806</v>
      </c>
      <c r="O1246">
        <v>1602</v>
      </c>
      <c r="P1246">
        <v>-6408</v>
      </c>
      <c r="Q1246">
        <v>-4005</v>
      </c>
      <c r="R1246">
        <v>16967</v>
      </c>
      <c r="S1246">
        <v>5090</v>
      </c>
      <c r="T1246">
        <v>1696</v>
      </c>
      <c r="U1246">
        <v>801</v>
      </c>
      <c r="V1246">
        <v>480</v>
      </c>
      <c r="W1246">
        <v>320</v>
      </c>
      <c r="X1246">
        <v>1602</v>
      </c>
      <c r="Y1246">
        <v>801</v>
      </c>
      <c r="Z1246">
        <v>848</v>
      </c>
      <c r="AA1246">
        <v>509</v>
      </c>
      <c r="AB1246">
        <v>339</v>
      </c>
    </row>
    <row r="1247" spans="1:28" x14ac:dyDescent="0.35">
      <c r="A1247" t="s">
        <v>1292</v>
      </c>
      <c r="B1247" t="s">
        <v>9</v>
      </c>
      <c r="C1247" t="s">
        <v>1</v>
      </c>
      <c r="D1247" t="s">
        <v>10</v>
      </c>
      <c r="E1247" t="s">
        <v>11</v>
      </c>
      <c r="F1247">
        <v>56676</v>
      </c>
      <c r="G1247">
        <v>-28690</v>
      </c>
      <c r="H1247">
        <v>14965</v>
      </c>
      <c r="I1247">
        <v>56676</v>
      </c>
      <c r="J1247">
        <v>5667</v>
      </c>
      <c r="K1247">
        <v>2833</v>
      </c>
      <c r="L1247">
        <v>39339</v>
      </c>
      <c r="M1247">
        <v>7867</v>
      </c>
      <c r="N1247">
        <v>11801</v>
      </c>
      <c r="O1247">
        <v>3933</v>
      </c>
      <c r="P1247">
        <v>-15735</v>
      </c>
      <c r="Q1247">
        <v>-9834</v>
      </c>
      <c r="R1247">
        <v>36012</v>
      </c>
      <c r="S1247">
        <v>10803</v>
      </c>
      <c r="T1247">
        <v>3601</v>
      </c>
      <c r="U1247">
        <v>1966</v>
      </c>
      <c r="V1247">
        <v>1180</v>
      </c>
      <c r="W1247">
        <v>786</v>
      </c>
      <c r="X1247">
        <v>3933</v>
      </c>
      <c r="Y1247">
        <v>1966</v>
      </c>
      <c r="Z1247">
        <v>1800</v>
      </c>
      <c r="AA1247">
        <v>1080</v>
      </c>
      <c r="AB1247">
        <v>720</v>
      </c>
    </row>
    <row r="1248" spans="1:28" x14ac:dyDescent="0.35">
      <c r="A1248" t="s">
        <v>1293</v>
      </c>
      <c r="B1248" t="s">
        <v>9</v>
      </c>
      <c r="C1248" t="s">
        <v>1</v>
      </c>
      <c r="D1248" t="s">
        <v>10</v>
      </c>
      <c r="E1248" t="s">
        <v>11</v>
      </c>
      <c r="F1248">
        <v>90102</v>
      </c>
      <c r="G1248">
        <v>-40864</v>
      </c>
      <c r="H1248">
        <v>21247</v>
      </c>
      <c r="I1248">
        <v>90102</v>
      </c>
      <c r="J1248">
        <v>9010</v>
      </c>
      <c r="K1248">
        <v>4505</v>
      </c>
      <c r="L1248">
        <v>47670</v>
      </c>
      <c r="M1248">
        <v>9534</v>
      </c>
      <c r="N1248">
        <v>14301</v>
      </c>
      <c r="O1248">
        <v>4767</v>
      </c>
      <c r="P1248">
        <v>-19068</v>
      </c>
      <c r="Q1248">
        <v>-11917</v>
      </c>
      <c r="R1248">
        <v>51047</v>
      </c>
      <c r="S1248">
        <v>15314</v>
      </c>
      <c r="T1248">
        <v>5104</v>
      </c>
      <c r="U1248">
        <v>2383</v>
      </c>
      <c r="V1248">
        <v>1430</v>
      </c>
      <c r="W1248">
        <v>953</v>
      </c>
      <c r="X1248">
        <v>4767</v>
      </c>
      <c r="Y1248">
        <v>2383</v>
      </c>
      <c r="Z1248">
        <v>2552</v>
      </c>
      <c r="AA1248">
        <v>1531</v>
      </c>
      <c r="AB1248">
        <v>1020</v>
      </c>
    </row>
    <row r="1249" spans="1:28" x14ac:dyDescent="0.35">
      <c r="A1249" t="s">
        <v>1294</v>
      </c>
      <c r="B1249" t="s">
        <v>9</v>
      </c>
      <c r="C1249" t="s">
        <v>1</v>
      </c>
      <c r="D1249" t="s">
        <v>10</v>
      </c>
      <c r="E1249" t="s">
        <v>11</v>
      </c>
      <c r="F1249">
        <v>486734</v>
      </c>
      <c r="G1249">
        <v>-110057</v>
      </c>
      <c r="H1249">
        <v>175566</v>
      </c>
      <c r="I1249">
        <v>486734</v>
      </c>
      <c r="J1249">
        <v>48673</v>
      </c>
      <c r="K1249">
        <v>24336</v>
      </c>
      <c r="L1249">
        <v>337940</v>
      </c>
      <c r="M1249">
        <v>67588</v>
      </c>
      <c r="N1249">
        <v>101382</v>
      </c>
      <c r="O1249">
        <v>33794</v>
      </c>
      <c r="P1249">
        <v>-135176</v>
      </c>
      <c r="Q1249">
        <v>-84485</v>
      </c>
      <c r="R1249">
        <v>316688</v>
      </c>
      <c r="S1249">
        <v>95006</v>
      </c>
      <c r="T1249">
        <v>31668</v>
      </c>
      <c r="U1249">
        <v>16897</v>
      </c>
      <c r="V1249">
        <v>10138</v>
      </c>
      <c r="W1249">
        <v>6758</v>
      </c>
      <c r="X1249">
        <v>33794</v>
      </c>
      <c r="Y1249">
        <v>16897</v>
      </c>
      <c r="Z1249">
        <v>15834</v>
      </c>
      <c r="AA1249">
        <v>9500</v>
      </c>
      <c r="AB1249">
        <v>6333</v>
      </c>
    </row>
    <row r="1250" spans="1:28" x14ac:dyDescent="0.35">
      <c r="A1250" t="s">
        <v>1295</v>
      </c>
      <c r="B1250" t="s">
        <v>9</v>
      </c>
      <c r="C1250" t="s">
        <v>1</v>
      </c>
      <c r="D1250" t="s">
        <v>10</v>
      </c>
      <c r="E1250" t="s">
        <v>11</v>
      </c>
      <c r="F1250">
        <v>171189</v>
      </c>
      <c r="G1250">
        <v>-49027</v>
      </c>
      <c r="H1250">
        <v>38426</v>
      </c>
      <c r="I1250">
        <v>171189</v>
      </c>
      <c r="J1250">
        <v>17118</v>
      </c>
      <c r="K1250">
        <v>8559</v>
      </c>
      <c r="L1250">
        <v>79453</v>
      </c>
      <c r="M1250">
        <v>15890</v>
      </c>
      <c r="N1250">
        <v>23835</v>
      </c>
      <c r="O1250">
        <v>7945</v>
      </c>
      <c r="P1250">
        <v>-31781</v>
      </c>
      <c r="Q1250">
        <v>-19863</v>
      </c>
      <c r="R1250">
        <v>67272</v>
      </c>
      <c r="S1250">
        <v>20181</v>
      </c>
      <c r="T1250">
        <v>6727</v>
      </c>
      <c r="U1250">
        <v>3972</v>
      </c>
      <c r="V1250">
        <v>2383</v>
      </c>
      <c r="W1250">
        <v>1589</v>
      </c>
      <c r="X1250">
        <v>7945</v>
      </c>
      <c r="Y1250">
        <v>3972</v>
      </c>
      <c r="Z1250">
        <v>3363</v>
      </c>
      <c r="AA1250">
        <v>2018</v>
      </c>
      <c r="AB1250">
        <v>1345</v>
      </c>
    </row>
    <row r="1251" spans="1:28" x14ac:dyDescent="0.35">
      <c r="A1251" t="s">
        <v>1296</v>
      </c>
      <c r="B1251" t="s">
        <v>9</v>
      </c>
      <c r="C1251" t="s">
        <v>1</v>
      </c>
      <c r="D1251" t="s">
        <v>10</v>
      </c>
      <c r="E1251" t="s">
        <v>11</v>
      </c>
      <c r="F1251">
        <v>181962</v>
      </c>
      <c r="G1251">
        <v>-81189</v>
      </c>
      <c r="H1251">
        <v>75735</v>
      </c>
      <c r="I1251">
        <v>181962</v>
      </c>
      <c r="J1251">
        <v>18196</v>
      </c>
      <c r="K1251">
        <v>9098</v>
      </c>
      <c r="L1251">
        <v>54961</v>
      </c>
      <c r="M1251">
        <v>10992</v>
      </c>
      <c r="N1251">
        <v>16488</v>
      </c>
      <c r="O1251">
        <v>5496</v>
      </c>
      <c r="P1251">
        <v>-21984</v>
      </c>
      <c r="Q1251">
        <v>-13740</v>
      </c>
      <c r="R1251">
        <v>59395</v>
      </c>
      <c r="S1251">
        <v>17818</v>
      </c>
      <c r="T1251">
        <v>5939</v>
      </c>
      <c r="U1251">
        <v>2748</v>
      </c>
      <c r="V1251">
        <v>1648</v>
      </c>
      <c r="W1251">
        <v>1099</v>
      </c>
      <c r="X1251">
        <v>5496</v>
      </c>
      <c r="Y1251">
        <v>2748</v>
      </c>
      <c r="Z1251">
        <v>2969</v>
      </c>
      <c r="AA1251">
        <v>1781</v>
      </c>
      <c r="AB1251">
        <v>1187</v>
      </c>
    </row>
    <row r="1252" spans="1:28" x14ac:dyDescent="0.35">
      <c r="A1252" t="s">
        <v>1297</v>
      </c>
      <c r="B1252" t="s">
        <v>9</v>
      </c>
      <c r="C1252" t="s">
        <v>1</v>
      </c>
      <c r="D1252" t="s">
        <v>10</v>
      </c>
      <c r="E1252" t="s">
        <v>11</v>
      </c>
      <c r="F1252">
        <v>54366</v>
      </c>
      <c r="G1252">
        <v>-29583</v>
      </c>
      <c r="H1252">
        <v>26549</v>
      </c>
      <c r="I1252">
        <v>54366</v>
      </c>
      <c r="J1252">
        <v>5436</v>
      </c>
      <c r="K1252">
        <v>2718</v>
      </c>
      <c r="L1252">
        <v>37419</v>
      </c>
      <c r="M1252">
        <v>7483</v>
      </c>
      <c r="N1252">
        <v>11225</v>
      </c>
      <c r="O1252">
        <v>3741</v>
      </c>
      <c r="P1252">
        <v>-14967</v>
      </c>
      <c r="Q1252">
        <v>-9354</v>
      </c>
      <c r="R1252">
        <v>38682</v>
      </c>
      <c r="S1252">
        <v>11604</v>
      </c>
      <c r="T1252">
        <v>3868</v>
      </c>
      <c r="U1252">
        <v>1870</v>
      </c>
      <c r="V1252">
        <v>1122</v>
      </c>
      <c r="W1252">
        <v>748</v>
      </c>
      <c r="X1252">
        <v>3741</v>
      </c>
      <c r="Y1252">
        <v>1870</v>
      </c>
      <c r="Z1252">
        <v>1934</v>
      </c>
      <c r="AA1252">
        <v>1160</v>
      </c>
      <c r="AB1252">
        <v>773</v>
      </c>
    </row>
    <row r="1253" spans="1:28" x14ac:dyDescent="0.35">
      <c r="A1253" t="s">
        <v>1298</v>
      </c>
      <c r="B1253" t="s">
        <v>9</v>
      </c>
      <c r="C1253" t="s">
        <v>1</v>
      </c>
      <c r="D1253" t="s">
        <v>10</v>
      </c>
      <c r="E1253" t="s">
        <v>11</v>
      </c>
      <c r="F1253">
        <v>416702</v>
      </c>
      <c r="G1253">
        <v>-244767</v>
      </c>
      <c r="H1253">
        <v>90897</v>
      </c>
      <c r="I1253">
        <v>416702</v>
      </c>
      <c r="J1253">
        <v>41670</v>
      </c>
      <c r="K1253">
        <v>20835</v>
      </c>
      <c r="L1253">
        <v>230980</v>
      </c>
      <c r="M1253">
        <v>46196</v>
      </c>
      <c r="N1253">
        <v>69294</v>
      </c>
      <c r="O1253">
        <v>23098</v>
      </c>
      <c r="P1253">
        <v>-92392</v>
      </c>
      <c r="Q1253">
        <v>-57745</v>
      </c>
      <c r="R1253">
        <v>274793</v>
      </c>
      <c r="S1253">
        <v>82437</v>
      </c>
      <c r="T1253">
        <v>27479</v>
      </c>
      <c r="U1253">
        <v>11549</v>
      </c>
      <c r="V1253">
        <v>6929</v>
      </c>
      <c r="W1253">
        <v>4619</v>
      </c>
      <c r="X1253">
        <v>23098</v>
      </c>
      <c r="Y1253">
        <v>11549</v>
      </c>
      <c r="Z1253">
        <v>13739</v>
      </c>
      <c r="AA1253">
        <v>8243</v>
      </c>
      <c r="AB1253">
        <v>5495</v>
      </c>
    </row>
    <row r="1254" spans="1:28" x14ac:dyDescent="0.35">
      <c r="A1254" t="s">
        <v>1299</v>
      </c>
      <c r="B1254" t="s">
        <v>9</v>
      </c>
      <c r="C1254" t="s">
        <v>1</v>
      </c>
      <c r="D1254" t="s">
        <v>10</v>
      </c>
      <c r="E1254" t="s">
        <v>11</v>
      </c>
      <c r="F1254">
        <v>220251</v>
      </c>
      <c r="G1254">
        <v>-120611</v>
      </c>
      <c r="H1254">
        <v>66351</v>
      </c>
      <c r="I1254">
        <v>220251</v>
      </c>
      <c r="J1254">
        <v>22025</v>
      </c>
      <c r="K1254">
        <v>11012</v>
      </c>
      <c r="L1254">
        <v>59120</v>
      </c>
      <c r="M1254">
        <v>11824</v>
      </c>
      <c r="N1254">
        <v>17736</v>
      </c>
      <c r="O1254">
        <v>5912</v>
      </c>
      <c r="P1254">
        <v>-23648</v>
      </c>
      <c r="Q1254">
        <v>-14780</v>
      </c>
      <c r="R1254">
        <v>62145</v>
      </c>
      <c r="S1254">
        <v>18643</v>
      </c>
      <c r="T1254">
        <v>6214</v>
      </c>
      <c r="U1254">
        <v>2956</v>
      </c>
      <c r="V1254">
        <v>1773</v>
      </c>
      <c r="W1254">
        <v>1182</v>
      </c>
      <c r="X1254">
        <v>5912</v>
      </c>
      <c r="Y1254">
        <v>2956</v>
      </c>
      <c r="Z1254">
        <v>3107</v>
      </c>
      <c r="AA1254">
        <v>1864</v>
      </c>
      <c r="AB1254">
        <v>1242</v>
      </c>
    </row>
    <row r="1255" spans="1:28" x14ac:dyDescent="0.35">
      <c r="A1255" t="s">
        <v>1300</v>
      </c>
      <c r="B1255" t="s">
        <v>9</v>
      </c>
      <c r="C1255" t="s">
        <v>1</v>
      </c>
      <c r="D1255" t="s">
        <v>10</v>
      </c>
      <c r="E1255" t="s">
        <v>11</v>
      </c>
      <c r="F1255">
        <v>294254</v>
      </c>
      <c r="G1255">
        <v>-87003</v>
      </c>
      <c r="H1255">
        <v>89997</v>
      </c>
      <c r="I1255">
        <v>294254</v>
      </c>
      <c r="J1255">
        <v>29425</v>
      </c>
      <c r="K1255">
        <v>14712</v>
      </c>
      <c r="L1255">
        <v>119229</v>
      </c>
      <c r="M1255">
        <v>23845</v>
      </c>
      <c r="N1255">
        <v>35768</v>
      </c>
      <c r="O1255">
        <v>11922</v>
      </c>
      <c r="P1255">
        <v>-47691</v>
      </c>
      <c r="Q1255">
        <v>-29807</v>
      </c>
      <c r="R1255">
        <v>138227</v>
      </c>
      <c r="S1255">
        <v>41468</v>
      </c>
      <c r="T1255">
        <v>13822</v>
      </c>
      <c r="U1255">
        <v>5961</v>
      </c>
      <c r="V1255">
        <v>3576</v>
      </c>
      <c r="W1255">
        <v>2384</v>
      </c>
      <c r="X1255">
        <v>11922</v>
      </c>
      <c r="Y1255">
        <v>5961</v>
      </c>
      <c r="Z1255">
        <v>6911</v>
      </c>
      <c r="AA1255">
        <v>4146</v>
      </c>
      <c r="AB1255">
        <v>2764</v>
      </c>
    </row>
    <row r="1256" spans="1:28" x14ac:dyDescent="0.35">
      <c r="A1256" t="s">
        <v>1301</v>
      </c>
      <c r="B1256" t="s">
        <v>9</v>
      </c>
      <c r="C1256" t="s">
        <v>1</v>
      </c>
      <c r="D1256" t="s">
        <v>10</v>
      </c>
      <c r="E1256" t="s">
        <v>11</v>
      </c>
      <c r="F1256">
        <v>205533</v>
      </c>
      <c r="G1256">
        <v>-108234</v>
      </c>
      <c r="H1256">
        <v>26359</v>
      </c>
      <c r="I1256">
        <v>205533</v>
      </c>
      <c r="J1256">
        <v>20553</v>
      </c>
      <c r="K1256">
        <v>10276</v>
      </c>
      <c r="L1256">
        <v>155533</v>
      </c>
      <c r="M1256">
        <v>31106</v>
      </c>
      <c r="N1256">
        <v>46659</v>
      </c>
      <c r="O1256">
        <v>15553</v>
      </c>
      <c r="P1256">
        <v>-62213</v>
      </c>
      <c r="Q1256">
        <v>-38883</v>
      </c>
      <c r="R1256">
        <v>141307</v>
      </c>
      <c r="S1256">
        <v>42392</v>
      </c>
      <c r="T1256">
        <v>14130</v>
      </c>
      <c r="U1256">
        <v>7776</v>
      </c>
      <c r="V1256">
        <v>4665</v>
      </c>
      <c r="W1256">
        <v>3110</v>
      </c>
      <c r="X1256">
        <v>15553</v>
      </c>
      <c r="Y1256">
        <v>7776</v>
      </c>
      <c r="Z1256">
        <v>7065</v>
      </c>
      <c r="AA1256">
        <v>4239</v>
      </c>
      <c r="AB1256">
        <v>2826</v>
      </c>
    </row>
    <row r="1257" spans="1:28" x14ac:dyDescent="0.35">
      <c r="A1257" t="s">
        <v>1302</v>
      </c>
      <c r="B1257" t="s">
        <v>9</v>
      </c>
      <c r="C1257" t="s">
        <v>1</v>
      </c>
      <c r="D1257" t="s">
        <v>10</v>
      </c>
      <c r="E1257" t="s">
        <v>11</v>
      </c>
      <c r="F1257">
        <v>470701</v>
      </c>
      <c r="G1257">
        <v>-207930</v>
      </c>
      <c r="H1257">
        <v>112675</v>
      </c>
      <c r="I1257">
        <v>470701</v>
      </c>
      <c r="J1257">
        <v>47070</v>
      </c>
      <c r="K1257">
        <v>23535</v>
      </c>
      <c r="L1257">
        <v>356081</v>
      </c>
      <c r="M1257">
        <v>71216</v>
      </c>
      <c r="N1257">
        <v>106824</v>
      </c>
      <c r="O1257">
        <v>35608</v>
      </c>
      <c r="P1257">
        <v>-142432</v>
      </c>
      <c r="Q1257">
        <v>-89020</v>
      </c>
      <c r="R1257">
        <v>379224</v>
      </c>
      <c r="S1257">
        <v>113767</v>
      </c>
      <c r="T1257">
        <v>37922</v>
      </c>
      <c r="U1257">
        <v>17804</v>
      </c>
      <c r="V1257">
        <v>10682</v>
      </c>
      <c r="W1257">
        <v>7121</v>
      </c>
      <c r="X1257">
        <v>35608</v>
      </c>
      <c r="Y1257">
        <v>17804</v>
      </c>
      <c r="Z1257">
        <v>18961</v>
      </c>
      <c r="AA1257">
        <v>11376</v>
      </c>
      <c r="AB1257">
        <v>7584</v>
      </c>
    </row>
    <row r="1258" spans="1:28" x14ac:dyDescent="0.35">
      <c r="A1258" t="s">
        <v>1303</v>
      </c>
      <c r="B1258" t="s">
        <v>9</v>
      </c>
      <c r="C1258" t="s">
        <v>1</v>
      </c>
      <c r="D1258" t="s">
        <v>10</v>
      </c>
      <c r="E1258" t="s">
        <v>11</v>
      </c>
      <c r="F1258">
        <v>306815</v>
      </c>
      <c r="G1258">
        <v>-89122</v>
      </c>
      <c r="H1258">
        <v>82709</v>
      </c>
      <c r="I1258">
        <v>306815</v>
      </c>
      <c r="J1258">
        <v>30681</v>
      </c>
      <c r="K1258">
        <v>15340</v>
      </c>
      <c r="L1258">
        <v>116826</v>
      </c>
      <c r="M1258">
        <v>23365</v>
      </c>
      <c r="N1258">
        <v>35047</v>
      </c>
      <c r="O1258">
        <v>11682</v>
      </c>
      <c r="P1258">
        <v>-46730</v>
      </c>
      <c r="Q1258">
        <v>-29206</v>
      </c>
      <c r="R1258">
        <v>131407</v>
      </c>
      <c r="S1258">
        <v>39422</v>
      </c>
      <c r="T1258">
        <v>13140</v>
      </c>
      <c r="U1258">
        <v>5841</v>
      </c>
      <c r="V1258">
        <v>3504</v>
      </c>
      <c r="W1258">
        <v>2336</v>
      </c>
      <c r="X1258">
        <v>11682</v>
      </c>
      <c r="Y1258">
        <v>5841</v>
      </c>
      <c r="Z1258">
        <v>6570</v>
      </c>
      <c r="AA1258">
        <v>3942</v>
      </c>
      <c r="AB1258">
        <v>2628</v>
      </c>
    </row>
    <row r="1259" spans="1:28" x14ac:dyDescent="0.35">
      <c r="A1259" t="s">
        <v>1304</v>
      </c>
      <c r="B1259" t="s">
        <v>9</v>
      </c>
      <c r="C1259" t="s">
        <v>1</v>
      </c>
      <c r="D1259" t="s">
        <v>10</v>
      </c>
      <c r="E1259" t="s">
        <v>11</v>
      </c>
      <c r="F1259">
        <v>463891</v>
      </c>
      <c r="G1259">
        <v>-185526</v>
      </c>
      <c r="H1259">
        <v>67417</v>
      </c>
      <c r="I1259">
        <v>463891</v>
      </c>
      <c r="J1259">
        <v>46389</v>
      </c>
      <c r="K1259">
        <v>23194</v>
      </c>
      <c r="L1259">
        <v>338185</v>
      </c>
      <c r="M1259">
        <v>67637</v>
      </c>
      <c r="N1259">
        <v>101455</v>
      </c>
      <c r="O1259">
        <v>33818</v>
      </c>
      <c r="P1259">
        <v>-135274</v>
      </c>
      <c r="Q1259">
        <v>-84546</v>
      </c>
      <c r="R1259">
        <v>389383</v>
      </c>
      <c r="S1259">
        <v>116814</v>
      </c>
      <c r="T1259">
        <v>38938</v>
      </c>
      <c r="U1259">
        <v>16909</v>
      </c>
      <c r="V1259">
        <v>10145</v>
      </c>
      <c r="W1259">
        <v>6763</v>
      </c>
      <c r="X1259">
        <v>33818</v>
      </c>
      <c r="Y1259">
        <v>16909</v>
      </c>
      <c r="Z1259">
        <v>19469</v>
      </c>
      <c r="AA1259">
        <v>11681</v>
      </c>
      <c r="AB1259">
        <v>7787</v>
      </c>
    </row>
    <row r="1260" spans="1:28" x14ac:dyDescent="0.35">
      <c r="A1260" t="s">
        <v>1305</v>
      </c>
      <c r="B1260" t="s">
        <v>9</v>
      </c>
      <c r="C1260" t="s">
        <v>1</v>
      </c>
      <c r="D1260" t="s">
        <v>10</v>
      </c>
      <c r="E1260" t="s">
        <v>11</v>
      </c>
      <c r="F1260">
        <v>383332</v>
      </c>
      <c r="G1260">
        <v>-120782</v>
      </c>
      <c r="H1260">
        <v>115768</v>
      </c>
      <c r="I1260">
        <v>383332</v>
      </c>
      <c r="J1260">
        <v>38333</v>
      </c>
      <c r="K1260">
        <v>19166</v>
      </c>
      <c r="L1260">
        <v>174516</v>
      </c>
      <c r="M1260">
        <v>34903</v>
      </c>
      <c r="N1260">
        <v>52354</v>
      </c>
      <c r="O1260">
        <v>17451</v>
      </c>
      <c r="P1260">
        <v>-69806</v>
      </c>
      <c r="Q1260">
        <v>-43629</v>
      </c>
      <c r="R1260">
        <v>152187</v>
      </c>
      <c r="S1260">
        <v>45656</v>
      </c>
      <c r="T1260">
        <v>15218</v>
      </c>
      <c r="U1260">
        <v>8725</v>
      </c>
      <c r="V1260">
        <v>5235</v>
      </c>
      <c r="W1260">
        <v>3490</v>
      </c>
      <c r="X1260">
        <v>17451</v>
      </c>
      <c r="Y1260">
        <v>8725</v>
      </c>
      <c r="Z1260">
        <v>7609</v>
      </c>
      <c r="AA1260">
        <v>4565</v>
      </c>
      <c r="AB1260">
        <v>3043</v>
      </c>
    </row>
    <row r="1261" spans="1:28" x14ac:dyDescent="0.35">
      <c r="A1261" t="s">
        <v>1306</v>
      </c>
      <c r="B1261" t="s">
        <v>9</v>
      </c>
      <c r="C1261" t="s">
        <v>1</v>
      </c>
      <c r="D1261" t="s">
        <v>10</v>
      </c>
      <c r="E1261" t="s">
        <v>11</v>
      </c>
      <c r="F1261">
        <v>348751</v>
      </c>
      <c r="G1261">
        <v>-93278</v>
      </c>
      <c r="H1261">
        <v>165476</v>
      </c>
      <c r="I1261">
        <v>348751</v>
      </c>
      <c r="J1261">
        <v>34875</v>
      </c>
      <c r="K1261">
        <v>17437</v>
      </c>
      <c r="L1261">
        <v>195994</v>
      </c>
      <c r="M1261">
        <v>39198</v>
      </c>
      <c r="N1261">
        <v>58798</v>
      </c>
      <c r="O1261">
        <v>19599</v>
      </c>
      <c r="P1261">
        <v>-78397</v>
      </c>
      <c r="Q1261">
        <v>-48998</v>
      </c>
      <c r="R1261">
        <v>194119</v>
      </c>
      <c r="S1261">
        <v>58235</v>
      </c>
      <c r="T1261">
        <v>19411</v>
      </c>
      <c r="U1261">
        <v>9799</v>
      </c>
      <c r="V1261">
        <v>5879</v>
      </c>
      <c r="W1261">
        <v>3919</v>
      </c>
      <c r="X1261">
        <v>19599</v>
      </c>
      <c r="Y1261">
        <v>9799</v>
      </c>
      <c r="Z1261">
        <v>9705</v>
      </c>
      <c r="AA1261">
        <v>5823</v>
      </c>
      <c r="AB1261">
        <v>3882</v>
      </c>
    </row>
    <row r="1262" spans="1:28" x14ac:dyDescent="0.35">
      <c r="A1262" t="s">
        <v>1307</v>
      </c>
      <c r="B1262" t="s">
        <v>9</v>
      </c>
      <c r="C1262" t="s">
        <v>1</v>
      </c>
      <c r="D1262" t="s">
        <v>10</v>
      </c>
      <c r="E1262" t="s">
        <v>11</v>
      </c>
      <c r="F1262">
        <v>343080</v>
      </c>
      <c r="G1262">
        <v>-109989</v>
      </c>
      <c r="H1262">
        <v>79520</v>
      </c>
      <c r="I1262">
        <v>343080</v>
      </c>
      <c r="J1262">
        <v>34308</v>
      </c>
      <c r="K1262">
        <v>17154</v>
      </c>
      <c r="L1262">
        <v>115836</v>
      </c>
      <c r="M1262">
        <v>23167</v>
      </c>
      <c r="N1262">
        <v>34750</v>
      </c>
      <c r="O1262">
        <v>11583</v>
      </c>
      <c r="P1262">
        <v>-46334</v>
      </c>
      <c r="Q1262">
        <v>-28959</v>
      </c>
      <c r="R1262">
        <v>98030</v>
      </c>
      <c r="S1262">
        <v>29409</v>
      </c>
      <c r="T1262">
        <v>9803</v>
      </c>
      <c r="U1262">
        <v>5791</v>
      </c>
      <c r="V1262">
        <v>3475</v>
      </c>
      <c r="W1262">
        <v>2316</v>
      </c>
      <c r="X1262">
        <v>11583</v>
      </c>
      <c r="Y1262">
        <v>5791</v>
      </c>
      <c r="Z1262">
        <v>4901</v>
      </c>
      <c r="AA1262">
        <v>2940</v>
      </c>
      <c r="AB1262">
        <v>1960</v>
      </c>
    </row>
    <row r="1263" spans="1:28" x14ac:dyDescent="0.35">
      <c r="A1263" t="s">
        <v>1308</v>
      </c>
      <c r="B1263" t="s">
        <v>9</v>
      </c>
      <c r="C1263" t="s">
        <v>1</v>
      </c>
      <c r="D1263" t="s">
        <v>10</v>
      </c>
      <c r="E1263" t="s">
        <v>11</v>
      </c>
      <c r="F1263">
        <v>166069</v>
      </c>
      <c r="G1263">
        <v>-52443</v>
      </c>
      <c r="H1263">
        <v>26762</v>
      </c>
      <c r="I1263">
        <v>166069</v>
      </c>
      <c r="J1263">
        <v>16606</v>
      </c>
      <c r="K1263">
        <v>8303</v>
      </c>
      <c r="L1263">
        <v>54289</v>
      </c>
      <c r="M1263">
        <v>10857</v>
      </c>
      <c r="N1263">
        <v>16286</v>
      </c>
      <c r="O1263">
        <v>5428</v>
      </c>
      <c r="P1263">
        <v>-21715</v>
      </c>
      <c r="Q1263">
        <v>-13572</v>
      </c>
      <c r="R1263">
        <v>49583</v>
      </c>
      <c r="S1263">
        <v>14874</v>
      </c>
      <c r="T1263">
        <v>4958</v>
      </c>
      <c r="U1263">
        <v>2714</v>
      </c>
      <c r="V1263">
        <v>1628</v>
      </c>
      <c r="W1263">
        <v>1085</v>
      </c>
      <c r="X1263">
        <v>5428</v>
      </c>
      <c r="Y1263">
        <v>2714</v>
      </c>
      <c r="Z1263">
        <v>2479</v>
      </c>
      <c r="AA1263">
        <v>1487</v>
      </c>
      <c r="AB1263">
        <v>991</v>
      </c>
    </row>
    <row r="1264" spans="1:28" x14ac:dyDescent="0.35">
      <c r="A1264" t="s">
        <v>1309</v>
      </c>
      <c r="B1264" t="s">
        <v>9</v>
      </c>
      <c r="C1264" t="s">
        <v>1</v>
      </c>
      <c r="D1264" t="s">
        <v>10</v>
      </c>
      <c r="E1264" t="s">
        <v>11</v>
      </c>
      <c r="F1264">
        <v>296351</v>
      </c>
      <c r="G1264">
        <v>-80744</v>
      </c>
      <c r="H1264">
        <v>108434</v>
      </c>
      <c r="I1264">
        <v>296351</v>
      </c>
      <c r="J1264">
        <v>29635</v>
      </c>
      <c r="K1264">
        <v>14817</v>
      </c>
      <c r="L1264">
        <v>127868</v>
      </c>
      <c r="M1264">
        <v>25573</v>
      </c>
      <c r="N1264">
        <v>38360</v>
      </c>
      <c r="O1264">
        <v>12786</v>
      </c>
      <c r="P1264">
        <v>-51147</v>
      </c>
      <c r="Q1264">
        <v>-31967</v>
      </c>
      <c r="R1264">
        <v>137262</v>
      </c>
      <c r="S1264">
        <v>41178</v>
      </c>
      <c r="T1264">
        <v>13726</v>
      </c>
      <c r="U1264">
        <v>6393</v>
      </c>
      <c r="V1264">
        <v>3836</v>
      </c>
      <c r="W1264">
        <v>2557</v>
      </c>
      <c r="X1264">
        <v>12786</v>
      </c>
      <c r="Y1264">
        <v>6393</v>
      </c>
      <c r="Z1264">
        <v>6863</v>
      </c>
      <c r="AA1264">
        <v>4117</v>
      </c>
      <c r="AB1264">
        <v>2745</v>
      </c>
    </row>
    <row r="1265" spans="1:28" x14ac:dyDescent="0.35">
      <c r="A1265" t="s">
        <v>1310</v>
      </c>
      <c r="B1265" t="s">
        <v>9</v>
      </c>
      <c r="C1265" t="s">
        <v>1</v>
      </c>
      <c r="D1265" t="s">
        <v>10</v>
      </c>
      <c r="E1265" t="s">
        <v>11</v>
      </c>
      <c r="F1265">
        <v>72659</v>
      </c>
      <c r="G1265">
        <v>-16515</v>
      </c>
      <c r="H1265">
        <v>8531</v>
      </c>
      <c r="I1265">
        <v>72659</v>
      </c>
      <c r="J1265">
        <v>7265</v>
      </c>
      <c r="K1265">
        <v>3632</v>
      </c>
      <c r="L1265">
        <v>46226</v>
      </c>
      <c r="M1265">
        <v>9245</v>
      </c>
      <c r="N1265">
        <v>13867</v>
      </c>
      <c r="O1265">
        <v>4622</v>
      </c>
      <c r="P1265">
        <v>-18490</v>
      </c>
      <c r="Q1265">
        <v>-11556</v>
      </c>
      <c r="R1265">
        <v>50283</v>
      </c>
      <c r="S1265">
        <v>15084</v>
      </c>
      <c r="T1265">
        <v>5028</v>
      </c>
      <c r="U1265">
        <v>2311</v>
      </c>
      <c r="V1265">
        <v>1386</v>
      </c>
      <c r="W1265">
        <v>924</v>
      </c>
      <c r="X1265">
        <v>4622</v>
      </c>
      <c r="Y1265">
        <v>2311</v>
      </c>
      <c r="Z1265">
        <v>2514</v>
      </c>
      <c r="AA1265">
        <v>1508</v>
      </c>
      <c r="AB1265">
        <v>1005</v>
      </c>
    </row>
    <row r="1266" spans="1:28" x14ac:dyDescent="0.35">
      <c r="A1266" t="s">
        <v>1311</v>
      </c>
      <c r="B1266" t="s">
        <v>9</v>
      </c>
      <c r="C1266" t="s">
        <v>1</v>
      </c>
      <c r="D1266" t="s">
        <v>10</v>
      </c>
      <c r="E1266" t="s">
        <v>11</v>
      </c>
      <c r="F1266">
        <v>347149</v>
      </c>
      <c r="G1266">
        <v>-141994</v>
      </c>
      <c r="H1266">
        <v>58550</v>
      </c>
      <c r="I1266">
        <v>347149</v>
      </c>
      <c r="J1266">
        <v>34714</v>
      </c>
      <c r="K1266">
        <v>17357</v>
      </c>
      <c r="L1266">
        <v>172305</v>
      </c>
      <c r="M1266">
        <v>34461</v>
      </c>
      <c r="N1266">
        <v>51691</v>
      </c>
      <c r="O1266">
        <v>17230</v>
      </c>
      <c r="P1266">
        <v>-68922</v>
      </c>
      <c r="Q1266">
        <v>-43076</v>
      </c>
      <c r="R1266">
        <v>168283</v>
      </c>
      <c r="S1266">
        <v>50484</v>
      </c>
      <c r="T1266">
        <v>16828</v>
      </c>
      <c r="U1266">
        <v>8615</v>
      </c>
      <c r="V1266">
        <v>5169</v>
      </c>
      <c r="W1266">
        <v>3446</v>
      </c>
      <c r="X1266">
        <v>17230</v>
      </c>
      <c r="Y1266">
        <v>8615</v>
      </c>
      <c r="Z1266">
        <v>8414</v>
      </c>
      <c r="AA1266">
        <v>5048</v>
      </c>
      <c r="AB1266">
        <v>3365</v>
      </c>
    </row>
    <row r="1267" spans="1:28" x14ac:dyDescent="0.35">
      <c r="A1267" t="s">
        <v>1312</v>
      </c>
      <c r="B1267" t="s">
        <v>9</v>
      </c>
      <c r="C1267" t="s">
        <v>1</v>
      </c>
      <c r="D1267" t="s">
        <v>10</v>
      </c>
      <c r="E1267" t="s">
        <v>11</v>
      </c>
      <c r="F1267">
        <v>419562</v>
      </c>
      <c r="G1267">
        <v>-84134</v>
      </c>
      <c r="H1267">
        <v>43636</v>
      </c>
      <c r="I1267">
        <v>419562</v>
      </c>
      <c r="J1267">
        <v>41956</v>
      </c>
      <c r="K1267">
        <v>20978</v>
      </c>
      <c r="L1267">
        <v>206673</v>
      </c>
      <c r="M1267">
        <v>41334</v>
      </c>
      <c r="N1267">
        <v>62001</v>
      </c>
      <c r="O1267">
        <v>20667</v>
      </c>
      <c r="P1267">
        <v>-82669</v>
      </c>
      <c r="Q1267">
        <v>-51668</v>
      </c>
      <c r="R1267">
        <v>183923</v>
      </c>
      <c r="S1267">
        <v>55176</v>
      </c>
      <c r="T1267">
        <v>18392</v>
      </c>
      <c r="U1267">
        <v>10333</v>
      </c>
      <c r="V1267">
        <v>6200</v>
      </c>
      <c r="W1267">
        <v>4133</v>
      </c>
      <c r="X1267">
        <v>20667</v>
      </c>
      <c r="Y1267">
        <v>10333</v>
      </c>
      <c r="Z1267">
        <v>9196</v>
      </c>
      <c r="AA1267">
        <v>5517</v>
      </c>
      <c r="AB1267">
        <v>3678</v>
      </c>
    </row>
    <row r="1268" spans="1:28" x14ac:dyDescent="0.35">
      <c r="A1268" t="s">
        <v>1313</v>
      </c>
      <c r="B1268" t="s">
        <v>9</v>
      </c>
      <c r="C1268" t="s">
        <v>1</v>
      </c>
      <c r="D1268" t="s">
        <v>10</v>
      </c>
      <c r="E1268" t="s">
        <v>11</v>
      </c>
      <c r="F1268">
        <v>449545</v>
      </c>
      <c r="G1268">
        <v>-96866</v>
      </c>
      <c r="H1268">
        <v>56641</v>
      </c>
      <c r="I1268">
        <v>449545</v>
      </c>
      <c r="J1268">
        <v>44954</v>
      </c>
      <c r="K1268">
        <v>22477</v>
      </c>
      <c r="L1268">
        <v>347761</v>
      </c>
      <c r="M1268">
        <v>69552</v>
      </c>
      <c r="N1268">
        <v>104328</v>
      </c>
      <c r="O1268">
        <v>34776</v>
      </c>
      <c r="P1268">
        <v>-139104</v>
      </c>
      <c r="Q1268">
        <v>-86940</v>
      </c>
      <c r="R1268">
        <v>408344</v>
      </c>
      <c r="S1268">
        <v>122503</v>
      </c>
      <c r="T1268">
        <v>40834</v>
      </c>
      <c r="U1268">
        <v>17388</v>
      </c>
      <c r="V1268">
        <v>10432</v>
      </c>
      <c r="W1268">
        <v>6955</v>
      </c>
      <c r="X1268">
        <v>34776</v>
      </c>
      <c r="Y1268">
        <v>17388</v>
      </c>
      <c r="Z1268">
        <v>20417</v>
      </c>
      <c r="AA1268">
        <v>12250</v>
      </c>
      <c r="AB1268">
        <v>8166</v>
      </c>
    </row>
    <row r="1269" spans="1:28" x14ac:dyDescent="0.35">
      <c r="A1269" t="s">
        <v>1314</v>
      </c>
      <c r="B1269" t="s">
        <v>9</v>
      </c>
      <c r="C1269" t="s">
        <v>1</v>
      </c>
      <c r="D1269" t="s">
        <v>10</v>
      </c>
      <c r="E1269" t="s">
        <v>11</v>
      </c>
      <c r="F1269">
        <v>221999</v>
      </c>
      <c r="G1269">
        <v>-104989</v>
      </c>
      <c r="H1269">
        <v>62958</v>
      </c>
      <c r="I1269">
        <v>221999</v>
      </c>
      <c r="J1269">
        <v>22199</v>
      </c>
      <c r="K1269">
        <v>11099</v>
      </c>
      <c r="L1269">
        <v>106581</v>
      </c>
      <c r="M1269">
        <v>21316</v>
      </c>
      <c r="N1269">
        <v>31974</v>
      </c>
      <c r="O1269">
        <v>10658</v>
      </c>
      <c r="P1269">
        <v>-42632</v>
      </c>
      <c r="Q1269">
        <v>-26645</v>
      </c>
      <c r="R1269">
        <v>85890</v>
      </c>
      <c r="S1269">
        <v>25767</v>
      </c>
      <c r="T1269">
        <v>8589</v>
      </c>
      <c r="U1269">
        <v>5329</v>
      </c>
      <c r="V1269">
        <v>3197</v>
      </c>
      <c r="W1269">
        <v>2131</v>
      </c>
      <c r="X1269">
        <v>10658</v>
      </c>
      <c r="Y1269">
        <v>5329</v>
      </c>
      <c r="Z1269">
        <v>4294</v>
      </c>
      <c r="AA1269">
        <v>2576</v>
      </c>
      <c r="AB1269">
        <v>1717</v>
      </c>
    </row>
    <row r="1270" spans="1:28" x14ac:dyDescent="0.35">
      <c r="A1270" t="s">
        <v>1315</v>
      </c>
      <c r="B1270" t="s">
        <v>9</v>
      </c>
      <c r="C1270" t="s">
        <v>1</v>
      </c>
      <c r="D1270" t="s">
        <v>10</v>
      </c>
      <c r="E1270" t="s">
        <v>11</v>
      </c>
      <c r="F1270">
        <v>263845</v>
      </c>
      <c r="G1270">
        <v>-93406</v>
      </c>
      <c r="H1270">
        <v>126082</v>
      </c>
      <c r="I1270">
        <v>263845</v>
      </c>
      <c r="J1270">
        <v>26384</v>
      </c>
      <c r="K1270">
        <v>13192</v>
      </c>
      <c r="L1270">
        <v>62387</v>
      </c>
      <c r="M1270">
        <v>12477</v>
      </c>
      <c r="N1270">
        <v>18716</v>
      </c>
      <c r="O1270">
        <v>6238</v>
      </c>
      <c r="P1270">
        <v>-24954</v>
      </c>
      <c r="Q1270">
        <v>-15596</v>
      </c>
      <c r="R1270">
        <v>50643</v>
      </c>
      <c r="S1270">
        <v>15192</v>
      </c>
      <c r="T1270">
        <v>5064</v>
      </c>
      <c r="U1270">
        <v>3119</v>
      </c>
      <c r="V1270">
        <v>1871</v>
      </c>
      <c r="W1270">
        <v>1247</v>
      </c>
      <c r="X1270">
        <v>6238</v>
      </c>
      <c r="Y1270">
        <v>3119</v>
      </c>
      <c r="Z1270">
        <v>2532</v>
      </c>
      <c r="AA1270">
        <v>1519</v>
      </c>
      <c r="AB1270">
        <v>1012</v>
      </c>
    </row>
    <row r="1271" spans="1:28" x14ac:dyDescent="0.35">
      <c r="A1271" t="s">
        <v>1316</v>
      </c>
      <c r="B1271" t="s">
        <v>9</v>
      </c>
      <c r="C1271" t="s">
        <v>1</v>
      </c>
      <c r="D1271" t="s">
        <v>10</v>
      </c>
      <c r="E1271" t="s">
        <v>11</v>
      </c>
      <c r="F1271">
        <v>402685</v>
      </c>
      <c r="G1271">
        <v>-149418</v>
      </c>
      <c r="H1271">
        <v>174843</v>
      </c>
      <c r="I1271">
        <v>402685</v>
      </c>
      <c r="J1271">
        <v>40268</v>
      </c>
      <c r="K1271">
        <v>20134</v>
      </c>
      <c r="L1271">
        <v>138461</v>
      </c>
      <c r="M1271">
        <v>27692</v>
      </c>
      <c r="N1271">
        <v>41538</v>
      </c>
      <c r="O1271">
        <v>13846</v>
      </c>
      <c r="P1271">
        <v>-55384</v>
      </c>
      <c r="Q1271">
        <v>-34615</v>
      </c>
      <c r="R1271">
        <v>162732</v>
      </c>
      <c r="S1271">
        <v>48819</v>
      </c>
      <c r="T1271">
        <v>16273</v>
      </c>
      <c r="U1271">
        <v>6923</v>
      </c>
      <c r="V1271">
        <v>4153</v>
      </c>
      <c r="W1271">
        <v>2769</v>
      </c>
      <c r="X1271">
        <v>13846</v>
      </c>
      <c r="Y1271">
        <v>6923</v>
      </c>
      <c r="Z1271">
        <v>8136</v>
      </c>
      <c r="AA1271">
        <v>4881</v>
      </c>
      <c r="AB1271">
        <v>3254</v>
      </c>
    </row>
    <row r="1272" spans="1:28" x14ac:dyDescent="0.35">
      <c r="A1272" t="s">
        <v>1317</v>
      </c>
      <c r="B1272" t="s">
        <v>9</v>
      </c>
      <c r="C1272" t="s">
        <v>1</v>
      </c>
      <c r="D1272" t="s">
        <v>10</v>
      </c>
      <c r="E1272" t="s">
        <v>11</v>
      </c>
      <c r="F1272">
        <v>392840</v>
      </c>
      <c r="G1272">
        <v>-230109</v>
      </c>
      <c r="H1272">
        <v>138562</v>
      </c>
      <c r="I1272">
        <v>392840</v>
      </c>
      <c r="J1272">
        <v>39284</v>
      </c>
      <c r="K1272">
        <v>19642</v>
      </c>
      <c r="L1272">
        <v>314048</v>
      </c>
      <c r="M1272">
        <v>62809</v>
      </c>
      <c r="N1272">
        <v>94214</v>
      </c>
      <c r="O1272">
        <v>31404</v>
      </c>
      <c r="P1272">
        <v>-125619</v>
      </c>
      <c r="Q1272">
        <v>-78512</v>
      </c>
      <c r="R1272">
        <v>365222</v>
      </c>
      <c r="S1272">
        <v>109566</v>
      </c>
      <c r="T1272">
        <v>36522</v>
      </c>
      <c r="U1272">
        <v>15702</v>
      </c>
      <c r="V1272">
        <v>9421</v>
      </c>
      <c r="W1272">
        <v>6280</v>
      </c>
      <c r="X1272">
        <v>31404</v>
      </c>
      <c r="Y1272">
        <v>15702</v>
      </c>
      <c r="Z1272">
        <v>18261</v>
      </c>
      <c r="AA1272">
        <v>10956</v>
      </c>
      <c r="AB1272">
        <v>7304</v>
      </c>
    </row>
    <row r="1273" spans="1:28" x14ac:dyDescent="0.35">
      <c r="A1273" t="s">
        <v>1318</v>
      </c>
      <c r="B1273" t="s">
        <v>9</v>
      </c>
      <c r="C1273" t="s">
        <v>1</v>
      </c>
      <c r="D1273" t="s">
        <v>10</v>
      </c>
      <c r="E1273" t="s">
        <v>11</v>
      </c>
      <c r="F1273">
        <v>346313</v>
      </c>
      <c r="G1273">
        <v>-144257</v>
      </c>
      <c r="H1273">
        <v>137742</v>
      </c>
      <c r="I1273">
        <v>346313</v>
      </c>
      <c r="J1273">
        <v>34631</v>
      </c>
      <c r="K1273">
        <v>17315</v>
      </c>
      <c r="L1273">
        <v>101821</v>
      </c>
      <c r="M1273">
        <v>20364</v>
      </c>
      <c r="N1273">
        <v>30546</v>
      </c>
      <c r="O1273">
        <v>10182</v>
      </c>
      <c r="P1273">
        <v>-40728</v>
      </c>
      <c r="Q1273">
        <v>-25455</v>
      </c>
      <c r="R1273">
        <v>113347</v>
      </c>
      <c r="S1273">
        <v>34004</v>
      </c>
      <c r="T1273">
        <v>11334</v>
      </c>
      <c r="U1273">
        <v>5091</v>
      </c>
      <c r="V1273">
        <v>3054</v>
      </c>
      <c r="W1273">
        <v>2036</v>
      </c>
      <c r="X1273">
        <v>10182</v>
      </c>
      <c r="Y1273">
        <v>5091</v>
      </c>
      <c r="Z1273">
        <v>5667</v>
      </c>
      <c r="AA1273">
        <v>3400</v>
      </c>
      <c r="AB1273">
        <v>2266</v>
      </c>
    </row>
    <row r="1274" spans="1:28" x14ac:dyDescent="0.35">
      <c r="A1274" t="s">
        <v>1319</v>
      </c>
      <c r="B1274" t="s">
        <v>9</v>
      </c>
      <c r="C1274" t="s">
        <v>1</v>
      </c>
      <c r="D1274" t="s">
        <v>10</v>
      </c>
      <c r="E1274" t="s">
        <v>11</v>
      </c>
      <c r="F1274">
        <v>140866</v>
      </c>
      <c r="G1274">
        <v>-79539</v>
      </c>
      <c r="H1274">
        <v>43747</v>
      </c>
      <c r="I1274">
        <v>140866</v>
      </c>
      <c r="J1274">
        <v>14086</v>
      </c>
      <c r="K1274">
        <v>7043</v>
      </c>
      <c r="L1274">
        <v>85788</v>
      </c>
      <c r="M1274">
        <v>17157</v>
      </c>
      <c r="N1274">
        <v>25736</v>
      </c>
      <c r="O1274">
        <v>8578</v>
      </c>
      <c r="P1274">
        <v>-34315</v>
      </c>
      <c r="Q1274">
        <v>-21447</v>
      </c>
      <c r="R1274">
        <v>97260</v>
      </c>
      <c r="S1274">
        <v>29178</v>
      </c>
      <c r="T1274">
        <v>9726</v>
      </c>
      <c r="U1274">
        <v>4289</v>
      </c>
      <c r="V1274">
        <v>2573</v>
      </c>
      <c r="W1274">
        <v>1715</v>
      </c>
      <c r="X1274">
        <v>8578</v>
      </c>
      <c r="Y1274">
        <v>4289</v>
      </c>
      <c r="Z1274">
        <v>4863</v>
      </c>
      <c r="AA1274">
        <v>2917</v>
      </c>
      <c r="AB1274">
        <v>1945</v>
      </c>
    </row>
    <row r="1275" spans="1:28" x14ac:dyDescent="0.35">
      <c r="A1275" t="s">
        <v>1320</v>
      </c>
      <c r="B1275" t="s">
        <v>9</v>
      </c>
      <c r="C1275" t="s">
        <v>1</v>
      </c>
      <c r="D1275" t="s">
        <v>10</v>
      </c>
      <c r="E1275" t="s">
        <v>11</v>
      </c>
      <c r="F1275">
        <v>263981</v>
      </c>
      <c r="G1275">
        <v>-59648</v>
      </c>
      <c r="H1275">
        <v>53512</v>
      </c>
      <c r="I1275">
        <v>263981</v>
      </c>
      <c r="J1275">
        <v>26398</v>
      </c>
      <c r="K1275">
        <v>13199</v>
      </c>
      <c r="L1275">
        <v>139590</v>
      </c>
      <c r="M1275">
        <v>27918</v>
      </c>
      <c r="N1275">
        <v>41877</v>
      </c>
      <c r="O1275">
        <v>13959</v>
      </c>
      <c r="P1275">
        <v>-55836</v>
      </c>
      <c r="Q1275">
        <v>-34897</v>
      </c>
      <c r="R1275">
        <v>154789</v>
      </c>
      <c r="S1275">
        <v>46436</v>
      </c>
      <c r="T1275">
        <v>15478</v>
      </c>
      <c r="U1275">
        <v>6979</v>
      </c>
      <c r="V1275">
        <v>4187</v>
      </c>
      <c r="W1275">
        <v>2791</v>
      </c>
      <c r="X1275">
        <v>13959</v>
      </c>
      <c r="Y1275">
        <v>6979</v>
      </c>
      <c r="Z1275">
        <v>7739</v>
      </c>
      <c r="AA1275">
        <v>4643</v>
      </c>
      <c r="AB1275">
        <v>3095</v>
      </c>
    </row>
    <row r="1276" spans="1:28" x14ac:dyDescent="0.35">
      <c r="A1276" t="s">
        <v>1321</v>
      </c>
      <c r="B1276" t="s">
        <v>9</v>
      </c>
      <c r="C1276" t="s">
        <v>1</v>
      </c>
      <c r="D1276" t="s">
        <v>10</v>
      </c>
      <c r="E1276" t="s">
        <v>11</v>
      </c>
      <c r="F1276">
        <v>74682</v>
      </c>
      <c r="G1276">
        <v>-25779</v>
      </c>
      <c r="H1276">
        <v>24020</v>
      </c>
      <c r="I1276">
        <v>74682</v>
      </c>
      <c r="J1276">
        <v>7468</v>
      </c>
      <c r="K1276">
        <v>3734</v>
      </c>
      <c r="L1276">
        <v>55165</v>
      </c>
      <c r="M1276">
        <v>11033</v>
      </c>
      <c r="N1276">
        <v>16549</v>
      </c>
      <c r="O1276">
        <v>5516</v>
      </c>
      <c r="P1276">
        <v>-22066</v>
      </c>
      <c r="Q1276">
        <v>-13791</v>
      </c>
      <c r="R1276">
        <v>55456</v>
      </c>
      <c r="S1276">
        <v>16636</v>
      </c>
      <c r="T1276">
        <v>5545</v>
      </c>
      <c r="U1276">
        <v>2758</v>
      </c>
      <c r="V1276">
        <v>1654</v>
      </c>
      <c r="W1276">
        <v>1103</v>
      </c>
      <c r="X1276">
        <v>5516</v>
      </c>
      <c r="Y1276">
        <v>2758</v>
      </c>
      <c r="Z1276">
        <v>2772</v>
      </c>
      <c r="AA1276">
        <v>1663</v>
      </c>
      <c r="AB1276">
        <v>1109</v>
      </c>
    </row>
    <row r="1277" spans="1:28" x14ac:dyDescent="0.35">
      <c r="A1277" t="s">
        <v>1322</v>
      </c>
      <c r="B1277" t="s">
        <v>9</v>
      </c>
      <c r="C1277" t="s">
        <v>1</v>
      </c>
      <c r="D1277" t="s">
        <v>10</v>
      </c>
      <c r="E1277" t="s">
        <v>11</v>
      </c>
      <c r="F1277">
        <v>199870</v>
      </c>
      <c r="G1277">
        <v>-83646</v>
      </c>
      <c r="H1277">
        <v>62615</v>
      </c>
      <c r="I1277">
        <v>199870</v>
      </c>
      <c r="J1277">
        <v>19987</v>
      </c>
      <c r="K1277">
        <v>9993</v>
      </c>
      <c r="L1277">
        <v>126030</v>
      </c>
      <c r="M1277">
        <v>25206</v>
      </c>
      <c r="N1277">
        <v>37809</v>
      </c>
      <c r="O1277">
        <v>12603</v>
      </c>
      <c r="P1277">
        <v>-50412</v>
      </c>
      <c r="Q1277">
        <v>-31507</v>
      </c>
      <c r="R1277">
        <v>113815</v>
      </c>
      <c r="S1277">
        <v>34144</v>
      </c>
      <c r="T1277">
        <v>11381</v>
      </c>
      <c r="U1277">
        <v>6301</v>
      </c>
      <c r="V1277">
        <v>3780</v>
      </c>
      <c r="W1277">
        <v>2520</v>
      </c>
      <c r="X1277">
        <v>12603</v>
      </c>
      <c r="Y1277">
        <v>6301</v>
      </c>
      <c r="Z1277">
        <v>5690</v>
      </c>
      <c r="AA1277">
        <v>3414</v>
      </c>
      <c r="AB1277">
        <v>2276</v>
      </c>
    </row>
    <row r="1278" spans="1:28" x14ac:dyDescent="0.35">
      <c r="A1278" t="s">
        <v>1323</v>
      </c>
      <c r="B1278" t="s">
        <v>9</v>
      </c>
      <c r="C1278" t="s">
        <v>1</v>
      </c>
      <c r="D1278" t="s">
        <v>10</v>
      </c>
      <c r="E1278" t="s">
        <v>11</v>
      </c>
      <c r="F1278">
        <v>494272</v>
      </c>
      <c r="G1278">
        <v>-190450</v>
      </c>
      <c r="H1278">
        <v>169372</v>
      </c>
      <c r="I1278">
        <v>494272</v>
      </c>
      <c r="J1278">
        <v>49427</v>
      </c>
      <c r="K1278">
        <v>24713</v>
      </c>
      <c r="L1278">
        <v>362473</v>
      </c>
      <c r="M1278">
        <v>72494</v>
      </c>
      <c r="N1278">
        <v>108741</v>
      </c>
      <c r="O1278">
        <v>36247</v>
      </c>
      <c r="P1278">
        <v>-144989</v>
      </c>
      <c r="Q1278">
        <v>-90618</v>
      </c>
      <c r="R1278">
        <v>336763</v>
      </c>
      <c r="S1278">
        <v>101028</v>
      </c>
      <c r="T1278">
        <v>33676</v>
      </c>
      <c r="U1278">
        <v>18123</v>
      </c>
      <c r="V1278">
        <v>10874</v>
      </c>
      <c r="W1278">
        <v>7249</v>
      </c>
      <c r="X1278">
        <v>36247</v>
      </c>
      <c r="Y1278">
        <v>18123</v>
      </c>
      <c r="Z1278">
        <v>16838</v>
      </c>
      <c r="AA1278">
        <v>10102</v>
      </c>
      <c r="AB1278">
        <v>6735</v>
      </c>
    </row>
    <row r="1279" spans="1:28" x14ac:dyDescent="0.35">
      <c r="A1279" t="s">
        <v>1324</v>
      </c>
      <c r="B1279" t="s">
        <v>9</v>
      </c>
      <c r="C1279" t="s">
        <v>1</v>
      </c>
      <c r="D1279" t="s">
        <v>10</v>
      </c>
      <c r="E1279" t="s">
        <v>11</v>
      </c>
      <c r="F1279">
        <v>457378</v>
      </c>
      <c r="G1279">
        <v>-113212</v>
      </c>
      <c r="H1279">
        <v>178302</v>
      </c>
      <c r="I1279">
        <v>457378</v>
      </c>
      <c r="J1279">
        <v>45737</v>
      </c>
      <c r="K1279">
        <v>22868</v>
      </c>
      <c r="L1279">
        <v>321678</v>
      </c>
      <c r="M1279">
        <v>64335</v>
      </c>
      <c r="N1279">
        <v>96503</v>
      </c>
      <c r="O1279">
        <v>32167</v>
      </c>
      <c r="P1279">
        <v>-128671</v>
      </c>
      <c r="Q1279">
        <v>-80419</v>
      </c>
      <c r="R1279">
        <v>385092</v>
      </c>
      <c r="S1279">
        <v>115527</v>
      </c>
      <c r="T1279">
        <v>38509</v>
      </c>
      <c r="U1279">
        <v>16083</v>
      </c>
      <c r="V1279">
        <v>9650</v>
      </c>
      <c r="W1279">
        <v>6433</v>
      </c>
      <c r="X1279">
        <v>32167</v>
      </c>
      <c r="Y1279">
        <v>16083</v>
      </c>
      <c r="Z1279">
        <v>19254</v>
      </c>
      <c r="AA1279">
        <v>11552</v>
      </c>
      <c r="AB1279">
        <v>7701</v>
      </c>
    </row>
    <row r="1280" spans="1:28" x14ac:dyDescent="0.35">
      <c r="A1280" t="s">
        <v>1325</v>
      </c>
      <c r="B1280" t="s">
        <v>9</v>
      </c>
      <c r="C1280" t="s">
        <v>1</v>
      </c>
      <c r="D1280" t="s">
        <v>10</v>
      </c>
      <c r="E1280" t="s">
        <v>11</v>
      </c>
      <c r="F1280">
        <v>461315</v>
      </c>
      <c r="G1280">
        <v>-238586</v>
      </c>
      <c r="H1280">
        <v>213528</v>
      </c>
      <c r="I1280">
        <v>461315</v>
      </c>
      <c r="J1280">
        <v>46131</v>
      </c>
      <c r="K1280">
        <v>23065</v>
      </c>
      <c r="L1280">
        <v>317939</v>
      </c>
      <c r="M1280">
        <v>63587</v>
      </c>
      <c r="N1280">
        <v>95381</v>
      </c>
      <c r="O1280">
        <v>31793</v>
      </c>
      <c r="P1280">
        <v>-127175</v>
      </c>
      <c r="Q1280">
        <v>-79484</v>
      </c>
      <c r="R1280">
        <v>291831</v>
      </c>
      <c r="S1280">
        <v>87549</v>
      </c>
      <c r="T1280">
        <v>29183</v>
      </c>
      <c r="U1280">
        <v>15896</v>
      </c>
      <c r="V1280">
        <v>9538</v>
      </c>
      <c r="W1280">
        <v>6358</v>
      </c>
      <c r="X1280">
        <v>31793</v>
      </c>
      <c r="Y1280">
        <v>15896</v>
      </c>
      <c r="Z1280">
        <v>14591</v>
      </c>
      <c r="AA1280">
        <v>8754</v>
      </c>
      <c r="AB1280">
        <v>5836</v>
      </c>
    </row>
    <row r="1281" spans="1:28" x14ac:dyDescent="0.35">
      <c r="A1281" t="s">
        <v>1326</v>
      </c>
      <c r="B1281" t="s">
        <v>9</v>
      </c>
      <c r="C1281" t="s">
        <v>1</v>
      </c>
      <c r="D1281" t="s">
        <v>10</v>
      </c>
      <c r="E1281" t="s">
        <v>11</v>
      </c>
      <c r="F1281">
        <v>298243</v>
      </c>
      <c r="G1281">
        <v>-113134</v>
      </c>
      <c r="H1281">
        <v>56055</v>
      </c>
      <c r="I1281">
        <v>298243</v>
      </c>
      <c r="J1281">
        <v>29824</v>
      </c>
      <c r="K1281">
        <v>14912</v>
      </c>
      <c r="L1281">
        <v>176102</v>
      </c>
      <c r="M1281">
        <v>35220</v>
      </c>
      <c r="N1281">
        <v>52830</v>
      </c>
      <c r="O1281">
        <v>17610</v>
      </c>
      <c r="P1281">
        <v>-70440</v>
      </c>
      <c r="Q1281">
        <v>-44025</v>
      </c>
      <c r="R1281">
        <v>160770</v>
      </c>
      <c r="S1281">
        <v>48231</v>
      </c>
      <c r="T1281">
        <v>16077</v>
      </c>
      <c r="U1281">
        <v>8805</v>
      </c>
      <c r="V1281">
        <v>5283</v>
      </c>
      <c r="W1281">
        <v>3522</v>
      </c>
      <c r="X1281">
        <v>17610</v>
      </c>
      <c r="Y1281">
        <v>8805</v>
      </c>
      <c r="Z1281">
        <v>8038</v>
      </c>
      <c r="AA1281">
        <v>4823</v>
      </c>
      <c r="AB1281">
        <v>3215</v>
      </c>
    </row>
    <row r="1282" spans="1:28" x14ac:dyDescent="0.35">
      <c r="A1282" t="s">
        <v>1327</v>
      </c>
      <c r="B1282" t="s">
        <v>9</v>
      </c>
      <c r="C1282" t="s">
        <v>1</v>
      </c>
      <c r="D1282" t="s">
        <v>10</v>
      </c>
      <c r="E1282" t="s">
        <v>11</v>
      </c>
      <c r="F1282">
        <v>348439</v>
      </c>
      <c r="G1282">
        <v>-142738</v>
      </c>
      <c r="H1282">
        <v>74445</v>
      </c>
      <c r="I1282">
        <v>348439</v>
      </c>
      <c r="J1282">
        <v>34843</v>
      </c>
      <c r="K1282">
        <v>17421</v>
      </c>
      <c r="L1282">
        <v>118313</v>
      </c>
      <c r="M1282">
        <v>23662</v>
      </c>
      <c r="N1282">
        <v>35493</v>
      </c>
      <c r="O1282">
        <v>11831</v>
      </c>
      <c r="P1282">
        <v>-47325</v>
      </c>
      <c r="Q1282">
        <v>-29578</v>
      </c>
      <c r="R1282">
        <v>114990</v>
      </c>
      <c r="S1282">
        <v>34497</v>
      </c>
      <c r="T1282">
        <v>11499</v>
      </c>
      <c r="U1282">
        <v>5915</v>
      </c>
      <c r="V1282">
        <v>3549</v>
      </c>
      <c r="W1282">
        <v>2366</v>
      </c>
      <c r="X1282">
        <v>11831</v>
      </c>
      <c r="Y1282">
        <v>5915</v>
      </c>
      <c r="Z1282">
        <v>5749</v>
      </c>
      <c r="AA1282">
        <v>3449</v>
      </c>
      <c r="AB1282">
        <v>2299</v>
      </c>
    </row>
    <row r="1283" spans="1:28" x14ac:dyDescent="0.35">
      <c r="A1283" t="s">
        <v>1328</v>
      </c>
      <c r="B1283" t="s">
        <v>9</v>
      </c>
      <c r="C1283" t="s">
        <v>1</v>
      </c>
      <c r="D1283" t="s">
        <v>10</v>
      </c>
      <c r="E1283" t="s">
        <v>11</v>
      </c>
      <c r="F1283">
        <v>77699</v>
      </c>
      <c r="G1283">
        <v>-27972</v>
      </c>
      <c r="H1283">
        <v>17050</v>
      </c>
      <c r="I1283">
        <v>77699</v>
      </c>
      <c r="J1283">
        <v>7769</v>
      </c>
      <c r="K1283">
        <v>3884</v>
      </c>
      <c r="L1283">
        <v>17198</v>
      </c>
      <c r="M1283">
        <v>3439</v>
      </c>
      <c r="N1283">
        <v>5159</v>
      </c>
      <c r="O1283">
        <v>1719</v>
      </c>
      <c r="P1283">
        <v>-6879</v>
      </c>
      <c r="Q1283">
        <v>-4299</v>
      </c>
      <c r="R1283">
        <v>20318</v>
      </c>
      <c r="S1283">
        <v>6095</v>
      </c>
      <c r="T1283">
        <v>2031</v>
      </c>
      <c r="U1283">
        <v>859</v>
      </c>
      <c r="V1283">
        <v>515</v>
      </c>
      <c r="W1283">
        <v>343</v>
      </c>
      <c r="X1283">
        <v>1719</v>
      </c>
      <c r="Y1283">
        <v>859</v>
      </c>
      <c r="Z1283">
        <v>1015</v>
      </c>
      <c r="AA1283">
        <v>609</v>
      </c>
      <c r="AB1283">
        <v>406</v>
      </c>
    </row>
    <row r="1284" spans="1:28" x14ac:dyDescent="0.35">
      <c r="A1284" t="s">
        <v>1329</v>
      </c>
      <c r="B1284" t="s">
        <v>9</v>
      </c>
      <c r="C1284" t="s">
        <v>1</v>
      </c>
      <c r="D1284" t="s">
        <v>10</v>
      </c>
      <c r="E1284" t="s">
        <v>11</v>
      </c>
      <c r="F1284">
        <v>306016</v>
      </c>
      <c r="G1284">
        <v>-114226</v>
      </c>
      <c r="H1284">
        <v>61099</v>
      </c>
      <c r="I1284">
        <v>306016</v>
      </c>
      <c r="J1284">
        <v>30601</v>
      </c>
      <c r="K1284">
        <v>15300</v>
      </c>
      <c r="L1284">
        <v>141629</v>
      </c>
      <c r="M1284">
        <v>28325</v>
      </c>
      <c r="N1284">
        <v>42488</v>
      </c>
      <c r="O1284">
        <v>14162</v>
      </c>
      <c r="P1284">
        <v>-56651</v>
      </c>
      <c r="Q1284">
        <v>-35407</v>
      </c>
      <c r="R1284">
        <v>115020</v>
      </c>
      <c r="S1284">
        <v>34506</v>
      </c>
      <c r="T1284">
        <v>11502</v>
      </c>
      <c r="U1284">
        <v>7081</v>
      </c>
      <c r="V1284">
        <v>4248</v>
      </c>
      <c r="W1284">
        <v>2832</v>
      </c>
      <c r="X1284">
        <v>14162</v>
      </c>
      <c r="Y1284">
        <v>7081</v>
      </c>
      <c r="Z1284">
        <v>5751</v>
      </c>
      <c r="AA1284">
        <v>3450</v>
      </c>
      <c r="AB1284">
        <v>2300</v>
      </c>
    </row>
    <row r="1285" spans="1:28" x14ac:dyDescent="0.35">
      <c r="A1285" t="s">
        <v>1330</v>
      </c>
      <c r="B1285" t="s">
        <v>9</v>
      </c>
      <c r="C1285" t="s">
        <v>1</v>
      </c>
      <c r="D1285" t="s">
        <v>10</v>
      </c>
      <c r="E1285" t="s">
        <v>11</v>
      </c>
      <c r="F1285">
        <v>468068</v>
      </c>
      <c r="G1285">
        <v>-214678</v>
      </c>
      <c r="H1285">
        <v>110737</v>
      </c>
      <c r="I1285">
        <v>468068</v>
      </c>
      <c r="J1285">
        <v>46806</v>
      </c>
      <c r="K1285">
        <v>23403</v>
      </c>
      <c r="L1285">
        <v>325807</v>
      </c>
      <c r="M1285">
        <v>65161</v>
      </c>
      <c r="N1285">
        <v>97742</v>
      </c>
      <c r="O1285">
        <v>32580</v>
      </c>
      <c r="P1285">
        <v>-130322</v>
      </c>
      <c r="Q1285">
        <v>-81451</v>
      </c>
      <c r="R1285">
        <v>261661</v>
      </c>
      <c r="S1285">
        <v>78498</v>
      </c>
      <c r="T1285">
        <v>26166</v>
      </c>
      <c r="U1285">
        <v>16290</v>
      </c>
      <c r="V1285">
        <v>9774</v>
      </c>
      <c r="W1285">
        <v>6516</v>
      </c>
      <c r="X1285">
        <v>32580</v>
      </c>
      <c r="Y1285">
        <v>16290</v>
      </c>
      <c r="Z1285">
        <v>13083</v>
      </c>
      <c r="AA1285">
        <v>7849</v>
      </c>
      <c r="AB1285">
        <v>5233</v>
      </c>
    </row>
    <row r="1286" spans="1:28" x14ac:dyDescent="0.35">
      <c r="A1286" t="s">
        <v>1331</v>
      </c>
      <c r="B1286" t="s">
        <v>9</v>
      </c>
      <c r="C1286" t="s">
        <v>1</v>
      </c>
      <c r="D1286" t="s">
        <v>10</v>
      </c>
      <c r="E1286" t="s">
        <v>11</v>
      </c>
      <c r="F1286">
        <v>104154</v>
      </c>
      <c r="G1286">
        <v>-51510</v>
      </c>
      <c r="H1286">
        <v>37174</v>
      </c>
      <c r="I1286">
        <v>104154</v>
      </c>
      <c r="J1286">
        <v>10415</v>
      </c>
      <c r="K1286">
        <v>5207</v>
      </c>
      <c r="L1286">
        <v>28990</v>
      </c>
      <c r="M1286">
        <v>5798</v>
      </c>
      <c r="N1286">
        <v>8697</v>
      </c>
      <c r="O1286">
        <v>2899</v>
      </c>
      <c r="P1286">
        <v>-11596</v>
      </c>
      <c r="Q1286">
        <v>-7247</v>
      </c>
      <c r="R1286">
        <v>34042</v>
      </c>
      <c r="S1286">
        <v>10212</v>
      </c>
      <c r="T1286">
        <v>3404</v>
      </c>
      <c r="U1286">
        <v>1449</v>
      </c>
      <c r="V1286">
        <v>869</v>
      </c>
      <c r="W1286">
        <v>579</v>
      </c>
      <c r="X1286">
        <v>2899</v>
      </c>
      <c r="Y1286">
        <v>1449</v>
      </c>
      <c r="Z1286">
        <v>1702</v>
      </c>
      <c r="AA1286">
        <v>1021</v>
      </c>
      <c r="AB1286">
        <v>680</v>
      </c>
    </row>
    <row r="1287" spans="1:28" x14ac:dyDescent="0.35">
      <c r="A1287" t="s">
        <v>1332</v>
      </c>
      <c r="B1287" t="s">
        <v>9</v>
      </c>
      <c r="C1287" t="s">
        <v>1</v>
      </c>
      <c r="D1287" t="s">
        <v>10</v>
      </c>
      <c r="E1287" t="s">
        <v>11</v>
      </c>
      <c r="F1287">
        <v>153519</v>
      </c>
      <c r="G1287">
        <v>-62465</v>
      </c>
      <c r="H1287">
        <v>69374</v>
      </c>
      <c r="I1287">
        <v>153519</v>
      </c>
      <c r="J1287">
        <v>15351</v>
      </c>
      <c r="K1287">
        <v>7675</v>
      </c>
      <c r="L1287">
        <v>119233</v>
      </c>
      <c r="M1287">
        <v>23846</v>
      </c>
      <c r="N1287">
        <v>35769</v>
      </c>
      <c r="O1287">
        <v>11923</v>
      </c>
      <c r="P1287">
        <v>-47693</v>
      </c>
      <c r="Q1287">
        <v>-29808</v>
      </c>
      <c r="R1287">
        <v>125666</v>
      </c>
      <c r="S1287">
        <v>37699</v>
      </c>
      <c r="T1287">
        <v>12566</v>
      </c>
      <c r="U1287">
        <v>5961</v>
      </c>
      <c r="V1287">
        <v>3576</v>
      </c>
      <c r="W1287">
        <v>2384</v>
      </c>
      <c r="X1287">
        <v>11923</v>
      </c>
      <c r="Y1287">
        <v>5961</v>
      </c>
      <c r="Z1287">
        <v>6283</v>
      </c>
      <c r="AA1287">
        <v>3769</v>
      </c>
      <c r="AB1287">
        <v>2513</v>
      </c>
    </row>
    <row r="1288" spans="1:28" x14ac:dyDescent="0.35">
      <c r="A1288" t="s">
        <v>1333</v>
      </c>
      <c r="B1288" t="s">
        <v>9</v>
      </c>
      <c r="C1288" t="s">
        <v>1</v>
      </c>
      <c r="D1288" t="s">
        <v>10</v>
      </c>
      <c r="E1288" t="s">
        <v>11</v>
      </c>
      <c r="F1288">
        <v>118261</v>
      </c>
      <c r="G1288">
        <v>-42022</v>
      </c>
      <c r="H1288">
        <v>43923</v>
      </c>
      <c r="I1288">
        <v>118261</v>
      </c>
      <c r="J1288">
        <v>11826</v>
      </c>
      <c r="K1288">
        <v>5913</v>
      </c>
      <c r="L1288">
        <v>32326</v>
      </c>
      <c r="M1288">
        <v>6465</v>
      </c>
      <c r="N1288">
        <v>9697</v>
      </c>
      <c r="O1288">
        <v>3232</v>
      </c>
      <c r="P1288">
        <v>-12930</v>
      </c>
      <c r="Q1288">
        <v>-8081</v>
      </c>
      <c r="R1288">
        <v>26179</v>
      </c>
      <c r="S1288">
        <v>7853</v>
      </c>
      <c r="T1288">
        <v>2617</v>
      </c>
      <c r="U1288">
        <v>1616</v>
      </c>
      <c r="V1288">
        <v>969</v>
      </c>
      <c r="W1288">
        <v>646</v>
      </c>
      <c r="X1288">
        <v>3232</v>
      </c>
      <c r="Y1288">
        <v>1616</v>
      </c>
      <c r="Z1288">
        <v>1308</v>
      </c>
      <c r="AA1288">
        <v>785</v>
      </c>
      <c r="AB1288">
        <v>523</v>
      </c>
    </row>
    <row r="1289" spans="1:28" x14ac:dyDescent="0.35">
      <c r="A1289" t="s">
        <v>1334</v>
      </c>
      <c r="B1289" t="s">
        <v>9</v>
      </c>
      <c r="C1289" t="s">
        <v>1</v>
      </c>
      <c r="D1289" t="s">
        <v>10</v>
      </c>
      <c r="E1289" t="s">
        <v>11</v>
      </c>
      <c r="F1289">
        <v>119659</v>
      </c>
      <c r="G1289">
        <v>-31295</v>
      </c>
      <c r="H1289">
        <v>38101</v>
      </c>
      <c r="I1289">
        <v>119659</v>
      </c>
      <c r="J1289">
        <v>11965</v>
      </c>
      <c r="K1289">
        <v>5982</v>
      </c>
      <c r="L1289">
        <v>58908</v>
      </c>
      <c r="M1289">
        <v>11781</v>
      </c>
      <c r="N1289">
        <v>17672</v>
      </c>
      <c r="O1289">
        <v>5890</v>
      </c>
      <c r="P1289">
        <v>-23563</v>
      </c>
      <c r="Q1289">
        <v>-14727</v>
      </c>
      <c r="R1289">
        <v>60902</v>
      </c>
      <c r="S1289">
        <v>18270</v>
      </c>
      <c r="T1289">
        <v>6090</v>
      </c>
      <c r="U1289">
        <v>2945</v>
      </c>
      <c r="V1289">
        <v>1767</v>
      </c>
      <c r="W1289">
        <v>1178</v>
      </c>
      <c r="X1289">
        <v>5890</v>
      </c>
      <c r="Y1289">
        <v>2945</v>
      </c>
      <c r="Z1289">
        <v>3045</v>
      </c>
      <c r="AA1289">
        <v>1827</v>
      </c>
      <c r="AB1289">
        <v>1218</v>
      </c>
    </row>
    <row r="1290" spans="1:28" x14ac:dyDescent="0.35">
      <c r="A1290" t="s">
        <v>1335</v>
      </c>
      <c r="B1290" t="s">
        <v>9</v>
      </c>
      <c r="C1290" t="s">
        <v>1</v>
      </c>
      <c r="D1290" t="s">
        <v>10</v>
      </c>
      <c r="E1290" t="s">
        <v>11</v>
      </c>
      <c r="F1290">
        <v>89597</v>
      </c>
      <c r="G1290">
        <v>-48625</v>
      </c>
      <c r="H1290">
        <v>20544</v>
      </c>
      <c r="I1290">
        <v>89597</v>
      </c>
      <c r="J1290">
        <v>8959</v>
      </c>
      <c r="K1290">
        <v>4479</v>
      </c>
      <c r="L1290">
        <v>40201</v>
      </c>
      <c r="M1290">
        <v>8040</v>
      </c>
      <c r="N1290">
        <v>12060</v>
      </c>
      <c r="O1290">
        <v>4020</v>
      </c>
      <c r="P1290">
        <v>-16080</v>
      </c>
      <c r="Q1290">
        <v>-10050</v>
      </c>
      <c r="R1290">
        <v>47577</v>
      </c>
      <c r="S1290">
        <v>14273</v>
      </c>
      <c r="T1290">
        <v>4757</v>
      </c>
      <c r="U1290">
        <v>2010</v>
      </c>
      <c r="V1290">
        <v>1206</v>
      </c>
      <c r="W1290">
        <v>804</v>
      </c>
      <c r="X1290">
        <v>4020</v>
      </c>
      <c r="Y1290">
        <v>2010</v>
      </c>
      <c r="Z1290">
        <v>2378</v>
      </c>
      <c r="AA1290">
        <v>1427</v>
      </c>
      <c r="AB1290">
        <v>951</v>
      </c>
    </row>
    <row r="1291" spans="1:28" x14ac:dyDescent="0.35">
      <c r="A1291" t="s">
        <v>1336</v>
      </c>
      <c r="B1291" t="s">
        <v>9</v>
      </c>
      <c r="C1291" t="s">
        <v>1</v>
      </c>
      <c r="D1291" t="s">
        <v>10</v>
      </c>
      <c r="E1291" t="s">
        <v>11</v>
      </c>
      <c r="F1291">
        <v>186417</v>
      </c>
      <c r="G1291">
        <v>-111293</v>
      </c>
      <c r="H1291">
        <v>44138</v>
      </c>
      <c r="I1291">
        <v>186417</v>
      </c>
      <c r="J1291">
        <v>18641</v>
      </c>
      <c r="K1291">
        <v>9320</v>
      </c>
      <c r="L1291">
        <v>126121</v>
      </c>
      <c r="M1291">
        <v>25224</v>
      </c>
      <c r="N1291">
        <v>37836</v>
      </c>
      <c r="O1291">
        <v>12612</v>
      </c>
      <c r="P1291">
        <v>-50448</v>
      </c>
      <c r="Q1291">
        <v>-31530</v>
      </c>
      <c r="R1291">
        <v>111136</v>
      </c>
      <c r="S1291">
        <v>33340</v>
      </c>
      <c r="T1291">
        <v>11113</v>
      </c>
      <c r="U1291">
        <v>6306</v>
      </c>
      <c r="V1291">
        <v>3783</v>
      </c>
      <c r="W1291">
        <v>2522</v>
      </c>
      <c r="X1291">
        <v>12612</v>
      </c>
      <c r="Y1291">
        <v>6306</v>
      </c>
      <c r="Z1291">
        <v>5556</v>
      </c>
      <c r="AA1291">
        <v>3334</v>
      </c>
      <c r="AB1291">
        <v>2222</v>
      </c>
    </row>
    <row r="1292" spans="1:28" x14ac:dyDescent="0.35">
      <c r="A1292" t="s">
        <v>1337</v>
      </c>
      <c r="B1292" t="s">
        <v>9</v>
      </c>
      <c r="C1292" t="s">
        <v>1</v>
      </c>
      <c r="D1292" t="s">
        <v>10</v>
      </c>
      <c r="E1292" t="s">
        <v>11</v>
      </c>
      <c r="F1292">
        <v>447727</v>
      </c>
      <c r="G1292">
        <v>-231851</v>
      </c>
      <c r="H1292">
        <v>67338</v>
      </c>
      <c r="I1292">
        <v>447727</v>
      </c>
      <c r="J1292">
        <v>44772</v>
      </c>
      <c r="K1292">
        <v>22386</v>
      </c>
      <c r="L1292">
        <v>145278</v>
      </c>
      <c r="M1292">
        <v>29055</v>
      </c>
      <c r="N1292">
        <v>43583</v>
      </c>
      <c r="O1292">
        <v>14527</v>
      </c>
      <c r="P1292">
        <v>-58111</v>
      </c>
      <c r="Q1292">
        <v>-36319</v>
      </c>
      <c r="R1292">
        <v>135557</v>
      </c>
      <c r="S1292">
        <v>40667</v>
      </c>
      <c r="T1292">
        <v>13555</v>
      </c>
      <c r="U1292">
        <v>7263</v>
      </c>
      <c r="V1292">
        <v>4358</v>
      </c>
      <c r="W1292">
        <v>2905</v>
      </c>
      <c r="X1292">
        <v>14527</v>
      </c>
      <c r="Y1292">
        <v>7263</v>
      </c>
      <c r="Z1292">
        <v>6777</v>
      </c>
      <c r="AA1292">
        <v>4066</v>
      </c>
      <c r="AB1292">
        <v>2711</v>
      </c>
    </row>
    <row r="1293" spans="1:28" x14ac:dyDescent="0.35">
      <c r="A1293" t="s">
        <v>1338</v>
      </c>
      <c r="B1293" t="s">
        <v>9</v>
      </c>
      <c r="C1293" t="s">
        <v>1</v>
      </c>
      <c r="D1293" t="s">
        <v>10</v>
      </c>
      <c r="E1293" t="s">
        <v>11</v>
      </c>
      <c r="F1293">
        <v>148035</v>
      </c>
      <c r="G1293">
        <v>-87891</v>
      </c>
      <c r="H1293">
        <v>35876</v>
      </c>
      <c r="I1293">
        <v>148035</v>
      </c>
      <c r="J1293">
        <v>14803</v>
      </c>
      <c r="K1293">
        <v>7401</v>
      </c>
      <c r="L1293">
        <v>105419</v>
      </c>
      <c r="M1293">
        <v>21083</v>
      </c>
      <c r="N1293">
        <v>31625</v>
      </c>
      <c r="O1293">
        <v>10541</v>
      </c>
      <c r="P1293">
        <v>-42167</v>
      </c>
      <c r="Q1293">
        <v>-26354</v>
      </c>
      <c r="R1293">
        <v>90894</v>
      </c>
      <c r="S1293">
        <v>27268</v>
      </c>
      <c r="T1293">
        <v>9089</v>
      </c>
      <c r="U1293">
        <v>5270</v>
      </c>
      <c r="V1293">
        <v>3162</v>
      </c>
      <c r="W1293">
        <v>2108</v>
      </c>
      <c r="X1293">
        <v>10541</v>
      </c>
      <c r="Y1293">
        <v>5270</v>
      </c>
      <c r="Z1293">
        <v>4544</v>
      </c>
      <c r="AA1293">
        <v>2726</v>
      </c>
      <c r="AB1293">
        <v>1817</v>
      </c>
    </row>
    <row r="1294" spans="1:28" x14ac:dyDescent="0.35">
      <c r="A1294" t="s">
        <v>1339</v>
      </c>
      <c r="B1294" t="s">
        <v>9</v>
      </c>
      <c r="C1294" t="s">
        <v>1</v>
      </c>
      <c r="D1294" t="s">
        <v>10</v>
      </c>
      <c r="E1294" t="s">
        <v>11</v>
      </c>
      <c r="F1294">
        <v>441703</v>
      </c>
      <c r="G1294">
        <v>-183935</v>
      </c>
      <c r="H1294">
        <v>214598</v>
      </c>
      <c r="I1294">
        <v>441703</v>
      </c>
      <c r="J1294">
        <v>44170</v>
      </c>
      <c r="K1294">
        <v>22085</v>
      </c>
      <c r="L1294">
        <v>174974</v>
      </c>
      <c r="M1294">
        <v>34994</v>
      </c>
      <c r="N1294">
        <v>52492</v>
      </c>
      <c r="O1294">
        <v>17497</v>
      </c>
      <c r="P1294">
        <v>-69989</v>
      </c>
      <c r="Q1294">
        <v>-43743</v>
      </c>
      <c r="R1294">
        <v>148035</v>
      </c>
      <c r="S1294">
        <v>44410</v>
      </c>
      <c r="T1294">
        <v>14803</v>
      </c>
      <c r="U1294">
        <v>8748</v>
      </c>
      <c r="V1294">
        <v>5249</v>
      </c>
      <c r="W1294">
        <v>3499</v>
      </c>
      <c r="X1294">
        <v>17497</v>
      </c>
      <c r="Y1294">
        <v>8748</v>
      </c>
      <c r="Z1294">
        <v>7401</v>
      </c>
      <c r="AA1294">
        <v>4441</v>
      </c>
      <c r="AB1294">
        <v>2960</v>
      </c>
    </row>
    <row r="1295" spans="1:28" x14ac:dyDescent="0.35">
      <c r="A1295" t="s">
        <v>1340</v>
      </c>
      <c r="B1295" t="s">
        <v>9</v>
      </c>
      <c r="C1295" t="s">
        <v>1</v>
      </c>
      <c r="D1295" t="s">
        <v>10</v>
      </c>
      <c r="E1295" t="s">
        <v>11</v>
      </c>
      <c r="F1295">
        <v>152001</v>
      </c>
      <c r="G1295">
        <v>-80424</v>
      </c>
      <c r="H1295">
        <v>35437</v>
      </c>
      <c r="I1295">
        <v>152001</v>
      </c>
      <c r="J1295">
        <v>15200</v>
      </c>
      <c r="K1295">
        <v>7600</v>
      </c>
      <c r="L1295">
        <v>107646</v>
      </c>
      <c r="M1295">
        <v>21529</v>
      </c>
      <c r="N1295">
        <v>32293</v>
      </c>
      <c r="O1295">
        <v>10764</v>
      </c>
      <c r="P1295">
        <v>-43058</v>
      </c>
      <c r="Q1295">
        <v>-26911</v>
      </c>
      <c r="R1295">
        <v>110628</v>
      </c>
      <c r="S1295">
        <v>33188</v>
      </c>
      <c r="T1295">
        <v>11062</v>
      </c>
      <c r="U1295">
        <v>5382</v>
      </c>
      <c r="V1295">
        <v>3229</v>
      </c>
      <c r="W1295">
        <v>2152</v>
      </c>
      <c r="X1295">
        <v>10764</v>
      </c>
      <c r="Y1295">
        <v>5382</v>
      </c>
      <c r="Z1295">
        <v>5531</v>
      </c>
      <c r="AA1295">
        <v>3318</v>
      </c>
      <c r="AB1295">
        <v>2212</v>
      </c>
    </row>
    <row r="1296" spans="1:28" x14ac:dyDescent="0.35">
      <c r="A1296" t="s">
        <v>1341</v>
      </c>
      <c r="B1296" t="s">
        <v>9</v>
      </c>
      <c r="C1296" t="s">
        <v>1</v>
      </c>
      <c r="D1296" t="s">
        <v>10</v>
      </c>
      <c r="E1296" t="s">
        <v>11</v>
      </c>
      <c r="F1296">
        <v>422439</v>
      </c>
      <c r="G1296">
        <v>-161478</v>
      </c>
      <c r="H1296">
        <v>108251</v>
      </c>
      <c r="I1296">
        <v>422439</v>
      </c>
      <c r="J1296">
        <v>42243</v>
      </c>
      <c r="K1296">
        <v>21121</v>
      </c>
      <c r="L1296">
        <v>146408</v>
      </c>
      <c r="M1296">
        <v>29281</v>
      </c>
      <c r="N1296">
        <v>43922</v>
      </c>
      <c r="O1296">
        <v>14640</v>
      </c>
      <c r="P1296">
        <v>-58563</v>
      </c>
      <c r="Q1296">
        <v>-36602</v>
      </c>
      <c r="R1296">
        <v>143514</v>
      </c>
      <c r="S1296">
        <v>43054</v>
      </c>
      <c r="T1296">
        <v>14351</v>
      </c>
      <c r="U1296">
        <v>7320</v>
      </c>
      <c r="V1296">
        <v>4392</v>
      </c>
      <c r="W1296">
        <v>2928</v>
      </c>
      <c r="X1296">
        <v>14640</v>
      </c>
      <c r="Y1296">
        <v>7320</v>
      </c>
      <c r="Z1296">
        <v>7175</v>
      </c>
      <c r="AA1296">
        <v>4305</v>
      </c>
      <c r="AB1296">
        <v>2870</v>
      </c>
    </row>
    <row r="1297" spans="1:28" x14ac:dyDescent="0.35">
      <c r="A1297" t="s">
        <v>1342</v>
      </c>
      <c r="B1297" t="s">
        <v>9</v>
      </c>
      <c r="C1297" t="s">
        <v>1</v>
      </c>
      <c r="D1297" t="s">
        <v>10</v>
      </c>
      <c r="E1297" t="s">
        <v>11</v>
      </c>
      <c r="F1297">
        <v>346718</v>
      </c>
      <c r="G1297">
        <v>-206725</v>
      </c>
      <c r="H1297">
        <v>147565</v>
      </c>
      <c r="I1297">
        <v>346718</v>
      </c>
      <c r="J1297">
        <v>34671</v>
      </c>
      <c r="K1297">
        <v>17335</v>
      </c>
      <c r="L1297">
        <v>161805</v>
      </c>
      <c r="M1297">
        <v>32361</v>
      </c>
      <c r="N1297">
        <v>48541</v>
      </c>
      <c r="O1297">
        <v>16180</v>
      </c>
      <c r="P1297">
        <v>-64722</v>
      </c>
      <c r="Q1297">
        <v>-40451</v>
      </c>
      <c r="R1297">
        <v>131266</v>
      </c>
      <c r="S1297">
        <v>39379</v>
      </c>
      <c r="T1297">
        <v>13126</v>
      </c>
      <c r="U1297">
        <v>8090</v>
      </c>
      <c r="V1297">
        <v>4854</v>
      </c>
      <c r="W1297">
        <v>3236</v>
      </c>
      <c r="X1297">
        <v>16180</v>
      </c>
      <c r="Y1297">
        <v>8090</v>
      </c>
      <c r="Z1297">
        <v>6563</v>
      </c>
      <c r="AA1297">
        <v>3937</v>
      </c>
      <c r="AB1297">
        <v>2625</v>
      </c>
    </row>
    <row r="1298" spans="1:28" x14ac:dyDescent="0.35">
      <c r="A1298" t="s">
        <v>1343</v>
      </c>
      <c r="B1298" t="s">
        <v>9</v>
      </c>
      <c r="C1298" t="s">
        <v>1</v>
      </c>
      <c r="D1298" t="s">
        <v>10</v>
      </c>
      <c r="E1298" t="s">
        <v>11</v>
      </c>
      <c r="F1298">
        <v>52635</v>
      </c>
      <c r="G1298">
        <v>-18607</v>
      </c>
      <c r="H1298">
        <v>18112</v>
      </c>
      <c r="I1298">
        <v>52635</v>
      </c>
      <c r="J1298">
        <v>5263</v>
      </c>
      <c r="K1298">
        <v>2631</v>
      </c>
      <c r="L1298">
        <v>30235</v>
      </c>
      <c r="M1298">
        <v>6047</v>
      </c>
      <c r="N1298">
        <v>9070</v>
      </c>
      <c r="O1298">
        <v>3023</v>
      </c>
      <c r="P1298">
        <v>-12094</v>
      </c>
      <c r="Q1298">
        <v>-7558</v>
      </c>
      <c r="R1298">
        <v>26435</v>
      </c>
      <c r="S1298">
        <v>7930</v>
      </c>
      <c r="T1298">
        <v>2643</v>
      </c>
      <c r="U1298">
        <v>1511</v>
      </c>
      <c r="V1298">
        <v>907</v>
      </c>
      <c r="W1298">
        <v>604</v>
      </c>
      <c r="X1298">
        <v>3023</v>
      </c>
      <c r="Y1298">
        <v>1511</v>
      </c>
      <c r="Z1298">
        <v>1321</v>
      </c>
      <c r="AA1298">
        <v>793</v>
      </c>
      <c r="AB1298">
        <v>528</v>
      </c>
    </row>
    <row r="1299" spans="1:28" x14ac:dyDescent="0.35">
      <c r="A1299" t="s">
        <v>1344</v>
      </c>
      <c r="B1299" t="s">
        <v>9</v>
      </c>
      <c r="C1299" t="s">
        <v>1</v>
      </c>
      <c r="D1299" t="s">
        <v>10</v>
      </c>
      <c r="E1299" t="s">
        <v>11</v>
      </c>
      <c r="F1299">
        <v>242855</v>
      </c>
      <c r="G1299">
        <v>-75910</v>
      </c>
      <c r="H1299">
        <v>75654</v>
      </c>
      <c r="I1299">
        <v>242855</v>
      </c>
      <c r="J1299">
        <v>24285</v>
      </c>
      <c r="K1299">
        <v>12142</v>
      </c>
      <c r="L1299">
        <v>171595</v>
      </c>
      <c r="M1299">
        <v>34319</v>
      </c>
      <c r="N1299">
        <v>51478</v>
      </c>
      <c r="O1299">
        <v>17159</v>
      </c>
      <c r="P1299">
        <v>-68638</v>
      </c>
      <c r="Q1299">
        <v>-42898</v>
      </c>
      <c r="R1299">
        <v>177767</v>
      </c>
      <c r="S1299">
        <v>53330</v>
      </c>
      <c r="T1299">
        <v>17776</v>
      </c>
      <c r="U1299">
        <v>8579</v>
      </c>
      <c r="V1299">
        <v>5147</v>
      </c>
      <c r="W1299">
        <v>3431</v>
      </c>
      <c r="X1299">
        <v>17159</v>
      </c>
      <c r="Y1299">
        <v>8579</v>
      </c>
      <c r="Z1299">
        <v>8888</v>
      </c>
      <c r="AA1299">
        <v>5333</v>
      </c>
      <c r="AB1299">
        <v>3555</v>
      </c>
    </row>
    <row r="1300" spans="1:28" x14ac:dyDescent="0.35">
      <c r="A1300" t="s">
        <v>1345</v>
      </c>
      <c r="B1300" t="s">
        <v>9</v>
      </c>
      <c r="C1300" t="s">
        <v>1</v>
      </c>
      <c r="D1300" t="s">
        <v>10</v>
      </c>
      <c r="E1300" t="s">
        <v>11</v>
      </c>
      <c r="F1300">
        <v>118448</v>
      </c>
      <c r="G1300">
        <v>-43274</v>
      </c>
      <c r="H1300">
        <v>26782</v>
      </c>
      <c r="I1300">
        <v>118448</v>
      </c>
      <c r="J1300">
        <v>11844</v>
      </c>
      <c r="K1300">
        <v>5922</v>
      </c>
      <c r="L1300">
        <v>61961</v>
      </c>
      <c r="M1300">
        <v>12392</v>
      </c>
      <c r="N1300">
        <v>18588</v>
      </c>
      <c r="O1300">
        <v>6196</v>
      </c>
      <c r="P1300">
        <v>-24784</v>
      </c>
      <c r="Q1300">
        <v>-15490</v>
      </c>
      <c r="R1300">
        <v>52104</v>
      </c>
      <c r="S1300">
        <v>15631</v>
      </c>
      <c r="T1300">
        <v>5210</v>
      </c>
      <c r="U1300">
        <v>3098</v>
      </c>
      <c r="V1300">
        <v>1858</v>
      </c>
      <c r="W1300">
        <v>1239</v>
      </c>
      <c r="X1300">
        <v>6196</v>
      </c>
      <c r="Y1300">
        <v>3098</v>
      </c>
      <c r="Z1300">
        <v>2605</v>
      </c>
      <c r="AA1300">
        <v>1563</v>
      </c>
      <c r="AB1300">
        <v>1042</v>
      </c>
    </row>
    <row r="1301" spans="1:28" x14ac:dyDescent="0.35">
      <c r="A1301" t="s">
        <v>1346</v>
      </c>
      <c r="B1301" t="s">
        <v>9</v>
      </c>
      <c r="C1301" t="s">
        <v>1</v>
      </c>
      <c r="D1301" t="s">
        <v>10</v>
      </c>
      <c r="E1301" t="s">
        <v>11</v>
      </c>
      <c r="F1301">
        <v>165613</v>
      </c>
      <c r="G1301">
        <v>-40967</v>
      </c>
      <c r="H1301">
        <v>29762</v>
      </c>
      <c r="I1301">
        <v>165613</v>
      </c>
      <c r="J1301">
        <v>16561</v>
      </c>
      <c r="K1301">
        <v>8280</v>
      </c>
      <c r="L1301">
        <v>87915</v>
      </c>
      <c r="M1301">
        <v>17583</v>
      </c>
      <c r="N1301">
        <v>26374</v>
      </c>
      <c r="O1301">
        <v>8791</v>
      </c>
      <c r="P1301">
        <v>-35166</v>
      </c>
      <c r="Q1301">
        <v>-21978</v>
      </c>
      <c r="R1301">
        <v>87962</v>
      </c>
      <c r="S1301">
        <v>26388</v>
      </c>
      <c r="T1301">
        <v>8796</v>
      </c>
      <c r="U1301">
        <v>4395</v>
      </c>
      <c r="V1301">
        <v>2637</v>
      </c>
      <c r="W1301">
        <v>1758</v>
      </c>
      <c r="X1301">
        <v>8791</v>
      </c>
      <c r="Y1301">
        <v>4395</v>
      </c>
      <c r="Z1301">
        <v>4398</v>
      </c>
      <c r="AA1301">
        <v>2638</v>
      </c>
      <c r="AB1301">
        <v>1759</v>
      </c>
    </row>
    <row r="1302" spans="1:28" x14ac:dyDescent="0.35">
      <c r="A1302" t="s">
        <v>1347</v>
      </c>
      <c r="B1302" t="s">
        <v>9</v>
      </c>
      <c r="C1302" t="s">
        <v>1</v>
      </c>
      <c r="D1302" t="s">
        <v>10</v>
      </c>
      <c r="E1302" t="s">
        <v>11</v>
      </c>
      <c r="F1302">
        <v>63487</v>
      </c>
      <c r="G1302">
        <v>-22940</v>
      </c>
      <c r="H1302">
        <v>21689</v>
      </c>
      <c r="I1302">
        <v>63487</v>
      </c>
      <c r="J1302">
        <v>6348</v>
      </c>
      <c r="K1302">
        <v>3174</v>
      </c>
      <c r="L1302">
        <v>47876</v>
      </c>
      <c r="M1302">
        <v>9575</v>
      </c>
      <c r="N1302">
        <v>14362</v>
      </c>
      <c r="O1302">
        <v>4787</v>
      </c>
      <c r="P1302">
        <v>-19150</v>
      </c>
      <c r="Q1302">
        <v>-11969</v>
      </c>
      <c r="R1302">
        <v>41615</v>
      </c>
      <c r="S1302">
        <v>12484</v>
      </c>
      <c r="T1302">
        <v>4161</v>
      </c>
      <c r="U1302">
        <v>2393</v>
      </c>
      <c r="V1302">
        <v>1436</v>
      </c>
      <c r="W1302">
        <v>957</v>
      </c>
      <c r="X1302">
        <v>4787</v>
      </c>
      <c r="Y1302">
        <v>2393</v>
      </c>
      <c r="Z1302">
        <v>2080</v>
      </c>
      <c r="AA1302">
        <v>1248</v>
      </c>
      <c r="AB1302">
        <v>832</v>
      </c>
    </row>
    <row r="1303" spans="1:28" x14ac:dyDescent="0.35">
      <c r="A1303" t="s">
        <v>1348</v>
      </c>
      <c r="B1303" t="s">
        <v>9</v>
      </c>
      <c r="C1303" t="s">
        <v>1</v>
      </c>
      <c r="D1303" t="s">
        <v>10</v>
      </c>
      <c r="E1303" t="s">
        <v>11</v>
      </c>
      <c r="F1303">
        <v>428860</v>
      </c>
      <c r="G1303">
        <v>-135305</v>
      </c>
      <c r="H1303">
        <v>191054</v>
      </c>
      <c r="I1303">
        <v>428860</v>
      </c>
      <c r="J1303">
        <v>42886</v>
      </c>
      <c r="K1303">
        <v>21443</v>
      </c>
      <c r="L1303">
        <v>278302</v>
      </c>
      <c r="M1303">
        <v>55660</v>
      </c>
      <c r="N1303">
        <v>83490</v>
      </c>
      <c r="O1303">
        <v>27830</v>
      </c>
      <c r="P1303">
        <v>-111320</v>
      </c>
      <c r="Q1303">
        <v>-69575</v>
      </c>
      <c r="R1303">
        <v>267648</v>
      </c>
      <c r="S1303">
        <v>80294</v>
      </c>
      <c r="T1303">
        <v>26764</v>
      </c>
      <c r="U1303">
        <v>13915</v>
      </c>
      <c r="V1303">
        <v>8349</v>
      </c>
      <c r="W1303">
        <v>5566</v>
      </c>
      <c r="X1303">
        <v>27830</v>
      </c>
      <c r="Y1303">
        <v>13915</v>
      </c>
      <c r="Z1303">
        <v>13382</v>
      </c>
      <c r="AA1303">
        <v>8029</v>
      </c>
      <c r="AB1303">
        <v>5352</v>
      </c>
    </row>
    <row r="1304" spans="1:28" x14ac:dyDescent="0.35">
      <c r="A1304" t="s">
        <v>1349</v>
      </c>
      <c r="B1304" t="s">
        <v>9</v>
      </c>
      <c r="C1304" t="s">
        <v>1</v>
      </c>
      <c r="D1304" t="s">
        <v>10</v>
      </c>
      <c r="E1304" t="s">
        <v>11</v>
      </c>
      <c r="F1304">
        <v>248835</v>
      </c>
      <c r="G1304">
        <v>-51663</v>
      </c>
      <c r="H1304">
        <v>27311</v>
      </c>
      <c r="I1304">
        <v>248835</v>
      </c>
      <c r="J1304">
        <v>24883</v>
      </c>
      <c r="K1304">
        <v>12441</v>
      </c>
      <c r="L1304">
        <v>161639</v>
      </c>
      <c r="M1304">
        <v>32327</v>
      </c>
      <c r="N1304">
        <v>48491</v>
      </c>
      <c r="O1304">
        <v>16163</v>
      </c>
      <c r="P1304">
        <v>-64655</v>
      </c>
      <c r="Q1304">
        <v>-40409</v>
      </c>
      <c r="R1304">
        <v>170831</v>
      </c>
      <c r="S1304">
        <v>51249</v>
      </c>
      <c r="T1304">
        <v>17083</v>
      </c>
      <c r="U1304">
        <v>8081</v>
      </c>
      <c r="V1304">
        <v>4849</v>
      </c>
      <c r="W1304">
        <v>3232</v>
      </c>
      <c r="X1304">
        <v>16163</v>
      </c>
      <c r="Y1304">
        <v>8081</v>
      </c>
      <c r="Z1304">
        <v>8541</v>
      </c>
      <c r="AA1304">
        <v>5124</v>
      </c>
      <c r="AB1304">
        <v>3416</v>
      </c>
    </row>
    <row r="1305" spans="1:28" x14ac:dyDescent="0.35">
      <c r="A1305" t="s">
        <v>1350</v>
      </c>
      <c r="B1305" t="s">
        <v>9</v>
      </c>
      <c r="C1305" t="s">
        <v>1</v>
      </c>
      <c r="D1305" t="s">
        <v>10</v>
      </c>
      <c r="E1305" t="s">
        <v>11</v>
      </c>
      <c r="F1305">
        <v>184241</v>
      </c>
      <c r="G1305">
        <v>-102193</v>
      </c>
      <c r="H1305">
        <v>76320</v>
      </c>
      <c r="I1305">
        <v>184241</v>
      </c>
      <c r="J1305">
        <v>18424</v>
      </c>
      <c r="K1305">
        <v>9212</v>
      </c>
      <c r="L1305">
        <v>75751</v>
      </c>
      <c r="M1305">
        <v>15150</v>
      </c>
      <c r="N1305">
        <v>22725</v>
      </c>
      <c r="O1305">
        <v>7575</v>
      </c>
      <c r="P1305">
        <v>-30300</v>
      </c>
      <c r="Q1305">
        <v>-18937</v>
      </c>
      <c r="R1305">
        <v>84465</v>
      </c>
      <c r="S1305">
        <v>25339</v>
      </c>
      <c r="T1305">
        <v>8446</v>
      </c>
      <c r="U1305">
        <v>3787</v>
      </c>
      <c r="V1305">
        <v>2272</v>
      </c>
      <c r="W1305">
        <v>1515</v>
      </c>
      <c r="X1305">
        <v>7575</v>
      </c>
      <c r="Y1305">
        <v>3787</v>
      </c>
      <c r="Z1305">
        <v>4223</v>
      </c>
      <c r="AA1305">
        <v>2533</v>
      </c>
      <c r="AB1305">
        <v>1689</v>
      </c>
    </row>
    <row r="1306" spans="1:28" x14ac:dyDescent="0.35">
      <c r="A1306" t="s">
        <v>1351</v>
      </c>
      <c r="B1306" t="s">
        <v>9</v>
      </c>
      <c r="C1306" t="s">
        <v>1</v>
      </c>
      <c r="D1306" t="s">
        <v>10</v>
      </c>
      <c r="E1306" t="s">
        <v>11</v>
      </c>
      <c r="F1306">
        <v>186773</v>
      </c>
      <c r="G1306">
        <v>-89869</v>
      </c>
      <c r="H1306">
        <v>28904</v>
      </c>
      <c r="I1306">
        <v>186773</v>
      </c>
      <c r="J1306">
        <v>18677</v>
      </c>
      <c r="K1306">
        <v>9338</v>
      </c>
      <c r="L1306">
        <v>47574</v>
      </c>
      <c r="M1306">
        <v>9514</v>
      </c>
      <c r="N1306">
        <v>14272</v>
      </c>
      <c r="O1306">
        <v>4757</v>
      </c>
      <c r="P1306">
        <v>-19029</v>
      </c>
      <c r="Q1306">
        <v>-11893</v>
      </c>
      <c r="R1306">
        <v>38515</v>
      </c>
      <c r="S1306">
        <v>11554</v>
      </c>
      <c r="T1306">
        <v>3851</v>
      </c>
      <c r="U1306">
        <v>2378</v>
      </c>
      <c r="V1306">
        <v>1427</v>
      </c>
      <c r="W1306">
        <v>951</v>
      </c>
      <c r="X1306">
        <v>4757</v>
      </c>
      <c r="Y1306">
        <v>2378</v>
      </c>
      <c r="Z1306">
        <v>1925</v>
      </c>
      <c r="AA1306">
        <v>1155</v>
      </c>
      <c r="AB1306">
        <v>770</v>
      </c>
    </row>
    <row r="1307" spans="1:28" x14ac:dyDescent="0.35">
      <c r="A1307" t="s">
        <v>1352</v>
      </c>
      <c r="B1307" t="s">
        <v>9</v>
      </c>
      <c r="C1307" t="s">
        <v>1</v>
      </c>
      <c r="D1307" t="s">
        <v>10</v>
      </c>
      <c r="E1307" t="s">
        <v>11</v>
      </c>
      <c r="F1307">
        <v>96469</v>
      </c>
      <c r="G1307">
        <v>-25567</v>
      </c>
      <c r="H1307">
        <v>40882</v>
      </c>
      <c r="I1307">
        <v>96469</v>
      </c>
      <c r="J1307">
        <v>9646</v>
      </c>
      <c r="K1307">
        <v>4823</v>
      </c>
      <c r="L1307">
        <v>63936</v>
      </c>
      <c r="M1307">
        <v>12787</v>
      </c>
      <c r="N1307">
        <v>19180</v>
      </c>
      <c r="O1307">
        <v>6393</v>
      </c>
      <c r="P1307">
        <v>-25574</v>
      </c>
      <c r="Q1307">
        <v>-15984</v>
      </c>
      <c r="R1307">
        <v>57587</v>
      </c>
      <c r="S1307">
        <v>17276</v>
      </c>
      <c r="T1307">
        <v>5758</v>
      </c>
      <c r="U1307">
        <v>3196</v>
      </c>
      <c r="V1307">
        <v>1918</v>
      </c>
      <c r="W1307">
        <v>1278</v>
      </c>
      <c r="X1307">
        <v>6393</v>
      </c>
      <c r="Y1307">
        <v>3196</v>
      </c>
      <c r="Z1307">
        <v>2879</v>
      </c>
      <c r="AA1307">
        <v>1727</v>
      </c>
      <c r="AB1307">
        <v>1151</v>
      </c>
    </row>
    <row r="1308" spans="1:28" x14ac:dyDescent="0.35">
      <c r="A1308" t="s">
        <v>1353</v>
      </c>
      <c r="B1308" t="s">
        <v>9</v>
      </c>
      <c r="C1308" t="s">
        <v>1</v>
      </c>
      <c r="D1308" t="s">
        <v>10</v>
      </c>
      <c r="E1308" t="s">
        <v>11</v>
      </c>
      <c r="F1308">
        <v>287525</v>
      </c>
      <c r="G1308">
        <v>-97545</v>
      </c>
      <c r="H1308">
        <v>51022</v>
      </c>
      <c r="I1308">
        <v>287525</v>
      </c>
      <c r="J1308">
        <v>28752</v>
      </c>
      <c r="K1308">
        <v>14376</v>
      </c>
      <c r="L1308">
        <v>57638</v>
      </c>
      <c r="M1308">
        <v>11527</v>
      </c>
      <c r="N1308">
        <v>17291</v>
      </c>
      <c r="O1308">
        <v>5763</v>
      </c>
      <c r="P1308">
        <v>-23055</v>
      </c>
      <c r="Q1308">
        <v>-14409</v>
      </c>
      <c r="R1308">
        <v>68605</v>
      </c>
      <c r="S1308">
        <v>20581</v>
      </c>
      <c r="T1308">
        <v>6860</v>
      </c>
      <c r="U1308">
        <v>2881</v>
      </c>
      <c r="V1308">
        <v>1729</v>
      </c>
      <c r="W1308">
        <v>1152</v>
      </c>
      <c r="X1308">
        <v>5763</v>
      </c>
      <c r="Y1308">
        <v>2881</v>
      </c>
      <c r="Z1308">
        <v>3430</v>
      </c>
      <c r="AA1308">
        <v>2058</v>
      </c>
      <c r="AB1308">
        <v>1372</v>
      </c>
    </row>
    <row r="1309" spans="1:28" x14ac:dyDescent="0.35">
      <c r="A1309" t="s">
        <v>1354</v>
      </c>
      <c r="B1309" t="s">
        <v>9</v>
      </c>
      <c r="C1309" t="s">
        <v>1</v>
      </c>
      <c r="D1309" t="s">
        <v>10</v>
      </c>
      <c r="E1309" t="s">
        <v>11</v>
      </c>
      <c r="F1309">
        <v>125791</v>
      </c>
      <c r="G1309">
        <v>-53871</v>
      </c>
      <c r="H1309">
        <v>53712</v>
      </c>
      <c r="I1309">
        <v>125791</v>
      </c>
      <c r="J1309">
        <v>12579</v>
      </c>
      <c r="K1309">
        <v>6289</v>
      </c>
      <c r="L1309">
        <v>72837</v>
      </c>
      <c r="M1309">
        <v>14567</v>
      </c>
      <c r="N1309">
        <v>21851</v>
      </c>
      <c r="O1309">
        <v>7283</v>
      </c>
      <c r="P1309">
        <v>-29134</v>
      </c>
      <c r="Q1309">
        <v>-18209</v>
      </c>
      <c r="R1309">
        <v>76107</v>
      </c>
      <c r="S1309">
        <v>22832</v>
      </c>
      <c r="T1309">
        <v>7610</v>
      </c>
      <c r="U1309">
        <v>3641</v>
      </c>
      <c r="V1309">
        <v>2185</v>
      </c>
      <c r="W1309">
        <v>1456</v>
      </c>
      <c r="X1309">
        <v>7283</v>
      </c>
      <c r="Y1309">
        <v>3641</v>
      </c>
      <c r="Z1309">
        <v>3805</v>
      </c>
      <c r="AA1309">
        <v>2283</v>
      </c>
      <c r="AB1309">
        <v>1522</v>
      </c>
    </row>
    <row r="1310" spans="1:28" x14ac:dyDescent="0.35">
      <c r="A1310" t="s">
        <v>1355</v>
      </c>
      <c r="B1310" t="s">
        <v>9</v>
      </c>
      <c r="C1310" t="s">
        <v>1</v>
      </c>
      <c r="D1310" t="s">
        <v>10</v>
      </c>
      <c r="E1310" t="s">
        <v>11</v>
      </c>
      <c r="F1310">
        <v>154606</v>
      </c>
      <c r="G1310">
        <v>-79198</v>
      </c>
      <c r="H1310">
        <v>48795</v>
      </c>
      <c r="I1310">
        <v>154606</v>
      </c>
      <c r="J1310">
        <v>15460</v>
      </c>
      <c r="K1310">
        <v>7730</v>
      </c>
      <c r="L1310">
        <v>37043</v>
      </c>
      <c r="M1310">
        <v>7408</v>
      </c>
      <c r="N1310">
        <v>11112</v>
      </c>
      <c r="O1310">
        <v>3704</v>
      </c>
      <c r="P1310">
        <v>-14817</v>
      </c>
      <c r="Q1310">
        <v>-9260</v>
      </c>
      <c r="R1310">
        <v>37382</v>
      </c>
      <c r="S1310">
        <v>11214</v>
      </c>
      <c r="T1310">
        <v>3738</v>
      </c>
      <c r="U1310">
        <v>1852</v>
      </c>
      <c r="V1310">
        <v>1111</v>
      </c>
      <c r="W1310">
        <v>740</v>
      </c>
      <c r="X1310">
        <v>3704</v>
      </c>
      <c r="Y1310">
        <v>1852</v>
      </c>
      <c r="Z1310">
        <v>1869</v>
      </c>
      <c r="AA1310">
        <v>1121</v>
      </c>
      <c r="AB1310">
        <v>747</v>
      </c>
    </row>
    <row r="1311" spans="1:28" x14ac:dyDescent="0.35">
      <c r="A1311" t="s">
        <v>1356</v>
      </c>
      <c r="B1311" t="s">
        <v>9</v>
      </c>
      <c r="C1311" t="s">
        <v>1</v>
      </c>
      <c r="D1311" t="s">
        <v>10</v>
      </c>
      <c r="E1311" t="s">
        <v>11</v>
      </c>
      <c r="F1311">
        <v>402990</v>
      </c>
      <c r="G1311">
        <v>-174258</v>
      </c>
      <c r="H1311">
        <v>165444</v>
      </c>
      <c r="I1311">
        <v>402990</v>
      </c>
      <c r="J1311">
        <v>40299</v>
      </c>
      <c r="K1311">
        <v>20149</v>
      </c>
      <c r="L1311">
        <v>203425</v>
      </c>
      <c r="M1311">
        <v>40685</v>
      </c>
      <c r="N1311">
        <v>61027</v>
      </c>
      <c r="O1311">
        <v>20342</v>
      </c>
      <c r="P1311">
        <v>-81370</v>
      </c>
      <c r="Q1311">
        <v>-50856</v>
      </c>
      <c r="R1311">
        <v>236040</v>
      </c>
      <c r="S1311">
        <v>70812</v>
      </c>
      <c r="T1311">
        <v>23604</v>
      </c>
      <c r="U1311">
        <v>10171</v>
      </c>
      <c r="V1311">
        <v>6102</v>
      </c>
      <c r="W1311">
        <v>4068</v>
      </c>
      <c r="X1311">
        <v>20342</v>
      </c>
      <c r="Y1311">
        <v>10171</v>
      </c>
      <c r="Z1311">
        <v>11802</v>
      </c>
      <c r="AA1311">
        <v>7081</v>
      </c>
      <c r="AB1311">
        <v>4720</v>
      </c>
    </row>
    <row r="1312" spans="1:28" x14ac:dyDescent="0.35">
      <c r="A1312" t="s">
        <v>1357</v>
      </c>
      <c r="B1312" t="s">
        <v>9</v>
      </c>
      <c r="C1312" t="s">
        <v>1</v>
      </c>
      <c r="D1312" t="s">
        <v>10</v>
      </c>
      <c r="E1312" t="s">
        <v>11</v>
      </c>
      <c r="F1312">
        <v>105777</v>
      </c>
      <c r="G1312">
        <v>-47911</v>
      </c>
      <c r="H1312">
        <v>18819</v>
      </c>
      <c r="I1312">
        <v>105777</v>
      </c>
      <c r="J1312">
        <v>10577</v>
      </c>
      <c r="K1312">
        <v>5288</v>
      </c>
      <c r="L1312">
        <v>27863</v>
      </c>
      <c r="M1312">
        <v>5572</v>
      </c>
      <c r="N1312">
        <v>8358</v>
      </c>
      <c r="O1312">
        <v>2786</v>
      </c>
      <c r="P1312">
        <v>-11145</v>
      </c>
      <c r="Q1312">
        <v>-6965</v>
      </c>
      <c r="R1312">
        <v>28752</v>
      </c>
      <c r="S1312">
        <v>8625</v>
      </c>
      <c r="T1312">
        <v>2875</v>
      </c>
      <c r="U1312">
        <v>1393</v>
      </c>
      <c r="V1312">
        <v>835</v>
      </c>
      <c r="W1312">
        <v>557</v>
      </c>
      <c r="X1312">
        <v>2786</v>
      </c>
      <c r="Y1312">
        <v>1393</v>
      </c>
      <c r="Z1312">
        <v>1437</v>
      </c>
      <c r="AA1312">
        <v>862</v>
      </c>
      <c r="AB1312">
        <v>575</v>
      </c>
    </row>
    <row r="1313" spans="1:28" x14ac:dyDescent="0.35">
      <c r="A1313" t="s">
        <v>1358</v>
      </c>
      <c r="B1313" t="s">
        <v>9</v>
      </c>
      <c r="C1313" t="s">
        <v>1</v>
      </c>
      <c r="D1313" t="s">
        <v>10</v>
      </c>
      <c r="E1313" t="s">
        <v>11</v>
      </c>
      <c r="F1313">
        <v>194628</v>
      </c>
      <c r="G1313">
        <v>-115893</v>
      </c>
      <c r="H1313">
        <v>83796</v>
      </c>
      <c r="I1313">
        <v>194628</v>
      </c>
      <c r="J1313">
        <v>19462</v>
      </c>
      <c r="K1313">
        <v>9731</v>
      </c>
      <c r="L1313">
        <v>138591</v>
      </c>
      <c r="M1313">
        <v>27718</v>
      </c>
      <c r="N1313">
        <v>41577</v>
      </c>
      <c r="O1313">
        <v>13859</v>
      </c>
      <c r="P1313">
        <v>-55436</v>
      </c>
      <c r="Q1313">
        <v>-34647</v>
      </c>
      <c r="R1313">
        <v>143313</v>
      </c>
      <c r="S1313">
        <v>42993</v>
      </c>
      <c r="T1313">
        <v>14331</v>
      </c>
      <c r="U1313">
        <v>6929</v>
      </c>
      <c r="V1313">
        <v>4157</v>
      </c>
      <c r="W1313">
        <v>2771</v>
      </c>
      <c r="X1313">
        <v>13859</v>
      </c>
      <c r="Y1313">
        <v>6929</v>
      </c>
      <c r="Z1313">
        <v>7165</v>
      </c>
      <c r="AA1313">
        <v>4299</v>
      </c>
      <c r="AB1313">
        <v>2866</v>
      </c>
    </row>
    <row r="1314" spans="1:28" x14ac:dyDescent="0.35">
      <c r="A1314" t="s">
        <v>1359</v>
      </c>
      <c r="B1314" t="s">
        <v>9</v>
      </c>
      <c r="C1314" t="s">
        <v>1</v>
      </c>
      <c r="D1314" t="s">
        <v>10</v>
      </c>
      <c r="E1314" t="s">
        <v>11</v>
      </c>
      <c r="F1314">
        <v>448079</v>
      </c>
      <c r="G1314">
        <v>-243560</v>
      </c>
      <c r="H1314">
        <v>113170</v>
      </c>
      <c r="I1314">
        <v>448079</v>
      </c>
      <c r="J1314">
        <v>44807</v>
      </c>
      <c r="K1314">
        <v>22403</v>
      </c>
      <c r="L1314">
        <v>344989</v>
      </c>
      <c r="M1314">
        <v>68997</v>
      </c>
      <c r="N1314">
        <v>103496</v>
      </c>
      <c r="O1314">
        <v>34498</v>
      </c>
      <c r="P1314">
        <v>-137995</v>
      </c>
      <c r="Q1314">
        <v>-86247</v>
      </c>
      <c r="R1314">
        <v>392505</v>
      </c>
      <c r="S1314">
        <v>117751</v>
      </c>
      <c r="T1314">
        <v>39250</v>
      </c>
      <c r="U1314">
        <v>17249</v>
      </c>
      <c r="V1314">
        <v>10349</v>
      </c>
      <c r="W1314">
        <v>6899</v>
      </c>
      <c r="X1314">
        <v>34498</v>
      </c>
      <c r="Y1314">
        <v>17249</v>
      </c>
      <c r="Z1314">
        <v>19625</v>
      </c>
      <c r="AA1314">
        <v>11775</v>
      </c>
      <c r="AB1314">
        <v>7850</v>
      </c>
    </row>
    <row r="1315" spans="1:28" x14ac:dyDescent="0.35">
      <c r="A1315" t="s">
        <v>1360</v>
      </c>
      <c r="B1315" t="s">
        <v>9</v>
      </c>
      <c r="C1315" t="s">
        <v>1</v>
      </c>
      <c r="D1315" t="s">
        <v>10</v>
      </c>
      <c r="E1315" t="s">
        <v>11</v>
      </c>
      <c r="F1315">
        <v>174446</v>
      </c>
      <c r="G1315">
        <v>-71390</v>
      </c>
      <c r="H1315">
        <v>23642</v>
      </c>
      <c r="I1315">
        <v>174446</v>
      </c>
      <c r="J1315">
        <v>17444</v>
      </c>
      <c r="K1315">
        <v>8722</v>
      </c>
      <c r="L1315">
        <v>65978</v>
      </c>
      <c r="M1315">
        <v>13195</v>
      </c>
      <c r="N1315">
        <v>19793</v>
      </c>
      <c r="O1315">
        <v>6597</v>
      </c>
      <c r="P1315">
        <v>-26391</v>
      </c>
      <c r="Q1315">
        <v>-16494</v>
      </c>
      <c r="R1315">
        <v>62757</v>
      </c>
      <c r="S1315">
        <v>18827</v>
      </c>
      <c r="T1315">
        <v>6275</v>
      </c>
      <c r="U1315">
        <v>3298</v>
      </c>
      <c r="V1315">
        <v>1979</v>
      </c>
      <c r="W1315">
        <v>1319</v>
      </c>
      <c r="X1315">
        <v>6597</v>
      </c>
      <c r="Y1315">
        <v>3298</v>
      </c>
      <c r="Z1315">
        <v>3137</v>
      </c>
      <c r="AA1315">
        <v>1882</v>
      </c>
      <c r="AB1315">
        <v>1255</v>
      </c>
    </row>
    <row r="1316" spans="1:28" x14ac:dyDescent="0.35">
      <c r="A1316" t="s">
        <v>1361</v>
      </c>
      <c r="B1316" t="s">
        <v>9</v>
      </c>
      <c r="C1316" t="s">
        <v>1</v>
      </c>
      <c r="D1316" t="s">
        <v>10</v>
      </c>
      <c r="E1316" t="s">
        <v>11</v>
      </c>
      <c r="F1316">
        <v>69919</v>
      </c>
      <c r="G1316">
        <v>-21598</v>
      </c>
      <c r="H1316">
        <v>15863</v>
      </c>
      <c r="I1316">
        <v>69919</v>
      </c>
      <c r="J1316">
        <v>6991</v>
      </c>
      <c r="K1316">
        <v>3495</v>
      </c>
      <c r="L1316">
        <v>28187</v>
      </c>
      <c r="M1316">
        <v>5637</v>
      </c>
      <c r="N1316">
        <v>8456</v>
      </c>
      <c r="O1316">
        <v>2818</v>
      </c>
      <c r="P1316">
        <v>-11274</v>
      </c>
      <c r="Q1316">
        <v>-7046</v>
      </c>
      <c r="R1316">
        <v>31663</v>
      </c>
      <c r="S1316">
        <v>9498</v>
      </c>
      <c r="T1316">
        <v>3166</v>
      </c>
      <c r="U1316">
        <v>1409</v>
      </c>
      <c r="V1316">
        <v>845</v>
      </c>
      <c r="W1316">
        <v>563</v>
      </c>
      <c r="X1316">
        <v>2818</v>
      </c>
      <c r="Y1316">
        <v>1409</v>
      </c>
      <c r="Z1316">
        <v>1583</v>
      </c>
      <c r="AA1316">
        <v>949</v>
      </c>
      <c r="AB1316">
        <v>633</v>
      </c>
    </row>
    <row r="1317" spans="1:28" x14ac:dyDescent="0.35">
      <c r="A1317" t="s">
        <v>1362</v>
      </c>
      <c r="B1317" t="s">
        <v>9</v>
      </c>
      <c r="C1317" t="s">
        <v>1</v>
      </c>
      <c r="D1317" t="s">
        <v>10</v>
      </c>
      <c r="E1317" t="s">
        <v>11</v>
      </c>
      <c r="F1317">
        <v>471809</v>
      </c>
      <c r="G1317">
        <v>-245931</v>
      </c>
      <c r="H1317">
        <v>221075</v>
      </c>
      <c r="I1317">
        <v>471809</v>
      </c>
      <c r="J1317">
        <v>47180</v>
      </c>
      <c r="K1317">
        <v>23590</v>
      </c>
      <c r="L1317">
        <v>313262</v>
      </c>
      <c r="M1317">
        <v>62652</v>
      </c>
      <c r="N1317">
        <v>93978</v>
      </c>
      <c r="O1317">
        <v>31326</v>
      </c>
      <c r="P1317">
        <v>-125304</v>
      </c>
      <c r="Q1317">
        <v>-78315</v>
      </c>
      <c r="R1317">
        <v>264890</v>
      </c>
      <c r="S1317">
        <v>79467</v>
      </c>
      <c r="T1317">
        <v>26489</v>
      </c>
      <c r="U1317">
        <v>15663</v>
      </c>
      <c r="V1317">
        <v>9397</v>
      </c>
      <c r="W1317">
        <v>6265</v>
      </c>
      <c r="X1317">
        <v>31326</v>
      </c>
      <c r="Y1317">
        <v>15663</v>
      </c>
      <c r="Z1317">
        <v>13244</v>
      </c>
      <c r="AA1317">
        <v>7946</v>
      </c>
      <c r="AB1317">
        <v>5297</v>
      </c>
    </row>
    <row r="1318" spans="1:28" x14ac:dyDescent="0.35">
      <c r="A1318" t="s">
        <v>1363</v>
      </c>
      <c r="B1318" t="s">
        <v>9</v>
      </c>
      <c r="C1318" t="s">
        <v>1</v>
      </c>
      <c r="D1318" t="s">
        <v>10</v>
      </c>
      <c r="E1318" t="s">
        <v>11</v>
      </c>
      <c r="F1318">
        <v>254502</v>
      </c>
      <c r="G1318">
        <v>-131860</v>
      </c>
      <c r="H1318">
        <v>48998</v>
      </c>
      <c r="I1318">
        <v>254502</v>
      </c>
      <c r="J1318">
        <v>25450</v>
      </c>
      <c r="K1318">
        <v>12725</v>
      </c>
      <c r="L1318">
        <v>163103</v>
      </c>
      <c r="M1318">
        <v>32620</v>
      </c>
      <c r="N1318">
        <v>48930</v>
      </c>
      <c r="O1318">
        <v>16310</v>
      </c>
      <c r="P1318">
        <v>-65241</v>
      </c>
      <c r="Q1318">
        <v>-40775</v>
      </c>
      <c r="R1318">
        <v>184836</v>
      </c>
      <c r="S1318">
        <v>55450</v>
      </c>
      <c r="T1318">
        <v>18483</v>
      </c>
      <c r="U1318">
        <v>8155</v>
      </c>
      <c r="V1318">
        <v>4893</v>
      </c>
      <c r="W1318">
        <v>3262</v>
      </c>
      <c r="X1318">
        <v>16310</v>
      </c>
      <c r="Y1318">
        <v>8155</v>
      </c>
      <c r="Z1318">
        <v>9241</v>
      </c>
      <c r="AA1318">
        <v>5545</v>
      </c>
      <c r="AB1318">
        <v>3696</v>
      </c>
    </row>
    <row r="1319" spans="1:28" x14ac:dyDescent="0.35">
      <c r="A1319" t="s">
        <v>1364</v>
      </c>
      <c r="B1319" t="s">
        <v>9</v>
      </c>
      <c r="C1319" t="s">
        <v>1</v>
      </c>
      <c r="D1319" t="s">
        <v>10</v>
      </c>
      <c r="E1319" t="s">
        <v>11</v>
      </c>
      <c r="F1319">
        <v>211177</v>
      </c>
      <c r="G1319">
        <v>-85263</v>
      </c>
      <c r="H1319">
        <v>58520</v>
      </c>
      <c r="I1319">
        <v>211177</v>
      </c>
      <c r="J1319">
        <v>21117</v>
      </c>
      <c r="K1319">
        <v>10558</v>
      </c>
      <c r="L1319">
        <v>50517</v>
      </c>
      <c r="M1319">
        <v>10103</v>
      </c>
      <c r="N1319">
        <v>15155</v>
      </c>
      <c r="O1319">
        <v>5051</v>
      </c>
      <c r="P1319">
        <v>-20206</v>
      </c>
      <c r="Q1319">
        <v>-12629</v>
      </c>
      <c r="R1319">
        <v>49347</v>
      </c>
      <c r="S1319">
        <v>14804</v>
      </c>
      <c r="T1319">
        <v>4934</v>
      </c>
      <c r="U1319">
        <v>2525</v>
      </c>
      <c r="V1319">
        <v>1515</v>
      </c>
      <c r="W1319">
        <v>1010</v>
      </c>
      <c r="X1319">
        <v>5051</v>
      </c>
      <c r="Y1319">
        <v>2525</v>
      </c>
      <c r="Z1319">
        <v>2467</v>
      </c>
      <c r="AA1319">
        <v>1480</v>
      </c>
      <c r="AB1319">
        <v>986</v>
      </c>
    </row>
    <row r="1320" spans="1:28" x14ac:dyDescent="0.35">
      <c r="A1320" t="s">
        <v>1365</v>
      </c>
      <c r="B1320" t="s">
        <v>9</v>
      </c>
      <c r="C1320" t="s">
        <v>1</v>
      </c>
      <c r="D1320" t="s">
        <v>10</v>
      </c>
      <c r="E1320" t="s">
        <v>11</v>
      </c>
      <c r="F1320">
        <v>360336</v>
      </c>
      <c r="G1320">
        <v>-123623</v>
      </c>
      <c r="H1320">
        <v>72779</v>
      </c>
      <c r="I1320">
        <v>360336</v>
      </c>
      <c r="J1320">
        <v>36033</v>
      </c>
      <c r="K1320">
        <v>18016</v>
      </c>
      <c r="L1320">
        <v>281967</v>
      </c>
      <c r="M1320">
        <v>56393</v>
      </c>
      <c r="N1320">
        <v>84590</v>
      </c>
      <c r="O1320">
        <v>28196</v>
      </c>
      <c r="P1320">
        <v>-112786</v>
      </c>
      <c r="Q1320">
        <v>-70491</v>
      </c>
      <c r="R1320">
        <v>242845</v>
      </c>
      <c r="S1320">
        <v>72853</v>
      </c>
      <c r="T1320">
        <v>24284</v>
      </c>
      <c r="U1320">
        <v>14098</v>
      </c>
      <c r="V1320">
        <v>8459</v>
      </c>
      <c r="W1320">
        <v>5639</v>
      </c>
      <c r="X1320">
        <v>28196</v>
      </c>
      <c r="Y1320">
        <v>14098</v>
      </c>
      <c r="Z1320">
        <v>12142</v>
      </c>
      <c r="AA1320">
        <v>7285</v>
      </c>
      <c r="AB1320">
        <v>4856</v>
      </c>
    </row>
    <row r="1321" spans="1:28" x14ac:dyDescent="0.35">
      <c r="A1321" t="s">
        <v>1366</v>
      </c>
      <c r="B1321" t="s">
        <v>9</v>
      </c>
      <c r="C1321" t="s">
        <v>1</v>
      </c>
      <c r="D1321" t="s">
        <v>10</v>
      </c>
      <c r="E1321" t="s">
        <v>11</v>
      </c>
      <c r="F1321">
        <v>395279</v>
      </c>
      <c r="G1321">
        <v>-155420</v>
      </c>
      <c r="H1321">
        <v>130027</v>
      </c>
      <c r="I1321">
        <v>395279</v>
      </c>
      <c r="J1321">
        <v>39527</v>
      </c>
      <c r="K1321">
        <v>19763</v>
      </c>
      <c r="L1321">
        <v>302226</v>
      </c>
      <c r="M1321">
        <v>60445</v>
      </c>
      <c r="N1321">
        <v>90667</v>
      </c>
      <c r="O1321">
        <v>30222</v>
      </c>
      <c r="P1321">
        <v>-120890</v>
      </c>
      <c r="Q1321">
        <v>-75556</v>
      </c>
      <c r="R1321">
        <v>262207</v>
      </c>
      <c r="S1321">
        <v>78662</v>
      </c>
      <c r="T1321">
        <v>26220</v>
      </c>
      <c r="U1321">
        <v>15111</v>
      </c>
      <c r="V1321">
        <v>9066</v>
      </c>
      <c r="W1321">
        <v>6044</v>
      </c>
      <c r="X1321">
        <v>30222</v>
      </c>
      <c r="Y1321">
        <v>15111</v>
      </c>
      <c r="Z1321">
        <v>13110</v>
      </c>
      <c r="AA1321">
        <v>7866</v>
      </c>
      <c r="AB1321">
        <v>5244</v>
      </c>
    </row>
    <row r="1322" spans="1:28" x14ac:dyDescent="0.35">
      <c r="A1322" t="s">
        <v>1367</v>
      </c>
      <c r="B1322" t="s">
        <v>9</v>
      </c>
      <c r="C1322" t="s">
        <v>1</v>
      </c>
      <c r="D1322" t="s">
        <v>10</v>
      </c>
      <c r="E1322" t="s">
        <v>11</v>
      </c>
      <c r="F1322">
        <v>303864</v>
      </c>
      <c r="G1322">
        <v>-112856</v>
      </c>
      <c r="H1322">
        <v>102695</v>
      </c>
      <c r="I1322">
        <v>303864</v>
      </c>
      <c r="J1322">
        <v>30386</v>
      </c>
      <c r="K1322">
        <v>15193</v>
      </c>
      <c r="L1322">
        <v>95456</v>
      </c>
      <c r="M1322">
        <v>19091</v>
      </c>
      <c r="N1322">
        <v>28636</v>
      </c>
      <c r="O1322">
        <v>9545</v>
      </c>
      <c r="P1322">
        <v>-38182</v>
      </c>
      <c r="Q1322">
        <v>-23864</v>
      </c>
      <c r="R1322">
        <v>89719</v>
      </c>
      <c r="S1322">
        <v>26915</v>
      </c>
      <c r="T1322">
        <v>8971</v>
      </c>
      <c r="U1322">
        <v>4772</v>
      </c>
      <c r="V1322">
        <v>2863</v>
      </c>
      <c r="W1322">
        <v>1909</v>
      </c>
      <c r="X1322">
        <v>9545</v>
      </c>
      <c r="Y1322">
        <v>4772</v>
      </c>
      <c r="Z1322">
        <v>4485</v>
      </c>
      <c r="AA1322">
        <v>2691</v>
      </c>
      <c r="AB1322">
        <v>1794</v>
      </c>
    </row>
    <row r="1323" spans="1:28" x14ac:dyDescent="0.35">
      <c r="A1323" t="s">
        <v>1368</v>
      </c>
      <c r="B1323" t="s">
        <v>9</v>
      </c>
      <c r="C1323" t="s">
        <v>1</v>
      </c>
      <c r="D1323" t="s">
        <v>10</v>
      </c>
      <c r="E1323" t="s">
        <v>11</v>
      </c>
      <c r="F1323">
        <v>74458</v>
      </c>
      <c r="G1323">
        <v>-15588</v>
      </c>
      <c r="H1323">
        <v>23659</v>
      </c>
      <c r="I1323">
        <v>74458</v>
      </c>
      <c r="J1323">
        <v>7445</v>
      </c>
      <c r="K1323">
        <v>3722</v>
      </c>
      <c r="L1323">
        <v>57332</v>
      </c>
      <c r="M1323">
        <v>11466</v>
      </c>
      <c r="N1323">
        <v>17199</v>
      </c>
      <c r="O1323">
        <v>5733</v>
      </c>
      <c r="P1323">
        <v>-22932</v>
      </c>
      <c r="Q1323">
        <v>-14333</v>
      </c>
      <c r="R1323">
        <v>48532</v>
      </c>
      <c r="S1323">
        <v>14559</v>
      </c>
      <c r="T1323">
        <v>4853</v>
      </c>
      <c r="U1323">
        <v>2866</v>
      </c>
      <c r="V1323">
        <v>1719</v>
      </c>
      <c r="W1323">
        <v>1146</v>
      </c>
      <c r="X1323">
        <v>5733</v>
      </c>
      <c r="Y1323">
        <v>2866</v>
      </c>
      <c r="Z1323">
        <v>2426</v>
      </c>
      <c r="AA1323">
        <v>1455</v>
      </c>
      <c r="AB1323">
        <v>970</v>
      </c>
    </row>
    <row r="1324" spans="1:28" x14ac:dyDescent="0.35">
      <c r="A1324" t="s">
        <v>1369</v>
      </c>
      <c r="B1324" t="s">
        <v>9</v>
      </c>
      <c r="C1324" t="s">
        <v>1</v>
      </c>
      <c r="D1324" t="s">
        <v>10</v>
      </c>
      <c r="E1324" t="s">
        <v>11</v>
      </c>
      <c r="F1324">
        <v>334592</v>
      </c>
      <c r="G1324">
        <v>-200211</v>
      </c>
      <c r="H1324">
        <v>103887</v>
      </c>
      <c r="I1324">
        <v>334592</v>
      </c>
      <c r="J1324">
        <v>33459</v>
      </c>
      <c r="K1324">
        <v>16729</v>
      </c>
      <c r="L1324">
        <v>191776</v>
      </c>
      <c r="M1324">
        <v>38355</v>
      </c>
      <c r="N1324">
        <v>57532</v>
      </c>
      <c r="O1324">
        <v>19177</v>
      </c>
      <c r="P1324">
        <v>-76710</v>
      </c>
      <c r="Q1324">
        <v>-47944</v>
      </c>
      <c r="R1324">
        <v>181337</v>
      </c>
      <c r="S1324">
        <v>54401</v>
      </c>
      <c r="T1324">
        <v>18133</v>
      </c>
      <c r="U1324">
        <v>9588</v>
      </c>
      <c r="V1324">
        <v>5753</v>
      </c>
      <c r="W1324">
        <v>3835</v>
      </c>
      <c r="X1324">
        <v>19177</v>
      </c>
      <c r="Y1324">
        <v>9588</v>
      </c>
      <c r="Z1324">
        <v>9066</v>
      </c>
      <c r="AA1324">
        <v>5440</v>
      </c>
      <c r="AB1324">
        <v>3626</v>
      </c>
    </row>
    <row r="1325" spans="1:28" x14ac:dyDescent="0.35">
      <c r="A1325" t="s">
        <v>1370</v>
      </c>
      <c r="B1325" t="s">
        <v>9</v>
      </c>
      <c r="C1325" t="s">
        <v>1</v>
      </c>
      <c r="D1325" t="s">
        <v>10</v>
      </c>
      <c r="E1325" t="s">
        <v>11</v>
      </c>
      <c r="F1325">
        <v>282322</v>
      </c>
      <c r="G1325">
        <v>-62212</v>
      </c>
      <c r="H1325">
        <v>44550</v>
      </c>
      <c r="I1325">
        <v>282322</v>
      </c>
      <c r="J1325">
        <v>28232</v>
      </c>
      <c r="K1325">
        <v>14116</v>
      </c>
      <c r="L1325">
        <v>140670</v>
      </c>
      <c r="M1325">
        <v>28134</v>
      </c>
      <c r="N1325">
        <v>42201</v>
      </c>
      <c r="O1325">
        <v>14067</v>
      </c>
      <c r="P1325">
        <v>-56268</v>
      </c>
      <c r="Q1325">
        <v>-35167</v>
      </c>
      <c r="R1325">
        <v>136053</v>
      </c>
      <c r="S1325">
        <v>40815</v>
      </c>
      <c r="T1325">
        <v>13605</v>
      </c>
      <c r="U1325">
        <v>7033</v>
      </c>
      <c r="V1325">
        <v>4220</v>
      </c>
      <c r="W1325">
        <v>2813</v>
      </c>
      <c r="X1325">
        <v>14067</v>
      </c>
      <c r="Y1325">
        <v>7033</v>
      </c>
      <c r="Z1325">
        <v>6802</v>
      </c>
      <c r="AA1325">
        <v>4081</v>
      </c>
      <c r="AB1325">
        <v>2721</v>
      </c>
    </row>
    <row r="1326" spans="1:28" x14ac:dyDescent="0.35">
      <c r="A1326" t="s">
        <v>1371</v>
      </c>
      <c r="B1326" t="s">
        <v>9</v>
      </c>
      <c r="C1326" t="s">
        <v>1</v>
      </c>
      <c r="D1326" t="s">
        <v>10</v>
      </c>
      <c r="E1326" t="s">
        <v>11</v>
      </c>
      <c r="F1326">
        <v>194272</v>
      </c>
      <c r="G1326">
        <v>-53110</v>
      </c>
      <c r="H1326">
        <v>71482</v>
      </c>
      <c r="I1326">
        <v>194272</v>
      </c>
      <c r="J1326">
        <v>19427</v>
      </c>
      <c r="K1326">
        <v>9713</v>
      </c>
      <c r="L1326">
        <v>59209</v>
      </c>
      <c r="M1326">
        <v>11841</v>
      </c>
      <c r="N1326">
        <v>17762</v>
      </c>
      <c r="O1326">
        <v>5920</v>
      </c>
      <c r="P1326">
        <v>-23683</v>
      </c>
      <c r="Q1326">
        <v>-14802</v>
      </c>
      <c r="R1326">
        <v>51657</v>
      </c>
      <c r="S1326">
        <v>15497</v>
      </c>
      <c r="T1326">
        <v>5165</v>
      </c>
      <c r="U1326">
        <v>2960</v>
      </c>
      <c r="V1326">
        <v>1776</v>
      </c>
      <c r="W1326">
        <v>1184</v>
      </c>
      <c r="X1326">
        <v>5920</v>
      </c>
      <c r="Y1326">
        <v>2960</v>
      </c>
      <c r="Z1326">
        <v>2582</v>
      </c>
      <c r="AA1326">
        <v>1549</v>
      </c>
      <c r="AB1326">
        <v>1033</v>
      </c>
    </row>
    <row r="1327" spans="1:28" x14ac:dyDescent="0.35">
      <c r="A1327" t="s">
        <v>1372</v>
      </c>
      <c r="B1327" t="s">
        <v>9</v>
      </c>
      <c r="C1327" t="s">
        <v>1</v>
      </c>
      <c r="D1327" t="s">
        <v>10</v>
      </c>
      <c r="E1327" t="s">
        <v>11</v>
      </c>
      <c r="F1327">
        <v>302104</v>
      </c>
      <c r="G1327">
        <v>-178386</v>
      </c>
      <c r="H1327">
        <v>101467</v>
      </c>
      <c r="I1327">
        <v>302104</v>
      </c>
      <c r="J1327">
        <v>30210</v>
      </c>
      <c r="K1327">
        <v>15105</v>
      </c>
      <c r="L1327">
        <v>228855</v>
      </c>
      <c r="M1327">
        <v>45771</v>
      </c>
      <c r="N1327">
        <v>68656</v>
      </c>
      <c r="O1327">
        <v>22885</v>
      </c>
      <c r="P1327">
        <v>-91542</v>
      </c>
      <c r="Q1327">
        <v>-57213</v>
      </c>
      <c r="R1327">
        <v>259624</v>
      </c>
      <c r="S1327">
        <v>77887</v>
      </c>
      <c r="T1327">
        <v>25962</v>
      </c>
      <c r="U1327">
        <v>11442</v>
      </c>
      <c r="V1327">
        <v>6865</v>
      </c>
      <c r="W1327">
        <v>4577</v>
      </c>
      <c r="X1327">
        <v>22885</v>
      </c>
      <c r="Y1327">
        <v>11442</v>
      </c>
      <c r="Z1327">
        <v>12981</v>
      </c>
      <c r="AA1327">
        <v>7788</v>
      </c>
      <c r="AB1327">
        <v>5192</v>
      </c>
    </row>
    <row r="1328" spans="1:28" x14ac:dyDescent="0.35">
      <c r="A1328" t="s">
        <v>1373</v>
      </c>
      <c r="B1328" t="s">
        <v>9</v>
      </c>
      <c r="C1328" t="s">
        <v>1</v>
      </c>
      <c r="D1328" t="s">
        <v>10</v>
      </c>
      <c r="E1328" t="s">
        <v>11</v>
      </c>
      <c r="F1328">
        <v>118098</v>
      </c>
      <c r="G1328">
        <v>-25381</v>
      </c>
      <c r="H1328">
        <v>37395</v>
      </c>
      <c r="I1328">
        <v>118098</v>
      </c>
      <c r="J1328">
        <v>11809</v>
      </c>
      <c r="K1328">
        <v>5904</v>
      </c>
      <c r="L1328">
        <v>60941</v>
      </c>
      <c r="M1328">
        <v>12188</v>
      </c>
      <c r="N1328">
        <v>18282</v>
      </c>
      <c r="O1328">
        <v>6094</v>
      </c>
      <c r="P1328">
        <v>-24376</v>
      </c>
      <c r="Q1328">
        <v>-15235</v>
      </c>
      <c r="R1328">
        <v>53383</v>
      </c>
      <c r="S1328">
        <v>16014</v>
      </c>
      <c r="T1328">
        <v>5338</v>
      </c>
      <c r="U1328">
        <v>3047</v>
      </c>
      <c r="V1328">
        <v>1828</v>
      </c>
      <c r="W1328">
        <v>1218</v>
      </c>
      <c r="X1328">
        <v>6094</v>
      </c>
      <c r="Y1328">
        <v>3047</v>
      </c>
      <c r="Z1328">
        <v>2669</v>
      </c>
      <c r="AA1328">
        <v>1601</v>
      </c>
      <c r="AB1328">
        <v>1067</v>
      </c>
    </row>
    <row r="1329" spans="1:28" x14ac:dyDescent="0.35">
      <c r="A1329" t="s">
        <v>1374</v>
      </c>
      <c r="B1329" t="s">
        <v>9</v>
      </c>
      <c r="C1329" t="s">
        <v>1</v>
      </c>
      <c r="D1329" t="s">
        <v>10</v>
      </c>
      <c r="E1329" t="s">
        <v>11</v>
      </c>
      <c r="F1329">
        <v>241799</v>
      </c>
      <c r="G1329">
        <v>-90444</v>
      </c>
      <c r="H1329">
        <v>107321</v>
      </c>
      <c r="I1329">
        <v>241799</v>
      </c>
      <c r="J1329">
        <v>24179</v>
      </c>
      <c r="K1329">
        <v>12089</v>
      </c>
      <c r="L1329">
        <v>151821</v>
      </c>
      <c r="M1329">
        <v>30364</v>
      </c>
      <c r="N1329">
        <v>45546</v>
      </c>
      <c r="O1329">
        <v>15182</v>
      </c>
      <c r="P1329">
        <v>-60728</v>
      </c>
      <c r="Q1329">
        <v>-37955</v>
      </c>
      <c r="R1329">
        <v>149002</v>
      </c>
      <c r="S1329">
        <v>44700</v>
      </c>
      <c r="T1329">
        <v>14900</v>
      </c>
      <c r="U1329">
        <v>7591</v>
      </c>
      <c r="V1329">
        <v>4554</v>
      </c>
      <c r="W1329">
        <v>3036</v>
      </c>
      <c r="X1329">
        <v>15182</v>
      </c>
      <c r="Y1329">
        <v>7591</v>
      </c>
      <c r="Z1329">
        <v>7450</v>
      </c>
      <c r="AA1329">
        <v>4470</v>
      </c>
      <c r="AB1329">
        <v>2980</v>
      </c>
    </row>
    <row r="1330" spans="1:28" x14ac:dyDescent="0.35">
      <c r="A1330" t="s">
        <v>1375</v>
      </c>
      <c r="B1330" t="s">
        <v>9</v>
      </c>
      <c r="C1330" t="s">
        <v>1</v>
      </c>
      <c r="D1330" t="s">
        <v>10</v>
      </c>
      <c r="E1330" t="s">
        <v>11</v>
      </c>
      <c r="F1330">
        <v>170145</v>
      </c>
      <c r="G1330">
        <v>-60808</v>
      </c>
      <c r="H1330">
        <v>78024</v>
      </c>
      <c r="I1330">
        <v>170145</v>
      </c>
      <c r="J1330">
        <v>17014</v>
      </c>
      <c r="K1330">
        <v>8507</v>
      </c>
      <c r="L1330">
        <v>39623</v>
      </c>
      <c r="M1330">
        <v>7924</v>
      </c>
      <c r="N1330">
        <v>11886</v>
      </c>
      <c r="O1330">
        <v>3962</v>
      </c>
      <c r="P1330">
        <v>-15849</v>
      </c>
      <c r="Q1330">
        <v>-9905</v>
      </c>
      <c r="R1330">
        <v>43844</v>
      </c>
      <c r="S1330">
        <v>13153</v>
      </c>
      <c r="T1330">
        <v>4384</v>
      </c>
      <c r="U1330">
        <v>1981</v>
      </c>
      <c r="V1330">
        <v>1188</v>
      </c>
      <c r="W1330">
        <v>792</v>
      </c>
      <c r="X1330">
        <v>3962</v>
      </c>
      <c r="Y1330">
        <v>1981</v>
      </c>
      <c r="Z1330">
        <v>2192</v>
      </c>
      <c r="AA1330">
        <v>1315</v>
      </c>
      <c r="AB1330">
        <v>876</v>
      </c>
    </row>
    <row r="1331" spans="1:28" x14ac:dyDescent="0.35">
      <c r="A1331" t="s">
        <v>1376</v>
      </c>
      <c r="B1331" t="s">
        <v>9</v>
      </c>
      <c r="C1331" t="s">
        <v>1</v>
      </c>
      <c r="D1331" t="s">
        <v>10</v>
      </c>
      <c r="E1331" t="s">
        <v>11</v>
      </c>
      <c r="F1331">
        <v>261932</v>
      </c>
      <c r="G1331">
        <v>-124791</v>
      </c>
      <c r="H1331">
        <v>66039</v>
      </c>
      <c r="I1331">
        <v>261932</v>
      </c>
      <c r="J1331">
        <v>26193</v>
      </c>
      <c r="K1331">
        <v>13096</v>
      </c>
      <c r="L1331">
        <v>69422</v>
      </c>
      <c r="M1331">
        <v>13884</v>
      </c>
      <c r="N1331">
        <v>20826</v>
      </c>
      <c r="O1331">
        <v>6942</v>
      </c>
      <c r="P1331">
        <v>-27768</v>
      </c>
      <c r="Q1331">
        <v>-17355</v>
      </c>
      <c r="R1331">
        <v>67677</v>
      </c>
      <c r="S1331">
        <v>20303</v>
      </c>
      <c r="T1331">
        <v>6767</v>
      </c>
      <c r="U1331">
        <v>3471</v>
      </c>
      <c r="V1331">
        <v>2082</v>
      </c>
      <c r="W1331">
        <v>1388</v>
      </c>
      <c r="X1331">
        <v>6942</v>
      </c>
      <c r="Y1331">
        <v>3471</v>
      </c>
      <c r="Z1331">
        <v>3383</v>
      </c>
      <c r="AA1331">
        <v>2030</v>
      </c>
      <c r="AB1331">
        <v>1353</v>
      </c>
    </row>
    <row r="1332" spans="1:28" x14ac:dyDescent="0.35">
      <c r="A1332" t="s">
        <v>1377</v>
      </c>
      <c r="B1332" t="s">
        <v>9</v>
      </c>
      <c r="C1332" t="s">
        <v>1</v>
      </c>
      <c r="D1332" t="s">
        <v>10</v>
      </c>
      <c r="E1332" t="s">
        <v>11</v>
      </c>
      <c r="F1332">
        <v>279925</v>
      </c>
      <c r="G1332">
        <v>-123486</v>
      </c>
      <c r="H1332">
        <v>92410</v>
      </c>
      <c r="I1332">
        <v>279925</v>
      </c>
      <c r="J1332">
        <v>27992</v>
      </c>
      <c r="K1332">
        <v>13996</v>
      </c>
      <c r="L1332">
        <v>198930</v>
      </c>
      <c r="M1332">
        <v>39786</v>
      </c>
      <c r="N1332">
        <v>59679</v>
      </c>
      <c r="O1332">
        <v>19893</v>
      </c>
      <c r="P1332">
        <v>-79572</v>
      </c>
      <c r="Q1332">
        <v>-49732</v>
      </c>
      <c r="R1332">
        <v>183756</v>
      </c>
      <c r="S1332">
        <v>55126</v>
      </c>
      <c r="T1332">
        <v>18375</v>
      </c>
      <c r="U1332">
        <v>9946</v>
      </c>
      <c r="V1332">
        <v>5967</v>
      </c>
      <c r="W1332">
        <v>3978</v>
      </c>
      <c r="X1332">
        <v>19893</v>
      </c>
      <c r="Y1332">
        <v>9946</v>
      </c>
      <c r="Z1332">
        <v>9187</v>
      </c>
      <c r="AA1332">
        <v>5512</v>
      </c>
      <c r="AB1332">
        <v>3675</v>
      </c>
    </row>
    <row r="1333" spans="1:28" x14ac:dyDescent="0.35">
      <c r="A1333" t="s">
        <v>1378</v>
      </c>
      <c r="B1333" t="s">
        <v>9</v>
      </c>
      <c r="C1333" t="s">
        <v>1</v>
      </c>
      <c r="D1333" t="s">
        <v>10</v>
      </c>
      <c r="E1333" t="s">
        <v>11</v>
      </c>
      <c r="F1333">
        <v>495759</v>
      </c>
      <c r="G1333">
        <v>-265517</v>
      </c>
      <c r="H1333">
        <v>148631</v>
      </c>
      <c r="I1333">
        <v>495759</v>
      </c>
      <c r="J1333">
        <v>49575</v>
      </c>
      <c r="K1333">
        <v>24787</v>
      </c>
      <c r="L1333">
        <v>122298</v>
      </c>
      <c r="M1333">
        <v>24459</v>
      </c>
      <c r="N1333">
        <v>36689</v>
      </c>
      <c r="O1333">
        <v>12229</v>
      </c>
      <c r="P1333">
        <v>-48919</v>
      </c>
      <c r="Q1333">
        <v>-30574</v>
      </c>
      <c r="R1333">
        <v>118016</v>
      </c>
      <c r="S1333">
        <v>35404</v>
      </c>
      <c r="T1333">
        <v>11801</v>
      </c>
      <c r="U1333">
        <v>6114</v>
      </c>
      <c r="V1333">
        <v>3668</v>
      </c>
      <c r="W1333">
        <v>2445</v>
      </c>
      <c r="X1333">
        <v>12229</v>
      </c>
      <c r="Y1333">
        <v>6114</v>
      </c>
      <c r="Z1333">
        <v>5900</v>
      </c>
      <c r="AA1333">
        <v>3540</v>
      </c>
      <c r="AB1333">
        <v>2360</v>
      </c>
    </row>
    <row r="1334" spans="1:28" x14ac:dyDescent="0.35">
      <c r="A1334" t="s">
        <v>1379</v>
      </c>
      <c r="B1334" t="s">
        <v>9</v>
      </c>
      <c r="C1334" t="s">
        <v>1</v>
      </c>
      <c r="D1334" t="s">
        <v>10</v>
      </c>
      <c r="E1334" t="s">
        <v>11</v>
      </c>
      <c r="F1334">
        <v>487268</v>
      </c>
      <c r="G1334">
        <v>-110352</v>
      </c>
      <c r="H1334">
        <v>217026</v>
      </c>
      <c r="I1334">
        <v>487268</v>
      </c>
      <c r="J1334">
        <v>48726</v>
      </c>
      <c r="K1334">
        <v>24363</v>
      </c>
      <c r="L1334">
        <v>322880</v>
      </c>
      <c r="M1334">
        <v>64576</v>
      </c>
      <c r="N1334">
        <v>96864</v>
      </c>
      <c r="O1334">
        <v>32288</v>
      </c>
      <c r="P1334">
        <v>-129152</v>
      </c>
      <c r="Q1334">
        <v>-80720</v>
      </c>
      <c r="R1334">
        <v>290103</v>
      </c>
      <c r="S1334">
        <v>87030</v>
      </c>
      <c r="T1334">
        <v>29010</v>
      </c>
      <c r="U1334">
        <v>16144</v>
      </c>
      <c r="V1334">
        <v>9686</v>
      </c>
      <c r="W1334">
        <v>6457</v>
      </c>
      <c r="X1334">
        <v>32288</v>
      </c>
      <c r="Y1334">
        <v>16144</v>
      </c>
      <c r="Z1334">
        <v>14505</v>
      </c>
      <c r="AA1334">
        <v>8703</v>
      </c>
      <c r="AB1334">
        <v>5802</v>
      </c>
    </row>
    <row r="1335" spans="1:28" x14ac:dyDescent="0.35">
      <c r="A1335" t="s">
        <v>1380</v>
      </c>
      <c r="B1335" t="s">
        <v>9</v>
      </c>
      <c r="C1335" t="s">
        <v>1</v>
      </c>
      <c r="D1335" t="s">
        <v>10</v>
      </c>
      <c r="E1335" t="s">
        <v>11</v>
      </c>
      <c r="F1335">
        <v>164551</v>
      </c>
      <c r="G1335">
        <v>-92982</v>
      </c>
      <c r="H1335">
        <v>70768</v>
      </c>
      <c r="I1335">
        <v>164551</v>
      </c>
      <c r="J1335">
        <v>16455</v>
      </c>
      <c r="K1335">
        <v>8227</v>
      </c>
      <c r="L1335">
        <v>46099</v>
      </c>
      <c r="M1335">
        <v>9219</v>
      </c>
      <c r="N1335">
        <v>13829</v>
      </c>
      <c r="O1335">
        <v>4609</v>
      </c>
      <c r="P1335">
        <v>-18439</v>
      </c>
      <c r="Q1335">
        <v>-11524</v>
      </c>
      <c r="R1335">
        <v>45466</v>
      </c>
      <c r="S1335">
        <v>13639</v>
      </c>
      <c r="T1335">
        <v>4546</v>
      </c>
      <c r="U1335">
        <v>2304</v>
      </c>
      <c r="V1335">
        <v>1382</v>
      </c>
      <c r="W1335">
        <v>921</v>
      </c>
      <c r="X1335">
        <v>4609</v>
      </c>
      <c r="Y1335">
        <v>2304</v>
      </c>
      <c r="Z1335">
        <v>2273</v>
      </c>
      <c r="AA1335">
        <v>1363</v>
      </c>
      <c r="AB1335">
        <v>909</v>
      </c>
    </row>
    <row r="1336" spans="1:28" x14ac:dyDescent="0.35">
      <c r="A1336" t="s">
        <v>1381</v>
      </c>
      <c r="B1336" t="s">
        <v>9</v>
      </c>
      <c r="C1336" t="s">
        <v>1</v>
      </c>
      <c r="D1336" t="s">
        <v>10</v>
      </c>
      <c r="E1336" t="s">
        <v>11</v>
      </c>
      <c r="F1336">
        <v>249869</v>
      </c>
      <c r="G1336">
        <v>-81641</v>
      </c>
      <c r="H1336">
        <v>84583</v>
      </c>
      <c r="I1336">
        <v>249869</v>
      </c>
      <c r="J1336">
        <v>24986</v>
      </c>
      <c r="K1336">
        <v>12493</v>
      </c>
      <c r="L1336">
        <v>86833</v>
      </c>
      <c r="M1336">
        <v>17366</v>
      </c>
      <c r="N1336">
        <v>26049</v>
      </c>
      <c r="O1336">
        <v>8683</v>
      </c>
      <c r="P1336">
        <v>-34733</v>
      </c>
      <c r="Q1336">
        <v>-21708</v>
      </c>
      <c r="R1336">
        <v>77687</v>
      </c>
      <c r="S1336">
        <v>23306</v>
      </c>
      <c r="T1336">
        <v>7768</v>
      </c>
      <c r="U1336">
        <v>4341</v>
      </c>
      <c r="V1336">
        <v>2604</v>
      </c>
      <c r="W1336">
        <v>1736</v>
      </c>
      <c r="X1336">
        <v>8683</v>
      </c>
      <c r="Y1336">
        <v>4341</v>
      </c>
      <c r="Z1336">
        <v>3884</v>
      </c>
      <c r="AA1336">
        <v>2330</v>
      </c>
      <c r="AB1336">
        <v>1553</v>
      </c>
    </row>
    <row r="1337" spans="1:28" x14ac:dyDescent="0.35">
      <c r="A1337" t="s">
        <v>1382</v>
      </c>
      <c r="B1337" t="s">
        <v>9</v>
      </c>
      <c r="C1337" t="s">
        <v>1</v>
      </c>
      <c r="D1337" t="s">
        <v>10</v>
      </c>
      <c r="E1337" t="s">
        <v>11</v>
      </c>
      <c r="F1337">
        <v>83773</v>
      </c>
      <c r="G1337">
        <v>-48362</v>
      </c>
      <c r="H1337">
        <v>32930</v>
      </c>
      <c r="I1337">
        <v>83773</v>
      </c>
      <c r="J1337">
        <v>8377</v>
      </c>
      <c r="K1337">
        <v>4188</v>
      </c>
      <c r="L1337">
        <v>33875</v>
      </c>
      <c r="M1337">
        <v>6775</v>
      </c>
      <c r="N1337">
        <v>10162</v>
      </c>
      <c r="O1337">
        <v>3387</v>
      </c>
      <c r="P1337">
        <v>-13550</v>
      </c>
      <c r="Q1337">
        <v>-8468</v>
      </c>
      <c r="R1337">
        <v>39092</v>
      </c>
      <c r="S1337">
        <v>11727</v>
      </c>
      <c r="T1337">
        <v>3909</v>
      </c>
      <c r="U1337">
        <v>1693</v>
      </c>
      <c r="V1337">
        <v>1016</v>
      </c>
      <c r="W1337">
        <v>677</v>
      </c>
      <c r="X1337">
        <v>3387</v>
      </c>
      <c r="Y1337">
        <v>1693</v>
      </c>
      <c r="Z1337">
        <v>1954</v>
      </c>
      <c r="AA1337">
        <v>1172</v>
      </c>
      <c r="AB1337">
        <v>781</v>
      </c>
    </row>
    <row r="1338" spans="1:28" x14ac:dyDescent="0.35">
      <c r="A1338" t="s">
        <v>1383</v>
      </c>
      <c r="B1338" t="s">
        <v>9</v>
      </c>
      <c r="C1338" t="s">
        <v>1</v>
      </c>
      <c r="D1338" t="s">
        <v>10</v>
      </c>
      <c r="E1338" t="s">
        <v>11</v>
      </c>
      <c r="F1338">
        <v>296962</v>
      </c>
      <c r="G1338">
        <v>-136841</v>
      </c>
      <c r="H1338">
        <v>134573</v>
      </c>
      <c r="I1338">
        <v>296962</v>
      </c>
      <c r="J1338">
        <v>29696</v>
      </c>
      <c r="K1338">
        <v>14848</v>
      </c>
      <c r="L1338">
        <v>170438</v>
      </c>
      <c r="M1338">
        <v>34087</v>
      </c>
      <c r="N1338">
        <v>51131</v>
      </c>
      <c r="O1338">
        <v>17043</v>
      </c>
      <c r="P1338">
        <v>-68175</v>
      </c>
      <c r="Q1338">
        <v>-42609</v>
      </c>
      <c r="R1338">
        <v>166330</v>
      </c>
      <c r="S1338">
        <v>49899</v>
      </c>
      <c r="T1338">
        <v>16633</v>
      </c>
      <c r="U1338">
        <v>8521</v>
      </c>
      <c r="V1338">
        <v>5113</v>
      </c>
      <c r="W1338">
        <v>3408</v>
      </c>
      <c r="X1338">
        <v>17043</v>
      </c>
      <c r="Y1338">
        <v>8521</v>
      </c>
      <c r="Z1338">
        <v>8316</v>
      </c>
      <c r="AA1338">
        <v>4989</v>
      </c>
      <c r="AB1338">
        <v>3326</v>
      </c>
    </row>
    <row r="1339" spans="1:28" x14ac:dyDescent="0.35">
      <c r="A1339" t="s">
        <v>1384</v>
      </c>
      <c r="B1339" t="s">
        <v>9</v>
      </c>
      <c r="C1339" t="s">
        <v>1</v>
      </c>
      <c r="D1339" t="s">
        <v>10</v>
      </c>
      <c r="E1339" t="s">
        <v>11</v>
      </c>
      <c r="F1339">
        <v>184313</v>
      </c>
      <c r="G1339">
        <v>-82411</v>
      </c>
      <c r="H1339">
        <v>35466</v>
      </c>
      <c r="I1339">
        <v>184313</v>
      </c>
      <c r="J1339">
        <v>18431</v>
      </c>
      <c r="K1339">
        <v>9215</v>
      </c>
      <c r="L1339">
        <v>128304</v>
      </c>
      <c r="M1339">
        <v>25660</v>
      </c>
      <c r="N1339">
        <v>38491</v>
      </c>
      <c r="O1339">
        <v>12830</v>
      </c>
      <c r="P1339">
        <v>-51321</v>
      </c>
      <c r="Q1339">
        <v>-32076</v>
      </c>
      <c r="R1339">
        <v>152430</v>
      </c>
      <c r="S1339">
        <v>45729</v>
      </c>
      <c r="T1339">
        <v>15243</v>
      </c>
      <c r="U1339">
        <v>6415</v>
      </c>
      <c r="V1339">
        <v>3849</v>
      </c>
      <c r="W1339">
        <v>2566</v>
      </c>
      <c r="X1339">
        <v>12830</v>
      </c>
      <c r="Y1339">
        <v>6415</v>
      </c>
      <c r="Z1339">
        <v>7621</v>
      </c>
      <c r="AA1339">
        <v>4572</v>
      </c>
      <c r="AB1339">
        <v>3048</v>
      </c>
    </row>
    <row r="1340" spans="1:28" x14ac:dyDescent="0.35">
      <c r="A1340" t="s">
        <v>1385</v>
      </c>
      <c r="B1340" t="s">
        <v>9</v>
      </c>
      <c r="C1340" t="s">
        <v>1</v>
      </c>
      <c r="D1340" t="s">
        <v>10</v>
      </c>
      <c r="E1340" t="s">
        <v>11</v>
      </c>
      <c r="F1340">
        <v>219685</v>
      </c>
      <c r="G1340">
        <v>-94520</v>
      </c>
      <c r="H1340">
        <v>108795</v>
      </c>
      <c r="I1340">
        <v>219685</v>
      </c>
      <c r="J1340">
        <v>21968</v>
      </c>
      <c r="K1340">
        <v>10984</v>
      </c>
      <c r="L1340">
        <v>86883</v>
      </c>
      <c r="M1340">
        <v>17376</v>
      </c>
      <c r="N1340">
        <v>26064</v>
      </c>
      <c r="O1340">
        <v>8688</v>
      </c>
      <c r="P1340">
        <v>-34753</v>
      </c>
      <c r="Q1340">
        <v>-21720</v>
      </c>
      <c r="R1340">
        <v>89022</v>
      </c>
      <c r="S1340">
        <v>26706</v>
      </c>
      <c r="T1340">
        <v>8902</v>
      </c>
      <c r="U1340">
        <v>4344</v>
      </c>
      <c r="V1340">
        <v>2606</v>
      </c>
      <c r="W1340">
        <v>1737</v>
      </c>
      <c r="X1340">
        <v>8688</v>
      </c>
      <c r="Y1340">
        <v>4344</v>
      </c>
      <c r="Z1340">
        <v>4451</v>
      </c>
      <c r="AA1340">
        <v>2670</v>
      </c>
      <c r="AB1340">
        <v>1780</v>
      </c>
    </row>
    <row r="1341" spans="1:28" x14ac:dyDescent="0.35">
      <c r="A1341" t="s">
        <v>1386</v>
      </c>
      <c r="B1341" t="s">
        <v>9</v>
      </c>
      <c r="C1341" t="s">
        <v>1</v>
      </c>
      <c r="D1341" t="s">
        <v>10</v>
      </c>
      <c r="E1341" t="s">
        <v>11</v>
      </c>
      <c r="F1341">
        <v>189389</v>
      </c>
      <c r="G1341">
        <v>-97144</v>
      </c>
      <c r="H1341">
        <v>80086</v>
      </c>
      <c r="I1341">
        <v>189389</v>
      </c>
      <c r="J1341">
        <v>18938</v>
      </c>
      <c r="K1341">
        <v>9469</v>
      </c>
      <c r="L1341">
        <v>151387</v>
      </c>
      <c r="M1341">
        <v>30277</v>
      </c>
      <c r="N1341">
        <v>45416</v>
      </c>
      <c r="O1341">
        <v>15138</v>
      </c>
      <c r="P1341">
        <v>-60554</v>
      </c>
      <c r="Q1341">
        <v>-37846</v>
      </c>
      <c r="R1341">
        <v>134316</v>
      </c>
      <c r="S1341">
        <v>40294</v>
      </c>
      <c r="T1341">
        <v>13431</v>
      </c>
      <c r="U1341">
        <v>7569</v>
      </c>
      <c r="V1341">
        <v>4541</v>
      </c>
      <c r="W1341">
        <v>3027</v>
      </c>
      <c r="X1341">
        <v>15138</v>
      </c>
      <c r="Y1341">
        <v>7569</v>
      </c>
      <c r="Z1341">
        <v>6715</v>
      </c>
      <c r="AA1341">
        <v>4029</v>
      </c>
      <c r="AB1341">
        <v>2686</v>
      </c>
    </row>
    <row r="1342" spans="1:28" x14ac:dyDescent="0.35">
      <c r="A1342" t="s">
        <v>1387</v>
      </c>
      <c r="B1342" t="s">
        <v>9</v>
      </c>
      <c r="C1342" t="s">
        <v>1</v>
      </c>
      <c r="D1342" t="s">
        <v>10</v>
      </c>
      <c r="E1342" t="s">
        <v>11</v>
      </c>
      <c r="F1342">
        <v>317481</v>
      </c>
      <c r="G1342">
        <v>-95507</v>
      </c>
      <c r="H1342">
        <v>111783</v>
      </c>
      <c r="I1342">
        <v>317481</v>
      </c>
      <c r="J1342">
        <v>31748</v>
      </c>
      <c r="K1342">
        <v>15874</v>
      </c>
      <c r="L1342">
        <v>228227</v>
      </c>
      <c r="M1342">
        <v>45645</v>
      </c>
      <c r="N1342">
        <v>68468</v>
      </c>
      <c r="O1342">
        <v>22822</v>
      </c>
      <c r="P1342">
        <v>-91290</v>
      </c>
      <c r="Q1342">
        <v>-57056</v>
      </c>
      <c r="R1342">
        <v>245582</v>
      </c>
      <c r="S1342">
        <v>73674</v>
      </c>
      <c r="T1342">
        <v>24558</v>
      </c>
      <c r="U1342">
        <v>11411</v>
      </c>
      <c r="V1342">
        <v>6846</v>
      </c>
      <c r="W1342">
        <v>4564</v>
      </c>
      <c r="X1342">
        <v>22822</v>
      </c>
      <c r="Y1342">
        <v>11411</v>
      </c>
      <c r="Z1342">
        <v>12279</v>
      </c>
      <c r="AA1342">
        <v>7367</v>
      </c>
      <c r="AB1342">
        <v>4911</v>
      </c>
    </row>
    <row r="1343" spans="1:28" x14ac:dyDescent="0.35">
      <c r="A1343" t="s">
        <v>1388</v>
      </c>
      <c r="B1343" t="s">
        <v>9</v>
      </c>
      <c r="C1343" t="s">
        <v>1</v>
      </c>
      <c r="D1343" t="s">
        <v>10</v>
      </c>
      <c r="E1343" t="s">
        <v>11</v>
      </c>
      <c r="F1343">
        <v>220216</v>
      </c>
      <c r="G1343">
        <v>-53825</v>
      </c>
      <c r="H1343">
        <v>26333</v>
      </c>
      <c r="I1343">
        <v>220216</v>
      </c>
      <c r="J1343">
        <v>22021</v>
      </c>
      <c r="K1343">
        <v>11010</v>
      </c>
      <c r="L1343">
        <v>92712</v>
      </c>
      <c r="M1343">
        <v>18542</v>
      </c>
      <c r="N1343">
        <v>27813</v>
      </c>
      <c r="O1343">
        <v>9271</v>
      </c>
      <c r="P1343">
        <v>-37084</v>
      </c>
      <c r="Q1343">
        <v>-23178</v>
      </c>
      <c r="R1343">
        <v>99327</v>
      </c>
      <c r="S1343">
        <v>29798</v>
      </c>
      <c r="T1343">
        <v>9932</v>
      </c>
      <c r="U1343">
        <v>4635</v>
      </c>
      <c r="V1343">
        <v>2781</v>
      </c>
      <c r="W1343">
        <v>1854</v>
      </c>
      <c r="X1343">
        <v>9271</v>
      </c>
      <c r="Y1343">
        <v>4635</v>
      </c>
      <c r="Z1343">
        <v>4966</v>
      </c>
      <c r="AA1343">
        <v>2979</v>
      </c>
      <c r="AB1343">
        <v>1986</v>
      </c>
    </row>
    <row r="1344" spans="1:28" x14ac:dyDescent="0.35">
      <c r="A1344" t="s">
        <v>1389</v>
      </c>
      <c r="B1344" t="s">
        <v>9</v>
      </c>
      <c r="C1344" t="s">
        <v>1</v>
      </c>
      <c r="D1344" t="s">
        <v>10</v>
      </c>
      <c r="E1344" t="s">
        <v>11</v>
      </c>
      <c r="F1344">
        <v>277553</v>
      </c>
      <c r="G1344">
        <v>-158084</v>
      </c>
      <c r="H1344">
        <v>75605</v>
      </c>
      <c r="I1344">
        <v>277553</v>
      </c>
      <c r="J1344">
        <v>27755</v>
      </c>
      <c r="K1344">
        <v>13877</v>
      </c>
      <c r="L1344">
        <v>181339</v>
      </c>
      <c r="M1344">
        <v>36267</v>
      </c>
      <c r="N1344">
        <v>54401</v>
      </c>
      <c r="O1344">
        <v>18133</v>
      </c>
      <c r="P1344">
        <v>-72535</v>
      </c>
      <c r="Q1344">
        <v>-45334</v>
      </c>
      <c r="R1344">
        <v>170928</v>
      </c>
      <c r="S1344">
        <v>51278</v>
      </c>
      <c r="T1344">
        <v>17092</v>
      </c>
      <c r="U1344">
        <v>9066</v>
      </c>
      <c r="V1344">
        <v>5440</v>
      </c>
      <c r="W1344">
        <v>3626</v>
      </c>
      <c r="X1344">
        <v>18133</v>
      </c>
      <c r="Y1344">
        <v>9066</v>
      </c>
      <c r="Z1344">
        <v>8546</v>
      </c>
      <c r="AA1344">
        <v>5127</v>
      </c>
      <c r="AB1344">
        <v>3418</v>
      </c>
    </row>
    <row r="1345" spans="1:28" x14ac:dyDescent="0.35">
      <c r="A1345" t="s">
        <v>1390</v>
      </c>
      <c r="B1345" t="s">
        <v>9</v>
      </c>
      <c r="C1345" t="s">
        <v>1</v>
      </c>
      <c r="D1345" t="s">
        <v>10</v>
      </c>
      <c r="E1345" t="s">
        <v>11</v>
      </c>
      <c r="F1345">
        <v>214367</v>
      </c>
      <c r="G1345">
        <v>-122859</v>
      </c>
      <c r="H1345">
        <v>86666</v>
      </c>
      <c r="I1345">
        <v>214367</v>
      </c>
      <c r="J1345">
        <v>21436</v>
      </c>
      <c r="K1345">
        <v>10718</v>
      </c>
      <c r="L1345">
        <v>106609</v>
      </c>
      <c r="M1345">
        <v>21321</v>
      </c>
      <c r="N1345">
        <v>31982</v>
      </c>
      <c r="O1345">
        <v>10660</v>
      </c>
      <c r="P1345">
        <v>-42643</v>
      </c>
      <c r="Q1345">
        <v>-26652</v>
      </c>
      <c r="R1345">
        <v>91442</v>
      </c>
      <c r="S1345">
        <v>27432</v>
      </c>
      <c r="T1345">
        <v>9144</v>
      </c>
      <c r="U1345">
        <v>5330</v>
      </c>
      <c r="V1345">
        <v>3198</v>
      </c>
      <c r="W1345">
        <v>2132</v>
      </c>
      <c r="X1345">
        <v>10660</v>
      </c>
      <c r="Y1345">
        <v>5330</v>
      </c>
      <c r="Z1345">
        <v>4572</v>
      </c>
      <c r="AA1345">
        <v>2743</v>
      </c>
      <c r="AB1345">
        <v>1828</v>
      </c>
    </row>
    <row r="1346" spans="1:28" x14ac:dyDescent="0.35">
      <c r="A1346" t="s">
        <v>1391</v>
      </c>
      <c r="B1346" t="s">
        <v>9</v>
      </c>
      <c r="C1346" t="s">
        <v>1</v>
      </c>
      <c r="D1346" t="s">
        <v>10</v>
      </c>
      <c r="E1346" t="s">
        <v>11</v>
      </c>
      <c r="F1346">
        <v>86652</v>
      </c>
      <c r="G1346">
        <v>-35369</v>
      </c>
      <c r="H1346">
        <v>25753</v>
      </c>
      <c r="I1346">
        <v>86652</v>
      </c>
      <c r="J1346">
        <v>8665</v>
      </c>
      <c r="K1346">
        <v>4332</v>
      </c>
      <c r="L1346">
        <v>42321</v>
      </c>
      <c r="M1346">
        <v>8464</v>
      </c>
      <c r="N1346">
        <v>12696</v>
      </c>
      <c r="O1346">
        <v>4232</v>
      </c>
      <c r="P1346">
        <v>-16928</v>
      </c>
      <c r="Q1346">
        <v>-10580</v>
      </c>
      <c r="R1346">
        <v>38163</v>
      </c>
      <c r="S1346">
        <v>11448</v>
      </c>
      <c r="T1346">
        <v>3816</v>
      </c>
      <c r="U1346">
        <v>2116</v>
      </c>
      <c r="V1346">
        <v>1269</v>
      </c>
      <c r="W1346">
        <v>846</v>
      </c>
      <c r="X1346">
        <v>4232</v>
      </c>
      <c r="Y1346">
        <v>2116</v>
      </c>
      <c r="Z1346">
        <v>1908</v>
      </c>
      <c r="AA1346">
        <v>1144</v>
      </c>
      <c r="AB1346">
        <v>763</v>
      </c>
    </row>
    <row r="1347" spans="1:28" x14ac:dyDescent="0.35">
      <c r="A1347" t="s">
        <v>1392</v>
      </c>
      <c r="B1347" t="s">
        <v>9</v>
      </c>
      <c r="C1347" t="s">
        <v>1</v>
      </c>
      <c r="D1347" t="s">
        <v>10</v>
      </c>
      <c r="E1347" t="s">
        <v>11</v>
      </c>
      <c r="F1347">
        <v>349545</v>
      </c>
      <c r="G1347">
        <v>-113847</v>
      </c>
      <c r="H1347">
        <v>163114</v>
      </c>
      <c r="I1347">
        <v>349545</v>
      </c>
      <c r="J1347">
        <v>34954</v>
      </c>
      <c r="K1347">
        <v>17477</v>
      </c>
      <c r="L1347">
        <v>98451</v>
      </c>
      <c r="M1347">
        <v>19690</v>
      </c>
      <c r="N1347">
        <v>29535</v>
      </c>
      <c r="O1347">
        <v>9845</v>
      </c>
      <c r="P1347">
        <v>-39380</v>
      </c>
      <c r="Q1347">
        <v>-24612</v>
      </c>
      <c r="R1347">
        <v>91556</v>
      </c>
      <c r="S1347">
        <v>27466</v>
      </c>
      <c r="T1347">
        <v>9155</v>
      </c>
      <c r="U1347">
        <v>4922</v>
      </c>
      <c r="V1347">
        <v>2953</v>
      </c>
      <c r="W1347">
        <v>1969</v>
      </c>
      <c r="X1347">
        <v>9845</v>
      </c>
      <c r="Y1347">
        <v>4922</v>
      </c>
      <c r="Z1347">
        <v>4577</v>
      </c>
      <c r="AA1347">
        <v>2746</v>
      </c>
      <c r="AB1347">
        <v>1831</v>
      </c>
    </row>
    <row r="1348" spans="1:28" x14ac:dyDescent="0.35">
      <c r="A1348" t="s">
        <v>1393</v>
      </c>
      <c r="B1348" t="s">
        <v>9</v>
      </c>
      <c r="C1348" t="s">
        <v>1</v>
      </c>
      <c r="D1348" t="s">
        <v>10</v>
      </c>
      <c r="E1348" t="s">
        <v>11</v>
      </c>
      <c r="F1348">
        <v>416103</v>
      </c>
      <c r="G1348">
        <v>-239350</v>
      </c>
      <c r="H1348">
        <v>142975</v>
      </c>
      <c r="I1348">
        <v>416103</v>
      </c>
      <c r="J1348">
        <v>41610</v>
      </c>
      <c r="K1348">
        <v>20805</v>
      </c>
      <c r="L1348">
        <v>287678</v>
      </c>
      <c r="M1348">
        <v>57535</v>
      </c>
      <c r="N1348">
        <v>86303</v>
      </c>
      <c r="O1348">
        <v>28767</v>
      </c>
      <c r="P1348">
        <v>-115071</v>
      </c>
      <c r="Q1348">
        <v>-71919</v>
      </c>
      <c r="R1348">
        <v>237230</v>
      </c>
      <c r="S1348">
        <v>71169</v>
      </c>
      <c r="T1348">
        <v>23723</v>
      </c>
      <c r="U1348">
        <v>14383</v>
      </c>
      <c r="V1348">
        <v>8630</v>
      </c>
      <c r="W1348">
        <v>5753</v>
      </c>
      <c r="X1348">
        <v>28767</v>
      </c>
      <c r="Y1348">
        <v>14383</v>
      </c>
      <c r="Z1348">
        <v>11861</v>
      </c>
      <c r="AA1348">
        <v>7116</v>
      </c>
      <c r="AB1348">
        <v>4744</v>
      </c>
    </row>
    <row r="1349" spans="1:28" x14ac:dyDescent="0.35">
      <c r="A1349" t="s">
        <v>1394</v>
      </c>
      <c r="B1349" t="s">
        <v>9</v>
      </c>
      <c r="C1349" t="s">
        <v>1</v>
      </c>
      <c r="D1349" t="s">
        <v>10</v>
      </c>
      <c r="E1349" t="s">
        <v>11</v>
      </c>
      <c r="F1349">
        <v>396593</v>
      </c>
      <c r="G1349">
        <v>-141709</v>
      </c>
      <c r="H1349">
        <v>108526</v>
      </c>
      <c r="I1349">
        <v>396593</v>
      </c>
      <c r="J1349">
        <v>39659</v>
      </c>
      <c r="K1349">
        <v>19829</v>
      </c>
      <c r="L1349">
        <v>85591</v>
      </c>
      <c r="M1349">
        <v>17118</v>
      </c>
      <c r="N1349">
        <v>25677</v>
      </c>
      <c r="O1349">
        <v>8559</v>
      </c>
      <c r="P1349">
        <v>-34236</v>
      </c>
      <c r="Q1349">
        <v>-21397</v>
      </c>
      <c r="R1349">
        <v>78339</v>
      </c>
      <c r="S1349">
        <v>23501</v>
      </c>
      <c r="T1349">
        <v>7833</v>
      </c>
      <c r="U1349">
        <v>4279</v>
      </c>
      <c r="V1349">
        <v>2567</v>
      </c>
      <c r="W1349">
        <v>1711</v>
      </c>
      <c r="X1349">
        <v>8559</v>
      </c>
      <c r="Y1349">
        <v>4279</v>
      </c>
      <c r="Z1349">
        <v>3916</v>
      </c>
      <c r="AA1349">
        <v>2350</v>
      </c>
      <c r="AB1349">
        <v>1566</v>
      </c>
    </row>
    <row r="1350" spans="1:28" x14ac:dyDescent="0.35">
      <c r="A1350" t="s">
        <v>1395</v>
      </c>
      <c r="B1350" t="s">
        <v>9</v>
      </c>
      <c r="C1350" t="s">
        <v>1</v>
      </c>
      <c r="D1350" t="s">
        <v>10</v>
      </c>
      <c r="E1350" t="s">
        <v>11</v>
      </c>
      <c r="F1350">
        <v>84047</v>
      </c>
      <c r="G1350">
        <v>-45427</v>
      </c>
      <c r="H1350">
        <v>11715</v>
      </c>
      <c r="I1350">
        <v>84047</v>
      </c>
      <c r="J1350">
        <v>8404</v>
      </c>
      <c r="K1350">
        <v>4202</v>
      </c>
      <c r="L1350">
        <v>62457</v>
      </c>
      <c r="M1350">
        <v>12491</v>
      </c>
      <c r="N1350">
        <v>18737</v>
      </c>
      <c r="O1350">
        <v>6245</v>
      </c>
      <c r="P1350">
        <v>-24982</v>
      </c>
      <c r="Q1350">
        <v>-15614</v>
      </c>
      <c r="R1350">
        <v>58457</v>
      </c>
      <c r="S1350">
        <v>17537</v>
      </c>
      <c r="T1350">
        <v>5845</v>
      </c>
      <c r="U1350">
        <v>3122</v>
      </c>
      <c r="V1350">
        <v>1873</v>
      </c>
      <c r="W1350">
        <v>1249</v>
      </c>
      <c r="X1350">
        <v>6245</v>
      </c>
      <c r="Y1350">
        <v>3122</v>
      </c>
      <c r="Z1350">
        <v>2922</v>
      </c>
      <c r="AA1350">
        <v>1753</v>
      </c>
      <c r="AB1350">
        <v>1169</v>
      </c>
    </row>
    <row r="1351" spans="1:28" x14ac:dyDescent="0.35">
      <c r="A1351" t="s">
        <v>1396</v>
      </c>
      <c r="B1351" t="s">
        <v>9</v>
      </c>
      <c r="C1351" t="s">
        <v>1</v>
      </c>
      <c r="D1351" t="s">
        <v>10</v>
      </c>
      <c r="E1351" t="s">
        <v>11</v>
      </c>
      <c r="F1351">
        <v>84394</v>
      </c>
      <c r="G1351">
        <v>-35700</v>
      </c>
      <c r="H1351">
        <v>25742</v>
      </c>
      <c r="I1351">
        <v>84394</v>
      </c>
      <c r="J1351">
        <v>8439</v>
      </c>
      <c r="K1351">
        <v>4219</v>
      </c>
      <c r="L1351">
        <v>52222</v>
      </c>
      <c r="M1351">
        <v>10444</v>
      </c>
      <c r="N1351">
        <v>15666</v>
      </c>
      <c r="O1351">
        <v>5222</v>
      </c>
      <c r="P1351">
        <v>-20888</v>
      </c>
      <c r="Q1351">
        <v>-13055</v>
      </c>
      <c r="R1351">
        <v>61053</v>
      </c>
      <c r="S1351">
        <v>18315</v>
      </c>
      <c r="T1351">
        <v>6105</v>
      </c>
      <c r="U1351">
        <v>2611</v>
      </c>
      <c r="V1351">
        <v>1566</v>
      </c>
      <c r="W1351">
        <v>1044</v>
      </c>
      <c r="X1351">
        <v>5222</v>
      </c>
      <c r="Y1351">
        <v>2611</v>
      </c>
      <c r="Z1351">
        <v>3052</v>
      </c>
      <c r="AA1351">
        <v>1831</v>
      </c>
      <c r="AB1351">
        <v>1221</v>
      </c>
    </row>
    <row r="1352" spans="1:28" x14ac:dyDescent="0.35">
      <c r="A1352" t="s">
        <v>1397</v>
      </c>
      <c r="B1352" t="s">
        <v>9</v>
      </c>
      <c r="C1352" t="s">
        <v>1</v>
      </c>
      <c r="D1352" t="s">
        <v>10</v>
      </c>
      <c r="E1352" t="s">
        <v>11</v>
      </c>
      <c r="F1352">
        <v>324699</v>
      </c>
      <c r="G1352">
        <v>-187229</v>
      </c>
      <c r="H1352">
        <v>149853</v>
      </c>
      <c r="I1352">
        <v>324699</v>
      </c>
      <c r="J1352">
        <v>32469</v>
      </c>
      <c r="K1352">
        <v>16234</v>
      </c>
      <c r="L1352">
        <v>155054</v>
      </c>
      <c r="M1352">
        <v>31010</v>
      </c>
      <c r="N1352">
        <v>46516</v>
      </c>
      <c r="O1352">
        <v>15505</v>
      </c>
      <c r="P1352">
        <v>-62021</v>
      </c>
      <c r="Q1352">
        <v>-38763</v>
      </c>
      <c r="R1352">
        <v>165480</v>
      </c>
      <c r="S1352">
        <v>49644</v>
      </c>
      <c r="T1352">
        <v>16548</v>
      </c>
      <c r="U1352">
        <v>7752</v>
      </c>
      <c r="V1352">
        <v>4651</v>
      </c>
      <c r="W1352">
        <v>3101</v>
      </c>
      <c r="X1352">
        <v>15505</v>
      </c>
      <c r="Y1352">
        <v>7752</v>
      </c>
      <c r="Z1352">
        <v>8274</v>
      </c>
      <c r="AA1352">
        <v>4964</v>
      </c>
      <c r="AB1352">
        <v>3309</v>
      </c>
    </row>
    <row r="1353" spans="1:28" x14ac:dyDescent="0.35">
      <c r="A1353" t="s">
        <v>1398</v>
      </c>
      <c r="B1353" t="s">
        <v>9</v>
      </c>
      <c r="C1353" t="s">
        <v>1</v>
      </c>
      <c r="D1353" t="s">
        <v>10</v>
      </c>
      <c r="E1353" t="s">
        <v>11</v>
      </c>
      <c r="F1353">
        <v>137290</v>
      </c>
      <c r="G1353">
        <v>-31293</v>
      </c>
      <c r="H1353">
        <v>22914</v>
      </c>
      <c r="I1353">
        <v>137290</v>
      </c>
      <c r="J1353">
        <v>13729</v>
      </c>
      <c r="K1353">
        <v>6864</v>
      </c>
      <c r="L1353">
        <v>30869</v>
      </c>
      <c r="M1353">
        <v>6173</v>
      </c>
      <c r="N1353">
        <v>9260</v>
      </c>
      <c r="O1353">
        <v>3086</v>
      </c>
      <c r="P1353">
        <v>-12347</v>
      </c>
      <c r="Q1353">
        <v>-7717</v>
      </c>
      <c r="R1353">
        <v>30993</v>
      </c>
      <c r="S1353">
        <v>9297</v>
      </c>
      <c r="T1353">
        <v>3099</v>
      </c>
      <c r="U1353">
        <v>1543</v>
      </c>
      <c r="V1353">
        <v>926</v>
      </c>
      <c r="W1353">
        <v>617</v>
      </c>
      <c r="X1353">
        <v>3086</v>
      </c>
      <c r="Y1353">
        <v>1543</v>
      </c>
      <c r="Z1353">
        <v>1549</v>
      </c>
      <c r="AA1353">
        <v>929</v>
      </c>
      <c r="AB1353">
        <v>619</v>
      </c>
    </row>
    <row r="1354" spans="1:28" x14ac:dyDescent="0.35">
      <c r="A1354" t="s">
        <v>1399</v>
      </c>
      <c r="B1354" t="s">
        <v>9</v>
      </c>
      <c r="C1354" t="s">
        <v>1</v>
      </c>
      <c r="D1354" t="s">
        <v>10</v>
      </c>
      <c r="E1354" t="s">
        <v>11</v>
      </c>
      <c r="F1354">
        <v>128201</v>
      </c>
      <c r="G1354">
        <v>-34615</v>
      </c>
      <c r="H1354">
        <v>61617</v>
      </c>
      <c r="I1354">
        <v>128201</v>
      </c>
      <c r="J1354">
        <v>12820</v>
      </c>
      <c r="K1354">
        <v>6410</v>
      </c>
      <c r="L1354">
        <v>100867</v>
      </c>
      <c r="M1354">
        <v>20173</v>
      </c>
      <c r="N1354">
        <v>30260</v>
      </c>
      <c r="O1354">
        <v>10086</v>
      </c>
      <c r="P1354">
        <v>-40346</v>
      </c>
      <c r="Q1354">
        <v>-25216</v>
      </c>
      <c r="R1354">
        <v>92883</v>
      </c>
      <c r="S1354">
        <v>27864</v>
      </c>
      <c r="T1354">
        <v>9288</v>
      </c>
      <c r="U1354">
        <v>5043</v>
      </c>
      <c r="V1354">
        <v>3026</v>
      </c>
      <c r="W1354">
        <v>2017</v>
      </c>
      <c r="X1354">
        <v>10086</v>
      </c>
      <c r="Y1354">
        <v>5043</v>
      </c>
      <c r="Z1354">
        <v>4644</v>
      </c>
      <c r="AA1354">
        <v>2786</v>
      </c>
      <c r="AB1354">
        <v>1857</v>
      </c>
    </row>
    <row r="1355" spans="1:28" x14ac:dyDescent="0.35">
      <c r="A1355" t="s">
        <v>1400</v>
      </c>
      <c r="B1355" t="s">
        <v>9</v>
      </c>
      <c r="C1355" t="s">
        <v>1</v>
      </c>
      <c r="D1355" t="s">
        <v>10</v>
      </c>
      <c r="E1355" t="s">
        <v>11</v>
      </c>
      <c r="F1355">
        <v>173557</v>
      </c>
      <c r="G1355">
        <v>-42939</v>
      </c>
      <c r="H1355">
        <v>63876</v>
      </c>
      <c r="I1355">
        <v>173557</v>
      </c>
      <c r="J1355">
        <v>17355</v>
      </c>
      <c r="K1355">
        <v>8677</v>
      </c>
      <c r="L1355">
        <v>108505</v>
      </c>
      <c r="M1355">
        <v>21701</v>
      </c>
      <c r="N1355">
        <v>32551</v>
      </c>
      <c r="O1355">
        <v>10850</v>
      </c>
      <c r="P1355">
        <v>-43402</v>
      </c>
      <c r="Q1355">
        <v>-27126</v>
      </c>
      <c r="R1355">
        <v>114227</v>
      </c>
      <c r="S1355">
        <v>34268</v>
      </c>
      <c r="T1355">
        <v>11422</v>
      </c>
      <c r="U1355">
        <v>5425</v>
      </c>
      <c r="V1355">
        <v>3255</v>
      </c>
      <c r="W1355">
        <v>2170</v>
      </c>
      <c r="X1355">
        <v>10850</v>
      </c>
      <c r="Y1355">
        <v>5425</v>
      </c>
      <c r="Z1355">
        <v>5711</v>
      </c>
      <c r="AA1355">
        <v>3426</v>
      </c>
      <c r="AB1355">
        <v>2284</v>
      </c>
    </row>
    <row r="1356" spans="1:28" x14ac:dyDescent="0.35">
      <c r="A1356" t="s">
        <v>1401</v>
      </c>
      <c r="B1356" t="s">
        <v>9</v>
      </c>
      <c r="C1356" t="s">
        <v>1</v>
      </c>
      <c r="D1356" t="s">
        <v>10</v>
      </c>
      <c r="E1356" t="s">
        <v>11</v>
      </c>
      <c r="F1356">
        <v>60167</v>
      </c>
      <c r="G1356">
        <v>-17834</v>
      </c>
      <c r="H1356">
        <v>10609</v>
      </c>
      <c r="I1356">
        <v>60167</v>
      </c>
      <c r="J1356">
        <v>6016</v>
      </c>
      <c r="K1356">
        <v>3008</v>
      </c>
      <c r="L1356">
        <v>38825</v>
      </c>
      <c r="M1356">
        <v>7765</v>
      </c>
      <c r="N1356">
        <v>11647</v>
      </c>
      <c r="O1356">
        <v>3882</v>
      </c>
      <c r="P1356">
        <v>-15530</v>
      </c>
      <c r="Q1356">
        <v>-9706</v>
      </c>
      <c r="R1356">
        <v>32273</v>
      </c>
      <c r="S1356">
        <v>9681</v>
      </c>
      <c r="T1356">
        <v>3227</v>
      </c>
      <c r="U1356">
        <v>1941</v>
      </c>
      <c r="V1356">
        <v>1164</v>
      </c>
      <c r="W1356">
        <v>776</v>
      </c>
      <c r="X1356">
        <v>3882</v>
      </c>
      <c r="Y1356">
        <v>1941</v>
      </c>
      <c r="Z1356">
        <v>1613</v>
      </c>
      <c r="AA1356">
        <v>968</v>
      </c>
      <c r="AB1356">
        <v>645</v>
      </c>
    </row>
    <row r="1357" spans="1:28" x14ac:dyDescent="0.35">
      <c r="A1357" t="s">
        <v>1402</v>
      </c>
      <c r="B1357" t="s">
        <v>9</v>
      </c>
      <c r="C1357" t="s">
        <v>1</v>
      </c>
      <c r="D1357" t="s">
        <v>10</v>
      </c>
      <c r="E1357" t="s">
        <v>11</v>
      </c>
      <c r="F1357">
        <v>247488</v>
      </c>
      <c r="G1357">
        <v>-106993</v>
      </c>
      <c r="H1357">
        <v>75589</v>
      </c>
      <c r="I1357">
        <v>247488</v>
      </c>
      <c r="J1357">
        <v>24748</v>
      </c>
      <c r="K1357">
        <v>12374</v>
      </c>
      <c r="L1357">
        <v>126989</v>
      </c>
      <c r="M1357">
        <v>25397</v>
      </c>
      <c r="N1357">
        <v>38096</v>
      </c>
      <c r="O1357">
        <v>12698</v>
      </c>
      <c r="P1357">
        <v>-50795</v>
      </c>
      <c r="Q1357">
        <v>-31747</v>
      </c>
      <c r="R1357">
        <v>143680</v>
      </c>
      <c r="S1357">
        <v>43104</v>
      </c>
      <c r="T1357">
        <v>14368</v>
      </c>
      <c r="U1357">
        <v>6349</v>
      </c>
      <c r="V1357">
        <v>3809</v>
      </c>
      <c r="W1357">
        <v>2539</v>
      </c>
      <c r="X1357">
        <v>12698</v>
      </c>
      <c r="Y1357">
        <v>6349</v>
      </c>
      <c r="Z1357">
        <v>7184</v>
      </c>
      <c r="AA1357">
        <v>4310</v>
      </c>
      <c r="AB1357">
        <v>2873</v>
      </c>
    </row>
    <row r="1358" spans="1:28" x14ac:dyDescent="0.35">
      <c r="A1358" t="s">
        <v>1403</v>
      </c>
      <c r="B1358" t="s">
        <v>9</v>
      </c>
      <c r="C1358" t="s">
        <v>1</v>
      </c>
      <c r="D1358" t="s">
        <v>10</v>
      </c>
      <c r="E1358" t="s">
        <v>11</v>
      </c>
      <c r="F1358">
        <v>414347</v>
      </c>
      <c r="G1358">
        <v>-130486</v>
      </c>
      <c r="H1358">
        <v>87626</v>
      </c>
      <c r="I1358">
        <v>414347</v>
      </c>
      <c r="J1358">
        <v>41434</v>
      </c>
      <c r="K1358">
        <v>20717</v>
      </c>
      <c r="L1358">
        <v>95676</v>
      </c>
      <c r="M1358">
        <v>19135</v>
      </c>
      <c r="N1358">
        <v>28702</v>
      </c>
      <c r="O1358">
        <v>9567</v>
      </c>
      <c r="P1358">
        <v>-38270</v>
      </c>
      <c r="Q1358">
        <v>-23919</v>
      </c>
      <c r="R1358">
        <v>80308</v>
      </c>
      <c r="S1358">
        <v>24092</v>
      </c>
      <c r="T1358">
        <v>8030</v>
      </c>
      <c r="U1358">
        <v>4783</v>
      </c>
      <c r="V1358">
        <v>2870</v>
      </c>
      <c r="W1358">
        <v>1913</v>
      </c>
      <c r="X1358">
        <v>9567</v>
      </c>
      <c r="Y1358">
        <v>4783</v>
      </c>
      <c r="Z1358">
        <v>4015</v>
      </c>
      <c r="AA1358">
        <v>2409</v>
      </c>
      <c r="AB1358">
        <v>1606</v>
      </c>
    </row>
    <row r="1359" spans="1:28" x14ac:dyDescent="0.35">
      <c r="A1359" t="s">
        <v>1404</v>
      </c>
      <c r="B1359" t="s">
        <v>9</v>
      </c>
      <c r="C1359" t="s">
        <v>1</v>
      </c>
      <c r="D1359" t="s">
        <v>10</v>
      </c>
      <c r="E1359" t="s">
        <v>11</v>
      </c>
      <c r="F1359">
        <v>198238</v>
      </c>
      <c r="G1359">
        <v>-71032</v>
      </c>
      <c r="H1359">
        <v>82193</v>
      </c>
      <c r="I1359">
        <v>198238</v>
      </c>
      <c r="J1359">
        <v>19823</v>
      </c>
      <c r="K1359">
        <v>9911</v>
      </c>
      <c r="L1359">
        <v>53098</v>
      </c>
      <c r="M1359">
        <v>10619</v>
      </c>
      <c r="N1359">
        <v>15929</v>
      </c>
      <c r="O1359">
        <v>5309</v>
      </c>
      <c r="P1359">
        <v>-21239</v>
      </c>
      <c r="Q1359">
        <v>-13274</v>
      </c>
      <c r="R1359">
        <v>57025</v>
      </c>
      <c r="S1359">
        <v>17107</v>
      </c>
      <c r="T1359">
        <v>5702</v>
      </c>
      <c r="U1359">
        <v>2654</v>
      </c>
      <c r="V1359">
        <v>1592</v>
      </c>
      <c r="W1359">
        <v>1061</v>
      </c>
      <c r="X1359">
        <v>5309</v>
      </c>
      <c r="Y1359">
        <v>2654</v>
      </c>
      <c r="Z1359">
        <v>2851</v>
      </c>
      <c r="AA1359">
        <v>1710</v>
      </c>
      <c r="AB1359">
        <v>1140</v>
      </c>
    </row>
    <row r="1360" spans="1:28" x14ac:dyDescent="0.35">
      <c r="A1360" t="s">
        <v>1405</v>
      </c>
      <c r="B1360" t="s">
        <v>9</v>
      </c>
      <c r="C1360" t="s">
        <v>1</v>
      </c>
      <c r="D1360" t="s">
        <v>10</v>
      </c>
      <c r="E1360" t="s">
        <v>11</v>
      </c>
      <c r="F1360">
        <v>339080</v>
      </c>
      <c r="G1360">
        <v>-140800</v>
      </c>
      <c r="H1360">
        <v>67817</v>
      </c>
      <c r="I1360">
        <v>339080</v>
      </c>
      <c r="J1360">
        <v>33908</v>
      </c>
      <c r="K1360">
        <v>16954</v>
      </c>
      <c r="L1360">
        <v>109801</v>
      </c>
      <c r="M1360">
        <v>21960</v>
      </c>
      <c r="N1360">
        <v>32940</v>
      </c>
      <c r="O1360">
        <v>10980</v>
      </c>
      <c r="P1360">
        <v>-43920</v>
      </c>
      <c r="Q1360">
        <v>-27450</v>
      </c>
      <c r="R1360">
        <v>100297</v>
      </c>
      <c r="S1360">
        <v>30089</v>
      </c>
      <c r="T1360">
        <v>10029</v>
      </c>
      <c r="U1360">
        <v>5490</v>
      </c>
      <c r="V1360">
        <v>3294</v>
      </c>
      <c r="W1360">
        <v>2196</v>
      </c>
      <c r="X1360">
        <v>10980</v>
      </c>
      <c r="Y1360">
        <v>5490</v>
      </c>
      <c r="Z1360">
        <v>5014</v>
      </c>
      <c r="AA1360">
        <v>3008</v>
      </c>
      <c r="AB1360">
        <v>2005</v>
      </c>
    </row>
    <row r="1361" spans="1:28" x14ac:dyDescent="0.35">
      <c r="A1361" t="s">
        <v>1406</v>
      </c>
      <c r="B1361" t="s">
        <v>9</v>
      </c>
      <c r="C1361" t="s">
        <v>1</v>
      </c>
      <c r="D1361" t="s">
        <v>10</v>
      </c>
      <c r="E1361" t="s">
        <v>11</v>
      </c>
      <c r="F1361">
        <v>132888</v>
      </c>
      <c r="G1361">
        <v>-46906</v>
      </c>
      <c r="H1361">
        <v>62313</v>
      </c>
      <c r="I1361">
        <v>132888</v>
      </c>
      <c r="J1361">
        <v>13288</v>
      </c>
      <c r="K1361">
        <v>6644</v>
      </c>
      <c r="L1361">
        <v>98236</v>
      </c>
      <c r="M1361">
        <v>19647</v>
      </c>
      <c r="N1361">
        <v>29470</v>
      </c>
      <c r="O1361">
        <v>9823</v>
      </c>
      <c r="P1361">
        <v>-39294</v>
      </c>
      <c r="Q1361">
        <v>-24559</v>
      </c>
      <c r="R1361">
        <v>111379</v>
      </c>
      <c r="S1361">
        <v>33413</v>
      </c>
      <c r="T1361">
        <v>11137</v>
      </c>
      <c r="U1361">
        <v>4911</v>
      </c>
      <c r="V1361">
        <v>2947</v>
      </c>
      <c r="W1361">
        <v>1964</v>
      </c>
      <c r="X1361">
        <v>9823</v>
      </c>
      <c r="Y1361">
        <v>4911</v>
      </c>
      <c r="Z1361">
        <v>5568</v>
      </c>
      <c r="AA1361">
        <v>3341</v>
      </c>
      <c r="AB1361">
        <v>2227</v>
      </c>
    </row>
    <row r="1362" spans="1:28" x14ac:dyDescent="0.35">
      <c r="A1362" t="s">
        <v>1407</v>
      </c>
      <c r="B1362" t="s">
        <v>9</v>
      </c>
      <c r="C1362" t="s">
        <v>1</v>
      </c>
      <c r="D1362" t="s">
        <v>10</v>
      </c>
      <c r="E1362" t="s">
        <v>11</v>
      </c>
      <c r="F1362">
        <v>61821</v>
      </c>
      <c r="G1362">
        <v>-36726</v>
      </c>
      <c r="H1362">
        <v>8462</v>
      </c>
      <c r="I1362">
        <v>61821</v>
      </c>
      <c r="J1362">
        <v>6182</v>
      </c>
      <c r="K1362">
        <v>3091</v>
      </c>
      <c r="L1362">
        <v>30958</v>
      </c>
      <c r="M1362">
        <v>6191</v>
      </c>
      <c r="N1362">
        <v>9287</v>
      </c>
      <c r="O1362">
        <v>3095</v>
      </c>
      <c r="P1362">
        <v>-12383</v>
      </c>
      <c r="Q1362">
        <v>-7739</v>
      </c>
      <c r="R1362">
        <v>33735</v>
      </c>
      <c r="S1362">
        <v>10120</v>
      </c>
      <c r="T1362">
        <v>3373</v>
      </c>
      <c r="U1362">
        <v>1547</v>
      </c>
      <c r="V1362">
        <v>928</v>
      </c>
      <c r="W1362">
        <v>619</v>
      </c>
      <c r="X1362">
        <v>3095</v>
      </c>
      <c r="Y1362">
        <v>1547</v>
      </c>
      <c r="Z1362">
        <v>1686</v>
      </c>
      <c r="AA1362">
        <v>1012</v>
      </c>
      <c r="AB1362">
        <v>674</v>
      </c>
    </row>
    <row r="1363" spans="1:28" x14ac:dyDescent="0.35">
      <c r="A1363" t="s">
        <v>1408</v>
      </c>
      <c r="B1363" t="s">
        <v>9</v>
      </c>
      <c r="C1363" t="s">
        <v>1</v>
      </c>
      <c r="D1363" t="s">
        <v>10</v>
      </c>
      <c r="E1363" t="s">
        <v>11</v>
      </c>
      <c r="F1363">
        <v>244998</v>
      </c>
      <c r="G1363">
        <v>-95130</v>
      </c>
      <c r="H1363">
        <v>114936</v>
      </c>
      <c r="I1363">
        <v>244998</v>
      </c>
      <c r="J1363">
        <v>24499</v>
      </c>
      <c r="K1363">
        <v>12249</v>
      </c>
      <c r="L1363">
        <v>106539</v>
      </c>
      <c r="M1363">
        <v>21307</v>
      </c>
      <c r="N1363">
        <v>31961</v>
      </c>
      <c r="O1363">
        <v>10653</v>
      </c>
      <c r="P1363">
        <v>-42615</v>
      </c>
      <c r="Q1363">
        <v>-26634</v>
      </c>
      <c r="R1363">
        <v>86322</v>
      </c>
      <c r="S1363">
        <v>25896</v>
      </c>
      <c r="T1363">
        <v>8632</v>
      </c>
      <c r="U1363">
        <v>5326</v>
      </c>
      <c r="V1363">
        <v>3196</v>
      </c>
      <c r="W1363">
        <v>2130</v>
      </c>
      <c r="X1363">
        <v>10653</v>
      </c>
      <c r="Y1363">
        <v>5326</v>
      </c>
      <c r="Z1363">
        <v>4316</v>
      </c>
      <c r="AA1363">
        <v>2589</v>
      </c>
      <c r="AB1363">
        <v>1726</v>
      </c>
    </row>
    <row r="1364" spans="1:28" x14ac:dyDescent="0.35">
      <c r="A1364" t="s">
        <v>1409</v>
      </c>
      <c r="B1364" t="s">
        <v>9</v>
      </c>
      <c r="C1364" t="s">
        <v>1</v>
      </c>
      <c r="D1364" t="s">
        <v>10</v>
      </c>
      <c r="E1364" t="s">
        <v>11</v>
      </c>
      <c r="F1364">
        <v>415285</v>
      </c>
      <c r="G1364">
        <v>-154066</v>
      </c>
      <c r="H1364">
        <v>156356</v>
      </c>
      <c r="I1364">
        <v>415285</v>
      </c>
      <c r="J1364">
        <v>41528</v>
      </c>
      <c r="K1364">
        <v>20764</v>
      </c>
      <c r="L1364">
        <v>197151</v>
      </c>
      <c r="M1364">
        <v>39430</v>
      </c>
      <c r="N1364">
        <v>59145</v>
      </c>
      <c r="O1364">
        <v>19715</v>
      </c>
      <c r="P1364">
        <v>-78860</v>
      </c>
      <c r="Q1364">
        <v>-49287</v>
      </c>
      <c r="R1364">
        <v>169415</v>
      </c>
      <c r="S1364">
        <v>50824</v>
      </c>
      <c r="T1364">
        <v>16941</v>
      </c>
      <c r="U1364">
        <v>9857</v>
      </c>
      <c r="V1364">
        <v>5914</v>
      </c>
      <c r="W1364">
        <v>3943</v>
      </c>
      <c r="X1364">
        <v>19715</v>
      </c>
      <c r="Y1364">
        <v>9857</v>
      </c>
      <c r="Z1364">
        <v>8470</v>
      </c>
      <c r="AA1364">
        <v>5082</v>
      </c>
      <c r="AB1364">
        <v>3388</v>
      </c>
    </row>
    <row r="1365" spans="1:28" x14ac:dyDescent="0.35">
      <c r="A1365" t="s">
        <v>1410</v>
      </c>
      <c r="B1365" t="s">
        <v>9</v>
      </c>
      <c r="C1365" t="s">
        <v>1</v>
      </c>
      <c r="D1365" t="s">
        <v>10</v>
      </c>
      <c r="E1365" t="s">
        <v>11</v>
      </c>
      <c r="F1365">
        <v>188961</v>
      </c>
      <c r="G1365">
        <v>-67971</v>
      </c>
      <c r="H1365">
        <v>19430</v>
      </c>
      <c r="I1365">
        <v>188961</v>
      </c>
      <c r="J1365">
        <v>18896</v>
      </c>
      <c r="K1365">
        <v>9448</v>
      </c>
      <c r="L1365">
        <v>46551</v>
      </c>
      <c r="M1365">
        <v>9310</v>
      </c>
      <c r="N1365">
        <v>13965</v>
      </c>
      <c r="O1365">
        <v>4655</v>
      </c>
      <c r="P1365">
        <v>-18620</v>
      </c>
      <c r="Q1365">
        <v>-11637</v>
      </c>
      <c r="R1365">
        <v>45546</v>
      </c>
      <c r="S1365">
        <v>13663</v>
      </c>
      <c r="T1365">
        <v>4554</v>
      </c>
      <c r="U1365">
        <v>2327</v>
      </c>
      <c r="V1365">
        <v>1396</v>
      </c>
      <c r="W1365">
        <v>931</v>
      </c>
      <c r="X1365">
        <v>4655</v>
      </c>
      <c r="Y1365">
        <v>2327</v>
      </c>
      <c r="Z1365">
        <v>2277</v>
      </c>
      <c r="AA1365">
        <v>1366</v>
      </c>
      <c r="AB1365">
        <v>910</v>
      </c>
    </row>
    <row r="1366" spans="1:28" x14ac:dyDescent="0.35">
      <c r="A1366" t="s">
        <v>1411</v>
      </c>
      <c r="B1366" t="s">
        <v>9</v>
      </c>
      <c r="C1366" t="s">
        <v>1</v>
      </c>
      <c r="D1366" t="s">
        <v>10</v>
      </c>
      <c r="E1366" t="s">
        <v>11</v>
      </c>
      <c r="F1366">
        <v>283796</v>
      </c>
      <c r="G1366">
        <v>-150792</v>
      </c>
      <c r="H1366">
        <v>123312</v>
      </c>
      <c r="I1366">
        <v>283796</v>
      </c>
      <c r="J1366">
        <v>28379</v>
      </c>
      <c r="K1366">
        <v>14189</v>
      </c>
      <c r="L1366">
        <v>173111</v>
      </c>
      <c r="M1366">
        <v>34622</v>
      </c>
      <c r="N1366">
        <v>51933</v>
      </c>
      <c r="O1366">
        <v>17311</v>
      </c>
      <c r="P1366">
        <v>-69244</v>
      </c>
      <c r="Q1366">
        <v>-43277</v>
      </c>
      <c r="R1366">
        <v>179231</v>
      </c>
      <c r="S1366">
        <v>53769</v>
      </c>
      <c r="T1366">
        <v>17923</v>
      </c>
      <c r="U1366">
        <v>8655</v>
      </c>
      <c r="V1366">
        <v>5193</v>
      </c>
      <c r="W1366">
        <v>3462</v>
      </c>
      <c r="X1366">
        <v>17311</v>
      </c>
      <c r="Y1366">
        <v>8655</v>
      </c>
      <c r="Z1366">
        <v>8961</v>
      </c>
      <c r="AA1366">
        <v>5376</v>
      </c>
      <c r="AB1366">
        <v>3584</v>
      </c>
    </row>
    <row r="1367" spans="1:28" x14ac:dyDescent="0.35">
      <c r="A1367" t="s">
        <v>1412</v>
      </c>
      <c r="B1367" t="s">
        <v>9</v>
      </c>
      <c r="C1367" t="s">
        <v>1</v>
      </c>
      <c r="D1367" t="s">
        <v>10</v>
      </c>
      <c r="E1367" t="s">
        <v>11</v>
      </c>
      <c r="F1367">
        <v>266652</v>
      </c>
      <c r="G1367">
        <v>-73303</v>
      </c>
      <c r="H1367">
        <v>91035</v>
      </c>
      <c r="I1367">
        <v>266652</v>
      </c>
      <c r="J1367">
        <v>26665</v>
      </c>
      <c r="K1367">
        <v>13332</v>
      </c>
      <c r="L1367">
        <v>93870</v>
      </c>
      <c r="M1367">
        <v>18774</v>
      </c>
      <c r="N1367">
        <v>28161</v>
      </c>
      <c r="O1367">
        <v>9387</v>
      </c>
      <c r="P1367">
        <v>-37548</v>
      </c>
      <c r="Q1367">
        <v>-23467</v>
      </c>
      <c r="R1367">
        <v>90473</v>
      </c>
      <c r="S1367">
        <v>27141</v>
      </c>
      <c r="T1367">
        <v>9047</v>
      </c>
      <c r="U1367">
        <v>4693</v>
      </c>
      <c r="V1367">
        <v>2816</v>
      </c>
      <c r="W1367">
        <v>1877</v>
      </c>
      <c r="X1367">
        <v>9387</v>
      </c>
      <c r="Y1367">
        <v>4693</v>
      </c>
      <c r="Z1367">
        <v>4523</v>
      </c>
      <c r="AA1367">
        <v>2714</v>
      </c>
      <c r="AB1367">
        <v>1809</v>
      </c>
    </row>
    <row r="1368" spans="1:28" x14ac:dyDescent="0.35">
      <c r="A1368" t="s">
        <v>1413</v>
      </c>
      <c r="B1368" t="s">
        <v>9</v>
      </c>
      <c r="C1368" t="s">
        <v>1</v>
      </c>
      <c r="D1368" t="s">
        <v>10</v>
      </c>
      <c r="E1368" t="s">
        <v>11</v>
      </c>
      <c r="F1368">
        <v>183301</v>
      </c>
      <c r="G1368">
        <v>-103161</v>
      </c>
      <c r="H1368">
        <v>47701</v>
      </c>
      <c r="I1368">
        <v>183301</v>
      </c>
      <c r="J1368">
        <v>18330</v>
      </c>
      <c r="K1368">
        <v>9165</v>
      </c>
      <c r="L1368">
        <v>56652</v>
      </c>
      <c r="M1368">
        <v>11330</v>
      </c>
      <c r="N1368">
        <v>16995</v>
      </c>
      <c r="O1368">
        <v>5665</v>
      </c>
      <c r="P1368">
        <v>-22660</v>
      </c>
      <c r="Q1368">
        <v>-14163</v>
      </c>
      <c r="R1368">
        <v>60141</v>
      </c>
      <c r="S1368">
        <v>18042</v>
      </c>
      <c r="T1368">
        <v>6014</v>
      </c>
      <c r="U1368">
        <v>2832</v>
      </c>
      <c r="V1368">
        <v>1699</v>
      </c>
      <c r="W1368">
        <v>1133</v>
      </c>
      <c r="X1368">
        <v>5665</v>
      </c>
      <c r="Y1368">
        <v>2832</v>
      </c>
      <c r="Z1368">
        <v>3007</v>
      </c>
      <c r="AA1368">
        <v>1804</v>
      </c>
      <c r="AB1368">
        <v>1202</v>
      </c>
    </row>
    <row r="1369" spans="1:28" x14ac:dyDescent="0.35">
      <c r="A1369" t="s">
        <v>1414</v>
      </c>
      <c r="B1369" t="s">
        <v>9</v>
      </c>
      <c r="C1369" t="s">
        <v>1</v>
      </c>
      <c r="D1369" t="s">
        <v>10</v>
      </c>
      <c r="E1369" t="s">
        <v>11</v>
      </c>
      <c r="F1369">
        <v>427966</v>
      </c>
      <c r="G1369">
        <v>-242830</v>
      </c>
      <c r="H1369">
        <v>67687</v>
      </c>
      <c r="I1369">
        <v>427966</v>
      </c>
      <c r="J1369">
        <v>42796</v>
      </c>
      <c r="K1369">
        <v>21398</v>
      </c>
      <c r="L1369">
        <v>255253</v>
      </c>
      <c r="M1369">
        <v>51050</v>
      </c>
      <c r="N1369">
        <v>76575</v>
      </c>
      <c r="O1369">
        <v>25525</v>
      </c>
      <c r="P1369">
        <v>-102101</v>
      </c>
      <c r="Q1369">
        <v>-63813</v>
      </c>
      <c r="R1369">
        <v>237053</v>
      </c>
      <c r="S1369">
        <v>71115</v>
      </c>
      <c r="T1369">
        <v>23705</v>
      </c>
      <c r="U1369">
        <v>12762</v>
      </c>
      <c r="V1369">
        <v>7657</v>
      </c>
      <c r="W1369">
        <v>5105</v>
      </c>
      <c r="X1369">
        <v>25525</v>
      </c>
      <c r="Y1369">
        <v>12762</v>
      </c>
      <c r="Z1369">
        <v>11852</v>
      </c>
      <c r="AA1369">
        <v>7111</v>
      </c>
      <c r="AB1369">
        <v>4741</v>
      </c>
    </row>
    <row r="1370" spans="1:28" x14ac:dyDescent="0.35">
      <c r="A1370" t="s">
        <v>1415</v>
      </c>
      <c r="B1370" t="s">
        <v>9</v>
      </c>
      <c r="C1370" t="s">
        <v>1</v>
      </c>
      <c r="D1370" t="s">
        <v>10</v>
      </c>
      <c r="E1370" t="s">
        <v>11</v>
      </c>
      <c r="F1370">
        <v>332470</v>
      </c>
      <c r="G1370">
        <v>-191227</v>
      </c>
      <c r="H1370">
        <v>72790</v>
      </c>
      <c r="I1370">
        <v>332470</v>
      </c>
      <c r="J1370">
        <v>33247</v>
      </c>
      <c r="K1370">
        <v>16623</v>
      </c>
      <c r="L1370">
        <v>192186</v>
      </c>
      <c r="M1370">
        <v>38437</v>
      </c>
      <c r="N1370">
        <v>57655</v>
      </c>
      <c r="O1370">
        <v>19218</v>
      </c>
      <c r="P1370">
        <v>-76874</v>
      </c>
      <c r="Q1370">
        <v>-48046</v>
      </c>
      <c r="R1370">
        <v>200310</v>
      </c>
      <c r="S1370">
        <v>60093</v>
      </c>
      <c r="T1370">
        <v>20031</v>
      </c>
      <c r="U1370">
        <v>9609</v>
      </c>
      <c r="V1370">
        <v>5765</v>
      </c>
      <c r="W1370">
        <v>3843</v>
      </c>
      <c r="X1370">
        <v>19218</v>
      </c>
      <c r="Y1370">
        <v>9609</v>
      </c>
      <c r="Z1370">
        <v>10015</v>
      </c>
      <c r="AA1370">
        <v>6009</v>
      </c>
      <c r="AB1370">
        <v>4006</v>
      </c>
    </row>
    <row r="1371" spans="1:28" x14ac:dyDescent="0.35">
      <c r="A1371" t="s">
        <v>1416</v>
      </c>
      <c r="B1371" t="s">
        <v>9</v>
      </c>
      <c r="C1371" t="s">
        <v>1</v>
      </c>
      <c r="D1371" t="s">
        <v>10</v>
      </c>
      <c r="E1371" t="s">
        <v>11</v>
      </c>
      <c r="F1371">
        <v>223535</v>
      </c>
      <c r="G1371">
        <v>-74038</v>
      </c>
      <c r="H1371">
        <v>79535</v>
      </c>
      <c r="I1371">
        <v>223535</v>
      </c>
      <c r="J1371">
        <v>22353</v>
      </c>
      <c r="K1371">
        <v>11176</v>
      </c>
      <c r="L1371">
        <v>152062</v>
      </c>
      <c r="M1371">
        <v>30412</v>
      </c>
      <c r="N1371">
        <v>45618</v>
      </c>
      <c r="O1371">
        <v>15206</v>
      </c>
      <c r="P1371">
        <v>-60824</v>
      </c>
      <c r="Q1371">
        <v>-38015</v>
      </c>
      <c r="R1371">
        <v>126588</v>
      </c>
      <c r="S1371">
        <v>37976</v>
      </c>
      <c r="T1371">
        <v>12658</v>
      </c>
      <c r="U1371">
        <v>7603</v>
      </c>
      <c r="V1371">
        <v>4561</v>
      </c>
      <c r="W1371">
        <v>3041</v>
      </c>
      <c r="X1371">
        <v>15206</v>
      </c>
      <c r="Y1371">
        <v>7603</v>
      </c>
      <c r="Z1371">
        <v>6329</v>
      </c>
      <c r="AA1371">
        <v>3797</v>
      </c>
      <c r="AB1371">
        <v>2531</v>
      </c>
    </row>
    <row r="1372" spans="1:28" x14ac:dyDescent="0.35">
      <c r="A1372" t="s">
        <v>1417</v>
      </c>
      <c r="B1372" t="s">
        <v>9</v>
      </c>
      <c r="C1372" t="s">
        <v>1</v>
      </c>
      <c r="D1372" t="s">
        <v>10</v>
      </c>
      <c r="E1372" t="s">
        <v>11</v>
      </c>
      <c r="F1372">
        <v>153683</v>
      </c>
      <c r="G1372">
        <v>-68929</v>
      </c>
      <c r="H1372">
        <v>73197</v>
      </c>
      <c r="I1372">
        <v>153683</v>
      </c>
      <c r="J1372">
        <v>15368</v>
      </c>
      <c r="K1372">
        <v>7684</v>
      </c>
      <c r="L1372">
        <v>102970</v>
      </c>
      <c r="M1372">
        <v>20594</v>
      </c>
      <c r="N1372">
        <v>30891</v>
      </c>
      <c r="O1372">
        <v>10297</v>
      </c>
      <c r="P1372">
        <v>-41188</v>
      </c>
      <c r="Q1372">
        <v>-25742</v>
      </c>
      <c r="R1372">
        <v>122085</v>
      </c>
      <c r="S1372">
        <v>36625</v>
      </c>
      <c r="T1372">
        <v>12208</v>
      </c>
      <c r="U1372">
        <v>5148</v>
      </c>
      <c r="V1372">
        <v>3089</v>
      </c>
      <c r="W1372">
        <v>2059</v>
      </c>
      <c r="X1372">
        <v>10297</v>
      </c>
      <c r="Y1372">
        <v>5148</v>
      </c>
      <c r="Z1372">
        <v>6104</v>
      </c>
      <c r="AA1372">
        <v>3662</v>
      </c>
      <c r="AB1372">
        <v>2441</v>
      </c>
    </row>
    <row r="1373" spans="1:28" x14ac:dyDescent="0.35">
      <c r="A1373" t="s">
        <v>1418</v>
      </c>
      <c r="B1373" t="s">
        <v>9</v>
      </c>
      <c r="C1373" t="s">
        <v>1</v>
      </c>
      <c r="D1373" t="s">
        <v>10</v>
      </c>
      <c r="E1373" t="s">
        <v>11</v>
      </c>
      <c r="F1373">
        <v>462182</v>
      </c>
      <c r="G1373">
        <v>-270987</v>
      </c>
      <c r="H1373">
        <v>188888</v>
      </c>
      <c r="I1373">
        <v>462182</v>
      </c>
      <c r="J1373">
        <v>46218</v>
      </c>
      <c r="K1373">
        <v>23109</v>
      </c>
      <c r="L1373">
        <v>282217</v>
      </c>
      <c r="M1373">
        <v>56443</v>
      </c>
      <c r="N1373">
        <v>84665</v>
      </c>
      <c r="O1373">
        <v>28221</v>
      </c>
      <c r="P1373">
        <v>-112886</v>
      </c>
      <c r="Q1373">
        <v>-70554</v>
      </c>
      <c r="R1373">
        <v>329857</v>
      </c>
      <c r="S1373">
        <v>98957</v>
      </c>
      <c r="T1373">
        <v>32985</v>
      </c>
      <c r="U1373">
        <v>14110</v>
      </c>
      <c r="V1373">
        <v>8466</v>
      </c>
      <c r="W1373">
        <v>5644</v>
      </c>
      <c r="X1373">
        <v>28221</v>
      </c>
      <c r="Y1373">
        <v>14110</v>
      </c>
      <c r="Z1373">
        <v>16492</v>
      </c>
      <c r="AA1373">
        <v>9895</v>
      </c>
      <c r="AB1373">
        <v>6597</v>
      </c>
    </row>
    <row r="1374" spans="1:28" x14ac:dyDescent="0.35">
      <c r="A1374" t="s">
        <v>1419</v>
      </c>
      <c r="B1374" t="s">
        <v>9</v>
      </c>
      <c r="C1374" t="s">
        <v>1</v>
      </c>
      <c r="D1374" t="s">
        <v>10</v>
      </c>
      <c r="E1374" t="s">
        <v>11</v>
      </c>
      <c r="F1374">
        <v>460227</v>
      </c>
      <c r="G1374">
        <v>-159127</v>
      </c>
      <c r="H1374">
        <v>129204</v>
      </c>
      <c r="I1374">
        <v>460227</v>
      </c>
      <c r="J1374">
        <v>46022</v>
      </c>
      <c r="K1374">
        <v>23011</v>
      </c>
      <c r="L1374">
        <v>112629</v>
      </c>
      <c r="M1374">
        <v>22525</v>
      </c>
      <c r="N1374">
        <v>33788</v>
      </c>
      <c r="O1374">
        <v>11262</v>
      </c>
      <c r="P1374">
        <v>-45051</v>
      </c>
      <c r="Q1374">
        <v>-28157</v>
      </c>
      <c r="R1374">
        <v>99748</v>
      </c>
      <c r="S1374">
        <v>29924</v>
      </c>
      <c r="T1374">
        <v>9974</v>
      </c>
      <c r="U1374">
        <v>5631</v>
      </c>
      <c r="V1374">
        <v>3378</v>
      </c>
      <c r="W1374">
        <v>2252</v>
      </c>
      <c r="X1374">
        <v>11262</v>
      </c>
      <c r="Y1374">
        <v>5631</v>
      </c>
      <c r="Z1374">
        <v>4987</v>
      </c>
      <c r="AA1374">
        <v>2992</v>
      </c>
      <c r="AB1374">
        <v>1994</v>
      </c>
    </row>
    <row r="1375" spans="1:28" x14ac:dyDescent="0.35">
      <c r="A1375" t="s">
        <v>1420</v>
      </c>
      <c r="B1375" t="s">
        <v>9</v>
      </c>
      <c r="C1375" t="s">
        <v>1</v>
      </c>
      <c r="D1375" t="s">
        <v>10</v>
      </c>
      <c r="E1375" t="s">
        <v>11</v>
      </c>
      <c r="F1375">
        <v>486594</v>
      </c>
      <c r="G1375">
        <v>-103030</v>
      </c>
      <c r="H1375">
        <v>113223</v>
      </c>
      <c r="I1375">
        <v>486594</v>
      </c>
      <c r="J1375">
        <v>48659</v>
      </c>
      <c r="K1375">
        <v>24329</v>
      </c>
      <c r="L1375">
        <v>289600</v>
      </c>
      <c r="M1375">
        <v>57920</v>
      </c>
      <c r="N1375">
        <v>86880</v>
      </c>
      <c r="O1375">
        <v>28960</v>
      </c>
      <c r="P1375">
        <v>-115840</v>
      </c>
      <c r="Q1375">
        <v>-72400</v>
      </c>
      <c r="R1375">
        <v>252756</v>
      </c>
      <c r="S1375">
        <v>75826</v>
      </c>
      <c r="T1375">
        <v>25275</v>
      </c>
      <c r="U1375">
        <v>14480</v>
      </c>
      <c r="V1375">
        <v>8688</v>
      </c>
      <c r="W1375">
        <v>5792</v>
      </c>
      <c r="X1375">
        <v>28960</v>
      </c>
      <c r="Y1375">
        <v>14480</v>
      </c>
      <c r="Z1375">
        <v>12637</v>
      </c>
      <c r="AA1375">
        <v>7582</v>
      </c>
      <c r="AB1375">
        <v>5055</v>
      </c>
    </row>
    <row r="1376" spans="1:28" x14ac:dyDescent="0.35">
      <c r="A1376" t="s">
        <v>1421</v>
      </c>
      <c r="B1376" t="s">
        <v>9</v>
      </c>
      <c r="C1376" t="s">
        <v>1</v>
      </c>
      <c r="D1376" t="s">
        <v>10</v>
      </c>
      <c r="E1376" t="s">
        <v>11</v>
      </c>
      <c r="F1376">
        <v>491274</v>
      </c>
      <c r="G1376">
        <v>-140710</v>
      </c>
      <c r="H1376">
        <v>84214</v>
      </c>
      <c r="I1376">
        <v>491274</v>
      </c>
      <c r="J1376">
        <v>49127</v>
      </c>
      <c r="K1376">
        <v>24563</v>
      </c>
      <c r="L1376">
        <v>184270</v>
      </c>
      <c r="M1376">
        <v>36854</v>
      </c>
      <c r="N1376">
        <v>55281</v>
      </c>
      <c r="O1376">
        <v>18427</v>
      </c>
      <c r="P1376">
        <v>-73708</v>
      </c>
      <c r="Q1376">
        <v>-46067</v>
      </c>
      <c r="R1376">
        <v>176220</v>
      </c>
      <c r="S1376">
        <v>52866</v>
      </c>
      <c r="T1376">
        <v>17622</v>
      </c>
      <c r="U1376">
        <v>9213</v>
      </c>
      <c r="V1376">
        <v>5528</v>
      </c>
      <c r="W1376">
        <v>3685</v>
      </c>
      <c r="X1376">
        <v>18427</v>
      </c>
      <c r="Y1376">
        <v>9213</v>
      </c>
      <c r="Z1376">
        <v>8811</v>
      </c>
      <c r="AA1376">
        <v>5286</v>
      </c>
      <c r="AB1376">
        <v>3524</v>
      </c>
    </row>
    <row r="1377" spans="1:28" x14ac:dyDescent="0.35">
      <c r="A1377" t="s">
        <v>1422</v>
      </c>
      <c r="B1377" t="s">
        <v>9</v>
      </c>
      <c r="C1377" t="s">
        <v>1</v>
      </c>
      <c r="D1377" t="s">
        <v>10</v>
      </c>
      <c r="E1377" t="s">
        <v>11</v>
      </c>
      <c r="F1377">
        <v>359371</v>
      </c>
      <c r="G1377">
        <v>-144103</v>
      </c>
      <c r="H1377">
        <v>92093</v>
      </c>
      <c r="I1377">
        <v>359371</v>
      </c>
      <c r="J1377">
        <v>35937</v>
      </c>
      <c r="K1377">
        <v>17968</v>
      </c>
      <c r="L1377">
        <v>181904</v>
      </c>
      <c r="M1377">
        <v>36380</v>
      </c>
      <c r="N1377">
        <v>54571</v>
      </c>
      <c r="O1377">
        <v>18190</v>
      </c>
      <c r="P1377">
        <v>-72761</v>
      </c>
      <c r="Q1377">
        <v>-45476</v>
      </c>
      <c r="R1377">
        <v>174971</v>
      </c>
      <c r="S1377">
        <v>52491</v>
      </c>
      <c r="T1377">
        <v>17497</v>
      </c>
      <c r="U1377">
        <v>9095</v>
      </c>
      <c r="V1377">
        <v>5457</v>
      </c>
      <c r="W1377">
        <v>3638</v>
      </c>
      <c r="X1377">
        <v>18190</v>
      </c>
      <c r="Y1377">
        <v>9095</v>
      </c>
      <c r="Z1377">
        <v>8748</v>
      </c>
      <c r="AA1377">
        <v>5249</v>
      </c>
      <c r="AB1377">
        <v>3499</v>
      </c>
    </row>
    <row r="1378" spans="1:28" x14ac:dyDescent="0.35">
      <c r="A1378" t="s">
        <v>1423</v>
      </c>
      <c r="B1378" t="s">
        <v>9</v>
      </c>
      <c r="C1378" t="s">
        <v>1</v>
      </c>
      <c r="D1378" t="s">
        <v>10</v>
      </c>
      <c r="E1378" t="s">
        <v>11</v>
      </c>
      <c r="F1378">
        <v>487624</v>
      </c>
      <c r="G1378">
        <v>-208872</v>
      </c>
      <c r="H1378">
        <v>222518</v>
      </c>
      <c r="I1378">
        <v>487624</v>
      </c>
      <c r="J1378">
        <v>48762</v>
      </c>
      <c r="K1378">
        <v>24381</v>
      </c>
      <c r="L1378">
        <v>171479</v>
      </c>
      <c r="M1378">
        <v>34295</v>
      </c>
      <c r="N1378">
        <v>51443</v>
      </c>
      <c r="O1378">
        <v>17147</v>
      </c>
      <c r="P1378">
        <v>-68591</v>
      </c>
      <c r="Q1378">
        <v>-42869</v>
      </c>
      <c r="R1378">
        <v>181993</v>
      </c>
      <c r="S1378">
        <v>54597</v>
      </c>
      <c r="T1378">
        <v>18199</v>
      </c>
      <c r="U1378">
        <v>8573</v>
      </c>
      <c r="V1378">
        <v>5144</v>
      </c>
      <c r="W1378">
        <v>3429</v>
      </c>
      <c r="X1378">
        <v>17147</v>
      </c>
      <c r="Y1378">
        <v>8573</v>
      </c>
      <c r="Z1378">
        <v>9099</v>
      </c>
      <c r="AA1378">
        <v>5459</v>
      </c>
      <c r="AB1378">
        <v>3639</v>
      </c>
    </row>
    <row r="1379" spans="1:28" x14ac:dyDescent="0.35">
      <c r="A1379" t="s">
        <v>1424</v>
      </c>
      <c r="B1379" t="s">
        <v>9</v>
      </c>
      <c r="C1379" t="s">
        <v>1</v>
      </c>
      <c r="D1379" t="s">
        <v>10</v>
      </c>
      <c r="E1379" t="s">
        <v>11</v>
      </c>
      <c r="F1379">
        <v>422417</v>
      </c>
      <c r="G1379">
        <v>-198278</v>
      </c>
      <c r="H1379">
        <v>172444</v>
      </c>
      <c r="I1379">
        <v>422417</v>
      </c>
      <c r="J1379">
        <v>42241</v>
      </c>
      <c r="K1379">
        <v>21120</v>
      </c>
      <c r="L1379">
        <v>220594</v>
      </c>
      <c r="M1379">
        <v>44118</v>
      </c>
      <c r="N1379">
        <v>66178</v>
      </c>
      <c r="O1379">
        <v>22059</v>
      </c>
      <c r="P1379">
        <v>-88237</v>
      </c>
      <c r="Q1379">
        <v>-55148</v>
      </c>
      <c r="R1379">
        <v>247170</v>
      </c>
      <c r="S1379">
        <v>74151</v>
      </c>
      <c r="T1379">
        <v>24717</v>
      </c>
      <c r="U1379">
        <v>11029</v>
      </c>
      <c r="V1379">
        <v>6617</v>
      </c>
      <c r="W1379">
        <v>4411</v>
      </c>
      <c r="X1379">
        <v>22059</v>
      </c>
      <c r="Y1379">
        <v>11029</v>
      </c>
      <c r="Z1379">
        <v>12358</v>
      </c>
      <c r="AA1379">
        <v>7415</v>
      </c>
      <c r="AB1379">
        <v>4943</v>
      </c>
    </row>
    <row r="1380" spans="1:28" x14ac:dyDescent="0.35">
      <c r="A1380" t="s">
        <v>1425</v>
      </c>
      <c r="B1380" t="s">
        <v>9</v>
      </c>
      <c r="C1380" t="s">
        <v>1</v>
      </c>
      <c r="D1380" t="s">
        <v>10</v>
      </c>
      <c r="E1380" t="s">
        <v>11</v>
      </c>
      <c r="F1380">
        <v>187073</v>
      </c>
      <c r="G1380">
        <v>-96659</v>
      </c>
      <c r="H1380">
        <v>45573</v>
      </c>
      <c r="I1380">
        <v>187073</v>
      </c>
      <c r="J1380">
        <v>18707</v>
      </c>
      <c r="K1380">
        <v>9353</v>
      </c>
      <c r="L1380">
        <v>104823</v>
      </c>
      <c r="M1380">
        <v>20964</v>
      </c>
      <c r="N1380">
        <v>31446</v>
      </c>
      <c r="O1380">
        <v>10482</v>
      </c>
      <c r="P1380">
        <v>-41929</v>
      </c>
      <c r="Q1380">
        <v>-26205</v>
      </c>
      <c r="R1380">
        <v>102097</v>
      </c>
      <c r="S1380">
        <v>30629</v>
      </c>
      <c r="T1380">
        <v>10209</v>
      </c>
      <c r="U1380">
        <v>5241</v>
      </c>
      <c r="V1380">
        <v>3144</v>
      </c>
      <c r="W1380">
        <v>2096</v>
      </c>
      <c r="X1380">
        <v>10482</v>
      </c>
      <c r="Y1380">
        <v>5241</v>
      </c>
      <c r="Z1380">
        <v>5104</v>
      </c>
      <c r="AA1380">
        <v>3062</v>
      </c>
      <c r="AB1380">
        <v>2041</v>
      </c>
    </row>
    <row r="1381" spans="1:28" x14ac:dyDescent="0.35">
      <c r="A1381" t="s">
        <v>1426</v>
      </c>
      <c r="B1381" t="s">
        <v>9</v>
      </c>
      <c r="C1381" t="s">
        <v>1</v>
      </c>
      <c r="D1381" t="s">
        <v>10</v>
      </c>
      <c r="E1381" t="s">
        <v>11</v>
      </c>
      <c r="F1381">
        <v>137987</v>
      </c>
      <c r="G1381">
        <v>-36616</v>
      </c>
      <c r="H1381">
        <v>42416</v>
      </c>
      <c r="I1381">
        <v>137987</v>
      </c>
      <c r="J1381">
        <v>13798</v>
      </c>
      <c r="K1381">
        <v>6899</v>
      </c>
      <c r="L1381">
        <v>31482</v>
      </c>
      <c r="M1381">
        <v>6296</v>
      </c>
      <c r="N1381">
        <v>9444</v>
      </c>
      <c r="O1381">
        <v>3148</v>
      </c>
      <c r="P1381">
        <v>-12592</v>
      </c>
      <c r="Q1381">
        <v>-7870</v>
      </c>
      <c r="R1381">
        <v>29021</v>
      </c>
      <c r="S1381">
        <v>8706</v>
      </c>
      <c r="T1381">
        <v>2902</v>
      </c>
      <c r="U1381">
        <v>1574</v>
      </c>
      <c r="V1381">
        <v>944</v>
      </c>
      <c r="W1381">
        <v>629</v>
      </c>
      <c r="X1381">
        <v>3148</v>
      </c>
      <c r="Y1381">
        <v>1574</v>
      </c>
      <c r="Z1381">
        <v>1451</v>
      </c>
      <c r="AA1381">
        <v>870</v>
      </c>
      <c r="AB1381">
        <v>580</v>
      </c>
    </row>
    <row r="1382" spans="1:28" x14ac:dyDescent="0.35">
      <c r="A1382" t="s">
        <v>1427</v>
      </c>
      <c r="B1382" t="s">
        <v>9</v>
      </c>
      <c r="C1382" t="s">
        <v>1</v>
      </c>
      <c r="D1382" t="s">
        <v>10</v>
      </c>
      <c r="E1382" t="s">
        <v>11</v>
      </c>
      <c r="F1382">
        <v>330000</v>
      </c>
      <c r="G1382">
        <v>-99046</v>
      </c>
      <c r="H1382">
        <v>105154</v>
      </c>
      <c r="I1382">
        <v>330000</v>
      </c>
      <c r="J1382">
        <v>33000</v>
      </c>
      <c r="K1382">
        <v>16500</v>
      </c>
      <c r="L1382">
        <v>90253</v>
      </c>
      <c r="M1382">
        <v>18050</v>
      </c>
      <c r="N1382">
        <v>27075</v>
      </c>
      <c r="O1382">
        <v>9025</v>
      </c>
      <c r="P1382">
        <v>-36101</v>
      </c>
      <c r="Q1382">
        <v>-22563</v>
      </c>
      <c r="R1382">
        <v>82607</v>
      </c>
      <c r="S1382">
        <v>24782</v>
      </c>
      <c r="T1382">
        <v>8260</v>
      </c>
      <c r="U1382">
        <v>4512</v>
      </c>
      <c r="V1382">
        <v>2707</v>
      </c>
      <c r="W1382">
        <v>1805</v>
      </c>
      <c r="X1382">
        <v>9025</v>
      </c>
      <c r="Y1382">
        <v>4512</v>
      </c>
      <c r="Z1382">
        <v>4130</v>
      </c>
      <c r="AA1382">
        <v>2478</v>
      </c>
      <c r="AB1382">
        <v>1652</v>
      </c>
    </row>
    <row r="1383" spans="1:28" x14ac:dyDescent="0.35">
      <c r="A1383" t="s">
        <v>1428</v>
      </c>
      <c r="B1383" t="s">
        <v>9</v>
      </c>
      <c r="C1383" t="s">
        <v>1</v>
      </c>
      <c r="D1383" t="s">
        <v>10</v>
      </c>
      <c r="E1383" t="s">
        <v>11</v>
      </c>
      <c r="F1383">
        <v>136827</v>
      </c>
      <c r="G1383">
        <v>-39936</v>
      </c>
      <c r="H1383">
        <v>45886</v>
      </c>
      <c r="I1383">
        <v>136827</v>
      </c>
      <c r="J1383">
        <v>13682</v>
      </c>
      <c r="K1383">
        <v>6841</v>
      </c>
      <c r="L1383">
        <v>77960</v>
      </c>
      <c r="M1383">
        <v>15592</v>
      </c>
      <c r="N1383">
        <v>23388</v>
      </c>
      <c r="O1383">
        <v>7796</v>
      </c>
      <c r="P1383">
        <v>-31184</v>
      </c>
      <c r="Q1383">
        <v>-19490</v>
      </c>
      <c r="R1383">
        <v>92192</v>
      </c>
      <c r="S1383">
        <v>27657</v>
      </c>
      <c r="T1383">
        <v>9219</v>
      </c>
      <c r="U1383">
        <v>3898</v>
      </c>
      <c r="V1383">
        <v>2338</v>
      </c>
      <c r="W1383">
        <v>1559</v>
      </c>
      <c r="X1383">
        <v>7796</v>
      </c>
      <c r="Y1383">
        <v>3898</v>
      </c>
      <c r="Z1383">
        <v>4609</v>
      </c>
      <c r="AA1383">
        <v>2765</v>
      </c>
      <c r="AB1383">
        <v>1843</v>
      </c>
    </row>
    <row r="1384" spans="1:28" x14ac:dyDescent="0.35">
      <c r="A1384" t="s">
        <v>1429</v>
      </c>
      <c r="B1384" t="s">
        <v>9</v>
      </c>
      <c r="C1384" t="s">
        <v>1</v>
      </c>
      <c r="D1384" t="s">
        <v>10</v>
      </c>
      <c r="E1384" t="s">
        <v>11</v>
      </c>
      <c r="F1384">
        <v>351576</v>
      </c>
      <c r="G1384">
        <v>-107170</v>
      </c>
      <c r="H1384">
        <v>63353</v>
      </c>
      <c r="I1384">
        <v>351576</v>
      </c>
      <c r="J1384">
        <v>35157</v>
      </c>
      <c r="K1384">
        <v>17578</v>
      </c>
      <c r="L1384">
        <v>161020</v>
      </c>
      <c r="M1384">
        <v>32204</v>
      </c>
      <c r="N1384">
        <v>48306</v>
      </c>
      <c r="O1384">
        <v>16102</v>
      </c>
      <c r="P1384">
        <v>-64408</v>
      </c>
      <c r="Q1384">
        <v>-40255</v>
      </c>
      <c r="R1384">
        <v>192096</v>
      </c>
      <c r="S1384">
        <v>57628</v>
      </c>
      <c r="T1384">
        <v>19209</v>
      </c>
      <c r="U1384">
        <v>8051</v>
      </c>
      <c r="V1384">
        <v>4830</v>
      </c>
      <c r="W1384">
        <v>3220</v>
      </c>
      <c r="X1384">
        <v>16102</v>
      </c>
      <c r="Y1384">
        <v>8051</v>
      </c>
      <c r="Z1384">
        <v>9604</v>
      </c>
      <c r="AA1384">
        <v>5762</v>
      </c>
      <c r="AB1384">
        <v>3841</v>
      </c>
    </row>
    <row r="1385" spans="1:28" x14ac:dyDescent="0.35">
      <c r="A1385" t="s">
        <v>1430</v>
      </c>
      <c r="B1385" t="s">
        <v>9</v>
      </c>
      <c r="C1385" t="s">
        <v>1</v>
      </c>
      <c r="D1385" t="s">
        <v>10</v>
      </c>
      <c r="E1385" t="s">
        <v>11</v>
      </c>
      <c r="F1385">
        <v>72102</v>
      </c>
      <c r="G1385">
        <v>-32376</v>
      </c>
      <c r="H1385">
        <v>9741</v>
      </c>
      <c r="I1385">
        <v>72102</v>
      </c>
      <c r="J1385">
        <v>7210</v>
      </c>
      <c r="K1385">
        <v>3605</v>
      </c>
      <c r="L1385">
        <v>45628</v>
      </c>
      <c r="M1385">
        <v>9125</v>
      </c>
      <c r="N1385">
        <v>13688</v>
      </c>
      <c r="O1385">
        <v>4562</v>
      </c>
      <c r="P1385">
        <v>-18251</v>
      </c>
      <c r="Q1385">
        <v>-11407</v>
      </c>
      <c r="R1385">
        <v>47794</v>
      </c>
      <c r="S1385">
        <v>14338</v>
      </c>
      <c r="T1385">
        <v>4779</v>
      </c>
      <c r="U1385">
        <v>2281</v>
      </c>
      <c r="V1385">
        <v>1368</v>
      </c>
      <c r="W1385">
        <v>912</v>
      </c>
      <c r="X1385">
        <v>4562</v>
      </c>
      <c r="Y1385">
        <v>2281</v>
      </c>
      <c r="Z1385">
        <v>2389</v>
      </c>
      <c r="AA1385">
        <v>1433</v>
      </c>
      <c r="AB1385">
        <v>955</v>
      </c>
    </row>
    <row r="1386" spans="1:28" x14ac:dyDescent="0.35">
      <c r="A1386" t="s">
        <v>1431</v>
      </c>
      <c r="B1386" t="s">
        <v>9</v>
      </c>
      <c r="C1386" t="s">
        <v>1</v>
      </c>
      <c r="D1386" t="s">
        <v>10</v>
      </c>
      <c r="E1386" t="s">
        <v>11</v>
      </c>
      <c r="F1386">
        <v>203766</v>
      </c>
      <c r="G1386">
        <v>-46652</v>
      </c>
      <c r="H1386">
        <v>101030</v>
      </c>
      <c r="I1386">
        <v>203766</v>
      </c>
      <c r="J1386">
        <v>20376</v>
      </c>
      <c r="K1386">
        <v>10188</v>
      </c>
      <c r="L1386">
        <v>111293</v>
      </c>
      <c r="M1386">
        <v>22258</v>
      </c>
      <c r="N1386">
        <v>33387</v>
      </c>
      <c r="O1386">
        <v>11129</v>
      </c>
      <c r="P1386">
        <v>-44517</v>
      </c>
      <c r="Q1386">
        <v>-27823</v>
      </c>
      <c r="R1386">
        <v>96164</v>
      </c>
      <c r="S1386">
        <v>28849</v>
      </c>
      <c r="T1386">
        <v>9616</v>
      </c>
      <c r="U1386">
        <v>5564</v>
      </c>
      <c r="V1386">
        <v>3338</v>
      </c>
      <c r="W1386">
        <v>2225</v>
      </c>
      <c r="X1386">
        <v>11129</v>
      </c>
      <c r="Y1386">
        <v>5564</v>
      </c>
      <c r="Z1386">
        <v>4808</v>
      </c>
      <c r="AA1386">
        <v>2884</v>
      </c>
      <c r="AB1386">
        <v>1923</v>
      </c>
    </row>
    <row r="1387" spans="1:28" x14ac:dyDescent="0.35">
      <c r="A1387" t="s">
        <v>1432</v>
      </c>
      <c r="B1387" t="s">
        <v>9</v>
      </c>
      <c r="C1387" t="s">
        <v>1</v>
      </c>
      <c r="D1387" t="s">
        <v>10</v>
      </c>
      <c r="E1387" t="s">
        <v>11</v>
      </c>
      <c r="F1387">
        <v>348646</v>
      </c>
      <c r="G1387">
        <v>-199829</v>
      </c>
      <c r="H1387">
        <v>47127</v>
      </c>
      <c r="I1387">
        <v>348646</v>
      </c>
      <c r="J1387">
        <v>34864</v>
      </c>
      <c r="K1387">
        <v>17432</v>
      </c>
      <c r="L1387">
        <v>92889</v>
      </c>
      <c r="M1387">
        <v>18577</v>
      </c>
      <c r="N1387">
        <v>27866</v>
      </c>
      <c r="O1387">
        <v>9288</v>
      </c>
      <c r="P1387">
        <v>-37155</v>
      </c>
      <c r="Q1387">
        <v>-23222</v>
      </c>
      <c r="R1387">
        <v>74822</v>
      </c>
      <c r="S1387">
        <v>22446</v>
      </c>
      <c r="T1387">
        <v>7482</v>
      </c>
      <c r="U1387">
        <v>4644</v>
      </c>
      <c r="V1387">
        <v>2786</v>
      </c>
      <c r="W1387">
        <v>1857</v>
      </c>
      <c r="X1387">
        <v>9288</v>
      </c>
      <c r="Y1387">
        <v>4644</v>
      </c>
      <c r="Z1387">
        <v>3741</v>
      </c>
      <c r="AA1387">
        <v>2244</v>
      </c>
      <c r="AB1387">
        <v>1496</v>
      </c>
    </row>
    <row r="1388" spans="1:28" x14ac:dyDescent="0.35">
      <c r="A1388" t="s">
        <v>1433</v>
      </c>
      <c r="B1388" t="s">
        <v>9</v>
      </c>
      <c r="C1388" t="s">
        <v>1</v>
      </c>
      <c r="D1388" t="s">
        <v>10</v>
      </c>
      <c r="E1388" t="s">
        <v>11</v>
      </c>
      <c r="F1388">
        <v>216385</v>
      </c>
      <c r="G1388">
        <v>-73065</v>
      </c>
      <c r="H1388">
        <v>64329</v>
      </c>
      <c r="I1388">
        <v>216385</v>
      </c>
      <c r="J1388">
        <v>21638</v>
      </c>
      <c r="K1388">
        <v>10819</v>
      </c>
      <c r="L1388">
        <v>157141</v>
      </c>
      <c r="M1388">
        <v>31428</v>
      </c>
      <c r="N1388">
        <v>47142</v>
      </c>
      <c r="O1388">
        <v>15714</v>
      </c>
      <c r="P1388">
        <v>-62856</v>
      </c>
      <c r="Q1388">
        <v>-39285</v>
      </c>
      <c r="R1388">
        <v>139942</v>
      </c>
      <c r="S1388">
        <v>41982</v>
      </c>
      <c r="T1388">
        <v>13994</v>
      </c>
      <c r="U1388">
        <v>7857</v>
      </c>
      <c r="V1388">
        <v>4714</v>
      </c>
      <c r="W1388">
        <v>3142</v>
      </c>
      <c r="X1388">
        <v>15714</v>
      </c>
      <c r="Y1388">
        <v>7857</v>
      </c>
      <c r="Z1388">
        <v>6997</v>
      </c>
      <c r="AA1388">
        <v>4198</v>
      </c>
      <c r="AB1388">
        <v>2798</v>
      </c>
    </row>
    <row r="1389" spans="1:28" x14ac:dyDescent="0.35">
      <c r="A1389" t="s">
        <v>1434</v>
      </c>
      <c r="B1389" t="s">
        <v>9</v>
      </c>
      <c r="C1389" t="s">
        <v>1</v>
      </c>
      <c r="D1389" t="s">
        <v>10</v>
      </c>
      <c r="E1389" t="s">
        <v>11</v>
      </c>
      <c r="F1389">
        <v>123773</v>
      </c>
      <c r="G1389">
        <v>-60040</v>
      </c>
      <c r="H1389">
        <v>27421</v>
      </c>
      <c r="I1389">
        <v>123773</v>
      </c>
      <c r="J1389">
        <v>12377</v>
      </c>
      <c r="K1389">
        <v>6188</v>
      </c>
      <c r="L1389">
        <v>57740</v>
      </c>
      <c r="M1389">
        <v>11548</v>
      </c>
      <c r="N1389">
        <v>17322</v>
      </c>
      <c r="O1389">
        <v>5774</v>
      </c>
      <c r="P1389">
        <v>-23096</v>
      </c>
      <c r="Q1389">
        <v>-14435</v>
      </c>
      <c r="R1389">
        <v>47882</v>
      </c>
      <c r="S1389">
        <v>14364</v>
      </c>
      <c r="T1389">
        <v>4788</v>
      </c>
      <c r="U1389">
        <v>2887</v>
      </c>
      <c r="V1389">
        <v>1732</v>
      </c>
      <c r="W1389">
        <v>1154</v>
      </c>
      <c r="X1389">
        <v>5774</v>
      </c>
      <c r="Y1389">
        <v>2887</v>
      </c>
      <c r="Z1389">
        <v>2394</v>
      </c>
      <c r="AA1389">
        <v>1436</v>
      </c>
      <c r="AB1389">
        <v>957</v>
      </c>
    </row>
    <row r="1390" spans="1:28" x14ac:dyDescent="0.35">
      <c r="A1390" t="s">
        <v>1435</v>
      </c>
      <c r="B1390" t="s">
        <v>9</v>
      </c>
      <c r="C1390" t="s">
        <v>1</v>
      </c>
      <c r="D1390" t="s">
        <v>10</v>
      </c>
      <c r="E1390" t="s">
        <v>11</v>
      </c>
      <c r="F1390">
        <v>183196</v>
      </c>
      <c r="G1390">
        <v>-66963</v>
      </c>
      <c r="H1390">
        <v>36208</v>
      </c>
      <c r="I1390">
        <v>183196</v>
      </c>
      <c r="J1390">
        <v>18319</v>
      </c>
      <c r="K1390">
        <v>9159</v>
      </c>
      <c r="L1390">
        <v>91420</v>
      </c>
      <c r="M1390">
        <v>18284</v>
      </c>
      <c r="N1390">
        <v>27426</v>
      </c>
      <c r="O1390">
        <v>9142</v>
      </c>
      <c r="P1390">
        <v>-36568</v>
      </c>
      <c r="Q1390">
        <v>-22855</v>
      </c>
      <c r="R1390">
        <v>107753</v>
      </c>
      <c r="S1390">
        <v>32325</v>
      </c>
      <c r="T1390">
        <v>10775</v>
      </c>
      <c r="U1390">
        <v>4571</v>
      </c>
      <c r="V1390">
        <v>2742</v>
      </c>
      <c r="W1390">
        <v>1828</v>
      </c>
      <c r="X1390">
        <v>9142</v>
      </c>
      <c r="Y1390">
        <v>4571</v>
      </c>
      <c r="Z1390">
        <v>5387</v>
      </c>
      <c r="AA1390">
        <v>3232</v>
      </c>
      <c r="AB1390">
        <v>2155</v>
      </c>
    </row>
    <row r="1391" spans="1:28" x14ac:dyDescent="0.35">
      <c r="A1391" t="s">
        <v>1436</v>
      </c>
      <c r="B1391" t="s">
        <v>9</v>
      </c>
      <c r="C1391" t="s">
        <v>1</v>
      </c>
      <c r="D1391" t="s">
        <v>10</v>
      </c>
      <c r="E1391" t="s">
        <v>11</v>
      </c>
      <c r="F1391">
        <v>320860</v>
      </c>
      <c r="G1391">
        <v>-189165</v>
      </c>
      <c r="H1391">
        <v>98151</v>
      </c>
      <c r="I1391">
        <v>320860</v>
      </c>
      <c r="J1391">
        <v>32086</v>
      </c>
      <c r="K1391">
        <v>16043</v>
      </c>
      <c r="L1391">
        <v>220509</v>
      </c>
      <c r="M1391">
        <v>44101</v>
      </c>
      <c r="N1391">
        <v>66152</v>
      </c>
      <c r="O1391">
        <v>22050</v>
      </c>
      <c r="P1391">
        <v>-88203</v>
      </c>
      <c r="Q1391">
        <v>-55127</v>
      </c>
      <c r="R1391">
        <v>223072</v>
      </c>
      <c r="S1391">
        <v>66921</v>
      </c>
      <c r="T1391">
        <v>22307</v>
      </c>
      <c r="U1391">
        <v>11025</v>
      </c>
      <c r="V1391">
        <v>6615</v>
      </c>
      <c r="W1391">
        <v>4410</v>
      </c>
      <c r="X1391">
        <v>22050</v>
      </c>
      <c r="Y1391">
        <v>11025</v>
      </c>
      <c r="Z1391">
        <v>11153</v>
      </c>
      <c r="AA1391">
        <v>6692</v>
      </c>
      <c r="AB1391">
        <v>4461</v>
      </c>
    </row>
    <row r="1392" spans="1:28" x14ac:dyDescent="0.35">
      <c r="A1392" t="s">
        <v>1437</v>
      </c>
      <c r="B1392" t="s">
        <v>9</v>
      </c>
      <c r="C1392" t="s">
        <v>1</v>
      </c>
      <c r="D1392" t="s">
        <v>10</v>
      </c>
      <c r="E1392" t="s">
        <v>11</v>
      </c>
      <c r="F1392">
        <v>489750</v>
      </c>
      <c r="G1392">
        <v>-267282</v>
      </c>
      <c r="H1392">
        <v>58298</v>
      </c>
      <c r="I1392">
        <v>489750</v>
      </c>
      <c r="J1392">
        <v>48975</v>
      </c>
      <c r="K1392">
        <v>24487</v>
      </c>
      <c r="L1392">
        <v>361178</v>
      </c>
      <c r="M1392">
        <v>72235</v>
      </c>
      <c r="N1392">
        <v>108353</v>
      </c>
      <c r="O1392">
        <v>36117</v>
      </c>
      <c r="P1392">
        <v>-144471</v>
      </c>
      <c r="Q1392">
        <v>-90294</v>
      </c>
      <c r="R1392">
        <v>374531</v>
      </c>
      <c r="S1392">
        <v>112359</v>
      </c>
      <c r="T1392">
        <v>37453</v>
      </c>
      <c r="U1392">
        <v>18058</v>
      </c>
      <c r="V1392">
        <v>10835</v>
      </c>
      <c r="W1392">
        <v>7223</v>
      </c>
      <c r="X1392">
        <v>36117</v>
      </c>
      <c r="Y1392">
        <v>18058</v>
      </c>
      <c r="Z1392">
        <v>18726</v>
      </c>
      <c r="AA1392">
        <v>11235</v>
      </c>
      <c r="AB1392">
        <v>7490</v>
      </c>
    </row>
    <row r="1393" spans="1:28" x14ac:dyDescent="0.35">
      <c r="A1393" t="s">
        <v>1438</v>
      </c>
      <c r="B1393" t="s">
        <v>9</v>
      </c>
      <c r="C1393" t="s">
        <v>1</v>
      </c>
      <c r="D1393" t="s">
        <v>10</v>
      </c>
      <c r="E1393" t="s">
        <v>11</v>
      </c>
      <c r="F1393">
        <v>180622</v>
      </c>
      <c r="G1393">
        <v>-92135</v>
      </c>
      <c r="H1393">
        <v>50422</v>
      </c>
      <c r="I1393">
        <v>180622</v>
      </c>
      <c r="J1393">
        <v>18062</v>
      </c>
      <c r="K1393">
        <v>9031</v>
      </c>
      <c r="L1393">
        <v>91923</v>
      </c>
      <c r="M1393">
        <v>18384</v>
      </c>
      <c r="N1393">
        <v>27576</v>
      </c>
      <c r="O1393">
        <v>9192</v>
      </c>
      <c r="P1393">
        <v>-36769</v>
      </c>
      <c r="Q1393">
        <v>-22980</v>
      </c>
      <c r="R1393">
        <v>89100</v>
      </c>
      <c r="S1393">
        <v>26730</v>
      </c>
      <c r="T1393">
        <v>8910</v>
      </c>
      <c r="U1393">
        <v>4596</v>
      </c>
      <c r="V1393">
        <v>2757</v>
      </c>
      <c r="W1393">
        <v>1838</v>
      </c>
      <c r="X1393">
        <v>9192</v>
      </c>
      <c r="Y1393">
        <v>4596</v>
      </c>
      <c r="Z1393">
        <v>4455</v>
      </c>
      <c r="AA1393">
        <v>2673</v>
      </c>
      <c r="AB1393">
        <v>1782</v>
      </c>
    </row>
    <row r="1394" spans="1:28" x14ac:dyDescent="0.35">
      <c r="A1394" t="s">
        <v>1439</v>
      </c>
      <c r="B1394" t="s">
        <v>9</v>
      </c>
      <c r="C1394" t="s">
        <v>1</v>
      </c>
      <c r="D1394" t="s">
        <v>10</v>
      </c>
      <c r="E1394" t="s">
        <v>11</v>
      </c>
      <c r="F1394">
        <v>148043</v>
      </c>
      <c r="G1394">
        <v>-32699</v>
      </c>
      <c r="H1394">
        <v>18282</v>
      </c>
      <c r="I1394">
        <v>148043</v>
      </c>
      <c r="J1394">
        <v>14804</v>
      </c>
      <c r="K1394">
        <v>7402</v>
      </c>
      <c r="L1394">
        <v>102695</v>
      </c>
      <c r="M1394">
        <v>20539</v>
      </c>
      <c r="N1394">
        <v>30808</v>
      </c>
      <c r="O1394">
        <v>10269</v>
      </c>
      <c r="P1394">
        <v>-41078</v>
      </c>
      <c r="Q1394">
        <v>-25673</v>
      </c>
      <c r="R1394">
        <v>101101</v>
      </c>
      <c r="S1394">
        <v>30330</v>
      </c>
      <c r="T1394">
        <v>10110</v>
      </c>
      <c r="U1394">
        <v>5134</v>
      </c>
      <c r="V1394">
        <v>3080</v>
      </c>
      <c r="W1394">
        <v>2053</v>
      </c>
      <c r="X1394">
        <v>10269</v>
      </c>
      <c r="Y1394">
        <v>5134</v>
      </c>
      <c r="Z1394">
        <v>5055</v>
      </c>
      <c r="AA1394">
        <v>3033</v>
      </c>
      <c r="AB1394">
        <v>2022</v>
      </c>
    </row>
    <row r="1395" spans="1:28" x14ac:dyDescent="0.35">
      <c r="A1395" t="s">
        <v>1440</v>
      </c>
      <c r="B1395" t="s">
        <v>9</v>
      </c>
      <c r="C1395" t="s">
        <v>1</v>
      </c>
      <c r="D1395" t="s">
        <v>10</v>
      </c>
      <c r="E1395" t="s">
        <v>11</v>
      </c>
      <c r="F1395">
        <v>464613</v>
      </c>
      <c r="G1395">
        <v>-96994</v>
      </c>
      <c r="H1395">
        <v>195808</v>
      </c>
      <c r="I1395">
        <v>464613</v>
      </c>
      <c r="J1395">
        <v>46461</v>
      </c>
      <c r="K1395">
        <v>23230</v>
      </c>
      <c r="L1395">
        <v>332066</v>
      </c>
      <c r="M1395">
        <v>66413</v>
      </c>
      <c r="N1395">
        <v>99619</v>
      </c>
      <c r="O1395">
        <v>33206</v>
      </c>
      <c r="P1395">
        <v>-132826</v>
      </c>
      <c r="Q1395">
        <v>-83016</v>
      </c>
      <c r="R1395">
        <v>397675</v>
      </c>
      <c r="S1395">
        <v>119302</v>
      </c>
      <c r="T1395">
        <v>39767</v>
      </c>
      <c r="U1395">
        <v>16603</v>
      </c>
      <c r="V1395">
        <v>9961</v>
      </c>
      <c r="W1395">
        <v>6641</v>
      </c>
      <c r="X1395">
        <v>33206</v>
      </c>
      <c r="Y1395">
        <v>16603</v>
      </c>
      <c r="Z1395">
        <v>19883</v>
      </c>
      <c r="AA1395">
        <v>11930</v>
      </c>
      <c r="AB1395">
        <v>7953</v>
      </c>
    </row>
    <row r="1396" spans="1:28" x14ac:dyDescent="0.35">
      <c r="A1396" t="s">
        <v>1441</v>
      </c>
      <c r="B1396" t="s">
        <v>9</v>
      </c>
      <c r="C1396" t="s">
        <v>1</v>
      </c>
      <c r="D1396" t="s">
        <v>10</v>
      </c>
      <c r="E1396" t="s">
        <v>11</v>
      </c>
      <c r="F1396">
        <v>390539</v>
      </c>
      <c r="G1396">
        <v>-224823</v>
      </c>
      <c r="H1396">
        <v>171723</v>
      </c>
      <c r="I1396">
        <v>390539</v>
      </c>
      <c r="J1396">
        <v>39053</v>
      </c>
      <c r="K1396">
        <v>19526</v>
      </c>
      <c r="L1396">
        <v>84089</v>
      </c>
      <c r="M1396">
        <v>16817</v>
      </c>
      <c r="N1396">
        <v>25226</v>
      </c>
      <c r="O1396">
        <v>8408</v>
      </c>
      <c r="P1396">
        <v>-33635</v>
      </c>
      <c r="Q1396">
        <v>-21022</v>
      </c>
      <c r="R1396">
        <v>97076</v>
      </c>
      <c r="S1396">
        <v>29122</v>
      </c>
      <c r="T1396">
        <v>9707</v>
      </c>
      <c r="U1396">
        <v>4204</v>
      </c>
      <c r="V1396">
        <v>2522</v>
      </c>
      <c r="W1396">
        <v>1681</v>
      </c>
      <c r="X1396">
        <v>8408</v>
      </c>
      <c r="Y1396">
        <v>4204</v>
      </c>
      <c r="Z1396">
        <v>4853</v>
      </c>
      <c r="AA1396">
        <v>2912</v>
      </c>
      <c r="AB1396">
        <v>1941</v>
      </c>
    </row>
    <row r="1397" spans="1:28" x14ac:dyDescent="0.35">
      <c r="A1397" t="s">
        <v>1442</v>
      </c>
      <c r="B1397" t="s">
        <v>9</v>
      </c>
      <c r="C1397" t="s">
        <v>1</v>
      </c>
      <c r="D1397" t="s">
        <v>10</v>
      </c>
      <c r="E1397" t="s">
        <v>11</v>
      </c>
      <c r="F1397">
        <v>443935</v>
      </c>
      <c r="G1397">
        <v>-229406</v>
      </c>
      <c r="H1397">
        <v>188759</v>
      </c>
      <c r="I1397">
        <v>443935</v>
      </c>
      <c r="J1397">
        <v>44393</v>
      </c>
      <c r="K1397">
        <v>22196</v>
      </c>
      <c r="L1397">
        <v>117130</v>
      </c>
      <c r="M1397">
        <v>23426</v>
      </c>
      <c r="N1397">
        <v>35139</v>
      </c>
      <c r="O1397">
        <v>11713</v>
      </c>
      <c r="P1397">
        <v>-46852</v>
      </c>
      <c r="Q1397">
        <v>-29282</v>
      </c>
      <c r="R1397">
        <v>106617</v>
      </c>
      <c r="S1397">
        <v>31985</v>
      </c>
      <c r="T1397">
        <v>10661</v>
      </c>
      <c r="U1397">
        <v>5856</v>
      </c>
      <c r="V1397">
        <v>3513</v>
      </c>
      <c r="W1397">
        <v>2342</v>
      </c>
      <c r="X1397">
        <v>11713</v>
      </c>
      <c r="Y1397">
        <v>5856</v>
      </c>
      <c r="Z1397">
        <v>5330</v>
      </c>
      <c r="AA1397">
        <v>3198</v>
      </c>
      <c r="AB1397">
        <v>2132</v>
      </c>
    </row>
    <row r="1398" spans="1:28" x14ac:dyDescent="0.35">
      <c r="A1398" t="s">
        <v>1443</v>
      </c>
      <c r="B1398" t="s">
        <v>9</v>
      </c>
      <c r="C1398" t="s">
        <v>1</v>
      </c>
      <c r="D1398" t="s">
        <v>10</v>
      </c>
      <c r="E1398" t="s">
        <v>11</v>
      </c>
      <c r="F1398">
        <v>80565</v>
      </c>
      <c r="G1398">
        <v>-29403</v>
      </c>
      <c r="H1398">
        <v>17536</v>
      </c>
      <c r="I1398">
        <v>80565</v>
      </c>
      <c r="J1398">
        <v>8056</v>
      </c>
      <c r="K1398">
        <v>4028</v>
      </c>
      <c r="L1398">
        <v>17850</v>
      </c>
      <c r="M1398">
        <v>3570</v>
      </c>
      <c r="N1398">
        <v>5355</v>
      </c>
      <c r="O1398">
        <v>1785</v>
      </c>
      <c r="P1398">
        <v>-7140</v>
      </c>
      <c r="Q1398">
        <v>-4462</v>
      </c>
      <c r="R1398">
        <v>15733</v>
      </c>
      <c r="S1398">
        <v>4719</v>
      </c>
      <c r="T1398">
        <v>1573</v>
      </c>
      <c r="U1398">
        <v>892</v>
      </c>
      <c r="V1398">
        <v>535</v>
      </c>
      <c r="W1398">
        <v>357</v>
      </c>
      <c r="X1398">
        <v>1785</v>
      </c>
      <c r="Y1398">
        <v>892</v>
      </c>
      <c r="Z1398">
        <v>786</v>
      </c>
      <c r="AA1398">
        <v>471</v>
      </c>
      <c r="AB1398">
        <v>314</v>
      </c>
    </row>
    <row r="1399" spans="1:28" x14ac:dyDescent="0.35">
      <c r="A1399" t="s">
        <v>1444</v>
      </c>
      <c r="B1399" t="s">
        <v>9</v>
      </c>
      <c r="C1399" t="s">
        <v>1</v>
      </c>
      <c r="D1399" t="s">
        <v>10</v>
      </c>
      <c r="E1399" t="s">
        <v>11</v>
      </c>
      <c r="F1399">
        <v>108431</v>
      </c>
      <c r="G1399">
        <v>-41088</v>
      </c>
      <c r="H1399">
        <v>42261</v>
      </c>
      <c r="I1399">
        <v>108431</v>
      </c>
      <c r="J1399">
        <v>10843</v>
      </c>
      <c r="K1399">
        <v>5421</v>
      </c>
      <c r="L1399">
        <v>86637</v>
      </c>
      <c r="M1399">
        <v>17327</v>
      </c>
      <c r="N1399">
        <v>25991</v>
      </c>
      <c r="O1399">
        <v>8663</v>
      </c>
      <c r="P1399">
        <v>-34654</v>
      </c>
      <c r="Q1399">
        <v>-21659</v>
      </c>
      <c r="R1399">
        <v>89078</v>
      </c>
      <c r="S1399">
        <v>26723</v>
      </c>
      <c r="T1399">
        <v>8907</v>
      </c>
      <c r="U1399">
        <v>4331</v>
      </c>
      <c r="V1399">
        <v>2599</v>
      </c>
      <c r="W1399">
        <v>1732</v>
      </c>
      <c r="X1399">
        <v>8663</v>
      </c>
      <c r="Y1399">
        <v>4331</v>
      </c>
      <c r="Z1399">
        <v>4453</v>
      </c>
      <c r="AA1399">
        <v>2672</v>
      </c>
      <c r="AB1399">
        <v>1781</v>
      </c>
    </row>
    <row r="1400" spans="1:28" x14ac:dyDescent="0.35">
      <c r="A1400" t="s">
        <v>1445</v>
      </c>
      <c r="B1400" t="s">
        <v>9</v>
      </c>
      <c r="C1400" t="s">
        <v>1</v>
      </c>
      <c r="D1400" t="s">
        <v>10</v>
      </c>
      <c r="E1400" t="s">
        <v>11</v>
      </c>
      <c r="F1400">
        <v>116750</v>
      </c>
      <c r="G1400">
        <v>-37038</v>
      </c>
      <c r="H1400">
        <v>52190</v>
      </c>
      <c r="I1400">
        <v>116750</v>
      </c>
      <c r="J1400">
        <v>11675</v>
      </c>
      <c r="K1400">
        <v>5837</v>
      </c>
      <c r="L1400">
        <v>44820</v>
      </c>
      <c r="M1400">
        <v>8964</v>
      </c>
      <c r="N1400">
        <v>13446</v>
      </c>
      <c r="O1400">
        <v>4482</v>
      </c>
      <c r="P1400">
        <v>-17928</v>
      </c>
      <c r="Q1400">
        <v>-11205</v>
      </c>
      <c r="R1400">
        <v>46024</v>
      </c>
      <c r="S1400">
        <v>13807</v>
      </c>
      <c r="T1400">
        <v>4602</v>
      </c>
      <c r="U1400">
        <v>2241</v>
      </c>
      <c r="V1400">
        <v>1344</v>
      </c>
      <c r="W1400">
        <v>896</v>
      </c>
      <c r="X1400">
        <v>4482</v>
      </c>
      <c r="Y1400">
        <v>2241</v>
      </c>
      <c r="Z1400">
        <v>2301</v>
      </c>
      <c r="AA1400">
        <v>1380</v>
      </c>
      <c r="AB1400">
        <v>920</v>
      </c>
    </row>
    <row r="1401" spans="1:28" x14ac:dyDescent="0.35">
      <c r="A1401" t="s">
        <v>1446</v>
      </c>
      <c r="B1401" t="s">
        <v>9</v>
      </c>
      <c r="C1401" t="s">
        <v>1</v>
      </c>
      <c r="D1401" t="s">
        <v>10</v>
      </c>
      <c r="E1401" t="s">
        <v>11</v>
      </c>
      <c r="F1401">
        <v>318671</v>
      </c>
      <c r="G1401">
        <v>-143014</v>
      </c>
      <c r="H1401">
        <v>119142</v>
      </c>
      <c r="I1401">
        <v>318671</v>
      </c>
      <c r="J1401">
        <v>31867</v>
      </c>
      <c r="K1401">
        <v>15933</v>
      </c>
      <c r="L1401">
        <v>194435</v>
      </c>
      <c r="M1401">
        <v>38887</v>
      </c>
      <c r="N1401">
        <v>58330</v>
      </c>
      <c r="O1401">
        <v>19443</v>
      </c>
      <c r="P1401">
        <v>-77774</v>
      </c>
      <c r="Q1401">
        <v>-48608</v>
      </c>
      <c r="R1401">
        <v>173348</v>
      </c>
      <c r="S1401">
        <v>52004</v>
      </c>
      <c r="T1401">
        <v>17334</v>
      </c>
      <c r="U1401">
        <v>9721</v>
      </c>
      <c r="V1401">
        <v>5833</v>
      </c>
      <c r="W1401">
        <v>3888</v>
      </c>
      <c r="X1401">
        <v>19443</v>
      </c>
      <c r="Y1401">
        <v>9721</v>
      </c>
      <c r="Z1401">
        <v>8667</v>
      </c>
      <c r="AA1401">
        <v>5200</v>
      </c>
      <c r="AB1401">
        <v>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Sheet1</vt:lpstr>
      <vt:lpstr>Warehouse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 Luthra</cp:lastModifiedBy>
  <dcterms:created xsi:type="dcterms:W3CDTF">2026-04-07T08:35:20Z</dcterms:created>
  <dcterms:modified xsi:type="dcterms:W3CDTF">2026-06-05T15:36:36Z</dcterms:modified>
</cp:coreProperties>
</file>